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myTab1" Type="http://schemas.microsoft.com/office/2006/relationships/ui/extensibility" Target="OriginalRibbon/OriginalRibbon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5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edakei/products/om-bldg/om-bldg-client/lib/__test__/test_files/正常フロー/"/>
    </mc:Choice>
  </mc:AlternateContent>
  <xr:revisionPtr revIDLastSave="0" documentId="13_ncr:1_{78A5742D-4C15-2249-A111-27797E04C8AC}" xr6:coauthVersionLast="47" xr6:coauthVersionMax="47" xr10:uidLastSave="{00000000-0000-0000-0000-000000000000}"/>
  <bookViews>
    <workbookView xWindow="0" yWindow="460" windowWidth="19420" windowHeight="10420" xr2:uid="{00000000-000D-0000-FFFF-FFFF00000000}"/>
  </bookViews>
  <sheets>
    <sheet name="表紙" sheetId="6" r:id="rId1"/>
    <sheet name="資産クラス一覧表" sheetId="36" state="hidden" r:id="rId2"/>
    <sheet name="変更諸経費表" sheetId="37" r:id="rId3"/>
    <sheet name="元諸経費表" sheetId="41" r:id="rId4"/>
    <sheet name="変更諸経費表 (第2回変更以降)" sheetId="56" r:id="rId5"/>
    <sheet name="前回諸経費表" sheetId="59" r:id="rId6"/>
    <sheet name="資産クラス(今回変更)" sheetId="53" r:id="rId7"/>
    <sheet name="工事1" sheetId="1" r:id="rId8"/>
    <sheet name="代価" sheetId="31" r:id="rId9"/>
    <sheet name="見積比較" sheetId="3" r:id="rId10"/>
    <sheet name="見積類似" sheetId="32" r:id="rId11"/>
    <sheet name="小運搬" sheetId="30" r:id="rId12"/>
    <sheet name="代価一覧" sheetId="7" r:id="rId13"/>
    <sheet name="変更諸経費表(専業)元" sheetId="38" state="hidden" r:id="rId14"/>
    <sheet name="変更諸経費表(専業)" sheetId="39" state="hidden" r:id="rId15"/>
    <sheet name="work" sheetId="8" state="hidden" r:id="rId16"/>
    <sheet name="入力規則マスタ" sheetId="48" state="hidden" r:id="rId17"/>
    <sheet name="新規シート" sheetId="9" r:id="rId18"/>
  </sheets>
  <definedNames>
    <definedName name="_xlnm._FilterDatabase" localSheetId="5" hidden="1">前回諸経費表!$A$1:$I$1</definedName>
    <definedName name="_xlnm._FilterDatabase" localSheetId="2" hidden="1">変更諸経費表!$A$1:$N$1</definedName>
    <definedName name="_xlnm._FilterDatabase" localSheetId="4" hidden="1">'変更諸経費表 (第2回変更以降)'!$A$1:$N$1</definedName>
    <definedName name="_Order1" hidden="1">255</definedName>
    <definedName name="AS2DocOpenMode" hidden="1">"AS2DocumentEdit"</definedName>
    <definedName name="_xlnm.Print_Area" localSheetId="3">元諸経費表!$A$1:$H$216</definedName>
    <definedName name="_xlnm.Print_Area" localSheetId="7">工事1!$A$1:$N$94</definedName>
    <definedName name="_xlnm.Print_Area" localSheetId="5">前回諸経費表!$A$1:$J$473</definedName>
    <definedName name="_xlnm.Print_Area" localSheetId="4">'変更諸経費表 (第2回変更以降)'!$A$1:$N$474</definedName>
    <definedName name="業者名一覧" localSheetId="5">#REF!</definedName>
    <definedName name="業者名一覧" localSheetId="4">#REF!</definedName>
    <definedName name="区分" localSheetId="1">#REF!</definedName>
    <definedName name="区分" localSheetId="5">#REF!</definedName>
    <definedName name="区分" localSheetId="4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9" i="6" l="1"/>
  <c r="J89" i="6"/>
  <c r="L89" i="6"/>
  <c r="L81" i="6"/>
  <c r="L82" i="6" s="1"/>
  <c r="K78" i="6"/>
  <c r="K80" i="6"/>
  <c r="K79" i="6"/>
  <c r="J81" i="6"/>
  <c r="G80" i="6"/>
  <c r="F80" i="6"/>
  <c r="G79" i="6"/>
  <c r="F79" i="6"/>
  <c r="G78" i="6"/>
  <c r="F78" i="6"/>
  <c r="L64" i="6"/>
  <c r="L65" i="6" s="1"/>
  <c r="K65" i="6" s="1"/>
  <c r="K63" i="6"/>
  <c r="K62" i="6"/>
  <c r="K61" i="6"/>
  <c r="J63" i="6"/>
  <c r="J64" i="6" s="1"/>
  <c r="G62" i="6"/>
  <c r="F62" i="6"/>
  <c r="G61" i="6"/>
  <c r="F61" i="6"/>
  <c r="K55" i="6"/>
  <c r="K54" i="6"/>
  <c r="L56" i="6"/>
  <c r="J56" i="6"/>
  <c r="G55" i="6"/>
  <c r="F55" i="6"/>
  <c r="G54" i="6"/>
  <c r="F54" i="6"/>
  <c r="G38" i="6"/>
  <c r="L40" i="6"/>
  <c r="J40" i="6"/>
  <c r="L41" i="6"/>
  <c r="L42" i="6" s="1"/>
  <c r="K39" i="6"/>
  <c r="K38" i="6"/>
  <c r="F34" i="6"/>
  <c r="F39" i="6"/>
  <c r="F38" i="6"/>
  <c r="L34" i="6"/>
  <c r="L35" i="6" s="1"/>
  <c r="J33" i="6"/>
  <c r="J34" i="6" s="1"/>
  <c r="K34" i="6" s="1"/>
  <c r="K32" i="6"/>
  <c r="F32" i="6"/>
  <c r="K31" i="6"/>
  <c r="F31" i="6"/>
  <c r="G30" i="6"/>
  <c r="F30" i="6"/>
  <c r="F71" i="6"/>
  <c r="Q71" i="6" s="1"/>
  <c r="F48" i="6"/>
  <c r="Q48" i="6"/>
  <c r="P48" i="6"/>
  <c r="P71" i="6"/>
  <c r="K82" i="6" l="1"/>
  <c r="L83" i="6"/>
  <c r="K83" i="6" s="1"/>
  <c r="K81" i="6"/>
  <c r="J82" i="6"/>
  <c r="J83" i="6" s="1"/>
  <c r="K64" i="6"/>
  <c r="F64" i="6"/>
  <c r="G64" i="6"/>
  <c r="J65" i="6"/>
  <c r="K56" i="6"/>
  <c r="J57" i="6"/>
  <c r="L57" i="6"/>
  <c r="K40" i="6"/>
  <c r="J41" i="6"/>
  <c r="K41" i="6" s="1"/>
  <c r="F41" i="6"/>
  <c r="K33" i="6"/>
  <c r="J35" i="6"/>
  <c r="K35" i="6" s="1"/>
  <c r="F94" i="6"/>
  <c r="L58" i="6" l="1"/>
  <c r="G57" i="6"/>
  <c r="F57" i="6"/>
  <c r="K57" i="6"/>
  <c r="J58" i="6"/>
  <c r="J42" i="6"/>
  <c r="K42" i="6" s="1"/>
  <c r="K58" i="6" l="1"/>
  <c r="P94" i="6" l="1"/>
  <c r="Q94" i="6"/>
  <c r="L91" i="6"/>
  <c r="J91" i="6"/>
  <c r="G91" i="6" l="1"/>
  <c r="H91" i="6"/>
  <c r="K91" i="6"/>
  <c r="K93" i="6" s="1"/>
  <c r="J93" i="6"/>
  <c r="F91" i="6"/>
  <c r="L93" i="6"/>
  <c r="M94" i="1"/>
  <c r="L93" i="1"/>
  <c r="K93" i="1"/>
  <c r="J93" i="1"/>
  <c r="L23" i="1"/>
  <c r="K23" i="1"/>
  <c r="I21" i="1"/>
  <c r="I20" i="1"/>
  <c r="L6" i="1"/>
  <c r="K6" i="1"/>
  <c r="J25" i="6" l="1"/>
  <c r="D3" i="37" l="1"/>
  <c r="D3" i="56"/>
  <c r="P208" i="8" l="1"/>
  <c r="P185" i="8"/>
  <c r="P161" i="8"/>
  <c r="H185" i="8" l="1"/>
  <c r="H208" i="8" s="1"/>
  <c r="F185" i="8"/>
  <c r="Q185" i="8" s="1"/>
  <c r="H161" i="8"/>
  <c r="F161" i="8"/>
  <c r="Q161" i="8" s="1"/>
  <c r="F208" i="8" l="1"/>
  <c r="Q208" i="8" s="1"/>
  <c r="G144" i="8"/>
  <c r="J156" i="8"/>
  <c r="J158" i="8" l="1"/>
  <c r="J160" i="8" s="1"/>
  <c r="K144" i="8"/>
  <c r="K156" i="8" s="1"/>
  <c r="L156" i="8"/>
  <c r="L158" i="8" s="1"/>
  <c r="F144" i="8"/>
  <c r="F232" i="6" l="1"/>
  <c r="F255" i="6" s="1"/>
  <c r="F278" i="6" s="1"/>
  <c r="F301" i="6" s="1"/>
  <c r="L160" i="8"/>
  <c r="F158" i="8"/>
  <c r="H158" i="8"/>
  <c r="G158" i="8"/>
  <c r="K158" i="8"/>
  <c r="K160" i="8"/>
  <c r="E14" i="6" l="1"/>
  <c r="C4" i="37" l="1"/>
  <c r="C4" i="56"/>
  <c r="N27" i="3"/>
  <c r="H85" i="56" l="1"/>
  <c r="H301" i="56" l="1"/>
  <c r="H301" i="37" l="1"/>
  <c r="H85" i="37"/>
  <c r="F456" i="37" l="1"/>
  <c r="I76" i="1"/>
  <c r="J5" i="1" l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5" i="1"/>
  <c r="M71" i="1"/>
  <c r="L70" i="1"/>
  <c r="K70" i="1"/>
  <c r="J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M48" i="1"/>
  <c r="L47" i="1"/>
  <c r="K47" i="1"/>
  <c r="J47" i="1"/>
  <c r="I46" i="1"/>
  <c r="I44" i="1"/>
  <c r="I43" i="1"/>
  <c r="I42" i="1"/>
  <c r="I41" i="1"/>
  <c r="I40" i="1"/>
  <c r="I39" i="1"/>
  <c r="I38" i="1"/>
  <c r="I37" i="1"/>
  <c r="I36" i="1"/>
  <c r="I35" i="1"/>
  <c r="I34" i="1"/>
  <c r="I33" i="1"/>
  <c r="I31" i="1"/>
  <c r="I29" i="1"/>
  <c r="M25" i="1"/>
  <c r="C5" i="1"/>
  <c r="N27" i="32"/>
  <c r="T25" i="32"/>
  <c r="S25" i="32"/>
  <c r="R25" i="32"/>
  <c r="Q25" i="32" s="1"/>
  <c r="T24" i="32"/>
  <c r="S24" i="32"/>
  <c r="R24" i="32"/>
  <c r="Q24" i="32" s="1"/>
  <c r="T23" i="32"/>
  <c r="S23" i="32"/>
  <c r="R23" i="32"/>
  <c r="Q23" i="32" s="1"/>
  <c r="T22" i="32"/>
  <c r="S22" i="32"/>
  <c r="R22" i="32"/>
  <c r="Q22" i="32" s="1"/>
  <c r="T21" i="32"/>
  <c r="S21" i="32"/>
  <c r="R21" i="32"/>
  <c r="Q21" i="32" s="1"/>
  <c r="T20" i="32"/>
  <c r="S20" i="32"/>
  <c r="R20" i="32"/>
  <c r="Q20" i="32" s="1"/>
  <c r="T19" i="32"/>
  <c r="S19" i="32"/>
  <c r="R19" i="32"/>
  <c r="Q19" i="32" s="1"/>
  <c r="T18" i="32"/>
  <c r="S18" i="32"/>
  <c r="R18" i="32"/>
  <c r="Q18" i="32" s="1"/>
  <c r="T17" i="32"/>
  <c r="S17" i="32"/>
  <c r="R17" i="32"/>
  <c r="Q17" i="32" s="1"/>
  <c r="T16" i="32"/>
  <c r="S16" i="32"/>
  <c r="R16" i="32"/>
  <c r="Q16" i="32" s="1"/>
  <c r="T15" i="32"/>
  <c r="S15" i="32"/>
  <c r="R15" i="32"/>
  <c r="Q15" i="32" s="1"/>
  <c r="T14" i="32"/>
  <c r="S14" i="32"/>
  <c r="R14" i="32"/>
  <c r="Q14" i="32" s="1"/>
  <c r="T13" i="32"/>
  <c r="S13" i="32"/>
  <c r="R13" i="32"/>
  <c r="Q13" i="32" s="1"/>
  <c r="T12" i="32"/>
  <c r="S12" i="32"/>
  <c r="R12" i="32"/>
  <c r="Q12" i="32" s="1"/>
  <c r="T11" i="32"/>
  <c r="S11" i="32"/>
  <c r="R11" i="32"/>
  <c r="Q11" i="32" s="1"/>
  <c r="T10" i="32"/>
  <c r="S10" i="32"/>
  <c r="R10" i="32"/>
  <c r="Q10" i="32" s="1"/>
  <c r="T9" i="32"/>
  <c r="S9" i="32"/>
  <c r="R9" i="32"/>
  <c r="Q9" i="32" s="1"/>
  <c r="T8" i="32"/>
  <c r="S8" i="32"/>
  <c r="R8" i="32"/>
  <c r="Q8" i="32" s="1"/>
  <c r="T7" i="32"/>
  <c r="R7" i="32"/>
  <c r="S7" i="32" s="1"/>
  <c r="T6" i="32"/>
  <c r="S6" i="32"/>
  <c r="R6" i="32"/>
  <c r="Q6" i="32" s="1"/>
  <c r="D26" i="3"/>
  <c r="M25" i="3"/>
  <c r="K25" i="3"/>
  <c r="I25" i="3"/>
  <c r="M24" i="3"/>
  <c r="K24" i="3"/>
  <c r="I24" i="3"/>
  <c r="M23" i="3"/>
  <c r="K23" i="3"/>
  <c r="I23" i="3"/>
  <c r="M22" i="3"/>
  <c r="K22" i="3"/>
  <c r="I22" i="3"/>
  <c r="M21" i="3"/>
  <c r="K21" i="3"/>
  <c r="I21" i="3"/>
  <c r="M20" i="3"/>
  <c r="K20" i="3"/>
  <c r="I20" i="3"/>
  <c r="M19" i="3"/>
  <c r="K19" i="3"/>
  <c r="I19" i="3"/>
  <c r="M18" i="3"/>
  <c r="K18" i="3"/>
  <c r="I18" i="3"/>
  <c r="M17" i="3"/>
  <c r="K17" i="3"/>
  <c r="I17" i="3"/>
  <c r="M16" i="3"/>
  <c r="K16" i="3"/>
  <c r="I16" i="3"/>
  <c r="M15" i="3"/>
  <c r="K15" i="3"/>
  <c r="I15" i="3"/>
  <c r="M14" i="3"/>
  <c r="K14" i="3"/>
  <c r="I14" i="3"/>
  <c r="M13" i="3"/>
  <c r="K13" i="3"/>
  <c r="I13" i="3"/>
  <c r="M12" i="3"/>
  <c r="K12" i="3"/>
  <c r="I12" i="3"/>
  <c r="M11" i="3"/>
  <c r="K11" i="3"/>
  <c r="I11" i="3"/>
  <c r="M10" i="3"/>
  <c r="K10" i="3"/>
  <c r="I10" i="3"/>
  <c r="M9" i="3"/>
  <c r="K9" i="3"/>
  <c r="I9" i="3"/>
  <c r="M8" i="3"/>
  <c r="K8" i="3"/>
  <c r="I8" i="3"/>
  <c r="M7" i="3"/>
  <c r="K7" i="3"/>
  <c r="I7" i="3"/>
  <c r="M6" i="3"/>
  <c r="K6" i="3"/>
  <c r="I6" i="3"/>
  <c r="M5" i="3"/>
  <c r="K5" i="3"/>
  <c r="I5" i="3"/>
  <c r="M4" i="3"/>
  <c r="K4" i="3"/>
  <c r="I4" i="3"/>
  <c r="N25" i="3"/>
  <c r="O25" i="3" s="1"/>
  <c r="N24" i="3"/>
  <c r="O24" i="3" s="1"/>
  <c r="N23" i="3"/>
  <c r="O23" i="3" s="1"/>
  <c r="N22" i="3"/>
  <c r="O22" i="3" s="1"/>
  <c r="N21" i="3"/>
  <c r="O21" i="3" s="1"/>
  <c r="N20" i="3"/>
  <c r="O20" i="3" s="1"/>
  <c r="N19" i="3"/>
  <c r="O19" i="3" s="1"/>
  <c r="N18" i="3"/>
  <c r="O18" i="3" s="1"/>
  <c r="N17" i="3"/>
  <c r="O17" i="3" s="1"/>
  <c r="N16" i="3"/>
  <c r="O16" i="3" s="1"/>
  <c r="N15" i="3"/>
  <c r="O15" i="3" s="1"/>
  <c r="N14" i="3"/>
  <c r="O14" i="3" s="1"/>
  <c r="N13" i="3"/>
  <c r="O13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N6" i="3"/>
  <c r="O6" i="3" s="1"/>
  <c r="N4" i="3"/>
  <c r="O4" i="3" s="1"/>
  <c r="T26" i="32" l="1"/>
  <c r="S26" i="32"/>
  <c r="I26" i="3"/>
  <c r="K26" i="3"/>
  <c r="M26" i="3"/>
  <c r="I45" i="1"/>
  <c r="I93" i="1"/>
  <c r="I8" i="1" s="1"/>
  <c r="I70" i="1"/>
  <c r="I7" i="1" s="1"/>
  <c r="S27" i="32"/>
  <c r="T27" i="32"/>
  <c r="I16" i="1" l="1"/>
  <c r="O26" i="3"/>
  <c r="N2" i="3" s="1"/>
  <c r="N5" i="3" s="1"/>
  <c r="O5" i="3" s="1"/>
  <c r="Q7" i="32"/>
  <c r="G9" i="56" l="1"/>
  <c r="G9" i="37"/>
  <c r="G4" i="56" l="1"/>
  <c r="A3" i="56" l="1"/>
  <c r="A3" i="37" l="1"/>
  <c r="A1" i="53" l="1"/>
  <c r="F2" i="53" l="1"/>
  <c r="F3" i="53" s="1"/>
  <c r="G225" i="56" l="1"/>
  <c r="G440" i="56" s="1"/>
  <c r="F47" i="56" l="1"/>
  <c r="F44" i="56"/>
  <c r="F41" i="56"/>
  <c r="F40" i="56"/>
  <c r="F37" i="56"/>
  <c r="F34" i="56"/>
  <c r="F33" i="56"/>
  <c r="F32" i="56"/>
  <c r="F31" i="56"/>
  <c r="F30" i="56"/>
  <c r="F26" i="56"/>
  <c r="F25" i="56"/>
  <c r="F24" i="56"/>
  <c r="F16" i="56"/>
  <c r="H47" i="56"/>
  <c r="H44" i="56"/>
  <c r="H41" i="56"/>
  <c r="H40" i="56"/>
  <c r="H37" i="56"/>
  <c r="H34" i="56"/>
  <c r="H33" i="56"/>
  <c r="H32" i="56"/>
  <c r="H31" i="56"/>
  <c r="H30" i="56"/>
  <c r="H26" i="56"/>
  <c r="H25" i="56"/>
  <c r="H24" i="56"/>
  <c r="H16" i="56"/>
  <c r="I16" i="56"/>
  <c r="I47" i="56"/>
  <c r="I44" i="56"/>
  <c r="I41" i="56"/>
  <c r="I40" i="56"/>
  <c r="I37" i="56"/>
  <c r="I34" i="56"/>
  <c r="I33" i="56"/>
  <c r="I32" i="56"/>
  <c r="I31" i="56"/>
  <c r="I30" i="56"/>
  <c r="I26" i="56"/>
  <c r="I25" i="56"/>
  <c r="I24" i="56"/>
  <c r="F4" i="37" l="1"/>
  <c r="F4" i="56" l="1"/>
  <c r="F305" i="56" s="1"/>
  <c r="G1" i="56"/>
  <c r="K23" i="9" l="1"/>
  <c r="W5" i="6" l="1"/>
  <c r="I247" i="56" l="1"/>
  <c r="I214" i="56"/>
  <c r="I138" i="56"/>
  <c r="I137" i="56"/>
  <c r="I136" i="56"/>
  <c r="I135" i="56"/>
  <c r="I132" i="56"/>
  <c r="I131" i="56"/>
  <c r="I130" i="56"/>
  <c r="I129" i="56"/>
  <c r="I128" i="56"/>
  <c r="I127" i="56"/>
  <c r="I126" i="56"/>
  <c r="I125" i="56"/>
  <c r="I124" i="56"/>
  <c r="I123" i="56"/>
  <c r="I122" i="56"/>
  <c r="I121" i="56"/>
  <c r="I102" i="56"/>
  <c r="I101" i="56"/>
  <c r="I100" i="56"/>
  <c r="I94" i="56"/>
  <c r="I92" i="56"/>
  <c r="I91" i="56"/>
  <c r="I90" i="56"/>
  <c r="I89" i="56"/>
  <c r="I88" i="56"/>
  <c r="I87" i="56"/>
  <c r="I86" i="56"/>
  <c r="H247" i="56"/>
  <c r="H214" i="56"/>
  <c r="H138" i="56"/>
  <c r="H137" i="56"/>
  <c r="H136" i="56"/>
  <c r="H135" i="56"/>
  <c r="H132" i="56"/>
  <c r="H131" i="56"/>
  <c r="H130" i="56"/>
  <c r="H129" i="56"/>
  <c r="H128" i="56"/>
  <c r="H127" i="56"/>
  <c r="H126" i="56"/>
  <c r="H125" i="56"/>
  <c r="H124" i="56"/>
  <c r="H123" i="56"/>
  <c r="H122" i="56"/>
  <c r="H121" i="56"/>
  <c r="H102" i="56"/>
  <c r="H101" i="56"/>
  <c r="H100" i="56"/>
  <c r="H94" i="56"/>
  <c r="H92" i="56"/>
  <c r="H91" i="56"/>
  <c r="H90" i="56"/>
  <c r="H89" i="56"/>
  <c r="H4" i="56" s="1"/>
  <c r="H305" i="56" s="1"/>
  <c r="H88" i="56"/>
  <c r="H87" i="56"/>
  <c r="H11" i="56" s="1"/>
  <c r="H86" i="56"/>
  <c r="I225" i="56" l="1"/>
  <c r="H114" i="56"/>
  <c r="H109" i="56"/>
  <c r="I234" i="56"/>
  <c r="I97" i="56"/>
  <c r="H97" i="56"/>
  <c r="I346" i="56"/>
  <c r="H346" i="56"/>
  <c r="H345" i="56"/>
  <c r="I343" i="56"/>
  <c r="H343" i="56"/>
  <c r="I342" i="56"/>
  <c r="H342" i="56"/>
  <c r="I119" i="56"/>
  <c r="I114" i="56"/>
  <c r="H103" i="56"/>
  <c r="H133" i="56"/>
  <c r="I14" i="56"/>
  <c r="I308" i="56" s="1"/>
  <c r="H14" i="56"/>
  <c r="H308" i="56" s="1"/>
  <c r="I154" i="56"/>
  <c r="I42" i="56"/>
  <c r="H42" i="56"/>
  <c r="I43" i="56"/>
  <c r="H43" i="56"/>
  <c r="I316" i="56"/>
  <c r="I13" i="56"/>
  <c r="I307" i="56" s="1"/>
  <c r="H13" i="56"/>
  <c r="H307" i="56" s="1"/>
  <c r="I11" i="56"/>
  <c r="I303" i="56" s="1"/>
  <c r="I4" i="56"/>
  <c r="I305" i="56" s="1"/>
  <c r="I3" i="56"/>
  <c r="H3" i="56"/>
  <c r="F346" i="56"/>
  <c r="F345" i="56"/>
  <c r="F343" i="56"/>
  <c r="F342" i="56"/>
  <c r="F308" i="56"/>
  <c r="F307" i="56"/>
  <c r="F306" i="56"/>
  <c r="F303" i="56"/>
  <c r="F286" i="56"/>
  <c r="F278" i="56" s="1"/>
  <c r="F269" i="56"/>
  <c r="F260" i="56"/>
  <c r="F354" i="56"/>
  <c r="F449" i="56" s="1"/>
  <c r="F459" i="56" s="1"/>
  <c r="F329" i="56" s="1"/>
  <c r="F351" i="56"/>
  <c r="F348" i="56"/>
  <c r="F347" i="56"/>
  <c r="F344" i="56"/>
  <c r="F341" i="56"/>
  <c r="F340" i="56"/>
  <c r="F339" i="56"/>
  <c r="F338" i="56"/>
  <c r="F337" i="56"/>
  <c r="F29" i="56"/>
  <c r="F336" i="56" s="1"/>
  <c r="F28" i="56"/>
  <c r="F335" i="56" s="1"/>
  <c r="F318" i="56"/>
  <c r="F43" i="56"/>
  <c r="F350" i="56" s="1"/>
  <c r="F316" i="56"/>
  <c r="F310" i="56"/>
  <c r="F3" i="56"/>
  <c r="I46" i="56"/>
  <c r="H46" i="56"/>
  <c r="F45" i="56"/>
  <c r="I10" i="56" l="1"/>
  <c r="F361" i="56"/>
  <c r="F378" i="56" s="1"/>
  <c r="H10" i="56"/>
  <c r="F370" i="56"/>
  <c r="I318" i="56"/>
  <c r="H340" i="56"/>
  <c r="H348" i="56"/>
  <c r="H354" i="56"/>
  <c r="H449" i="56" s="1"/>
  <c r="H312" i="56" s="1"/>
  <c r="I244" i="56"/>
  <c r="I113" i="56" s="1"/>
  <c r="I96" i="56"/>
  <c r="H338" i="56"/>
  <c r="I144" i="56"/>
  <c r="I160" i="56" s="1"/>
  <c r="I310" i="56"/>
  <c r="H316" i="56"/>
  <c r="H349" i="56"/>
  <c r="H310" i="56"/>
  <c r="I351" i="56"/>
  <c r="I103" i="56"/>
  <c r="H303" i="56"/>
  <c r="I109" i="56"/>
  <c r="H28" i="56"/>
  <c r="H286" i="56"/>
  <c r="H278" i="56" s="1"/>
  <c r="H269" i="56"/>
  <c r="H260" i="56"/>
  <c r="H304" i="56"/>
  <c r="H222" i="56"/>
  <c r="H141" i="56"/>
  <c r="H180" i="56"/>
  <c r="H117" i="56"/>
  <c r="H5" i="56"/>
  <c r="H156" i="56"/>
  <c r="H154" i="56"/>
  <c r="H150" i="56"/>
  <c r="H148" i="56"/>
  <c r="H146" i="56"/>
  <c r="H157" i="56"/>
  <c r="H155" i="56"/>
  <c r="H153" i="56"/>
  <c r="H149" i="56"/>
  <c r="H147" i="56"/>
  <c r="H12" i="56"/>
  <c r="H306" i="56" s="1"/>
  <c r="I28" i="56"/>
  <c r="I335" i="56" s="1"/>
  <c r="I269" i="56"/>
  <c r="I260" i="56"/>
  <c r="I304" i="56"/>
  <c r="I180" i="56"/>
  <c r="I117" i="56"/>
  <c r="I157" i="56"/>
  <c r="I155" i="56"/>
  <c r="I153" i="56"/>
  <c r="I149" i="56"/>
  <c r="I147" i="56"/>
  <c r="I146" i="56"/>
  <c r="I156" i="56"/>
  <c r="H119" i="56"/>
  <c r="H120" i="56"/>
  <c r="H317" i="56"/>
  <c r="H134" i="56"/>
  <c r="H350" i="56" s="1"/>
  <c r="I133" i="56"/>
  <c r="I148" i="56"/>
  <c r="I222" i="56"/>
  <c r="I286" i="56"/>
  <c r="I278" i="56" s="1"/>
  <c r="I5" i="56"/>
  <c r="I12" i="56"/>
  <c r="I306" i="56" s="1"/>
  <c r="I120" i="56"/>
  <c r="I317" i="56"/>
  <c r="I134" i="56"/>
  <c r="I350" i="56" s="1"/>
  <c r="I337" i="56"/>
  <c r="I339" i="56"/>
  <c r="I341" i="56"/>
  <c r="I345" i="56"/>
  <c r="I347" i="56"/>
  <c r="I141" i="56"/>
  <c r="I150" i="56"/>
  <c r="I338" i="56"/>
  <c r="I340" i="56"/>
  <c r="I344" i="56"/>
  <c r="I348" i="56"/>
  <c r="I354" i="56"/>
  <c r="I449" i="56" s="1"/>
  <c r="H318" i="56"/>
  <c r="H344" i="56"/>
  <c r="H337" i="56"/>
  <c r="H339" i="56"/>
  <c r="H341" i="56"/>
  <c r="H347" i="56"/>
  <c r="H351" i="56"/>
  <c r="H225" i="56"/>
  <c r="H234" i="56"/>
  <c r="H96" i="56" s="1"/>
  <c r="F42" i="56"/>
  <c r="F349" i="56" s="1"/>
  <c r="F352" i="56"/>
  <c r="F313" i="56" s="1"/>
  <c r="F362" i="56"/>
  <c r="F366" i="56"/>
  <c r="F317" i="56"/>
  <c r="F312" i="56"/>
  <c r="F365" i="56"/>
  <c r="F10" i="56"/>
  <c r="F372" i="56"/>
  <c r="F359" i="56"/>
  <c r="F371" i="56"/>
  <c r="F20" i="56"/>
  <c r="F363" i="56"/>
  <c r="F369" i="56"/>
  <c r="F360" i="56"/>
  <c r="F364" i="56"/>
  <c r="F61" i="56"/>
  <c r="I70" i="56"/>
  <c r="H61" i="56"/>
  <c r="F70" i="56"/>
  <c r="I45" i="56"/>
  <c r="H45" i="56"/>
  <c r="I61" i="56"/>
  <c r="F46" i="56"/>
  <c r="H70" i="56"/>
  <c r="F430" i="56" l="1"/>
  <c r="F325" i="56" s="1"/>
  <c r="F68" i="56"/>
  <c r="I430" i="56"/>
  <c r="I325" i="56" s="1"/>
  <c r="I462" i="56"/>
  <c r="I440" i="56" s="1"/>
  <c r="I68" i="56"/>
  <c r="H29" i="56"/>
  <c r="H336" i="56" s="1"/>
  <c r="H361" i="56" s="1"/>
  <c r="I29" i="56"/>
  <c r="I336" i="56" s="1"/>
  <c r="I359" i="56" s="1"/>
  <c r="I353" i="56"/>
  <c r="I319" i="56" s="1"/>
  <c r="H353" i="56"/>
  <c r="H319" i="56" s="1"/>
  <c r="I20" i="56"/>
  <c r="I352" i="56"/>
  <c r="I313" i="56" s="1"/>
  <c r="F353" i="56"/>
  <c r="F319" i="56" s="1"/>
  <c r="H20" i="56"/>
  <c r="H352" i="56"/>
  <c r="H313" i="56" s="1"/>
  <c r="F381" i="56"/>
  <c r="F402" i="56" s="1"/>
  <c r="H430" i="56"/>
  <c r="H325" i="56" s="1"/>
  <c r="H462" i="56"/>
  <c r="H196" i="56"/>
  <c r="H143" i="56"/>
  <c r="I459" i="56"/>
  <c r="I329" i="56" s="1"/>
  <c r="I312" i="56"/>
  <c r="I349" i="56"/>
  <c r="I196" i="56"/>
  <c r="H335" i="56"/>
  <c r="H360" i="56" s="1"/>
  <c r="I164" i="56"/>
  <c r="I185" i="56" s="1"/>
  <c r="H145" i="56"/>
  <c r="I372" i="56"/>
  <c r="I370" i="56"/>
  <c r="I366" i="56"/>
  <c r="I364" i="56"/>
  <c r="I362" i="56"/>
  <c r="I360" i="56"/>
  <c r="I371" i="56"/>
  <c r="I369" i="56"/>
  <c r="I365" i="56"/>
  <c r="I363" i="56"/>
  <c r="H302" i="56"/>
  <c r="I145" i="56"/>
  <c r="I437" i="56"/>
  <c r="I357" i="56"/>
  <c r="I396" i="56"/>
  <c r="I333" i="56"/>
  <c r="H437" i="56"/>
  <c r="H357" i="56"/>
  <c r="H396" i="56"/>
  <c r="H333" i="56"/>
  <c r="I143" i="56"/>
  <c r="H68" i="56"/>
  <c r="I302" i="56"/>
  <c r="H372" i="56"/>
  <c r="H370" i="56"/>
  <c r="H366" i="56"/>
  <c r="H364" i="56"/>
  <c r="H362" i="56"/>
  <c r="H365" i="56"/>
  <c r="H363" i="56"/>
  <c r="H371" i="56"/>
  <c r="H369" i="56"/>
  <c r="H144" i="56"/>
  <c r="I23" i="56"/>
  <c r="I17" i="56" s="1"/>
  <c r="I15" i="56" s="1"/>
  <c r="F462" i="56"/>
  <c r="F440" i="56" s="1"/>
  <c r="F376" i="56"/>
  <c r="F302" i="56"/>
  <c r="F19" i="56"/>
  <c r="F23" i="56"/>
  <c r="F17" i="56" s="1"/>
  <c r="F15" i="56" s="1"/>
  <c r="I330" i="56" l="1"/>
  <c r="I361" i="56"/>
  <c r="I373" i="56"/>
  <c r="I412" i="56"/>
  <c r="H412" i="56"/>
  <c r="H373" i="56"/>
  <c r="F373" i="56"/>
  <c r="F412" i="56"/>
  <c r="H330" i="56"/>
  <c r="H440" i="56"/>
  <c r="F380" i="56"/>
  <c r="F401" i="56" s="1"/>
  <c r="H160" i="56"/>
  <c r="H164" i="56" s="1"/>
  <c r="H185" i="56" s="1"/>
  <c r="H376" i="56"/>
  <c r="I79" i="56"/>
  <c r="I82" i="56" s="1"/>
  <c r="I6" i="56" s="1"/>
  <c r="I69" i="56"/>
  <c r="I65" i="56"/>
  <c r="I501" i="56"/>
  <c r="I493" i="56" s="1"/>
  <c r="I484" i="56"/>
  <c r="I475" i="56"/>
  <c r="H501" i="56"/>
  <c r="H493" i="56" s="1"/>
  <c r="H484" i="56"/>
  <c r="H475" i="56"/>
  <c r="I376" i="56"/>
  <c r="H359" i="56"/>
  <c r="F69" i="56"/>
  <c r="F65" i="56"/>
  <c r="F79" i="56"/>
  <c r="F82" i="56" s="1"/>
  <c r="F6" i="56" s="1"/>
  <c r="F484" i="56"/>
  <c r="F475" i="56"/>
  <c r="F501" i="56"/>
  <c r="F493" i="56" s="1"/>
  <c r="F330" i="56"/>
  <c r="G1" i="37"/>
  <c r="I380" i="56" l="1"/>
  <c r="I401" i="56" s="1"/>
  <c r="H380" i="56"/>
  <c r="H401" i="56" s="1"/>
  <c r="I76" i="56"/>
  <c r="I77" i="56" s="1"/>
  <c r="I73" i="56"/>
  <c r="F76" i="56"/>
  <c r="F77" i="56" s="1"/>
  <c r="F73" i="56"/>
  <c r="I81" i="56" l="1"/>
  <c r="I78" i="56"/>
  <c r="I80" i="56" s="1"/>
  <c r="F81" i="56"/>
  <c r="F78" i="56"/>
  <c r="F80" i="56" s="1"/>
  <c r="I83" i="56" l="1"/>
  <c r="I7" i="56" s="1"/>
  <c r="I8" i="56"/>
  <c r="F8" i="56"/>
  <c r="F83" i="56"/>
  <c r="F7" i="56" s="1"/>
  <c r="G39" i="56" l="1"/>
  <c r="G38" i="56"/>
  <c r="E1" i="53"/>
  <c r="H247" i="37"/>
  <c r="H225" i="37" s="1"/>
  <c r="I1" i="53" l="1"/>
  <c r="H1" i="53" l="1"/>
  <c r="C3" i="53" l="1"/>
  <c r="F303" i="37"/>
  <c r="E89" i="56" l="1"/>
  <c r="E305" i="56" s="1"/>
  <c r="E88" i="56"/>
  <c r="E459" i="56" l="1"/>
  <c r="D459" i="56"/>
  <c r="C459" i="56"/>
  <c r="D454" i="56"/>
  <c r="C449" i="56"/>
  <c r="E432" i="56"/>
  <c r="D432" i="56"/>
  <c r="G431" i="56"/>
  <c r="E429" i="56"/>
  <c r="D429" i="56"/>
  <c r="E428" i="56"/>
  <c r="D428" i="56"/>
  <c r="E427" i="56"/>
  <c r="D427" i="56"/>
  <c r="E426" i="56"/>
  <c r="D426" i="56"/>
  <c r="E423" i="56"/>
  <c r="D423" i="56"/>
  <c r="E422" i="56"/>
  <c r="D422" i="56"/>
  <c r="E421" i="56"/>
  <c r="D421" i="56"/>
  <c r="D420" i="56"/>
  <c r="D419" i="56"/>
  <c r="D418" i="56"/>
  <c r="D416" i="56"/>
  <c r="E391" i="56"/>
  <c r="D391" i="56"/>
  <c r="E390" i="56"/>
  <c r="D390" i="56"/>
  <c r="E389" i="56"/>
  <c r="D389" i="56"/>
  <c r="E388" i="56"/>
  <c r="D388" i="56"/>
  <c r="E387" i="56"/>
  <c r="D387" i="56"/>
  <c r="E384" i="56"/>
  <c r="D384" i="56"/>
  <c r="E383" i="56"/>
  <c r="D383" i="56"/>
  <c r="E382" i="56"/>
  <c r="D382" i="56"/>
  <c r="D379" i="56"/>
  <c r="F379" i="56" s="1"/>
  <c r="F400" i="56" s="1"/>
  <c r="D377" i="56"/>
  <c r="E244" i="56"/>
  <c r="D244" i="56"/>
  <c r="C244" i="56"/>
  <c r="D239" i="56"/>
  <c r="G238" i="56"/>
  <c r="G237" i="56"/>
  <c r="G236" i="56"/>
  <c r="G235" i="56"/>
  <c r="C234" i="56"/>
  <c r="G233" i="56"/>
  <c r="G232" i="56"/>
  <c r="E216" i="56"/>
  <c r="D216" i="56"/>
  <c r="G215" i="56"/>
  <c r="E213" i="56"/>
  <c r="D213" i="56"/>
  <c r="E212" i="56"/>
  <c r="D212" i="56"/>
  <c r="E211" i="56"/>
  <c r="D211" i="56"/>
  <c r="E210" i="56"/>
  <c r="D210" i="56"/>
  <c r="G209" i="56"/>
  <c r="G208" i="56"/>
  <c r="E207" i="56"/>
  <c r="D207" i="56"/>
  <c r="E206" i="56"/>
  <c r="D206" i="56"/>
  <c r="E205" i="56"/>
  <c r="D205" i="56"/>
  <c r="D204" i="56"/>
  <c r="D203" i="56"/>
  <c r="D202" i="56"/>
  <c r="D200" i="56"/>
  <c r="G191" i="56"/>
  <c r="G190" i="56"/>
  <c r="E175" i="56"/>
  <c r="D175" i="56"/>
  <c r="E174" i="56"/>
  <c r="D174" i="56"/>
  <c r="E173" i="56"/>
  <c r="D173" i="56"/>
  <c r="E172" i="56"/>
  <c r="D172" i="56"/>
  <c r="E171" i="56"/>
  <c r="D171" i="56"/>
  <c r="G170" i="56"/>
  <c r="G169" i="56"/>
  <c r="E168" i="56"/>
  <c r="D168" i="56"/>
  <c r="E167" i="56"/>
  <c r="D167" i="56"/>
  <c r="E166" i="56"/>
  <c r="D166" i="56"/>
  <c r="D163" i="56"/>
  <c r="D161" i="56"/>
  <c r="G152" i="56"/>
  <c r="G151" i="56"/>
  <c r="G342" i="56"/>
  <c r="G84" i="56"/>
  <c r="G300" i="56" s="1"/>
  <c r="F417" i="56" l="1"/>
  <c r="F420" i="56" s="1"/>
  <c r="F52" i="56" s="1"/>
  <c r="I171" i="56"/>
  <c r="I192" i="56" s="1"/>
  <c r="I210" i="56" s="1"/>
  <c r="H171" i="56"/>
  <c r="H192" i="56" s="1"/>
  <c r="H210" i="56" s="1"/>
  <c r="I172" i="56"/>
  <c r="I193" i="56" s="1"/>
  <c r="I211" i="56" s="1"/>
  <c r="H172" i="56"/>
  <c r="H193" i="56" s="1"/>
  <c r="H211" i="56" s="1"/>
  <c r="H432" i="56"/>
  <c r="I432" i="56"/>
  <c r="F432" i="56"/>
  <c r="F60" i="56" s="1"/>
  <c r="I161" i="56"/>
  <c r="I183" i="56" s="1"/>
  <c r="H161" i="56"/>
  <c r="H183" i="56" s="1"/>
  <c r="F389" i="56"/>
  <c r="F410" i="56" s="1"/>
  <c r="F428" i="56" s="1"/>
  <c r="I389" i="56"/>
  <c r="I410" i="56" s="1"/>
  <c r="I428" i="56" s="1"/>
  <c r="H389" i="56"/>
  <c r="H410" i="56" s="1"/>
  <c r="H428" i="56" s="1"/>
  <c r="F382" i="56"/>
  <c r="F403" i="56" s="1"/>
  <c r="H382" i="56"/>
  <c r="H403" i="56" s="1"/>
  <c r="I382" i="56"/>
  <c r="I403" i="56" s="1"/>
  <c r="F391" i="56"/>
  <c r="I391" i="56"/>
  <c r="H391" i="56"/>
  <c r="F388" i="56"/>
  <c r="F409" i="56" s="1"/>
  <c r="F427" i="56" s="1"/>
  <c r="H388" i="56"/>
  <c r="H409" i="56" s="1"/>
  <c r="H427" i="56" s="1"/>
  <c r="I388" i="56"/>
  <c r="I409" i="56" s="1"/>
  <c r="I427" i="56" s="1"/>
  <c r="F390" i="56"/>
  <c r="F411" i="56" s="1"/>
  <c r="F429" i="56" s="1"/>
  <c r="F59" i="56" s="1"/>
  <c r="H390" i="56"/>
  <c r="H411" i="56" s="1"/>
  <c r="H429" i="56" s="1"/>
  <c r="I390" i="56"/>
  <c r="I411" i="56" s="1"/>
  <c r="I429" i="56" s="1"/>
  <c r="F377" i="56"/>
  <c r="I377" i="56"/>
  <c r="I399" i="56" s="1"/>
  <c r="H377" i="56"/>
  <c r="H399" i="56" s="1"/>
  <c r="I166" i="56"/>
  <c r="I187" i="56" s="1"/>
  <c r="H166" i="56"/>
  <c r="H187" i="56" s="1"/>
  <c r="I173" i="56"/>
  <c r="I194" i="56" s="1"/>
  <c r="I212" i="56" s="1"/>
  <c r="H173" i="56"/>
  <c r="H194" i="56" s="1"/>
  <c r="H212" i="56" s="1"/>
  <c r="F383" i="56"/>
  <c r="F404" i="56" s="1"/>
  <c r="F422" i="56" s="1"/>
  <c r="F54" i="56" s="1"/>
  <c r="I383" i="56"/>
  <c r="I404" i="56" s="1"/>
  <c r="I422" i="56" s="1"/>
  <c r="H383" i="56"/>
  <c r="H404" i="56" s="1"/>
  <c r="H422" i="56" s="1"/>
  <c r="H174" i="56"/>
  <c r="H195" i="56" s="1"/>
  <c r="H213" i="56" s="1"/>
  <c r="I174" i="56"/>
  <c r="I195" i="56" s="1"/>
  <c r="I213" i="56" s="1"/>
  <c r="F384" i="56"/>
  <c r="F405" i="56" s="1"/>
  <c r="F423" i="56" s="1"/>
  <c r="F55" i="56" s="1"/>
  <c r="I384" i="56"/>
  <c r="I405" i="56" s="1"/>
  <c r="I423" i="56" s="1"/>
  <c r="H384" i="56"/>
  <c r="H405" i="56" s="1"/>
  <c r="H423" i="56" s="1"/>
  <c r="H168" i="56"/>
  <c r="H189" i="56" s="1"/>
  <c r="H207" i="56" s="1"/>
  <c r="I168" i="56"/>
  <c r="I189" i="56" s="1"/>
  <c r="I207" i="56" s="1"/>
  <c r="I175" i="56"/>
  <c r="H175" i="56"/>
  <c r="H167" i="56"/>
  <c r="H188" i="56" s="1"/>
  <c r="H206" i="56" s="1"/>
  <c r="I167" i="56"/>
  <c r="I188" i="56" s="1"/>
  <c r="I206" i="56" s="1"/>
  <c r="I216" i="56"/>
  <c r="H216" i="56"/>
  <c r="F387" i="56"/>
  <c r="F408" i="56" s="1"/>
  <c r="F426" i="56" s="1"/>
  <c r="F56" i="56" s="1"/>
  <c r="H387" i="56"/>
  <c r="H408" i="56" s="1"/>
  <c r="H426" i="56" s="1"/>
  <c r="I387" i="56"/>
  <c r="I408" i="56" s="1"/>
  <c r="I426" i="56" s="1"/>
  <c r="G70" i="56"/>
  <c r="G61" i="56"/>
  <c r="G353" i="56"/>
  <c r="G46" i="56"/>
  <c r="G45" i="56"/>
  <c r="G352" i="56"/>
  <c r="G127" i="56"/>
  <c r="G131" i="56"/>
  <c r="G124" i="56"/>
  <c r="G128" i="56"/>
  <c r="G132" i="56"/>
  <c r="G101" i="56"/>
  <c r="G136" i="56"/>
  <c r="G138" i="56"/>
  <c r="G109" i="56"/>
  <c r="G94" i="56"/>
  <c r="G343" i="56"/>
  <c r="G102" i="56"/>
  <c r="G123" i="56"/>
  <c r="G135" i="56"/>
  <c r="G247" i="56"/>
  <c r="G100" i="56"/>
  <c r="E443" i="56"/>
  <c r="E228" i="56"/>
  <c r="E304" i="56"/>
  <c r="F304" i="56" s="1"/>
  <c r="E227" i="56"/>
  <c r="D230" i="56" s="1"/>
  <c r="D240" i="56" s="1"/>
  <c r="G103" i="56"/>
  <c r="G122" i="56"/>
  <c r="G126" i="56"/>
  <c r="G130" i="56"/>
  <c r="G121" i="56"/>
  <c r="G125" i="56"/>
  <c r="G129" i="56"/>
  <c r="G137" i="56"/>
  <c r="G214" i="56"/>
  <c r="K93" i="9"/>
  <c r="E241" i="56" l="1"/>
  <c r="D231" i="56"/>
  <c r="D241" i="56" s="1"/>
  <c r="E456" i="56"/>
  <c r="D446" i="56"/>
  <c r="D456" i="56" s="1"/>
  <c r="H56" i="56"/>
  <c r="I56" i="56"/>
  <c r="H54" i="56"/>
  <c r="I54" i="56"/>
  <c r="H60" i="56"/>
  <c r="I60" i="56"/>
  <c r="H95" i="56"/>
  <c r="H205" i="56"/>
  <c r="H108" i="56" s="1"/>
  <c r="I205" i="56"/>
  <c r="I108" i="56" s="1"/>
  <c r="I95" i="56"/>
  <c r="F333" i="56"/>
  <c r="F396" i="56"/>
  <c r="F437" i="56"/>
  <c r="F357" i="56"/>
  <c r="H55" i="56"/>
  <c r="I421" i="56"/>
  <c r="I311" i="56"/>
  <c r="I55" i="56"/>
  <c r="H421" i="56"/>
  <c r="H311" i="56"/>
  <c r="F399" i="56"/>
  <c r="F392" i="56"/>
  <c r="F421" i="56"/>
  <c r="F311" i="56"/>
  <c r="I59" i="56"/>
  <c r="H59" i="56"/>
  <c r="F418" i="56"/>
  <c r="F50" i="56" s="1"/>
  <c r="G462" i="56"/>
  <c r="G319" i="56"/>
  <c r="E442" i="56"/>
  <c r="D445" i="56" s="1"/>
  <c r="D455" i="56" s="1"/>
  <c r="G114" i="56"/>
  <c r="G119" i="56"/>
  <c r="G156" i="56"/>
  <c r="G155" i="56"/>
  <c r="G147" i="56"/>
  <c r="G143" i="56"/>
  <c r="G330" i="56"/>
  <c r="G173" i="56"/>
  <c r="G174" i="56"/>
  <c r="I324" i="56" l="1"/>
  <c r="I53" i="56"/>
  <c r="F415" i="56"/>
  <c r="F419" i="56" s="1"/>
  <c r="F51" i="56" s="1"/>
  <c r="F53" i="56"/>
  <c r="F324" i="56"/>
  <c r="H53" i="56"/>
  <c r="H324" i="56"/>
  <c r="F18" i="56"/>
  <c r="F315" i="56"/>
  <c r="F314" i="56" s="1"/>
  <c r="F309" i="56" s="1"/>
  <c r="F398" i="56" s="1"/>
  <c r="H274" i="56"/>
  <c r="H272" i="56"/>
  <c r="H270" i="56"/>
  <c r="H265" i="56"/>
  <c r="H263" i="56"/>
  <c r="H261" i="56"/>
  <c r="I273" i="56"/>
  <c r="I271" i="56"/>
  <c r="I264" i="56"/>
  <c r="I262" i="56"/>
  <c r="H273" i="56"/>
  <c r="H271" i="56"/>
  <c r="H264" i="56"/>
  <c r="H262" i="56"/>
  <c r="I270" i="56"/>
  <c r="I261" i="56"/>
  <c r="I274" i="56"/>
  <c r="I265" i="56"/>
  <c r="I263" i="56"/>
  <c r="I272" i="56"/>
  <c r="F273" i="56"/>
  <c r="F265" i="56"/>
  <c r="F272" i="56"/>
  <c r="F264" i="56"/>
  <c r="F271" i="56"/>
  <c r="F263" i="56"/>
  <c r="F274" i="56"/>
  <c r="F262" i="56"/>
  <c r="F261" i="56"/>
  <c r="F270" i="56"/>
  <c r="A2" i="56"/>
  <c r="G145" i="56"/>
  <c r="G234" i="56"/>
  <c r="G244" i="56" s="1"/>
  <c r="G134" i="56"/>
  <c r="G346" i="56"/>
  <c r="G175" i="56"/>
  <c r="G157" i="56"/>
  <c r="G154" i="56"/>
  <c r="G345" i="56"/>
  <c r="G28" i="56"/>
  <c r="G144" i="56"/>
  <c r="G212" i="56"/>
  <c r="G194" i="56"/>
  <c r="G153" i="56"/>
  <c r="G150" i="56"/>
  <c r="G213" i="56"/>
  <c r="G195" i="56"/>
  <c r="G148" i="56"/>
  <c r="G149" i="56"/>
  <c r="G146" i="56"/>
  <c r="G120" i="56"/>
  <c r="G225" i="37"/>
  <c r="G440" i="37" s="1"/>
  <c r="H244" i="56" l="1"/>
  <c r="H113" i="56" s="1"/>
  <c r="G113" i="56" s="1"/>
  <c r="F416" i="56"/>
  <c r="F433" i="56" s="1"/>
  <c r="F434" i="56" s="1"/>
  <c r="I266" i="56"/>
  <c r="I267" i="56" s="1"/>
  <c r="H266" i="56"/>
  <c r="H267" i="56" s="1"/>
  <c r="I275" i="56"/>
  <c r="I276" i="56" s="1"/>
  <c r="I162" i="56" s="1"/>
  <c r="I165" i="56" s="1"/>
  <c r="I186" i="56" s="1"/>
  <c r="H275" i="56"/>
  <c r="H276" i="56" s="1"/>
  <c r="H162" i="56" s="1"/>
  <c r="H165" i="56" s="1"/>
  <c r="H186" i="56" s="1"/>
  <c r="F275" i="56"/>
  <c r="F276" i="56" s="1"/>
  <c r="F266" i="56"/>
  <c r="F267" i="56" s="1"/>
  <c r="G388" i="56"/>
  <c r="G370" i="56"/>
  <c r="G161" i="56"/>
  <c r="G167" i="56"/>
  <c r="G168" i="56"/>
  <c r="G389" i="56"/>
  <c r="G172" i="56"/>
  <c r="G171" i="56"/>
  <c r="G166" i="56"/>
  <c r="G371" i="56"/>
  <c r="I247" i="37"/>
  <c r="I225" i="37" s="1"/>
  <c r="H114" i="37"/>
  <c r="I214" i="37"/>
  <c r="H214" i="37"/>
  <c r="I138" i="37"/>
  <c r="H138" i="37"/>
  <c r="I137" i="37"/>
  <c r="I103" i="37" s="1"/>
  <c r="H137" i="37"/>
  <c r="I136" i="37"/>
  <c r="H136" i="37"/>
  <c r="H97" i="37" s="1"/>
  <c r="I135" i="37"/>
  <c r="H135" i="37"/>
  <c r="I132" i="37"/>
  <c r="H132" i="37"/>
  <c r="I131" i="37"/>
  <c r="H131" i="37"/>
  <c r="I130" i="37"/>
  <c r="I346" i="37" s="1"/>
  <c r="H130" i="37"/>
  <c r="I129" i="37"/>
  <c r="H129" i="37"/>
  <c r="H345" i="37" s="1"/>
  <c r="I128" i="37"/>
  <c r="H128" i="37"/>
  <c r="I127" i="37"/>
  <c r="I343" i="37" s="1"/>
  <c r="H127" i="37"/>
  <c r="H343" i="37" s="1"/>
  <c r="I126" i="37"/>
  <c r="I342" i="37" s="1"/>
  <c r="H126" i="37"/>
  <c r="H342" i="37" s="1"/>
  <c r="I125" i="37"/>
  <c r="H125" i="37"/>
  <c r="I124" i="37"/>
  <c r="H124" i="37"/>
  <c r="I123" i="37"/>
  <c r="H123" i="37"/>
  <c r="I122" i="37"/>
  <c r="H122" i="37"/>
  <c r="I121" i="37"/>
  <c r="H121" i="37"/>
  <c r="I102" i="37"/>
  <c r="H102" i="37"/>
  <c r="H133" i="37" s="1"/>
  <c r="I101" i="37"/>
  <c r="H101" i="37"/>
  <c r="H134" i="37" s="1"/>
  <c r="I100" i="37"/>
  <c r="H100" i="37"/>
  <c r="I94" i="37"/>
  <c r="H94" i="37"/>
  <c r="I92" i="37"/>
  <c r="I14" i="37" s="1"/>
  <c r="I308" i="37" s="1"/>
  <c r="H92" i="37"/>
  <c r="H14" i="37" s="1"/>
  <c r="H308" i="37" s="1"/>
  <c r="I91" i="37"/>
  <c r="I13" i="37" s="1"/>
  <c r="I307" i="37" s="1"/>
  <c r="H91" i="37"/>
  <c r="H13" i="37" s="1"/>
  <c r="H307" i="37" s="1"/>
  <c r="I90" i="37"/>
  <c r="H90" i="37"/>
  <c r="I89" i="37"/>
  <c r="H89" i="37"/>
  <c r="E89" i="37"/>
  <c r="E305" i="37" s="1"/>
  <c r="I88" i="37"/>
  <c r="H88" i="37"/>
  <c r="H117" i="37" s="1"/>
  <c r="E88" i="37"/>
  <c r="E227" i="37" s="1"/>
  <c r="D230" i="37" s="1"/>
  <c r="D240" i="37" s="1"/>
  <c r="I87" i="37"/>
  <c r="I11" i="37" s="1"/>
  <c r="I303" i="37" s="1"/>
  <c r="H87" i="37"/>
  <c r="I86" i="37"/>
  <c r="H86" i="37"/>
  <c r="H269" i="37" s="1"/>
  <c r="G84" i="37"/>
  <c r="G300" i="37" s="1"/>
  <c r="E459" i="37"/>
  <c r="D459" i="37"/>
  <c r="C459" i="37"/>
  <c r="D454" i="37"/>
  <c r="C449" i="37"/>
  <c r="E432" i="37"/>
  <c r="D432" i="37"/>
  <c r="G431" i="37"/>
  <c r="E429" i="37"/>
  <c r="D429" i="37"/>
  <c r="E428" i="37"/>
  <c r="D428" i="37"/>
  <c r="E427" i="37"/>
  <c r="D427" i="37"/>
  <c r="E426" i="37"/>
  <c r="D426" i="37"/>
  <c r="E423" i="37"/>
  <c r="D423" i="37"/>
  <c r="E422" i="37"/>
  <c r="D422" i="37"/>
  <c r="E421" i="37"/>
  <c r="D421" i="37"/>
  <c r="D420" i="37"/>
  <c r="D419" i="37"/>
  <c r="D418" i="37"/>
  <c r="D416" i="37"/>
  <c r="E391" i="37"/>
  <c r="D391" i="37"/>
  <c r="E390" i="37"/>
  <c r="D390" i="37"/>
  <c r="E389" i="37"/>
  <c r="D389" i="37"/>
  <c r="E388" i="37"/>
  <c r="D388" i="37"/>
  <c r="E387" i="37"/>
  <c r="D387" i="37"/>
  <c r="E384" i="37"/>
  <c r="D384" i="37"/>
  <c r="E383" i="37"/>
  <c r="D383" i="37"/>
  <c r="E382" i="37"/>
  <c r="D382" i="37"/>
  <c r="D379" i="37"/>
  <c r="D377" i="37"/>
  <c r="F346" i="37"/>
  <c r="F345" i="37"/>
  <c r="F343" i="37"/>
  <c r="F342" i="37"/>
  <c r="F308" i="37"/>
  <c r="F307" i="37"/>
  <c r="F306" i="37"/>
  <c r="F286" i="37"/>
  <c r="F278" i="37" s="1"/>
  <c r="F269" i="37"/>
  <c r="F260" i="37"/>
  <c r="E244" i="37"/>
  <c r="D244" i="37"/>
  <c r="C244" i="37"/>
  <c r="D239" i="37"/>
  <c r="G238" i="37"/>
  <c r="G237" i="37"/>
  <c r="G236" i="37"/>
  <c r="G235" i="37"/>
  <c r="C234" i="37"/>
  <c r="G233" i="37"/>
  <c r="G232" i="37"/>
  <c r="E216" i="37"/>
  <c r="D216" i="37"/>
  <c r="G215" i="37"/>
  <c r="E213" i="37"/>
  <c r="D213" i="37"/>
  <c r="E212" i="37"/>
  <c r="D212" i="37"/>
  <c r="E211" i="37"/>
  <c r="D211" i="37"/>
  <c r="E210" i="37"/>
  <c r="D210" i="37"/>
  <c r="G209" i="37"/>
  <c r="G208" i="37"/>
  <c r="E207" i="37"/>
  <c r="D207" i="37"/>
  <c r="E206" i="37"/>
  <c r="D206" i="37"/>
  <c r="E205" i="37"/>
  <c r="D205" i="37"/>
  <c r="D204" i="37"/>
  <c r="D203" i="37"/>
  <c r="D202" i="37"/>
  <c r="D200" i="37"/>
  <c r="G191" i="37"/>
  <c r="G190" i="37"/>
  <c r="E175" i="37"/>
  <c r="D175" i="37"/>
  <c r="E174" i="37"/>
  <c r="D174" i="37"/>
  <c r="E173" i="37"/>
  <c r="D173" i="37"/>
  <c r="E172" i="37"/>
  <c r="D172" i="37"/>
  <c r="E171" i="37"/>
  <c r="D171" i="37"/>
  <c r="G170" i="37"/>
  <c r="G169" i="37"/>
  <c r="E168" i="37"/>
  <c r="D168" i="37"/>
  <c r="E167" i="37"/>
  <c r="D167" i="37"/>
  <c r="E166" i="37"/>
  <c r="D166" i="37"/>
  <c r="D163" i="37"/>
  <c r="D161" i="37"/>
  <c r="G152" i="37"/>
  <c r="G151" i="37"/>
  <c r="F47" i="37"/>
  <c r="F354" i="37" s="1"/>
  <c r="F449" i="37" s="1"/>
  <c r="F44" i="37"/>
  <c r="F351" i="37" s="1"/>
  <c r="F41" i="37"/>
  <c r="F348" i="37" s="1"/>
  <c r="F40" i="37"/>
  <c r="F347" i="37" s="1"/>
  <c r="G39" i="37"/>
  <c r="G38" i="37"/>
  <c r="F37" i="37"/>
  <c r="F344" i="37" s="1"/>
  <c r="F34" i="37"/>
  <c r="F341" i="37" s="1"/>
  <c r="F33" i="37"/>
  <c r="F340" i="37" s="1"/>
  <c r="F32" i="37"/>
  <c r="F339" i="37" s="1"/>
  <c r="F31" i="37"/>
  <c r="F338" i="37" s="1"/>
  <c r="F30" i="37"/>
  <c r="F337" i="37" s="1"/>
  <c r="F29" i="37"/>
  <c r="F336" i="37" s="1"/>
  <c r="F28" i="37"/>
  <c r="F335" i="37" s="1"/>
  <c r="F26" i="37"/>
  <c r="F318" i="37" s="1"/>
  <c r="F25" i="37"/>
  <c r="F317" i="37" s="1"/>
  <c r="F24" i="37"/>
  <c r="F316" i="37" s="1"/>
  <c r="F16" i="37"/>
  <c r="F305" i="37"/>
  <c r="I3" i="37"/>
  <c r="H3" i="37"/>
  <c r="F3" i="37"/>
  <c r="I47" i="37"/>
  <c r="H45" i="37"/>
  <c r="H46" i="37"/>
  <c r="F46" i="37"/>
  <c r="I61" i="37"/>
  <c r="I153" i="37" l="1"/>
  <c r="I171" i="37" s="1"/>
  <c r="I192" i="37" s="1"/>
  <c r="I210" i="37" s="1"/>
  <c r="E228" i="37"/>
  <c r="D231" i="37" s="1"/>
  <c r="E443" i="37"/>
  <c r="H122" i="53"/>
  <c r="G186" i="56"/>
  <c r="I122" i="53"/>
  <c r="F466" i="56"/>
  <c r="F469" i="56" s="1"/>
  <c r="F439" i="56"/>
  <c r="F444" i="56" s="1"/>
  <c r="F323" i="56"/>
  <c r="F322" i="56" s="1"/>
  <c r="F321" i="56" s="1"/>
  <c r="F49" i="56"/>
  <c r="F63" i="56" s="1"/>
  <c r="F64" i="56" s="1"/>
  <c r="H163" i="56"/>
  <c r="H176" i="56" s="1"/>
  <c r="H99" i="56" s="1"/>
  <c r="H98" i="56" s="1"/>
  <c r="H93" i="56" s="1"/>
  <c r="I163" i="56"/>
  <c r="I184" i="56" s="1"/>
  <c r="F353" i="37"/>
  <c r="F319" i="37" s="1"/>
  <c r="F10" i="37"/>
  <c r="F302" i="37" s="1"/>
  <c r="H12" i="37"/>
  <c r="H306" i="37" s="1"/>
  <c r="H370" i="37" s="1"/>
  <c r="I430" i="37"/>
  <c r="I325" i="37" s="1"/>
  <c r="I97" i="37"/>
  <c r="G128" i="37"/>
  <c r="G132" i="37"/>
  <c r="I12" i="37"/>
  <c r="I306" i="37" s="1"/>
  <c r="I371" i="37" s="1"/>
  <c r="I389" i="37" s="1"/>
  <c r="I410" i="37" s="1"/>
  <c r="I428" i="37" s="1"/>
  <c r="I119" i="37"/>
  <c r="I144" i="37" s="1"/>
  <c r="I149" i="37"/>
  <c r="I167" i="37" s="1"/>
  <c r="I188" i="37" s="1"/>
  <c r="I206" i="37" s="1"/>
  <c r="I154" i="37"/>
  <c r="I172" i="37" s="1"/>
  <c r="I193" i="37" s="1"/>
  <c r="I211" i="37" s="1"/>
  <c r="I114" i="37"/>
  <c r="G114" i="37" s="1"/>
  <c r="G100" i="37"/>
  <c r="G124" i="37"/>
  <c r="G121" i="37"/>
  <c r="G125" i="37"/>
  <c r="H157" i="37"/>
  <c r="H175" i="37" s="1"/>
  <c r="G137" i="37"/>
  <c r="H180" i="37"/>
  <c r="H304" i="37"/>
  <c r="H121" i="53" s="1"/>
  <c r="I222" i="37"/>
  <c r="I304" i="37"/>
  <c r="I121" i="53" s="1"/>
  <c r="F310" i="37"/>
  <c r="G185" i="56"/>
  <c r="G360" i="56"/>
  <c r="G164" i="56"/>
  <c r="G335" i="56"/>
  <c r="G183" i="56"/>
  <c r="G192" i="56"/>
  <c r="G210" i="56"/>
  <c r="G428" i="56"/>
  <c r="G410" i="56"/>
  <c r="G187" i="56"/>
  <c r="G211" i="56"/>
  <c r="G193" i="56"/>
  <c r="G188" i="56"/>
  <c r="G206" i="56"/>
  <c r="G427" i="56"/>
  <c r="G409" i="56"/>
  <c r="G207" i="56"/>
  <c r="G189" i="56"/>
  <c r="I109" i="37"/>
  <c r="E304" i="37"/>
  <c r="F304" i="37" s="1"/>
  <c r="H222" i="37"/>
  <c r="H5" i="37"/>
  <c r="H3" i="53" s="1"/>
  <c r="H103" i="37"/>
  <c r="G103" i="37" s="1"/>
  <c r="H286" i="37"/>
  <c r="H278" i="37" s="1"/>
  <c r="G129" i="37"/>
  <c r="G214" i="37"/>
  <c r="H109" i="37"/>
  <c r="F42" i="37"/>
  <c r="F349" i="37" s="1"/>
  <c r="F43" i="37"/>
  <c r="F350" i="37" s="1"/>
  <c r="F359" i="37"/>
  <c r="H148" i="37"/>
  <c r="H156" i="37"/>
  <c r="I28" i="37"/>
  <c r="G94" i="37"/>
  <c r="I117" i="37"/>
  <c r="I134" i="37"/>
  <c r="G136" i="37"/>
  <c r="I354" i="37"/>
  <c r="I449" i="37" s="1"/>
  <c r="I234" i="37"/>
  <c r="H147" i="37"/>
  <c r="I148" i="37"/>
  <c r="I166" i="37" s="1"/>
  <c r="I187" i="37" s="1"/>
  <c r="H155" i="37"/>
  <c r="I156" i="37"/>
  <c r="I174" i="37" s="1"/>
  <c r="I195" i="37" s="1"/>
  <c r="I213" i="37" s="1"/>
  <c r="I180" i="37"/>
  <c r="H260" i="37"/>
  <c r="H346" i="37"/>
  <c r="I157" i="37"/>
  <c r="I175" i="37" s="1"/>
  <c r="H11" i="37"/>
  <c r="H303" i="37" s="1"/>
  <c r="F459" i="37"/>
  <c r="F329" i="37" s="1"/>
  <c r="F312" i="37"/>
  <c r="G102" i="37"/>
  <c r="H120" i="37"/>
  <c r="H145" i="37" s="1"/>
  <c r="G123" i="37"/>
  <c r="G127" i="37"/>
  <c r="I345" i="37"/>
  <c r="G131" i="37"/>
  <c r="H196" i="37"/>
  <c r="I133" i="37"/>
  <c r="G135" i="37"/>
  <c r="H141" i="37"/>
  <c r="H146" i="37"/>
  <c r="I147" i="37"/>
  <c r="H150" i="37"/>
  <c r="H154" i="37"/>
  <c r="I155" i="37"/>
  <c r="I173" i="37" s="1"/>
  <c r="I194" i="37" s="1"/>
  <c r="I212" i="37" s="1"/>
  <c r="H234" i="37"/>
  <c r="I5" i="37"/>
  <c r="I3" i="53" s="1"/>
  <c r="I286" i="37"/>
  <c r="I278" i="37" s="1"/>
  <c r="I269" i="37"/>
  <c r="I260" i="37"/>
  <c r="G101" i="37"/>
  <c r="H119" i="37"/>
  <c r="I120" i="37"/>
  <c r="G122" i="37"/>
  <c r="G126" i="37"/>
  <c r="G130" i="37"/>
  <c r="G138" i="37"/>
  <c r="I141" i="37"/>
  <c r="I146" i="37"/>
  <c r="H149" i="37"/>
  <c r="I150" i="37"/>
  <c r="I168" i="37" s="1"/>
  <c r="I189" i="37" s="1"/>
  <c r="I207" i="37" s="1"/>
  <c r="H153" i="37"/>
  <c r="G247" i="37"/>
  <c r="F372" i="37"/>
  <c r="F390" i="37" s="1"/>
  <c r="F411" i="37" s="1"/>
  <c r="F429" i="37" s="1"/>
  <c r="F59" i="37" s="1"/>
  <c r="F371" i="37"/>
  <c r="F389" i="37" s="1"/>
  <c r="F410" i="37" s="1"/>
  <c r="F428" i="37" s="1"/>
  <c r="F370" i="37"/>
  <c r="F388" i="37" s="1"/>
  <c r="F409" i="37" s="1"/>
  <c r="F427" i="37" s="1"/>
  <c r="F369" i="37"/>
  <c r="F387" i="37" s="1"/>
  <c r="F408" i="37" s="1"/>
  <c r="F426" i="37" s="1"/>
  <c r="F56" i="37" s="1"/>
  <c r="F366" i="37"/>
  <c r="F384" i="37" s="1"/>
  <c r="F405" i="37" s="1"/>
  <c r="F423" i="37" s="1"/>
  <c r="F55" i="37" s="1"/>
  <c r="F365" i="37"/>
  <c r="F383" i="37" s="1"/>
  <c r="F404" i="37" s="1"/>
  <c r="F422" i="37" s="1"/>
  <c r="F54" i="37" s="1"/>
  <c r="F364" i="37"/>
  <c r="F382" i="37" s="1"/>
  <c r="F403" i="37" s="1"/>
  <c r="F363" i="37"/>
  <c r="F362" i="37"/>
  <c r="F361" i="37"/>
  <c r="F360" i="37"/>
  <c r="I44" i="37"/>
  <c r="I25" i="37"/>
  <c r="I30" i="37"/>
  <c r="I41" i="37"/>
  <c r="I37" i="37"/>
  <c r="I40" i="37"/>
  <c r="I10" i="37"/>
  <c r="I4" i="37"/>
  <c r="I16" i="37"/>
  <c r="I31" i="37"/>
  <c r="I26" i="37"/>
  <c r="I32" i="37"/>
  <c r="I34" i="37"/>
  <c r="I24" i="37"/>
  <c r="I33" i="37"/>
  <c r="H10" i="37"/>
  <c r="H4" i="37"/>
  <c r="F61" i="37"/>
  <c r="F70" i="37"/>
  <c r="I45" i="37"/>
  <c r="H70" i="37"/>
  <c r="I70" i="37"/>
  <c r="H61" i="37"/>
  <c r="I46" i="37"/>
  <c r="F45" i="37"/>
  <c r="H462" i="37" l="1"/>
  <c r="H440" i="37" s="1"/>
  <c r="I353" i="37"/>
  <c r="I319" i="37" s="1"/>
  <c r="I462" i="37"/>
  <c r="I440" i="37" s="1"/>
  <c r="G70" i="37"/>
  <c r="E241" i="37"/>
  <c r="D241" i="37"/>
  <c r="E456" i="37"/>
  <c r="D446" i="37"/>
  <c r="D456" i="37" s="1"/>
  <c r="I341" i="37"/>
  <c r="I366" i="37" s="1"/>
  <c r="I384" i="37" s="1"/>
  <c r="I405" i="37" s="1"/>
  <c r="I316" i="37"/>
  <c r="I340" i="37"/>
  <c r="I365" i="37" s="1"/>
  <c r="I383" i="37" s="1"/>
  <c r="I404" i="37" s="1"/>
  <c r="I422" i="37" s="1"/>
  <c r="I54" i="37" s="1"/>
  <c r="I339" i="37"/>
  <c r="I364" i="37" s="1"/>
  <c r="I382" i="37" s="1"/>
  <c r="I403" i="37" s="1"/>
  <c r="I421" i="37" s="1"/>
  <c r="I351" i="37"/>
  <c r="I338" i="37"/>
  <c r="I363" i="37" s="1"/>
  <c r="I337" i="37"/>
  <c r="I362" i="37" s="1"/>
  <c r="I347" i="37"/>
  <c r="I372" i="37" s="1"/>
  <c r="I390" i="37" s="1"/>
  <c r="I411" i="37" s="1"/>
  <c r="I429" i="37" s="1"/>
  <c r="I59" i="37" s="1"/>
  <c r="I43" i="37"/>
  <c r="I350" i="37" s="1"/>
  <c r="I317" i="37"/>
  <c r="I302" i="37"/>
  <c r="I501" i="37" s="1"/>
  <c r="I493" i="37" s="1"/>
  <c r="I305" i="37"/>
  <c r="I348" i="37"/>
  <c r="I42" i="37"/>
  <c r="I349" i="37" s="1"/>
  <c r="I318" i="37"/>
  <c r="I344" i="37"/>
  <c r="I369" i="37" s="1"/>
  <c r="I387" i="37" s="1"/>
  <c r="I408" i="37" s="1"/>
  <c r="I426" i="37" s="1"/>
  <c r="I56" i="37" s="1"/>
  <c r="I310" i="37"/>
  <c r="I123" i="53"/>
  <c r="F462" i="37"/>
  <c r="F440" i="37" s="1"/>
  <c r="H184" i="56"/>
  <c r="F454" i="56"/>
  <c r="F446" i="56"/>
  <c r="F445" i="56"/>
  <c r="F455" i="56" s="1"/>
  <c r="H305" i="37"/>
  <c r="H123" i="53"/>
  <c r="I20" i="37"/>
  <c r="I29" i="37"/>
  <c r="I336" i="37" s="1"/>
  <c r="I361" i="37" s="1"/>
  <c r="I352" i="37"/>
  <c r="I313" i="37" s="1"/>
  <c r="G45" i="37"/>
  <c r="H430" i="37"/>
  <c r="H325" i="37" s="1"/>
  <c r="F352" i="37"/>
  <c r="F313" i="37" s="1"/>
  <c r="F20" i="37"/>
  <c r="F430" i="37"/>
  <c r="F325" i="37" s="1"/>
  <c r="I176" i="56"/>
  <c r="I99" i="56" s="1"/>
  <c r="I98" i="56" s="1"/>
  <c r="I93" i="56" s="1"/>
  <c r="I182" i="56" s="1"/>
  <c r="H182" i="56"/>
  <c r="F475" i="37"/>
  <c r="F501" i="37"/>
  <c r="F493" i="37" s="1"/>
  <c r="F484" i="37"/>
  <c r="F68" i="37"/>
  <c r="F19" i="37"/>
  <c r="F23" i="37"/>
  <c r="F17" i="37" s="1"/>
  <c r="F15" i="37" s="1"/>
  <c r="H371" i="37"/>
  <c r="H389" i="37" s="1"/>
  <c r="G389" i="37" s="1"/>
  <c r="A2" i="37"/>
  <c r="I335" i="37"/>
  <c r="I360" i="37" s="1"/>
  <c r="I376" i="37" s="1"/>
  <c r="I377" i="37" s="1"/>
  <c r="I143" i="37"/>
  <c r="I370" i="37"/>
  <c r="I388" i="37" s="1"/>
  <c r="I409" i="37" s="1"/>
  <c r="I427" i="37" s="1"/>
  <c r="H437" i="37"/>
  <c r="H357" i="37"/>
  <c r="A2" i="53"/>
  <c r="H396" i="37"/>
  <c r="H333" i="37"/>
  <c r="H143" i="37"/>
  <c r="G109" i="37"/>
  <c r="E442" i="37"/>
  <c r="D445" i="37" s="1"/>
  <c r="D455" i="37" s="1"/>
  <c r="G165" i="56"/>
  <c r="G163" i="56"/>
  <c r="G377" i="56"/>
  <c r="G205" i="56"/>
  <c r="H144" i="37"/>
  <c r="H160" i="37" s="1"/>
  <c r="G345" i="37"/>
  <c r="G157" i="37"/>
  <c r="F421" i="37"/>
  <c r="I160" i="37"/>
  <c r="I161" i="37" s="1"/>
  <c r="F378" i="37"/>
  <c r="F381" i="37" s="1"/>
  <c r="F402" i="37" s="1"/>
  <c r="H167" i="37"/>
  <c r="G149" i="37"/>
  <c r="G234" i="37"/>
  <c r="G244" i="37" s="1"/>
  <c r="H96" i="37"/>
  <c r="H168" i="37"/>
  <c r="G150" i="37"/>
  <c r="G120" i="37"/>
  <c r="G155" i="37"/>
  <c r="H173" i="37"/>
  <c r="I96" i="37"/>
  <c r="I244" i="37"/>
  <c r="I113" i="37" s="1"/>
  <c r="G175" i="37"/>
  <c r="I145" i="37"/>
  <c r="G145" i="37" s="1"/>
  <c r="I396" i="37"/>
  <c r="I437" i="37"/>
  <c r="I357" i="37"/>
  <c r="I333" i="37"/>
  <c r="H216" i="37"/>
  <c r="I459" i="37"/>
  <c r="I329" i="37" s="1"/>
  <c r="I312" i="37"/>
  <c r="G156" i="37"/>
  <c r="H174" i="37"/>
  <c r="I196" i="37"/>
  <c r="I216" i="37" s="1"/>
  <c r="F376" i="37"/>
  <c r="F377" i="37" s="1"/>
  <c r="G154" i="37"/>
  <c r="H172" i="37"/>
  <c r="H171" i="37"/>
  <c r="G153" i="37"/>
  <c r="G119" i="37"/>
  <c r="I205" i="37"/>
  <c r="G146" i="37"/>
  <c r="H28" i="37"/>
  <c r="G28" i="37" s="1"/>
  <c r="G346" i="37"/>
  <c r="G147" i="37"/>
  <c r="G148" i="37"/>
  <c r="H166" i="37"/>
  <c r="H388" i="37"/>
  <c r="G134" i="37"/>
  <c r="G133" i="37"/>
  <c r="H330" i="37" l="1"/>
  <c r="I330" i="37"/>
  <c r="G462" i="37"/>
  <c r="G371" i="37"/>
  <c r="I484" i="37"/>
  <c r="I475" i="37"/>
  <c r="F330" i="37"/>
  <c r="F327" i="56"/>
  <c r="I412" i="37"/>
  <c r="I432" i="37" s="1"/>
  <c r="I60" i="37" s="1"/>
  <c r="I373" i="37"/>
  <c r="I391" i="37" s="1"/>
  <c r="F412" i="37"/>
  <c r="F432" i="37" s="1"/>
  <c r="F60" i="37" s="1"/>
  <c r="F373" i="37"/>
  <c r="F391" i="37" s="1"/>
  <c r="F69" i="37"/>
  <c r="F76" i="37" s="1"/>
  <c r="F77" i="37" s="1"/>
  <c r="F65" i="37"/>
  <c r="F79" i="37"/>
  <c r="F82" i="37" s="1"/>
  <c r="F6" i="37" s="1"/>
  <c r="G143" i="37"/>
  <c r="G370" i="37"/>
  <c r="G144" i="37"/>
  <c r="H161" i="37"/>
  <c r="H183" i="37" s="1"/>
  <c r="H164" i="37"/>
  <c r="H185" i="37" s="1"/>
  <c r="F357" i="37"/>
  <c r="F333" i="37"/>
  <c r="F396" i="37"/>
  <c r="F437" i="37"/>
  <c r="G99" i="56"/>
  <c r="G176" i="56"/>
  <c r="G184" i="56"/>
  <c r="G98" i="56"/>
  <c r="I108" i="37"/>
  <c r="H410" i="37"/>
  <c r="H428" i="37" s="1"/>
  <c r="G428" i="37" s="1"/>
  <c r="I380" i="37"/>
  <c r="I401" i="37" s="1"/>
  <c r="F380" i="37"/>
  <c r="F401" i="37" s="1"/>
  <c r="I359" i="37"/>
  <c r="H335" i="37"/>
  <c r="G335" i="37" s="1"/>
  <c r="I423" i="37"/>
  <c r="I55" i="37" s="1"/>
  <c r="F399" i="37"/>
  <c r="I183" i="37"/>
  <c r="G388" i="37"/>
  <c r="H409" i="37"/>
  <c r="I53" i="37"/>
  <c r="G196" i="37"/>
  <c r="H244" i="37"/>
  <c r="H113" i="37" s="1"/>
  <c r="G113" i="37" s="1"/>
  <c r="F379" i="37"/>
  <c r="F400" i="37" s="1"/>
  <c r="G216" i="37"/>
  <c r="I399" i="37"/>
  <c r="G173" i="37"/>
  <c r="H194" i="37"/>
  <c r="G172" i="37"/>
  <c r="H193" i="37"/>
  <c r="G171" i="37"/>
  <c r="H192" i="37"/>
  <c r="G174" i="37"/>
  <c r="H195" i="37"/>
  <c r="G166" i="37"/>
  <c r="H187" i="37"/>
  <c r="I95" i="37"/>
  <c r="I164" i="37"/>
  <c r="I185" i="37" s="1"/>
  <c r="G168" i="37"/>
  <c r="H189" i="37"/>
  <c r="G167" i="37"/>
  <c r="H188" i="37"/>
  <c r="F53" i="37"/>
  <c r="G330" i="37" l="1"/>
  <c r="I311" i="37"/>
  <c r="F324" i="37"/>
  <c r="F311" i="37"/>
  <c r="F73" i="37"/>
  <c r="H262" i="37"/>
  <c r="I272" i="37"/>
  <c r="H261" i="37"/>
  <c r="I263" i="37"/>
  <c r="H265" i="37"/>
  <c r="F271" i="37"/>
  <c r="I264" i="37"/>
  <c r="I273" i="37"/>
  <c r="H263" i="37"/>
  <c r="F265" i="37"/>
  <c r="F272" i="37"/>
  <c r="F261" i="37"/>
  <c r="H272" i="37"/>
  <c r="I271" i="37"/>
  <c r="F273" i="37"/>
  <c r="F262" i="37"/>
  <c r="H274" i="37"/>
  <c r="F264" i="37"/>
  <c r="H273" i="37"/>
  <c r="I262" i="37"/>
  <c r="I274" i="37"/>
  <c r="F263" i="37"/>
  <c r="I270" i="37"/>
  <c r="F270" i="37"/>
  <c r="H271" i="37"/>
  <c r="I261" i="37"/>
  <c r="F274" i="37"/>
  <c r="I265" i="37"/>
  <c r="H270" i="37"/>
  <c r="H264" i="37"/>
  <c r="G161" i="37"/>
  <c r="H360" i="37"/>
  <c r="H376" i="37" s="1"/>
  <c r="G93" i="56"/>
  <c r="G410" i="37"/>
  <c r="I324" i="37"/>
  <c r="H210" i="37"/>
  <c r="G210" i="37" s="1"/>
  <c r="G192" i="37"/>
  <c r="G193" i="37"/>
  <c r="H211" i="37"/>
  <c r="G211" i="37" s="1"/>
  <c r="H212" i="37"/>
  <c r="G212" i="37" s="1"/>
  <c r="G194" i="37"/>
  <c r="H206" i="37"/>
  <c r="G206" i="37" s="1"/>
  <c r="G188" i="37"/>
  <c r="G189" i="37"/>
  <c r="H207" i="37"/>
  <c r="G207" i="37" s="1"/>
  <c r="F417" i="37"/>
  <c r="F420" i="37" s="1"/>
  <c r="F52" i="37" s="1"/>
  <c r="G185" i="37"/>
  <c r="F81" i="37"/>
  <c r="F78" i="37"/>
  <c r="F80" i="37" s="1"/>
  <c r="H427" i="37"/>
  <c r="G427" i="37" s="1"/>
  <c r="G409" i="37"/>
  <c r="F415" i="37"/>
  <c r="F419" i="37" s="1"/>
  <c r="F51" i="37" s="1"/>
  <c r="G187" i="37"/>
  <c r="H95" i="37"/>
  <c r="H205" i="37"/>
  <c r="H213" i="37"/>
  <c r="G213" i="37" s="1"/>
  <c r="G195" i="37"/>
  <c r="G183" i="37"/>
  <c r="G164" i="37"/>
  <c r="F392" i="37"/>
  <c r="H266" i="37" l="1"/>
  <c r="H267" i="37" s="1"/>
  <c r="H275" i="37"/>
  <c r="H276" i="37" s="1"/>
  <c r="H162" i="37" s="1"/>
  <c r="H165" i="37" s="1"/>
  <c r="H186" i="37" s="1"/>
  <c r="I266" i="37"/>
  <c r="I267" i="37" s="1"/>
  <c r="F266" i="37"/>
  <c r="F267" i="37" s="1"/>
  <c r="I275" i="37"/>
  <c r="I276" i="37" s="1"/>
  <c r="I162" i="37" s="1"/>
  <c r="I165" i="37" s="1"/>
  <c r="I186" i="37" s="1"/>
  <c r="F275" i="37"/>
  <c r="F276" i="37" s="1"/>
  <c r="G360" i="37"/>
  <c r="F18" i="37"/>
  <c r="F315" i="37"/>
  <c r="F314" i="37" s="1"/>
  <c r="F309" i="37" s="1"/>
  <c r="G205" i="37"/>
  <c r="H108" i="37"/>
  <c r="G108" i="37" s="1"/>
  <c r="F416" i="37"/>
  <c r="F83" i="37"/>
  <c r="F7" i="37" s="1"/>
  <c r="F8" i="37"/>
  <c r="F418" i="37"/>
  <c r="F50" i="37" s="1"/>
  <c r="H377" i="37"/>
  <c r="H163" i="37" l="1"/>
  <c r="H184" i="37" s="1"/>
  <c r="I163" i="37"/>
  <c r="I184" i="37" s="1"/>
  <c r="G377" i="37"/>
  <c r="F433" i="37"/>
  <c r="F434" i="37" s="1"/>
  <c r="F439" i="37" s="1"/>
  <c r="F323" i="37"/>
  <c r="F322" i="37" s="1"/>
  <c r="F321" i="37" s="1"/>
  <c r="F49" i="37"/>
  <c r="F398" i="37"/>
  <c r="F63" i="37" l="1"/>
  <c r="F64" i="37" s="1"/>
  <c r="H176" i="37"/>
  <c r="H99" i="37" s="1"/>
  <c r="H98" i="37" s="1"/>
  <c r="H93" i="37" s="1"/>
  <c r="H182" i="37" s="1"/>
  <c r="G186" i="37"/>
  <c r="G165" i="37"/>
  <c r="I176" i="37"/>
  <c r="I99" i="37" s="1"/>
  <c r="I98" i="37" s="1"/>
  <c r="G163" i="37"/>
  <c r="F466" i="37"/>
  <c r="F469" i="37" s="1"/>
  <c r="F444" i="37"/>
  <c r="G184" i="37" l="1"/>
  <c r="G99" i="37"/>
  <c r="G176" i="37"/>
  <c r="F446" i="37"/>
  <c r="F454" i="37"/>
  <c r="F445" i="37"/>
  <c r="F455" i="37" s="1"/>
  <c r="I93" i="37"/>
  <c r="G98" i="37"/>
  <c r="I182" i="37" l="1"/>
  <c r="G182" i="37" s="1"/>
  <c r="G93" i="37"/>
  <c r="F327" i="37"/>
  <c r="F291" i="37" l="1"/>
  <c r="I289" i="37"/>
  <c r="H288" i="37"/>
  <c r="F287" i="37"/>
  <c r="H283" i="37"/>
  <c r="F282" i="37"/>
  <c r="I280" i="37"/>
  <c r="H279" i="37"/>
  <c r="I290" i="37"/>
  <c r="H289" i="37"/>
  <c r="F288" i="37"/>
  <c r="F283" i="37"/>
  <c r="I281" i="37"/>
  <c r="H280" i="37"/>
  <c r="F279" i="37"/>
  <c r="I291" i="37"/>
  <c r="H290" i="37"/>
  <c r="F289" i="37"/>
  <c r="I287" i="37"/>
  <c r="I282" i="37"/>
  <c r="H281" i="37"/>
  <c r="F280" i="37"/>
  <c r="H291" i="37"/>
  <c r="I279" i="37"/>
  <c r="H287" i="37"/>
  <c r="F290" i="37"/>
  <c r="I283" i="37"/>
  <c r="I288" i="37"/>
  <c r="H282" i="37"/>
  <c r="F281" i="37"/>
  <c r="F284" i="37" l="1"/>
  <c r="I292" i="37"/>
  <c r="I201" i="37" s="1"/>
  <c r="I284" i="37"/>
  <c r="I199" i="37" s="1"/>
  <c r="H284" i="37"/>
  <c r="H199" i="37" s="1"/>
  <c r="H292" i="37"/>
  <c r="H201" i="37" s="1"/>
  <c r="F292" i="37"/>
  <c r="H200" i="37" l="1"/>
  <c r="H203" i="37"/>
  <c r="I203" i="37"/>
  <c r="I200" i="37"/>
  <c r="I204" i="37"/>
  <c r="I202" i="37"/>
  <c r="H202" i="37"/>
  <c r="H204" i="37"/>
  <c r="G203" i="37" l="1"/>
  <c r="G200" i="37"/>
  <c r="H107" i="37"/>
  <c r="H106" i="37" s="1"/>
  <c r="H217" i="37"/>
  <c r="H218" i="37" s="1"/>
  <c r="H224" i="37" s="1"/>
  <c r="G202" i="37"/>
  <c r="I217" i="37"/>
  <c r="I107" i="37"/>
  <c r="I106" i="37" s="1"/>
  <c r="I105" i="37" s="1"/>
  <c r="G204" i="37"/>
  <c r="G107" i="37" l="1"/>
  <c r="H251" i="37"/>
  <c r="G217" i="37"/>
  <c r="I218" i="37"/>
  <c r="H105" i="37"/>
  <c r="G105" i="37" s="1"/>
  <c r="G106" i="37"/>
  <c r="H229" i="37" l="1"/>
  <c r="I224" i="37"/>
  <c r="I229" i="37" s="1"/>
  <c r="I251" i="37"/>
  <c r="I254" i="37" s="1"/>
  <c r="H254" i="37"/>
  <c r="G218" i="37"/>
  <c r="G254" i="37" l="1"/>
  <c r="I230" i="37"/>
  <c r="I231" i="37"/>
  <c r="G224" i="37"/>
  <c r="G226" i="37" s="1"/>
  <c r="G251" i="37"/>
  <c r="H231" i="37"/>
  <c r="H230" i="37"/>
  <c r="G229" i="37"/>
  <c r="G230" i="37" l="1"/>
  <c r="G231" i="37"/>
  <c r="G241" i="37" s="1"/>
  <c r="H297" i="37"/>
  <c r="H295" i="37"/>
  <c r="H296" i="37"/>
  <c r="H298" i="37" l="1"/>
  <c r="E229" i="37" s="1"/>
  <c r="E230" i="37" s="1"/>
  <c r="I241" i="37"/>
  <c r="I456" i="37" s="1"/>
  <c r="E239" i="37" l="1"/>
  <c r="G239" i="37" s="1"/>
  <c r="E240" i="37"/>
  <c r="G240" i="37" s="1"/>
  <c r="H241" i="37"/>
  <c r="I239" i="37" l="1"/>
  <c r="I240" i="37"/>
  <c r="I112" i="37" s="1"/>
  <c r="H239" i="37" l="1"/>
  <c r="I250" i="37"/>
  <c r="I252" i="37" s="1"/>
  <c r="H240" i="37"/>
  <c r="H112" i="37" s="1"/>
  <c r="G112" i="37" s="1"/>
  <c r="H250" i="37" l="1"/>
  <c r="H252" i="37" s="1"/>
  <c r="H253" i="37" s="1"/>
  <c r="I258" i="37"/>
  <c r="I253" i="37"/>
  <c r="H258" i="37" l="1"/>
  <c r="G252" i="37"/>
  <c r="G253" i="37" s="1"/>
  <c r="G250" i="37"/>
  <c r="I81" i="53"/>
  <c r="H81" i="53"/>
  <c r="E256" i="37" l="1"/>
  <c r="E257" i="37" s="1"/>
  <c r="G257" i="37" s="1"/>
  <c r="I82" i="53"/>
  <c r="I99" i="53" s="1"/>
  <c r="E258" i="37" l="1"/>
  <c r="I2" i="53"/>
  <c r="I5" i="53" s="1"/>
  <c r="I257" i="37" l="1"/>
  <c r="I255" i="37" s="1"/>
  <c r="I256" i="37" s="1"/>
  <c r="I111" i="37" s="1"/>
  <c r="I110" i="37" s="1"/>
  <c r="I104" i="37" s="1"/>
  <c r="I115" i="37" s="1"/>
  <c r="G258" i="37"/>
  <c r="I6" i="53"/>
  <c r="I126" i="53"/>
  <c r="I7" i="53"/>
  <c r="I16" i="53"/>
  <c r="I32" i="53" l="1"/>
  <c r="I8" i="53"/>
  <c r="H257" i="37"/>
  <c r="H255" i="37" s="1"/>
  <c r="H256" i="37" s="1"/>
  <c r="H111" i="37" s="1"/>
  <c r="I110" i="53"/>
  <c r="I73" i="53"/>
  <c r="I112" i="53"/>
  <c r="I75" i="53"/>
  <c r="I114" i="53"/>
  <c r="I68" i="53"/>
  <c r="I77" i="53"/>
  <c r="I106" i="53"/>
  <c r="I109" i="53"/>
  <c r="I111" i="53"/>
  <c r="I107" i="53"/>
  <c r="I108" i="53"/>
  <c r="I69" i="53"/>
  <c r="I105" i="53"/>
  <c r="I113" i="53"/>
  <c r="I74" i="53"/>
  <c r="I71" i="53"/>
  <c r="I104" i="53"/>
  <c r="I76" i="53"/>
  <c r="I115" i="53"/>
  <c r="I70" i="53"/>
  <c r="I67" i="53"/>
  <c r="I72" i="53"/>
  <c r="I117" i="53" l="1"/>
  <c r="G255" i="37"/>
  <c r="G111" i="37"/>
  <c r="H110" i="37"/>
  <c r="G98" i="53"/>
  <c r="G97" i="53"/>
  <c r="G96" i="53"/>
  <c r="G95" i="53"/>
  <c r="G94" i="53"/>
  <c r="G93" i="53"/>
  <c r="G92" i="53"/>
  <c r="G91" i="53"/>
  <c r="G90" i="53"/>
  <c r="G89" i="53"/>
  <c r="G88" i="53"/>
  <c r="G84" i="53"/>
  <c r="G83" i="53"/>
  <c r="H82" i="53"/>
  <c r="G66" i="53"/>
  <c r="G65" i="53"/>
  <c r="G64" i="53"/>
  <c r="G63" i="53"/>
  <c r="G62" i="53"/>
  <c r="G61" i="53"/>
  <c r="G60" i="53"/>
  <c r="G59" i="53"/>
  <c r="G58" i="53"/>
  <c r="G57" i="53"/>
  <c r="G56" i="53"/>
  <c r="G55" i="53"/>
  <c r="G54" i="53"/>
  <c r="G53" i="53"/>
  <c r="G52" i="53"/>
  <c r="G51" i="53"/>
  <c r="G50" i="53"/>
  <c r="G49" i="53"/>
  <c r="G48" i="53"/>
  <c r="G47" i="53"/>
  <c r="G46" i="53"/>
  <c r="G45" i="53"/>
  <c r="G44" i="53"/>
  <c r="G43" i="53"/>
  <c r="G42" i="53"/>
  <c r="G41" i="53"/>
  <c r="G40" i="53"/>
  <c r="G39" i="53"/>
  <c r="G38" i="53"/>
  <c r="G37" i="53"/>
  <c r="G36" i="53"/>
  <c r="G35" i="53"/>
  <c r="G34" i="53"/>
  <c r="G33" i="53"/>
  <c r="G31" i="53"/>
  <c r="G30" i="53"/>
  <c r="G29" i="53"/>
  <c r="G28" i="53"/>
  <c r="G27" i="53"/>
  <c r="G26" i="53"/>
  <c r="G25" i="53"/>
  <c r="G24" i="53"/>
  <c r="H2" i="53"/>
  <c r="H7" i="53"/>
  <c r="G82" i="53" l="1"/>
  <c r="H99" i="53"/>
  <c r="G99" i="53" s="1"/>
  <c r="G110" i="37"/>
  <c r="H104" i="37"/>
  <c r="H126" i="53"/>
  <c r="H32" i="53" l="1"/>
  <c r="H115" i="37"/>
  <c r="G115" i="37" s="1"/>
  <c r="G104" i="37"/>
  <c r="I58" i="9" l="1"/>
  <c r="I57" i="9"/>
  <c r="I56" i="9"/>
  <c r="I55" i="9"/>
  <c r="I54" i="9"/>
  <c r="I53" i="9"/>
  <c r="I28" i="48"/>
  <c r="I27" i="48"/>
  <c r="I26" i="48"/>
  <c r="I25" i="48"/>
  <c r="I24" i="48"/>
  <c r="I23" i="48"/>
  <c r="I22" i="48"/>
  <c r="I21" i="48"/>
  <c r="I20" i="48"/>
  <c r="I19" i="48"/>
  <c r="E19" i="48"/>
  <c r="I18" i="48"/>
  <c r="E18" i="48"/>
  <c r="I17" i="48"/>
  <c r="E17" i="48"/>
  <c r="I16" i="48"/>
  <c r="E16" i="48"/>
  <c r="I15" i="48"/>
  <c r="E15" i="48"/>
  <c r="I14" i="48"/>
  <c r="E14" i="48"/>
  <c r="I13" i="48"/>
  <c r="E13" i="48"/>
  <c r="I12" i="48"/>
  <c r="E12" i="48"/>
  <c r="I11" i="48"/>
  <c r="E11" i="48"/>
  <c r="I10" i="48"/>
  <c r="E10" i="48"/>
  <c r="I9" i="48"/>
  <c r="E9" i="48"/>
  <c r="I8" i="48"/>
  <c r="E8" i="48"/>
  <c r="I7" i="48"/>
  <c r="E7" i="48"/>
  <c r="I6" i="48"/>
  <c r="E6" i="48"/>
  <c r="I5" i="48"/>
  <c r="E5" i="48"/>
  <c r="I4" i="48"/>
  <c r="E4" i="48"/>
  <c r="I3" i="48"/>
  <c r="E3" i="48"/>
  <c r="R2" i="48"/>
  <c r="M71" i="9"/>
  <c r="M94" i="9"/>
  <c r="M48" i="9"/>
  <c r="M25" i="9"/>
  <c r="L70" i="9"/>
  <c r="K70" i="9"/>
  <c r="J70" i="9"/>
  <c r="I69" i="9"/>
  <c r="I68" i="9"/>
  <c r="I67" i="9"/>
  <c r="I66" i="9"/>
  <c r="I65" i="9"/>
  <c r="I64" i="9"/>
  <c r="I63" i="9"/>
  <c r="I62" i="9"/>
  <c r="I61" i="9"/>
  <c r="I60" i="9"/>
  <c r="I59" i="9"/>
  <c r="I52" i="9"/>
  <c r="J51" i="9"/>
  <c r="S3" i="48"/>
  <c r="R3" i="48" l="1"/>
  <c r="I70" i="9"/>
  <c r="I7" i="9" s="1"/>
  <c r="G7" i="53"/>
  <c r="L6" i="9"/>
  <c r="K6" i="9"/>
  <c r="H302" i="37" l="1"/>
  <c r="J52" i="8"/>
  <c r="J74" i="9"/>
  <c r="J28" i="9"/>
  <c r="J5" i="9"/>
  <c r="H30" i="9" l="1"/>
  <c r="L23" i="9"/>
  <c r="I20" i="9"/>
  <c r="I21" i="9"/>
  <c r="H475" i="37"/>
  <c r="H484" i="37"/>
  <c r="H501" i="37"/>
  <c r="H493" i="37" s="1"/>
  <c r="J1" i="9"/>
  <c r="J6" i="9" s="1"/>
  <c r="J1" i="1" l="1"/>
  <c r="J6" i="1" s="1"/>
  <c r="H5" i="8" l="1"/>
  <c r="H4" i="8"/>
  <c r="L71" i="8" l="1"/>
  <c r="K71" i="8"/>
  <c r="J71" i="8"/>
  <c r="J93" i="9"/>
  <c r="L93" i="9" l="1"/>
  <c r="K27" i="8" l="1"/>
  <c r="J27" i="8"/>
  <c r="I27" i="8" l="1"/>
  <c r="I46" i="9" l="1"/>
  <c r="I44" i="9"/>
  <c r="I43" i="9"/>
  <c r="I42" i="9"/>
  <c r="I41" i="9"/>
  <c r="I40" i="9"/>
  <c r="I39" i="9"/>
  <c r="I38" i="9"/>
  <c r="I37" i="9"/>
  <c r="I36" i="9"/>
  <c r="I35" i="9"/>
  <c r="I34" i="9"/>
  <c r="I33" i="9"/>
  <c r="I31" i="9"/>
  <c r="I30" i="9"/>
  <c r="I32" i="9" s="1"/>
  <c r="I29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45" i="9" l="1"/>
  <c r="I93" i="9"/>
  <c r="I8" i="9" s="1"/>
  <c r="I16" i="9" s="1"/>
  <c r="I47" i="9"/>
  <c r="I19" i="9" s="1"/>
  <c r="I22" i="9" s="1"/>
  <c r="H6" i="53"/>
  <c r="I23" i="9" l="1"/>
  <c r="I24" i="9" s="1"/>
  <c r="J24" i="9" s="1"/>
  <c r="H352" i="37"/>
  <c r="H16" i="37"/>
  <c r="G16" i="37" l="1"/>
  <c r="H20" i="37"/>
  <c r="G20" i="37" s="1"/>
  <c r="H310" i="37"/>
  <c r="G310" i="37" s="1"/>
  <c r="H5" i="53"/>
  <c r="H8" i="53" s="1"/>
  <c r="G8" i="53" s="1"/>
  <c r="G352" i="37"/>
  <c r="H313" i="37"/>
  <c r="G6" i="53"/>
  <c r="G20" i="56" l="1"/>
  <c r="G16" i="56"/>
  <c r="G310" i="56" l="1"/>
  <c r="T134" i="8" l="1"/>
  <c r="T133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15" i="8"/>
  <c r="V20" i="30" l="1"/>
  <c r="U20" i="30"/>
  <c r="V19" i="30"/>
  <c r="U19" i="30"/>
  <c r="W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H11" i="30"/>
  <c r="H9" i="30" s="1"/>
  <c r="AA9" i="30"/>
  <c r="V5" i="30" s="1"/>
  <c r="Z9" i="30"/>
  <c r="U5" i="30" s="1"/>
  <c r="Y9" i="30"/>
  <c r="T5" i="30" s="1"/>
  <c r="X9" i="30"/>
  <c r="W9" i="30"/>
  <c r="V9" i="30"/>
  <c r="U9" i="30"/>
  <c r="T4" i="30" s="1"/>
  <c r="T9" i="30"/>
  <c r="S4" i="30" s="1"/>
  <c r="S9" i="30"/>
  <c r="R9" i="30"/>
  <c r="U3" i="30" s="1"/>
  <c r="Q9" i="30"/>
  <c r="P9" i="30"/>
  <c r="O9" i="30"/>
  <c r="N4" i="30" s="1"/>
  <c r="N9" i="30"/>
  <c r="M4" i="30" s="1"/>
  <c r="M9" i="30"/>
  <c r="L4" i="30" s="1"/>
  <c r="L9" i="30"/>
  <c r="K4" i="30" s="1"/>
  <c r="K9" i="30"/>
  <c r="N3" i="30" s="1"/>
  <c r="J9" i="30"/>
  <c r="M3" i="30" s="1"/>
  <c r="I9" i="30"/>
  <c r="L3" i="30" s="1"/>
  <c r="S5" i="30"/>
  <c r="V4" i="30"/>
  <c r="U4" i="30"/>
  <c r="S2" i="30" l="1"/>
  <c r="T2" i="30"/>
  <c r="L2" i="30"/>
  <c r="T3" i="30"/>
  <c r="K3" i="30"/>
  <c r="K2" i="30"/>
  <c r="V2" i="30"/>
  <c r="V3" i="30"/>
  <c r="S3" i="30"/>
  <c r="U2" i="30"/>
  <c r="M2" i="30"/>
  <c r="N2" i="30"/>
  <c r="U17" i="30"/>
  <c r="V17" i="30"/>
  <c r="O136" i="8" l="1"/>
  <c r="R134" i="8" l="1"/>
  <c r="Q134" i="8" s="1"/>
  <c r="R133" i="8"/>
  <c r="Q133" i="8" s="1"/>
  <c r="R132" i="8"/>
  <c r="Q132" i="8" s="1"/>
  <c r="R131" i="8"/>
  <c r="Q131" i="8" s="1"/>
  <c r="R130" i="8"/>
  <c r="Q130" i="8" s="1"/>
  <c r="R129" i="8"/>
  <c r="Q129" i="8" s="1"/>
  <c r="R128" i="8"/>
  <c r="Q128" i="8" s="1"/>
  <c r="R127" i="8"/>
  <c r="Q127" i="8" s="1"/>
  <c r="R126" i="8"/>
  <c r="Q126" i="8" s="1"/>
  <c r="R125" i="8"/>
  <c r="Q125" i="8" s="1"/>
  <c r="R124" i="8"/>
  <c r="Q124" i="8" s="1"/>
  <c r="R123" i="8"/>
  <c r="Q123" i="8" s="1"/>
  <c r="R122" i="8"/>
  <c r="Q122" i="8" s="1"/>
  <c r="R121" i="8"/>
  <c r="Q121" i="8" s="1"/>
  <c r="R120" i="8"/>
  <c r="Q120" i="8" s="1"/>
  <c r="R119" i="8"/>
  <c r="Q119" i="8" s="1"/>
  <c r="R118" i="8"/>
  <c r="Q118" i="8" s="1"/>
  <c r="R117" i="8"/>
  <c r="Q117" i="8" s="1"/>
  <c r="R116" i="8"/>
  <c r="Q116" i="8" s="1"/>
  <c r="R115" i="8"/>
  <c r="Q115" i="8" s="1"/>
  <c r="S135" i="8" l="1"/>
  <c r="S136" i="8" s="1"/>
  <c r="T135" i="8"/>
  <c r="T136" i="8" s="1"/>
  <c r="V1" i="32"/>
  <c r="I21" i="31" l="1"/>
  <c r="N105" i="8"/>
  <c r="O105" i="8" s="1"/>
  <c r="N104" i="8"/>
  <c r="O104" i="8" s="1"/>
  <c r="N103" i="8"/>
  <c r="O103" i="8" s="1"/>
  <c r="N102" i="8"/>
  <c r="O102" i="8" s="1"/>
  <c r="N101" i="8"/>
  <c r="O101" i="8" s="1"/>
  <c r="N100" i="8"/>
  <c r="O100" i="8" s="1"/>
  <c r="N99" i="8"/>
  <c r="O99" i="8" s="1"/>
  <c r="N98" i="8"/>
  <c r="O98" i="8" s="1"/>
  <c r="N97" i="8"/>
  <c r="O97" i="8" s="1"/>
  <c r="N96" i="8"/>
  <c r="O96" i="8" s="1"/>
  <c r="N95" i="8"/>
  <c r="O95" i="8" s="1"/>
  <c r="N94" i="8"/>
  <c r="O94" i="8" s="1"/>
  <c r="N93" i="8"/>
  <c r="O93" i="8" s="1"/>
  <c r="N92" i="8"/>
  <c r="O92" i="8" s="1"/>
  <c r="N91" i="8"/>
  <c r="O91" i="8" s="1"/>
  <c r="N90" i="8"/>
  <c r="O90" i="8" s="1"/>
  <c r="N89" i="8"/>
  <c r="O89" i="8" s="1"/>
  <c r="N88" i="8"/>
  <c r="O88" i="8" s="1"/>
  <c r="N87" i="8"/>
  <c r="O87" i="8" s="1"/>
  <c r="N86" i="8"/>
  <c r="O86" i="8" s="1"/>
  <c r="N85" i="8"/>
  <c r="O85" i="8" s="1"/>
  <c r="N84" i="8"/>
  <c r="O84" i="8" s="1"/>
  <c r="N136" i="8"/>
  <c r="H2" i="8"/>
  <c r="H14" i="8"/>
  <c r="C12" i="7"/>
  <c r="C13" i="7"/>
  <c r="H21" i="8"/>
  <c r="H2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F72" i="8"/>
  <c r="N72" i="8" s="1"/>
  <c r="H72" i="8"/>
  <c r="M72" i="8"/>
  <c r="I76" i="8"/>
  <c r="O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D106" i="8"/>
  <c r="N107" i="8"/>
  <c r="O107" i="8"/>
  <c r="C5" i="9"/>
  <c r="F25" i="9"/>
  <c r="N25" i="9" s="1"/>
  <c r="F25" i="31"/>
  <c r="F48" i="31" s="1"/>
  <c r="N48" i="31" s="1"/>
  <c r="M48" i="31"/>
  <c r="M25" i="31"/>
  <c r="BA29" i="31"/>
  <c r="BA30" i="31"/>
  <c r="BA31" i="31"/>
  <c r="BA32" i="31"/>
  <c r="BA33" i="31"/>
  <c r="BA34" i="31"/>
  <c r="BA35" i="31"/>
  <c r="BA36" i="31"/>
  <c r="BA37" i="31"/>
  <c r="BA38" i="31"/>
  <c r="BA39" i="31"/>
  <c r="BA40" i="31"/>
  <c r="BA41" i="31"/>
  <c r="BA42" i="31"/>
  <c r="BA43" i="31"/>
  <c r="BA44" i="31"/>
  <c r="BA45" i="31"/>
  <c r="BA46" i="31"/>
  <c r="AZ29" i="31"/>
  <c r="AZ30" i="31"/>
  <c r="AZ31" i="31"/>
  <c r="AZ32" i="31"/>
  <c r="AZ33" i="31"/>
  <c r="AZ34" i="31"/>
  <c r="AZ35" i="31"/>
  <c r="AZ36" i="31"/>
  <c r="AZ37" i="31"/>
  <c r="AZ38" i="31"/>
  <c r="AZ39" i="31"/>
  <c r="AZ40" i="31"/>
  <c r="AZ41" i="31"/>
  <c r="AZ42" i="31"/>
  <c r="AZ43" i="31"/>
  <c r="AZ44" i="31"/>
  <c r="AZ45" i="31"/>
  <c r="AZ46" i="31"/>
  <c r="AY29" i="31"/>
  <c r="AY30" i="31"/>
  <c r="AY31" i="31"/>
  <c r="AY32" i="31"/>
  <c r="AY33" i="31"/>
  <c r="AY34" i="31"/>
  <c r="AY35" i="31"/>
  <c r="AY36" i="31"/>
  <c r="AY37" i="31"/>
  <c r="AY38" i="31"/>
  <c r="AY39" i="31"/>
  <c r="AY40" i="31"/>
  <c r="AY41" i="31"/>
  <c r="AY42" i="31"/>
  <c r="AY43" i="31"/>
  <c r="AY44" i="31"/>
  <c r="AY45" i="31"/>
  <c r="AY46" i="31"/>
  <c r="AX29" i="31"/>
  <c r="AX30" i="31"/>
  <c r="AX31" i="31"/>
  <c r="AX32" i="31"/>
  <c r="AX33" i="31"/>
  <c r="AX34" i="31"/>
  <c r="AX35" i="31"/>
  <c r="AX36" i="31"/>
  <c r="AX37" i="31"/>
  <c r="AX38" i="31"/>
  <c r="AX39" i="31"/>
  <c r="AX40" i="31"/>
  <c r="AX41" i="31"/>
  <c r="AX42" i="31"/>
  <c r="AX43" i="31"/>
  <c r="AX44" i="31"/>
  <c r="AX45" i="31"/>
  <c r="AX46" i="31"/>
  <c r="AW29" i="31"/>
  <c r="AW30" i="31"/>
  <c r="AW31" i="31"/>
  <c r="AW32" i="31"/>
  <c r="AW33" i="31"/>
  <c r="AW34" i="31"/>
  <c r="AW35" i="31"/>
  <c r="AW36" i="31"/>
  <c r="AW37" i="31"/>
  <c r="AW38" i="31"/>
  <c r="AW39" i="31"/>
  <c r="AW40" i="31"/>
  <c r="AW41" i="31"/>
  <c r="AW42" i="31"/>
  <c r="AW43" i="31"/>
  <c r="AW44" i="31"/>
  <c r="AW45" i="31"/>
  <c r="AW46" i="31"/>
  <c r="AV29" i="31"/>
  <c r="AV30" i="31"/>
  <c r="AV31" i="31"/>
  <c r="AV32" i="31"/>
  <c r="AV33" i="31"/>
  <c r="AV34" i="31"/>
  <c r="AV35" i="31"/>
  <c r="AV36" i="31"/>
  <c r="AV37" i="31"/>
  <c r="AV38" i="31"/>
  <c r="AV39" i="31"/>
  <c r="AV40" i="31"/>
  <c r="AV41" i="31"/>
  <c r="AV42" i="31"/>
  <c r="AV43" i="31"/>
  <c r="AV44" i="31"/>
  <c r="AV45" i="31"/>
  <c r="AV46" i="31"/>
  <c r="AU29" i="31"/>
  <c r="AU30" i="31"/>
  <c r="AU31" i="31"/>
  <c r="AU32" i="31"/>
  <c r="AU33" i="31"/>
  <c r="AU34" i="31"/>
  <c r="AU35" i="31"/>
  <c r="AU36" i="31"/>
  <c r="AU37" i="31"/>
  <c r="AU38" i="31"/>
  <c r="AU39" i="31"/>
  <c r="AU40" i="31"/>
  <c r="AU41" i="31"/>
  <c r="AU42" i="31"/>
  <c r="AU43" i="31"/>
  <c r="AU44" i="31"/>
  <c r="AU45" i="31"/>
  <c r="AU46" i="31"/>
  <c r="AT29" i="31"/>
  <c r="AT30" i="31"/>
  <c r="AT31" i="31"/>
  <c r="AT32" i="31"/>
  <c r="AT33" i="31"/>
  <c r="AT34" i="31"/>
  <c r="AT35" i="31"/>
  <c r="AT36" i="31"/>
  <c r="AT37" i="31"/>
  <c r="AT38" i="31"/>
  <c r="AT39" i="31"/>
  <c r="AT40" i="31"/>
  <c r="AT41" i="31"/>
  <c r="AT42" i="31"/>
  <c r="AT43" i="31"/>
  <c r="AT44" i="31"/>
  <c r="AT45" i="31"/>
  <c r="AT46" i="31"/>
  <c r="AS29" i="31"/>
  <c r="AS30" i="31"/>
  <c r="AS31" i="31"/>
  <c r="AS32" i="31"/>
  <c r="AS33" i="31"/>
  <c r="AS34" i="31"/>
  <c r="AS35" i="31"/>
  <c r="AS36" i="31"/>
  <c r="AS37" i="31"/>
  <c r="AS38" i="31"/>
  <c r="AS39" i="31"/>
  <c r="AS40" i="31"/>
  <c r="AS41" i="31"/>
  <c r="AS42" i="31"/>
  <c r="AS43" i="31"/>
  <c r="AS44" i="31"/>
  <c r="AS45" i="31"/>
  <c r="AS46" i="31"/>
  <c r="AR29" i="31"/>
  <c r="AR30" i="31"/>
  <c r="AR31" i="31"/>
  <c r="AR32" i="31"/>
  <c r="AR33" i="31"/>
  <c r="AR34" i="31"/>
  <c r="AR35" i="31"/>
  <c r="AR36" i="31"/>
  <c r="AR37" i="31"/>
  <c r="AR38" i="31"/>
  <c r="AR39" i="31"/>
  <c r="AR40" i="31"/>
  <c r="AR41" i="31"/>
  <c r="AR42" i="31"/>
  <c r="AR43" i="31"/>
  <c r="AR44" i="31"/>
  <c r="AR45" i="31"/>
  <c r="AR46" i="31"/>
  <c r="AQ29" i="31"/>
  <c r="AQ30" i="31"/>
  <c r="AQ31" i="31"/>
  <c r="AQ32" i="31"/>
  <c r="AQ33" i="31"/>
  <c r="AQ34" i="31"/>
  <c r="AQ35" i="31"/>
  <c r="AQ36" i="31"/>
  <c r="AQ37" i="31"/>
  <c r="AQ38" i="31"/>
  <c r="AQ39" i="31"/>
  <c r="AQ40" i="31"/>
  <c r="AQ41" i="31"/>
  <c r="AQ42" i="31"/>
  <c r="AQ43" i="31"/>
  <c r="AQ44" i="31"/>
  <c r="AQ45" i="31"/>
  <c r="AQ46" i="31"/>
  <c r="AP29" i="31"/>
  <c r="AP30" i="31"/>
  <c r="AP31" i="31"/>
  <c r="AP32" i="31"/>
  <c r="AP33" i="31"/>
  <c r="AP34" i="31"/>
  <c r="AP35" i="31"/>
  <c r="AP36" i="31"/>
  <c r="AP37" i="31"/>
  <c r="AP38" i="31"/>
  <c r="AP39" i="31"/>
  <c r="AP40" i="31"/>
  <c r="AP41" i="31"/>
  <c r="AP42" i="31"/>
  <c r="AP43" i="31"/>
  <c r="AP44" i="31"/>
  <c r="AP45" i="31"/>
  <c r="AP46" i="31"/>
  <c r="AO29" i="31"/>
  <c r="AO30" i="31"/>
  <c r="AO31" i="31"/>
  <c r="AO32" i="31"/>
  <c r="AO33" i="31"/>
  <c r="AO34" i="31"/>
  <c r="AO35" i="31"/>
  <c r="AO36" i="31"/>
  <c r="AO37" i="31"/>
  <c r="AO38" i="31"/>
  <c r="AO39" i="31"/>
  <c r="AO40" i="31"/>
  <c r="AO41" i="31"/>
  <c r="AO42" i="31"/>
  <c r="AO43" i="31"/>
  <c r="AO44" i="31"/>
  <c r="AO45" i="31"/>
  <c r="AO46" i="31"/>
  <c r="AN29" i="31"/>
  <c r="AN30" i="31"/>
  <c r="AN31" i="31"/>
  <c r="AN32" i="31"/>
  <c r="AN33" i="31"/>
  <c r="AN34" i="31"/>
  <c r="AN35" i="31"/>
  <c r="AN36" i="31"/>
  <c r="AN37" i="31"/>
  <c r="AN38" i="31"/>
  <c r="AN39" i="31"/>
  <c r="AN40" i="31"/>
  <c r="AN41" i="31"/>
  <c r="AN42" i="31"/>
  <c r="AN43" i="31"/>
  <c r="AN44" i="31"/>
  <c r="AN45" i="31"/>
  <c r="AN46" i="31"/>
  <c r="AM29" i="31"/>
  <c r="AM30" i="31"/>
  <c r="AM31" i="31"/>
  <c r="AM32" i="31"/>
  <c r="AM33" i="31"/>
  <c r="AM34" i="31"/>
  <c r="AM35" i="31"/>
  <c r="AM36" i="31"/>
  <c r="AM37" i="31"/>
  <c r="AM38" i="31"/>
  <c r="AM39" i="31"/>
  <c r="AM40" i="31"/>
  <c r="AM41" i="31"/>
  <c r="AM42" i="31"/>
  <c r="AM43" i="31"/>
  <c r="AM44" i="31"/>
  <c r="AM45" i="31"/>
  <c r="AM46" i="31"/>
  <c r="AL29" i="31"/>
  <c r="AL30" i="31"/>
  <c r="AL31" i="31"/>
  <c r="AL32" i="31"/>
  <c r="AL33" i="31"/>
  <c r="AL34" i="31"/>
  <c r="AL35" i="31"/>
  <c r="AL36" i="31"/>
  <c r="AL37" i="31"/>
  <c r="AL38" i="31"/>
  <c r="AL39" i="31"/>
  <c r="AL40" i="31"/>
  <c r="AL41" i="31"/>
  <c r="AL42" i="31"/>
  <c r="AL43" i="31"/>
  <c r="AL44" i="31"/>
  <c r="AL45" i="31"/>
  <c r="AL46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J29" i="31"/>
  <c r="AJ30" i="31"/>
  <c r="AJ31" i="31"/>
  <c r="AJ32" i="31"/>
  <c r="AJ33" i="31"/>
  <c r="AJ34" i="31"/>
  <c r="AJ35" i="31"/>
  <c r="AJ36" i="31"/>
  <c r="AJ37" i="31"/>
  <c r="AJ38" i="31"/>
  <c r="AJ39" i="31"/>
  <c r="AJ40" i="31"/>
  <c r="AJ41" i="31"/>
  <c r="AJ42" i="31"/>
  <c r="AJ43" i="31"/>
  <c r="AJ44" i="31"/>
  <c r="AJ45" i="31"/>
  <c r="AJ46" i="31"/>
  <c r="AI29" i="31"/>
  <c r="AI30" i="31"/>
  <c r="AI31" i="31"/>
  <c r="AI32" i="31"/>
  <c r="AI33" i="31"/>
  <c r="AI34" i="31"/>
  <c r="AI35" i="31"/>
  <c r="AI36" i="31"/>
  <c r="AI37" i="31"/>
  <c r="AI38" i="31"/>
  <c r="AI39" i="31"/>
  <c r="AI40" i="31"/>
  <c r="AI41" i="31"/>
  <c r="AI42" i="31"/>
  <c r="AI43" i="31"/>
  <c r="AI44" i="31"/>
  <c r="AI45" i="31"/>
  <c r="AI46" i="31"/>
  <c r="AZ6" i="31"/>
  <c r="AZ7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BA6" i="31"/>
  <c r="BA7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AY6" i="31"/>
  <c r="AY7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X6" i="31"/>
  <c r="AX7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W6" i="31"/>
  <c r="AW7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V6" i="31"/>
  <c r="AV7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U6" i="31"/>
  <c r="AU7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T6" i="31"/>
  <c r="AT7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S6" i="31"/>
  <c r="AS7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R6" i="31"/>
  <c r="AR7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Q6" i="31"/>
  <c r="AQ7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P6" i="31"/>
  <c r="AP7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O6" i="31"/>
  <c r="AO7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N6" i="31"/>
  <c r="AN7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M6" i="31"/>
  <c r="AM7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L6" i="31"/>
  <c r="AL7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J6" i="31"/>
  <c r="AJ7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I6" i="31"/>
  <c r="AI7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23" i="31"/>
  <c r="I22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N25" i="31"/>
  <c r="F13" i="7"/>
  <c r="E13" i="7"/>
  <c r="D13" i="7"/>
  <c r="F12" i="7"/>
  <c r="E12" i="7"/>
  <c r="D12" i="7"/>
  <c r="H34" i="37"/>
  <c r="H25" i="37"/>
  <c r="H31" i="37"/>
  <c r="H41" i="37"/>
  <c r="H26" i="37"/>
  <c r="H24" i="37"/>
  <c r="H32" i="37"/>
  <c r="H33" i="37"/>
  <c r="H47" i="37"/>
  <c r="H40" i="37"/>
  <c r="H44" i="37"/>
  <c r="H37" i="37"/>
  <c r="AV47" i="31" l="1"/>
  <c r="AB47" i="31" s="1"/>
  <c r="AA13" i="7" s="1"/>
  <c r="G47" i="56"/>
  <c r="G44" i="56"/>
  <c r="G348" i="56"/>
  <c r="G41" i="56"/>
  <c r="G40" i="56"/>
  <c r="G316" i="56"/>
  <c r="G24" i="56"/>
  <c r="G32" i="56"/>
  <c r="G37" i="56"/>
  <c r="G30" i="56"/>
  <c r="G317" i="56"/>
  <c r="G25" i="56"/>
  <c r="G33" i="37"/>
  <c r="H340" i="37"/>
  <c r="G31" i="37"/>
  <c r="H338" i="37"/>
  <c r="H317" i="37"/>
  <c r="G317" i="37" s="1"/>
  <c r="G25" i="37"/>
  <c r="H43" i="37"/>
  <c r="G37" i="37"/>
  <c r="H344" i="37"/>
  <c r="G26" i="37"/>
  <c r="H318" i="37"/>
  <c r="G318" i="37" s="1"/>
  <c r="H42" i="37"/>
  <c r="G32" i="37"/>
  <c r="H339" i="37"/>
  <c r="G47" i="37"/>
  <c r="H354" i="37"/>
  <c r="G24" i="37"/>
  <c r="H316" i="37"/>
  <c r="G316" i="37" s="1"/>
  <c r="G34" i="37"/>
  <c r="H341" i="37"/>
  <c r="G44" i="37"/>
  <c r="H351" i="37"/>
  <c r="G351" i="37" s="1"/>
  <c r="G40" i="37"/>
  <c r="H347" i="37"/>
  <c r="G41" i="37"/>
  <c r="H348" i="37"/>
  <c r="F2" i="1"/>
  <c r="F25" i="1" s="1"/>
  <c r="F48" i="1" s="1"/>
  <c r="AL47" i="31"/>
  <c r="R47" i="31" s="1"/>
  <c r="Q13" i="7" s="1"/>
  <c r="AN47" i="31"/>
  <c r="T47" i="31" s="1"/>
  <c r="S13" i="7" s="1"/>
  <c r="AJ47" i="31"/>
  <c r="P47" i="31" s="1"/>
  <c r="O13" i="7" s="1"/>
  <c r="M106" i="8"/>
  <c r="AI24" i="31"/>
  <c r="O24" i="31" s="1"/>
  <c r="N12" i="7" s="1"/>
  <c r="AX47" i="31"/>
  <c r="AD47" i="31" s="1"/>
  <c r="AC13" i="7" s="1"/>
  <c r="F48" i="9"/>
  <c r="I106" i="8"/>
  <c r="AM24" i="31"/>
  <c r="S24" i="31" s="1"/>
  <c r="R12" i="7" s="1"/>
  <c r="AX24" i="31"/>
  <c r="AD24" i="31" s="1"/>
  <c r="AC12" i="7" s="1"/>
  <c r="AZ24" i="31"/>
  <c r="AF24" i="31" s="1"/>
  <c r="AE12" i="7" s="1"/>
  <c r="AR47" i="31"/>
  <c r="X47" i="31" s="1"/>
  <c r="W13" i="7" s="1"/>
  <c r="AT47" i="31"/>
  <c r="Z47" i="31" s="1"/>
  <c r="Y13" i="7" s="1"/>
  <c r="I47" i="31"/>
  <c r="H13" i="7" s="1"/>
  <c r="AP47" i="31"/>
  <c r="V47" i="31" s="1"/>
  <c r="U13" i="7" s="1"/>
  <c r="AZ47" i="31"/>
  <c r="AF47" i="31" s="1"/>
  <c r="AE13" i="7" s="1"/>
  <c r="Q1" i="3"/>
  <c r="AM47" i="31"/>
  <c r="S47" i="31" s="1"/>
  <c r="R13" i="7" s="1"/>
  <c r="AU47" i="31"/>
  <c r="AA47" i="31" s="1"/>
  <c r="Z13" i="7" s="1"/>
  <c r="I71" i="8"/>
  <c r="AJ24" i="31"/>
  <c r="P24" i="31" s="1"/>
  <c r="O12" i="7" s="1"/>
  <c r="AL24" i="31"/>
  <c r="R24" i="31" s="1"/>
  <c r="Q12" i="7" s="1"/>
  <c r="AN24" i="31"/>
  <c r="T24" i="31" s="1"/>
  <c r="S12" i="7" s="1"/>
  <c r="AO24" i="31"/>
  <c r="U24" i="31" s="1"/>
  <c r="T12" i="7" s="1"/>
  <c r="AP24" i="31"/>
  <c r="V24" i="31" s="1"/>
  <c r="U12" i="7" s="1"/>
  <c r="AQ24" i="31"/>
  <c r="W24" i="31" s="1"/>
  <c r="V12" i="7" s="1"/>
  <c r="AR24" i="31"/>
  <c r="X24" i="31" s="1"/>
  <c r="W12" i="7" s="1"/>
  <c r="AS24" i="31"/>
  <c r="Y24" i="31" s="1"/>
  <c r="X12" i="7" s="1"/>
  <c r="AT24" i="31"/>
  <c r="Z24" i="31" s="1"/>
  <c r="Y12" i="7" s="1"/>
  <c r="AU24" i="31"/>
  <c r="AA24" i="31" s="1"/>
  <c r="Z12" i="7" s="1"/>
  <c r="AV24" i="31"/>
  <c r="AB24" i="31" s="1"/>
  <c r="AA12" i="7" s="1"/>
  <c r="AW24" i="31"/>
  <c r="AC24" i="31" s="1"/>
  <c r="AB12" i="7" s="1"/>
  <c r="AY24" i="31"/>
  <c r="AE24" i="31" s="1"/>
  <c r="AD12" i="7" s="1"/>
  <c r="BA24" i="31"/>
  <c r="AG24" i="31" s="1"/>
  <c r="AF12" i="7" s="1"/>
  <c r="AI47" i="31"/>
  <c r="O47" i="31" s="1"/>
  <c r="N13" i="7" s="1"/>
  <c r="AQ47" i="31"/>
  <c r="W47" i="31" s="1"/>
  <c r="V13" i="7" s="1"/>
  <c r="AY47" i="31"/>
  <c r="AE47" i="31" s="1"/>
  <c r="AD13" i="7" s="1"/>
  <c r="K106" i="8"/>
  <c r="AK47" i="31"/>
  <c r="Q47" i="31" s="1"/>
  <c r="P13" i="7" s="1"/>
  <c r="AS47" i="31"/>
  <c r="Y47" i="31" s="1"/>
  <c r="X13" i="7" s="1"/>
  <c r="BA47" i="31"/>
  <c r="AG47" i="31" s="1"/>
  <c r="AF13" i="7" s="1"/>
  <c r="I24" i="31"/>
  <c r="H12" i="7" s="1"/>
  <c r="AK24" i="31"/>
  <c r="Q24" i="31" s="1"/>
  <c r="P12" i="7" s="1"/>
  <c r="AO47" i="31"/>
  <c r="U47" i="31" s="1"/>
  <c r="T13" i="7" s="1"/>
  <c r="AW47" i="31"/>
  <c r="AC47" i="31" s="1"/>
  <c r="AB13" i="7" s="1"/>
  <c r="J2" i="31"/>
  <c r="H25" i="31" s="1"/>
  <c r="H48" i="31" s="1"/>
  <c r="H20" i="8"/>
  <c r="H30" i="37"/>
  <c r="O106" i="8" l="1"/>
  <c r="N82" i="8" s="1"/>
  <c r="N25" i="1"/>
  <c r="H337" i="37"/>
  <c r="H362" i="37" s="1"/>
  <c r="G30" i="37"/>
  <c r="H29" i="37"/>
  <c r="G29" i="37" s="1"/>
  <c r="G34" i="56"/>
  <c r="G338" i="56"/>
  <c r="G31" i="56"/>
  <c r="G26" i="56"/>
  <c r="G42" i="56"/>
  <c r="G318" i="56"/>
  <c r="G33" i="56"/>
  <c r="G347" i="56"/>
  <c r="G337" i="56"/>
  <c r="G344" i="56"/>
  <c r="G351" i="56"/>
  <c r="G354" i="56"/>
  <c r="G43" i="56"/>
  <c r="G350" i="56"/>
  <c r="G339" i="56"/>
  <c r="G347" i="37"/>
  <c r="H372" i="37"/>
  <c r="H366" i="37"/>
  <c r="G341" i="37"/>
  <c r="G340" i="37"/>
  <c r="H365" i="37"/>
  <c r="G339" i="37"/>
  <c r="H364" i="37"/>
  <c r="H369" i="37"/>
  <c r="G344" i="37"/>
  <c r="G348" i="37"/>
  <c r="G42" i="37"/>
  <c r="H349" i="37"/>
  <c r="G349" i="37" s="1"/>
  <c r="H363" i="37"/>
  <c r="G363" i="37" s="1"/>
  <c r="G338" i="37"/>
  <c r="G354" i="37"/>
  <c r="H449" i="37"/>
  <c r="G43" i="37"/>
  <c r="H350" i="37"/>
  <c r="G350" i="37" s="1"/>
  <c r="N48" i="9"/>
  <c r="F71" i="9"/>
  <c r="N71" i="9" s="1"/>
  <c r="F94" i="9"/>
  <c r="N94" i="9" s="1"/>
  <c r="H336" i="37" l="1"/>
  <c r="H359" i="37" s="1"/>
  <c r="G359" i="37" s="1"/>
  <c r="G337" i="37"/>
  <c r="G341" i="56"/>
  <c r="G340" i="56"/>
  <c r="G363" i="56"/>
  <c r="G29" i="56"/>
  <c r="G362" i="56"/>
  <c r="G364" i="56"/>
  <c r="G366" i="56"/>
  <c r="G369" i="56"/>
  <c r="G361" i="56"/>
  <c r="G359" i="56"/>
  <c r="G399" i="56"/>
  <c r="G336" i="56"/>
  <c r="G449" i="56"/>
  <c r="G373" i="56"/>
  <c r="G365" i="56"/>
  <c r="G372" i="56"/>
  <c r="H384" i="37"/>
  <c r="G366" i="37"/>
  <c r="H312" i="37"/>
  <c r="G449" i="37"/>
  <c r="G459" i="37" s="1"/>
  <c r="H459" i="37" s="1"/>
  <c r="H329" i="37" s="1"/>
  <c r="G329" i="37" s="1"/>
  <c r="H387" i="37"/>
  <c r="G369" i="37"/>
  <c r="G365" i="37"/>
  <c r="H383" i="37"/>
  <c r="G364" i="37"/>
  <c r="H382" i="37"/>
  <c r="H390" i="37"/>
  <c r="G372" i="37"/>
  <c r="G362" i="37"/>
  <c r="H380" i="37"/>
  <c r="J2" i="9"/>
  <c r="K16" i="9"/>
  <c r="J16" i="9"/>
  <c r="F71" i="1" l="1"/>
  <c r="F94" i="1" s="1"/>
  <c r="N94" i="1" s="1"/>
  <c r="N48" i="1"/>
  <c r="H361" i="37"/>
  <c r="G361" i="37" s="1"/>
  <c r="G336" i="37"/>
  <c r="I489" i="56"/>
  <c r="I487" i="56"/>
  <c r="I485" i="56"/>
  <c r="I480" i="56"/>
  <c r="I478" i="56"/>
  <c r="I476" i="56"/>
  <c r="H489" i="56"/>
  <c r="H487" i="56"/>
  <c r="H485" i="56"/>
  <c r="H480" i="56"/>
  <c r="H478" i="56"/>
  <c r="H476" i="56"/>
  <c r="I488" i="56"/>
  <c r="I486" i="56"/>
  <c r="I479" i="56"/>
  <c r="I477" i="56"/>
  <c r="H488" i="56"/>
  <c r="H479" i="56"/>
  <c r="H486" i="56"/>
  <c r="H477" i="56"/>
  <c r="F489" i="56"/>
  <c r="F485" i="56"/>
  <c r="F480" i="56"/>
  <c r="F476" i="56"/>
  <c r="F488" i="56"/>
  <c r="F479" i="56"/>
  <c r="F487" i="56"/>
  <c r="F478" i="56"/>
  <c r="F486" i="56"/>
  <c r="F477" i="56"/>
  <c r="G391" i="56"/>
  <c r="G459" i="56"/>
  <c r="G384" i="56"/>
  <c r="G380" i="56"/>
  <c r="G401" i="56"/>
  <c r="G390" i="56"/>
  <c r="G382" i="56"/>
  <c r="G383" i="56"/>
  <c r="G387" i="56"/>
  <c r="G390" i="37"/>
  <c r="H411" i="37"/>
  <c r="G382" i="37"/>
  <c r="H403" i="37"/>
  <c r="G383" i="37"/>
  <c r="H404" i="37"/>
  <c r="H405" i="37"/>
  <c r="G384" i="37"/>
  <c r="H486" i="37"/>
  <c r="H485" i="37"/>
  <c r="I476" i="37"/>
  <c r="F485" i="37"/>
  <c r="I489" i="37"/>
  <c r="I480" i="37"/>
  <c r="H489" i="37"/>
  <c r="H480" i="37"/>
  <c r="F489" i="37"/>
  <c r="F480" i="37"/>
  <c r="H478" i="37"/>
  <c r="I479" i="37"/>
  <c r="I477" i="37"/>
  <c r="F477" i="37"/>
  <c r="F476" i="37"/>
  <c r="H488" i="37"/>
  <c r="H479" i="37"/>
  <c r="F488" i="37"/>
  <c r="F479" i="37"/>
  <c r="I487" i="37"/>
  <c r="I478" i="37"/>
  <c r="I488" i="37"/>
  <c r="F486" i="37"/>
  <c r="F487" i="37"/>
  <c r="F478" i="37"/>
  <c r="I486" i="37"/>
  <c r="H477" i="37"/>
  <c r="I485" i="37"/>
  <c r="H476" i="37"/>
  <c r="H487" i="37"/>
  <c r="G380" i="37"/>
  <c r="H401" i="37"/>
  <c r="G401" i="37" s="1"/>
  <c r="G387" i="37"/>
  <c r="H408" i="37"/>
  <c r="N71" i="1" l="1"/>
  <c r="H459" i="56"/>
  <c r="H329" i="56" s="1"/>
  <c r="G329" i="56" s="1"/>
  <c r="H490" i="56"/>
  <c r="H491" i="56" s="1"/>
  <c r="H378" i="56" s="1"/>
  <c r="H381" i="56" s="1"/>
  <c r="H402" i="56" s="1"/>
  <c r="I490" i="56"/>
  <c r="I491" i="56" s="1"/>
  <c r="I378" i="56" s="1"/>
  <c r="I381" i="56" s="1"/>
  <c r="I402" i="56" s="1"/>
  <c r="I481" i="56"/>
  <c r="I482" i="56" s="1"/>
  <c r="H481" i="56"/>
  <c r="H482" i="56" s="1"/>
  <c r="F490" i="56"/>
  <c r="F491" i="56" s="1"/>
  <c r="F481" i="56"/>
  <c r="F482" i="56" s="1"/>
  <c r="G408" i="56"/>
  <c r="G403" i="56"/>
  <c r="G404" i="56"/>
  <c r="G411" i="56"/>
  <c r="G405" i="56"/>
  <c r="F490" i="37"/>
  <c r="F491" i="37" s="1"/>
  <c r="H490" i="37"/>
  <c r="H491" i="37" s="1"/>
  <c r="H378" i="37" s="1"/>
  <c r="H381" i="37" s="1"/>
  <c r="F481" i="37"/>
  <c r="F482" i="37" s="1"/>
  <c r="I481" i="37"/>
  <c r="I482" i="37" s="1"/>
  <c r="I490" i="37"/>
  <c r="I491" i="37" s="1"/>
  <c r="I378" i="37" s="1"/>
  <c r="H481" i="37"/>
  <c r="H482" i="37" s="1"/>
  <c r="H421" i="37"/>
  <c r="G403" i="37"/>
  <c r="H426" i="37"/>
  <c r="G408" i="37"/>
  <c r="H423" i="37"/>
  <c r="G405" i="37"/>
  <c r="G411" i="37"/>
  <c r="H429" i="37"/>
  <c r="H422" i="37"/>
  <c r="G404" i="37"/>
  <c r="H379" i="56" l="1"/>
  <c r="H400" i="56" s="1"/>
  <c r="I379" i="56"/>
  <c r="I400" i="56" s="1"/>
  <c r="I381" i="37"/>
  <c r="I402" i="37" s="1"/>
  <c r="I379" i="37"/>
  <c r="G429" i="56"/>
  <c r="G421" i="56"/>
  <c r="G422" i="56"/>
  <c r="G426" i="56"/>
  <c r="G423" i="56"/>
  <c r="H402" i="37"/>
  <c r="H379" i="37"/>
  <c r="G423" i="37"/>
  <c r="G55" i="37" s="1"/>
  <c r="H55" i="37"/>
  <c r="G421" i="37"/>
  <c r="G53" i="37" s="1"/>
  <c r="H53" i="37"/>
  <c r="G422" i="37"/>
  <c r="G54" i="37" s="1"/>
  <c r="H54" i="37"/>
  <c r="G429" i="37"/>
  <c r="G59" i="37" s="1"/>
  <c r="H59" i="37"/>
  <c r="G426" i="37"/>
  <c r="G56" i="37" s="1"/>
  <c r="H56" i="37"/>
  <c r="G402" i="56" l="1"/>
  <c r="G381" i="56"/>
  <c r="I392" i="56"/>
  <c r="I18" i="56" s="1"/>
  <c r="I19" i="56" s="1"/>
  <c r="H392" i="56"/>
  <c r="H18" i="56" s="1"/>
  <c r="G55" i="56"/>
  <c r="G54" i="56"/>
  <c r="G53" i="56"/>
  <c r="G59" i="56"/>
  <c r="G56" i="56"/>
  <c r="G402" i="37"/>
  <c r="G381" i="37"/>
  <c r="I392" i="37"/>
  <c r="I18" i="37" s="1"/>
  <c r="I400" i="37"/>
  <c r="G379" i="56"/>
  <c r="G379" i="37"/>
  <c r="G400" i="56" l="1"/>
  <c r="H19" i="56"/>
  <c r="I315" i="56"/>
  <c r="I314" i="56" s="1"/>
  <c r="I309" i="56" s="1"/>
  <c r="I398" i="56" s="1"/>
  <c r="H315" i="56"/>
  <c r="H314" i="56" s="1"/>
  <c r="H309" i="56" s="1"/>
  <c r="H398" i="56" s="1"/>
  <c r="I315" i="37"/>
  <c r="I314" i="37" s="1"/>
  <c r="I309" i="37" s="1"/>
  <c r="I398" i="37" s="1"/>
  <c r="I19" i="37"/>
  <c r="G392" i="56"/>
  <c r="G19" i="56" l="1"/>
  <c r="G18" i="56"/>
  <c r="G315" i="56"/>
  <c r="G309" i="56"/>
  <c r="G314" i="56"/>
  <c r="J2" i="1" l="1"/>
  <c r="H18" i="8" s="1"/>
  <c r="I21" i="56"/>
  <c r="H21" i="56"/>
  <c r="F21" i="56"/>
  <c r="J16" i="1" l="1"/>
  <c r="K16" i="1"/>
  <c r="G21" i="56"/>
  <c r="G22" i="56" l="1"/>
  <c r="I22" i="56" l="1"/>
  <c r="H22" i="56"/>
  <c r="H23" i="56" s="1"/>
  <c r="H17" i="56" s="1"/>
  <c r="H15" i="56" s="1"/>
  <c r="F22" i="56"/>
  <c r="H65" i="56" l="1"/>
  <c r="H79" i="56"/>
  <c r="H82" i="56" s="1"/>
  <c r="H6" i="56" s="1"/>
  <c r="H69" i="56"/>
  <c r="G46" i="37"/>
  <c r="H353" i="37"/>
  <c r="H399" i="37" s="1"/>
  <c r="H76" i="56" l="1"/>
  <c r="H77" i="56" s="1"/>
  <c r="H73" i="56"/>
  <c r="G399" i="37"/>
  <c r="G353" i="37"/>
  <c r="H319" i="37"/>
  <c r="G319" i="37" s="1"/>
  <c r="H373" i="37"/>
  <c r="H412" i="37"/>
  <c r="H400" i="37"/>
  <c r="G23" i="56" l="1"/>
  <c r="H81" i="56"/>
  <c r="H78" i="56"/>
  <c r="H80" i="56" s="1"/>
  <c r="G412" i="37"/>
  <c r="H432" i="37"/>
  <c r="H311" i="37"/>
  <c r="G373" i="37"/>
  <c r="G391" i="37" s="1"/>
  <c r="H391" i="37"/>
  <c r="H392" i="37" s="1"/>
  <c r="G400" i="37"/>
  <c r="H25" i="6"/>
  <c r="H48" i="6" s="1"/>
  <c r="H27" i="8"/>
  <c r="H94" i="6" l="1"/>
  <c r="H71" i="6"/>
  <c r="H255" i="6"/>
  <c r="H232" i="6"/>
  <c r="H278" i="6"/>
  <c r="G17" i="56"/>
  <c r="G65" i="56"/>
  <c r="G15" i="56"/>
  <c r="H8" i="56"/>
  <c r="H83" i="56"/>
  <c r="H7" i="56" s="1"/>
  <c r="G79" i="56"/>
  <c r="G432" i="37"/>
  <c r="G60" i="37" s="1"/>
  <c r="H60" i="37"/>
  <c r="H324" i="37"/>
  <c r="H18" i="37"/>
  <c r="H315" i="37"/>
  <c r="G392" i="37"/>
  <c r="H2" i="1"/>
  <c r="H25" i="1" s="1"/>
  <c r="H2" i="9"/>
  <c r="H25" i="9" s="1"/>
  <c r="H48" i="1" l="1"/>
  <c r="H71" i="1" s="1"/>
  <c r="H94" i="1" s="1"/>
  <c r="G6" i="56"/>
  <c r="G82" i="56"/>
  <c r="G18" i="37"/>
  <c r="H19" i="37"/>
  <c r="G19" i="37" s="1"/>
  <c r="H314" i="37"/>
  <c r="G315" i="37"/>
  <c r="H48" i="9"/>
  <c r="H71" i="9" s="1"/>
  <c r="H94" i="9"/>
  <c r="F21" i="37" l="1"/>
  <c r="I21" i="37"/>
  <c r="H21" i="37"/>
  <c r="G314" i="37"/>
  <c r="H309" i="37"/>
  <c r="G21" i="37" l="1"/>
  <c r="G22" i="37" s="1"/>
  <c r="H398" i="37"/>
  <c r="G398" i="37" s="1"/>
  <c r="G309" i="37"/>
  <c r="H111" i="53"/>
  <c r="H113" i="53"/>
  <c r="H71" i="53"/>
  <c r="H112" i="53"/>
  <c r="H76" i="53"/>
  <c r="H105" i="53"/>
  <c r="H115" i="53"/>
  <c r="H109" i="53"/>
  <c r="H68" i="53"/>
  <c r="H106" i="53"/>
  <c r="H104" i="53"/>
  <c r="H114" i="53"/>
  <c r="H110" i="53"/>
  <c r="H73" i="53"/>
  <c r="H72" i="53"/>
  <c r="H107" i="53"/>
  <c r="H77" i="53"/>
  <c r="H67" i="53"/>
  <c r="H69" i="53"/>
  <c r="H74" i="53"/>
  <c r="H70" i="53"/>
  <c r="H108" i="53"/>
  <c r="H75" i="53"/>
  <c r="F22" i="37" l="1"/>
  <c r="H22" i="37"/>
  <c r="H23" i="37" s="1"/>
  <c r="H497" i="37"/>
  <c r="H498" i="37"/>
  <c r="I498" i="37"/>
  <c r="H494" i="37"/>
  <c r="H504" i="37"/>
  <c r="H505" i="37"/>
  <c r="F504" i="37"/>
  <c r="I503" i="37"/>
  <c r="F506" i="37"/>
  <c r="H503" i="37"/>
  <c r="I504" i="37"/>
  <c r="F498" i="37"/>
  <c r="H495" i="37"/>
  <c r="F496" i="37"/>
  <c r="H502" i="37"/>
  <c r="F503" i="37"/>
  <c r="H506" i="37"/>
  <c r="I497" i="37"/>
  <c r="I494" i="37"/>
  <c r="H496" i="37"/>
  <c r="I506" i="37"/>
  <c r="I505" i="37"/>
  <c r="I495" i="37"/>
  <c r="I502" i="37"/>
  <c r="F502" i="37"/>
  <c r="F497" i="37"/>
  <c r="F495" i="37"/>
  <c r="F505" i="37"/>
  <c r="I496" i="37"/>
  <c r="F494" i="37"/>
  <c r="I22" i="37" l="1"/>
  <c r="H507" i="37"/>
  <c r="H417" i="37" s="1"/>
  <c r="H420" i="37" s="1"/>
  <c r="H17" i="37"/>
  <c r="H15" i="37" s="1"/>
  <c r="F507" i="37"/>
  <c r="F499" i="37"/>
  <c r="I507" i="37"/>
  <c r="I417" i="37" s="1"/>
  <c r="I418" i="37" s="1"/>
  <c r="I499" i="37"/>
  <c r="I415" i="37" s="1"/>
  <c r="H499" i="37"/>
  <c r="H415" i="37" s="1"/>
  <c r="H30" i="1" l="1"/>
  <c r="I30" i="1" s="1"/>
  <c r="I32" i="1" s="1"/>
  <c r="I47" i="1" s="1"/>
  <c r="I19" i="1" s="1"/>
  <c r="I22" i="1" s="1"/>
  <c r="I23" i="1" s="1"/>
  <c r="I24" i="1" s="1"/>
  <c r="J24" i="1" s="1"/>
  <c r="I23" i="37"/>
  <c r="I419" i="37"/>
  <c r="I51" i="37" s="1"/>
  <c r="I416" i="37"/>
  <c r="I49" i="37" s="1"/>
  <c r="H419" i="37"/>
  <c r="H416" i="37"/>
  <c r="I420" i="37"/>
  <c r="I52" i="37" s="1"/>
  <c r="H418" i="37"/>
  <c r="H50" i="37" s="1"/>
  <c r="H79" i="37"/>
  <c r="H82" i="37" s="1"/>
  <c r="H6" i="37" s="1"/>
  <c r="H65" i="37"/>
  <c r="H52" i="37"/>
  <c r="I50" i="37"/>
  <c r="H16" i="53"/>
  <c r="I17" i="37" l="1"/>
  <c r="I15" i="37" s="1"/>
  <c r="I79" i="37" s="1"/>
  <c r="I82" i="37" s="1"/>
  <c r="I6" i="37" s="1"/>
  <c r="H49" i="37"/>
  <c r="G416" i="37"/>
  <c r="G49" i="37" s="1"/>
  <c r="H51" i="37"/>
  <c r="G419" i="37"/>
  <c r="G51" i="37" s="1"/>
  <c r="I433" i="37"/>
  <c r="I434" i="37" s="1"/>
  <c r="I439" i="37" s="1"/>
  <c r="I323" i="37"/>
  <c r="I322" i="37" s="1"/>
  <c r="I321" i="37" s="1"/>
  <c r="I63" i="37"/>
  <c r="H323" i="37"/>
  <c r="H322" i="37" s="1"/>
  <c r="H321" i="37" s="1"/>
  <c r="H433" i="37"/>
  <c r="H434" i="37" s="1"/>
  <c r="G418" i="37"/>
  <c r="G50" i="37" s="1"/>
  <c r="G420" i="37"/>
  <c r="G52" i="37" s="1"/>
  <c r="I65" i="37" l="1"/>
  <c r="I64" i="37"/>
  <c r="H63" i="37"/>
  <c r="H64" i="37" s="1"/>
  <c r="H466" i="37"/>
  <c r="H469" i="37" s="1"/>
  <c r="H439" i="37"/>
  <c r="H444" i="37" s="1"/>
  <c r="H445" i="37" s="1"/>
  <c r="I444" i="37"/>
  <c r="I445" i="37" s="1"/>
  <c r="I466" i="37"/>
  <c r="I469" i="37" s="1"/>
  <c r="G323" i="37"/>
  <c r="I446" i="37" l="1"/>
  <c r="H446" i="37"/>
  <c r="G5" i="53"/>
  <c r="G32" i="53" l="1"/>
  <c r="G133" i="56" l="1"/>
  <c r="G182" i="56"/>
  <c r="I291" i="56" l="1"/>
  <c r="I289" i="56"/>
  <c r="H291" i="56"/>
  <c r="H289" i="56"/>
  <c r="I290" i="56"/>
  <c r="I288" i="56"/>
  <c r="H288" i="56"/>
  <c r="H283" i="56"/>
  <c r="H281" i="56"/>
  <c r="H279" i="56"/>
  <c r="I287" i="56"/>
  <c r="I282" i="56"/>
  <c r="I280" i="56"/>
  <c r="H287" i="56"/>
  <c r="H282" i="56"/>
  <c r="H280" i="56"/>
  <c r="H290" i="56"/>
  <c r="I279" i="56"/>
  <c r="I283" i="56"/>
  <c r="I281" i="56"/>
  <c r="F288" i="56"/>
  <c r="F281" i="56"/>
  <c r="F291" i="56"/>
  <c r="F280" i="56"/>
  <c r="F290" i="56"/>
  <c r="F283" i="56"/>
  <c r="F282" i="56"/>
  <c r="F289" i="56"/>
  <c r="F279" i="56"/>
  <c r="F287" i="56"/>
  <c r="G412" i="56"/>
  <c r="G349" i="56"/>
  <c r="G196" i="56"/>
  <c r="G398" i="56"/>
  <c r="I292" i="56" l="1"/>
  <c r="I201" i="56" s="1"/>
  <c r="I202" i="56" s="1"/>
  <c r="H284" i="56"/>
  <c r="H199" i="56" s="1"/>
  <c r="H292" i="56"/>
  <c r="H201" i="56" s="1"/>
  <c r="H202" i="56" s="1"/>
  <c r="I284" i="56"/>
  <c r="I199" i="56" s="1"/>
  <c r="I505" i="56"/>
  <c r="I503" i="56"/>
  <c r="I498" i="56"/>
  <c r="I496" i="56"/>
  <c r="I494" i="56"/>
  <c r="H505" i="56"/>
  <c r="H503" i="56"/>
  <c r="H498" i="56"/>
  <c r="H496" i="56"/>
  <c r="H494" i="56"/>
  <c r="I506" i="56"/>
  <c r="I504" i="56"/>
  <c r="I502" i="56"/>
  <c r="I497" i="56"/>
  <c r="I495" i="56"/>
  <c r="H506" i="56"/>
  <c r="H497" i="56"/>
  <c r="H504" i="56"/>
  <c r="H495" i="56"/>
  <c r="H502" i="56"/>
  <c r="F284" i="56"/>
  <c r="F292" i="56"/>
  <c r="F503" i="56"/>
  <c r="F498" i="56"/>
  <c r="F494" i="56"/>
  <c r="F506" i="56"/>
  <c r="F502" i="56"/>
  <c r="F497" i="56"/>
  <c r="F505" i="56"/>
  <c r="F496" i="56"/>
  <c r="F504" i="56"/>
  <c r="F495" i="56"/>
  <c r="G216" i="56"/>
  <c r="G108" i="56"/>
  <c r="G432" i="56"/>
  <c r="I204" i="56" l="1"/>
  <c r="H204" i="56"/>
  <c r="I203" i="56"/>
  <c r="I200" i="56"/>
  <c r="H203" i="56"/>
  <c r="H200" i="56"/>
  <c r="I499" i="56"/>
  <c r="I415" i="56" s="1"/>
  <c r="H499" i="56"/>
  <c r="H415" i="56" s="1"/>
  <c r="I507" i="56"/>
  <c r="I417" i="56" s="1"/>
  <c r="I420" i="56" s="1"/>
  <c r="I52" i="56" s="1"/>
  <c r="H507" i="56"/>
  <c r="H417" i="56" s="1"/>
  <c r="H418" i="56" s="1"/>
  <c r="F499" i="56"/>
  <c r="F507" i="56"/>
  <c r="G60" i="56"/>
  <c r="H217" i="56" l="1"/>
  <c r="H218" i="56" s="1"/>
  <c r="H251" i="56" s="1"/>
  <c r="H254" i="56" s="1"/>
  <c r="I217" i="56"/>
  <c r="I218" i="56" s="1"/>
  <c r="I251" i="56" s="1"/>
  <c r="I254" i="56" s="1"/>
  <c r="H107" i="56"/>
  <c r="H106" i="56" s="1"/>
  <c r="H105" i="56" s="1"/>
  <c r="G203" i="56"/>
  <c r="I107" i="56"/>
  <c r="I106" i="56" s="1"/>
  <c r="I105" i="56" s="1"/>
  <c r="H419" i="56"/>
  <c r="H51" i="56" s="1"/>
  <c r="H416" i="56"/>
  <c r="H49" i="56" s="1"/>
  <c r="I419" i="56"/>
  <c r="I51" i="56" s="1"/>
  <c r="I416" i="56"/>
  <c r="I49" i="56" s="1"/>
  <c r="I418" i="56"/>
  <c r="H420" i="56"/>
  <c r="H52" i="56" s="1"/>
  <c r="H50" i="56"/>
  <c r="G202" i="56"/>
  <c r="G204" i="56"/>
  <c r="G200" i="56"/>
  <c r="I224" i="56" l="1"/>
  <c r="I229" i="56" s="1"/>
  <c r="I230" i="56" s="1"/>
  <c r="H224" i="56"/>
  <c r="H229" i="56" s="1"/>
  <c r="H231" i="56" s="1"/>
  <c r="G419" i="56"/>
  <c r="G51" i="56" s="1"/>
  <c r="I323" i="56"/>
  <c r="I322" i="56" s="1"/>
  <c r="I321" i="56" s="1"/>
  <c r="H323" i="56"/>
  <c r="H322" i="56" s="1"/>
  <c r="H321" i="56" s="1"/>
  <c r="H433" i="56"/>
  <c r="H434" i="56" s="1"/>
  <c r="H63" i="56"/>
  <c r="H64" i="56" s="1"/>
  <c r="I433" i="56"/>
  <c r="I434" i="56" s="1"/>
  <c r="I50" i="56"/>
  <c r="I63" i="56" s="1"/>
  <c r="I64" i="56" s="1"/>
  <c r="G420" i="56"/>
  <c r="G217" i="56"/>
  <c r="G107" i="56"/>
  <c r="G416" i="56"/>
  <c r="G418" i="56"/>
  <c r="G106" i="56"/>
  <c r="I231" i="56" l="1"/>
  <c r="H230" i="56"/>
  <c r="I466" i="56"/>
  <c r="I469" i="56" s="1"/>
  <c r="I439" i="56"/>
  <c r="I444" i="56" s="1"/>
  <c r="H466" i="56"/>
  <c r="H469" i="56" s="1"/>
  <c r="H439" i="56"/>
  <c r="H444" i="56" s="1"/>
  <c r="G50" i="56"/>
  <c r="G49" i="56"/>
  <c r="G52" i="56"/>
  <c r="G218" i="56"/>
  <c r="G323" i="56"/>
  <c r="G105" i="56"/>
  <c r="G224" i="56"/>
  <c r="G226" i="56" s="1"/>
  <c r="I446" i="56" l="1"/>
  <c r="I445" i="56"/>
  <c r="H446" i="56"/>
  <c r="H445" i="56"/>
  <c r="H296" i="56"/>
  <c r="H295" i="56"/>
  <c r="H297" i="56"/>
  <c r="G254" i="56"/>
  <c r="G251" i="56"/>
  <c r="G230" i="56"/>
  <c r="G229" i="56"/>
  <c r="G231" i="56"/>
  <c r="G241" i="56" s="1"/>
  <c r="H298" i="56" l="1"/>
  <c r="E229" i="56" s="1"/>
  <c r="E230" i="56" s="1"/>
  <c r="I241" i="56"/>
  <c r="H241" i="56" l="1"/>
  <c r="E239" i="56"/>
  <c r="G239" i="56" s="1"/>
  <c r="E240" i="56"/>
  <c r="G240" i="56" s="1"/>
  <c r="I240" i="56" l="1"/>
  <c r="I239" i="56"/>
  <c r="H240" i="56" l="1"/>
  <c r="I112" i="56"/>
  <c r="H239" i="56"/>
  <c r="I250" i="56"/>
  <c r="I252" i="56" s="1"/>
  <c r="G105" i="53"/>
  <c r="G112" i="53"/>
  <c r="G107" i="53"/>
  <c r="G108" i="53"/>
  <c r="G75" i="53"/>
  <c r="G71" i="53"/>
  <c r="G115" i="53"/>
  <c r="G109" i="53"/>
  <c r="G110" i="53"/>
  <c r="G69" i="53"/>
  <c r="H117" i="53"/>
  <c r="G104" i="53"/>
  <c r="G72" i="53"/>
  <c r="G111" i="53"/>
  <c r="G74" i="53"/>
  <c r="G67" i="53"/>
  <c r="G73" i="53"/>
  <c r="G76" i="53"/>
  <c r="G68" i="53"/>
  <c r="G114" i="53"/>
  <c r="G106" i="53"/>
  <c r="G70" i="53"/>
  <c r="G113" i="53"/>
  <c r="G77" i="53"/>
  <c r="I253" i="56" l="1"/>
  <c r="I258" i="56"/>
  <c r="G117" i="53"/>
  <c r="G63" i="56" l="1"/>
  <c r="G64" i="56"/>
  <c r="I66" i="56" l="1"/>
  <c r="H66" i="56"/>
  <c r="F66" i="56"/>
  <c r="G433" i="56"/>
  <c r="G430" i="56"/>
  <c r="G325" i="56"/>
  <c r="G66" i="56" l="1"/>
  <c r="G324" i="56"/>
  <c r="G434" i="56"/>
  <c r="G67" i="56" l="1"/>
  <c r="G322" i="56"/>
  <c r="G466" i="56"/>
  <c r="G469" i="56"/>
  <c r="G439" i="56"/>
  <c r="I67" i="56" l="1"/>
  <c r="H67" i="56"/>
  <c r="F67" i="56"/>
  <c r="G441" i="56"/>
  <c r="G321" i="56"/>
  <c r="G444" i="56"/>
  <c r="H512" i="56" l="1"/>
  <c r="H511" i="56"/>
  <c r="H510" i="56"/>
  <c r="G445" i="56"/>
  <c r="G446" i="56"/>
  <c r="G456" i="56" s="1"/>
  <c r="I456" i="56" l="1"/>
  <c r="H456" i="56" s="1"/>
  <c r="F456" i="56"/>
  <c r="H513" i="56"/>
  <c r="E444" i="56" s="1"/>
  <c r="E445" i="56" s="1"/>
  <c r="F328" i="56" l="1"/>
  <c r="F326" i="56" s="1"/>
  <c r="F320" i="56" s="1"/>
  <c r="F331" i="56" s="1"/>
  <c r="F465" i="56"/>
  <c r="G68" i="56"/>
  <c r="E454" i="56"/>
  <c r="G454" i="56" s="1"/>
  <c r="E455" i="56"/>
  <c r="G455" i="56" s="1"/>
  <c r="F71" i="56" l="1"/>
  <c r="F72" i="56" s="1"/>
  <c r="F467" i="56"/>
  <c r="G73" i="56"/>
  <c r="G69" i="56"/>
  <c r="I455" i="56"/>
  <c r="I328" i="56" s="1"/>
  <c r="I454" i="56"/>
  <c r="F473" i="56" l="1"/>
  <c r="F468" i="56"/>
  <c r="G23" i="37"/>
  <c r="I465" i="56"/>
  <c r="H454" i="56"/>
  <c r="H455" i="56"/>
  <c r="H328" i="56" s="1"/>
  <c r="G16" i="53" l="1"/>
  <c r="G17" i="37"/>
  <c r="G15" i="37"/>
  <c r="G328" i="56"/>
  <c r="H465" i="56"/>
  <c r="I467" i="56"/>
  <c r="I71" i="56"/>
  <c r="I72" i="56" s="1"/>
  <c r="G65" i="37" l="1"/>
  <c r="G79" i="37"/>
  <c r="H467" i="56"/>
  <c r="G465" i="56"/>
  <c r="I473" i="56"/>
  <c r="I468" i="56"/>
  <c r="G6" i="37" l="1"/>
  <c r="G82" i="37"/>
  <c r="H473" i="56"/>
  <c r="H468" i="56"/>
  <c r="E471" i="56" s="1"/>
  <c r="E472" i="56" s="1"/>
  <c r="G472" i="56" s="1"/>
  <c r="G467" i="56"/>
  <c r="E473" i="56" l="1"/>
  <c r="I472" i="56" l="1"/>
  <c r="I470" i="56" s="1"/>
  <c r="I471" i="56" s="1"/>
  <c r="I327" i="56" s="1"/>
  <c r="I326" i="56" s="1"/>
  <c r="I320" i="56" s="1"/>
  <c r="I331" i="56" s="1"/>
  <c r="G473" i="56"/>
  <c r="F472" i="56"/>
  <c r="F470" i="56" s="1"/>
  <c r="F471" i="56" s="1"/>
  <c r="H472" i="56" l="1"/>
  <c r="H470" i="56" s="1"/>
  <c r="H471" i="56" s="1"/>
  <c r="H327" i="56" s="1"/>
  <c r="H326" i="56" s="1"/>
  <c r="H320" i="56" s="1"/>
  <c r="H331" i="56" s="1"/>
  <c r="G327" i="56" l="1"/>
  <c r="G470" i="56"/>
  <c r="G326" i="56"/>
  <c r="G320" i="56" l="1"/>
  <c r="G331" i="56" l="1"/>
  <c r="G63" i="37" l="1"/>
  <c r="G61" i="37"/>
  <c r="G64" i="37"/>
  <c r="G433" i="37"/>
  <c r="I66" i="37" l="1"/>
  <c r="F66" i="37"/>
  <c r="H66" i="37"/>
  <c r="G430" i="37"/>
  <c r="G325" i="37"/>
  <c r="G66" i="37" l="1"/>
  <c r="G67" i="37" s="1"/>
  <c r="G324" i="37"/>
  <c r="G434" i="37"/>
  <c r="G439" i="37" l="1"/>
  <c r="G441" i="37" s="1"/>
  <c r="H67" i="37"/>
  <c r="H68" i="37" s="1"/>
  <c r="F67" i="37"/>
  <c r="G466" i="37"/>
  <c r="G469" i="37"/>
  <c r="G322" i="37"/>
  <c r="I67" i="37" l="1"/>
  <c r="H69" i="37"/>
  <c r="H73" i="37" s="1"/>
  <c r="H511" i="37"/>
  <c r="H510" i="37"/>
  <c r="H512" i="37"/>
  <c r="G321" i="37"/>
  <c r="G444" i="37"/>
  <c r="H17" i="53"/>
  <c r="I68" i="37" l="1"/>
  <c r="H513" i="37"/>
  <c r="E444" i="37" s="1"/>
  <c r="E445" i="37" s="1"/>
  <c r="G445" i="37"/>
  <c r="G446" i="37"/>
  <c r="G456" i="37" s="1"/>
  <c r="H456" i="37" l="1"/>
  <c r="F328" i="37"/>
  <c r="F326" i="37" s="1"/>
  <c r="F320" i="37" s="1"/>
  <c r="F331" i="37" s="1"/>
  <c r="I69" i="37"/>
  <c r="I73" i="37" s="1"/>
  <c r="E454" i="37"/>
  <c r="G454" i="37" s="1"/>
  <c r="E455" i="37"/>
  <c r="G455" i="37" s="1"/>
  <c r="F465" i="37" l="1"/>
  <c r="F71" i="37" s="1"/>
  <c r="F72" i="37" s="1"/>
  <c r="I454" i="37"/>
  <c r="I455" i="37"/>
  <c r="I17" i="53"/>
  <c r="F467" i="37" l="1"/>
  <c r="F468" i="37" s="1"/>
  <c r="I465" i="37"/>
  <c r="I467" i="37" s="1"/>
  <c r="H455" i="37"/>
  <c r="H328" i="37" s="1"/>
  <c r="H454" i="37"/>
  <c r="I328" i="37"/>
  <c r="F473" i="37" l="1"/>
  <c r="I71" i="37"/>
  <c r="I72" i="37" s="1"/>
  <c r="H465" i="37"/>
  <c r="H71" i="37" s="1"/>
  <c r="G328" i="37"/>
  <c r="I473" i="37"/>
  <c r="I468" i="37"/>
  <c r="G465" i="37" l="1"/>
  <c r="G71" i="37" s="1"/>
  <c r="H467" i="37"/>
  <c r="H473" i="37" s="1"/>
  <c r="H72" i="37"/>
  <c r="H468" i="37" l="1"/>
  <c r="E471" i="37" s="1"/>
  <c r="G467" i="37"/>
  <c r="E472" i="37" l="1"/>
  <c r="G472" i="37" s="1"/>
  <c r="E473" i="37" l="1"/>
  <c r="F472" i="37" l="1"/>
  <c r="F470" i="37" s="1"/>
  <c r="F471" i="37" s="1"/>
  <c r="I472" i="37"/>
  <c r="I470" i="37" s="1"/>
  <c r="I471" i="37" s="1"/>
  <c r="I327" i="37" s="1"/>
  <c r="I326" i="37" s="1"/>
  <c r="I320" i="37" s="1"/>
  <c r="I331" i="37" s="1"/>
  <c r="G473" i="37"/>
  <c r="H472" i="37" l="1"/>
  <c r="H470" i="37" s="1"/>
  <c r="G470" i="37" l="1"/>
  <c r="H471" i="37"/>
  <c r="H327" i="37" s="1"/>
  <c r="H326" i="37" l="1"/>
  <c r="G327" i="37"/>
  <c r="G326" i="37" l="1"/>
  <c r="H320" i="37"/>
  <c r="G320" i="37" l="1"/>
  <c r="H331" i="37"/>
  <c r="G331" i="37" s="1"/>
  <c r="I76" i="37" l="1"/>
  <c r="I77" i="37" l="1"/>
  <c r="I81" i="37" s="1"/>
  <c r="I78" i="37" l="1"/>
  <c r="I80" i="37" s="1"/>
  <c r="I8" i="37"/>
  <c r="I120" i="53" s="1"/>
  <c r="I83" i="37"/>
  <c r="I7" i="37" s="1"/>
  <c r="I119" i="53"/>
  <c r="I18" i="53"/>
  <c r="I15" i="53" l="1"/>
  <c r="I19" i="53" s="1"/>
  <c r="I20" i="53" s="1"/>
  <c r="I13" i="53"/>
  <c r="I12" i="53"/>
  <c r="I9" i="53" l="1"/>
  <c r="I14" i="53"/>
  <c r="I11" i="53" s="1"/>
  <c r="I23" i="53" s="1"/>
  <c r="I79" i="53" s="1"/>
  <c r="I118" i="53" s="1"/>
  <c r="I10" i="53"/>
  <c r="H250" i="56"/>
  <c r="H71" i="56" s="1"/>
  <c r="H72" i="56" s="1"/>
  <c r="G72" i="56" s="1"/>
  <c r="H112" i="56"/>
  <c r="G112" i="56" s="1"/>
  <c r="G68" i="37" l="1"/>
  <c r="I74" i="56"/>
  <c r="H74" i="56"/>
  <c r="F74" i="56"/>
  <c r="G250" i="56"/>
  <c r="G71" i="56" s="1"/>
  <c r="H252" i="56"/>
  <c r="G17" i="53" l="1"/>
  <c r="G69" i="37"/>
  <c r="G74" i="56"/>
  <c r="G75" i="56" s="1"/>
  <c r="G252" i="56"/>
  <c r="G253" i="56" s="1"/>
  <c r="H253" i="56"/>
  <c r="H258" i="56"/>
  <c r="G72" i="37" l="1"/>
  <c r="G73" i="37"/>
  <c r="I75" i="56"/>
  <c r="H75" i="56"/>
  <c r="F75" i="56"/>
  <c r="E256" i="56"/>
  <c r="I74" i="37" l="1"/>
  <c r="F74" i="37"/>
  <c r="H74" i="37"/>
  <c r="E257" i="56"/>
  <c r="G257" i="56" s="1"/>
  <c r="G74" i="37" l="1"/>
  <c r="G75" i="37" s="1"/>
  <c r="E258" i="56"/>
  <c r="H75" i="37" l="1"/>
  <c r="H76" i="37" s="1"/>
  <c r="F75" i="37"/>
  <c r="I75" i="37"/>
  <c r="G80" i="56"/>
  <c r="G76" i="56"/>
  <c r="G77" i="56"/>
  <c r="I257" i="56"/>
  <c r="I255" i="56" s="1"/>
  <c r="I256" i="56" s="1"/>
  <c r="I111" i="56" s="1"/>
  <c r="I110" i="56" s="1"/>
  <c r="I104" i="56" s="1"/>
  <c r="I115" i="56" s="1"/>
  <c r="G258" i="56"/>
  <c r="H18" i="53"/>
  <c r="H15" i="53" l="1"/>
  <c r="H19" i="53" s="1"/>
  <c r="H77" i="37"/>
  <c r="G78" i="56"/>
  <c r="H257" i="56"/>
  <c r="H255" i="56" s="1"/>
  <c r="H78" i="37" l="1"/>
  <c r="H81" i="37"/>
  <c r="G7" i="56"/>
  <c r="G81" i="56"/>
  <c r="G8" i="56"/>
  <c r="G255" i="56"/>
  <c r="H256" i="56"/>
  <c r="H111" i="56" s="1"/>
  <c r="H13" i="53"/>
  <c r="H12" i="53"/>
  <c r="H10" i="53" l="1"/>
  <c r="H14" i="53"/>
  <c r="H11" i="53" s="1"/>
  <c r="H23" i="53" s="1"/>
  <c r="H79" i="53" s="1"/>
  <c r="H118" i="53" s="1"/>
  <c r="H9" i="53"/>
  <c r="H8" i="37"/>
  <c r="H83" i="37"/>
  <c r="H119" i="53"/>
  <c r="H80" i="37"/>
  <c r="H20" i="53"/>
  <c r="G83" i="56"/>
  <c r="G111" i="56"/>
  <c r="H110" i="56"/>
  <c r="H7" i="37" l="1"/>
  <c r="H120" i="53"/>
  <c r="G110" i="56"/>
  <c r="H104" i="56"/>
  <c r="H115" i="56" l="1"/>
  <c r="G115" i="56" s="1"/>
  <c r="G104" i="56"/>
  <c r="G76" i="37" l="1"/>
  <c r="G18" i="53" l="1"/>
  <c r="G77" i="37"/>
  <c r="G119" i="53" l="1"/>
  <c r="G15" i="53"/>
  <c r="G19" i="53"/>
  <c r="G80" i="37"/>
  <c r="G78" i="37"/>
  <c r="G81" i="37"/>
  <c r="G120" i="53"/>
  <c r="G20" i="53" l="1"/>
  <c r="G13" i="53"/>
  <c r="G12" i="53"/>
  <c r="G8" i="37"/>
  <c r="G7" i="37"/>
  <c r="G83" i="37"/>
  <c r="G23" i="53" l="1"/>
  <c r="G10" i="53"/>
  <c r="G14" i="53"/>
  <c r="G9" i="53"/>
  <c r="G11" i="53"/>
  <c r="G118" i="53" l="1"/>
  <c r="G79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若島　寛子</author>
  </authors>
  <commentList>
    <comment ref="N8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年度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O8" authorId="0" shapeId="0" xr:uid="{00000000-0006-0000-0000-000002000000}">
      <text>
        <r>
          <rPr>
            <b/>
            <sz val="9"/>
            <color indexed="81"/>
            <rFont val="MS P ゴシック"/>
            <family val="3"/>
            <charset val="128"/>
          </rPr>
          <t>設計書番号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N10" authorId="0" shapeId="0" xr:uid="{00000000-0006-0000-0000-000003000000}">
      <text>
        <r>
          <rPr>
            <b/>
            <sz val="9"/>
            <color indexed="81"/>
            <rFont val="MS P ゴシック"/>
            <family val="3"/>
            <charset val="128"/>
          </rPr>
          <t>設計変更/指定契約を選択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MS P ゴシック"/>
            <family val="3"/>
            <charset val="128"/>
          </rPr>
          <t>設計変更の回次を入力
(指定契約の場合は空欄)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若島　寛子</author>
  </authors>
  <commentList>
    <comment ref="A1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追加工事シート数</t>
        </r>
      </text>
    </comment>
    <comment ref="H1" authorId="0" shapeId="0" xr:uid="{00000000-0006-0000-0200-000002000000}">
      <text>
        <r>
          <rPr>
            <b/>
            <sz val="9"/>
            <color indexed="81"/>
            <rFont val="MS P ゴシック"/>
            <family val="3"/>
            <charset val="128"/>
          </rPr>
          <t>A～I列は削除しないで下さい。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2" authorId="0" shapeId="0" xr:uid="{00000000-0006-0000-0200-000003000000}">
      <text>
        <r>
          <rPr>
            <b/>
            <sz val="9"/>
            <color indexed="81"/>
            <rFont val="MS P ゴシック"/>
            <family val="3"/>
            <charset val="128"/>
          </rPr>
          <t>列数＋1</t>
        </r>
      </text>
    </comment>
    <comment ref="A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元明細シート数＋追加工事シート数</t>
        </r>
      </text>
    </comment>
    <comment ref="G4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落札率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若島　寛子</author>
  </authors>
  <commentList>
    <comment ref="A1" authorId="0" shapeId="0" xr:uid="{00000000-0006-0000-0400-000001000000}">
      <text>
        <r>
          <rPr>
            <b/>
            <sz val="9"/>
            <color indexed="81"/>
            <rFont val="MS P ゴシック"/>
            <family val="3"/>
            <charset val="128"/>
          </rPr>
          <t>追加工事数</t>
        </r>
      </text>
    </comment>
    <comment ref="H1" authorId="0" shapeId="0" xr:uid="{00000000-0006-0000-0400-000002000000}">
      <text>
        <r>
          <rPr>
            <b/>
            <sz val="9"/>
            <color indexed="81"/>
            <rFont val="MS P ゴシック"/>
            <family val="3"/>
            <charset val="128"/>
          </rPr>
          <t>A～I列は削除しないで下さい。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2" authorId="0" shapeId="0" xr:uid="{00000000-0006-0000-0400-000003000000}">
      <text>
        <r>
          <rPr>
            <b/>
            <sz val="9"/>
            <color indexed="81"/>
            <rFont val="MS P ゴシック"/>
            <family val="3"/>
            <charset val="128"/>
          </rPr>
          <t>列数＋1</t>
        </r>
      </text>
    </comment>
    <comment ref="A3" authorId="0" shapeId="0" xr:uid="{00000000-0006-0000-0400-000004000000}">
      <text>
        <r>
          <rPr>
            <b/>
            <sz val="9"/>
            <color indexed="81"/>
            <rFont val="MS P ゴシック"/>
            <family val="3"/>
            <charset val="128"/>
          </rPr>
          <t>変更後工事数</t>
        </r>
      </text>
    </comment>
    <comment ref="G4" authorId="0" shapeId="0" xr:uid="{00000000-0006-0000-0400-000005000000}">
      <text>
        <r>
          <rPr>
            <b/>
            <sz val="9"/>
            <color indexed="81"/>
            <rFont val="MS P ゴシック"/>
            <family val="3"/>
            <charset val="128"/>
          </rPr>
          <t>落札率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若島　寛子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追加工事シート数</t>
        </r>
      </text>
    </comment>
    <comment ref="H1" authorId="0" shapeId="0" xr:uid="{00000000-0006-0000-0500-000002000000}">
      <text>
        <r>
          <rPr>
            <b/>
            <sz val="9"/>
            <color indexed="81"/>
            <rFont val="MS P ゴシック"/>
            <family val="3"/>
            <charset val="128"/>
          </rPr>
          <t>A～I列は削除しないで下さい。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2" authorId="0" shapeId="0" xr:uid="{00000000-0006-0000-0500-000003000000}">
      <text>
        <r>
          <rPr>
            <b/>
            <sz val="9"/>
            <color indexed="81"/>
            <rFont val="MS P ゴシック"/>
            <family val="3"/>
            <charset val="128"/>
          </rPr>
          <t>列数＋1</t>
        </r>
      </text>
    </comment>
    <comment ref="A3" authorId="0" shapeId="0" xr:uid="{00000000-0006-0000-0500-000004000000}">
      <text>
        <r>
          <rPr>
            <b/>
            <sz val="9"/>
            <color indexed="81"/>
            <rFont val="MS P ゴシック"/>
            <family val="3"/>
            <charset val="128"/>
          </rPr>
          <t>元明細シート数＋追加工事シート数</t>
        </r>
      </text>
    </comment>
    <comment ref="G4" authorId="0" shapeId="0" xr:uid="{00000000-0006-0000-0500-000005000000}">
      <text>
        <r>
          <rPr>
            <b/>
            <sz val="9"/>
            <color indexed="81"/>
            <rFont val="MS P ゴシック"/>
            <family val="3"/>
            <charset val="128"/>
          </rPr>
          <t>落札率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若島　寛子</author>
  </authors>
  <commentList>
    <comment ref="A1" authorId="0" shapeId="0" xr:uid="{00000000-0006-0000-0600-000001000000}">
      <text>
        <r>
          <rPr>
            <b/>
            <sz val="9"/>
            <color indexed="81"/>
            <rFont val="MS P ゴシック"/>
            <family val="3"/>
            <charset val="128"/>
          </rPr>
          <t>元明細シート数＋追加工事シート数</t>
        </r>
      </text>
    </comment>
    <comment ref="H1" authorId="0" shapeId="0" xr:uid="{00000000-0006-0000-0600-000002000000}">
      <text>
        <r>
          <rPr>
            <b/>
            <sz val="9"/>
            <color indexed="81"/>
            <rFont val="MS P ゴシック"/>
            <family val="3"/>
            <charset val="128"/>
          </rPr>
          <t>A～I列は削除しないでください。</t>
        </r>
      </text>
    </comment>
    <comment ref="A2" authorId="0" shapeId="0" xr:uid="{00000000-0006-0000-0600-000003000000}">
      <text>
        <r>
          <rPr>
            <b/>
            <sz val="9"/>
            <color indexed="81"/>
            <rFont val="MS P ゴシック"/>
            <family val="3"/>
            <charset val="128"/>
          </rPr>
          <t>列数＋1</t>
        </r>
      </text>
    </comment>
    <comment ref="C3" authorId="0" shapeId="0" xr:uid="{00000000-0006-0000-0600-000004000000}">
      <text>
        <r>
          <rPr>
            <b/>
            <sz val="9"/>
            <color indexed="81"/>
            <rFont val="MS P ゴシック"/>
            <family val="3"/>
            <charset val="128"/>
          </rPr>
          <t>落札率（変更諸経費表からリンク）</t>
        </r>
      </text>
    </comment>
    <comment ref="E3" authorId="0" shapeId="0" xr:uid="{00000000-0006-0000-0600-000005000000}">
      <text>
        <r>
          <rPr>
            <b/>
            <sz val="9"/>
            <color indexed="81"/>
            <rFont val="MS P ゴシック"/>
            <family val="3"/>
            <charset val="128"/>
          </rPr>
          <t>変更の場合は3桁で固定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若島　寛子</author>
  </authors>
  <commentList>
    <comment ref="D28" authorId="0" shapeId="0" xr:uid="{00000000-0006-0000-1100-000001000000}">
      <text>
        <r>
          <rPr>
            <b/>
            <sz val="9"/>
            <color indexed="81"/>
            <rFont val="MS P ゴシック"/>
            <family val="3"/>
            <charset val="128"/>
          </rPr>
          <t>共通仮設費が無くても単票削除しないでください。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<sst xmlns="http://schemas.openxmlformats.org/spreadsheetml/2006/main" count="6060" uniqueCount="3180">
  <si>
    <t>名             称</t>
  </si>
  <si>
    <t>形   状   寸   法</t>
  </si>
  <si>
    <t>数   量</t>
  </si>
  <si>
    <t>単 位</t>
  </si>
  <si>
    <t>単   価</t>
  </si>
  <si>
    <t>金    額</t>
  </si>
  <si>
    <t>摘            要</t>
  </si>
  <si>
    <t>式</t>
  </si>
  <si>
    <t>小    計</t>
  </si>
  <si>
    <t>運搬時間</t>
  </si>
  <si>
    <t>作業時間</t>
    <phoneticPr fontId="6"/>
  </si>
  <si>
    <t>円</t>
    <rPh sb="0" eb="1">
      <t>エン</t>
    </rPh>
    <phoneticPr fontId="6"/>
  </si>
  <si>
    <t>作業時間</t>
    <phoneticPr fontId="6"/>
  </si>
  <si>
    <t>○○工事の部</t>
    <rPh sb="2" eb="4">
      <t>コウジ</t>
    </rPh>
    <rPh sb="5" eb="6">
      <t>ブ</t>
    </rPh>
    <phoneticPr fontId="6"/>
  </si>
  <si>
    <t>〇〇工事   見積り金額比較表</t>
  </si>
  <si>
    <t>作業</t>
    <rPh sb="0" eb="2">
      <t>サギョウ</t>
    </rPh>
    <phoneticPr fontId="6"/>
  </si>
  <si>
    <t>時間</t>
    <rPh sb="0" eb="2">
      <t>ジカン</t>
    </rPh>
    <phoneticPr fontId="6"/>
  </si>
  <si>
    <t>運搬</t>
    <rPh sb="0" eb="2">
      <t>ウンパン</t>
    </rPh>
    <phoneticPr fontId="6"/>
  </si>
  <si>
    <t>名　　　　称</t>
    <rPh sb="0" eb="1">
      <t>メイ</t>
    </rPh>
    <rPh sb="5" eb="6">
      <t>ショウ</t>
    </rPh>
    <phoneticPr fontId="6"/>
  </si>
  <si>
    <t>形　状　寸　法</t>
    <rPh sb="0" eb="1">
      <t>カタチ</t>
    </rPh>
    <rPh sb="2" eb="3">
      <t>ジョウ</t>
    </rPh>
    <rPh sb="4" eb="5">
      <t>スン</t>
    </rPh>
    <rPh sb="6" eb="7">
      <t>ホウ</t>
    </rPh>
    <phoneticPr fontId="6"/>
  </si>
  <si>
    <t>数量</t>
    <rPh sb="0" eb="2">
      <t>スウリョウ</t>
    </rPh>
    <phoneticPr fontId="6"/>
  </si>
  <si>
    <t>単位</t>
    <rPh sb="0" eb="2">
      <t>タンイ</t>
    </rPh>
    <phoneticPr fontId="6"/>
  </si>
  <si>
    <t>単　価</t>
    <rPh sb="0" eb="1">
      <t>タン</t>
    </rPh>
    <rPh sb="2" eb="3">
      <t>アタイ</t>
    </rPh>
    <phoneticPr fontId="6"/>
  </si>
  <si>
    <t>金　額</t>
    <rPh sb="0" eb="1">
      <t>キン</t>
    </rPh>
    <rPh sb="2" eb="3">
      <t>ガク</t>
    </rPh>
    <phoneticPr fontId="6"/>
  </si>
  <si>
    <t>C:</t>
    <phoneticPr fontId="6"/>
  </si>
  <si>
    <t>ｺｰﾄﾞNo</t>
    <phoneticPr fontId="6"/>
  </si>
  <si>
    <t>調整単価</t>
    <rPh sb="0" eb="2">
      <t>チョウセイ</t>
    </rPh>
    <rPh sb="2" eb="3">
      <t>タン</t>
    </rPh>
    <rPh sb="3" eb="4">
      <t>アタイ</t>
    </rPh>
    <phoneticPr fontId="6"/>
  </si>
  <si>
    <t>採用単価</t>
    <rPh sb="0" eb="2">
      <t>サイヨウ</t>
    </rPh>
    <rPh sb="2" eb="4">
      <t>タンカ</t>
    </rPh>
    <phoneticPr fontId="6"/>
  </si>
  <si>
    <t>最小値→</t>
    <rPh sb="0" eb="3">
      <t>サイショウチ</t>
    </rPh>
    <phoneticPr fontId="6"/>
  </si>
  <si>
    <t>単価ｺｰﾄﾞ</t>
  </si>
  <si>
    <t>形  状  寸  法</t>
  </si>
  <si>
    <t>単位</t>
  </si>
  <si>
    <t>材料費</t>
  </si>
  <si>
    <t>１Ａ</t>
  </si>
  <si>
    <t>２Ａ</t>
  </si>
  <si>
    <t>３Ａ</t>
  </si>
  <si>
    <t>４Ａ</t>
  </si>
  <si>
    <t>備    考</t>
  </si>
  <si>
    <t>工種</t>
    <rPh sb="0" eb="2">
      <t>コウシュ</t>
    </rPh>
    <phoneticPr fontId="6"/>
  </si>
  <si>
    <t>金額欄計算式    =&gt;</t>
    <rPh sb="0" eb="2">
      <t>キンガク</t>
    </rPh>
    <rPh sb="2" eb="3">
      <t>ラン</t>
    </rPh>
    <rPh sb="3" eb="5">
      <t>ケイサン</t>
    </rPh>
    <rPh sb="5" eb="6">
      <t>シキ</t>
    </rPh>
    <phoneticPr fontId="6"/>
  </si>
  <si>
    <t>標準単価ファイル名</t>
    <rPh sb="0" eb="2">
      <t>ヒョウジュン</t>
    </rPh>
    <rPh sb="2" eb="4">
      <t>タンカ</t>
    </rPh>
    <rPh sb="8" eb="9">
      <t>メイ</t>
    </rPh>
    <phoneticPr fontId="6"/>
  </si>
  <si>
    <t>標準単価ﾌｧｲﾙ保管場所</t>
    <rPh sb="0" eb="2">
      <t>ヒョウジュン</t>
    </rPh>
    <rPh sb="2" eb="4">
      <t>タンカ</t>
    </rPh>
    <rPh sb="8" eb="10">
      <t>ホカン</t>
    </rPh>
    <rPh sb="10" eb="12">
      <t>バショ</t>
    </rPh>
    <phoneticPr fontId="6"/>
  </si>
  <si>
    <t>各シートの最大行数（単価挿入時にEOL無し時に実行する範囲。小さいと処理は早く終わるが、この行以降のデータに単価は挿入されない。）</t>
    <rPh sb="0" eb="1">
      <t>カク</t>
    </rPh>
    <rPh sb="5" eb="7">
      <t>サイダイ</t>
    </rPh>
    <rPh sb="7" eb="9">
      <t>ギョウスウ</t>
    </rPh>
    <rPh sb="10" eb="12">
      <t>タンカ</t>
    </rPh>
    <rPh sb="12" eb="14">
      <t>ソウニュウ</t>
    </rPh>
    <rPh sb="14" eb="15">
      <t>ジ</t>
    </rPh>
    <rPh sb="19" eb="20">
      <t>ナ</t>
    </rPh>
    <rPh sb="21" eb="22">
      <t>ジ</t>
    </rPh>
    <rPh sb="23" eb="25">
      <t>ジッコウ</t>
    </rPh>
    <rPh sb="27" eb="29">
      <t>ハンイ</t>
    </rPh>
    <rPh sb="30" eb="31">
      <t>チイ</t>
    </rPh>
    <rPh sb="34" eb="36">
      <t>ショリ</t>
    </rPh>
    <rPh sb="37" eb="38">
      <t>ハヤ</t>
    </rPh>
    <rPh sb="39" eb="40">
      <t>オ</t>
    </rPh>
    <rPh sb="46" eb="47">
      <t>ギョウ</t>
    </rPh>
    <rPh sb="47" eb="49">
      <t>イコウ</t>
    </rPh>
    <rPh sb="54" eb="56">
      <t>タンカ</t>
    </rPh>
    <rPh sb="57" eb="59">
      <t>ソウニュウ</t>
    </rPh>
    <phoneticPr fontId="6"/>
  </si>
  <si>
    <t>運搬時間</t>
    <phoneticPr fontId="6"/>
  </si>
  <si>
    <t>cells(8,8)</t>
    <phoneticPr fontId="6"/>
  </si>
  <si>
    <t>cells(10,8)</t>
    <phoneticPr fontId="6"/>
  </si>
  <si>
    <t>cells(12,8)</t>
    <phoneticPr fontId="6"/>
  </si>
  <si>
    <t>　計</t>
    <rPh sb="1" eb="2">
      <t>ケイ</t>
    </rPh>
    <phoneticPr fontId="6"/>
  </si>
  <si>
    <t>/</t>
    <phoneticPr fontId="6"/>
  </si>
  <si>
    <t>前シートのページ数</t>
    <rPh sb="0" eb="1">
      <t>ゼン</t>
    </rPh>
    <rPh sb="8" eb="9">
      <t>スウ</t>
    </rPh>
    <phoneticPr fontId="6"/>
  </si>
  <si>
    <t>各シートのトップページを常に書き換えるか(Yes=1 No=0)</t>
    <rPh sb="0" eb="1">
      <t>カク</t>
    </rPh>
    <rPh sb="12" eb="13">
      <t>ツネ</t>
    </rPh>
    <rPh sb="14" eb="15">
      <t>カ</t>
    </rPh>
    <rPh sb="16" eb="17">
      <t>カ</t>
    </rPh>
    <phoneticPr fontId="6"/>
  </si>
  <si>
    <t>cells(14,8)</t>
    <phoneticPr fontId="6"/>
  </si>
  <si>
    <r>
      <t>現在の工事部数（シートの数）</t>
    </r>
    <r>
      <rPr>
        <b/>
        <sz val="11"/>
        <rFont val="ＭＳ Ｐゴシック"/>
        <family val="3"/>
        <charset val="128"/>
      </rPr>
      <t>(！！書き換え厳禁！！）</t>
    </r>
    <rPh sb="0" eb="2">
      <t>ゲンザイ</t>
    </rPh>
    <rPh sb="3" eb="5">
      <t>コウジ</t>
    </rPh>
    <rPh sb="5" eb="6">
      <t>ブ</t>
    </rPh>
    <rPh sb="6" eb="7">
      <t>スウ</t>
    </rPh>
    <rPh sb="12" eb="13">
      <t>カズ</t>
    </rPh>
    <rPh sb="17" eb="18">
      <t>カ</t>
    </rPh>
    <rPh sb="19" eb="20">
      <t>カ</t>
    </rPh>
    <rPh sb="21" eb="23">
      <t>ゲンキン</t>
    </rPh>
    <phoneticPr fontId="6"/>
  </si>
  <si>
    <r>
      <t>最終ページ数</t>
    </r>
    <r>
      <rPr>
        <b/>
        <sz val="11"/>
        <rFont val="ＭＳ Ｐゴシック"/>
        <family val="3"/>
        <charset val="128"/>
      </rPr>
      <t>（！！書き換え厳禁！！）</t>
    </r>
    <rPh sb="0" eb="2">
      <t>サイシュウ</t>
    </rPh>
    <rPh sb="5" eb="6">
      <t>スウ</t>
    </rPh>
    <rPh sb="9" eb="10">
      <t>カ</t>
    </rPh>
    <rPh sb="11" eb="12">
      <t>カ</t>
    </rPh>
    <rPh sb="13" eb="15">
      <t>ゲンキン</t>
    </rPh>
    <phoneticPr fontId="6"/>
  </si>
  <si>
    <t>cells(18,8)</t>
    <phoneticPr fontId="6"/>
  </si>
  <si>
    <t>このシートの最終ページ数</t>
    <rPh sb="6" eb="8">
      <t>サイシュウ</t>
    </rPh>
    <rPh sb="11" eb="12">
      <t>スウ</t>
    </rPh>
    <phoneticPr fontId="6"/>
  </si>
  <si>
    <t>代価一覧のデータ数</t>
    <rPh sb="0" eb="2">
      <t>ダイカ</t>
    </rPh>
    <rPh sb="2" eb="4">
      <t>イチラン</t>
    </rPh>
    <rPh sb="8" eb="9">
      <t>スウ</t>
    </rPh>
    <phoneticPr fontId="6"/>
  </si>
  <si>
    <t>cells(20,8)</t>
    <phoneticPr fontId="6"/>
  </si>
  <si>
    <t>名称(空白は不可)</t>
    <rPh sb="3" eb="5">
      <t>クウハク</t>
    </rPh>
    <rPh sb="6" eb="8">
      <t>フカ</t>
    </rPh>
    <phoneticPr fontId="6"/>
  </si>
  <si>
    <t>m3</t>
  </si>
  <si>
    <t>前ﾍﾟｰｼﾞから続きの場合「１」を入力　→</t>
    <rPh sb="0" eb="1">
      <t>マエ</t>
    </rPh>
    <rPh sb="8" eb="9">
      <t>ツヅ</t>
    </rPh>
    <rPh sb="11" eb="13">
      <t>バアイ</t>
    </rPh>
    <rPh sb="17" eb="19">
      <t>ニュウリョク</t>
    </rPh>
    <phoneticPr fontId="6"/>
  </si>
  <si>
    <t>全ページ数</t>
    <rPh sb="0" eb="1">
      <t>ゼン</t>
    </rPh>
    <rPh sb="4" eb="5">
      <t>スウ</t>
    </rPh>
    <phoneticPr fontId="6"/>
  </si>
  <si>
    <t>この参考明細のバージョン</t>
    <rPh sb="2" eb="4">
      <t>サンコウ</t>
    </rPh>
    <rPh sb="4" eb="6">
      <t>メイサイ</t>
    </rPh>
    <phoneticPr fontId="6"/>
  </si>
  <si>
    <t>cells(25,8)</t>
    <phoneticPr fontId="6"/>
  </si>
  <si>
    <t>(</t>
  </si>
  <si>
    <t>)</t>
  </si>
  <si>
    <t>材料</t>
    <rPh sb="0" eb="2">
      <t>ザイリョウ</t>
    </rPh>
    <phoneticPr fontId="6"/>
  </si>
  <si>
    <t>形状寸法</t>
    <rPh sb="0" eb="2">
      <t>ケイジョウ</t>
    </rPh>
    <rPh sb="2" eb="4">
      <t>スンポウ</t>
    </rPh>
    <phoneticPr fontId="6"/>
  </si>
  <si>
    <t>重量</t>
    <rPh sb="0" eb="2">
      <t>ジュウリョウ</t>
    </rPh>
    <phoneticPr fontId="6"/>
  </si>
  <si>
    <t>(</t>
    <phoneticPr fontId="6"/>
  </si>
  <si>
    <t>Ｄ１３</t>
  </si>
  <si>
    <t>Ｄ１６</t>
  </si>
  <si>
    <t>Ｄ１９</t>
  </si>
  <si>
    <t>Ｄ２２</t>
  </si>
  <si>
    <t>生コンクリート</t>
  </si>
  <si>
    <t>Fc=18,sl=18</t>
  </si>
  <si>
    <t>Fc=21,sl=18</t>
  </si>
  <si>
    <t>建築工事</t>
    <rPh sb="0" eb="2">
      <t>ケンチク</t>
    </rPh>
    <rPh sb="2" eb="4">
      <t>コウジ</t>
    </rPh>
    <phoneticPr fontId="6"/>
  </si>
  <si>
    <t>c:\積算\</t>
    <rPh sb="3" eb="5">
      <t>セキサン</t>
    </rPh>
    <phoneticPr fontId="6"/>
  </si>
  <si>
    <t>各シートの明細書開始行数(拡張用につき、変更厳禁）</t>
    <rPh sb="0" eb="1">
      <t>カク</t>
    </rPh>
    <rPh sb="5" eb="8">
      <t>メイサイショ</t>
    </rPh>
    <rPh sb="8" eb="10">
      <t>カイシ</t>
    </rPh>
    <rPh sb="10" eb="12">
      <t>ギョウスウ</t>
    </rPh>
    <rPh sb="13" eb="15">
      <t>カクチョウ</t>
    </rPh>
    <rPh sb="15" eb="16">
      <t>ヨウ</t>
    </rPh>
    <rPh sb="20" eb="22">
      <t>ヘンコウ</t>
    </rPh>
    <rPh sb="22" eb="24">
      <t>ゲンキン</t>
    </rPh>
    <phoneticPr fontId="6"/>
  </si>
  <si>
    <t>シートの保護を有効にするか(Yes=1 No=0)</t>
    <rPh sb="4" eb="6">
      <t>ホゴ</t>
    </rPh>
    <rPh sb="7" eb="9">
      <t>ユウコウ</t>
    </rPh>
    <phoneticPr fontId="6"/>
  </si>
  <si>
    <t>cells(29,8)</t>
    <phoneticPr fontId="6"/>
  </si>
  <si>
    <t>Fc=24,sl=15</t>
  </si>
  <si>
    <t>調整率</t>
    <rPh sb="0" eb="2">
      <t>チョウセイ</t>
    </rPh>
    <rPh sb="2" eb="3">
      <t>リツ</t>
    </rPh>
    <phoneticPr fontId="6"/>
  </si>
  <si>
    <t>page</t>
    <phoneticPr fontId="6"/>
  </si>
  <si>
    <t>/</t>
    <phoneticPr fontId="6"/>
  </si>
  <si>
    <t>(</t>
    <phoneticPr fontId="6"/>
  </si>
  <si>
    <t>)</t>
    <phoneticPr fontId="6"/>
  </si>
  <si>
    <t>1A-3A</t>
    <phoneticPr fontId="6"/>
  </si>
  <si>
    <t>1A-4A</t>
    <phoneticPr fontId="6"/>
  </si>
  <si>
    <t>Ｄ１０</t>
    <phoneticPr fontId="6"/>
  </si>
  <si>
    <t>t</t>
    <phoneticPr fontId="6"/>
  </si>
  <si>
    <t>前回userform終了時の作業時間</t>
    <rPh sb="0" eb="2">
      <t>ゼンカイ</t>
    </rPh>
    <rPh sb="10" eb="13">
      <t>シュウリョウジ</t>
    </rPh>
    <rPh sb="14" eb="16">
      <t>サギョウ</t>
    </rPh>
    <rPh sb="16" eb="18">
      <t>ジカン</t>
    </rPh>
    <phoneticPr fontId="6"/>
  </si>
  <si>
    <t>cells(4,4)</t>
    <phoneticPr fontId="6"/>
  </si>
  <si>
    <t>前回userform終了時の運搬時間</t>
    <rPh sb="0" eb="2">
      <t>ゼンカイ</t>
    </rPh>
    <rPh sb="10" eb="13">
      <t>シュウリョウジ</t>
    </rPh>
    <rPh sb="14" eb="16">
      <t>ウンパン</t>
    </rPh>
    <rPh sb="16" eb="18">
      <t>ジカン</t>
    </rPh>
    <phoneticPr fontId="6"/>
  </si>
  <si>
    <t>前回userform終了時の工種番号</t>
    <rPh sb="0" eb="2">
      <t>ゼンカイ</t>
    </rPh>
    <rPh sb="10" eb="13">
      <t>シュウリョウジ</t>
    </rPh>
    <rPh sb="14" eb="15">
      <t>コウジ</t>
    </rPh>
    <rPh sb="15" eb="16">
      <t>シュルイ</t>
    </rPh>
    <rPh sb="16" eb="18">
      <t>バンゴウ</t>
    </rPh>
    <phoneticPr fontId="6"/>
  </si>
  <si>
    <t>前回userform終了時の選択行</t>
    <rPh sb="0" eb="2">
      <t>ゼンカイ</t>
    </rPh>
    <rPh sb="10" eb="13">
      <t>シュウリョウジ</t>
    </rPh>
    <rPh sb="14" eb="16">
      <t>センタク</t>
    </rPh>
    <rPh sb="16" eb="17">
      <t>ギョウ</t>
    </rPh>
    <phoneticPr fontId="6"/>
  </si>
  <si>
    <t>cells(6,4)</t>
    <phoneticPr fontId="6"/>
  </si>
  <si>
    <t>cells(8,4)</t>
    <phoneticPr fontId="6"/>
  </si>
  <si>
    <t>cells(10,4)</t>
    <phoneticPr fontId="6"/>
  </si>
  <si>
    <t>積算担当者編集時「１」（注：設計者は絶対に触らないで下さい。エラーの原因になります！！）</t>
    <rPh sb="0" eb="2">
      <t>セキサン</t>
    </rPh>
    <rPh sb="2" eb="5">
      <t>タントウシャ</t>
    </rPh>
    <rPh sb="5" eb="7">
      <t>ヘンシュウ</t>
    </rPh>
    <rPh sb="7" eb="8">
      <t>ジ</t>
    </rPh>
    <rPh sb="12" eb="13">
      <t>チュウ</t>
    </rPh>
    <rPh sb="14" eb="17">
      <t>セッケイシャ</t>
    </rPh>
    <rPh sb="18" eb="20">
      <t>ゼッタイ</t>
    </rPh>
    <rPh sb="21" eb="22">
      <t>サワ</t>
    </rPh>
    <rPh sb="26" eb="27">
      <t>クダ</t>
    </rPh>
    <rPh sb="34" eb="36">
      <t>ゲンイン</t>
    </rPh>
    <phoneticPr fontId="6"/>
  </si>
  <si>
    <t>金入用標準単価ファイル名</t>
    <rPh sb="0" eb="1">
      <t>キン</t>
    </rPh>
    <rPh sb="1" eb="2">
      <t>イ</t>
    </rPh>
    <rPh sb="2" eb="3">
      <t>ヨウ</t>
    </rPh>
    <rPh sb="3" eb="5">
      <t>ヒョウジュン</t>
    </rPh>
    <rPh sb="5" eb="7">
      <t>タンカ</t>
    </rPh>
    <rPh sb="11" eb="12">
      <t>メイ</t>
    </rPh>
    <phoneticPr fontId="6"/>
  </si>
  <si>
    <t>現在のEXCELのバージョン</t>
    <rPh sb="0" eb="2">
      <t>ゲンザイ</t>
    </rPh>
    <phoneticPr fontId="6"/>
  </si>
  <si>
    <t>cells(12,4)</t>
    <phoneticPr fontId="6"/>
  </si>
  <si>
    <t>Fc=24,sl=18</t>
  </si>
  <si>
    <t>cells(14,4)</t>
    <phoneticPr fontId="6"/>
  </si>
  <si>
    <t>前回userform終了時の選択単価</t>
    <rPh sb="0" eb="2">
      <t>ゼンカイ</t>
    </rPh>
    <rPh sb="10" eb="13">
      <t>シュウリョウジ</t>
    </rPh>
    <rPh sb="14" eb="16">
      <t>センタク</t>
    </rPh>
    <rPh sb="16" eb="18">
      <t>タンカ</t>
    </rPh>
    <phoneticPr fontId="6"/>
  </si>
  <si>
    <t>鉄筋 SD295A</t>
    <rPh sb="0" eb="2">
      <t>テッキン</t>
    </rPh>
    <phoneticPr fontId="6"/>
  </si>
  <si>
    <t>鉄筋 SD345</t>
    <rPh sb="0" eb="2">
      <t>テッキン</t>
    </rPh>
    <phoneticPr fontId="6"/>
  </si>
  <si>
    <t>cells(2,4)</t>
    <phoneticPr fontId="6"/>
  </si>
  <si>
    <t>前回userform終了時の画面サイズ</t>
    <rPh sb="0" eb="2">
      <t>ゼンカイ</t>
    </rPh>
    <rPh sb="10" eb="13">
      <t>シュウリョウジ</t>
    </rPh>
    <rPh sb="14" eb="16">
      <t>ガメン</t>
    </rPh>
    <phoneticPr fontId="6"/>
  </si>
  <si>
    <t>ヵ所</t>
    <rPh sb="1" eb="2">
      <t>ショ</t>
    </rPh>
    <phoneticPr fontId="6"/>
  </si>
  <si>
    <t>諸経費表ファイル名</t>
    <rPh sb="0" eb="3">
      <t>ショケイヒ</t>
    </rPh>
    <rPh sb="3" eb="4">
      <t>ヒョウ</t>
    </rPh>
    <rPh sb="8" eb="9">
      <t>メイ</t>
    </rPh>
    <phoneticPr fontId="6"/>
  </si>
  <si>
    <t>諸経費表ﾌｧｲﾙ保管場所</t>
    <rPh sb="0" eb="3">
      <t>ショケイヒ</t>
    </rPh>
    <rPh sb="3" eb="4">
      <t>ヒョウ</t>
    </rPh>
    <rPh sb="8" eb="10">
      <t>ホカン</t>
    </rPh>
    <rPh sb="10" eb="12">
      <t>バショ</t>
    </rPh>
    <phoneticPr fontId="6"/>
  </si>
  <si>
    <t>cells(31,8)</t>
    <phoneticPr fontId="6"/>
  </si>
  <si>
    <t>cells(32,8)</t>
    <phoneticPr fontId="6"/>
  </si>
  <si>
    <t>cells(33,8)</t>
    <phoneticPr fontId="6"/>
  </si>
  <si>
    <t>cells(27,8(9))</t>
    <phoneticPr fontId="6"/>
  </si>
  <si>
    <t>１工種で複数ページになったときの合計式(右は変更時)</t>
    <rPh sb="1" eb="3">
      <t>コウシュ</t>
    </rPh>
    <rPh sb="4" eb="6">
      <t>フクスウ</t>
    </rPh>
    <rPh sb="16" eb="18">
      <t>ゴウケイ</t>
    </rPh>
    <rPh sb="18" eb="19">
      <t>シキ</t>
    </rPh>
    <rPh sb="20" eb="21">
      <t>ミギ</t>
    </rPh>
    <rPh sb="22" eb="24">
      <t>ヘンコウ</t>
    </rPh>
    <rPh sb="24" eb="25">
      <t>ジ</t>
    </rPh>
    <phoneticPr fontId="6"/>
  </si>
  <si>
    <t>廃プラ</t>
  </si>
  <si>
    <t>がれき</t>
  </si>
  <si>
    <t>繊維くず</t>
  </si>
  <si>
    <t>繊維くず</t>
    <rPh sb="0" eb="2">
      <t>センイ</t>
    </rPh>
    <phoneticPr fontId="6"/>
  </si>
  <si>
    <t>ガラス
陶磁器</t>
    <rPh sb="4" eb="7">
      <t>トウジキ</t>
    </rPh>
    <phoneticPr fontId="6"/>
  </si>
  <si>
    <t>残材処分費</t>
    <rPh sb="0" eb="1">
      <t>ザン</t>
    </rPh>
    <rPh sb="1" eb="2">
      <t>ザイ</t>
    </rPh>
    <rPh sb="2" eb="4">
      <t>ショブン</t>
    </rPh>
    <rPh sb="4" eb="5">
      <t>ヒ</t>
    </rPh>
    <phoneticPr fontId="6"/>
  </si>
  <si>
    <t>鉄</t>
    <rPh sb="0" eb="1">
      <t>テツ</t>
    </rPh>
    <phoneticPr fontId="6"/>
  </si>
  <si>
    <t>アルミ</t>
    <phoneticPr fontId="6"/>
  </si>
  <si>
    <t>銅</t>
    <rPh sb="0" eb="1">
      <t>ドウ</t>
    </rPh>
    <phoneticPr fontId="6"/>
  </si>
  <si>
    <t>ｽﾃﾝﾚｽ</t>
    <phoneticPr fontId="6"/>
  </si>
  <si>
    <t>小運搬重量(単位重量(kg))</t>
    <rPh sb="0" eb="1">
      <t>コ</t>
    </rPh>
    <rPh sb="1" eb="3">
      <t>ウンパン</t>
    </rPh>
    <rPh sb="3" eb="5">
      <t>ジュウリョウ</t>
    </rPh>
    <rPh sb="6" eb="8">
      <t>タンイ</t>
    </rPh>
    <rPh sb="8" eb="10">
      <t>ジュウリョウ</t>
    </rPh>
    <phoneticPr fontId="6"/>
  </si>
  <si>
    <t>ガラス
陶磁器</t>
  </si>
  <si>
    <t>鉄</t>
  </si>
  <si>
    <t>ｽﾃﾝﾚｽ</t>
  </si>
  <si>
    <t>アルミ</t>
  </si>
  <si>
    <t>銅</t>
  </si>
  <si>
    <t>処分費重量</t>
    <rPh sb="0" eb="2">
      <t>ショブン</t>
    </rPh>
    <rPh sb="2" eb="3">
      <t>ヒ</t>
    </rPh>
    <rPh sb="3" eb="5">
      <t>ジュウリョウ</t>
    </rPh>
    <phoneticPr fontId="6"/>
  </si>
  <si>
    <t>材料</t>
  </si>
  <si>
    <t>小運搬表（残材処分費）</t>
    <rPh sb="0" eb="1">
      <t>コ</t>
    </rPh>
    <rPh sb="1" eb="3">
      <t>ウンパン</t>
    </rPh>
    <rPh sb="3" eb="4">
      <t>ヒョウ</t>
    </rPh>
    <rPh sb="5" eb="6">
      <t>ザン</t>
    </rPh>
    <rPh sb="6" eb="7">
      <t>ザイ</t>
    </rPh>
    <rPh sb="7" eb="9">
      <t>ショブン</t>
    </rPh>
    <rPh sb="9" eb="10">
      <t>ヒ</t>
    </rPh>
    <phoneticPr fontId="6"/>
  </si>
  <si>
    <t>小運搬表（運搬費）</t>
    <rPh sb="0" eb="1">
      <t>コ</t>
    </rPh>
    <rPh sb="1" eb="3">
      <t>ウンパン</t>
    </rPh>
    <rPh sb="3" eb="4">
      <t>ヒョウ</t>
    </rPh>
    <rPh sb="5" eb="7">
      <t>ウンパン</t>
    </rPh>
    <rPh sb="7" eb="8">
      <t>ヒ</t>
    </rPh>
    <phoneticPr fontId="6"/>
  </si>
  <si>
    <t>ｽｸﾗｯﾌﾟ重量</t>
    <rPh sb="6" eb="8">
      <t>ジュウリョウ</t>
    </rPh>
    <phoneticPr fontId="6"/>
  </si>
  <si>
    <t>m2</t>
  </si>
  <si>
    <t>１．直接工事費</t>
    <rPh sb="2" eb="4">
      <t>チョクセツ</t>
    </rPh>
    <rPh sb="4" eb="7">
      <t>コウジヒ</t>
    </rPh>
    <phoneticPr fontId="6"/>
  </si>
  <si>
    <t>２．共通費</t>
    <rPh sb="2" eb="4">
      <t>キョウツウ</t>
    </rPh>
    <rPh sb="4" eb="5">
      <t>ヒ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</si>
  <si>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</si>
  <si>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共通仮設費</t>
    <rPh sb="4" eb="5">
      <t>ヒ</t>
    </rPh>
    <phoneticPr fontId="6"/>
  </si>
  <si>
    <t>作業時間</t>
    <phoneticPr fontId="6"/>
  </si>
  <si>
    <t>page</t>
    <phoneticPr fontId="6"/>
  </si>
  <si>
    <t>/</t>
    <phoneticPr fontId="6"/>
  </si>
  <si>
    <t>会所４００角</t>
    <rPh sb="0" eb="2">
      <t>カイショ</t>
    </rPh>
    <rPh sb="5" eb="6">
      <t>カク</t>
    </rPh>
    <phoneticPr fontId="6"/>
  </si>
  <si>
    <t>代価2</t>
  </si>
  <si>
    <t>未記入</t>
  </si>
  <si>
    <t>根切り (人力)</t>
  </si>
  <si>
    <t>人力根切り</t>
  </si>
  <si>
    <t>掘削量≦２０m3の場合</t>
  </si>
  <si>
    <t xml:space="preserve"> H=1200 根切共</t>
    <rPh sb="8" eb="9">
      <t>ネ</t>
    </rPh>
    <rPh sb="9" eb="10">
      <t>キリ</t>
    </rPh>
    <rPh sb="10" eb="11">
      <t>トモ</t>
    </rPh>
    <phoneticPr fontId="6"/>
  </si>
  <si>
    <t>埋戻し</t>
  </si>
  <si>
    <t>人力　締固め共</t>
  </si>
  <si>
    <t>標準</t>
  </si>
  <si>
    <t>残土積込費加算</t>
  </si>
  <si>
    <t>人力積込費</t>
  </si>
  <si>
    <t>残土処分費</t>
  </si>
  <si>
    <t>場外自由処分</t>
  </si>
  <si>
    <t>鉄筋 SD295A</t>
  </si>
  <si>
    <t>t</t>
  </si>
  <si>
    <t>鉄筋現場加工</t>
  </si>
  <si>
    <t>一般細物(D13以下)</t>
  </si>
  <si>
    <t>鉄筋組立</t>
  </si>
  <si>
    <t>RC造一般細物(D13以下)</t>
  </si>
  <si>
    <t>手練りコンクリ―ト</t>
  </si>
  <si>
    <t>練り手間含む</t>
  </si>
  <si>
    <t>打手間　　ｶｰﾄ打ち</t>
  </si>
  <si>
    <t>小型構造物</t>
  </si>
  <si>
    <t>型枠　普通型枠</t>
  </si>
  <si>
    <t>※サンプルのため、数量内容は</t>
    <rPh sb="9" eb="11">
      <t>スウリョウ</t>
    </rPh>
    <rPh sb="11" eb="13">
      <t>ナイヨウ</t>
    </rPh>
    <phoneticPr fontId="6"/>
  </si>
  <si>
    <t>　適当に記載してます。</t>
    <rPh sb="1" eb="3">
      <t>テキトウ</t>
    </rPh>
    <rPh sb="4" eb="6">
      <t>キサイ</t>
    </rPh>
    <phoneticPr fontId="6"/>
  </si>
  <si>
    <t>　撤去と新設が混在しても小運搬は</t>
    <rPh sb="1" eb="3">
      <t>テッキョ</t>
    </rPh>
    <rPh sb="4" eb="6">
      <t>シンセツ</t>
    </rPh>
    <rPh sb="7" eb="9">
      <t>コンザイ</t>
    </rPh>
    <rPh sb="12" eb="13">
      <t>ショウ</t>
    </rPh>
    <rPh sb="13" eb="15">
      <t>ウンパン</t>
    </rPh>
    <phoneticPr fontId="6"/>
  </si>
  <si>
    <t>　重量さえいれてあれば機能します</t>
    <rPh sb="1" eb="3">
      <t>ジュウリョウ</t>
    </rPh>
    <rPh sb="11" eb="13">
      <t>キノウ</t>
    </rPh>
    <phoneticPr fontId="6"/>
  </si>
  <si>
    <t>2層以下</t>
    <phoneticPr fontId="6"/>
  </si>
  <si>
    <t>m2</t>
    <phoneticPr fontId="6"/>
  </si>
  <si>
    <t>1,2階程度の転用率</t>
    <phoneticPr fontId="6"/>
  </si>
  <si>
    <t>W900×H2000</t>
    <phoneticPr fontId="6"/>
  </si>
  <si>
    <t>Fc=27,sl=18</t>
  </si>
  <si>
    <t>---</t>
  </si>
  <si>
    <t>代価1</t>
    <phoneticPr fontId="6"/>
  </si>
  <si>
    <t>このページはメニューからページの削除で削除してから使用してください.</t>
    <phoneticPr fontId="6"/>
  </si>
  <si>
    <t>1:02:04</t>
    <phoneticPr fontId="6"/>
  </si>
  <si>
    <t>代価番号は、１から順に自動に割り振られます。</t>
    <rPh sb="0" eb="2">
      <t>ダイカ</t>
    </rPh>
    <rPh sb="2" eb="4">
      <t>バンゴウ</t>
    </rPh>
    <rPh sb="9" eb="10">
      <t>ジュン</t>
    </rPh>
    <rPh sb="11" eb="13">
      <t>ジドウ</t>
    </rPh>
    <rPh sb="14" eb="15">
      <t>ワ</t>
    </rPh>
    <rPh sb="16" eb="17">
      <t>フ</t>
    </rPh>
    <phoneticPr fontId="6"/>
  </si>
  <si>
    <t>シート保護されていますので、書式変更する場合は、「ツール」の「保護」からシート保護を解除してください。</t>
    <rPh sb="3" eb="5">
      <t>ホゴ</t>
    </rPh>
    <rPh sb="14" eb="16">
      <t>ショシキ</t>
    </rPh>
    <rPh sb="16" eb="18">
      <t>ヘンコウ</t>
    </rPh>
    <rPh sb="20" eb="22">
      <t>バアイ</t>
    </rPh>
    <rPh sb="31" eb="33">
      <t>ホゴ</t>
    </rPh>
    <rPh sb="39" eb="41">
      <t>ホゴ</t>
    </rPh>
    <rPh sb="42" eb="44">
      <t>カイジョ</t>
    </rPh>
    <phoneticPr fontId="6"/>
  </si>
  <si>
    <t>全項数</t>
    <rPh sb="0" eb="1">
      <t>ゼン</t>
    </rPh>
    <rPh sb="1" eb="2">
      <t>コウ</t>
    </rPh>
    <rPh sb="2" eb="3">
      <t>スウ</t>
    </rPh>
    <phoneticPr fontId="6"/>
  </si>
  <si>
    <t>cells(16,4)</t>
    <phoneticPr fontId="6"/>
  </si>
  <si>
    <t>変更点、新機能の紹介</t>
    <rPh sb="0" eb="3">
      <t>ヘンコウテン</t>
    </rPh>
    <rPh sb="4" eb="7">
      <t>シンキノウ</t>
    </rPh>
    <rPh sb="8" eb="10">
      <t>ショウカイ</t>
    </rPh>
    <phoneticPr fontId="6"/>
  </si>
  <si>
    <t>cells(18,4)</t>
    <phoneticPr fontId="6"/>
  </si>
  <si>
    <t>cells(19,4)</t>
    <phoneticPr fontId="6"/>
  </si>
  <si>
    <t>cells(25,4)</t>
    <phoneticPr fontId="6"/>
  </si>
  <si>
    <t>前回userform終了時のlistbox.fontサイズ</t>
    <rPh sb="0" eb="2">
      <t>ゼンカイ</t>
    </rPh>
    <rPh sb="10" eb="13">
      <t>シュウリョウジ</t>
    </rPh>
    <phoneticPr fontId="6"/>
  </si>
  <si>
    <t>前回userform終了時のlistbox.columWidth</t>
    <rPh sb="0" eb="2">
      <t>ゼンカイ</t>
    </rPh>
    <rPh sb="10" eb="13">
      <t>シュウリョウジ</t>
    </rPh>
    <phoneticPr fontId="6"/>
  </si>
  <si>
    <t>C045150150050170035035035035035035035</t>
    <phoneticPr fontId="6"/>
  </si>
  <si>
    <t>このファイルを初使用？(yes=1 no=0)</t>
    <rPh sb="7" eb="8">
      <t>ハツ</t>
    </rPh>
    <rPh sb="8" eb="10">
      <t>シヨウ</t>
    </rPh>
    <phoneticPr fontId="6"/>
  </si>
  <si>
    <t>cells(16,8)</t>
    <phoneticPr fontId="6"/>
  </si>
  <si>
    <t>見積業者：</t>
    <rPh sb="0" eb="2">
      <t>ミツモリ</t>
    </rPh>
    <rPh sb="2" eb="4">
      <t>ギョウシャ</t>
    </rPh>
    <phoneticPr fontId="6"/>
  </si>
  <si>
    <t>㈱</t>
    <phoneticPr fontId="6"/>
  </si>
  <si>
    <t>元　　設　　計</t>
    <rPh sb="0" eb="1">
      <t>モト</t>
    </rPh>
    <rPh sb="3" eb="4">
      <t>セツ</t>
    </rPh>
    <rPh sb="6" eb="7">
      <t>ケイ</t>
    </rPh>
    <phoneticPr fontId="6"/>
  </si>
  <si>
    <t>元設計当局単価</t>
    <rPh sb="0" eb="1">
      <t>モト</t>
    </rPh>
    <rPh sb="1" eb="3">
      <t>セッケイ</t>
    </rPh>
    <rPh sb="3" eb="5">
      <t>トウキョク</t>
    </rPh>
    <rPh sb="5" eb="7">
      <t>タンカ</t>
    </rPh>
    <phoneticPr fontId="6"/>
  </si>
  <si>
    <t>元設計今回業者見積</t>
    <rPh sb="0" eb="1">
      <t>モト</t>
    </rPh>
    <rPh sb="1" eb="3">
      <t>セッケイ</t>
    </rPh>
    <rPh sb="3" eb="5">
      <t>コンカイ</t>
    </rPh>
    <rPh sb="5" eb="7">
      <t>ギョウシャ</t>
    </rPh>
    <rPh sb="7" eb="9">
      <t>ミツモリ</t>
    </rPh>
    <phoneticPr fontId="6"/>
  </si>
  <si>
    <t>変更後今回業者見積</t>
    <rPh sb="0" eb="2">
      <t>ヘンコウ</t>
    </rPh>
    <rPh sb="2" eb="3">
      <t>ゴ</t>
    </rPh>
    <rPh sb="3" eb="5">
      <t>コンカイ</t>
    </rPh>
    <rPh sb="5" eb="7">
      <t>ギョウシャ</t>
    </rPh>
    <rPh sb="7" eb="9">
      <t>ミツモリ</t>
    </rPh>
    <phoneticPr fontId="6"/>
  </si>
  <si>
    <t>No</t>
    <phoneticPr fontId="6"/>
  </si>
  <si>
    <t>ｱｽﾌｧﾙﾄ</t>
  </si>
  <si>
    <t>木くず</t>
    <rPh sb="0" eb="1">
      <t>キ</t>
    </rPh>
    <phoneticPr fontId="6"/>
  </si>
  <si>
    <t>木くず
再生</t>
    <rPh sb="0" eb="1">
      <t>キ</t>
    </rPh>
    <rPh sb="4" eb="6">
      <t>サイセイ</t>
    </rPh>
    <phoneticPr fontId="6"/>
  </si>
  <si>
    <t>木くず
合板</t>
    <rPh sb="0" eb="1">
      <t>キ</t>
    </rPh>
    <rPh sb="4" eb="6">
      <t>ゴウハン</t>
    </rPh>
    <phoneticPr fontId="6"/>
  </si>
  <si>
    <t>石膏ボード</t>
    <rPh sb="0" eb="2">
      <t>セッコウ</t>
    </rPh>
    <phoneticPr fontId="6"/>
  </si>
  <si>
    <t>セメント板</t>
    <rPh sb="4" eb="5">
      <t>イタ</t>
    </rPh>
    <phoneticPr fontId="6"/>
  </si>
  <si>
    <t>家具・
備品</t>
    <rPh sb="0" eb="2">
      <t>カグ</t>
    </rPh>
    <rPh sb="4" eb="6">
      <t>ビヒン</t>
    </rPh>
    <phoneticPr fontId="6"/>
  </si>
  <si>
    <t>混合
廃棄物</t>
  </si>
  <si>
    <t>再生</t>
    <rPh sb="0" eb="2">
      <t>サイセイ</t>
    </rPh>
    <phoneticPr fontId="6"/>
  </si>
  <si>
    <t>合板</t>
    <rPh sb="0" eb="2">
      <t>ゴウハン</t>
    </rPh>
    <phoneticPr fontId="6"/>
  </si>
  <si>
    <t>陶磁器</t>
    <rPh sb="0" eb="3">
      <t>トウジキ</t>
    </rPh>
    <phoneticPr fontId="6"/>
  </si>
  <si>
    <t>繊維</t>
    <rPh sb="0" eb="2">
      <t>センイ</t>
    </rPh>
    <phoneticPr fontId="6"/>
  </si>
  <si>
    <t>石膏</t>
    <rPh sb="0" eb="2">
      <t>セッコウ</t>
    </rPh>
    <phoneticPr fontId="6"/>
  </si>
  <si>
    <t>家具・</t>
    <rPh sb="0" eb="2">
      <t>カグ</t>
    </rPh>
    <phoneticPr fontId="6"/>
  </si>
  <si>
    <t>備品</t>
    <rPh sb="0" eb="2">
      <t>ビヒン</t>
    </rPh>
    <phoneticPr fontId="6"/>
  </si>
  <si>
    <t>混合</t>
    <rPh sb="0" eb="2">
      <t>コンゴウ</t>
    </rPh>
    <phoneticPr fontId="6"/>
  </si>
  <si>
    <t>廃棄物</t>
    <rPh sb="0" eb="3">
      <t>ハイキブツ</t>
    </rPh>
    <phoneticPr fontId="6"/>
  </si>
  <si>
    <t>型枠　運搬費</t>
    <phoneticPr fontId="6"/>
  </si>
  <si>
    <t>木くず
再生</t>
  </si>
  <si>
    <t>木くず
合板</t>
  </si>
  <si>
    <t>石膏ボード</t>
  </si>
  <si>
    <t>セメント板</t>
  </si>
  <si>
    <t>家具・
備品</t>
  </si>
  <si>
    <t>変更工事価格</t>
    <rPh sb="0" eb="2">
      <t>ヘンコウ</t>
    </rPh>
    <rPh sb="2" eb="4">
      <t>コウジ</t>
    </rPh>
    <rPh sb="4" eb="6">
      <t>カカク</t>
    </rPh>
    <phoneticPr fontId="6"/>
  </si>
  <si>
    <t>○○工事</t>
    <rPh sb="2" eb="4">
      <t>コウジ</t>
    </rPh>
    <phoneticPr fontId="6"/>
  </si>
  <si>
    <t>A:</t>
    <phoneticPr fontId="6"/>
  </si>
  <si>
    <t>B:</t>
    <phoneticPr fontId="6"/>
  </si>
  <si>
    <t>C:</t>
    <phoneticPr fontId="6"/>
  </si>
  <si>
    <t>ｺｰﾄﾞNo</t>
    <phoneticPr fontId="6"/>
  </si>
  <si>
    <t>金属工事   見積金額比較表</t>
    <rPh sb="0" eb="2">
      <t>キンゾク</t>
    </rPh>
    <phoneticPr fontId="6"/>
  </si>
  <si>
    <t>調整率＝＞</t>
    <rPh sb="0" eb="2">
      <t>チョウセイ</t>
    </rPh>
    <rPh sb="2" eb="3">
      <t>リツ</t>
    </rPh>
    <phoneticPr fontId="6"/>
  </si>
  <si>
    <t>ｺｰﾄﾞ</t>
  </si>
  <si>
    <t>作業</t>
  </si>
  <si>
    <t>運搬</t>
  </si>
  <si>
    <t>調整後単価</t>
    <rPh sb="0" eb="3">
      <t>チョウセイゴ</t>
    </rPh>
    <rPh sb="3" eb="4">
      <t>タン</t>
    </rPh>
    <rPh sb="4" eb="5">
      <t>アタイ</t>
    </rPh>
    <phoneticPr fontId="6"/>
  </si>
  <si>
    <t>（△印は減額）</t>
    <rPh sb="2" eb="3">
      <t>シルシ</t>
    </rPh>
    <rPh sb="4" eb="6">
      <t>ゲンガク</t>
    </rPh>
    <phoneticPr fontId="6"/>
  </si>
  <si>
    <t>作業時間</t>
  </si>
  <si>
    <t>名　　　　　　　　　　　称</t>
    <rPh sb="0" eb="1">
      <t>メイ</t>
    </rPh>
    <rPh sb="12" eb="13">
      <t>ショウ</t>
    </rPh>
    <phoneticPr fontId="6"/>
  </si>
  <si>
    <t>数　　　量</t>
    <rPh sb="0" eb="1">
      <t>カズ</t>
    </rPh>
    <rPh sb="4" eb="5">
      <t>リョウ</t>
    </rPh>
    <phoneticPr fontId="6"/>
  </si>
  <si>
    <t>単　　価</t>
    <rPh sb="0" eb="1">
      <t>タン</t>
    </rPh>
    <rPh sb="3" eb="4">
      <t>アタイ</t>
    </rPh>
    <phoneticPr fontId="6"/>
  </si>
  <si>
    <t>金　　　　　　　　額</t>
    <rPh sb="0" eb="1">
      <t>キン</t>
    </rPh>
    <rPh sb="9" eb="10">
      <t>ガク</t>
    </rPh>
    <phoneticPr fontId="6"/>
  </si>
  <si>
    <t>差引増減</t>
    <rPh sb="0" eb="2">
      <t>サシヒキ</t>
    </rPh>
    <rPh sb="2" eb="4">
      <t>ゾウゲン</t>
    </rPh>
    <phoneticPr fontId="6"/>
  </si>
  <si>
    <t>摘　　　　　　要</t>
    <rPh sb="0" eb="1">
      <t>チャク</t>
    </rPh>
    <rPh sb="7" eb="8">
      <t>ヨウ</t>
    </rPh>
    <phoneticPr fontId="6"/>
  </si>
  <si>
    <t>増</t>
    <rPh sb="0" eb="1">
      <t>ゾウ</t>
    </rPh>
    <phoneticPr fontId="6"/>
  </si>
  <si>
    <t>減</t>
    <rPh sb="0" eb="1">
      <t>ゲン</t>
    </rPh>
    <phoneticPr fontId="6"/>
  </si>
  <si>
    <t>既発注工事費</t>
    <rPh sb="0" eb="3">
      <t>キハッチュウ</t>
    </rPh>
    <rPh sb="3" eb="6">
      <t>コウジヒ</t>
    </rPh>
    <phoneticPr fontId="6"/>
  </si>
  <si>
    <t>今回工事費</t>
    <rPh sb="0" eb="2">
      <t>コンカイ</t>
    </rPh>
    <rPh sb="2" eb="5">
      <t>コウジヒ</t>
    </rPh>
    <phoneticPr fontId="6"/>
  </si>
  <si>
    <t>金　　　額</t>
    <rPh sb="0" eb="1">
      <t>キン</t>
    </rPh>
    <rPh sb="4" eb="5">
      <t>ガク</t>
    </rPh>
    <phoneticPr fontId="6"/>
  </si>
  <si>
    <t>共通費共</t>
    <rPh sb="0" eb="2">
      <t>キョウツウ</t>
    </rPh>
    <rPh sb="2" eb="3">
      <t>ヒ</t>
    </rPh>
    <rPh sb="3" eb="4">
      <t>トモ</t>
    </rPh>
    <phoneticPr fontId="6"/>
  </si>
  <si>
    <t>総内訳が２ﾍﾟｰｼﾞ以上になる場合、I２5ｾﾙに必要なﾍﾟｰｼﾞ数を記入。</t>
    <rPh sb="0" eb="1">
      <t>ソウ</t>
    </rPh>
    <rPh sb="1" eb="3">
      <t>ウチワケショ</t>
    </rPh>
    <rPh sb="10" eb="12">
      <t>イジョウ</t>
    </rPh>
    <rPh sb="15" eb="17">
      <t>バアイ</t>
    </rPh>
    <rPh sb="24" eb="26">
      <t>ヒツヨウ</t>
    </rPh>
    <rPh sb="32" eb="33">
      <t>スウ</t>
    </rPh>
    <rPh sb="34" eb="36">
      <t>キニュウ</t>
    </rPh>
    <phoneticPr fontId="6"/>
  </si>
  <si>
    <t>ヶ所</t>
    <rPh sb="1" eb="2">
      <t>ショ</t>
    </rPh>
    <phoneticPr fontId="6"/>
  </si>
  <si>
    <t>図面・仕様書どおり</t>
    <rPh sb="0" eb="2">
      <t>ズメン</t>
    </rPh>
    <rPh sb="3" eb="6">
      <t>シヨウショ</t>
    </rPh>
    <phoneticPr fontId="6"/>
  </si>
  <si>
    <t>材料運搬重量</t>
    <rPh sb="0" eb="2">
      <t>ザイリョウ</t>
    </rPh>
    <rPh sb="2" eb="4">
      <t>ウンパン</t>
    </rPh>
    <rPh sb="4" eb="6">
      <t>ジュウリョウ</t>
    </rPh>
    <phoneticPr fontId="6"/>
  </si>
  <si>
    <t>ｺﾝｸﾘｰﾄ</t>
    <phoneticPr fontId="6"/>
  </si>
  <si>
    <t>廃プラ</t>
    <phoneticPr fontId="6"/>
  </si>
  <si>
    <t>がれき</t>
    <phoneticPr fontId="6"/>
  </si>
  <si>
    <t>廃プラ
(ｱｽﾍﾞ)</t>
    <phoneticPr fontId="6"/>
  </si>
  <si>
    <t>積込加算(ｽｸﾗｯﾌﾟ含む)</t>
  </si>
  <si>
    <t>残材車両積載重量</t>
  </si>
  <si>
    <t>残材車両積載重量(ｽｸﾗｯﾌﾟ)</t>
  </si>
  <si>
    <t>残材運搬車両積載重量(ｽｸﾗｯﾌﾟ)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6"/>
  </si>
  <si>
    <t>ボード</t>
    <phoneticPr fontId="6"/>
  </si>
  <si>
    <t>　ト板</t>
    <phoneticPr fontId="6"/>
  </si>
  <si>
    <t>(ｱｽﾍﾞ)</t>
    <phoneticPr fontId="6"/>
  </si>
  <si>
    <t>EOL2</t>
    <phoneticPr fontId="6"/>
  </si>
  <si>
    <t>廃プラ(ｱｽﾍﾞ)</t>
    <phoneticPr fontId="6"/>
  </si>
  <si>
    <t>4.00β</t>
  </si>
  <si>
    <t>元設計類似</t>
    <rPh sb="0" eb="1">
      <t>モト</t>
    </rPh>
    <rPh sb="1" eb="3">
      <t>セッケイ</t>
    </rPh>
    <rPh sb="3" eb="5">
      <t>ルイジ</t>
    </rPh>
    <phoneticPr fontId="6"/>
  </si>
  <si>
    <t>変更後今回見積業者</t>
    <rPh sb="0" eb="2">
      <t>ヘンコウ</t>
    </rPh>
    <rPh sb="2" eb="3">
      <t>ゴ</t>
    </rPh>
    <rPh sb="3" eb="5">
      <t>コンカイ</t>
    </rPh>
    <rPh sb="5" eb="7">
      <t>ミツモリ</t>
    </rPh>
    <rPh sb="7" eb="9">
      <t>ギョウシャ</t>
    </rPh>
    <phoneticPr fontId="6"/>
  </si>
  <si>
    <t>差引金額</t>
    <rPh sb="0" eb="2">
      <t>サシヒキ</t>
    </rPh>
    <rPh sb="2" eb="4">
      <t>キンガク</t>
    </rPh>
    <phoneticPr fontId="6"/>
  </si>
  <si>
    <t>類似単価</t>
    <rPh sb="0" eb="2">
      <t>ルイジ</t>
    </rPh>
    <rPh sb="2" eb="4">
      <t>タンカ</t>
    </rPh>
    <phoneticPr fontId="6"/>
  </si>
  <si>
    <t>計</t>
    <rPh sb="0" eb="1">
      <t>ケイ</t>
    </rPh>
    <phoneticPr fontId="6"/>
  </si>
  <si>
    <t>変　　更　　後</t>
    <phoneticPr fontId="6"/>
  </si>
  <si>
    <t>前ﾍﾟｰｼﾞから続きの場合「１」を入力　→</t>
    <phoneticPr fontId="6"/>
  </si>
  <si>
    <t>累計</t>
    <rPh sb="0" eb="2">
      <t>ルイケイケイ</t>
    </rPh>
    <phoneticPr fontId="6"/>
  </si>
  <si>
    <t>累計</t>
    <rPh sb="0" eb="1">
      <t>ルイ</t>
    </rPh>
    <rPh sb="1" eb="2">
      <t>ケイ</t>
    </rPh>
    <phoneticPr fontId="6"/>
  </si>
  <si>
    <t>1A</t>
    <phoneticPr fontId="6"/>
  </si>
  <si>
    <t>2A</t>
    <phoneticPr fontId="6"/>
  </si>
  <si>
    <t>3A</t>
    <phoneticPr fontId="6"/>
  </si>
  <si>
    <t>4A</t>
    <phoneticPr fontId="6"/>
  </si>
  <si>
    <t>小運搬重量（材料＋残材）</t>
    <phoneticPr fontId="6"/>
  </si>
  <si>
    <t>材料運搬重量</t>
    <phoneticPr fontId="6"/>
  </si>
  <si>
    <t>残材小運搬重量</t>
    <phoneticPr fontId="6"/>
  </si>
  <si>
    <t>残材車両積載重量（ｱｽﾍﾞｽﾄ）</t>
    <rPh sb="0" eb="2">
      <t>ザンザイ</t>
    </rPh>
    <rPh sb="2" eb="4">
      <t>シャリョウ</t>
    </rPh>
    <rPh sb="4" eb="6">
      <t>セキサイ</t>
    </rPh>
    <rPh sb="6" eb="8">
      <t>ジュウリョウ</t>
    </rPh>
    <phoneticPr fontId="6"/>
  </si>
  <si>
    <t>残材小運搬重量(全て含む)</t>
    <rPh sb="0" eb="1">
      <t>ザン</t>
    </rPh>
    <rPh sb="1" eb="2">
      <t>ザイ</t>
    </rPh>
    <rPh sb="2" eb="3">
      <t>コ</t>
    </rPh>
    <rPh sb="3" eb="5">
      <t>ウンパン</t>
    </rPh>
    <rPh sb="5" eb="7">
      <t>ジュウリョウ</t>
    </rPh>
    <rPh sb="8" eb="9">
      <t>スベ</t>
    </rPh>
    <phoneticPr fontId="6"/>
  </si>
  <si>
    <t>残材運搬車両積載重量(ｽｸﾗｯﾌﾟ・ｱｽﾍﾞ除く)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rPh sb="22" eb="23">
      <t>ノゾ</t>
    </rPh>
    <phoneticPr fontId="6"/>
  </si>
  <si>
    <t>残材運搬車両積載重量(ｱｽﾍﾞｽﾄ)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6"/>
  </si>
  <si>
    <t>ｱｽﾍﾞ重量</t>
    <rPh sb="4" eb="6">
      <t>ジュウリョウ</t>
    </rPh>
    <phoneticPr fontId="6"/>
  </si>
  <si>
    <t>total　</t>
    <phoneticPr fontId="6"/>
  </si>
  <si>
    <t>==&gt;&gt;</t>
    <phoneticPr fontId="6"/>
  </si>
  <si>
    <t>EOL1</t>
    <phoneticPr fontId="6"/>
  </si>
  <si>
    <t>スクラップ</t>
    <phoneticPr fontId="6"/>
  </si>
  <si>
    <t>ｺﾝｸﾘｰﾄ</t>
    <phoneticPr fontId="6"/>
  </si>
  <si>
    <t>ｱｽﾌｧﾙﾄ</t>
    <phoneticPr fontId="6"/>
  </si>
  <si>
    <t>廃プラ</t>
    <phoneticPr fontId="6"/>
  </si>
  <si>
    <t>ガラス</t>
    <phoneticPr fontId="6"/>
  </si>
  <si>
    <t>セメン</t>
    <phoneticPr fontId="6"/>
  </si>
  <si>
    <t>ｱﾙﾐ</t>
    <phoneticPr fontId="6"/>
  </si>
  <si>
    <t>くず</t>
    <phoneticPr fontId="6"/>
  </si>
  <si>
    <t>（ｱｽﾍﾞ）</t>
    <phoneticPr fontId="6"/>
  </si>
  <si>
    <t>がれき</t>
    <phoneticPr fontId="6"/>
  </si>
  <si>
    <t>廃プラ
(ｱｽﾍﾞ)</t>
    <phoneticPr fontId="6"/>
  </si>
  <si>
    <t>石膏ボード（ｱｽﾍﾞ）</t>
    <rPh sb="0" eb="2">
      <t>セッコウ</t>
    </rPh>
    <phoneticPr fontId="6"/>
  </si>
  <si>
    <t>セメント板　　　（ｱｽﾍﾞ）</t>
    <rPh sb="4" eb="5">
      <t>バン</t>
    </rPh>
    <phoneticPr fontId="6"/>
  </si>
  <si>
    <t>ｽﾃﾝﾚｽ</t>
    <phoneticPr fontId="6"/>
  </si>
  <si>
    <t>アルミ</t>
    <phoneticPr fontId="6"/>
  </si>
  <si>
    <t>内訳書決裁欄</t>
    <rPh sb="0" eb="3">
      <t>ウチワケショ</t>
    </rPh>
    <rPh sb="3" eb="5">
      <t>ケッサイ</t>
    </rPh>
    <rPh sb="5" eb="6">
      <t>ラン</t>
    </rPh>
    <phoneticPr fontId="6"/>
  </si>
  <si>
    <t>建築資産管理担当</t>
    <rPh sb="0" eb="2">
      <t>ケンチク</t>
    </rPh>
    <rPh sb="2" eb="4">
      <t>シサン</t>
    </rPh>
    <rPh sb="4" eb="6">
      <t>カンリ</t>
    </rPh>
    <rPh sb="6" eb="8">
      <t>タントウ</t>
    </rPh>
    <phoneticPr fontId="6"/>
  </si>
  <si>
    <t>係員</t>
    <rPh sb="0" eb="2">
      <t>カカリイン</t>
    </rPh>
    <phoneticPr fontId="6"/>
  </si>
  <si>
    <t>係長</t>
    <rPh sb="0" eb="2">
      <t>カカリチョウ</t>
    </rPh>
    <phoneticPr fontId="6"/>
  </si>
  <si>
    <t>単価台帳ver</t>
    <rPh sb="0" eb="2">
      <t>タンカ</t>
    </rPh>
    <rPh sb="2" eb="4">
      <t>ダイチョウ</t>
    </rPh>
    <phoneticPr fontId="6"/>
  </si>
  <si>
    <t>工事稟議番号</t>
    <rPh sb="0" eb="2">
      <t>コウジ</t>
    </rPh>
    <rPh sb="2" eb="4">
      <t>リンギ</t>
    </rPh>
    <rPh sb="4" eb="6">
      <t>バンゴウ</t>
    </rPh>
    <phoneticPr fontId="6"/>
  </si>
  <si>
    <t>明細コード</t>
    <rPh sb="0" eb="2">
      <t>メイサイ</t>
    </rPh>
    <phoneticPr fontId="6"/>
  </si>
  <si>
    <t>内訳書決裁日</t>
    <rPh sb="0" eb="3">
      <t>ウチワケショ</t>
    </rPh>
    <rPh sb="3" eb="5">
      <t>ケッサイ</t>
    </rPh>
    <rPh sb="5" eb="6">
      <t>ヒ</t>
    </rPh>
    <phoneticPr fontId="6"/>
  </si>
  <si>
    <t>明細情報</t>
    <rPh sb="0" eb="2">
      <t>メイサイ</t>
    </rPh>
    <rPh sb="2" eb="4">
      <t>ジョウホウ</t>
    </rPh>
    <phoneticPr fontId="6"/>
  </si>
  <si>
    <t>標準単価金額無2018.xls</t>
    <phoneticPr fontId="6"/>
  </si>
  <si>
    <t>【資産区分】
空白の場合は
建物-鉄コン造で計上</t>
    <phoneticPr fontId="6"/>
  </si>
  <si>
    <t>直接工事費</t>
    <rPh sb="0" eb="2">
      <t>チョクセツ</t>
    </rPh>
    <rPh sb="2" eb="5">
      <t>コウジヒ</t>
    </rPh>
    <phoneticPr fontId="6"/>
  </si>
  <si>
    <t>部分撤去工事</t>
    <rPh sb="0" eb="2">
      <t>ブブン</t>
    </rPh>
    <rPh sb="2" eb="4">
      <t>テッキョ</t>
    </rPh>
    <rPh sb="4" eb="6">
      <t>コウジ</t>
    </rPh>
    <phoneticPr fontId="6"/>
  </si>
  <si>
    <t>直接仮設及び部分撤去工事を除く直接工事費</t>
    <rPh sb="0" eb="2">
      <t>チョクセツ</t>
    </rPh>
    <rPh sb="2" eb="4">
      <t>カセツ</t>
    </rPh>
    <rPh sb="4" eb="5">
      <t>オヨ</t>
    </rPh>
    <rPh sb="6" eb="8">
      <t>ブブン</t>
    </rPh>
    <rPh sb="8" eb="10">
      <t>テッキョ</t>
    </rPh>
    <rPh sb="10" eb="12">
      <t>コウジ</t>
    </rPh>
    <rPh sb="13" eb="14">
      <t>ノゾ</t>
    </rPh>
    <rPh sb="15" eb="17">
      <t>チョクセツ</t>
    </rPh>
    <rPh sb="17" eb="19">
      <t>コウジ</t>
    </rPh>
    <rPh sb="19" eb="20">
      <t>ヒ</t>
    </rPh>
    <phoneticPr fontId="6"/>
  </si>
  <si>
    <t>資産</t>
    <rPh sb="0" eb="2">
      <t>シサン</t>
    </rPh>
    <phoneticPr fontId="6"/>
  </si>
  <si>
    <t>うち部分撤去工事</t>
    <rPh sb="2" eb="4">
      <t>ブブン</t>
    </rPh>
    <rPh sb="4" eb="6">
      <t>テッキョ</t>
    </rPh>
    <rPh sb="6" eb="8">
      <t>コウジ</t>
    </rPh>
    <phoneticPr fontId="6"/>
  </si>
  <si>
    <t>費用</t>
    <rPh sb="0" eb="2">
      <t>ヒヨウ</t>
    </rPh>
    <phoneticPr fontId="6"/>
  </si>
  <si>
    <t>共通費</t>
    <rPh sb="0" eb="2">
      <t>キョウツウ</t>
    </rPh>
    <rPh sb="2" eb="3">
      <t>ヒ</t>
    </rPh>
    <phoneticPr fontId="6"/>
  </si>
  <si>
    <t>　　うち、共通仮設費 　</t>
    <rPh sb="5" eb="7">
      <t>キョウツウ</t>
    </rPh>
    <rPh sb="7" eb="9">
      <t>カセツ</t>
    </rPh>
    <rPh sb="9" eb="10">
      <t>ヒ</t>
    </rPh>
    <phoneticPr fontId="6"/>
  </si>
  <si>
    <t xml:space="preserve">　　うち、現場管理費　 </t>
    <rPh sb="5" eb="7">
      <t>ゲンバ</t>
    </rPh>
    <rPh sb="7" eb="10">
      <t>カンリヒ</t>
    </rPh>
    <phoneticPr fontId="6"/>
  </si>
  <si>
    <t>　　うち、一般管理費等</t>
    <rPh sb="5" eb="7">
      <t>イッパン</t>
    </rPh>
    <rPh sb="7" eb="10">
      <t>カンリヒ</t>
    </rPh>
    <rPh sb="10" eb="11">
      <t>トウ</t>
    </rPh>
    <phoneticPr fontId="6"/>
  </si>
  <si>
    <t>工事価格</t>
    <rPh sb="0" eb="2">
      <t>コウジ</t>
    </rPh>
    <rPh sb="2" eb="4">
      <t>カカク</t>
    </rPh>
    <phoneticPr fontId="6"/>
  </si>
  <si>
    <t>０５建物　直接工事費</t>
    <rPh sb="2" eb="4">
      <t>タテモノ</t>
    </rPh>
    <rPh sb="5" eb="7">
      <t>チョクセツ</t>
    </rPh>
    <rPh sb="7" eb="10">
      <t>コウジヒ</t>
    </rPh>
    <phoneticPr fontId="6"/>
  </si>
  <si>
    <t>耐用年数</t>
    <rPh sb="0" eb="2">
      <t>タイヨウ</t>
    </rPh>
    <rPh sb="2" eb="4">
      <t>ネンスウ</t>
    </rPh>
    <phoneticPr fontId="6"/>
  </si>
  <si>
    <t>勘定科目「項」--&gt;</t>
    <rPh sb="5" eb="6">
      <t>コウ</t>
    </rPh>
    <phoneticPr fontId="6"/>
  </si>
  <si>
    <t>05建物</t>
    <rPh sb="2" eb="4">
      <t>タテモノ</t>
    </rPh>
    <phoneticPr fontId="6"/>
  </si>
  <si>
    <t>（直接仮設・部分撤去・費用を除く）</t>
    <phoneticPr fontId="6"/>
  </si>
  <si>
    <t>勘定科目「目」を選択--&gt;</t>
    <rPh sb="5" eb="6">
      <t>モク</t>
    </rPh>
    <phoneticPr fontId="6"/>
  </si>
  <si>
    <t>01</t>
    <phoneticPr fontId="6"/>
  </si>
  <si>
    <t>建築仕上げ</t>
    <rPh sb="0" eb="2">
      <t>ケンチク</t>
    </rPh>
    <rPh sb="2" eb="4">
      <t>シア</t>
    </rPh>
    <phoneticPr fontId="6"/>
  </si>
  <si>
    <t>鉄コン造</t>
    <phoneticPr fontId="6"/>
  </si>
  <si>
    <t>02</t>
    <phoneticPr fontId="6"/>
  </si>
  <si>
    <t>れんが石ブロック造</t>
    <phoneticPr fontId="6"/>
  </si>
  <si>
    <t>03</t>
    <phoneticPr fontId="6"/>
  </si>
  <si>
    <t>金属造(4mm超)</t>
    <phoneticPr fontId="6"/>
  </si>
  <si>
    <t>04</t>
    <phoneticPr fontId="6"/>
  </si>
  <si>
    <t>金属造(3mm超4mm以下)</t>
    <phoneticPr fontId="6"/>
  </si>
  <si>
    <t>05</t>
    <phoneticPr fontId="6"/>
  </si>
  <si>
    <t>金属造(肉厚が3mm以下)</t>
    <phoneticPr fontId="6"/>
  </si>
  <si>
    <t>06</t>
    <phoneticPr fontId="6"/>
  </si>
  <si>
    <t>木造又は合成樹脂造</t>
    <phoneticPr fontId="6"/>
  </si>
  <si>
    <t>07</t>
    <phoneticPr fontId="6"/>
  </si>
  <si>
    <t>木骨モルタル造</t>
    <phoneticPr fontId="6"/>
  </si>
  <si>
    <t>08</t>
    <phoneticPr fontId="6"/>
  </si>
  <si>
    <t>簡易建物(木製主要柱10cm角以下)</t>
    <phoneticPr fontId="6"/>
  </si>
  <si>
    <t>09</t>
    <phoneticPr fontId="6"/>
  </si>
  <si>
    <t>簡易建物(掘立造　仮設のもの)</t>
    <phoneticPr fontId="6"/>
  </si>
  <si>
    <t>当該課確認</t>
    <rPh sb="0" eb="2">
      <t>トウガイ</t>
    </rPh>
    <rPh sb="2" eb="3">
      <t>カ</t>
    </rPh>
    <rPh sb="3" eb="5">
      <t>カクニン</t>
    </rPh>
    <phoneticPr fontId="6"/>
  </si>
  <si>
    <t>電気設備(照明設備を含む)-蓄電池電源設備</t>
    <phoneticPr fontId="6"/>
  </si>
  <si>
    <t>電気設備(照明設備を含む)-その他のもの</t>
    <phoneticPr fontId="6"/>
  </si>
  <si>
    <t>給排水又は衛生設備及びガス設備</t>
    <phoneticPr fontId="6"/>
  </si>
  <si>
    <t>冷暖房・通風・ボイラー設備-22kw以下</t>
    <phoneticPr fontId="6"/>
  </si>
  <si>
    <t>冷暖房・通風・ボイラー設備-その他のもの</t>
    <phoneticPr fontId="6"/>
  </si>
  <si>
    <t>昇降機設備-エレベーター</t>
    <phoneticPr fontId="6"/>
  </si>
  <si>
    <t>昇降機設備-エスカレーター</t>
    <phoneticPr fontId="6"/>
  </si>
  <si>
    <t>消火・排煙・災害報知設備及び格納式避難設備</t>
    <phoneticPr fontId="6"/>
  </si>
  <si>
    <t>建物附属設備</t>
    <rPh sb="0" eb="2">
      <t>タテモノ</t>
    </rPh>
    <rPh sb="2" eb="4">
      <t>フゾク</t>
    </rPh>
    <rPh sb="4" eb="6">
      <t>セツビ</t>
    </rPh>
    <phoneticPr fontId="6"/>
  </si>
  <si>
    <t>エヤーカーテン又はドアー自動開閉設備</t>
    <phoneticPr fontId="6"/>
  </si>
  <si>
    <t>アーケード又は日よけ設備-金属製</t>
    <phoneticPr fontId="6"/>
  </si>
  <si>
    <t>資産計上建物　計</t>
    <rPh sb="0" eb="2">
      <t>シサン</t>
    </rPh>
    <rPh sb="2" eb="4">
      <t>ケイジョウ</t>
    </rPh>
    <rPh sb="4" eb="6">
      <t>タテモノ</t>
    </rPh>
    <rPh sb="7" eb="8">
      <t>ケイ</t>
    </rPh>
    <phoneticPr fontId="6"/>
  </si>
  <si>
    <t>１０構築物　直接工事費</t>
    <rPh sb="2" eb="5">
      <t>コウチクブツ</t>
    </rPh>
    <rPh sb="6" eb="8">
      <t>チョクセツ</t>
    </rPh>
    <rPh sb="8" eb="11">
      <t>コウジヒ</t>
    </rPh>
    <phoneticPr fontId="6"/>
  </si>
  <si>
    <t>10構築物</t>
    <rPh sb="2" eb="5">
      <t>コウチクブツ</t>
    </rPh>
    <phoneticPr fontId="6"/>
  </si>
  <si>
    <t>勘定科目「目」--&gt;</t>
    <rPh sb="5" eb="6">
      <t>モク</t>
    </rPh>
    <phoneticPr fontId="6"/>
  </si>
  <si>
    <t>024雑設備</t>
    <rPh sb="3" eb="4">
      <t>ザツ</t>
    </rPh>
    <rPh sb="4" eb="6">
      <t>セツビ</t>
    </rPh>
    <phoneticPr fontId="6"/>
  </si>
  <si>
    <t>（停車場設備）</t>
    <rPh sb="1" eb="4">
      <t>テイシャジョウ</t>
    </rPh>
    <rPh sb="4" eb="6">
      <t>セツビ</t>
    </rPh>
    <phoneticPr fontId="6"/>
  </si>
  <si>
    <t>舗装</t>
    <rPh sb="0" eb="2">
      <t>ホソウ</t>
    </rPh>
    <phoneticPr fontId="6"/>
  </si>
  <si>
    <t>駅前広場舗装等</t>
    <rPh sb="0" eb="1">
      <t>エキ</t>
    </rPh>
    <rPh sb="1" eb="2">
      <t>マエ</t>
    </rPh>
    <rPh sb="2" eb="4">
      <t>ヒロバ</t>
    </rPh>
    <rPh sb="4" eb="6">
      <t>ホソウ</t>
    </rPh>
    <rPh sb="6" eb="7">
      <t>トウ</t>
    </rPh>
    <phoneticPr fontId="6"/>
  </si>
  <si>
    <t>02</t>
  </si>
  <si>
    <t>その他</t>
    <phoneticPr fontId="6"/>
  </si>
  <si>
    <t>（諸構築物）</t>
    <phoneticPr fontId="6"/>
  </si>
  <si>
    <t>コンクリ・ブロック・レンガ・石敷</t>
    <rPh sb="14" eb="15">
      <t>イシ</t>
    </rPh>
    <rPh sb="15" eb="16">
      <t>シキ</t>
    </rPh>
    <phoneticPr fontId="6"/>
  </si>
  <si>
    <t>アスファルト・木れんか敷</t>
    <rPh sb="7" eb="8">
      <t>キ</t>
    </rPh>
    <rPh sb="11" eb="12">
      <t>シキ</t>
    </rPh>
    <phoneticPr fontId="6"/>
  </si>
  <si>
    <t>03</t>
  </si>
  <si>
    <t>ビチューマルス敷</t>
    <rPh sb="7" eb="8">
      <t>シキ</t>
    </rPh>
    <phoneticPr fontId="6"/>
  </si>
  <si>
    <t>04</t>
  </si>
  <si>
    <t>へい</t>
    <phoneticPr fontId="6"/>
  </si>
  <si>
    <t>鉄骨鉄筋コン造・鉄コン造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6"/>
  </si>
  <si>
    <t>05</t>
  </si>
  <si>
    <t>その他</t>
    <rPh sb="2" eb="3">
      <t>タ</t>
    </rPh>
    <phoneticPr fontId="6"/>
  </si>
  <si>
    <t>06</t>
  </si>
  <si>
    <t>コン造・コンクリートブロック造</t>
    <rPh sb="2" eb="3">
      <t>ゾウ</t>
    </rPh>
    <rPh sb="14" eb="15">
      <t>ゾウ</t>
    </rPh>
    <phoneticPr fontId="6"/>
  </si>
  <si>
    <t>07</t>
  </si>
  <si>
    <t>08</t>
  </si>
  <si>
    <t>金属造</t>
    <rPh sb="0" eb="2">
      <t>キンゾク</t>
    </rPh>
    <rPh sb="2" eb="3">
      <t>ゾウ</t>
    </rPh>
    <phoneticPr fontId="6"/>
  </si>
  <si>
    <t>09</t>
  </si>
  <si>
    <t>10</t>
    <phoneticPr fontId="6"/>
  </si>
  <si>
    <t>木造</t>
    <rPh sb="0" eb="1">
      <t>モク</t>
    </rPh>
    <rPh sb="1" eb="2">
      <t>ゾウ</t>
    </rPh>
    <phoneticPr fontId="6"/>
  </si>
  <si>
    <t>11</t>
    <phoneticPr fontId="6"/>
  </si>
  <si>
    <t>資産計上構築物　計</t>
    <rPh sb="0" eb="2">
      <t>シサン</t>
    </rPh>
    <rPh sb="2" eb="4">
      <t>ケイジョウ</t>
    </rPh>
    <rPh sb="4" eb="7">
      <t>コウチクブツ</t>
    </rPh>
    <rPh sb="8" eb="9">
      <t>ケイ</t>
    </rPh>
    <phoneticPr fontId="6"/>
  </si>
  <si>
    <t>２５工具・器具・備品　直接工事費</t>
    <rPh sb="2" eb="4">
      <t>コウグ</t>
    </rPh>
    <rPh sb="5" eb="7">
      <t>キグ</t>
    </rPh>
    <rPh sb="8" eb="10">
      <t>ビヒン</t>
    </rPh>
    <rPh sb="11" eb="13">
      <t>チョクセツ</t>
    </rPh>
    <rPh sb="13" eb="16">
      <t>コウジヒ</t>
    </rPh>
    <phoneticPr fontId="6"/>
  </si>
  <si>
    <t>25工具・器具・備品</t>
    <phoneticPr fontId="6"/>
  </si>
  <si>
    <t>059工具・器具・備品</t>
    <phoneticPr fontId="6"/>
  </si>
  <si>
    <t>12505958</t>
  </si>
  <si>
    <t>電気設備</t>
    <rPh sb="0" eb="2">
      <t>デンキ</t>
    </rPh>
    <rPh sb="2" eb="4">
      <t>セツビ</t>
    </rPh>
    <phoneticPr fontId="6"/>
  </si>
  <si>
    <t>12505959</t>
  </si>
  <si>
    <t>12505988</t>
    <phoneticPr fontId="6"/>
  </si>
  <si>
    <t>無人駐車管理装置</t>
    <rPh sb="0" eb="2">
      <t>ムジン</t>
    </rPh>
    <rPh sb="2" eb="4">
      <t>チュウシャ</t>
    </rPh>
    <rPh sb="4" eb="6">
      <t>カンリ</t>
    </rPh>
    <rPh sb="6" eb="8">
      <t>ソウチ</t>
    </rPh>
    <phoneticPr fontId="6"/>
  </si>
  <si>
    <t>12505990</t>
    <phoneticPr fontId="6"/>
  </si>
  <si>
    <t>その他（金造製）</t>
    <rPh sb="2" eb="3">
      <t>タ</t>
    </rPh>
    <rPh sb="4" eb="5">
      <t>キン</t>
    </rPh>
    <rPh sb="6" eb="7">
      <t>セイ</t>
    </rPh>
    <phoneticPr fontId="6"/>
  </si>
  <si>
    <t>12505991</t>
    <phoneticPr fontId="6"/>
  </si>
  <si>
    <t>その他（その他）</t>
    <rPh sb="2" eb="3">
      <t>タ</t>
    </rPh>
    <rPh sb="6" eb="7">
      <t>タ</t>
    </rPh>
    <phoneticPr fontId="6"/>
  </si>
  <si>
    <t>資産計上工具・器具・備品計</t>
    <rPh sb="0" eb="2">
      <t>シサン</t>
    </rPh>
    <rPh sb="2" eb="4">
      <t>ケイジョウ</t>
    </rPh>
    <rPh sb="4" eb="6">
      <t>コウグ</t>
    </rPh>
    <rPh sb="7" eb="9">
      <t>キグ</t>
    </rPh>
    <rPh sb="10" eb="12">
      <t>ビヒン</t>
    </rPh>
    <rPh sb="12" eb="13">
      <t>ケイ</t>
    </rPh>
    <phoneticPr fontId="6"/>
  </si>
  <si>
    <t>資産　直接工事費（直接仮設・費用・部分撤去工事を除く）合計</t>
    <rPh sb="0" eb="2">
      <t>シサン</t>
    </rPh>
    <rPh sb="3" eb="5">
      <t>チョクセツ</t>
    </rPh>
    <rPh sb="5" eb="7">
      <t>コウジ</t>
    </rPh>
    <rPh sb="7" eb="8">
      <t>ヒ</t>
    </rPh>
    <rPh sb="9" eb="11">
      <t>チョクセツ</t>
    </rPh>
    <rPh sb="11" eb="13">
      <t>カセツ</t>
    </rPh>
    <rPh sb="14" eb="16">
      <t>ヒヨウ</t>
    </rPh>
    <rPh sb="17" eb="19">
      <t>ブブン</t>
    </rPh>
    <rPh sb="19" eb="21">
      <t>テッキョ</t>
    </rPh>
    <rPh sb="21" eb="23">
      <t>コウジ</t>
    </rPh>
    <rPh sb="24" eb="25">
      <t>ノゾ</t>
    </rPh>
    <rPh sb="27" eb="29">
      <t>ゴウケイ</t>
    </rPh>
    <phoneticPr fontId="6"/>
  </si>
  <si>
    <t>鉄有固-運送施設 土地-線路及び停車場用地</t>
  </si>
  <si>
    <t>鉄有固-運送施設 土地-変電所用地</t>
  </si>
  <si>
    <t>鉄有固-運送施設 土地-車庫及び工場用地</t>
  </si>
  <si>
    <t>鉄有固-運送施設 土地-倉庫用地</t>
  </si>
  <si>
    <t>鉄有固-運送施設 土地-事務所用地</t>
  </si>
  <si>
    <t>鉄有固-運送施設 土地-社宅及び寮用地</t>
  </si>
  <si>
    <t>鉄有固-運送施設 土地-雑用地</t>
  </si>
  <si>
    <t>鉄有固-運送施設 建物-鉄骨鉄筋コンクリート造又は鉄筋コンクリート造-停車場建物</t>
  </si>
  <si>
    <t>鉄有固-運送施設 建物-れんが造、石造又はブロック造-停車場建物</t>
  </si>
  <si>
    <t>鉄有固-運送施設 建物-金属造(骨格材の肉厚が4mm超)-停車場建物</t>
  </si>
  <si>
    <t>鉄有固-運送施設 建物-金属造(骨格材の肉厚が3mm超4mm以下)-停車場建物</t>
  </si>
  <si>
    <t>鉄有固-運送施設 建物-金属造(骨格材の肉厚が3mm以下)-停車場建物</t>
  </si>
  <si>
    <t>鉄有固-運送施設 建物-木造又は合成樹脂造-停車場建物</t>
  </si>
  <si>
    <t>鉄有固-運送施設 建物-木骨モルタル造-停車場建物</t>
  </si>
  <si>
    <t>鉄有固-運送施設 建物-簡易建物(木製主要柱が10cm角以下で土居、杉皮ぶき等)-停車場建物</t>
  </si>
  <si>
    <t>鉄有固-運送施設 建物-簡易建物(掘立造のもの及び仮設のもの)-停車場建物</t>
  </si>
  <si>
    <t>鉄有固-運送施設 建物付属設備-電気設備(照明設備を含む)-蓄電池電源設備-停車場建物</t>
  </si>
  <si>
    <t>鉄有固-運送施設 建物付属設備-電気設備(照明設備を含む)-その他のもの-停車場建物</t>
  </si>
  <si>
    <t>鉄有固-運送施設 建物付属設備-給排水又は衛生設備及びガス設備-停車場建物</t>
  </si>
  <si>
    <t>鉄有固-運送施設 建物付属設備-冷暖房・通風・ボイラー設備-22kw以下-停車場建物</t>
  </si>
  <si>
    <t>鉄有固-運送施設 建物付属設備-冷暖房・通風・ボイラー設備-その他のもの-停車場建物</t>
  </si>
  <si>
    <t>鉄有固-運送施設 建物付属設備-昇降機設備-エレベーター-停車場建物</t>
  </si>
  <si>
    <t>鉄有固-運送施設 建物付属設備-昇降機設備-エスカレーター-停車場建物</t>
  </si>
  <si>
    <t>鉄有固-運送施設 建物付属設備-消火・排煙・災害報知設備及び格納式避難設備-停車場建物</t>
  </si>
  <si>
    <t>鉄有固-運送施設 建物付属設備-エヤーカーテン又はドアー自動開閉設備-停車場建物</t>
  </si>
  <si>
    <t>鉄有固-運送施設 建物付属設備-アーケード又は日よけ設備-金属製-停車場建物</t>
  </si>
  <si>
    <t>鉄有固-運送施設 建物付属設備-アーケード又は日よけ設備-その他のもの-停車場建物</t>
  </si>
  <si>
    <t>鉄有固-運送施設 建物付属設備-店用簡易設備-停車場建物</t>
  </si>
  <si>
    <t>鉄有固-運送施設 建物付属設備-可動簡易装備-簡易なもの-停車場建物</t>
  </si>
  <si>
    <t>鉄有固-運送施設 建物付属設備-可動簡易装備-その他のもの-停車場建物</t>
  </si>
  <si>
    <t>鉄有固-運送施設 建物付属設備-前掲以外・前掲区分外-主として金属製のもの-停車場建物</t>
  </si>
  <si>
    <t>鉄有固-運送施設 建物付属設備-前掲以外・前掲区分外-その他のもの-停車場建物</t>
  </si>
  <si>
    <t>鉄有固-運送施設 建物-鉄骨鉄筋コンクリート造又は鉄筋コンクリート造-変電所建物</t>
  </si>
  <si>
    <t>鉄有固-運送施設 建物-れんが造、石造又はブロック造-変電所建物</t>
  </si>
  <si>
    <t>鉄有固-運送施設 建物-金属造(骨格材の肉厚が4mm超)-変電所建物</t>
  </si>
  <si>
    <t>鉄有固-運送施設 建物-金属造(骨格材の肉厚が3mm超4mm以下)-変電所建物</t>
  </si>
  <si>
    <t>鉄有固-運送施設 建物-金属造(骨格材の肉厚が3mm以下)-変電所建物</t>
  </si>
  <si>
    <t>鉄有固-運送施設 建物-木造又は合成樹脂造-変電所建物</t>
  </si>
  <si>
    <t>鉄有固-運送施設 建物-木骨モルタル造-変電所建物</t>
  </si>
  <si>
    <t>鉄有固-運送施設 建物-簡易建物(木製主要柱が10cm角以下で土居、杉皮ぶき等)-変電所建物</t>
  </si>
  <si>
    <t>鉄有固-運送施設 建物-簡易建物(掘立造のもの及び仮設のもの)-変電所建物</t>
  </si>
  <si>
    <t>鉄有固-運送施設 建物付属設備-電気設備(照明設備を含む)-蓄電池電源設備-変電所建物</t>
  </si>
  <si>
    <t>鉄有固-運送施設 建物付属設備-電気設備(照明設備を含む)-その他のもの-変電所建物</t>
  </si>
  <si>
    <t>鉄有固-運送施設 建物付属設備-給排水又は衛生設備及びガス設備-変電所建物</t>
  </si>
  <si>
    <t>鉄有固-運送施設 建物付属設備-冷暖房・通風・ボイラー設備-22kw以下-変電所建物</t>
  </si>
  <si>
    <t>鉄有固-運送施設 建物付属設備-冷暖房・通風・ボイラー設備-その他のもの-変電所建物</t>
  </si>
  <si>
    <t>鉄有固-運送施設 建物付属設備-昇降機設備-エレベーター-変電所建物</t>
  </si>
  <si>
    <t>鉄有固-運送施設 建物付属設備-昇降機設備-エスカレーター-変電所建物</t>
  </si>
  <si>
    <t>鉄有固-運送施設 建物付属設備-消火・排煙・災害報知設備及び格納式避難設備-変電所建物</t>
  </si>
  <si>
    <t>鉄有固-運送施設 建物付属設備-エヤーカーテン又はドアー自動開閉設備-変電所建物</t>
  </si>
  <si>
    <t>鉄有固-運送施設 建物付属設備-アーケード又は日よけ設備-金属製-変電所建物</t>
  </si>
  <si>
    <t>鉄有固-運送施設 建物付属設備-アーケード又は日よけ設備-その他のもの-変電所建物</t>
  </si>
  <si>
    <t>鉄有固-運送施設 建物付属設備-店用簡易設備-変電所建物</t>
  </si>
  <si>
    <t>鉄有固-運送施設 建物付属設備-可動簡易装備-簡易なもの-変電所建物</t>
  </si>
  <si>
    <t>鉄有固-運送施設 建物付属設備-可動簡易装備-その他のもの-変電所建物</t>
  </si>
  <si>
    <t>鉄有固-運送施設 建物付属設備-前掲以外・前掲区分外-主として金属製のもの-変電所建物</t>
  </si>
  <si>
    <t>鉄有固-運送施設 建物付属設備-前掲以外・前掲区分外-その他のもの-変電所建物</t>
  </si>
  <si>
    <t>鉄有固-運送施設 建物-鉄骨鉄筋コンクリート造又は鉄筋コンクリート造-車庫・工場</t>
  </si>
  <si>
    <t>鉄有固-運送施設 建物-れんが造、石造又はブロック造-車庫・工場</t>
  </si>
  <si>
    <t>鉄有固-運送施設 建物-金属造(骨格材の肉厚が4mm超)-車庫・工場</t>
  </si>
  <si>
    <t>鉄有固-運送施設 建物-金属造(骨格材の肉厚が3mm超4mm以下)-車庫・工場</t>
  </si>
  <si>
    <t>鉄有固-運送施設 建物-金属造(骨格材の肉厚が3mm以下)-車庫・工場</t>
  </si>
  <si>
    <t>鉄有固-運送施設 建物-木造又は合成樹脂造-車庫・工場</t>
  </si>
  <si>
    <t>鉄有固-運送施設 建物-木骨モルタル造-車庫・工場</t>
  </si>
  <si>
    <t>鉄有固-運送施設 建物-簡易建物(木製主要柱が10cm角以下で土居、杉皮ぶき等)-車庫・工場</t>
  </si>
  <si>
    <t>鉄有固-運送施設 建物-簡易建物(掘立造のもの及び仮設のもの)-車庫・工場</t>
  </si>
  <si>
    <t>鉄有固-運送施設 建物付属設備-電気設備(照明設備を含む)-蓄電池電源設備-車庫・工場</t>
  </si>
  <si>
    <t>鉄有固-運送施設 建物付属設備-電気設備(照明設備を含む)-その他のもの-車庫・工場</t>
  </si>
  <si>
    <t>鉄有固-運送施設 建物付属設備-給排水又は衛生設備及びガス設備-車庫・工場</t>
  </si>
  <si>
    <t>鉄有固-運送施設 建物付属設備-冷暖房・通風・ボイラー設備-22kw以下-車庫・工場</t>
  </si>
  <si>
    <t>鉄有固-運送施設 建物付属設備-冷暖房・通風・ボイラー設備-その他のもの-車庫・工場</t>
  </si>
  <si>
    <t>鉄有固-運送施設 建物付属設備-昇降機設備-エレベーター-車庫・工場</t>
  </si>
  <si>
    <t>鉄有固-運送施設 建物付属設備-昇降機設備-エスカレーター-車庫・工場</t>
  </si>
  <si>
    <t>鉄有固-運送施設 建物付属設備-消火・排煙・災害報知設備及び格納式避難設備-車庫・工場</t>
  </si>
  <si>
    <t>鉄有固-運送施設 建物付属設備-エヤーカーテン又はドアー自動開閉設備-車庫・工場</t>
  </si>
  <si>
    <t>鉄有固-運送施設 建物付属設備-アーケード又は日よけ設備-金属製-車庫・工場</t>
  </si>
  <si>
    <t>鉄有固-運送施設 建物付属設備-アーケード又は日よけ設備-その他のもの-車庫・工場</t>
  </si>
  <si>
    <t>鉄有固-運送施設 建物付属設備-店用簡易設備-車庫・工場</t>
  </si>
  <si>
    <t>鉄有固-運送施設 建物付属設備-可動簡易装備-簡易なもの-車庫・工場</t>
  </si>
  <si>
    <t>鉄有固-運送施設 建物付属設備-可動簡易装備-その他のもの-車庫・工場</t>
  </si>
  <si>
    <t>鉄有固-運送施設 建物付属設備-前掲以外・前掲区分外-主として金属製のもの-車庫・工場</t>
  </si>
  <si>
    <t>鉄有固-運送施設 建物付属設備-前掲以外・前掲区分外-その他のもの-車庫・工場</t>
  </si>
  <si>
    <t>鉄有固-運送施設 建物-鉄骨鉄筋コンクリート造又は鉄筋コンクリート造-倉庫建物</t>
  </si>
  <si>
    <t>鉄有固-運送施設 建物-れんが造、石造又はブロック造-倉庫建物</t>
  </si>
  <si>
    <t>鉄有固-運送施設 建物-金属造(骨格材の肉厚が4mm超)-倉庫建物</t>
  </si>
  <si>
    <t>鉄有固-運送施設 建物-金属造(骨格材の肉厚が3mm超4mm以下)-倉庫建物</t>
  </si>
  <si>
    <t>鉄有固-運送施設 建物-金属造(骨格材の肉厚が3mm以下)-倉庫建物</t>
  </si>
  <si>
    <t>鉄有固-運送施設 建物-木造又は合成樹脂造-倉庫建物</t>
  </si>
  <si>
    <t>鉄有固-運送施設 建物-木骨モルタル造-倉庫建物</t>
  </si>
  <si>
    <t>鉄有固-運送施設 建物-簡易建物(木製主要柱が10cm角以下で土居、杉皮ぶき等)-倉庫建物</t>
  </si>
  <si>
    <t>鉄有固-運送施設 建物-簡易建物(掘立造のもの及び仮設のもの)-倉庫建物</t>
  </si>
  <si>
    <t>鉄有固-運送施設 建物付属設備-電気設備(照明設備を含む)-蓄電池電源設備-倉庫建物</t>
  </si>
  <si>
    <t>鉄有固-運送施設 建物付属設備-電気設備(照明設備を含む)-その他のもの-倉庫建物</t>
  </si>
  <si>
    <t>鉄有固-運送施設 建物付属設備-給排水又は衛生設備及びガス設備-倉庫建物</t>
  </si>
  <si>
    <t>鉄有固-運送施設 建物付属設備-冷暖房・通風・ボイラー設備-22kw以下-倉庫建物</t>
  </si>
  <si>
    <t>鉄有固-運送施設 建物付属設備-冷暖房・通風・ボイラー設備-その他のもの-倉庫建物</t>
  </si>
  <si>
    <t>鉄有固-運送施設 建物付属設備-昇降機設備-エレベーター-倉庫建物</t>
  </si>
  <si>
    <t>鉄有固-運送施設 建物付属設備-昇降機設備-エスカレーター-倉庫建物</t>
  </si>
  <si>
    <t>鉄有固-運送施設 建物付属設備-消火・排煙・災害報知設備及び格納式避難設備-倉庫建物</t>
  </si>
  <si>
    <t>鉄有固-運送施設 建物付属設備-エヤーカーテン又はドアー自動開閉設備-倉庫建物</t>
  </si>
  <si>
    <t>鉄有固-運送施設 建物付属設備-アーケード又は日よけ設備-金属製-倉庫建物</t>
  </si>
  <si>
    <t>鉄有固-運送施設 建物付属設備-アーケード又は日よけ設備-その他のもの-倉庫建物</t>
  </si>
  <si>
    <t>鉄有固-運送施設 建物付属設備-店用簡易設備-倉庫建物</t>
  </si>
  <si>
    <t>鉄有固-運送施設 建物付属設備-可動簡易装備-簡易なもの-倉庫建物</t>
  </si>
  <si>
    <t>鉄有固-運送施設 建物付属設備-可動簡易装備-その他のもの-倉庫建物</t>
  </si>
  <si>
    <t>鉄有固-運送施設 建物付属設備-前掲以外・前掲区分外-主として金属製のもの-倉庫建物</t>
  </si>
  <si>
    <t>鉄有固-運送施設 建物付属設備-前掲以外・前掲区分外-その他のもの-倉庫建物</t>
  </si>
  <si>
    <t>鉄有固-運送施設 建物-鉄骨鉄筋コンクリート造又は鉄筋コンクリート造-詰所建物</t>
  </si>
  <si>
    <t>鉄有固-運送施設 建物-れんが造、石造又はブロック造-詰所建物</t>
  </si>
  <si>
    <t>鉄有固-運送施設 建物-金属造(骨格材の肉厚が4mm超)-詰所建物</t>
  </si>
  <si>
    <t>鉄有固-運送施設 建物-金属造(骨格材の肉厚が3mm超4mm以下)-詰所建物</t>
  </si>
  <si>
    <t>鉄有固-運送施設 建物-金属造(骨格材の肉厚が3mm以下)-詰所建物</t>
  </si>
  <si>
    <t>鉄有固-運送施設 建物-木造又は合成樹脂造-詰所建物</t>
  </si>
  <si>
    <t>鉄有固-運送施設 建物-木骨モルタル造-詰所建物</t>
  </si>
  <si>
    <t>鉄有固-運送施設 建物-簡易建物(木製主要柱が10cm角以下で土居、杉皮ぶき等)-詰所建物</t>
  </si>
  <si>
    <t>鉄有固-運送施設 建物-簡易建物(掘立造のもの及び仮設のもの)-詰所建物</t>
  </si>
  <si>
    <t>鉄有固-運送施設 建物付属設備-電気設備(照明設備を含む)-蓄電池電源設備-詰所建物</t>
  </si>
  <si>
    <t>鉄有固-運送施設 建物付属設備-電気設備(照明設備を含む)-その他のもの-詰所建物</t>
  </si>
  <si>
    <t>鉄有固-運送施設 建物付属設備-給排水又は衛生設備及びガス設備-詰所建物</t>
  </si>
  <si>
    <t>鉄有固-運送施設 建物付属設備-冷暖房・通風・ボイラー設備-22kw以下-詰所建物</t>
  </si>
  <si>
    <t>鉄有固-運送施設 建物付属設備-冷暖房・通風・ボイラー設備-その他のもの-詰所建物</t>
  </si>
  <si>
    <t>鉄有固-運送施設 建物付属設備-昇降機設備-エレベーター-詰所建物</t>
  </si>
  <si>
    <t>鉄有固-運送施設 建物付属設備-昇降機設備-エスカレーター-詰所建物</t>
  </si>
  <si>
    <t>鉄有固-運送施設 建物付属設備-消火・排煙・災害報知設備及び格納式避難設備-詰所建物</t>
  </si>
  <si>
    <t>鉄有固-運送施設 建物付属設備-エヤーカーテン又はドアー自動開閉設備-詰所建物</t>
  </si>
  <si>
    <t>鉄有固-運送施設 建物付属設備-アーケード又は日よけ設備-金属製-詰所建物</t>
  </si>
  <si>
    <t>鉄有固-運送施設 建物付属設備-アーケード又は日よけ設備-その他のもの-詰所建物</t>
  </si>
  <si>
    <t>鉄有固-運送施設 建物付属設備-店用簡易設備-詰所建物</t>
  </si>
  <si>
    <t>鉄有固-運送施設 建物付属設備-可動簡易装備-簡易なもの-詰所建物</t>
  </si>
  <si>
    <t>鉄有固-運送施設 建物付属設備-可動簡易装備-その他のもの-詰所建物</t>
  </si>
  <si>
    <t>鉄有固-運送施設 建物付属設備-前掲以外・前掲区分外-主として金属製のもの-詰所建物</t>
  </si>
  <si>
    <t>鉄有固-運送施設 建物付属設備-前掲以外・前掲区分外-その他のもの-詰所建物</t>
  </si>
  <si>
    <t>鉄有固-運送施設 建物-鉄骨鉄筋コンクリート造又は鉄筋コンクリート造-事務所建物</t>
  </si>
  <si>
    <t>鉄有固-運送施設 建物-れんが造、石造又はブロック造-事務所建物</t>
  </si>
  <si>
    <t>鉄有固-運送施設 建物-金属造(骨格材の肉厚が4mm超)-事務所建物</t>
  </si>
  <si>
    <t>鉄有固-運送施設 建物-金属造(骨格材の肉厚が3mm超4mm以下)-事務所建物</t>
  </si>
  <si>
    <t>鉄有固-運送施設 建物-金属造(骨格材の肉厚が3mm以下)-事務所建物</t>
  </si>
  <si>
    <t>鉄有固-運送施設 建物-木造又は合成樹脂造-事務所建物</t>
  </si>
  <si>
    <t>鉄有固-運送施設 建物-木骨モルタル造-事務所建物</t>
  </si>
  <si>
    <t>鉄有固-運送施設 建物-簡易建物(木製主要柱が10cm角以下で土居、杉皮ぶき等)-事務所建物</t>
  </si>
  <si>
    <t>鉄有固-運送施設 建物-簡易建物(掘立造のもの及び仮設のもの)-事務所建物</t>
  </si>
  <si>
    <t>鉄有固-運送施設 建物付属設備-電気設備(照明設備を含む)-蓄電池電源設備-事務所建物</t>
  </si>
  <si>
    <t>鉄有固-運送施設 建物付属設備-電気設備(照明設備を含む)-その他のもの-事務所建物</t>
  </si>
  <si>
    <t>鉄有固-運送施設 建物付属設備-給排水又は衛生設備及びガス設備-事務所建物</t>
  </si>
  <si>
    <t>鉄有固-運送施設 建物付属設備-冷暖房・通風・ボイラー設備-22kw以下-事務所建物</t>
  </si>
  <si>
    <t>鉄有固-運送施設 建物付属設備-冷暖房・通風・ボイラー設備-その他のもの-事務所建物</t>
  </si>
  <si>
    <t>鉄有固-運送施設 建物付属設備-昇降機設備-エレベーター-事務所建物</t>
  </si>
  <si>
    <t>鉄有固-運送施設 建物付属設備-昇降機設備-エスカレーター-事務所建物</t>
  </si>
  <si>
    <t>鉄有固-運送施設 建物付属設備-消火・排煙・災害報知設備及び格納式避難設備-事務所建物</t>
  </si>
  <si>
    <t>鉄有固-運送施設 建物付属設備-エヤーカーテン又はドアー自動開閉設備-事務所建物</t>
  </si>
  <si>
    <t>鉄有固-運送施設 建物付属設備-アーケード又は日よけ設備-金属製-事務所建物</t>
  </si>
  <si>
    <t>鉄有固-運送施設 建物付属設備-アーケード又は日よけ設備-その他のもの-事務所建物</t>
  </si>
  <si>
    <t>鉄有固-運送施設 建物付属設備-店用簡易設備-事務所建物</t>
  </si>
  <si>
    <t>鉄有固-運送施設 建物付属設備-可動簡易装備-簡易なもの-事務所建物</t>
  </si>
  <si>
    <t>鉄有固-運送施設 建物付属設備-可動簡易装備-その他のもの-事務所建物</t>
  </si>
  <si>
    <t>鉄有固-運送施設 建物付属設備-前掲以外・前掲区分外-主として金属製のもの-事務所建物</t>
  </si>
  <si>
    <t>鉄有固-運送施設 建物付属設備-前掲以外・前掲区分外-その他のもの-事務所建物</t>
  </si>
  <si>
    <t>鉄有固-運送施設 建物-鉄骨鉄筋コンクリート造又は鉄筋コンクリート造-社宅・寮建物</t>
  </si>
  <si>
    <t>鉄有固-運送施設 建物-れんが造、石造又はブロック造-社宅・寮建物</t>
  </si>
  <si>
    <t>鉄有固-運送施設 建物-金属造(骨格材の肉厚が4mm超)-社宅・寮建物</t>
  </si>
  <si>
    <t>鉄有固-運送施設 建物-金属造(骨格材の肉厚が3mm超4mm以下)-社宅・寮建物</t>
  </si>
  <si>
    <t>鉄有固-運送施設 建物-金属造(骨格材の肉厚が3mm以下)-社宅・寮建物</t>
  </si>
  <si>
    <t>鉄有固-運送施設 建物-木造又は合成樹脂造-社宅・寮建物</t>
  </si>
  <si>
    <t>鉄有固-運送施設 建物-木骨モルタル造-社宅・寮建物</t>
  </si>
  <si>
    <t>鉄有固-運送施設 建物-簡易建物(木製主要柱が10cm角以下で土居、杉皮ぶき等)-社宅・寮建物</t>
  </si>
  <si>
    <t>鉄有固-運送施設 建物-簡易建物(掘立造のもの及び仮設のもの)-社宅・寮建物</t>
  </si>
  <si>
    <t>鉄有固-運送施設 建物付属設備-電気設備(照明設備を含む)-蓄電池電源設備-社宅・寮建物</t>
  </si>
  <si>
    <t>鉄有固-運送施設 建物付属設備-電気設備(照明設備を含む)-その他のもの-社宅・寮建物</t>
  </si>
  <si>
    <t>鉄有固-運送施設 建物付属設備-給排水又は衛生設備及びガス設備-社宅・寮建物</t>
  </si>
  <si>
    <t>鉄有固-運送施設 建物付属設備-冷暖房・通風・ボイラー設備-22kw以下-社宅・寮建物</t>
  </si>
  <si>
    <t>鉄有固-運送施設 建物付属設備-冷暖房・通風・ボイラー設備-その他のもの-社宅・寮建物</t>
  </si>
  <si>
    <t>鉄有固-運送施設 建物付属設備-昇降機設備-エレベーター-社宅・寮建物</t>
  </si>
  <si>
    <t>鉄有固-運送施設 建物付属設備-昇降機設備-エスカレーター-社宅・寮建物</t>
  </si>
  <si>
    <t>鉄有固-運送施設 建物付属設備-消火・排煙・災害報知設備及び格納式避難設備-社宅・寮建物</t>
  </si>
  <si>
    <t>鉄有固-運送施設 建物付属設備-エヤーカーテン又はドアー自動開閉設備-社宅・寮建物</t>
  </si>
  <si>
    <t>鉄有固-運送施設 建物付属設備-アーケード又は日よけ設備-金属製-社宅・寮建物</t>
  </si>
  <si>
    <t>鉄有固-運送施設 建物付属設備-アーケード又は日よけ設備-その他のもの-社宅・寮建物</t>
  </si>
  <si>
    <t>鉄有固-運送施設 建物付属設備-店用簡易設備-社宅・寮建物</t>
  </si>
  <si>
    <t>鉄有固-運送施設 建物付属設備-可動簡易装備-簡易なもの-社宅・寮建物</t>
  </si>
  <si>
    <t>鉄有固-運送施設 建物付属設備-可動簡易装備-その他のもの-社宅・寮建物</t>
  </si>
  <si>
    <t>鉄有固-運送施設 建物付属設備-前掲以外・前掲区分外-主として金属製のもの-社宅・寮建物</t>
  </si>
  <si>
    <t>鉄有固-運送施設 建物付属設備-前掲以外・前掲区分外-その他のもの-社宅・寮建物</t>
  </si>
  <si>
    <t>鉄有固-運送施設 建物-雑建物-定額50年</t>
  </si>
  <si>
    <t>鉄有固-運送施設 建物-雑建物-定額47年</t>
  </si>
  <si>
    <t>鉄有固-運送施設 建物-雑建物-定額41年</t>
  </si>
  <si>
    <t>鉄有固-運送施設 建物-雑建物-定額39年</t>
  </si>
  <si>
    <t>鉄有固-運送施設 建物-雑建物-定額38年</t>
  </si>
  <si>
    <t>鉄有固-運送施設 建物-雑建物-定額36年</t>
  </si>
  <si>
    <t>鉄有固-運送施設 建物-雑建物-定額34年</t>
  </si>
  <si>
    <t>鉄有固-運送施設 建物-雑建物-定額31年</t>
  </si>
  <si>
    <t>鉄有固-運送施設 建物-雑建物-定額30年</t>
  </si>
  <si>
    <t>鉄有固-運送施設 建物-雑建物-定額29年</t>
  </si>
  <si>
    <t>鉄有固-運送施設 建物-雑建物-定額28年</t>
  </si>
  <si>
    <t>鉄有固-運送施設 建物-雑建物-定額27年</t>
  </si>
  <si>
    <t>鉄有固-運送施設 建物-雑建物-定額26年</t>
  </si>
  <si>
    <t>鉄有固-運送施設 建物-雑建物-定額25年</t>
  </si>
  <si>
    <t>鉄有固-運送施設 建物-雑建物-定額24年</t>
  </si>
  <si>
    <t>鉄有固-運送施設 建物-雑建物-定額22年</t>
  </si>
  <si>
    <t>鉄有固-運送施設 建物-雑建物-定額21年</t>
  </si>
  <si>
    <t>鉄有固-運送施設 建物-雑建物-定額20年</t>
  </si>
  <si>
    <t>鉄有固-運送施設 建物-雑建物-定額19年</t>
  </si>
  <si>
    <t>鉄有固-運送施設 建物-雑建物-定額17年</t>
  </si>
  <si>
    <t>鉄有固-運送施設 建物-雑建物-定額15年</t>
  </si>
  <si>
    <t>鉄有固-運送施設 建物-雑建物-定額14年</t>
  </si>
  <si>
    <t>鉄有固-運送施設 建物-雑建物-定額12年</t>
  </si>
  <si>
    <t>鉄有固-運送施設 建物-雑建物-定額11年</t>
  </si>
  <si>
    <t>鉄有固-運送施設 建物-雑建物-定額10年</t>
  </si>
  <si>
    <t>鉄有固-運送施設 建物-雑建物-定額09年</t>
  </si>
  <si>
    <t>鉄有固-運送施設 建物-雑建物-定額07年</t>
  </si>
  <si>
    <t>鉄有固-運送施設 建物付属設備-電気設備(照明設備を含む)-蓄電池電源設備-雑建物</t>
  </si>
  <si>
    <t>鉄有固-運送施設 建物付属設備-電気設備(照明設備を含む)-その他のもの-雑建物</t>
  </si>
  <si>
    <t>鉄有固-運送施設 建物付属設備-給排水又は衛生設備及びガス設備-雑建物</t>
  </si>
  <si>
    <t>鉄有固-運送施設 建物付属設備-冷暖房・通風・ボイラー設備-22kw以下-雑建物</t>
  </si>
  <si>
    <t>鉄有固-運送施設 建物付属設備-冷暖房・通風・ボイラー設備-その他のもの-雑建物</t>
  </si>
  <si>
    <t>鉄有固-運送施設 建物付属設備-昇降機設備-エレベーター-雑建物</t>
  </si>
  <si>
    <t>鉄有固-運送施設 建物付属設備-昇降機設備-エスカレーター-雑建物</t>
  </si>
  <si>
    <t>鉄有固-運送施設 建物付属設備-消火・排煙・災害報知設備及び格納式避難設備-雑建物</t>
  </si>
  <si>
    <t>鉄有固-運送施設 建物付属設備-エヤーカーテン又はドアー自動開閉設備-雑建物</t>
  </si>
  <si>
    <t>鉄有固-運送施設 建物付属設備-アーケード又は日よけ設備-金属製-雑建物</t>
  </si>
  <si>
    <t>鉄有固-運送施設 建物付属設備-アーケード又は日よけ設備-その他のもの-雑建物</t>
  </si>
  <si>
    <t>鉄有固-運送施設 建物付属設備-店用簡易設備-雑建物</t>
  </si>
  <si>
    <t>鉄有固-運送施設 建物付属設備-可動簡易装備-簡易なもの-雑建物</t>
  </si>
  <si>
    <t>鉄有固-運送施設 建物付属設備-可動簡易装備-その他のもの-雑建物</t>
  </si>
  <si>
    <t>鉄有固-運送施設 建物付属設備-前掲以外・前掲区分外-主として金属製のもの-雑建物</t>
  </si>
  <si>
    <t>鉄有固-運送施設 建物付属設備-前掲以外・前掲区分外-その他のもの-雑建物</t>
  </si>
  <si>
    <t>鉄有固-構築物-軌道-レール及び附属品</t>
  </si>
  <si>
    <t>鉄有固-構築物-軌道-分岐器</t>
  </si>
  <si>
    <t>鉄有固-構築物-軌道-まくら木(木製)</t>
  </si>
  <si>
    <t>鉄有固-構築物-軌道-まくら木(コンクリート製)</t>
  </si>
  <si>
    <t>鉄有固-構築物-軌道-まくら木(金属製)</t>
  </si>
  <si>
    <t>鉄有固-構築物-軌道-道床</t>
  </si>
  <si>
    <t>鉄有固-構築物-軌道-舗装</t>
  </si>
  <si>
    <t>鉄有固-構築物-軌道-諸標及び車止め</t>
  </si>
  <si>
    <t>鉄有固-構築物-土工-線路切取</t>
  </si>
  <si>
    <t>鉄有固-構築物-土工-線路築堤</t>
  </si>
  <si>
    <t>鉄有固-構築物-土工-川道付替</t>
  </si>
  <si>
    <t>鉄有固-構築物-土工-土留め</t>
  </si>
  <si>
    <t>鉄有固-構築物-橋りょう-鉄筋コンクリート造り</t>
  </si>
  <si>
    <t>鉄有固-構築物-橋りょう-鉄骨造り</t>
  </si>
  <si>
    <t>鉄有固-構築物-高架橋-鉄筋コンクリート造り</t>
  </si>
  <si>
    <t>鉄有固-構築物-トンネル-鉄筋コンクリート造り</t>
  </si>
  <si>
    <t>鉄有固-構築物-排水設備</t>
  </si>
  <si>
    <t>鉄有固-構築物-機械保安設備-機械信号機</t>
  </si>
  <si>
    <t>鉄有固-構築物-機械保安設備-諸設備</t>
  </si>
  <si>
    <t>鉄有固-構築物-プラットホーム及び積卸し場</t>
  </si>
  <si>
    <t>鉄有固-構築物-地下道</t>
  </si>
  <si>
    <t>鉄有固-構築物-通信線</t>
  </si>
  <si>
    <t>鉄有固-構築物-電話機</t>
  </si>
  <si>
    <t>鉄有固-構築物-電気時計</t>
  </si>
  <si>
    <t>鉄有固-構築物-拡声装置</t>
  </si>
  <si>
    <t>鉄有固-構築物-通信諸設備</t>
  </si>
  <si>
    <t>鉄有固-構築物-信号線</t>
  </si>
  <si>
    <t>鉄有固-構築物-閉そく装置</t>
  </si>
  <si>
    <t>鉄有固-構築物-電気信号機</t>
  </si>
  <si>
    <t>鉄有固-構築物-連動機</t>
  </si>
  <si>
    <t>鉄有固-構築物-転てつ器</t>
  </si>
  <si>
    <t>鉄有固-構築物-自動列車制御装置</t>
  </si>
  <si>
    <t>鉄有固-構築物-自動列車運転装置</t>
  </si>
  <si>
    <t>鉄有固-構築物-列車集中制御装置</t>
  </si>
  <si>
    <t>鉄有固-構築物-自動列車進路制御装置</t>
  </si>
  <si>
    <t>鉄有固-構築物-電気保安諸設備</t>
  </si>
  <si>
    <t>鉄有固-構築物-送電線</t>
  </si>
  <si>
    <t>鉄有固-構築物-配電線</t>
  </si>
  <si>
    <t>鉄有固-構築物-き電線</t>
  </si>
  <si>
    <t>鉄有固-構築物-電車線</t>
  </si>
  <si>
    <t>鉄有固-構築物-サードレール</t>
  </si>
  <si>
    <t>鉄有固-構築物-帰線ボンド</t>
  </si>
  <si>
    <t>鉄有固-構築物-電灯電力線</t>
  </si>
  <si>
    <t>鉄有固-構築物-電力線諸設備</t>
  </si>
  <si>
    <t>鉄有固-構築物-支持物-鉄柱及びコンクリート柱</t>
  </si>
  <si>
    <t>鉄有固-構築物-支持物-木柱</t>
  </si>
  <si>
    <t>鉄有固-構築物-支持物-その他の支持物(電柱及び腕木を除く)</t>
  </si>
  <si>
    <t>鉄有固-構築物-支持物-その他の支持物(腕木を含む)</t>
  </si>
  <si>
    <t>鉄有固-構築物-車庫工場</t>
  </si>
  <si>
    <t>鉄有固-構築物-変電所</t>
  </si>
  <si>
    <t>鉄有固-構築物-転、遷車台</t>
  </si>
  <si>
    <t>鉄有固-構築物-給油設備</t>
  </si>
  <si>
    <t>鉄有固-構築物-検車洗浄設備</t>
  </si>
  <si>
    <t>鉄有固-構築物-雑構築物</t>
  </si>
  <si>
    <t>鉄有固-車両-電動客車</t>
  </si>
  <si>
    <t>鉄有固-車両-制御客車</t>
  </si>
  <si>
    <t>鉄有固-車両-付随客車</t>
  </si>
  <si>
    <t>鉄有固-車両-特殊車両-線路建設保守用工作車</t>
  </si>
  <si>
    <t>鉄有固-機械装置-変電所機械</t>
  </si>
  <si>
    <t>鉄有固-機械装置-通信機械-交換設備</t>
  </si>
  <si>
    <t>鉄有固-機械装置-通信機械-無線設備</t>
  </si>
  <si>
    <t>鉄有固-機械装置-通信機械-搬送設備</t>
  </si>
  <si>
    <t>鉄有固-機械装置-通信機械-諸設備</t>
  </si>
  <si>
    <t>鉄有固-機械装置-停車場機械-その他の設備(主として金属製のもの)</t>
  </si>
  <si>
    <t>鉄有固-機械装置-停車場機械-その他の設備(その他のもの)</t>
  </si>
  <si>
    <t>鉄有固-機械装置-停車場機械-自動改札装置</t>
  </si>
  <si>
    <t>鉄有固-機械装置-工場機械</t>
  </si>
  <si>
    <t>鉄有固-機械装置-雑機械-その他の設備(主として金属製のもの)</t>
  </si>
  <si>
    <t>鉄有固-機械装置-雑機械-その他の設備(その他のもの)</t>
  </si>
  <si>
    <t>鉄有固-工具器具及び備品-工器備-測定工具・検査工具(電気・電子を利用するものを含む)</t>
  </si>
  <si>
    <t>鉄有固-工具器具及び備品-工器備-治具及び取付工具</t>
  </si>
  <si>
    <t>鉄有固-工具器具及び備品-工器備-ロール-金属圧延用のもの</t>
  </si>
  <si>
    <t>鉄有固-工具器具及び備品-工器備-ロール-なつ染・粉砕・混錬ロールその他のもの</t>
  </si>
  <si>
    <t>鉄有固-工具器具及び備品-工器備-型・鍛圧・打抜工具-ガラス成型用金型及び鋳造用型</t>
  </si>
  <si>
    <t>鉄有固-工具器具及び備品-工器備-型・鍛圧・打抜工具-その他のもの</t>
  </si>
  <si>
    <t>鉄有固-工具器具及び備品-工器備-切削工具</t>
  </si>
  <si>
    <t>鉄有固-工具器具及び備品-工器備-金属製柱及びカッペ</t>
  </si>
  <si>
    <t>鉄有固-工具器具及び備品-工器備-活字・活字に常用される金属-購入活字</t>
  </si>
  <si>
    <t>鉄有固-工具器具及び備品-工器備-活字・活字に常用される金属-自製活字</t>
  </si>
  <si>
    <t>鉄有固-工具器具及び備品-工器備-前掲以外-白金ノズル</t>
  </si>
  <si>
    <t>鉄有固-工具器具及び備品-工器備-前掲以外-その他のもの</t>
  </si>
  <si>
    <t>鉄有固-工具器具及び備品-工器備-前掲区分外-白金ノズル</t>
  </si>
  <si>
    <t>鉄有固-工具器具及び備品-工器備-前掲区分外-その他の主として金属製のもの</t>
  </si>
  <si>
    <t>鉄有固-工具器具及び備品-工器備-前掲区分外-その他のもの</t>
  </si>
  <si>
    <t>鉄有固-工具器具及び備品-工器備-家具・電気・ガス・家庭用品-事務机・いす(金属)</t>
  </si>
  <si>
    <t>鉄有固-工具器具及び備品-工器備-家具・電気・ガス・家庭用品-事務机・いす(その他)</t>
  </si>
  <si>
    <t>鉄有固-工具器具及び備品-工器備-家具・電気・ガス・家庭用品-応接セット(接客業用)</t>
  </si>
  <si>
    <t>鉄有固-工具器具及び備品-工器備-家具・電気・ガス・家庭用品-応接セット(その他)</t>
  </si>
  <si>
    <t>鉄有固-工具器具及び備品-工器備-家具・電気・ガス・家庭用品-ベット</t>
  </si>
  <si>
    <t>鉄有固-工具器具及び備品-工器備-家具・電気・ガス・家庭用品-児童用机及びいす</t>
  </si>
  <si>
    <t>鉄有固-工具器具及び備品-工器備-家具・電気・ガス・家庭用品-陳列棚(冷凍・冷蔵機付)</t>
  </si>
  <si>
    <t>鉄有固-工具器具及び備品-工器備-家具・電気・ガス・家庭用品-陳列棚(その他)</t>
  </si>
  <si>
    <t>鉄有固-工具器具及び備品-工器備-家具・電気・ガス・家庭用品-その他の家具(接客業用)</t>
  </si>
  <si>
    <t>鉄有固-工具器具及び備品-工器備-家具・電気・ガス・家庭用品-その他の家具(金属製)</t>
  </si>
  <si>
    <t>鉄有固-工具器具及び備品-工器備-家具・電気・ガス・家庭用品-その他の家具(その他)</t>
  </si>
  <si>
    <t>鉄有固-工具器具及び備品-工器備-家具・電気・ガス・家庭用品-その他の音響機器</t>
  </si>
  <si>
    <t>鉄有固-工具器具及び備品-工器備-家具・電気・ガス・家庭用品-冷房用又は暖房用機器</t>
  </si>
  <si>
    <t>鉄有固-工具器具及び備品-工器備-家具・電気・ガス・家庭用品-その他電気・ガス機器</t>
  </si>
  <si>
    <t>鉄有固-工具器具及び備品-工器備-家具・電気・ガス・家庭用品-氷冷蔵庫・冷蔵ストッカー</t>
  </si>
  <si>
    <t>鉄有固-工具器具及び備品-工器備-家具・電気・ガス・家庭用品-その他繊維製品</t>
  </si>
  <si>
    <t>鉄有固-工具器具及び備品-工器備-家具・電気・ガス・家庭用品-床用敷物(業務用)</t>
  </si>
  <si>
    <t>鉄有固-工具器具及び備品-工器備-家具・電気・ガス・家庭用品-床用敷物(その他)</t>
  </si>
  <si>
    <t>鉄有固-工具器具及び備品-工器備-家具・電気・ガス・家庭用品-室内装飾品(金属製)</t>
  </si>
  <si>
    <t>鉄有固-工具器具及び備品-工器備-家具・電気・ガス・家庭用品-室内装飾品(その他)</t>
  </si>
  <si>
    <t>鉄有固-工具器具及び備品-工器備-家具・電気・ガス・家庭用品-食事・厨房用品(陶磁器)</t>
  </si>
  <si>
    <t>鉄有固-工具器具及び備品-工器備-家具・電気・ガス・家庭用品-食事・厨房用品(その他)</t>
  </si>
  <si>
    <t>鉄有固-工具器具及び備品-工器備-家具・電気・ガス・家庭用品-その他のもの(金属製)</t>
  </si>
  <si>
    <t>鉄有固-工具器具及び備品-工器備-家具・電気・ガス・家庭用品-その他のもの(その他)</t>
  </si>
  <si>
    <t>鉄有固-工具器具及び備品-工器備-事務・通信機器-謄写機器・タイプライター(印書業用)</t>
  </si>
  <si>
    <t>鉄有固-工具器具及び備品-工器備-事務・通信機器-謄写機器・タイプライター(その他)</t>
  </si>
  <si>
    <t>鉄有固-工具器具及び備品-工器備-事務・通信機器-電子計算機(PC(サーバ用を除く))</t>
  </si>
  <si>
    <t>鉄有固-工具器具及び備品-工器備-事務・通信機器-電子計算機(その他)</t>
  </si>
  <si>
    <t>鉄有固-工具器具及び備品-工器備-事務・通信機器-複写機・計算機・金銭登録機</t>
  </si>
  <si>
    <t>鉄有固-工具器具及び備品-工器備-事務・通信機器-その他の事務機器</t>
  </si>
  <si>
    <t>鉄有固-工具器具及び備品-工器備-事務・通信機器-テレタイプライター及びファクシミリ</t>
  </si>
  <si>
    <t>鉄有固-工具器具及び備品-工器備-事務・通信機器-インターホーン及び放送用設備</t>
  </si>
  <si>
    <t>鉄有固-工具器具及び備品-工器備-事務・通信機器-その他の通信機器(デジタル構内交換)</t>
  </si>
  <si>
    <t>鉄有固-工具器具及び備品-工器備-事務・通信機器-その他の通信機器(その他のもの)</t>
  </si>
  <si>
    <t>鉄有固-工具器具及び備品-工器備-時計、試験機器及び測定機器-時計</t>
  </si>
  <si>
    <t>鉄有固-工具器具及び備品-工器備-時計、試験機器及び測定機器-度量衝器</t>
  </si>
  <si>
    <t>鉄有固-工具器具及び備品-工器備-時計、試験機器及び測定機器-試験又は測定機器</t>
  </si>
  <si>
    <t>鉄有固-工具器具及び備品-工器備-光学・写真製作機器-オペラグラス</t>
  </si>
  <si>
    <t>鉄有固-工具器具及び備品-工器備-光学・写真製作機器-カメラ、映画撮影機、映写機</t>
  </si>
  <si>
    <t>鉄有固-工具器具及び備品-工器備-光学・写真製作機器-その他の機器</t>
  </si>
  <si>
    <t>鉄有固-工具器具及び備品-工器備-看板・広告機器-看板、ネオンサイン及び気球</t>
  </si>
  <si>
    <t>鉄有固-工具器具及び備品-工器備-看板・広告機器-マネキン人形及び模型</t>
  </si>
  <si>
    <t>鉄有固-工具器具及び備品-工器備-看板・広告機器-その他のもの(主として金属製のもの)</t>
  </si>
  <si>
    <t>鉄有固-工具器具及び備品-工器備-看板・広告機器-その他のもの(その他のもの)</t>
  </si>
  <si>
    <t>鉄有固-工具器具及び備品-工器備-容器・金庫-ボンベ(溶接製のもの</t>
  </si>
  <si>
    <t>鉄有固-工具器具及び備品-工器備-容器・金庫-ボンベ(鍛造製)(塩素用のもの)</t>
  </si>
  <si>
    <t>鉄有固-工具器具及び備品-工器備-容器・金庫-ボンベ(鍛造製)(その他のもの)</t>
  </si>
  <si>
    <t>鉄有固-工具器具及び備品-工器備-容器・金庫-その他容器(コンテナ(長さが6m以上))</t>
  </si>
  <si>
    <t>鉄有固-工具器具及び備品-工器備-容器・金庫-その他の容器(金属製のもの)</t>
  </si>
  <si>
    <t>鉄有固-工具器具及び備品-工器備-容器・金庫-その他の容器(その他のもの)</t>
  </si>
  <si>
    <t>鉄有固-工具器具及び備品-工器備-容器・金庫-金庫(手さげ金庫)</t>
  </si>
  <si>
    <t>鉄有固-工具器具及び備品-工器備-容器・金庫-金庫(その他のもの)</t>
  </si>
  <si>
    <t>鉄有固-工具器具及び備品-工器備-医療機器-消毒殺菌用機器</t>
  </si>
  <si>
    <t>鉄有固-工具器具及び備品-工器備-医療機器-手術機器</t>
  </si>
  <si>
    <t>鉄有固-工具器具及び備品-工器備-医療機器-血液透析又は血しょう交換用機器</t>
  </si>
  <si>
    <t>鉄有固-工具器具及び備品-工器備-医療機器-その他の作動部分を有する機能回復訓練機器</t>
  </si>
  <si>
    <t>鉄有固-工具器具及び備品-工器備-医療機器-調剤機器</t>
  </si>
  <si>
    <t>鉄有固-工具器具及び備品-工器備-医療機器-歯科診療用ユニット</t>
  </si>
  <si>
    <t>鉄有固-工具器具及び備品-工器備-医療機器-光学検査機器(ファイバースコープ)</t>
  </si>
  <si>
    <t>鉄有固-工具器具及び備品-工器備-医療機器-光学検査機器(その他のもの)</t>
  </si>
  <si>
    <t>鉄有固-工具器具及び備品-工器備-医療機器-その他の電子装置を使用する機器(移動式)</t>
  </si>
  <si>
    <t>鉄有固-工具器具及び備品-工器備-医療機器-その他の電子装置を使用する機器(その他)</t>
  </si>
  <si>
    <t>鉄有固-工具器具及び備品-工器備-医療機器-その他のもの(陶磁器製又はガラス製のもの)</t>
  </si>
  <si>
    <t>鉄有固-工具器具及び備品-工器備-医療機器-その他のもの(主として金属製のもの)</t>
  </si>
  <si>
    <t>鉄有固-工具器具及び備品-工器備-医療機器-その他のもの(その他のもの)</t>
  </si>
  <si>
    <t>鉄有固-工具器具及び備品-工器備-前掲以外-映画フイルム・磁気テープ・レコード</t>
  </si>
  <si>
    <t>鉄有固-工具器具及び備品-工器備-前掲以外-シート及びロープ</t>
  </si>
  <si>
    <t>鉄有固-工具器具及び備品-工器備-前掲以外-きのこ栽培用ほだ木</t>
  </si>
  <si>
    <t>鉄有固-工具器具及び備品-工器備-前掲以外-漁具</t>
  </si>
  <si>
    <t>鉄有固-工具器具及び備品-工器備-前掲以外-葬儀用具</t>
  </si>
  <si>
    <t>鉄有固-工具器具及び備品-工器備-前掲以外-楽器</t>
  </si>
  <si>
    <t>鉄有固-工具器具及び備品-工器備-前掲以外-自動販売機(手動のものを含む。)</t>
  </si>
  <si>
    <t>鉄有固-工具器具及び備品-工器備-前掲以外-無人駐車管理装置</t>
  </si>
  <si>
    <t>鉄有固-工具器具及び備品-工器備-前掲以外-焼却炉</t>
  </si>
  <si>
    <t>鉄有固-工具器具及び備品-工器備-前掲以外-その他のもの(主として金属製のもの)</t>
  </si>
  <si>
    <t>鉄有固-工具器具及び備品-工器備-前掲以外-その他のもの(その他のもの)</t>
  </si>
  <si>
    <t>鉄有固-工具器具及び備品-運搬具-前掲以外-自動車-小型車(総排気量が0.66l以下)</t>
  </si>
  <si>
    <t>鉄有固-工具器具及び備品-運搬具-前掲以外-自動車-その他-貨物自動車-ダンプ式のもの</t>
  </si>
  <si>
    <t>鉄有固-工具器具及び備品-運搬具-前掲以外-自動車-その他-貨物自動車-その他のもの</t>
  </si>
  <si>
    <t>鉄有固-工具器具及び備品-運搬具-前掲以外-自動車-その他-報道通信用のもの</t>
  </si>
  <si>
    <t>鉄有固-工具器具及び備品-運搬具-前掲以外-自動車-その他-その他</t>
  </si>
  <si>
    <t>鉄有固-工具器具及び備品-運搬具-前掲以外-２輪又は３輪自動車</t>
  </si>
  <si>
    <t>鉄有固-工具器具及び備品-運搬具-前掲以外-自転車</t>
  </si>
  <si>
    <t>鉄有固-工具器具及び備品-運搬具-前掲以外-鉱山用人車、炭車、鉱車及び台車-金属製</t>
  </si>
  <si>
    <t>鉄有固-工具器具及び備品-運搬具-前掲以外-鉱山用人車、炭車、鉱車及び台車-その他</t>
  </si>
  <si>
    <t>鉄有固-工具器具及び備品-運搬具-前掲以外-フォークリフト</t>
  </si>
  <si>
    <t>鉄有固-工具器具及び備品-運搬具-前掲以外-トロッコ-金属製のもの</t>
  </si>
  <si>
    <t>鉄有固-工具器具及び備品-運搬具-前掲以外-トロッコ-その他のもの</t>
  </si>
  <si>
    <t>鉄有固-工具器具及び備品-運搬具-前掲以外-その他のもの-自走能力を有するもの</t>
  </si>
  <si>
    <t>鉄有固-工具器具及び備品-運搬具-前掲以外-その他のもの-その他のもの</t>
  </si>
  <si>
    <t>鉄有固-リース資産-土地</t>
  </si>
  <si>
    <t>鉄有固-リース資産-建物</t>
  </si>
  <si>
    <t>鉄有固-リース資産-構築物</t>
  </si>
  <si>
    <t>鉄有固-リース資産-車両</t>
  </si>
  <si>
    <t>鉄有固-リース資産-機械装置</t>
  </si>
  <si>
    <t>鉄有固-リース資産-工具器具及び備品</t>
  </si>
  <si>
    <t>鉄有固-運送施設 雑施設</t>
  </si>
  <si>
    <t>鉄有固-案内宣伝施設 土地-線路及び停車場用地</t>
  </si>
  <si>
    <t>鉄有固-案内宣伝施設 土地-変電所用地</t>
  </si>
  <si>
    <t>鉄有固-案内宣伝施設 土地-車庫及び工場用地</t>
  </si>
  <si>
    <t>鉄有固-案内宣伝施設 土地-倉庫用地</t>
  </si>
  <si>
    <t>鉄有固-案内宣伝施設 土地-事務所用地</t>
  </si>
  <si>
    <t>鉄有固-案内宣伝施設 土地-社宅及び寮用地</t>
  </si>
  <si>
    <t>鉄有固-案内宣伝施設 土地-雑用地</t>
  </si>
  <si>
    <t>鉄有固-案内宣伝施設 建物-鉄骨鉄筋コンクリート造又は鉄筋コンクリート造-停車場建物</t>
  </si>
  <si>
    <t>鉄有固-案内宣伝施設 建物-れんが造、石造又はブロック造-停車場建物</t>
  </si>
  <si>
    <t>鉄有固-案内宣伝施設 建物-金属造(骨格材の肉厚が4mm超)-停車場建物</t>
  </si>
  <si>
    <t>鉄有固-案内宣伝施設 建物-金属造(骨格材の肉厚が3mm超4mm以下)-停車場建物</t>
  </si>
  <si>
    <t>鉄有固-案内宣伝施設 建物-金属造(骨格材の肉厚が3mm以下)-停車場建物</t>
  </si>
  <si>
    <t>鉄有固-案内宣伝施設 建物-木造又は合成樹脂造-停車場建物</t>
  </si>
  <si>
    <t>鉄有固-案内宣伝施設 建物-木骨モルタル造-停車場建物</t>
  </si>
  <si>
    <t>鉄有固-案内宣伝施設 建物-簡易建物(木製主要柱が10cm角以下で土居、杉皮ぶき等)-停車場建物</t>
  </si>
  <si>
    <t>鉄有固-案内宣伝施設 建物-簡易建物(掘立造のもの及び仮設のもの)-停車場建物</t>
  </si>
  <si>
    <t>鉄有固-案内宣伝施設 建物付属-電気設備(照明設備を含む)-蓄電池電源設備-停車場建物</t>
  </si>
  <si>
    <t>鉄有固-案内宣伝施設 建物付属-電気設備(照明設備を含む)-その他のもの-停車場建物</t>
  </si>
  <si>
    <t>鉄有固-案内宣伝施設 建物付属-給排水又は衛生設備及びガス設備-停車場建物</t>
  </si>
  <si>
    <t>鉄有固-案内宣伝施設 建物付属-冷暖房・通風・ボイラー設備-22kw以下-停車場建物</t>
  </si>
  <si>
    <t>鉄有固-案内宣伝施設 建物付属-冷暖房・通風・ボイラー設備-その他のもの-停車場建物</t>
  </si>
  <si>
    <t>鉄有固-案内宣伝施設 建物付属-昇降機設備-エレベーター-停車場建物</t>
  </si>
  <si>
    <t>鉄有固-案内宣伝施設 建物付属-昇降機設備-エスカレーター-停車場建物</t>
  </si>
  <si>
    <t>鉄有固-案内宣伝施設 建物付属-消火・排煙・災害報知設備及び格納式避難設備-停車場建物</t>
  </si>
  <si>
    <t>鉄有固-案内宣伝施設 建物付属-エヤーカーテン又はドアー自動開閉設備-停車場建物</t>
  </si>
  <si>
    <t>鉄有固-案内宣伝施設 建物付属-アーケード又は日よけ設備-金属製-停車場建物</t>
  </si>
  <si>
    <t>鉄有固-案内宣伝施設 建物付属-アーケード又は日よけ設備-その他のもの-停車場建物</t>
  </si>
  <si>
    <t>鉄有固-案内宣伝施設 建物付属-店用簡易設備-停車場建物</t>
  </si>
  <si>
    <t>鉄有固-案内宣伝施設 建物付属-可動簡易装備-簡易なもの-停車場建物</t>
  </si>
  <si>
    <t>鉄有固-案内宣伝施設 建物付属-可動簡易装備-その他のもの-停車場建物</t>
  </si>
  <si>
    <t>鉄有固-案内宣伝施設 建物付属-前掲以外・前掲区分外-主として金属製のもの-停車場建物</t>
  </si>
  <si>
    <t>鉄有固-案内宣伝施設 建物付属-前掲以外・前掲区分外-その他のもの-停車場建物</t>
  </si>
  <si>
    <t>鉄有固-案内宣伝施設 建物-鉄骨鉄筋コンクリート造又は鉄筋コンクリート造-変電所建物</t>
  </si>
  <si>
    <t>鉄有固-案内宣伝施設 建物-れんが造、石造又はブロック造-変電所建物</t>
  </si>
  <si>
    <t>鉄有固-案内宣伝施設 建物-金属造(骨格材の肉厚が4mm超)-変電所建物</t>
  </si>
  <si>
    <t>鉄有固-案内宣伝施設 建物-金属造(骨格材の肉厚が3mm超4mm以下)-変電所建物</t>
  </si>
  <si>
    <t>鉄有固-案内宣伝施設 建物-金属造(骨格材の肉厚が3mm以下)-変電所建物</t>
  </si>
  <si>
    <t>鉄有固-案内宣伝施設 建物-木造又は合成樹脂造-変電所建物</t>
  </si>
  <si>
    <t>鉄有固-案内宣伝施設 建物-木骨モルタル造-変電所建物</t>
  </si>
  <si>
    <t>鉄有固-案内宣伝施設 建物-簡易建物(木製主要柱が10cm角以下で土居、杉皮ぶき等)-変電所建物</t>
  </si>
  <si>
    <t>鉄有固-案内宣伝施設 建物-簡易建物(掘立造のもの及び仮設のもの)-変電所建物</t>
  </si>
  <si>
    <t>鉄有固-案内宣伝施設 建物付属-電気設備(照明設備を含む)-蓄電池電源設備-変電所建物</t>
  </si>
  <si>
    <t>鉄有固-案内宣伝施設 建物付属-電気設備(照明設備を含む)-その他のもの-変電所建物</t>
  </si>
  <si>
    <t>鉄有固-案内宣伝施設 建物付属-給排水又は衛生設備及びガス設備-変電所建物</t>
  </si>
  <si>
    <t>鉄有固-案内宣伝施設 建物付属-冷暖房・通風・ボイラー設備-22kw以下-変電所建物</t>
  </si>
  <si>
    <t>鉄有固-案内宣伝施設 建物付属-冷暖房・通風・ボイラー設備-その他のもの-変電所建物</t>
  </si>
  <si>
    <t>鉄有固-案内宣伝施設 建物付属-昇降機設備-エレベーター-変電所建物</t>
  </si>
  <si>
    <t>鉄有固-案内宣伝施設 建物付属-昇降機設備-エスカレーター-変電所建物</t>
  </si>
  <si>
    <t>鉄有固-案内宣伝施設 建物付属-消火・排煙・災害報知設備及び格納式避難設備-変電所建物</t>
  </si>
  <si>
    <t>鉄有固-案内宣伝施設 建物付属-エヤーカーテン又はドアー自動開閉設備-変電所建物</t>
  </si>
  <si>
    <t>鉄有固-案内宣伝施設 建物付属-アーケード又は日よけ設備-金属製-変電所建物</t>
  </si>
  <si>
    <t>鉄有固-案内宣伝施設 建物付属-アーケード又は日よけ設備-その他のもの-変電所建物</t>
  </si>
  <si>
    <t>鉄有固-案内宣伝施設 建物付属-店用簡易設備-変電所建物</t>
  </si>
  <si>
    <t>鉄有固-案内宣伝施設 建物付属-可動簡易装備-簡易なもの-変電所建物</t>
  </si>
  <si>
    <t>鉄有固-案内宣伝施設 建物付属-可動簡易装備-その他のもの-変電所建物</t>
  </si>
  <si>
    <t>鉄有固-案内宣伝施設 建物付属-前掲以外・前掲区分外-主として金属製のもの-変電所建物</t>
  </si>
  <si>
    <t>鉄有固-案内宣伝施設 建物付属-前掲以外・前掲区分外-その他のもの-変電所建物</t>
  </si>
  <si>
    <t>鉄有固-案内宣伝施設 建物-鉄骨鉄筋コンクリート造又は鉄筋コンクリート造-車庫・工場</t>
  </si>
  <si>
    <t>鉄有固-案内宣伝施設 建物-れんが造、石造又はブロック造-車庫・工場</t>
  </si>
  <si>
    <t>鉄有固-案内宣伝施設 建物-金属造(骨格材の肉厚が4mm超)-車庫・工場</t>
  </si>
  <si>
    <t>鉄有固-案内宣伝施設 建物-金属造(骨格材の肉厚が3mm超4mm以下)-車庫・工場</t>
  </si>
  <si>
    <t>鉄有固-案内宣伝施設 建物-金属造(骨格材の肉厚が3mm以下)-車庫・工場</t>
  </si>
  <si>
    <t>鉄有固-案内宣伝施設 建物-木造又は合成樹脂造-車庫・工場</t>
  </si>
  <si>
    <t>鉄有固-案内宣伝施設 建物-木骨モルタル造-車庫・工場</t>
  </si>
  <si>
    <t>鉄有固-案内宣伝施設 建物-簡易建物(木製主要柱が10cm角以下で土居、杉皮ぶき等)-車庫・工場</t>
  </si>
  <si>
    <t>鉄有固-案内宣伝施設 建物-簡易建物(掘立造のもの及び仮設のもの)-車庫・工場</t>
  </si>
  <si>
    <t>鉄有固-案内宣伝施設 建物付属-電気設備(照明設備を含む)-蓄電池電源設備-車庫・工場</t>
  </si>
  <si>
    <t>鉄有固-案内宣伝施設 建物付属-電気設備(照明設備を含む)-その他のもの-車庫・工場</t>
  </si>
  <si>
    <t>鉄有固-案内宣伝施設 建物付属-給排水又は衛生設備及びガス設備-車庫・工場</t>
  </si>
  <si>
    <t>鉄有固-案内宣伝施設 建物付属-冷暖房・通風・ボイラー設備-22kw以下-車庫・工場</t>
  </si>
  <si>
    <t>鉄有固-案内宣伝施設 建物付属-冷暖房・通風・ボイラー設備-その他のもの-車庫・工場</t>
  </si>
  <si>
    <t>鉄有固-案内宣伝施設 建物付属-昇降機設備-エレベーター-車庫・工場</t>
  </si>
  <si>
    <t>鉄有固-案内宣伝施設 建物付属-昇降機設備-エスカレーター-車庫・工場</t>
  </si>
  <si>
    <t>鉄有固-案内宣伝施設 建物付属-消火・排煙・災害報知設備及び格納式避難設備-車庫・工場</t>
  </si>
  <si>
    <t>鉄有固-案内宣伝施設 建物付属-エヤーカーテン又はドアー自動開閉設備-車庫・工場</t>
  </si>
  <si>
    <t>鉄有固-案内宣伝施設 建物付属-アーケード又は日よけ設備-金属製-車庫・工場</t>
  </si>
  <si>
    <t>鉄有固-案内宣伝施設 建物付属-アーケード又は日よけ設備-その他のもの-車庫・工場</t>
  </si>
  <si>
    <t>鉄有固-案内宣伝施設 建物付属-店用簡易設備-車庫・工場</t>
  </si>
  <si>
    <t>鉄有固-案内宣伝施設 建物付属-可動簡易装備-簡易なもの-車庫・工場</t>
  </si>
  <si>
    <t>鉄有固-案内宣伝施設 建物付属-可動簡易装備-その他のもの-車庫・工場</t>
  </si>
  <si>
    <t>鉄有固-案内宣伝施設 建物付属-前掲以外・前掲区分外-主として金属製のもの-車庫・工場</t>
  </si>
  <si>
    <t>鉄有固-案内宣伝施設 建物付属-前掲以外・前掲区分外-その他のもの-車庫・工場</t>
  </si>
  <si>
    <t>鉄有固-案内宣伝施設 建物-鉄骨鉄筋コンクリート造又は鉄筋コンクリート造-倉庫建物</t>
  </si>
  <si>
    <t>鉄有固-案内宣伝施設 建物-れんが造、石造又はブロック造-倉庫建物</t>
  </si>
  <si>
    <t>鉄有固-案内宣伝施設 建物-金属造(骨格材の肉厚が4mm超)-倉庫建物</t>
  </si>
  <si>
    <t>鉄有固-案内宣伝施設 建物-金属造(骨格材の肉厚が3mm超4mm以下)-倉庫建物</t>
  </si>
  <si>
    <t>鉄有固-案内宣伝施設 建物-金属造(骨格材の肉厚が3mm以下)-倉庫建物</t>
  </si>
  <si>
    <t>鉄有固-案内宣伝施設 建物-木造又は合成樹脂造-倉庫建物</t>
  </si>
  <si>
    <t>鉄有固-案内宣伝施設 建物-木骨モルタル造-倉庫建物</t>
  </si>
  <si>
    <t>鉄有固-案内宣伝施設 建物-簡易建物(木製主要柱が10cm角以下で土居、杉皮ぶき等)-倉庫建物</t>
  </si>
  <si>
    <t>鉄有固-案内宣伝施設 建物-簡易建物(掘立造のもの及び仮設のもの)-倉庫建物</t>
  </si>
  <si>
    <t>鉄有固-案内宣伝施設 建物付属-電気設備(照明設備を含む)-蓄電池電源設備-倉庫建物</t>
  </si>
  <si>
    <t>鉄有固-案内宣伝施設 建物付属-電気設備(照明設備を含む)-その他のもの-倉庫建物</t>
  </si>
  <si>
    <t>鉄有固-案内宣伝施設 建物付属-給排水又は衛生設備及びガス設備-倉庫建物</t>
  </si>
  <si>
    <t>鉄有固-案内宣伝施設 建物付属-冷暖房・通風・ボイラー設備-22kw以下-倉庫建物</t>
  </si>
  <si>
    <t>鉄有固-案内宣伝施設 建物付属-冷暖房・通風・ボイラー設備-その他のもの-倉庫建物</t>
  </si>
  <si>
    <t>鉄有固-案内宣伝施設 建物付属-昇降機設備-エレベーター-倉庫建物</t>
  </si>
  <si>
    <t>鉄有固-案内宣伝施設 建物付属-昇降機設備-エスカレーター-倉庫建物</t>
  </si>
  <si>
    <t>鉄有固-案内宣伝施設 建物付属-消火・排煙・災害報知設備及び格納式避難設備-倉庫建物</t>
  </si>
  <si>
    <t>鉄有固-案内宣伝施設 建物付属-エヤーカーテン又はドアー自動開閉設備-倉庫建物</t>
  </si>
  <si>
    <t>鉄有固-案内宣伝施設 建物付属-アーケード又は日よけ設備-金属製-倉庫建物</t>
  </si>
  <si>
    <t>鉄有固-案内宣伝施設 建物付属-アーケード又は日よけ設備-その他のもの-倉庫建物</t>
  </si>
  <si>
    <t>鉄有固-案内宣伝施設 建物付属-店用簡易設備-倉庫建物</t>
  </si>
  <si>
    <t>鉄有固-案内宣伝施設 建物付属-可動簡易装備-簡易なもの-倉庫建物</t>
  </si>
  <si>
    <t>鉄有固-案内宣伝施設 建物付属-可動簡易装備-その他のもの-倉庫建物</t>
  </si>
  <si>
    <t>鉄有固-案内宣伝施設 建物付属-前掲以外・前掲区分外-主として金属製のもの-倉庫建物</t>
  </si>
  <si>
    <t>鉄有固-案内宣伝施設 建物付属-前掲以外・前掲区分外-その他のもの-倉庫建物</t>
  </si>
  <si>
    <t>鉄有固-案内宣伝施設 建物-鉄骨鉄筋コンクリート造又は鉄筋コンクリート造-詰所建物</t>
  </si>
  <si>
    <t>鉄有固-案内宣伝施設 建物-れんが造、石造又はブロック造-詰所建物</t>
  </si>
  <si>
    <t>鉄有固-案内宣伝施設 建物-金属造(骨格材の肉厚が4mm超)-詰所建物</t>
  </si>
  <si>
    <t>鉄有固-案内宣伝施設 建物-金属造(骨格材の肉厚が3mm超4mm以下)-詰所建物</t>
  </si>
  <si>
    <t>鉄有固-案内宣伝施設 建物-金属造(骨格材の肉厚が3mm以下)-詰所建物</t>
  </si>
  <si>
    <t>鉄有固-案内宣伝施設 建物-木造又は合成樹脂造-詰所建物</t>
  </si>
  <si>
    <t>鉄有固-案内宣伝施設 建物-木骨モルタル造-詰所建物</t>
  </si>
  <si>
    <t>鉄有固-案内宣伝施設 建物-簡易建物(木製主要柱が10cm角以下で土居、杉皮ぶき等)-詰所建物</t>
  </si>
  <si>
    <t>鉄有固-案内宣伝施設 建物-簡易建物(掘立造のもの及び仮設のもの)-詰所建物</t>
  </si>
  <si>
    <t>鉄有固-案内宣伝施設 建物付属-電気設備(照明設備を含む)-蓄電池電源設備-詰所建物</t>
  </si>
  <si>
    <t>鉄有固-案内宣伝施設 建物付属-電気設備(照明設備を含む)-その他のもの-詰所建物</t>
  </si>
  <si>
    <t>鉄有固-案内宣伝施設 建物付属-給排水又は衛生設備及びガス設備-詰所建物</t>
  </si>
  <si>
    <t>鉄有固-案内宣伝施設 建物付属-冷暖房・通風・ボイラー設備-22kw以下-詰所建物</t>
  </si>
  <si>
    <t>鉄有固-案内宣伝施設 建物付属-冷暖房・通風・ボイラー設備-その他のもの-詰所建物</t>
  </si>
  <si>
    <t>鉄有固-案内宣伝施設 建物付属-昇降機設備-エレベーター-詰所建物</t>
  </si>
  <si>
    <t>鉄有固-案内宣伝施設 建物付属-昇降機設備-エスカレーター-詰所建物</t>
  </si>
  <si>
    <t>鉄有固-案内宣伝施設 建物付属-消火・排煙・災害報知設備及び格納式避難設備-詰所建物</t>
  </si>
  <si>
    <t>鉄有固-案内宣伝施設 建物付属-エヤーカーテン又はドアー自動開閉設備-詰所建物</t>
  </si>
  <si>
    <t>鉄有固-案内宣伝施設 建物付属-アーケード又は日よけ設備-金属製-詰所建物</t>
  </si>
  <si>
    <t>鉄有固-案内宣伝施設 建物付属-アーケード又は日よけ設備-その他のもの-詰所建物</t>
  </si>
  <si>
    <t>鉄有固-案内宣伝施設 建物付属-店用簡易設備-詰所建物</t>
  </si>
  <si>
    <t>鉄有固-案内宣伝施設 建物付属-可動簡易装備-簡易なもの-詰所建物</t>
  </si>
  <si>
    <t>鉄有固-案内宣伝施設 建物付属-可動簡易装備-その他のもの-詰所建物</t>
  </si>
  <si>
    <t>鉄有固-案内宣伝施設 建物付属-前掲以外・前掲区分外-主として金属製のもの-詰所建物</t>
  </si>
  <si>
    <t>鉄有固-案内宣伝施設 建物付属-前掲以外・前掲区分外-その他のもの-詰所建物</t>
  </si>
  <si>
    <t>鉄有固-案内宣伝施設 建物-鉄骨鉄筋コンクリート造又は鉄筋コンクリート造-事務所建物</t>
  </si>
  <si>
    <t>鉄有固-案内宣伝施設 建物-れんが造、石造又はブロック造-事務所建物</t>
  </si>
  <si>
    <t>鉄有固-案内宣伝施設 建物-金属造(骨格材の肉厚が4mm超)-事務所建物</t>
  </si>
  <si>
    <t>鉄有固-案内宣伝施設 建物-金属造(骨格材の肉厚が3mm超4mm以下)-事務所建物</t>
  </si>
  <si>
    <t>鉄有固-案内宣伝施設 建物-金属造(骨格材の肉厚が3mm以下)-事務所建物</t>
  </si>
  <si>
    <t>鉄有固-案内宣伝施設 建物-木造又は合成樹脂造-事務所建物</t>
  </si>
  <si>
    <t>鉄有固-案内宣伝施設 建物-木骨モルタル造-事務所建物</t>
  </si>
  <si>
    <t>鉄有固-案内宣伝施設 建物-簡易建物(木製主要柱が10cm角以下で土居、杉皮ぶき等)-事務所建物</t>
  </si>
  <si>
    <t>鉄有固-案内宣伝施設 建物-簡易建物(掘立造のもの及び仮設のもの)-事務所建物</t>
  </si>
  <si>
    <t>鉄有固-案内宣伝施設 建物付属-電気設備(照明設備を含む)-蓄電池電源設備-事務所建物</t>
  </si>
  <si>
    <t>鉄有固-案内宣伝施設 建物付属-電気設備(照明設備を含む)-その他のもの-事務所建物</t>
  </si>
  <si>
    <t>鉄有固-案内宣伝施設 建物付属-給排水又は衛生設備及びガス設備-事務所建物</t>
  </si>
  <si>
    <t>鉄有固-案内宣伝施設 建物付属-冷暖房・通風・ボイラー設備-22kw以下-事務所建物</t>
  </si>
  <si>
    <t>鉄有固-案内宣伝施設 建物付属-冷暖房・通風・ボイラー設備-その他のもの-事務所建物</t>
  </si>
  <si>
    <t>鉄有固-案内宣伝施設 建物付属-昇降機設備-エレベーター-事務所建物</t>
  </si>
  <si>
    <t>鉄有固-案内宣伝施設 建物付属-昇降機設備-エスカレーター-事務所建物</t>
  </si>
  <si>
    <t>鉄有固-案内宣伝施設 建物付属-消火・排煙・災害報知設備及び格納式避難設備-事務所建物</t>
  </si>
  <si>
    <t>鉄有固-案内宣伝施設 建物付属-エヤーカーテン又はドアー自動開閉設備-事務所建物</t>
  </si>
  <si>
    <t>鉄有固-案内宣伝施設 建物付属-アーケード又は日よけ設備-金属製-事務所建物</t>
  </si>
  <si>
    <t>鉄有固-案内宣伝施設 建物付属-アーケード又は日よけ設備-その他のもの-事務所建物</t>
  </si>
  <si>
    <t>鉄有固-案内宣伝施設 建物付属-店用簡易設備-事務所建物</t>
  </si>
  <si>
    <t>鉄有固-案内宣伝施設 建物付属-可動簡易装備-簡易なもの-事務所建物</t>
  </si>
  <si>
    <t>鉄有固-案内宣伝施設 建物付属-可動簡易装備-その他のもの-事務所建物</t>
  </si>
  <si>
    <t>鉄有固-案内宣伝施設 建物付属-前掲以外・前掲区分外-主として金属製のもの-事務所建物</t>
  </si>
  <si>
    <t>鉄有固-案内宣伝施設 建物付属-前掲以外・前掲区分外-その他のもの-事務所建物</t>
  </si>
  <si>
    <t>鉄有固-案内宣伝施設 建物-鉄骨鉄筋コンクリート造又は鉄筋コンクリート造-社宅・寮建物</t>
  </si>
  <si>
    <t>鉄有固-案内宣伝施設 建物-れんが造、石造又はブロック造-社宅・寮建物</t>
  </si>
  <si>
    <t>鉄有固-案内宣伝施設 建物-金属造(骨格材の肉厚が4mm超)-社宅・寮建物</t>
  </si>
  <si>
    <t>鉄有固-案内宣伝施設 建物-金属造(骨格材の肉厚が3mm超4mm以下)-社宅・寮建物</t>
  </si>
  <si>
    <t>鉄有固-案内宣伝施設 建物-金属造(骨格材の肉厚が3mm以下)-社宅・寮建物</t>
  </si>
  <si>
    <t>鉄有固-案内宣伝施設 建物-木造又は合成樹脂造-社宅・寮建物</t>
  </si>
  <si>
    <t>鉄有固-案内宣伝施設 建物-木骨モルタル造-社宅・寮建物</t>
  </si>
  <si>
    <t>鉄有固-案内宣伝施設 建物-簡易建物(掘立造のもの及び仮設のもの)-社宅・寮建物</t>
  </si>
  <si>
    <t>鉄有固-案内宣伝施設 建物付属-電気設備(照明設備を含む)-蓄電池電源設備-社宅・寮建物</t>
  </si>
  <si>
    <t>鉄有固-案内宣伝施設 建物付属-電気設備(照明設備を含む)-その他のもの-社宅・寮建物</t>
  </si>
  <si>
    <t>鉄有固-案内宣伝施設 建物付属-給排水又は衛生設備及びガス設備-社宅・寮建物</t>
  </si>
  <si>
    <t>鉄有固-案内宣伝施設 建物付属-冷暖房・通風・ボイラー設備-22kw以下-社宅・寮建物</t>
  </si>
  <si>
    <t>鉄有固-案内宣伝施設 建物付属-冷暖房・通風・ボイラー設備-その他のもの-社宅・寮建物</t>
  </si>
  <si>
    <t>鉄有固-案内宣伝施設 建物付属-昇降機設備-エレベーター-社宅・寮建物</t>
  </si>
  <si>
    <t>鉄有固-案内宣伝施設 建物付属-昇降機設備-エスカレーター-社宅・寮建物</t>
  </si>
  <si>
    <t>鉄有固-案内宣伝施設 建物付属-消火・排煙・災害報知設備及び格納式避難設備-社宅・寮建物</t>
  </si>
  <si>
    <t>鉄有固-案内宣伝施設 建物付属-エヤーカーテン又はドアー自動開閉設備-社宅・寮建物</t>
  </si>
  <si>
    <t>鉄有固-案内宣伝施設 建物付属-アーケード又は日よけ設備-金属製-社宅・寮建物</t>
  </si>
  <si>
    <t>鉄有固-案内宣伝施設 建物付属-アーケード又は日よけ設備-その他のもの-社宅・寮建物</t>
  </si>
  <si>
    <t>鉄有固-案内宣伝施設 建物付属-店用簡易設備-社宅・寮建物</t>
  </si>
  <si>
    <t>鉄有固-案内宣伝施設 建物付属-可動簡易装備-簡易なもの-社宅・寮建物</t>
  </si>
  <si>
    <t>鉄有固-案内宣伝施設 建物付属-可動簡易装備-その他のもの-社宅・寮建物</t>
  </si>
  <si>
    <t>鉄有固-案内宣伝施設 建物付属-前掲以外・前掲区分外-主として金属製のもの-社宅・寮建物</t>
  </si>
  <si>
    <t>鉄有固-案内宣伝施設 建物付属-前掲以外・前掲区分外-その他のもの-社宅・寮建物</t>
  </si>
  <si>
    <t>鉄有固-案内宣伝施設 建物-雑建物-定額50年</t>
  </si>
  <si>
    <t>鉄有固-案内宣伝施設 建物-雑建物-定額47年</t>
  </si>
  <si>
    <t>鉄有固-案内宣伝施設 建物-雑建物-定額41年</t>
  </si>
  <si>
    <t>鉄有固-案内宣伝施設 建物-雑建物-定額39年</t>
  </si>
  <si>
    <t>鉄有固-案内宣伝施設 建物-雑建物-定額38年</t>
  </si>
  <si>
    <t>鉄有固-案内宣伝施設 建物-雑建物-定額36年</t>
  </si>
  <si>
    <t>鉄有固-案内宣伝施設 建物-雑建物-定額34年</t>
  </si>
  <si>
    <t>鉄有固-案内宣伝施設 建物-雑建物-定額31年</t>
  </si>
  <si>
    <t>鉄有固-案内宣伝施設 建物-雑建物-定額30年</t>
  </si>
  <si>
    <t>鉄有固-案内宣伝施設 建物-雑建物-定額29年</t>
  </si>
  <si>
    <t>鉄有固-案内宣伝施設 建物-雑建物-定額28年</t>
  </si>
  <si>
    <t>鉄有固-案内宣伝施設 建物-雑建物-定額27年</t>
  </si>
  <si>
    <t>鉄有固-案内宣伝施設 建物-雑建物-定額26年</t>
  </si>
  <si>
    <t>鉄有固-案内宣伝施設 建物-雑建物-定額25年</t>
  </si>
  <si>
    <t>鉄有固-案内宣伝施設 建物-雑建物-定額24年</t>
  </si>
  <si>
    <t>鉄有固-案内宣伝施設 建物-雑建物-定額22年</t>
  </si>
  <si>
    <t>鉄有固-案内宣伝施設 建物-雑建物-定額21年</t>
  </si>
  <si>
    <t>鉄有固-案内宣伝施設 建物-雑建物-定額20年</t>
  </si>
  <si>
    <t>鉄有固-案内宣伝施設 建物-雑建物-定額19年</t>
  </si>
  <si>
    <t>鉄有固-案内宣伝施設 建物-雑建物-定額17年</t>
  </si>
  <si>
    <t>鉄有固-案内宣伝施設 建物-雑建物-定額15年</t>
  </si>
  <si>
    <t>鉄有固-案内宣伝施設 建物-雑建物-定額14年</t>
  </si>
  <si>
    <t>鉄有固-案内宣伝施設 建物-雑建物-定額12年</t>
  </si>
  <si>
    <t>鉄有固-案内宣伝施設 建物-雑建物-定額11年</t>
  </si>
  <si>
    <t>鉄有固-案内宣伝施設 建物-雑建物-定額10年</t>
  </si>
  <si>
    <t>鉄有固-案内宣伝施設 建物-雑建物-定額09年</t>
  </si>
  <si>
    <t>鉄有固-案内宣伝施設 建物-雑建物-定額07年</t>
  </si>
  <si>
    <t>鉄有固-案内宣伝施設 建物付属-電気設備(照明設備を含む)-蓄電池電源設備-雑建物</t>
  </si>
  <si>
    <t>鉄有固-案内宣伝施設 建物付属-電気設備(照明設備を含む)-その他のもの-雑建物</t>
  </si>
  <si>
    <t>鉄有固-案内宣伝施設 建物付属-給排水又は衛生設備及びガス設備-雑建物</t>
  </si>
  <si>
    <t>鉄有固-案内宣伝施設 建物付属-冷暖房・通風・ボイラー設備-22kw以下-雑建物</t>
  </si>
  <si>
    <t>鉄有固-案内宣伝施設 建物付属-冷暖房・通風・ボイラー設備-その他のもの-雑建物</t>
  </si>
  <si>
    <t>鉄有固-案内宣伝施設 建物付属-昇降機設備-エレベーター-雑建物</t>
  </si>
  <si>
    <t>鉄有固-案内宣伝施設 建物付属-昇降機設備-エスカレーター-雑建物</t>
  </si>
  <si>
    <t>鉄有固-案内宣伝施設 建物付属-消火・排煙・災害報知設備及び格納式避難設備-雑建物</t>
  </si>
  <si>
    <t>鉄有固-案内宣伝施設 建物付属-エヤーカーテン又はドアー自動開閉設備-雑建物</t>
  </si>
  <si>
    <t>鉄有固-案内宣伝施設 建物付属-アーケード又は日よけ設備-金属製-雑建物</t>
  </si>
  <si>
    <t>鉄有固-案内宣伝施設 建物付属-アーケード又は日よけ設備-その他のもの-雑建物</t>
  </si>
  <si>
    <t>鉄有固-案内宣伝施設 建物付属-店用簡易設備-雑建物</t>
  </si>
  <si>
    <t>鉄有固-案内宣伝施設 建物付属-可動簡易装備-簡易なもの-雑建物</t>
  </si>
  <si>
    <t>鉄有固-案内宣伝施設 建物付属-可動簡易装備-その他のもの-雑建物</t>
  </si>
  <si>
    <t>鉄有固-案内宣伝施設 建物付属-前掲以外・前掲区分外-主として金属製のもの-雑建物</t>
  </si>
  <si>
    <t>鉄有固-案内宣伝施設 建物付属-前掲以外・前掲区分外-その他のもの-雑建物</t>
  </si>
  <si>
    <t>鉄有固-案内宣伝施設 雑施設</t>
  </si>
  <si>
    <t>広告有固-土地-事務所</t>
  </si>
  <si>
    <t>広告有固-土地-店舗</t>
  </si>
  <si>
    <t>広告有固-土地-その他</t>
  </si>
  <si>
    <t>広告有固-建物-事務所-定額50年</t>
  </si>
  <si>
    <t>広告有固-建物-事務所-定額41年</t>
  </si>
  <si>
    <t>広告有固-建物-事務所-定額38年</t>
  </si>
  <si>
    <t>広告有固-建物-事務所-定額30年</t>
  </si>
  <si>
    <t>広告有固-建物-事務所-定額22年</t>
  </si>
  <si>
    <t>広告有固-建物-事務所-定額24年</t>
  </si>
  <si>
    <t>広告有固-建物-事務所-定額10年</t>
  </si>
  <si>
    <t>広告有固-建物-事務所-定額07年</t>
  </si>
  <si>
    <t>広告有固-建物付属設備-事務所-定率18年</t>
  </si>
  <si>
    <t>広告有固-建物付属設備-事務所-定率17年</t>
  </si>
  <si>
    <t>広告有固-建物付属設備-事務所-定率15年</t>
  </si>
  <si>
    <t>広告有固-建物付属設備-事務所-定率13年</t>
  </si>
  <si>
    <t>広告有固-建物付属設備-事務所-定率12年</t>
  </si>
  <si>
    <t>広告有固-建物付属設備-事務所-定率10年</t>
  </si>
  <si>
    <t>広告有固-建物付属設備-事務所-定率08年</t>
  </si>
  <si>
    <t>広告有固-建物付属設備-事務所-定率03年</t>
  </si>
  <si>
    <t>広告有固-建物-店舗-定額39年</t>
  </si>
  <si>
    <t>広告有固-建物-店舗-定額38年</t>
  </si>
  <si>
    <t>広告有固-建物-店舗-定額34年</t>
  </si>
  <si>
    <t>広告有固-建物-店舗-定額27年</t>
  </si>
  <si>
    <t>広告有固-建物-店舗-定額19年</t>
  </si>
  <si>
    <t>広告有固-建物-店舗-定額22年</t>
  </si>
  <si>
    <t>広告有固-建物-店舗-定額20年</t>
  </si>
  <si>
    <t>広告有固-建物-店舗-定額10年</t>
  </si>
  <si>
    <t>広告有固-建物-店舗-定額07年</t>
  </si>
  <si>
    <t>広告有固-建物付属設備-店舗-定率18年</t>
  </si>
  <si>
    <t>広告有固-建物付属設備-店舗-定率17年</t>
  </si>
  <si>
    <t>広告有固-建物付属設備-店舗-定率15年</t>
  </si>
  <si>
    <t>広告有固-建物付属設備-店舗-定率13年</t>
  </si>
  <si>
    <t>広告有固-建物付属設備-店舗-定率12年</t>
  </si>
  <si>
    <t>広告有固-建物付属設備-店舗-定率10年</t>
  </si>
  <si>
    <t>広告有固-建物付属設備-店舗-定率08年</t>
  </si>
  <si>
    <t>広告有固-建物付属設備-店舗-定率03年</t>
  </si>
  <si>
    <t>広告有固-建物-その他-定額50年</t>
  </si>
  <si>
    <t>広告有固-建物-その他-定額47年</t>
  </si>
  <si>
    <t>広告有固-建物-その他-定額41年</t>
  </si>
  <si>
    <t>広告有固-建物-その他-定額39年</t>
  </si>
  <si>
    <t>広告有固-建物-その他-定額38年</t>
  </si>
  <si>
    <t>広告有固-建物-その他-定額36年</t>
  </si>
  <si>
    <t>広告有固-建物-その他-定額34年</t>
  </si>
  <si>
    <t>広告有固-建物-その他-定額31年</t>
  </si>
  <si>
    <t>広告有固-建物-その他-定額30年</t>
  </si>
  <si>
    <t>広告有固-建物-その他-定額29年</t>
  </si>
  <si>
    <t>広告有固-建物-その他-定額28年</t>
  </si>
  <si>
    <t>広告有固-建物-その他-定額27年</t>
  </si>
  <si>
    <t>広告有固-建物-その他-定額26年</t>
  </si>
  <si>
    <t>広告有固-建物-その他-定額25年</t>
  </si>
  <si>
    <t>広告有固-建物-その他-定額24年</t>
  </si>
  <si>
    <t>広告有固-建物-その他-定額22年</t>
  </si>
  <si>
    <t>広告有固-建物-その他-定額21年</t>
  </si>
  <si>
    <t>広告有固-建物-その他-定額20年</t>
  </si>
  <si>
    <t>広告有固-建物-その他-定額19年</t>
  </si>
  <si>
    <t>広告有固-建物-その他-定額17年</t>
  </si>
  <si>
    <t>広告有固-建物-その他-定額15年</t>
  </si>
  <si>
    <t>広告有固-建物-その他-定額14年</t>
  </si>
  <si>
    <t>広告有固-建物-その他-定額12年</t>
  </si>
  <si>
    <t>広告有固-建物-その他-定額11年</t>
  </si>
  <si>
    <t>広告有固-建物-その他-定額10年</t>
  </si>
  <si>
    <t>広告有固-建物-その他-定額09年</t>
  </si>
  <si>
    <t>広告有固-建物-その他-定額07年</t>
  </si>
  <si>
    <t>広告有固-建物付属設備-その他-定率18年</t>
  </si>
  <si>
    <t>広告有固-建物付属設備-その他-定率17年</t>
  </si>
  <si>
    <t>広告有固-建物付属設備-その他-定率15年</t>
  </si>
  <si>
    <t>広告有固-建物付属設備-その他-定率13年</t>
  </si>
  <si>
    <t>広告有固-建物付属設備-その他-定率12年</t>
  </si>
  <si>
    <t>広告有固-建物付属設備-その他-定率10年</t>
  </si>
  <si>
    <t>広告有固-建物付属設備-その他-定率08年</t>
  </si>
  <si>
    <t>広告有固-建物付属設備-その他-定率03年</t>
  </si>
  <si>
    <t>広告有固-構築物-定率80年</t>
  </si>
  <si>
    <t>広告有固-構築物-定率75年</t>
  </si>
  <si>
    <t>広告有固-構築物-定率60年</t>
  </si>
  <si>
    <t>広告有固-構築物-定率57年</t>
  </si>
  <si>
    <t>広告有固-構築物-定率50年</t>
  </si>
  <si>
    <t>広告有固-構築物-定率45年</t>
  </si>
  <si>
    <t>広告有固-構築物-定率42年</t>
  </si>
  <si>
    <t>広告有固-構築物-定率41年</t>
  </si>
  <si>
    <t>広告有固-構築物-定率40年</t>
  </si>
  <si>
    <t>広告有固-構築物-定率36年</t>
  </si>
  <si>
    <t>広告有固-構築物-定率35年</t>
  </si>
  <si>
    <t>広告有固-構築物-定率34年</t>
  </si>
  <si>
    <t>広告有固-構築物-定率32年</t>
  </si>
  <si>
    <t>広告有固-構築物-定率30年</t>
  </si>
  <si>
    <t>広告有固-構築物-定率27年</t>
  </si>
  <si>
    <t>広告有固-構築物-定率25年</t>
  </si>
  <si>
    <t>広告有固-構築物-定率24年</t>
  </si>
  <si>
    <t>広告有固-構築物-定率22年</t>
  </si>
  <si>
    <t>広告有固-構築物-定率21年</t>
  </si>
  <si>
    <t>広告有固-構築物-定率20年</t>
  </si>
  <si>
    <t>広告有固-構築物-定率19年</t>
  </si>
  <si>
    <t>広告有固-構築物-定率17年</t>
  </si>
  <si>
    <t>広告有固-構築物-定率16年</t>
  </si>
  <si>
    <t>広告有固-構築物-定率15年</t>
  </si>
  <si>
    <t>広告有固-構築物-定率14年</t>
  </si>
  <si>
    <t>広告有固-構築物-定率13年</t>
  </si>
  <si>
    <t>広告有固-構築物-定率12年</t>
  </si>
  <si>
    <t>広告有固-構築物-定率10年</t>
  </si>
  <si>
    <t>広告有固-構築物-定率08年</t>
  </si>
  <si>
    <t>広告有固-構築物-定率07年</t>
  </si>
  <si>
    <t>広告有固-構築物-定率05年</t>
  </si>
  <si>
    <t>広告有固-構築物-定率03年</t>
  </si>
  <si>
    <t>広告有固-機械装置-定率22年</t>
  </si>
  <si>
    <t>広告有固-機械装置-定率20年</t>
  </si>
  <si>
    <t>広告有固-機械装置-定率18年</t>
  </si>
  <si>
    <t>広告有固-機械装置-定率17年</t>
  </si>
  <si>
    <t>広告有固-機械装置-定率15年</t>
  </si>
  <si>
    <t>広告有固-機械装置-定率14年</t>
  </si>
  <si>
    <t>広告有固-機械装置-定率13年</t>
  </si>
  <si>
    <t>広告有固-機械装置-定率12年</t>
  </si>
  <si>
    <t>広告有固-機械装置-定率11年</t>
  </si>
  <si>
    <t>広告有固-機械装置-定率10年</t>
  </si>
  <si>
    <t>広告有固-機械装置-定率09年</t>
  </si>
  <si>
    <t>広告有固-機械装置-定率08年</t>
  </si>
  <si>
    <t>広告有固-機械装置-定率07年</t>
  </si>
  <si>
    <t>広告有固-機械装置-定率06年</t>
  </si>
  <si>
    <t>広告有固-機械装置-定率05年</t>
  </si>
  <si>
    <t>広告有固-機械装置-定率04年</t>
  </si>
  <si>
    <t>広告有固-機械装置-定率03年</t>
  </si>
  <si>
    <t>広告有固-工具器具及び備品-工器備-定率13年</t>
  </si>
  <si>
    <t>広告有固-工具器具及び備品-工器備-定率08年</t>
  </si>
  <si>
    <t>広告有固-工具器具及び備品-工器備-定率05年</t>
  </si>
  <si>
    <t>広告有固-工具器具及び備品-工器備-定率04年</t>
  </si>
  <si>
    <t>広告有固-工具器具及び備品-工器備-定率03年</t>
  </si>
  <si>
    <t>広告有固-工具器具及び備品-工器備-定率02年</t>
  </si>
  <si>
    <t>広告有固-工具器具及び備品-工器備-定率20年</t>
  </si>
  <si>
    <t>広告有固-工具器具及び備品-工器備-定率15年</t>
  </si>
  <si>
    <t>広告有固-工具器具及び備品-工器備-定率10年</t>
  </si>
  <si>
    <t>広告有固-工具器具及び備品-工器備-定率07年</t>
  </si>
  <si>
    <t>広告有固-工具器具及び備品-工器備-定率06年</t>
  </si>
  <si>
    <t>広告有固-工具器具及び備品-運搬具-定率07年</t>
  </si>
  <si>
    <t>広告有固-工具器具及び備品-運搬具-定率06年</t>
  </si>
  <si>
    <t>広告有固-工具器具及び備品-運搬具-定率05年</t>
  </si>
  <si>
    <t>広告有固-工具器具及び備品-運搬具-定率04年</t>
  </si>
  <si>
    <t>広告有固-工具器具及び備品-運搬具-定率03年</t>
  </si>
  <si>
    <t>広告有固-工具器具及び備品-運搬具-定率02年</t>
  </si>
  <si>
    <t>広告有固-リース資産-土地</t>
  </si>
  <si>
    <t>広告有固-リース資産-建物</t>
  </si>
  <si>
    <t>広告有固-リース資産-構築物</t>
  </si>
  <si>
    <t>広告有固-リース資産-車両</t>
  </si>
  <si>
    <t>広告有固-リース資産-機械装置</t>
  </si>
  <si>
    <t>広告有固-リース資産-工具器具及び備品</t>
  </si>
  <si>
    <t>広告有固-雑施設</t>
  </si>
  <si>
    <t>不動産有固-土地-事務所</t>
  </si>
  <si>
    <t>不動産有固-土地-店舗</t>
  </si>
  <si>
    <t>不動産有固-土地-その他</t>
  </si>
  <si>
    <t>不動産有固-建物-事務所-定額50年</t>
  </si>
  <si>
    <t>不動産有固-建物-事務所-定額41年</t>
  </si>
  <si>
    <t>不動産有固-建物-事務所-定額38年</t>
  </si>
  <si>
    <t>不動産有固-建物-事務所-定額30年</t>
  </si>
  <si>
    <t>不動産有固-建物-事務所-定額22年</t>
  </si>
  <si>
    <t>不動産有固-建物-事務所-定額24年</t>
  </si>
  <si>
    <t>不動産有固-建物-事務所-定額10年</t>
  </si>
  <si>
    <t>不動産有固-建物-事務所-定額07年</t>
  </si>
  <si>
    <t>不動産有固-建物付属設備-事務所-定率18年</t>
  </si>
  <si>
    <t>不動産有固-建物付属設備-事務所-定率17年</t>
  </si>
  <si>
    <t>不動産有固-建物付属設備-事務所-定率15年</t>
  </si>
  <si>
    <t>不動産有固-建物付属設備-事務所-定率13年</t>
  </si>
  <si>
    <t>不動産有固-建物付属設備-事務所-定率12年</t>
  </si>
  <si>
    <t>不動産有固-建物付属設備-事務所-定率10年</t>
  </si>
  <si>
    <t>不動産有固-建物付属設備-事務所-定率08年</t>
  </si>
  <si>
    <t>不動産有固-建物付属設備-事務所-定率03年</t>
  </si>
  <si>
    <t>不動産有固-建物-店舗-定額39年</t>
  </si>
  <si>
    <t>不動産有固-建物-店舗-定額38年</t>
  </si>
  <si>
    <t>不動産有固-建物-店舗-定額34年</t>
  </si>
  <si>
    <t>不動産有固-建物-店舗-定額27年</t>
  </si>
  <si>
    <t>不動産有固-建物-店舗-定額19年</t>
  </si>
  <si>
    <t>不動産有固-建物-店舗-定額22年</t>
  </si>
  <si>
    <t>不動産有固-建物-店舗-定額20年</t>
  </si>
  <si>
    <t>不動産有固-建物-店舗-定額10年</t>
  </si>
  <si>
    <t>不動産有固-建物-店舗-定額07年</t>
  </si>
  <si>
    <t>不動産有固-建物付属設備-店舗-定率18年</t>
  </si>
  <si>
    <t>不動産有固-建物付属設備-店舗-定率17年</t>
  </si>
  <si>
    <t>不動産有固-建物付属設備-店舗-定率15年</t>
  </si>
  <si>
    <t>不動産有固-建物付属設備-店舗-定率13年</t>
  </si>
  <si>
    <t>不動産有固-建物付属設備-店舗-定率12年</t>
  </si>
  <si>
    <t>不動産有固-建物付属設備-店舗-定率10年</t>
  </si>
  <si>
    <t>不動産有固-建物付属設備-店舗-定率08年</t>
  </si>
  <si>
    <t>不動産有固-建物付属設備-店舗-定率03年</t>
  </si>
  <si>
    <t>不動産有固-建物-その他-定額50年</t>
  </si>
  <si>
    <t>不動産有固-建物-その他-定額47年</t>
  </si>
  <si>
    <t>不動産有固-建物-その他-定額41年</t>
  </si>
  <si>
    <t>不動産有固-建物-その他-定額39年</t>
  </si>
  <si>
    <t>不動産有固-建物-その他-定額38年</t>
  </si>
  <si>
    <t>不動産有固-建物-その他-定額36年</t>
  </si>
  <si>
    <t>不動産有固-建物-その他-定額34年</t>
  </si>
  <si>
    <t>不動産有固-建物-その他-定額31年</t>
  </si>
  <si>
    <t>不動産有固-建物-その他-定額30年</t>
  </si>
  <si>
    <t>不動産有固-建物-その他-定額29年</t>
  </si>
  <si>
    <t>不動産有固-建物-その他-定額28年</t>
  </si>
  <si>
    <t>不動産有固-建物-その他-定額27年</t>
  </si>
  <si>
    <t>不動産有固-建物-その他-定額26年</t>
  </si>
  <si>
    <t>不動産有固-建物-その他-定額25年</t>
  </si>
  <si>
    <t>不動産有固-建物-その他-定額24年</t>
  </si>
  <si>
    <t>不動産有固-建物-その他-定額22年</t>
  </si>
  <si>
    <t>不動産有固-建物-その他-定額21年</t>
  </si>
  <si>
    <t>不動産有固-建物-その他-定額20年</t>
  </si>
  <si>
    <t>不動産有固-建物-その他-定額19年</t>
  </si>
  <si>
    <t>不動産有固-建物-その他-定額17年</t>
  </si>
  <si>
    <t>不動産有固-建物-その他-定額15年</t>
  </si>
  <si>
    <t>不動産有固-建物-その他-定額14年</t>
  </si>
  <si>
    <t>不動産有固-建物-その他-定額12年</t>
  </si>
  <si>
    <t>不動産有固-建物-その他-定額11年</t>
  </si>
  <si>
    <t>不動産有固-建物-その他-定額10年</t>
  </si>
  <si>
    <t>不動産有固-建物-その他-定額09年</t>
  </si>
  <si>
    <t>不動産有固-建物-その他-定額07年</t>
  </si>
  <si>
    <t>不動産有固-建物付属設備-その他-定率18年</t>
  </si>
  <si>
    <t>不動産有固-建物付属設備-その他-定率17年</t>
  </si>
  <si>
    <t>不動産有固-建物付属設備-その他-定率15年</t>
  </si>
  <si>
    <t>不動産有固-建物付属設備-その他-定率13年</t>
  </si>
  <si>
    <t>不動産有固-建物付属設備-その他-定率12年</t>
  </si>
  <si>
    <t>不動産有固-建物付属設備-その他-定率10年</t>
  </si>
  <si>
    <t>不動産有固-建物付属設備-その他-定率08年</t>
  </si>
  <si>
    <t>不動産有固-建物付属設備-その他-定率03年</t>
  </si>
  <si>
    <t>不動産有固-構築物-定率80年</t>
  </si>
  <si>
    <t>不動産有固-構築物-定率75年</t>
  </si>
  <si>
    <t>不動産有固-構築物-定率60年</t>
  </si>
  <si>
    <t>不動産有固-構築物-定率57年</t>
  </si>
  <si>
    <t>不動産有固-構築物-定率50年</t>
  </si>
  <si>
    <t>不動産有固-構築物-定率45年</t>
  </si>
  <si>
    <t>不動産有固-構築物-定率42年</t>
  </si>
  <si>
    <t>不動産有固-構築物-定率41年</t>
  </si>
  <si>
    <t>不動産有固-構築物-定率40年</t>
  </si>
  <si>
    <t>不動産有固-構築物-定率36年</t>
  </si>
  <si>
    <t>不動産有固-構築物-定率35年</t>
  </si>
  <si>
    <t>不動産有固-構築物-定率34年</t>
  </si>
  <si>
    <t>不動産有固-構築物-定率32年</t>
  </si>
  <si>
    <t>不動産有固-構築物-定率30年</t>
  </si>
  <si>
    <t>不動産有固-構築物-定率27年</t>
  </si>
  <si>
    <t>不動産有固-構築物-定率25年</t>
  </si>
  <si>
    <t>不動産有固-構築物-定率24年</t>
  </si>
  <si>
    <t>不動産有固-構築物-定率22年</t>
  </si>
  <si>
    <t>不動産有固-構築物-定率21年</t>
  </si>
  <si>
    <t>不動産有固-構築物-定率20年</t>
  </si>
  <si>
    <t>不動産有固-構築物-定率19年</t>
  </si>
  <si>
    <t>不動産有固-構築物-定率17年</t>
  </si>
  <si>
    <t>不動産有固-構築物-定率16年</t>
  </si>
  <si>
    <t>不動産有固-構築物-定率15年</t>
  </si>
  <si>
    <t>不動産有固-構築物-定率14年</t>
  </si>
  <si>
    <t>不動産有固-構築物-定率13年</t>
  </si>
  <si>
    <t>不動産有固-構築物-定率12年</t>
  </si>
  <si>
    <t>不動産有固-構築物-定率10年</t>
  </si>
  <si>
    <t>不動産有固-構築物-定率08年</t>
  </si>
  <si>
    <t>不動産有固-構築物-定率07年</t>
  </si>
  <si>
    <t>不動産有固-構築物-定率05年</t>
  </si>
  <si>
    <t>不動産有固-構築物-定率03年</t>
  </si>
  <si>
    <t>不動産有固-機械装置-定率22年</t>
  </si>
  <si>
    <t>不動産有固-機械装置-定率20年</t>
  </si>
  <si>
    <t>不動産有固-機械装置-定率18年</t>
  </si>
  <si>
    <t>不動産有固-機械装置-定率17年</t>
  </si>
  <si>
    <t>不動産有固-機械装置-定率15年</t>
  </si>
  <si>
    <t>不動産有固-機械装置-定率14年</t>
  </si>
  <si>
    <t>不動産有固-機械装置-定率13年</t>
  </si>
  <si>
    <t>不動産有固-機械装置-定率12年</t>
  </si>
  <si>
    <t>不動産有固-機械装置-定率11年</t>
  </si>
  <si>
    <t>不動産有固-機械装置-定率10年</t>
  </si>
  <si>
    <t>不動産有固-機械装置-定率09年</t>
  </si>
  <si>
    <t>不動産有固-機械装置-定率08年</t>
  </si>
  <si>
    <t>不動産有固-機械装置-定率07年</t>
  </si>
  <si>
    <t>不動産有固-機械装置-定率06年</t>
  </si>
  <si>
    <t>不動産有固-機械装置-定率05年</t>
  </si>
  <si>
    <t>不動産有固-機械装置-定率04年</t>
  </si>
  <si>
    <t>不動産有固-機械装置-定率03年</t>
  </si>
  <si>
    <t>不動産有固-工具器具及び備品-工器備-定率13年</t>
  </si>
  <si>
    <t>不動産有固-工具器具及び備品-工器備-定率08年</t>
  </si>
  <si>
    <t>不動産有固-工具器具及び備品-工器備-定率05年</t>
  </si>
  <si>
    <t>不動産有固-工具器具及び備品-工器備-定率04年</t>
  </si>
  <si>
    <t>不動産有固-工具器具及び備品-工器備-定率03年</t>
  </si>
  <si>
    <t>不動産有固-工具器具及び備品-工器備-定率02年</t>
  </si>
  <si>
    <t>不動産有固-工具器具及び備品-工器備-定率20年</t>
  </si>
  <si>
    <t>不動産有固-工具器具及び備品-工器備-定率15年</t>
  </si>
  <si>
    <t>不動産有固-工具器具及び備品-工器備-定率10年</t>
  </si>
  <si>
    <t>不動産有固-工具器具及び備品-工器備-定率07年</t>
  </si>
  <si>
    <t>不動産有固-工具器具及び備品-工器備-定率06年</t>
  </si>
  <si>
    <t>不動産有固-工具器具及び備品-運搬具-定率07年</t>
  </si>
  <si>
    <t>不動産有固-工具器具及び備品-運搬具-定率06年</t>
  </si>
  <si>
    <t>不動産有固-工具器具及び備品-運搬具-定率05年</t>
  </si>
  <si>
    <t>不動産有固-工具器具及び備品-運搬具-定率04年</t>
  </si>
  <si>
    <t>不動産有固-工具器具及び備品-運搬具-定率03年</t>
  </si>
  <si>
    <t>不動産有固-工具器具及び備品-運搬具-定率02年</t>
  </si>
  <si>
    <t>不動産有固-リース資産-土地</t>
  </si>
  <si>
    <t>不動産有固-リース資産-建物</t>
  </si>
  <si>
    <t>不動産有固-リース資産-構築物</t>
  </si>
  <si>
    <t>不動産有固-リース資産-車両</t>
  </si>
  <si>
    <t>不動産有固-リース資産-機械装置</t>
  </si>
  <si>
    <t>不動産有固-リース資産-工具器具及び備品</t>
  </si>
  <si>
    <t>不動産有固-雑施設</t>
  </si>
  <si>
    <t>流通有固-土地-事務所</t>
  </si>
  <si>
    <t>流通有固-土地-店舗</t>
  </si>
  <si>
    <t>流通有固-土地-その他</t>
  </si>
  <si>
    <t>流通有固-建物-事務所-定額50年</t>
  </si>
  <si>
    <t>流通有固-建物-事務所-定額41年</t>
  </si>
  <si>
    <t>流通有固-建物-事務所-定額38年</t>
  </si>
  <si>
    <t>流通有固-建物-事務所-定額30年</t>
  </si>
  <si>
    <t>流通有固-建物-事務所-定額22年</t>
  </si>
  <si>
    <t>流通有固-建物-事務所-定額24年</t>
  </si>
  <si>
    <t>流通有固-建物-事務所-定額10年</t>
  </si>
  <si>
    <t>流通有固-建物-事務所-定額07年</t>
  </si>
  <si>
    <t>流通有固-建物付属設備-事務所-定率18年</t>
  </si>
  <si>
    <t>流通有固-建物付属設備-事務所-定率17年</t>
  </si>
  <si>
    <t>流通有固-建物付属設備-事務所-定率15年</t>
  </si>
  <si>
    <t>流通有固-建物付属設備-事務所-定率13年</t>
  </si>
  <si>
    <t>流通有固-建物付属設備-事務所-定率12年</t>
  </si>
  <si>
    <t>流通有固-建物付属設備-事務所-定率10年</t>
  </si>
  <si>
    <t>流通有固-建物付属設備-事務所-定率08年</t>
  </si>
  <si>
    <t>流通有固-建物付属設備-事務所-定率03年</t>
  </si>
  <si>
    <t>流通有固-建物-店舗-定額39年</t>
  </si>
  <si>
    <t>流通有固-建物-店舗-定額38年</t>
  </si>
  <si>
    <t>流通有固-建物-店舗-定額34年</t>
  </si>
  <si>
    <t>流通有固-建物-店舗-定額27年</t>
  </si>
  <si>
    <t>流通有固-建物-店舗-定額19年</t>
  </si>
  <si>
    <t>流通有固-建物-店舗-定額22年</t>
  </si>
  <si>
    <t>流通有固-建物-店舗-定額20年</t>
  </si>
  <si>
    <t>流通有固-建物-店舗-定額10年</t>
  </si>
  <si>
    <t>流通有固-建物-店舗-定額07年</t>
  </si>
  <si>
    <t>流通有固-建物付属設備-店舗-定率18年</t>
  </si>
  <si>
    <t>流通有固-建物付属設備-店舗-定率17年</t>
  </si>
  <si>
    <t>流通有固-建物付属設備-店舗-定率15年</t>
  </si>
  <si>
    <t>流通有固-建物付属設備-店舗-定率13年</t>
  </si>
  <si>
    <t>流通有固-建物付属設備-店舗-定率12年</t>
  </si>
  <si>
    <t>流通有固-建物付属設備-店舗-定率10年</t>
  </si>
  <si>
    <t>流通有固-建物付属設備-店舗-定率08年</t>
  </si>
  <si>
    <t>流通有固-建物付属設備-店舗-定率03年</t>
  </si>
  <si>
    <t>流通有固-建物-その他-定額50年</t>
  </si>
  <si>
    <t>流通有固-建物-その他-定額47年</t>
  </si>
  <si>
    <t>流通有固-建物-その他-定額41年</t>
  </si>
  <si>
    <t>流通有固-建物-その他-定額39年</t>
  </si>
  <si>
    <t>流通有固-建物-その他-定額38年</t>
  </si>
  <si>
    <t>流通有固-建物-その他-定額36年</t>
  </si>
  <si>
    <t>流通有固-建物-その他-定額34年</t>
  </si>
  <si>
    <t>流通有固-建物-その他-定額31年</t>
  </si>
  <si>
    <t>流通有固-建物-その他-定額30年</t>
  </si>
  <si>
    <t>流通有固-建物-その他-定額29年</t>
  </si>
  <si>
    <t>流通有固-建物-その他-定額28年</t>
  </si>
  <si>
    <t>流通有固-建物-その他-定額27年</t>
  </si>
  <si>
    <t>流通有固-建物-その他-定額26年</t>
  </si>
  <si>
    <t>流通有固-建物-その他-定額25年</t>
  </si>
  <si>
    <t>流通有固-建物-その他-定額24年</t>
  </si>
  <si>
    <t>流通有固-建物-その他-定額22年</t>
  </si>
  <si>
    <t>流通有固-建物-その他-定額21年</t>
  </si>
  <si>
    <t>流通有固-建物-その他-定額20年</t>
  </si>
  <si>
    <t>流通有固-建物-その他-定額19年</t>
  </si>
  <si>
    <t>流通有固-建物-その他-定額17年</t>
  </si>
  <si>
    <t>流通有固-建物-その他-定額15年</t>
  </si>
  <si>
    <t>流通有固-建物-その他-定額14年</t>
  </si>
  <si>
    <t>流通有固-建物-その他-定額12年</t>
  </si>
  <si>
    <t>流通有固-建物-その他-定額11年</t>
  </si>
  <si>
    <t>流通有固-建物-その他-定額10年</t>
  </si>
  <si>
    <t>流通有固-建物-その他-定額09年</t>
  </si>
  <si>
    <t>流通有固-建物-その他-定額07年</t>
  </si>
  <si>
    <t>流通有固-建物付属設備-その他-定率18年</t>
  </si>
  <si>
    <t>流通有固-建物付属設備-その他-定率17年</t>
  </si>
  <si>
    <t>流通有固-建物付属設備-その他-定率15年</t>
  </si>
  <si>
    <t>流通有固-建物付属設備-その他-定率13年</t>
  </si>
  <si>
    <t>流通有固-建物付属設備-その他-定率12年</t>
  </si>
  <si>
    <t>流通有固-建物付属設備-その他-定率10年</t>
  </si>
  <si>
    <t>流通有固-建物付属設備-その他-定率08年</t>
  </si>
  <si>
    <t>流通有固-建物付属設備-その他-定率03年</t>
  </si>
  <si>
    <t>流通有固-構築物-定率80年</t>
  </si>
  <si>
    <t>流通有固-構築物-定率75年</t>
  </si>
  <si>
    <t>流通有固-構築物-定率60年</t>
  </si>
  <si>
    <t>流通有固-構築物-定率57年</t>
  </si>
  <si>
    <t>流通有固-構築物-定率50年</t>
  </si>
  <si>
    <t>流通有固-構築物-定率45年</t>
  </si>
  <si>
    <t>流通有固-構築物-定率42年</t>
  </si>
  <si>
    <t>流通有固-構築物-定率41年</t>
  </si>
  <si>
    <t>流通有固-構築物-定率40年</t>
  </si>
  <si>
    <t>流通有固-構築物-定率36年</t>
  </si>
  <si>
    <t>流通有固-構築物-定率35年</t>
  </si>
  <si>
    <t>流通有固-構築物-定率34年</t>
  </si>
  <si>
    <t>流通有固-構築物-定率32年</t>
  </si>
  <si>
    <t>流通有固-構築物-定率30年</t>
  </si>
  <si>
    <t>流通有固-構築物-定率27年</t>
  </si>
  <si>
    <t>流通有固-構築物-定率25年</t>
  </si>
  <si>
    <t>流通有固-構築物-定率24年</t>
  </si>
  <si>
    <t>流通有固-構築物-定率22年</t>
  </si>
  <si>
    <t>流通有固-構築物-定率21年</t>
  </si>
  <si>
    <t>流通有固-構築物-定率20年</t>
  </si>
  <si>
    <t>流通有固-構築物-定率19年</t>
  </si>
  <si>
    <t>流通有固-構築物-定率17年</t>
  </si>
  <si>
    <t>流通有固-構築物-定率16年</t>
  </si>
  <si>
    <t>流通有固-構築物-定率15年</t>
  </si>
  <si>
    <t>流通有固-構築物-定率14年</t>
  </si>
  <si>
    <t>流通有固-構築物-定率13年</t>
  </si>
  <si>
    <t>流通有固-構築物-定率12年</t>
  </si>
  <si>
    <t>流通有固-構築物-定率10年</t>
  </si>
  <si>
    <t>流通有固-構築物-定率08年</t>
  </si>
  <si>
    <t>流通有固-構築物-定率07年</t>
  </si>
  <si>
    <t>流通有固-構築物-定率05年</t>
  </si>
  <si>
    <t>流通有固-構築物-定率03年</t>
  </si>
  <si>
    <t>流通有固-機械装置-定率22年</t>
  </si>
  <si>
    <t>流通有固-機械装置-定率20年</t>
  </si>
  <si>
    <t>流通有固-機械装置-定率18年</t>
  </si>
  <si>
    <t>流通有固-機械装置-定率17年</t>
  </si>
  <si>
    <t>流通有固-機械装置-定率15年</t>
  </si>
  <si>
    <t>流通有固-機械装置-定率14年</t>
  </si>
  <si>
    <t>流通有固-機械装置-定率13年</t>
  </si>
  <si>
    <t>流通有固-機械装置-定率12年</t>
  </si>
  <si>
    <t>流通有固-機械装置-定率11年</t>
  </si>
  <si>
    <t>流通有固-機械装置-定率10年</t>
  </si>
  <si>
    <t>流通有固-機械装置-定率09年</t>
  </si>
  <si>
    <t>流通有固-機械装置-定率08年</t>
  </si>
  <si>
    <t>流通有固-機械装置-定率07年</t>
  </si>
  <si>
    <t>流通有固-機械装置-定率06年</t>
  </si>
  <si>
    <t>流通有固-機械装置-定率05年</t>
  </si>
  <si>
    <t>流通有固-機械装置-定率04年</t>
  </si>
  <si>
    <t>流通有固-機械装置-定率03年</t>
  </si>
  <si>
    <t>流通有固-工具器具及び備品-工器備-定率13年</t>
  </si>
  <si>
    <t>流通有固-工具器具及び備品-工器備-定率08年</t>
  </si>
  <si>
    <t>流通有固-工具器具及び備品-工器備-定率05年</t>
  </si>
  <si>
    <t>流通有固-工具器具及び備品-工器備-定率04年</t>
  </si>
  <si>
    <t>流通有固-工具器具及び備品-工器備-定率03年</t>
  </si>
  <si>
    <t>流通有固-工具器具及び備品-工器備-定率02年</t>
  </si>
  <si>
    <t>流通有固-工具器具及び備品-工器備-定率20年</t>
  </si>
  <si>
    <t>流通有固-工具器具及び備品-工器備-定率15年</t>
  </si>
  <si>
    <t>流通有固-工具器具及び備品-工器備-定率10年</t>
  </si>
  <si>
    <t>流通有固-工具器具及び備品-工器備-定率07年</t>
  </si>
  <si>
    <t>流通有固-工具器具及び備品-工器備-定率06年</t>
  </si>
  <si>
    <t>流通有固-工具器具及び備品-運搬具-定率07年</t>
  </si>
  <si>
    <t>流通有固-工具器具及び備品-運搬具-定率06年</t>
  </si>
  <si>
    <t>流通有固-工具器具及び備品-運搬具-定率05年</t>
  </si>
  <si>
    <t>流通有固-工具器具及び備品-運搬具-定率04年</t>
  </si>
  <si>
    <t>流通有固-工具器具及び備品-運搬具-定率03年</t>
  </si>
  <si>
    <t>流通有固-工具器具及び備品-運搬具-定率02年</t>
  </si>
  <si>
    <t>流通有固-リース資産-土地</t>
  </si>
  <si>
    <t>流通有固-リース資産-建物</t>
  </si>
  <si>
    <t>流通有固-リース資産-構築物</t>
  </si>
  <si>
    <t>流通有固-リース資産-車両</t>
  </si>
  <si>
    <t>流通有固-リース資産-機械装置</t>
  </si>
  <si>
    <t>流通有固-リース資産-工具器具及び備品</t>
  </si>
  <si>
    <t>流通有固-雑施設</t>
  </si>
  <si>
    <t>サービス有固-土地-事務所</t>
  </si>
  <si>
    <t>サービス有固-土地-店舗</t>
  </si>
  <si>
    <t>サービス有固-土地-その他</t>
  </si>
  <si>
    <t>サービス有固-建物-事務所-定額50年</t>
  </si>
  <si>
    <t>サービス有固-建物-事務所-定額41年</t>
  </si>
  <si>
    <t>サービス有固-建物-事務所-定額38年</t>
  </si>
  <si>
    <t>サービス有固-建物-事務所-定額30年</t>
  </si>
  <si>
    <t>サービス有固-建物-事務所-定額22年</t>
  </si>
  <si>
    <t>サービス有固-建物-事務所-定額24年</t>
  </si>
  <si>
    <t>サービス有固-建物-事務所-定額10年</t>
  </si>
  <si>
    <t>サービス有固-建物-事務所-定額07年</t>
  </si>
  <si>
    <t>サービス有固-建物付属設備-事務所-定率18年</t>
  </si>
  <si>
    <t>サービス有固-建物付属設備-事務所-定率17年</t>
  </si>
  <si>
    <t>サービス有固-事務所-定率15年</t>
  </si>
  <si>
    <t>サービス有固-建物付属設備-事務所-定率13年</t>
  </si>
  <si>
    <t>サービス有固-建物付属設備-事務所-定率12年</t>
  </si>
  <si>
    <t>サービス有固-建物付属設備-事務所-定率10年</t>
  </si>
  <si>
    <t>サービス有固-建物付属設備-事務所-定率08年</t>
  </si>
  <si>
    <t>サービス有固-建物付属設備-事務所-定率03年</t>
  </si>
  <si>
    <t>サービス有固-建物-店舗-定額39年</t>
  </si>
  <si>
    <t>サービス有固-建物-店舗-定額38年</t>
  </si>
  <si>
    <t>サービス有固-建物-店舗-定額34年</t>
  </si>
  <si>
    <t>サービス有固-建物-店舗-定額27年</t>
  </si>
  <si>
    <t>サービス有固-建物-店舗-定額19年</t>
  </si>
  <si>
    <t>サービス有固-建物-店舗-定額22年</t>
  </si>
  <si>
    <t>サービス有固-建物-店舗-定額20年</t>
  </si>
  <si>
    <t>サービス有固-建物-店舗-定額10年</t>
  </si>
  <si>
    <t>サービス有固-建物-店舗-定額07年</t>
  </si>
  <si>
    <t>サービス有固-建物付属設備-店舗-定率18年</t>
  </si>
  <si>
    <t>サービス有固-建物付属設備-店舗-定率17年</t>
  </si>
  <si>
    <t>サービス有固-建物付属設備-店舗-定率15年</t>
  </si>
  <si>
    <t>サービス有固-建物付属設備-店舗-定率13年</t>
  </si>
  <si>
    <t>サービス有固-建物付属設備-店舗-定率12年</t>
  </si>
  <si>
    <t>サービス有固-建物付属設備-店舗-定率10年</t>
  </si>
  <si>
    <t>サービス有固-建物付属設備-店舗-定率08年</t>
  </si>
  <si>
    <t>サービス有固-建物付属設備-店舗-定率03年</t>
  </si>
  <si>
    <t>サービス有固-建物-その他-定額50年</t>
  </si>
  <si>
    <t>サービス有固-建物-その他-定額47年</t>
  </si>
  <si>
    <t>サービス有固-建物-その他-定額41年</t>
  </si>
  <si>
    <t>サービス有固-建物-その他-定額39年</t>
  </si>
  <si>
    <t>サービス有固-建物-その他-定額38年</t>
  </si>
  <si>
    <t>サービス有固-建物-その他-定額36年</t>
  </si>
  <si>
    <t>サービス有固-建物-その他-定額34年</t>
  </si>
  <si>
    <t>サービス有固-建物-その他-定額31年</t>
  </si>
  <si>
    <t>サービス有固-建物-その他-定額30年</t>
  </si>
  <si>
    <t>サービス有固-建物-その他-定額29年</t>
  </si>
  <si>
    <t>サービス有固-建物-その他-定額28年</t>
  </si>
  <si>
    <t>サービス有固-建物-その他-定額27年</t>
  </si>
  <si>
    <t>サービス有固-建物-その他-定額26年</t>
  </si>
  <si>
    <t>サービス有固-建物-その他-定額25年</t>
  </si>
  <si>
    <t>サービス有固-建物-その他-定額24年</t>
  </si>
  <si>
    <t>サービス有固-建物-その他-定額22年</t>
  </si>
  <si>
    <t>サービス有固-建物-その他-定額21年</t>
  </si>
  <si>
    <t>サービス有固-建物-その他-定額20年</t>
  </si>
  <si>
    <t>サービス有固-建物-その他-定額19年</t>
  </si>
  <si>
    <t>サービス有固-建物-その他-定額17年</t>
  </si>
  <si>
    <t>サービス有固-建物-その他-定額15年</t>
  </si>
  <si>
    <t>サービス有固-建物-その他-定額14年</t>
  </si>
  <si>
    <t>サービス有固-建物-その他-定額12年</t>
  </si>
  <si>
    <t>サービス有固-建物-その他-定額11年</t>
  </si>
  <si>
    <t>サービス有固-建物-その他-定額10年</t>
  </si>
  <si>
    <t>サービス有固-建物-その他-定額09年</t>
  </si>
  <si>
    <t>サービス有固-建物-その他-定額07年</t>
  </si>
  <si>
    <t>サービス有固-建物付属設備-その他-定率18年</t>
  </si>
  <si>
    <t>サービス有固-建物付属設備-その他-定率17年</t>
  </si>
  <si>
    <t>サービス有固-建物付属設備-その他-定率15年</t>
  </si>
  <si>
    <t>サービス有固-建物付属設備-その他-定率13年</t>
  </si>
  <si>
    <t>サービス有固-建物付属設備-その他-定率12年</t>
  </si>
  <si>
    <t>サービス有固-建物付属設備-その他-定率10年</t>
  </si>
  <si>
    <t>サービス有固-建物付属設備-その他-定率08年</t>
  </si>
  <si>
    <t>サービス有固-建物付属設備-その他-定率03年</t>
  </si>
  <si>
    <t>サービス有固-構築物-定率80年</t>
  </si>
  <si>
    <t>サービス有固-構築物-定率75年</t>
  </si>
  <si>
    <t>サービス有固-構築物-定率60年</t>
  </si>
  <si>
    <t>サービス有固-構築物-定率57年</t>
  </si>
  <si>
    <t>サービス有固-構築物-定率50年</t>
  </si>
  <si>
    <t>サービス有固-構築物-定率45年</t>
  </si>
  <si>
    <t>サービス有固-構築物-定率42年</t>
  </si>
  <si>
    <t>サービス有固-構築物-定率41年</t>
  </si>
  <si>
    <t>サービス有固-構築物-定率40年</t>
  </si>
  <si>
    <t>サービス有固-構築物-定率36年</t>
  </si>
  <si>
    <t>サービス有固-構築物-定率35年</t>
  </si>
  <si>
    <t>サービス有固-構築物-定率34年</t>
  </si>
  <si>
    <t>サービス有固-構築物-定率32年</t>
  </si>
  <si>
    <t>サービス有固-構築物-定率30年</t>
  </si>
  <si>
    <t>サービス有固-構築物-定率27年</t>
  </si>
  <si>
    <t>サービス有固-構築物-定率25年</t>
  </si>
  <si>
    <t>サービス有固-構築物-定率24年</t>
  </si>
  <si>
    <t>サービス有固-構築物-定率22年</t>
  </si>
  <si>
    <t>サービス有固-構築物-定率21年</t>
  </si>
  <si>
    <t>サービス有固-構築物-定率20年</t>
  </si>
  <si>
    <t>サービス有固-構築物-定率19年</t>
  </si>
  <si>
    <t>サービス有固-構築物-定率17年</t>
  </si>
  <si>
    <t>サービス有固-構築物-定率16年</t>
  </si>
  <si>
    <t>サービス有固-構築物-定率15年</t>
  </si>
  <si>
    <t>サービス有固-構築物-定率14年</t>
  </si>
  <si>
    <t>サービス有固-構築物-定率13年</t>
  </si>
  <si>
    <t>サービス有固-構築物-定率12年</t>
  </si>
  <si>
    <t>サービス有固-構築物-定率10年</t>
  </si>
  <si>
    <t>サービス有固-構築物-定率08年</t>
  </si>
  <si>
    <t>サービス有固-構築物-定率07年</t>
  </si>
  <si>
    <t>サービス有固-構築物-定率05年</t>
  </si>
  <si>
    <t>サービス有固-構築物-定率03年</t>
  </si>
  <si>
    <t>サービス有固-機械装置-定率22年</t>
  </si>
  <si>
    <t>サービス有固-機械装置-定率20年</t>
  </si>
  <si>
    <t>サービス有固-機械装置-定率18年</t>
  </si>
  <si>
    <t>サービス有固-機械装置-定率17年</t>
  </si>
  <si>
    <t>サービス有固-機械装置-定率15年</t>
  </si>
  <si>
    <t>サービス有固-機械装置-定率14年</t>
  </si>
  <si>
    <t>サービス有固-機械装置-定率13年</t>
  </si>
  <si>
    <t>サービス有固-機械装置-定率12年</t>
  </si>
  <si>
    <t>サービス有固-機械装置-定率11年</t>
  </si>
  <si>
    <t>サービス有固-機械装置-定率10年</t>
  </si>
  <si>
    <t>サービス有固-機械装置-定率09年</t>
  </si>
  <si>
    <t>サービス有固-機械装置-定率08年</t>
  </si>
  <si>
    <t>サービス有固-機械装置-定率07年</t>
  </si>
  <si>
    <t>サービス有固-機械装置-定率06年</t>
  </si>
  <si>
    <t>サービス有固-機械装置-定率05年</t>
  </si>
  <si>
    <t>サービス有固-機械装置-定率04年</t>
  </si>
  <si>
    <t>サービス有固-機械装置-定率03年</t>
  </si>
  <si>
    <t>サービス有固-工具器具及び備品-工器備-定率13年</t>
  </si>
  <si>
    <t>サービス有固-工具器具及び備品-工器備-定率08年</t>
  </si>
  <si>
    <t>サービス有固-工具器具及び備品-工器備-定率05年</t>
  </si>
  <si>
    <t>サービス有固-工具器具及び備品-工器備-定率04年</t>
  </si>
  <si>
    <t>サービス有固-工具器具及び備品-工器備-定率03年</t>
  </si>
  <si>
    <t>サービス有固-工具器具及び備品-工器備-定率02年</t>
  </si>
  <si>
    <t>サービス有固-工具器具及び備品-工器備-定率20年</t>
  </si>
  <si>
    <t>サービス有固-工具器具及び備品-工器備-定率15年</t>
  </si>
  <si>
    <t>サービス有固-工具器具及び備品-工器備-定率10年</t>
  </si>
  <si>
    <t>サービス有固-工具器具及び備品-工器備-定率07年</t>
  </si>
  <si>
    <t>サービス有固-工具器具及び備品-工器備-定率06年</t>
  </si>
  <si>
    <t>サービス有固-工具器具及び備品-運搬具-定率07年</t>
  </si>
  <si>
    <t>サービス有固-工具器具及び備品-運搬具-定率06年</t>
  </si>
  <si>
    <t>サービス有固-工具器具及び備品-運搬具-定率05年</t>
  </si>
  <si>
    <t>サービス有固-工具器具及び備品-運搬具-定率04年</t>
  </si>
  <si>
    <t>サービス有固-工具器具及び備品-運搬具-定率03年</t>
  </si>
  <si>
    <t>サービス有固-工具器具及び備品-運搬具-定率02年</t>
  </si>
  <si>
    <t>サービス有固-リース資産-土地</t>
  </si>
  <si>
    <t>サービス有固-リース資産-建物</t>
  </si>
  <si>
    <t>サービス有固-リース資産-構築物</t>
  </si>
  <si>
    <t>サービス有固-リース資産-車両</t>
  </si>
  <si>
    <t>サービス有固-リース資産-機械装置</t>
  </si>
  <si>
    <t>サービス有固-リース資産-工具器具及び備品</t>
  </si>
  <si>
    <t>サービス有固-雑施設</t>
  </si>
  <si>
    <t>その他の固定資産</t>
  </si>
  <si>
    <t>建設仮勘定-鉄道事業-直接費</t>
  </si>
  <si>
    <t>建設仮勘定-鉄道事業-間接費</t>
  </si>
  <si>
    <t>建設仮勘定-鉄道事業-ソフトウェア</t>
  </si>
  <si>
    <t>建設仮勘定-広告事業-直接費</t>
  </si>
  <si>
    <t>建設仮勘定-広告事業-間接費</t>
  </si>
  <si>
    <t>建設仮勘定-不動産事業-直接費</t>
  </si>
  <si>
    <t>建設仮勘定-不動産事業-間接費</t>
  </si>
  <si>
    <t>建設仮勘定-不動産事業-ソフトウェア</t>
  </si>
  <si>
    <t>建設仮勘定-流通事業-直接費</t>
  </si>
  <si>
    <t>建設仮勘定-流通事業-間接費</t>
  </si>
  <si>
    <t>建設仮勘定-流通事業-ソフトウェア</t>
  </si>
  <si>
    <t>建設仮勘定-サービス事業-直接費</t>
  </si>
  <si>
    <t>建設仮勘定-サービス事業-間接費</t>
  </si>
  <si>
    <t>建設仮勘定-サービス事業-ソフトウェア</t>
  </si>
  <si>
    <t>建設仮勘定-各事業関連-ソフトウェア</t>
  </si>
  <si>
    <t>各事業有固-土地-倉庫用地</t>
  </si>
  <si>
    <t>各事業有固-土地-事務所用地</t>
  </si>
  <si>
    <t>各事業有固-土地-社宅及び寮用地</t>
  </si>
  <si>
    <t>各事業有固-土地-雑用地</t>
  </si>
  <si>
    <t>各事業有固-建物-鉄骨鉄筋コンクリート造又は鉄筋コンクリート造のもの(その他)-倉庫建物</t>
  </si>
  <si>
    <t>各事業有固-建物-れんが造、石造又はブロック造のもの(その他)-倉庫建物</t>
  </si>
  <si>
    <t>各事業有固-建物-金属造のもの(骨格材の肉厚が4mm超)(その他)-倉庫建物</t>
  </si>
  <si>
    <t>各事業有固-建物-金属造のもの(骨格材の肉厚が3mm超4mm以下)(その他)-倉庫建物</t>
  </si>
  <si>
    <t>各事業有固-建物-金属造のもの(骨格材の肉厚が3mm以下)(その他)-倉庫建物</t>
  </si>
  <si>
    <t>各事業有固-建物-木造又は合成樹脂造のもの(その他)-倉庫建物</t>
  </si>
  <si>
    <t>各事業有固-建物-木骨モルタル造のもの(その他)-倉庫建物</t>
  </si>
  <si>
    <t>各事業有固-建物-簡易建物(木製主要柱10cm角以下で土居、杉皮ぶき等)-倉庫建物</t>
  </si>
  <si>
    <t>各事業有固-建物-簡易建物(掘立造のもの及び仮設のもの)-倉庫建物</t>
  </si>
  <si>
    <t>各事業有固-建物付属設備-電気設備(照明設備を含む。)-蓄電池電源設備</t>
  </si>
  <si>
    <t>各事業有固-建物付属設備-電気設備(照明設備を含む。)-その他のもの</t>
  </si>
  <si>
    <t>各事業有固-建物付属設備-給排水又は衛生設備及びガス設備</t>
  </si>
  <si>
    <t>各事業有固-建物付属設備-冷房、暖房、通風又はボイラー設備-冷凍機の出力が22kw以下</t>
  </si>
  <si>
    <t>各事業有固-建物付属設備-冷房、暖房、通風又はボイラー設備-その他のもの</t>
  </si>
  <si>
    <t>各事業有固-建物付属設備-昇降機設備-エレベーター</t>
  </si>
  <si>
    <t>各事業有固-建物付属設備-昇降機設備-エスカレーター</t>
  </si>
  <si>
    <t>各事業有固-建物付属設備-消火、排煙又は災害報知設備及び格納式避難設備</t>
  </si>
  <si>
    <t>各事業有固-建物付属設備-エヤーカーテン又はドアー自動開閉設備</t>
  </si>
  <si>
    <t>各事業有固-建物付属設備-アーケード又は日よけ設備-金属製</t>
  </si>
  <si>
    <t>各事業有固-建物付属設備-アーケード又は日よけ設備-その他のもの</t>
  </si>
  <si>
    <t>各事業有固-建物付属設備-店用簡易設備</t>
  </si>
  <si>
    <t>各事業有固-建物付属設備-可動簡易装備-簡易なもの</t>
  </si>
  <si>
    <t>各事業有固-建物付属設備-可動簡易装備-その他のもの</t>
  </si>
  <si>
    <t>各事業有固-建物付属設備-前掲のもの以外のもの及び前掲の区分によらないもの-主として金属製のもの</t>
  </si>
  <si>
    <t>各事業有固-建物付属設備-前掲のもの以外のもの及び前掲の区分によらないもの-その他のもの</t>
  </si>
  <si>
    <t>各事業有固-建物-鉄骨鉄筋コンクリート造又は鉄筋コンクリート造のもの-詰所建物</t>
  </si>
  <si>
    <t>各事業有固-建物-れんが造、石造又はブロック造のもの-詰所建物</t>
  </si>
  <si>
    <t>各事業有固-建物-金属造のもの(骨格材の肉厚が4mm超)-詰所建物</t>
  </si>
  <si>
    <t>各事業有固-建物-金属造のもの(骨格材の肉厚が3mm超4mm以下)-詰所建物</t>
  </si>
  <si>
    <t>各事業有固-建物-金属造のもの(骨格材の肉厚が3mm以下)-詰所建物</t>
  </si>
  <si>
    <t>各事業有固-建物-木造又は合成樹脂造のもの-詰所建物</t>
  </si>
  <si>
    <t>各事業有固-建物-木骨モルタル造のもの-詰所建物</t>
  </si>
  <si>
    <t>各事業有固-建物-簡易建物(木製主要柱10cm角以下で土居、杉皮ぶき等)-詰所建物</t>
  </si>
  <si>
    <t>各事業有固-建物-簡易建物(掘立造のもの及び仮設のもの)-詰所建物</t>
  </si>
  <si>
    <t>各事業有固-建物付属設備-冷房、暖房、通風又はボイラー設備-冷凍機の出力が22kw以下のもの</t>
  </si>
  <si>
    <t>各事業有固-建物-鉄骨鉄筋コンクリート造又は鉄筋コンクリート造のもの-事務所建物</t>
  </si>
  <si>
    <t>各事業有固-建物-れんが造、石造又はブロック造のもの-事務所建物</t>
  </si>
  <si>
    <t>各事業有固-建物-金属造のもの(骨格材の肉厚が4mm超)-事務所建物</t>
  </si>
  <si>
    <t>各事業有固-建物-金属造のもの(骨格材の肉厚が3mm超4mm以下)-事務所建物</t>
  </si>
  <si>
    <t>各事業有固-建物-金属造のもの(骨格材の肉厚が3mm以下)-事務所建物</t>
  </si>
  <si>
    <t>各事業有固-建物-木造又は合成樹脂造のもの-事務所建物</t>
  </si>
  <si>
    <t>各事業有固-建物-木骨モルタル造のもの-事務所建物</t>
  </si>
  <si>
    <t>各事業有固-建物-簡易建物(木製主要柱10cm角以下で土居、杉皮ぶき等)-事務所建物</t>
  </si>
  <si>
    <t>各事業有固-建物-簡易建物(掘立造のもの及び仮設のもの)-事務所建物</t>
  </si>
  <si>
    <t>各事業有固-建物-鉄骨鉄筋コンクリート造又は鉄筋コンクリート造のもの-社宅及び寮建物</t>
  </si>
  <si>
    <t>各事業有固-建物-れんが造、石造又はブロック造のもの-社宅及び寮建物</t>
  </si>
  <si>
    <t>各事業有固-建物-金属造のもの(骨格材の肉厚が4mm超)-社宅及び寮建物</t>
  </si>
  <si>
    <t>各事業有固-建物-金属造のもの(骨格材の肉厚が3mm超4mm以下)-社宅及び寮建物</t>
  </si>
  <si>
    <t>各事業有固-建物-金属造のもの(骨格材の肉厚が3mm以下)-社宅及び寮建物</t>
  </si>
  <si>
    <t>各事業有固-建物-木造又は合成樹脂造のもの-社宅及び寮建物</t>
  </si>
  <si>
    <t>各事業有固-建物-木骨モルタル造のもの-社宅及び寮建物</t>
  </si>
  <si>
    <t>各事業有固-建物-簡易建物(木製主要柱10cm角以下で土居、杉皮ぶき等)-社宅及び寮建物</t>
  </si>
  <si>
    <t>各事業有固産-建物-簡易建物(掘立造のもの及び仮設のもの)-社宅及び寮建物</t>
  </si>
  <si>
    <t>各事業有固-建物付属設備-冷房、暖房、通風又はボイラー設備-冷凍機の出力が22キロワット以下のもの</t>
  </si>
  <si>
    <t>各事業有固-建物-雑建物-定額50年</t>
  </si>
  <si>
    <t>各事業有固-建物-雑建物-定額47年</t>
  </si>
  <si>
    <t>各事業有固-建物-雑建物-定額41年</t>
  </si>
  <si>
    <t>各事業有固-建物-雑建物-定額39年</t>
  </si>
  <si>
    <t>各事業有固-建物-雑建物-定額38年</t>
  </si>
  <si>
    <t>各事業有固-建物-雑建物-定額36年</t>
  </si>
  <si>
    <t>各事業有固-建物-雑建物-定額34年</t>
  </si>
  <si>
    <t>各事業有固-建物-雑建物-定額31年</t>
  </si>
  <si>
    <t>各事業有固-建物-雑建物-定額30年</t>
  </si>
  <si>
    <t>各事業有固-建物-雑建物-定額29年</t>
  </si>
  <si>
    <t>各事業有固-建物-雑建物-定額28年</t>
  </si>
  <si>
    <t>各事業有固-建物-雑建物-定額27年</t>
  </si>
  <si>
    <t>各事業有固-建物-雑建物-定額26年</t>
  </si>
  <si>
    <t>各事業有固-建物-雑建物-定額25年</t>
  </si>
  <si>
    <t>各事業有固-建物-雑建物-定額24年</t>
  </si>
  <si>
    <t>各事業有固-建物-雑建物-定額22年</t>
  </si>
  <si>
    <t>各事業有固-建物-雑建物-定額21年</t>
  </si>
  <si>
    <t>各事業有固-建物-雑建物-定額20年</t>
  </si>
  <si>
    <t>各事業有固-建物-雑建物-定額19年</t>
  </si>
  <si>
    <t>各事業有固-建物-雑建物-定額17年</t>
  </si>
  <si>
    <t>各事業有固-建物-雑建物-定額15年</t>
  </si>
  <si>
    <t>各事業有固-建物-雑建物-定額14年</t>
  </si>
  <si>
    <t>各事業有固-建物-雑建物-定額12年</t>
  </si>
  <si>
    <t>各事業有固-建物-雑建物-定額11年</t>
  </si>
  <si>
    <t>各事業有固-建物-雑建物-定額10年</t>
  </si>
  <si>
    <t>各事業有固-建物-雑建物-定額09年</t>
  </si>
  <si>
    <t>各事業有固-建物-雑建物-定額07年</t>
  </si>
  <si>
    <t>各事業有固-建物付属設備-電気設備(照明設備を含む。)-その他のもの-雑建物</t>
  </si>
  <si>
    <t>各事業有固-建物付属設備-給排水又は衛生設備及びガス設備-雑建物</t>
  </si>
  <si>
    <t>各事業有固-建物付属設備-冷房、暖房、通風又はボイラー設備-冷凍機の出力が22kw以下のもの-雑建物</t>
  </si>
  <si>
    <t>各事業有固-建物付属設備-冷房、暖房、通風又はボイラー設備-その他のもの-雑建物</t>
  </si>
  <si>
    <t>各事業有固-建物付属設備-昇降機設備-エレベーター-雑建物</t>
  </si>
  <si>
    <t>各事業有固-建物付属設備-昇降機設備-エスカレーター-雑建物</t>
  </si>
  <si>
    <t>各事業有固-建物付属設備-消火、排煙又は災害報知設備及び格納式避難設備-雑建物</t>
  </si>
  <si>
    <t>各事業有固-建物付属設備-エヤーカーテン又はドアー自動開閉設備-雑建物</t>
  </si>
  <si>
    <t>各事業有固-建物付属設備-アーケード又は日よけ設備-金属製-雑建物</t>
  </si>
  <si>
    <t>各事業有固-建物付属設備-アーケード又は日よけ設備-その他のもの-雑建物</t>
  </si>
  <si>
    <t>各事業有固-建物付属設備-店用簡易設備-雑建物</t>
  </si>
  <si>
    <t>各事業有固-建物付属設備-可動簡易装備-簡易なもの-雑建物</t>
  </si>
  <si>
    <t>各事業有固-建物付属設備-可動簡易装備-その他のもの-雑建物</t>
  </si>
  <si>
    <t>各事業有固-建物付属設備-前掲以外-主として金属製のもの-雑建物</t>
  </si>
  <si>
    <t>各事業有固-建物付属設備-前掲のもの以外のもの及び前掲の区分によらないもの-その他のもの-雑建物</t>
  </si>
  <si>
    <t>各事業有固-構築物-通信線</t>
  </si>
  <si>
    <t>各事業有固-構築物-電話機</t>
  </si>
  <si>
    <t>各事業有固-構築物-電気時計</t>
  </si>
  <si>
    <t>各事業有固-構築物-拡声装置</t>
  </si>
  <si>
    <t>各事業有固-構築物-通信諸設備</t>
  </si>
  <si>
    <t>各事業有固-構築物-配電線</t>
  </si>
  <si>
    <t>各事業有固-構築物-電灯電力線</t>
  </si>
  <si>
    <t>各事業有固-構築物-支持物-その他の支持物(電柱及び腕木を除く)</t>
  </si>
  <si>
    <t>各事業有固-構築物-支持物-その他の支持物(腕木を含む)</t>
  </si>
  <si>
    <t>各事業有固-機械装置-通信機械-交換設備</t>
  </si>
  <si>
    <t>各事業有固-機械装置-雑機械-その他の設備(主として金属製のもの)</t>
  </si>
  <si>
    <t>各事業有固-機械装置-雑機械-その他の設備(その他のもの)</t>
  </si>
  <si>
    <t>各事業有固-工具器具及び備品-工器備-測定工具・検査工具(電気・電子を利用するものを含む)</t>
  </si>
  <si>
    <t>各事業有固-工具器具及び備品-工器備-治具及び取付工具</t>
  </si>
  <si>
    <t>各事業有固-工具器具及び備品-工器備-ロール-金属圧延用のもの</t>
  </si>
  <si>
    <t>各事業有固-工具器具及び備品-工器備-ロール-なつ染・粉砕・混錬ロールその他のもの</t>
  </si>
  <si>
    <t>各事業有固-工具器具及び備品-工器備-型・鍛圧・打抜工具-ガラス成型用金型及び鋳造用型</t>
  </si>
  <si>
    <t>各事業有固-工具器具及び備品-工器備-型・鍛圧・打抜工具-その他のもの</t>
  </si>
  <si>
    <t>各事業有固-工具器具及び備品-工器備-切削工具</t>
  </si>
  <si>
    <t>各事業有固-工具器具及び備品-工器備-金属製柱及びカッペ</t>
  </si>
  <si>
    <t>各事業有固-工具器具及び備品-工器備-活字・活字に常用される金属-購入活字</t>
  </si>
  <si>
    <t>各事業有固-工具器具及び備品-工器備-活字・活字に常用される金属-自製活字</t>
  </si>
  <si>
    <t>各事業有固-工具器具及び備品-工器備-前掲以外-白金ノズル</t>
  </si>
  <si>
    <t>各事業有固-工具器具及び備品-工器備-前掲以外-その他のもの</t>
  </si>
  <si>
    <t>各事業有固-工具器具及び備品-工器備-前掲区分外-白金ノズル</t>
  </si>
  <si>
    <t>各事業有固-工具器具及び備品-工器備-前掲区分外-その他の主として金属製のもの</t>
  </si>
  <si>
    <t>各事業有固-工具器具及び備品-工器備-前掲区分外-その他のもの</t>
  </si>
  <si>
    <t>各事業有固-工具器具及び備品-工器備-家具・電気・ガス・家庭用品-事務机・いす(金属)</t>
  </si>
  <si>
    <t>各事業有固-工具器具及び備品-工器備-家具・電気・ガス・家庭用品-事務机・いす(その他)</t>
  </si>
  <si>
    <t>各事業有固-工具器具及び備品-工器備-家具・電気・ガス・家庭用品-応接セット(接客業用)</t>
  </si>
  <si>
    <t>各事業有固-工具器具及び備品-工器備-家具・電気・ガス・家庭用品-応接セット(その他)</t>
  </si>
  <si>
    <t>各事業有固-工具器具及び備品-工器備-家具・電気・ガス・家庭用品-ベット</t>
  </si>
  <si>
    <t>各事業有固-工具器具及び備品-工器備-家具・電気・ガス・家庭用品-児童用机及びいす</t>
  </si>
  <si>
    <t>各事業有固-工具器具及び備品-工器備-家具・電気・ガス・家庭用品-陳列棚(冷凍・冷蔵機付)</t>
  </si>
  <si>
    <t>各事業有固-工具器具及び備品-工器備-家具・電気・ガス・家庭用品-陳列棚(その他)</t>
  </si>
  <si>
    <t>各事業有固-工具器具及び備品-工器備-家具・電気・ガス・家庭用品-その他の家具(接客業用)</t>
  </si>
  <si>
    <t>各事業有固-工具器具及び備品-工器備-家具・電気・ガス・家庭用品-その他の家具(金属製)</t>
  </si>
  <si>
    <t>各事業有固-工具器具及び備品-工器備-家具・電気・ガス・家庭用品-その他の家具(その他)</t>
  </si>
  <si>
    <t>各事業有固-工具器具及び備品-工器備-家具・電気・ガス・家庭用品-その他の音響機器</t>
  </si>
  <si>
    <t>各事業有固-工具器具及び備品-工器備-家具・電気・ガス・家庭用品-冷房用又は暖房用機器</t>
  </si>
  <si>
    <t>各事業有固-工具器具及び備品-工器備-家具・電気・ガス・家庭用品-その他電気・ガス機器</t>
  </si>
  <si>
    <t>各事業有固-工具器具及び備品-工器備-家具・電気・ガス・家庭用品-氷冷蔵庫・冷蔵ストッカー</t>
  </si>
  <si>
    <t>各事業有固-工具器具及び備品-工器備-家具・電気・ガス・家庭用品-その他繊維製品</t>
  </si>
  <si>
    <t>各事業有固-工具器具及び備品-工器備-家具・電気・ガス・家庭用品-床用敷物(業務用)</t>
  </si>
  <si>
    <t>各事業有固-工具器具及び備品-工器備-家具・電気・ガス・家庭用品-床用敷物(その他)</t>
  </si>
  <si>
    <t>各事業有固-工具器具及び備品-工器備-家具・電気・ガス・家庭用品-室内装飾品(金属製)</t>
  </si>
  <si>
    <t>各事業有固-工具器具及び備品-工器備-家具・電気・ガス・家庭用品-室内装飾品(その他)</t>
  </si>
  <si>
    <t>各事業有固-工具器具及び備品-工器備-家具・電気・ガス・家庭用品-食事・厨房用品(陶磁器)</t>
  </si>
  <si>
    <t>各事業有固-工具器具及び備品-工器備-家具・電気・ガス・家庭用品-食事・厨房用品(その他)</t>
  </si>
  <si>
    <t>各事業有固-工具器具及び備品-工器備-家具・電気・ガス・家庭用品-その他のもの(金属製)</t>
  </si>
  <si>
    <t>各事業有固-工具器具及び備品-工器備-家具・電気・ガス・家庭用品-その他のもの(その他)</t>
  </si>
  <si>
    <t>各事業有固-工具器具及び備品-工器備-事務・通信機器-謄写機器・タイプライター(印書業用)</t>
  </si>
  <si>
    <t>各事業有固-工具器具及び備品-工器備-事務・通信機器-謄写機器・タイプライター(その他)</t>
  </si>
  <si>
    <t>各事業有固-工具器具及び備品-工器備-事務・通信機器-電子計算機(PC(サーバ用を除く))</t>
  </si>
  <si>
    <t>各事業有固-工具器具及び備品-工器備-事務・通信機器-電子計算機(その他)</t>
  </si>
  <si>
    <t>各事業有固-工具器具及び備品-工器備-事務・通信機器-複写機・計算機・金銭登録機</t>
  </si>
  <si>
    <t>各事業有固-工具器具及び備品-工器備-事務・通信機器-その他の事務機器</t>
  </si>
  <si>
    <t>各事業有固-工具器具及び備品-工器備-事務・通信機器-テレタイプライター及びファクシミリ</t>
  </si>
  <si>
    <t>各事業有固-工具器具及び備品-工器備-事務・通信機器-インターホーン及び放送用設備</t>
  </si>
  <si>
    <t>各事業有固-工具器具及び備品-工器備-事務・通信機器-その他の通信機器(デジタル構内交換)</t>
  </si>
  <si>
    <t>各事業有固-工具器具及び備品-工器備-事務・通信機器-その他の通信機器(その他のもの)</t>
  </si>
  <si>
    <t>各事業有固-工具器具及び備品-工器備-時計、試験機器及び測定機器-時計</t>
  </si>
  <si>
    <t>各事業有固-工具器具及び備品-工器備-時計、試験機器及び測定機器-度量衝器</t>
  </si>
  <si>
    <t>各事業有固-工具器具及び備品-工器備-時計、試験機器及び測定機器-試験又は測定機器</t>
  </si>
  <si>
    <t>各事業有固-工具器具及び備品-工器備-光学・写真製作機器-オペラグラス</t>
  </si>
  <si>
    <t>各事業有固-工具器具及び備品-工器備-光学・写真製作機器-カメラ、映画撮影機、映写機</t>
  </si>
  <si>
    <t>各事業有固-工具器具及び備品-工器備-光学・写真製作機器-その他の機器</t>
  </si>
  <si>
    <t>各事業有固-工具器具及び備品-工器備-看板・広告機器-看板、ネオンサイン及び気球</t>
  </si>
  <si>
    <t>各事業有固-工具器具及び備品-工器備-看板・広告機器-マネキン人形及び模型</t>
  </si>
  <si>
    <t>各事業有固-工具器具及び備品-工器備-看板・広告機器-その他のもの(主として金属製のもの)</t>
  </si>
  <si>
    <t>各事業有固-工具器具及び備品-工器備-看板・広告機器-その他のもの(その他のもの)</t>
  </si>
  <si>
    <t>各事業有固-工具器具及び備品-工器備-容器・金庫-ボンベ(溶接製のもの</t>
  </si>
  <si>
    <t>各事業有固-工具器具及び備品-工器備-容器・金庫-ボンベ(鍛造製)(塩素用のもの)</t>
  </si>
  <si>
    <t>各事業有固-工具器具及び備品-工器備-容器・金庫-ボンベ(鍛造製)(その他のもの)</t>
  </si>
  <si>
    <t>各事業有固-工具器具及び備品-工器備-容器・金庫-その他容器(コンテナ(長さが6m以上))</t>
  </si>
  <si>
    <t>各事業有固-工具器具及び備品-工器備-容器・金庫-その他の容器(金属製のもの)</t>
  </si>
  <si>
    <t>各事業有固-工具器具及び備品-工器備-容器・金庫-その他の容器(その他のもの)</t>
  </si>
  <si>
    <t>各事業有固-工具器具及び備品-工器備-容器・金庫-金庫(手さげ金庫)</t>
  </si>
  <si>
    <t>各事業有固-工具器具及び備品-工器備-容器・金庫-金庫(その他のもの)</t>
  </si>
  <si>
    <t>各事業有固-工具器具及び備品-工器備-医療機器-消毒殺菌用機器</t>
  </si>
  <si>
    <t>各事業有固-工具器具及び備品-工器備-医療機器-手術機器</t>
  </si>
  <si>
    <t>各事業有固-工具器具及び備品-工器備-医療機器-血液透析又は血しょう交換用機器</t>
  </si>
  <si>
    <t>各事業有固-工具器具及び備品-工器備-医療機器-その他の作動部分を有する機能回復訓練機器</t>
  </si>
  <si>
    <t>各事業有固-工具器具及び備品-工器備-医療機器-調剤機器</t>
  </si>
  <si>
    <t>各事業有固-工具器具及び備品-工器備-医療機器-歯科診療用ユニット</t>
  </si>
  <si>
    <t>各事業有固-工具器具及び備品-工器備-医療機器-光学検査機器(ファイバースコープ)</t>
  </si>
  <si>
    <t>各事業有固-工具器具及び備品-工器備-医療機器-光学検査機器(その他のもの)</t>
  </si>
  <si>
    <t>各事業有固-工具器具及び備品-工器備-医療機器-その他の電子装置を使用する機器(移動式)</t>
  </si>
  <si>
    <t>各事業有固-工具器具及び備品-工器備-医療機器-その他の電子装置を使用する機器(その他)</t>
  </si>
  <si>
    <t>各事業有固-工具器具及び備品-工器備-医療機器-その他のもの(陶磁器製又はガラス製のもの)</t>
  </si>
  <si>
    <t>各事業有固-工具器具及び備品-工器備-医療機器-その他のもの(主として金属製のもの)</t>
  </si>
  <si>
    <t>各事業有固-工具器具及び備品-工器備-医療機器-その他のもの(その他のもの)</t>
  </si>
  <si>
    <t>各事業有固-工具器具及び備品-工器備-前掲以外-映画フイルム・磁気テープ・レコード</t>
  </si>
  <si>
    <t>各事業有固-工具器具及び備品-工器備-前掲以外-シート及びロープ</t>
  </si>
  <si>
    <t>各事業有固-工具器具及び備品-工器備-前掲以外-きのこ栽培用ほだ木</t>
  </si>
  <si>
    <t>各事業有固-工具器具及び備品-工器備-前掲以外-漁具</t>
  </si>
  <si>
    <t>各事業有固-工具器具及び備品-工器備-前掲以外-葬儀用具</t>
  </si>
  <si>
    <t>各事業有固-工具器具及び備品-工器備-前掲以外-楽器</t>
  </si>
  <si>
    <t>各事業有固-工具器具及び備品-工器備-前掲以外-自動販売機(手動のものを含む。)</t>
  </si>
  <si>
    <t>各事業有固-工具器具及び備品-工器備-前掲以外-無人駐車管理装置</t>
  </si>
  <si>
    <t>各事業有固-工具器具及び備品-工器備-前掲以外-焼却炉</t>
  </si>
  <si>
    <t>各事業有固-工具器具及び備品-工器備-前掲以外-その他のもの(主として金属製のもの)</t>
  </si>
  <si>
    <t>各事業有固-工具器具及び備品-工器備-前掲以外-その他のもの(その他のもの)</t>
  </si>
  <si>
    <t>各事業有固-工具器具及び備品-運搬具-前掲以外-自動車-小型車(総排気量が0.66l以下)</t>
  </si>
  <si>
    <t>各事業有固-工具器具及び備品-運搬具-前掲以外-自動車-その他-貨物自動車-ダンプ式のもの</t>
  </si>
  <si>
    <t>各事業有固-工具器具及び備品-運搬具-前掲以外-自動車-その他-貨物自動車-その他のもの</t>
  </si>
  <si>
    <t>各事業有固-工具器具及び備品-運搬具-前掲以外-自動車-その他-報道通信用のもの</t>
  </si>
  <si>
    <t>各事業有固-工具器具及び備品-運搬具-前掲以外-自動車-その他-その他</t>
  </si>
  <si>
    <t>各事業有固-工具器具及び備品-運搬具-前掲以外-２輪又は３輪自動車</t>
  </si>
  <si>
    <t>各事業有固-工具器具及び備品-運搬具-前掲以外-自転車</t>
  </si>
  <si>
    <t>各事業有固-工具器具及び備品-運搬具-前掲以外-鉱山用人車、炭車、鉱車及び台車-金属製</t>
  </si>
  <si>
    <t>各事業有固-工具器具及び備品-運搬具-前掲以外-鉱山用人車、炭車、鉱車及び台車-その他</t>
  </si>
  <si>
    <t>各事業有固-工具器具及び備品-運搬具-前掲以外-フォークリフト</t>
  </si>
  <si>
    <t>各事業有固-工具器具及び備品-運搬具-前掲以外-トロッコ-金属製のもの</t>
  </si>
  <si>
    <t>各事業有固-工具器具及び備品-運搬具-前掲以外-トロッコ-その他のもの</t>
  </si>
  <si>
    <t>各事業有固-工具器具及び備品-運搬具-前掲以外-その他のもの-自走能力を有するもの</t>
  </si>
  <si>
    <t>各事業有固-工具器具及び備品-運搬具-前掲以外-その他のもの-その他のもの</t>
  </si>
  <si>
    <t>各事業有固-リース資産-土地</t>
  </si>
  <si>
    <t>各事業有固-リース資産-建物</t>
  </si>
  <si>
    <t>各事業有固-リース資産-構築物</t>
  </si>
  <si>
    <t>各事業有固-リース資産-車両</t>
  </si>
  <si>
    <t>各事業有固-リース資産-機械装置</t>
  </si>
  <si>
    <t>各事業有固-リース資産-工具器具及び備品</t>
  </si>
  <si>
    <t>各事業有固-雑施設</t>
  </si>
  <si>
    <t>A0100001</t>
  </si>
  <si>
    <t>鉄道無固-のれん</t>
  </si>
  <si>
    <t>A0500001</t>
  </si>
  <si>
    <t>鉄道無固-借地権</t>
  </si>
  <si>
    <t>A1000001</t>
  </si>
  <si>
    <t>鉄道無固-地上権</t>
  </si>
  <si>
    <t>A1500001</t>
  </si>
  <si>
    <t>鉄道無固-商標権</t>
  </si>
  <si>
    <t>A2000001</t>
  </si>
  <si>
    <t>鉄道無固-電話加入権</t>
  </si>
  <si>
    <t>A2500001</t>
  </si>
  <si>
    <t>鉄道無固-特許権</t>
  </si>
  <si>
    <t>A3000001</t>
  </si>
  <si>
    <t>鉄道無固-連絡通行施設利用権</t>
  </si>
  <si>
    <t>A3500001</t>
  </si>
  <si>
    <t>鉄道無固-電話施設利用権</t>
  </si>
  <si>
    <t>A4000001</t>
  </si>
  <si>
    <t>鉄道無固-電気供給施設利用権</t>
  </si>
  <si>
    <t>A4500001</t>
  </si>
  <si>
    <t>鉄道無固-ガス供給施設利用権</t>
  </si>
  <si>
    <t>A5000001</t>
  </si>
  <si>
    <t>鉄道無固-熱供給施設利用権</t>
  </si>
  <si>
    <t>A5500001</t>
  </si>
  <si>
    <t>鉄道無固-水道施設利用権</t>
  </si>
  <si>
    <t>A6000001</t>
  </si>
  <si>
    <t>鉄道無固-温泉利用権</t>
  </si>
  <si>
    <t>A6500001</t>
  </si>
  <si>
    <t>鉄道無固-水利権</t>
  </si>
  <si>
    <t>A7000001</t>
  </si>
  <si>
    <t>鉄道無固-ソフトウェア-販売目的</t>
  </si>
  <si>
    <t>A7000002</t>
  </si>
  <si>
    <t>鉄道無固-ソフトウェア-その他</t>
  </si>
  <si>
    <t>A7500001</t>
  </si>
  <si>
    <t>鉄道無固-リース資産</t>
  </si>
  <si>
    <t>A9900001</t>
  </si>
  <si>
    <t>鉄道無固-その他の施設利用権</t>
  </si>
  <si>
    <t>B0100001</t>
  </si>
  <si>
    <t>広告無固-のれん</t>
  </si>
  <si>
    <t>B0500001</t>
  </si>
  <si>
    <t>広告無固-借地権</t>
  </si>
  <si>
    <t>B1000001</t>
  </si>
  <si>
    <t>広告無固-地上権</t>
  </si>
  <si>
    <t>B1500001</t>
  </si>
  <si>
    <t>広告無固-商標権</t>
  </si>
  <si>
    <t>B2000001</t>
  </si>
  <si>
    <t>広告無固-電話加入権</t>
  </si>
  <si>
    <t>B2500001</t>
  </si>
  <si>
    <t>広告無固-特許権</t>
  </si>
  <si>
    <t>B3000001</t>
  </si>
  <si>
    <t>広告無固-連絡通行施設利用権</t>
  </si>
  <si>
    <t>B3500001</t>
  </si>
  <si>
    <t>広告無固-電話施設利用権</t>
  </si>
  <si>
    <t>B4000001</t>
  </si>
  <si>
    <t>広告無固-電気供給施設利用権</t>
  </si>
  <si>
    <t>B4500001</t>
  </si>
  <si>
    <t>広告無固-ガス供給施設利用権</t>
  </si>
  <si>
    <t>B5000001</t>
  </si>
  <si>
    <t>広告無固-熱供給施設利用権</t>
  </si>
  <si>
    <t>B5500001</t>
  </si>
  <si>
    <t>広告無固-水道施設利用権</t>
  </si>
  <si>
    <t>B6000001</t>
  </si>
  <si>
    <t>広告無固-温泉利用権</t>
  </si>
  <si>
    <t>B6500001</t>
  </si>
  <si>
    <t>広告無固-水利権</t>
  </si>
  <si>
    <t>B7000001</t>
  </si>
  <si>
    <t>広告無固-ソフトウェア-販売目的</t>
  </si>
  <si>
    <t>B7000002</t>
  </si>
  <si>
    <t>広告無固-ソフトウェア-その他</t>
  </si>
  <si>
    <t>B7500001</t>
  </si>
  <si>
    <t>広告無固-リース資産</t>
  </si>
  <si>
    <t>B9900001</t>
  </si>
  <si>
    <t>広告無固-その他の施設利用権</t>
  </si>
  <si>
    <t>C0100001</t>
  </si>
  <si>
    <t>不動産無固-のれん</t>
  </si>
  <si>
    <t>C0500001</t>
  </si>
  <si>
    <t>不動産無固-借地権</t>
  </si>
  <si>
    <t>C1000001</t>
  </si>
  <si>
    <t>不動産無固-地上権</t>
  </si>
  <si>
    <t>C1500001</t>
  </si>
  <si>
    <t>不動産無固-商標権</t>
  </si>
  <si>
    <t>C2000001</t>
  </si>
  <si>
    <t>不動産無固-電話加入権</t>
  </si>
  <si>
    <t>C2500001</t>
  </si>
  <si>
    <t>不動産無固-特許権</t>
  </si>
  <si>
    <t>C3000001</t>
  </si>
  <si>
    <t>不動産無固-連絡通行施設利用権</t>
  </si>
  <si>
    <t>C3500001</t>
  </si>
  <si>
    <t>不動産無固-電話施設利用権</t>
  </si>
  <si>
    <t>C4000001</t>
  </si>
  <si>
    <t>不動産無固-電気供給施設利用権</t>
  </si>
  <si>
    <t>C4500001</t>
  </si>
  <si>
    <t>不動産無固-ガス供給施設利用権</t>
  </si>
  <si>
    <t>C5000001</t>
  </si>
  <si>
    <t>不動産無固-熱供給施設利用権</t>
  </si>
  <si>
    <t>C5500001</t>
  </si>
  <si>
    <t>不動産無固-水道施設利用権</t>
  </si>
  <si>
    <t>C6000001</t>
  </si>
  <si>
    <t>不動産無固-温泉利用権</t>
  </si>
  <si>
    <t>C6500001</t>
  </si>
  <si>
    <t>不動産無固-水利権</t>
  </si>
  <si>
    <t>C7000001</t>
  </si>
  <si>
    <t>不動産無固-ソフトウェア-販売目的</t>
  </si>
  <si>
    <t>C7000002</t>
  </si>
  <si>
    <t>不動産無固-ソフトウェア-その他</t>
  </si>
  <si>
    <t>C7500001</t>
  </si>
  <si>
    <t>不動産無固-リース資産</t>
  </si>
  <si>
    <t>C9900001</t>
  </si>
  <si>
    <t>不動産無固-その他の施設利用権</t>
  </si>
  <si>
    <t>D0100001</t>
  </si>
  <si>
    <t>流通無固-のれん</t>
  </si>
  <si>
    <t>D0500001</t>
  </si>
  <si>
    <t>流通無固-借地権</t>
  </si>
  <si>
    <t>D1000001</t>
  </si>
  <si>
    <t>流通無固-地上権</t>
  </si>
  <si>
    <t>D1500001</t>
  </si>
  <si>
    <t>流通無固-商標権</t>
  </si>
  <si>
    <t>D2000001</t>
  </si>
  <si>
    <t>流通無固-電話加入権</t>
  </si>
  <si>
    <t>D2500001</t>
  </si>
  <si>
    <t>流通無固-特許権</t>
  </si>
  <si>
    <t>D3000001</t>
  </si>
  <si>
    <t>流通無固-連絡通行施設利用権</t>
  </si>
  <si>
    <t>D3500001</t>
  </si>
  <si>
    <t>流通無固-電話施設利用権</t>
  </si>
  <si>
    <t>D4000001</t>
  </si>
  <si>
    <t>流通無固-電気供給施設利用権</t>
  </si>
  <si>
    <t>D4500001</t>
  </si>
  <si>
    <t>流通無固-ガス供給施設利用権</t>
  </si>
  <si>
    <t>D5000001</t>
  </si>
  <si>
    <t>流通無固-熱供給施設利用権</t>
  </si>
  <si>
    <t>D5500001</t>
  </si>
  <si>
    <t>流通無固-水道施設利用権</t>
  </si>
  <si>
    <t>D6000001</t>
  </si>
  <si>
    <t>流通無固-温泉利用権</t>
  </si>
  <si>
    <t>D6500001</t>
  </si>
  <si>
    <t>流通無固-水利権</t>
  </si>
  <si>
    <t>D7000001</t>
  </si>
  <si>
    <t>流通無固-ソフトウェア-販売目的</t>
  </si>
  <si>
    <t>D7000002</t>
  </si>
  <si>
    <t>流通無固-ソフトウェア-その他</t>
  </si>
  <si>
    <t>D7500001</t>
  </si>
  <si>
    <t>流通無固-リース資産</t>
  </si>
  <si>
    <t>D9900001</t>
  </si>
  <si>
    <t>流通無固-その他の施設利用権</t>
  </si>
  <si>
    <t>E0100001</t>
  </si>
  <si>
    <t>サービス無固-のれん</t>
  </si>
  <si>
    <t>E0500001</t>
  </si>
  <si>
    <t>サービス無固-借地権</t>
  </si>
  <si>
    <t>E1000001</t>
  </si>
  <si>
    <t>サービス無固-地上権</t>
  </si>
  <si>
    <t>E1500001</t>
  </si>
  <si>
    <t>サービス無固-商標権</t>
  </si>
  <si>
    <t>E2000001</t>
  </si>
  <si>
    <t>サービス無固-電話加入権</t>
  </si>
  <si>
    <t>E2500001</t>
  </si>
  <si>
    <t>サービス無固-特許権</t>
  </si>
  <si>
    <t>E3000001</t>
  </si>
  <si>
    <t>サービス無固-連絡通行施設利用権</t>
  </si>
  <si>
    <t>E3500001</t>
  </si>
  <si>
    <t>サービス無固-電話施設利用権</t>
  </si>
  <si>
    <t>E4000001</t>
  </si>
  <si>
    <t>サービス無固-電気供給施設利用権</t>
  </si>
  <si>
    <t>E4500001</t>
  </si>
  <si>
    <t>サービス無固-ガス供給施設利用権</t>
  </si>
  <si>
    <t>E5000001</t>
  </si>
  <si>
    <t>サービス無固-熱供給施設利用権</t>
  </si>
  <si>
    <t>E5500001</t>
  </si>
  <si>
    <t>サービス無固-水道施設利用権</t>
  </si>
  <si>
    <t>E6000001</t>
  </si>
  <si>
    <t>サービス無固-温泉利用権</t>
  </si>
  <si>
    <t>E6500001</t>
  </si>
  <si>
    <t>サービス無固-水利権</t>
  </si>
  <si>
    <t>E7000001</t>
  </si>
  <si>
    <t>サービス無固-ソフトウェア-販売目的</t>
  </si>
  <si>
    <t>E7000002</t>
  </si>
  <si>
    <t>サービス無固-ソフトウェア-その他</t>
  </si>
  <si>
    <t>E7500001</t>
  </si>
  <si>
    <t>サービス無固-リース資産</t>
  </si>
  <si>
    <t>E9900001</t>
  </si>
  <si>
    <t>サービス無固-その他の施設利用権</t>
  </si>
  <si>
    <t>F0100001</t>
  </si>
  <si>
    <t>各事業無固-のれん</t>
  </si>
  <si>
    <t>F0500001</t>
  </si>
  <si>
    <t>F1000001</t>
  </si>
  <si>
    <t>F1500001</t>
  </si>
  <si>
    <t>F2000001</t>
  </si>
  <si>
    <t>各事業無固-電話加入権</t>
  </si>
  <si>
    <t>F2500001</t>
  </si>
  <si>
    <t>各事業無固-特許権</t>
  </si>
  <si>
    <t>F3000001</t>
  </si>
  <si>
    <t>各事業無固-連絡通行施設利用権</t>
  </si>
  <si>
    <t>F3500001</t>
  </si>
  <si>
    <t>各事業無固-電話施設利用権</t>
  </si>
  <si>
    <t>F4000001</t>
  </si>
  <si>
    <t>各事業無固-電気供給施設利用権</t>
  </si>
  <si>
    <t>F4500001</t>
  </si>
  <si>
    <t>各事業無固-ガス供給施設利用権</t>
  </si>
  <si>
    <t>F5000001</t>
  </si>
  <si>
    <t>各事業無固-熱供給施設利用権</t>
  </si>
  <si>
    <t>F5500001</t>
  </si>
  <si>
    <t>各事業無固-水道施設利用権</t>
  </si>
  <si>
    <t>F6000001</t>
  </si>
  <si>
    <t>各事業無固-温泉利用権</t>
  </si>
  <si>
    <t>F6500001</t>
  </si>
  <si>
    <t>各事業無固-水利権</t>
  </si>
  <si>
    <t>F7000001</t>
  </si>
  <si>
    <t>各事業無固-ソフトウェア-販売目的</t>
  </si>
  <si>
    <t>F7000002</t>
  </si>
  <si>
    <t>各事業無固-ソフトウェア-その他</t>
  </si>
  <si>
    <t>F7500001</t>
  </si>
  <si>
    <t>各事業無固-リース資産</t>
  </si>
  <si>
    <t>F9900001</t>
  </si>
  <si>
    <t>各事業無固-その他の施設利用権</t>
  </si>
  <si>
    <t>コード</t>
  </si>
  <si>
    <t>名称</t>
    <rPh sb="0" eb="2">
      <t>メイショウ</t>
    </rPh>
    <phoneticPr fontId="9"/>
  </si>
  <si>
    <t>鉄有固-構築物-橋りょう-その他のもの</t>
    <rPh sb="2" eb="3">
      <t>カタム</t>
    </rPh>
    <rPh sb="15" eb="16">
      <t>タ</t>
    </rPh>
    <phoneticPr fontId="5"/>
  </si>
  <si>
    <t>鉄有固-構築物-高架橋-鉄骨造り</t>
    <rPh sb="12" eb="14">
      <t>テッコツ</t>
    </rPh>
    <phoneticPr fontId="5"/>
  </si>
  <si>
    <t>鉄有固-構築物-高架橋-その他のもの</t>
    <rPh sb="8" eb="11">
      <t>コウカキョウ</t>
    </rPh>
    <rPh sb="14" eb="15">
      <t>タ</t>
    </rPh>
    <phoneticPr fontId="5"/>
  </si>
  <si>
    <t>鉄有固-構築物-トンネル-その他のもの</t>
    <rPh sb="15" eb="16">
      <t>タ</t>
    </rPh>
    <phoneticPr fontId="5"/>
  </si>
  <si>
    <t>鉄有固-構築物-線路諸設備-防護設備</t>
    <rPh sb="0" eb="1">
      <t>テツ</t>
    </rPh>
    <rPh sb="1" eb="2">
      <t>ユウ</t>
    </rPh>
    <rPh sb="2" eb="3">
      <t>カタム</t>
    </rPh>
    <rPh sb="14" eb="16">
      <t>ボウゴ</t>
    </rPh>
    <phoneticPr fontId="5"/>
  </si>
  <si>
    <t>鉄有固-構築物-線路諸設備-さくがき</t>
    <rPh sb="0" eb="1">
      <t>テツ</t>
    </rPh>
    <rPh sb="1" eb="2">
      <t>ユウ</t>
    </rPh>
    <rPh sb="2" eb="3">
      <t>カタム</t>
    </rPh>
    <phoneticPr fontId="5"/>
  </si>
  <si>
    <t>鉄有固-構築物-線路諸設備-雑設備</t>
    <rPh sb="0" eb="1">
      <t>テツ</t>
    </rPh>
    <phoneticPr fontId="5"/>
  </si>
  <si>
    <t>鉄有固-構築物-雑設備</t>
  </si>
  <si>
    <t>鉄有固-構築物-車庫工場-舗装道路・舗装路面-コンクリート敷、ブロック敷・煉瓦敷・石敷</t>
  </si>
  <si>
    <t>鉄有固-構築物-車庫工場-舗装道路・舗装路面-アスファルト敷又は木れんが敷のもの</t>
  </si>
  <si>
    <t>鉄有固-構築物-車庫工場-舗装道路・舗装路面-ビチュ－マルス敷のもの</t>
  </si>
  <si>
    <t>鉄有固-構築物-車庫工場-鉄骨鉄筋コンクリート造・鉄筋コンクリート造-へい</t>
  </si>
  <si>
    <t>鉄有固-構築物-車庫工場-鉄骨鉄筋コンクリート造・鉄筋コンクリート造-その他のもの</t>
  </si>
  <si>
    <t>鉄有固-構築物-車庫工場-コンクリート造・コンクリートブロック造-へい</t>
  </si>
  <si>
    <t>鉄有固-構築物-車庫工場-コンクリート造・コンクリートブロック造-その他のもの</t>
  </si>
  <si>
    <t>鉄有固-構築物-車庫工場-金属造-へい</t>
  </si>
  <si>
    <t>鉄有固-構築物-車庫工場-金属造-その他のもの</t>
  </si>
  <si>
    <t>鉄有固-構築物-車庫工場-木造-へい</t>
  </si>
  <si>
    <t>鉄有固-構築物-車庫工場-木造-その他のもの</t>
  </si>
  <si>
    <t>鉄有固-構築物-変電所-舗装道路・舗装路面-コンクリート敷、ブロック敷・煉瓦敷・石敷</t>
  </si>
  <si>
    <t>鉄有固-構築物-変電所-舗装道路・舗装路面-アスファルト敷又は木れんが敷のもの</t>
  </si>
  <si>
    <t>鉄有固-構築物-変電所-舗装道路・舗装路面-ビチュ－マルス敷のもの</t>
  </si>
  <si>
    <t>鉄有固-構築物-変電所-鉄骨鉄筋コンクリート造・鉄筋コンクリート造-へい</t>
  </si>
  <si>
    <t>鉄有固-構築物-変電所-鉄骨鉄筋コンクリート造・鉄筋コンクリート造-その他のもの</t>
  </si>
  <si>
    <t>鉄有固-構築物-変電所-コンクリート造・コンクリートブロック造-へい</t>
  </si>
  <si>
    <t>鉄有固-構築物-変電所-コンクリート造・コンクリートブロック造-その他のもの</t>
  </si>
  <si>
    <t>鉄有固-構築物-変電所-金属造-へい</t>
  </si>
  <si>
    <t>鉄有固-構築物-変電所-金属造-その他のもの</t>
  </si>
  <si>
    <t>鉄有固-構築物-変電所-木造-へい</t>
  </si>
  <si>
    <t>鉄有固-構築物-変電所-木造-その他のもの</t>
  </si>
  <si>
    <t>鉄有固-構築物-雑構築物-舗装道路・舗装路面-コンクリート敷、ブロック敷・煉瓦敷・石敷</t>
  </si>
  <si>
    <t>鉄有固-構築物-雑構築物-舗装道路・舗装路面-アスファルト敷又は木れんが敷のもの</t>
  </si>
  <si>
    <t>鉄有固-構築物-雑構築物-舗装道路・舗装路面-ビチュ－マルス敷のもの</t>
  </si>
  <si>
    <t>鉄有固-構築物-雑構築物-鉄骨鉄筋コンクリート造・鉄筋コンクリート造-へい</t>
  </si>
  <si>
    <t>鉄有固-構築物-雑構築物-鉄骨鉄筋コンクリート造・鉄筋コンクリート造-その他のもの</t>
  </si>
  <si>
    <t>鉄有固-構築物-雑構築物-鉄骨鉄筋コンクリート造・鉄筋コンクリート造-上水道、水そう</t>
  </si>
  <si>
    <t>鉄有固-構築物-雑構築物-コンクリート造・コンクリートブロック造-へい</t>
  </si>
  <si>
    <t>鉄有固-構築物-雑構築物-コンクリート造・コンクリートブロック造-その他のもの</t>
  </si>
  <si>
    <t>鉄有固-構築物-雑構築物-金属造-へい</t>
  </si>
  <si>
    <t>鉄有固-構築物-雑構築物-金属造-その他のもの</t>
  </si>
  <si>
    <t>鉄有固-構築物-雑構築物-金属造-水そう及び油そう－鋼鉄製のもの</t>
  </si>
  <si>
    <t>鉄有固-構築物-雑構築物-金属造-焼却炉</t>
    <rPh sb="17" eb="20">
      <t>ショウキャクロ</t>
    </rPh>
    <phoneticPr fontId="5"/>
  </si>
  <si>
    <t>鉄有固-構築物-雑構築物-金属造-送配管-鋼鉄製</t>
  </si>
  <si>
    <t>鉄有固-構築物-雑構築物-木造-へい</t>
  </si>
  <si>
    <t>鉄有固-構築物-雑構築物-木造-その他のもの</t>
  </si>
  <si>
    <t>鉄有固-構築物-雑構築物-前掲以外のもの-その他のもの</t>
  </si>
  <si>
    <t>鉄有固-構築物-雑構築物-緑化施設及び庭園-その他のもの</t>
  </si>
  <si>
    <t>鉄有固-構築物-雑構築物-広告用のもの-その他のもの</t>
    <rPh sb="13" eb="16">
      <t>コウコクヨウ</t>
    </rPh>
    <phoneticPr fontId="5"/>
  </si>
  <si>
    <t>鉄有固-車両-予備品</t>
    <rPh sb="7" eb="10">
      <t>ヨビヒン</t>
    </rPh>
    <phoneticPr fontId="5"/>
  </si>
  <si>
    <t>鉄有固-工具器具及び備品-工器備-美術品(非償却)</t>
    <rPh sb="17" eb="19">
      <t>ビジュツ</t>
    </rPh>
    <rPh sb="19" eb="20">
      <t>ヒン</t>
    </rPh>
    <rPh sb="21" eb="22">
      <t>ヒ</t>
    </rPh>
    <rPh sb="22" eb="24">
      <t>ショウキャク</t>
    </rPh>
    <phoneticPr fontId="5"/>
  </si>
  <si>
    <t>鉄有固-工具器具及び備品-工器備-美術品-償却(主として金属製のもの)</t>
    <rPh sb="17" eb="19">
      <t>ビジュツ</t>
    </rPh>
    <rPh sb="19" eb="20">
      <t>ヒン</t>
    </rPh>
    <phoneticPr fontId="5"/>
  </si>
  <si>
    <t>鉄有固-工具器具及び備品-工器備-美術品-償却(その他のもの)</t>
    <rPh sb="17" eb="19">
      <t>ビジュツ</t>
    </rPh>
    <rPh sb="19" eb="20">
      <t>ヒン</t>
    </rPh>
    <phoneticPr fontId="5"/>
  </si>
  <si>
    <t>鉄有固-工具器具及び備品-運搬具-前掲以外-乗合自動車</t>
    <rPh sb="17" eb="19">
      <t>ゼンケイ</t>
    </rPh>
    <rPh sb="19" eb="21">
      <t>イガイ</t>
    </rPh>
    <rPh sb="22" eb="27">
      <t>ノリアイジドウシャ</t>
    </rPh>
    <phoneticPr fontId="5"/>
  </si>
  <si>
    <t>鉄有固-案内宣伝施設 建物-簡易建物(木製主要柱が10cm角以下で土居、杉皮ぶき等)-社宅・寮建物</t>
    <rPh sb="47" eb="49">
      <t>タテモノ</t>
    </rPh>
    <phoneticPr fontId="5"/>
  </si>
  <si>
    <t>建設仮勘定-広告事業-ソフトウェア</t>
    <rPh sb="6" eb="8">
      <t>コウコク</t>
    </rPh>
    <phoneticPr fontId="5"/>
  </si>
  <si>
    <t>建設仮勘定-各事業関連-直接費</t>
    <rPh sb="6" eb="9">
      <t>カクジギョウ</t>
    </rPh>
    <rPh sb="9" eb="11">
      <t>カンレン</t>
    </rPh>
    <rPh sb="12" eb="14">
      <t>チョクセツ</t>
    </rPh>
    <rPh sb="14" eb="15">
      <t>ヒ</t>
    </rPh>
    <phoneticPr fontId="5"/>
  </si>
  <si>
    <t>建設仮勘定-各事業関連-間接費</t>
    <rPh sb="6" eb="9">
      <t>カクジギョウ</t>
    </rPh>
    <rPh sb="9" eb="11">
      <t>カンレン</t>
    </rPh>
    <rPh sb="12" eb="14">
      <t>カンセツ</t>
    </rPh>
    <rPh sb="14" eb="15">
      <t>ヒ</t>
    </rPh>
    <phoneticPr fontId="5"/>
  </si>
  <si>
    <t>各事業有固-建物付属設備-電気設備(照明設備を含む。)-蓄電池電源設備-雑建物</t>
    <rPh sb="36" eb="37">
      <t>ザツ</t>
    </rPh>
    <rPh sb="37" eb="39">
      <t>タテモノ</t>
    </rPh>
    <phoneticPr fontId="5"/>
  </si>
  <si>
    <t>各事業有固-工具器具及び備品-工器備-美術品(非償却)</t>
    <rPh sb="19" eb="21">
      <t>ビジュツ</t>
    </rPh>
    <rPh sb="21" eb="22">
      <t>ヒン</t>
    </rPh>
    <rPh sb="23" eb="24">
      <t>ヒ</t>
    </rPh>
    <rPh sb="24" eb="26">
      <t>ショウキャク</t>
    </rPh>
    <phoneticPr fontId="5"/>
  </si>
  <si>
    <t>各事業有固-工具器具及び備品-工器備-美術品-償却(主として金属製のもの)</t>
    <rPh sb="19" eb="21">
      <t>ビジュツ</t>
    </rPh>
    <rPh sb="21" eb="22">
      <t>ヒン</t>
    </rPh>
    <phoneticPr fontId="5"/>
  </si>
  <si>
    <t>各事業有固-工具器具及び備品-工器備-美術品-償却(その他のもの)</t>
    <rPh sb="19" eb="21">
      <t>ビジュツ</t>
    </rPh>
    <rPh sb="21" eb="22">
      <t>ヒン</t>
    </rPh>
    <phoneticPr fontId="5"/>
  </si>
  <si>
    <t>各事業無固-借地権</t>
    <rPh sb="6" eb="8">
      <t>シャクチ</t>
    </rPh>
    <rPh sb="8" eb="9">
      <t>ケン</t>
    </rPh>
    <phoneticPr fontId="5"/>
  </si>
  <si>
    <t>各事業無固-地上権</t>
    <rPh sb="6" eb="9">
      <t>チジョウケン</t>
    </rPh>
    <phoneticPr fontId="5"/>
  </si>
  <si>
    <t>各事業無固-商標権</t>
    <rPh sb="6" eb="9">
      <t>ショウヒョウケン</t>
    </rPh>
    <phoneticPr fontId="5"/>
  </si>
  <si>
    <t>率算出共通仮設費</t>
    <rPh sb="0" eb="1">
      <t>リツ</t>
    </rPh>
    <rPh sb="1" eb="3">
      <t>サンシュツ</t>
    </rPh>
    <rPh sb="3" eb="5">
      <t>キョウツウ</t>
    </rPh>
    <rPh sb="5" eb="7">
      <t>カセツ</t>
    </rPh>
    <rPh sb="7" eb="8">
      <t>ヒ</t>
    </rPh>
    <phoneticPr fontId="6"/>
  </si>
  <si>
    <t>式</t>
    <rPh sb="0" eb="1">
      <t>シキ</t>
    </rPh>
    <phoneticPr fontId="6"/>
  </si>
  <si>
    <t>式</t>
    <phoneticPr fontId="6"/>
  </si>
  <si>
    <t>□率算出共通仮設費</t>
    <rPh sb="1" eb="2">
      <t>リツ</t>
    </rPh>
    <rPh sb="2" eb="4">
      <t>サンシュツ</t>
    </rPh>
    <rPh sb="4" eb="6">
      <t>キョウツウ</t>
    </rPh>
    <rPh sb="6" eb="8">
      <t>カセツ</t>
    </rPh>
    <rPh sb="8" eb="9">
      <t>ヒ</t>
    </rPh>
    <phoneticPr fontId="6"/>
  </si>
  <si>
    <t>小々計</t>
    <rPh sb="0" eb="1">
      <t>ショウ</t>
    </rPh>
    <rPh sb="2" eb="3">
      <t>ケイ</t>
    </rPh>
    <phoneticPr fontId="6"/>
  </si>
  <si>
    <t>□積上げ共通仮設費</t>
    <rPh sb="1" eb="3">
      <t>ツミア</t>
    </rPh>
    <rPh sb="4" eb="6">
      <t>キョウツウ</t>
    </rPh>
    <rPh sb="6" eb="8">
      <t>カセツ</t>
    </rPh>
    <rPh sb="8" eb="9">
      <t>ヒ</t>
    </rPh>
    <phoneticPr fontId="6"/>
  </si>
  <si>
    <t>工事用電力電灯費</t>
    <rPh sb="0" eb="3">
      <t>コウジヨウ</t>
    </rPh>
    <rPh sb="3" eb="5">
      <t>デンリョク</t>
    </rPh>
    <rPh sb="5" eb="7">
      <t>デントウ</t>
    </rPh>
    <rPh sb="7" eb="8">
      <t>ヒ</t>
    </rPh>
    <phoneticPr fontId="6"/>
  </si>
  <si>
    <t>工事用用水費</t>
    <rPh sb="0" eb="3">
      <t>コウジヨウ</t>
    </rPh>
    <rPh sb="3" eb="5">
      <t>ヨウスイ</t>
    </rPh>
    <rPh sb="5" eb="6">
      <t>ヒ</t>
    </rPh>
    <phoneticPr fontId="6"/>
  </si>
  <si>
    <t>機械器具費</t>
    <rPh sb="0" eb="2">
      <t>キカイ</t>
    </rPh>
    <rPh sb="2" eb="4">
      <t>キグ</t>
    </rPh>
    <rPh sb="4" eb="5">
      <t>ヒ</t>
    </rPh>
    <phoneticPr fontId="6"/>
  </si>
  <si>
    <t>周辺安全対策費</t>
    <rPh sb="0" eb="2">
      <t>シュウヘン</t>
    </rPh>
    <rPh sb="2" eb="4">
      <t>アンゼン</t>
    </rPh>
    <rPh sb="4" eb="7">
      <t>タイサクヒ</t>
    </rPh>
    <phoneticPr fontId="6"/>
  </si>
  <si>
    <t>仮囲い</t>
    <rPh sb="0" eb="1">
      <t>カリ</t>
    </rPh>
    <rPh sb="1" eb="2">
      <t>カコ</t>
    </rPh>
    <phoneticPr fontId="6"/>
  </si>
  <si>
    <t>試験調査費</t>
    <rPh sb="0" eb="2">
      <t>シケン</t>
    </rPh>
    <rPh sb="2" eb="5">
      <t>チョウサヒ</t>
    </rPh>
    <phoneticPr fontId="6"/>
  </si>
  <si>
    <t>共通仮設材運搬費</t>
    <rPh sb="0" eb="2">
      <t>キョウツウ</t>
    </rPh>
    <rPh sb="2" eb="4">
      <t>カセツ</t>
    </rPh>
    <rPh sb="4" eb="5">
      <t>ザイ</t>
    </rPh>
    <rPh sb="5" eb="7">
      <t>ウンパン</t>
    </rPh>
    <rPh sb="7" eb="8">
      <t>ヒ</t>
    </rPh>
    <phoneticPr fontId="6"/>
  </si>
  <si>
    <t>警備員費</t>
    <rPh sb="0" eb="3">
      <t>ケイビイン</t>
    </rPh>
    <rPh sb="3" eb="4">
      <t>ヒ</t>
    </rPh>
    <phoneticPr fontId="6"/>
  </si>
  <si>
    <t>巡視員</t>
    <rPh sb="0" eb="3">
      <t>ジュンシイン</t>
    </rPh>
    <phoneticPr fontId="6"/>
  </si>
  <si>
    <t>小々計</t>
    <rPh sb="0" eb="2">
      <t>ショウショウ</t>
    </rPh>
    <rPh sb="2" eb="3">
      <t>ケイ</t>
    </rPh>
    <phoneticPr fontId="6"/>
  </si>
  <si>
    <t>内訳書起案日</t>
    <rPh sb="0" eb="3">
      <t>ウチワケショ</t>
    </rPh>
    <rPh sb="3" eb="5">
      <t>キアン</t>
    </rPh>
    <rPh sb="5" eb="6">
      <t>ビ</t>
    </rPh>
    <phoneticPr fontId="6"/>
  </si>
  <si>
    <t>元設計当社単価</t>
    <rPh sb="0" eb="1">
      <t>モト</t>
    </rPh>
    <rPh sb="1" eb="3">
      <t>セッケイ</t>
    </rPh>
    <rPh sb="3" eb="5">
      <t>トウシャ</t>
    </rPh>
    <rPh sb="5" eb="7">
      <t>タンカ</t>
    </rPh>
    <phoneticPr fontId="6"/>
  </si>
  <si>
    <t>直接仮設工事</t>
  </si>
  <si>
    <t>直接仮設工事</t>
    <rPh sb="0" eb="2">
      <t>チョクセツ</t>
    </rPh>
    <rPh sb="2" eb="4">
      <t>カセツ</t>
    </rPh>
    <rPh sb="4" eb="6">
      <t>コウジ</t>
    </rPh>
    <phoneticPr fontId="6"/>
  </si>
  <si>
    <t>変更諸経費表</t>
    <phoneticPr fontId="6"/>
  </si>
  <si>
    <t>工事名称：</t>
  </si>
  <si>
    <t>P-1</t>
  </si>
  <si>
    <t>落札率：R＝＞</t>
    <rPh sb="0" eb="2">
      <t>ラクサツ</t>
    </rPh>
    <rPh sb="2" eb="3">
      <t>リツ</t>
    </rPh>
    <phoneticPr fontId="6"/>
  </si>
  <si>
    <t>合 計</t>
  </si>
  <si>
    <t>純工事費　合計</t>
    <rPh sb="0" eb="1">
      <t>ジュン</t>
    </rPh>
    <rPh sb="1" eb="4">
      <t>コウジヒ</t>
    </rPh>
    <rPh sb="5" eb="7">
      <t>ゴウケイ</t>
    </rPh>
    <phoneticPr fontId="6"/>
  </si>
  <si>
    <t>現場管理費、一般管理費等　合計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rPh sb="13" eb="15">
      <t>ゴウケイ</t>
    </rPh>
    <phoneticPr fontId="6"/>
  </si>
  <si>
    <t>工期（Ｔ）か月--&gt;</t>
    <rPh sb="0" eb="2">
      <t>コウキ</t>
    </rPh>
    <rPh sb="6" eb="7">
      <t>ゲツ</t>
    </rPh>
    <phoneticPr fontId="6"/>
  </si>
  <si>
    <t>諸経費率--&gt;</t>
    <rPh sb="0" eb="3">
      <t>ショケイヒ</t>
    </rPh>
    <rPh sb="3" eb="4">
      <t>リツ</t>
    </rPh>
    <phoneticPr fontId="6"/>
  </si>
  <si>
    <t>共通仮設費　算出方法--&gt;</t>
    <phoneticPr fontId="6"/>
  </si>
  <si>
    <t>建物種別補正（"駅施設"又は"地上建物"を選択）--&gt;
※駅施設工事の場合は仮設建物費・動力用水光熱費分を補正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0">
      <t>エキ</t>
    </rPh>
    <rPh sb="30" eb="32">
      <t>シセツ</t>
    </rPh>
    <rPh sb="32" eb="34">
      <t>コウジ</t>
    </rPh>
    <rPh sb="35" eb="37">
      <t>バアイ</t>
    </rPh>
    <rPh sb="38" eb="40">
      <t>カセツ</t>
    </rPh>
    <rPh sb="40" eb="42">
      <t>タテモノ</t>
    </rPh>
    <rPh sb="42" eb="43">
      <t>ヒ</t>
    </rPh>
    <rPh sb="44" eb="46">
      <t>ドウリョク</t>
    </rPh>
    <rPh sb="46" eb="48">
      <t>ヨウスイ</t>
    </rPh>
    <rPh sb="48" eb="51">
      <t>コウネツヒ</t>
    </rPh>
    <rPh sb="51" eb="52">
      <t>ブン</t>
    </rPh>
    <rPh sb="53" eb="55">
      <t>ホセイ</t>
    </rPh>
    <phoneticPr fontId="6"/>
  </si>
  <si>
    <t>監督員事務所の有無--&gt;
駅施設の場合は"無し"地上建物で監督員事務所を設ける場合は"有り"</t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6"/>
  </si>
  <si>
    <t>　純　　工　　事　　費　　　　合　　計</t>
    <phoneticPr fontId="6"/>
  </si>
  <si>
    <t>(直接工事費 直接仮設・別途算定を含む)</t>
    <rPh sb="12" eb="14">
      <t>ベット</t>
    </rPh>
    <rPh sb="14" eb="16">
      <t>サンテイ</t>
    </rPh>
    <phoneticPr fontId="6"/>
  </si>
  <si>
    <t>(共通仮設費) 総計</t>
    <rPh sb="8" eb="10">
      <t>ソウケイ</t>
    </rPh>
    <phoneticPr fontId="6"/>
  </si>
  <si>
    <t>内、率算出による総額</t>
    <rPh sb="8" eb="9">
      <t>ソウ</t>
    </rPh>
    <phoneticPr fontId="6"/>
  </si>
  <si>
    <t>調整対象額</t>
    <rPh sb="0" eb="2">
      <t>チョウセイ</t>
    </rPh>
    <rPh sb="2" eb="4">
      <t>タイショウ</t>
    </rPh>
    <rPh sb="4" eb="5">
      <t>ガク</t>
    </rPh>
    <phoneticPr fontId="6"/>
  </si>
  <si>
    <t>変更対象直接工事費</t>
    <rPh sb="0" eb="2">
      <t>ヘンコウ</t>
    </rPh>
    <rPh sb="2" eb="4">
      <t>タイショウ</t>
    </rPh>
    <rPh sb="4" eb="6">
      <t>チョクセツ</t>
    </rPh>
    <rPh sb="6" eb="9">
      <t>コウジヒ</t>
    </rPh>
    <phoneticPr fontId="6"/>
  </si>
  <si>
    <t>率対象共通仮設費調整額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phoneticPr fontId="6"/>
  </si>
  <si>
    <t>率対象共通仮設費調整額　端数調整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rPh sb="12" eb="14">
      <t>ハスウ</t>
    </rPh>
    <rPh sb="14" eb="16">
      <t>チョウセイ</t>
    </rPh>
    <phoneticPr fontId="6"/>
  </si>
  <si>
    <t>率対象共通仮設費改計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カイケイ</t>
    </rPh>
    <phoneticPr fontId="6"/>
  </si>
  <si>
    <t>内、積上げによる総額</t>
    <rPh sb="0" eb="1">
      <t>ウチ</t>
    </rPh>
    <rPh sb="2" eb="3">
      <t>ツ</t>
    </rPh>
    <rPh sb="3" eb="4">
      <t>ア</t>
    </rPh>
    <rPh sb="8" eb="9">
      <t>ソウ</t>
    </rPh>
    <rPh sb="9" eb="10">
      <t>ガク</t>
    </rPh>
    <phoneticPr fontId="6"/>
  </si>
  <si>
    <t>内、リース料、借地借家料</t>
    <rPh sb="0" eb="1">
      <t>ウチ</t>
    </rPh>
    <rPh sb="5" eb="6">
      <t>リョウ</t>
    </rPh>
    <rPh sb="7" eb="9">
      <t>シャクチ</t>
    </rPh>
    <rPh sb="9" eb="11">
      <t>シャクヤ</t>
    </rPh>
    <rPh sb="11" eb="12">
      <t>リョウ</t>
    </rPh>
    <phoneticPr fontId="6"/>
  </si>
  <si>
    <t>内、残材処分費</t>
    <rPh sb="2" eb="3">
      <t>ザン</t>
    </rPh>
    <rPh sb="3" eb="4">
      <t>ザイ</t>
    </rPh>
    <rPh sb="4" eb="6">
      <t>ショブン</t>
    </rPh>
    <rPh sb="6" eb="7">
      <t>ヒ</t>
    </rPh>
    <phoneticPr fontId="6"/>
  </si>
  <si>
    <t>一般・その他等  直接工事費</t>
    <rPh sb="9" eb="11">
      <t>チョクセツ</t>
    </rPh>
    <rPh sb="11" eb="13">
      <t>コウジ</t>
    </rPh>
    <rPh sb="13" eb="14">
      <t>ヒ</t>
    </rPh>
    <phoneticPr fontId="6"/>
  </si>
  <si>
    <t>標準</t>
    <phoneticPr fontId="6"/>
  </si>
  <si>
    <t>(1)新築一般建築工事</t>
  </si>
  <si>
    <t>(2)改修一般建築工事</t>
  </si>
  <si>
    <t>(3)新築主体工事の鉄骨工事(機械費含む)</t>
    <phoneticPr fontId="6"/>
  </si>
  <si>
    <t>(4)改修主体工事の鉄骨工事(機械費含む)</t>
    <rPh sb="15" eb="17">
      <t>キカイ</t>
    </rPh>
    <rPh sb="17" eb="18">
      <t>ヒ</t>
    </rPh>
    <rPh sb="18" eb="19">
      <t>フク</t>
    </rPh>
    <phoneticPr fontId="6"/>
  </si>
  <si>
    <t>そ　の　他　工　事</t>
    <rPh sb="4" eb="5">
      <t>タ</t>
    </rPh>
    <rPh sb="6" eb="9">
      <t>コウジ</t>
    </rPh>
    <phoneticPr fontId="6"/>
  </si>
  <si>
    <t>(5)造園工事、舗装工事(排水除く)</t>
    <phoneticPr fontId="6"/>
  </si>
  <si>
    <t>(6)とりこわし工事(部分撤去、処分費除く)</t>
    <rPh sb="11" eb="13">
      <t>ブブン</t>
    </rPh>
    <rPh sb="13" eb="15">
      <t>テッキョ</t>
    </rPh>
    <phoneticPr fontId="6"/>
  </si>
  <si>
    <t>(7)特殊な室内装備品工事</t>
  </si>
  <si>
    <t>　家具・流し・実験台</t>
    <phoneticPr fontId="6"/>
  </si>
  <si>
    <t>　黒板・書架・ｶｳﾝﾀｰ・ﾛｰﾊﾟｰﾃｨｯｼｮﾝ等</t>
  </si>
  <si>
    <t>(8)プレハブ工事</t>
  </si>
  <si>
    <t>(9)</t>
    <phoneticPr fontId="6"/>
  </si>
  <si>
    <t>(10)</t>
    <phoneticPr fontId="6"/>
  </si>
  <si>
    <t>(11)近隣家屋調査及び地質調査</t>
  </si>
  <si>
    <t>除　外</t>
    <rPh sb="0" eb="1">
      <t>ジョ</t>
    </rPh>
    <rPh sb="2" eb="3">
      <t>ガイ</t>
    </rPh>
    <phoneticPr fontId="6"/>
  </si>
  <si>
    <t>(12)残材処分費及び残土処分費(直工費のみ)</t>
    <rPh sb="17" eb="18">
      <t>チョク</t>
    </rPh>
    <rPh sb="18" eb="19">
      <t>コウ</t>
    </rPh>
    <rPh sb="19" eb="20">
      <t>ヒ</t>
    </rPh>
    <phoneticPr fontId="6"/>
  </si>
  <si>
    <t>(12)残材処分費及び残土処分費(共通仮設)</t>
    <rPh sb="17" eb="19">
      <t>キョウツウ</t>
    </rPh>
    <rPh sb="19" eb="21">
      <t>カセツ</t>
    </rPh>
    <phoneticPr fontId="6"/>
  </si>
  <si>
    <t>(14)リース料,借地借家料(共通仮設）</t>
    <rPh sb="15" eb="17">
      <t>キョウツウ</t>
    </rPh>
    <rPh sb="17" eb="19">
      <t>カセツ</t>
    </rPh>
    <phoneticPr fontId="6"/>
  </si>
  <si>
    <t>(14)リース料,借地借家料(直工費のみ）</t>
    <rPh sb="15" eb="16">
      <t>チョク</t>
    </rPh>
    <rPh sb="16" eb="17">
      <t>コウ</t>
    </rPh>
    <rPh sb="17" eb="18">
      <t>ヒ</t>
    </rPh>
    <phoneticPr fontId="6"/>
  </si>
  <si>
    <t>(15)別途算定（直工費）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6"/>
  </si>
  <si>
    <t>(16）別途算定（共通仮設）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6"/>
  </si>
  <si>
    <t>(17)下水道使用料、各種負担金（共通仮設）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6"/>
  </si>
  <si>
    <t>現場管理費</t>
  </si>
  <si>
    <t>(3)新築主体工事の鉄骨工事</t>
  </si>
  <si>
    <t>(4)改修主体工事の鉄骨工事</t>
  </si>
  <si>
    <t>その他工事</t>
    <rPh sb="2" eb="3">
      <t>タ</t>
    </rPh>
    <rPh sb="3" eb="5">
      <t>コウジ</t>
    </rPh>
    <phoneticPr fontId="6"/>
  </si>
  <si>
    <t>(5)造園工事、舗装工事（排水除く）</t>
    <rPh sb="3" eb="5">
      <t>ゾウエン</t>
    </rPh>
    <rPh sb="5" eb="7">
      <t>コウジ</t>
    </rPh>
    <rPh sb="8" eb="10">
      <t>ホソウ</t>
    </rPh>
    <rPh sb="10" eb="12">
      <t>コウジ</t>
    </rPh>
    <rPh sb="13" eb="15">
      <t>ハイスイ</t>
    </rPh>
    <rPh sb="15" eb="16">
      <t>ノゾ</t>
    </rPh>
    <phoneticPr fontId="6"/>
  </si>
  <si>
    <t>(9)予備</t>
    <rPh sb="3" eb="5">
      <t>ヨビ</t>
    </rPh>
    <phoneticPr fontId="6"/>
  </si>
  <si>
    <t>(10)予備</t>
    <rPh sb="4" eb="6">
      <t>ヨビ</t>
    </rPh>
    <phoneticPr fontId="6"/>
  </si>
  <si>
    <t>除外</t>
    <phoneticPr fontId="6"/>
  </si>
  <si>
    <t>(12)～(17)</t>
    <phoneticPr fontId="6"/>
  </si>
  <si>
    <t>別途</t>
    <rPh sb="0" eb="2">
      <t>ベット</t>
    </rPh>
    <phoneticPr fontId="6"/>
  </si>
  <si>
    <t>（18）別途算定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6"/>
  </si>
  <si>
    <t>算定</t>
    <rPh sb="0" eb="2">
      <t>サンテイ</t>
    </rPh>
    <phoneticPr fontId="6"/>
  </si>
  <si>
    <t>※別途工事により算定</t>
    <rPh sb="1" eb="3">
      <t>ベット</t>
    </rPh>
    <phoneticPr fontId="6"/>
  </si>
  <si>
    <t>現場管理費計</t>
    <phoneticPr fontId="6"/>
  </si>
  <si>
    <t>調整対象額計</t>
    <rPh sb="0" eb="2">
      <t>チョウセイ</t>
    </rPh>
    <rPh sb="2" eb="4">
      <t>タイショウ</t>
    </rPh>
    <rPh sb="4" eb="5">
      <t>ガク</t>
    </rPh>
    <rPh sb="5" eb="6">
      <t>ケイ</t>
    </rPh>
    <phoneticPr fontId="6"/>
  </si>
  <si>
    <t>変更対象純工事費</t>
    <rPh sb="0" eb="2">
      <t>ヘンコウ</t>
    </rPh>
    <rPh sb="2" eb="4">
      <t>タイショウ</t>
    </rPh>
    <rPh sb="4" eb="5">
      <t>ジュン</t>
    </rPh>
    <rPh sb="5" eb="8">
      <t>コウジヒ</t>
    </rPh>
    <phoneticPr fontId="6"/>
  </si>
  <si>
    <t>現場管理費調整額</t>
    <rPh sb="0" eb="2">
      <t>ゲンバ</t>
    </rPh>
    <rPh sb="2" eb="5">
      <t>カンリヒ</t>
    </rPh>
    <rPh sb="5" eb="7">
      <t>チョウセイ</t>
    </rPh>
    <rPh sb="7" eb="8">
      <t>ガク</t>
    </rPh>
    <phoneticPr fontId="6"/>
  </si>
  <si>
    <t>現場管理費調整額端数調整</t>
    <rPh sb="0" eb="2">
      <t>ゲンバ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6"/>
  </si>
  <si>
    <t>現場管理費　改計</t>
    <rPh sb="6" eb="7">
      <t>カイ</t>
    </rPh>
    <phoneticPr fontId="6"/>
  </si>
  <si>
    <t>一般管理費等</t>
    <rPh sb="0" eb="2">
      <t>イッパン</t>
    </rPh>
    <rPh sb="2" eb="5">
      <t>カンリヒ</t>
    </rPh>
    <rPh sb="5" eb="6">
      <t>トウ</t>
    </rPh>
    <phoneticPr fontId="6"/>
  </si>
  <si>
    <t>対象工事原価→</t>
    <rPh sb="0" eb="2">
      <t>タイショウ</t>
    </rPh>
    <rPh sb="2" eb="4">
      <t>コウジ</t>
    </rPh>
    <rPh sb="4" eb="6">
      <t>ゲンカ</t>
    </rPh>
    <phoneticPr fontId="6"/>
  </si>
  <si>
    <t>別途算定　一般管理費等（土木工事）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rPh sb="12" eb="14">
      <t>ドボク</t>
    </rPh>
    <rPh sb="14" eb="16">
      <t>コウジ</t>
    </rPh>
    <phoneticPr fontId="6"/>
  </si>
  <si>
    <t>一般管理費等　計</t>
    <rPh sb="0" eb="2">
      <t>イッパン</t>
    </rPh>
    <rPh sb="2" eb="5">
      <t>カンリヒ</t>
    </rPh>
    <rPh sb="5" eb="6">
      <t>トウ</t>
    </rPh>
    <rPh sb="7" eb="8">
      <t>ケイ</t>
    </rPh>
    <phoneticPr fontId="6"/>
  </si>
  <si>
    <t>変更対象工事原価</t>
    <rPh sb="0" eb="2">
      <t>ヘンコウ</t>
    </rPh>
    <rPh sb="2" eb="4">
      <t>タイショウ</t>
    </rPh>
    <rPh sb="4" eb="6">
      <t>コウジ</t>
    </rPh>
    <rPh sb="6" eb="8">
      <t>ゲンカ</t>
    </rPh>
    <phoneticPr fontId="6"/>
  </si>
  <si>
    <t>一般管理費調整額</t>
    <rPh sb="0" eb="2">
      <t>イッパン</t>
    </rPh>
    <rPh sb="2" eb="5">
      <t>カンリヒ</t>
    </rPh>
    <rPh sb="5" eb="7">
      <t>チョウセイ</t>
    </rPh>
    <rPh sb="7" eb="8">
      <t>ガク</t>
    </rPh>
    <phoneticPr fontId="6"/>
  </si>
  <si>
    <t>一般管理費調整額端数調整</t>
    <rPh sb="0" eb="2">
      <t>イッパン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6"/>
  </si>
  <si>
    <t>一般管理費等　改計</t>
    <rPh sb="0" eb="2">
      <t>イッパン</t>
    </rPh>
    <rPh sb="2" eb="5">
      <t>カンリヒ</t>
    </rPh>
    <rPh sb="5" eb="6">
      <t>トウ</t>
    </rPh>
    <rPh sb="7" eb="8">
      <t>カイ</t>
    </rPh>
    <rPh sb="8" eb="9">
      <t>ケイ</t>
    </rPh>
    <phoneticPr fontId="6"/>
  </si>
  <si>
    <t>工事価格（①）</t>
    <rPh sb="0" eb="2">
      <t>コウジ</t>
    </rPh>
    <rPh sb="2" eb="4">
      <t>カカク</t>
    </rPh>
    <phoneticPr fontId="6"/>
  </si>
  <si>
    <t>千円未満切り捨て→</t>
    <rPh sb="0" eb="2">
      <t>センエン</t>
    </rPh>
    <rPh sb="2" eb="4">
      <t>ミマン</t>
    </rPh>
    <rPh sb="4" eb="5">
      <t>キ</t>
    </rPh>
    <rPh sb="6" eb="7">
      <t>ス</t>
    </rPh>
    <phoneticPr fontId="6"/>
  </si>
  <si>
    <t>内訳</t>
    <rPh sb="0" eb="2">
      <t>ウチワケ</t>
    </rPh>
    <phoneticPr fontId="6"/>
  </si>
  <si>
    <t>純工事費</t>
    <rPh sb="0" eb="1">
      <t>ジュン</t>
    </rPh>
    <rPh sb="1" eb="4">
      <t>コウジヒ</t>
    </rPh>
    <phoneticPr fontId="6"/>
  </si>
  <si>
    <t>現場管理費、一般管理費等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phoneticPr fontId="6"/>
  </si>
  <si>
    <t>変更工事価格（①×R）</t>
    <rPh sb="0" eb="2">
      <t>ヘンコウ</t>
    </rPh>
    <rPh sb="2" eb="4">
      <t>コウジ</t>
    </rPh>
    <rPh sb="4" eb="6">
      <t>カカク</t>
    </rPh>
    <phoneticPr fontId="6"/>
  </si>
  <si>
    <t>P-2</t>
    <phoneticPr fontId="6"/>
  </si>
  <si>
    <t>小数点以下1桁---&gt;</t>
    <rPh sb="0" eb="3">
      <t>ショウスウテン</t>
    </rPh>
    <rPh sb="3" eb="5">
      <t>イカ</t>
    </rPh>
    <rPh sb="6" eb="7">
      <t>ケタ</t>
    </rPh>
    <phoneticPr fontId="6"/>
  </si>
  <si>
    <t>改修・新営を選択---&gt;</t>
    <rPh sb="0" eb="2">
      <t>カイシュウ</t>
    </rPh>
    <rPh sb="3" eb="4">
      <t>シン</t>
    </rPh>
    <rPh sb="6" eb="8">
      <t>センタク</t>
    </rPh>
    <phoneticPr fontId="6"/>
  </si>
  <si>
    <t>前　払 い 有り・無し--&gt;</t>
    <phoneticPr fontId="6"/>
  </si>
  <si>
    <t>有り</t>
  </si>
  <si>
    <t>契約保証費 有り・無し--&gt;</t>
  </si>
  <si>
    <t>&lt;工期は2ヶ月以内&gt;</t>
    <rPh sb="1" eb="3">
      <t>コウキ</t>
    </rPh>
    <rPh sb="6" eb="7">
      <t>ゲツ</t>
    </rPh>
    <rPh sb="7" eb="9">
      <t>イナイ</t>
    </rPh>
    <phoneticPr fontId="6"/>
  </si>
  <si>
    <t>積上げ・率処理併用</t>
  </si>
  <si>
    <t>駅施設</t>
  </si>
  <si>
    <t>無し</t>
  </si>
  <si>
    <t>現場管理費より控除する専門・除外の工事費---&gt;</t>
    <phoneticPr fontId="6"/>
  </si>
  <si>
    <t>一般管理費等より控除する専門・除外の工事費---&gt;</t>
  </si>
  <si>
    <t>別途算定の現場管理費にかかる工事費--&gt;</t>
    <rPh sb="0" eb="2">
      <t>ベット</t>
    </rPh>
    <rPh sb="2" eb="4">
      <t>サンテイ</t>
    </rPh>
    <phoneticPr fontId="6"/>
  </si>
  <si>
    <t>内、別途算定による共仮費</t>
    <rPh sb="0" eb="1">
      <t>ウチ</t>
    </rPh>
    <rPh sb="2" eb="4">
      <t>ベット</t>
    </rPh>
    <rPh sb="4" eb="6">
      <t>サンテイ</t>
    </rPh>
    <rPh sb="9" eb="10">
      <t>トモ</t>
    </rPh>
    <rPh sb="10" eb="11">
      <t>カリ</t>
    </rPh>
    <rPh sb="11" eb="12">
      <t>ヒ</t>
    </rPh>
    <phoneticPr fontId="6"/>
  </si>
  <si>
    <t>　現場管理費・一般管理費等　　合　　計</t>
    <rPh sb="1" eb="3">
      <t>ゲンバ</t>
    </rPh>
    <rPh sb="3" eb="5">
      <t>カンリ</t>
    </rPh>
    <rPh sb="5" eb="6">
      <t>ヒ</t>
    </rPh>
    <rPh sb="7" eb="9">
      <t>イッパン</t>
    </rPh>
    <rPh sb="9" eb="11">
      <t>カンリ</t>
    </rPh>
    <rPh sb="11" eb="12">
      <t>ヒ</t>
    </rPh>
    <rPh sb="12" eb="13">
      <t>トウ</t>
    </rPh>
    <phoneticPr fontId="6"/>
  </si>
  <si>
    <t>(現 場 管 理 費)</t>
  </si>
  <si>
    <t>　　内、建築工事によるもの</t>
    <rPh sb="2" eb="3">
      <t>ウチ</t>
    </rPh>
    <rPh sb="4" eb="6">
      <t>ケンチク</t>
    </rPh>
    <rPh sb="6" eb="8">
      <t>コウジ</t>
    </rPh>
    <phoneticPr fontId="6"/>
  </si>
  <si>
    <t>[内率算出による標準額]</t>
  </si>
  <si>
    <t>[内固定率・除外（設備含む）の額]</t>
    <rPh sb="9" eb="11">
      <t>セツビ</t>
    </rPh>
    <rPh sb="11" eb="12">
      <t>フク</t>
    </rPh>
    <phoneticPr fontId="6"/>
  </si>
  <si>
    <t>内、別途算定によるもの</t>
    <rPh sb="0" eb="1">
      <t>ウチ</t>
    </rPh>
    <rPh sb="2" eb="4">
      <t>ベット</t>
    </rPh>
    <rPh sb="4" eb="6">
      <t>サンテイ</t>
    </rPh>
    <phoneticPr fontId="6"/>
  </si>
  <si>
    <t>(一 般 管 理 費 等)</t>
  </si>
  <si>
    <t>[内保証費等による補正額]</t>
  </si>
  <si>
    <t>[内固定率・除外の額]</t>
  </si>
  <si>
    <t>内、別途算定によるもの（補正額含む）</t>
    <rPh sb="0" eb="1">
      <t>ウチ</t>
    </rPh>
    <rPh sb="2" eb="4">
      <t>ベット</t>
    </rPh>
    <rPh sb="4" eb="6">
      <t>サンテイ</t>
    </rPh>
    <rPh sb="12" eb="14">
      <t>ホセイ</t>
    </rPh>
    <rPh sb="14" eb="15">
      <t>ガク</t>
    </rPh>
    <rPh sb="15" eb="16">
      <t>フク</t>
    </rPh>
    <phoneticPr fontId="6"/>
  </si>
  <si>
    <t>　工 　事 　価 　格</t>
    <phoneticPr fontId="6"/>
  </si>
  <si>
    <t>共 通 費 算 定 用 入 力 欄</t>
    <rPh sb="0" eb="1">
      <t>トモ</t>
    </rPh>
    <rPh sb="2" eb="3">
      <t>ツウ</t>
    </rPh>
    <phoneticPr fontId="6"/>
  </si>
  <si>
    <t>（緑色部分に入力）</t>
  </si>
  <si>
    <t>共 通 費 算 定 表 (0)</t>
    <rPh sb="0" eb="1">
      <t>トモ</t>
    </rPh>
    <rPh sb="2" eb="3">
      <t>ツウ</t>
    </rPh>
    <phoneticPr fontId="6"/>
  </si>
  <si>
    <t>P-2-2</t>
    <phoneticPr fontId="6"/>
  </si>
  <si>
    <t>※(0）及び(1)並びに(2) ---&gt; 新築・改修工事が一括発注の場合は、合計額に対する各々の率</t>
    <rPh sb="4" eb="5">
      <t>オヨ</t>
    </rPh>
    <rPh sb="9" eb="10">
      <t>ナラ</t>
    </rPh>
    <phoneticPr fontId="6"/>
  </si>
  <si>
    <t>補正率</t>
  </si>
  <si>
    <t>当該率</t>
    <phoneticPr fontId="6"/>
  </si>
  <si>
    <t>共通仮設費対象直接工事費</t>
    <rPh sb="0" eb="2">
      <t>キョウツウ</t>
    </rPh>
    <rPh sb="2" eb="4">
      <t>カセツ</t>
    </rPh>
    <rPh sb="4" eb="5">
      <t>ヒ</t>
    </rPh>
    <rPh sb="7" eb="9">
      <t>チョクセツ</t>
    </rPh>
    <phoneticPr fontId="6"/>
  </si>
  <si>
    <t>対象直接工事費（（12）(15)～（17）除く）</t>
    <rPh sb="2" eb="4">
      <t>チョクセツ</t>
    </rPh>
    <rPh sb="21" eb="22">
      <t>ノゾ</t>
    </rPh>
    <phoneticPr fontId="6"/>
  </si>
  <si>
    <t>-</t>
    <phoneticPr fontId="6"/>
  </si>
  <si>
    <t>(3)新築主体工事の鉄骨工事(機械費含む)</t>
  </si>
  <si>
    <t>(4)改修主体工事の鉄骨工事(機械費含む)</t>
  </si>
  <si>
    <t>(5)造園工事、舗装工事(排水除く)</t>
  </si>
  <si>
    <t>(6)とりこわし工事</t>
    <phoneticPr fontId="6"/>
  </si>
  <si>
    <t>除外</t>
  </si>
  <si>
    <t>（12）～(17) （但し(14)は率算出対象）</t>
    <rPh sb="11" eb="12">
      <t>タダ</t>
    </rPh>
    <rPh sb="18" eb="19">
      <t>リツ</t>
    </rPh>
    <rPh sb="19" eb="21">
      <t>サンシュツ</t>
    </rPh>
    <rPh sb="21" eb="23">
      <t>タイショウ</t>
    </rPh>
    <phoneticPr fontId="6"/>
  </si>
  <si>
    <t>共通仮設費 [内率算出による標準額]</t>
    <rPh sb="0" eb="2">
      <t>キョウツウ</t>
    </rPh>
    <rPh sb="2" eb="4">
      <t>カセツ</t>
    </rPh>
    <rPh sb="4" eb="5">
      <t>ヒ</t>
    </rPh>
    <rPh sb="7" eb="8">
      <t>ウチ</t>
    </rPh>
    <rPh sb="8" eb="9">
      <t>リツ</t>
    </rPh>
    <rPh sb="9" eb="11">
      <t>サンシュツ</t>
    </rPh>
    <rPh sb="14" eb="16">
      <t>ヒョウジュン</t>
    </rPh>
    <rPh sb="16" eb="17">
      <t>ガク</t>
    </rPh>
    <phoneticPr fontId="6"/>
  </si>
  <si>
    <t>当該率---&gt;</t>
    <phoneticPr fontId="6"/>
  </si>
  <si>
    <t>(6)とりこわし工事</t>
  </si>
  <si>
    <t>　家具・流し・実験台</t>
  </si>
  <si>
    <t>(9)</t>
  </si>
  <si>
    <t>(10)</t>
  </si>
  <si>
    <t>（12）～(17)</t>
  </si>
  <si>
    <t>共通仮設費 [内率算出による標準額]</t>
    <rPh sb="0" eb="2">
      <t>キョウツウ</t>
    </rPh>
    <rPh sb="2" eb="4">
      <t>カセツ</t>
    </rPh>
    <rPh sb="4" eb="5">
      <t>ヒ</t>
    </rPh>
    <phoneticPr fontId="6"/>
  </si>
  <si>
    <t>共 通 費 算 定 表 （既発注）(1)</t>
    <rPh sb="0" eb="1">
      <t>トモ</t>
    </rPh>
    <rPh sb="2" eb="3">
      <t>ツウ</t>
    </rPh>
    <rPh sb="13" eb="14">
      <t>キ</t>
    </rPh>
    <rPh sb="14" eb="16">
      <t>ハッチュウ</t>
    </rPh>
    <phoneticPr fontId="6"/>
  </si>
  <si>
    <t>P-3</t>
    <phoneticPr fontId="6"/>
  </si>
  <si>
    <t>※(1)及び(2) ---&gt; 新築・改修工事が一括発注の場合は、合計額に対する各々の率</t>
    <phoneticPr fontId="6"/>
  </si>
  <si>
    <t>現場管理費対象純工事費</t>
  </si>
  <si>
    <t>対象純工事費（（12）(15）(16））除く</t>
    <rPh sb="20" eb="21">
      <t>ノゾ</t>
    </rPh>
    <phoneticPr fontId="6"/>
  </si>
  <si>
    <t>(12)～（17）</t>
    <phoneticPr fontId="6"/>
  </si>
  <si>
    <t>現場管理費</t>
    <phoneticPr fontId="6"/>
  </si>
  <si>
    <t>(11)近隣家屋調査及び地質調査</t>
    <phoneticPr fontId="6"/>
  </si>
  <si>
    <t>別途算定</t>
    <rPh sb="0" eb="2">
      <t>ベット</t>
    </rPh>
    <rPh sb="2" eb="4">
      <t>サンテイ</t>
    </rPh>
    <phoneticPr fontId="6"/>
  </si>
  <si>
    <t>　※各別途工事により算定</t>
    <rPh sb="2" eb="3">
      <t>カク</t>
    </rPh>
    <rPh sb="3" eb="5">
      <t>ベット</t>
    </rPh>
    <rPh sb="5" eb="7">
      <t>コウジ</t>
    </rPh>
    <rPh sb="10" eb="12">
      <t>サンテイ</t>
    </rPh>
    <phoneticPr fontId="6"/>
  </si>
  <si>
    <t>現場管理費 合 計</t>
  </si>
  <si>
    <t>工事原価</t>
  </si>
  <si>
    <t>共 通 費 算 定 表（既発注） (2)</t>
    <rPh sb="0" eb="1">
      <t>トモ</t>
    </rPh>
    <rPh sb="2" eb="3">
      <t>ツウ</t>
    </rPh>
    <rPh sb="12" eb="13">
      <t>キ</t>
    </rPh>
    <rPh sb="13" eb="15">
      <t>ハッチュウ</t>
    </rPh>
    <phoneticPr fontId="6"/>
  </si>
  <si>
    <t>P-4</t>
    <phoneticPr fontId="6"/>
  </si>
  <si>
    <t>当該率</t>
  </si>
  <si>
    <t>建築工事原価</t>
  </si>
  <si>
    <t>土木工事原価（一括発注時）</t>
    <rPh sb="0" eb="2">
      <t>ドボク</t>
    </rPh>
    <rPh sb="2" eb="4">
      <t>コウジ</t>
    </rPh>
    <rPh sb="4" eb="6">
      <t>ゲンカ</t>
    </rPh>
    <rPh sb="7" eb="9">
      <t>イッカツ</t>
    </rPh>
    <rPh sb="9" eb="11">
      <t>ハッチュウ</t>
    </rPh>
    <rPh sb="11" eb="12">
      <t>ジ</t>
    </rPh>
    <phoneticPr fontId="6"/>
  </si>
  <si>
    <t>対象工事原価（下水道使用料・各種負担金を除く）</t>
    <rPh sb="14" eb="16">
      <t>カクシュ</t>
    </rPh>
    <rPh sb="16" eb="19">
      <t>フタンキン</t>
    </rPh>
    <phoneticPr fontId="6"/>
  </si>
  <si>
    <t>&lt;--前　払　い 有り・無し</t>
  </si>
  <si>
    <t>一般管理費等対象工事原価</t>
  </si>
  <si>
    <t>&lt;--契約保証費 有り・無し</t>
  </si>
  <si>
    <t>(1)建築工事～(14)借地借家料</t>
    <phoneticPr fontId="6"/>
  </si>
  <si>
    <t>補正</t>
    <rPh sb="1" eb="2">
      <t>セイ</t>
    </rPh>
    <phoneticPr fontId="6"/>
  </si>
  <si>
    <t>前　払　い無し時の補正</t>
  </si>
  <si>
    <t>契約保証費有り時の補正</t>
  </si>
  <si>
    <t>除外</t>
    <rPh sb="1" eb="2">
      <t>ガイ</t>
    </rPh>
    <phoneticPr fontId="6"/>
  </si>
  <si>
    <t>一般管理費等</t>
  </si>
  <si>
    <t>別途算定　一般管理費等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phoneticPr fontId="6"/>
  </si>
  <si>
    <t>　※土木工事により算定(補正額含む）</t>
    <rPh sb="2" eb="4">
      <t>ドボク</t>
    </rPh>
    <rPh sb="4" eb="6">
      <t>コウジ</t>
    </rPh>
    <rPh sb="9" eb="11">
      <t>サンテイ</t>
    </rPh>
    <rPh sb="12" eb="14">
      <t>ホセイ</t>
    </rPh>
    <rPh sb="14" eb="15">
      <t>ガク</t>
    </rPh>
    <rPh sb="15" eb="16">
      <t>フク</t>
    </rPh>
    <phoneticPr fontId="6"/>
  </si>
  <si>
    <t>一般管理費等 合 計</t>
  </si>
  <si>
    <t>工事価格</t>
  </si>
  <si>
    <t>調整 一般管理費等</t>
  </si>
  <si>
    <t>ﾏｲﾅｽ表示はERR-&gt;</t>
  </si>
  <si>
    <t>工事価格    改  計</t>
  </si>
  <si>
    <t>共通仮設費率  算定欄</t>
    <rPh sb="0" eb="2">
      <t>キョウツウ</t>
    </rPh>
    <rPh sb="2" eb="4">
      <t>カセツ</t>
    </rPh>
    <rPh sb="4" eb="5">
      <t>ヒ</t>
    </rPh>
    <rPh sb="5" eb="6">
      <t>リツ</t>
    </rPh>
    <rPh sb="8" eb="10">
      <t>サンテイ</t>
    </rPh>
    <rPh sb="10" eb="11">
      <t>ラン</t>
    </rPh>
    <phoneticPr fontId="6"/>
  </si>
  <si>
    <t>Ｔ（か月）</t>
    <rPh sb="3" eb="4">
      <t>ツキ</t>
    </rPh>
    <phoneticPr fontId="6"/>
  </si>
  <si>
    <t>新営建築工事</t>
    <rPh sb="0" eb="2">
      <t>シンエイ</t>
    </rPh>
    <rPh sb="2" eb="4">
      <t>ケンチク</t>
    </rPh>
    <rPh sb="4" eb="6">
      <t>コウジ</t>
    </rPh>
    <phoneticPr fontId="6"/>
  </si>
  <si>
    <t>共通仮設費率 算定式により算定される率</t>
    <rPh sb="0" eb="2">
      <t>キョウツウ</t>
    </rPh>
    <rPh sb="2" eb="4">
      <t>カセツ</t>
    </rPh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6"/>
  </si>
  <si>
    <t>Ｋｒ</t>
    <phoneticPr fontId="6"/>
  </si>
  <si>
    <t>直接工事費が１千万円以下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2">
      <t>イカ</t>
    </rPh>
    <phoneticPr fontId="6"/>
  </si>
  <si>
    <t>上限</t>
    <rPh sb="0" eb="2">
      <t>ジョウゲン</t>
    </rPh>
    <phoneticPr fontId="6"/>
  </si>
  <si>
    <t>下限</t>
    <rPh sb="0" eb="1">
      <t>シタ</t>
    </rPh>
    <rPh sb="1" eb="2">
      <t>カギ</t>
    </rPh>
    <phoneticPr fontId="6"/>
  </si>
  <si>
    <t>直接工事費が１千万円超える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1">
      <t>コ</t>
    </rPh>
    <phoneticPr fontId="6"/>
  </si>
  <si>
    <t>今回工事の共通仮設費率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phoneticPr fontId="6"/>
  </si>
  <si>
    <t>今回工事の共通仮設費率補正　（監督員事務所無し時の補正)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rPh sb="11" eb="13">
      <t>ホセイ</t>
    </rPh>
    <rPh sb="15" eb="17">
      <t>カントク</t>
    </rPh>
    <rPh sb="17" eb="18">
      <t>イン</t>
    </rPh>
    <rPh sb="18" eb="20">
      <t>ジム</t>
    </rPh>
    <rPh sb="20" eb="21">
      <t>ショ</t>
    </rPh>
    <rPh sb="21" eb="22">
      <t>ナシ</t>
    </rPh>
    <rPh sb="23" eb="24">
      <t>ジ</t>
    </rPh>
    <rPh sb="25" eb="27">
      <t>ホセイ</t>
    </rPh>
    <phoneticPr fontId="6"/>
  </si>
  <si>
    <t>改修建築工事</t>
    <rPh sb="0" eb="2">
      <t>カイシュウ</t>
    </rPh>
    <rPh sb="2" eb="4">
      <t>ケンチク</t>
    </rPh>
    <rPh sb="4" eb="6">
      <t>コウジ</t>
    </rPh>
    <phoneticPr fontId="6"/>
  </si>
  <si>
    <t>Ｋｒ</t>
  </si>
  <si>
    <t>直接工事費が5百万円以下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2">
      <t>イカ</t>
    </rPh>
    <phoneticPr fontId="6"/>
  </si>
  <si>
    <t>直接工事費が5百万円超える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1">
      <t>コ</t>
    </rPh>
    <phoneticPr fontId="6"/>
  </si>
  <si>
    <t>現場管理費率  算定欄</t>
    <rPh sb="5" eb="6">
      <t>リツ</t>
    </rPh>
    <rPh sb="8" eb="10">
      <t>サンテイ</t>
    </rPh>
    <rPh sb="10" eb="11">
      <t>ラン</t>
    </rPh>
    <phoneticPr fontId="6"/>
  </si>
  <si>
    <t>現場管理費率 算定式により算定される率</t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6"/>
  </si>
  <si>
    <t>Jo</t>
    <phoneticPr fontId="6"/>
  </si>
  <si>
    <t>純工事費が１千万円以下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1">
      <t>イカ</t>
    </rPh>
    <phoneticPr fontId="6"/>
  </si>
  <si>
    <t>純工事費が１千万円超える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0">
      <t>コ</t>
    </rPh>
    <phoneticPr fontId="6"/>
  </si>
  <si>
    <t>今回工事の現場管理費率</t>
    <rPh sb="0" eb="2">
      <t>コンカイ</t>
    </rPh>
    <rPh sb="2" eb="4">
      <t>コウジ</t>
    </rPh>
    <rPh sb="5" eb="7">
      <t>ゲンバ</t>
    </rPh>
    <rPh sb="7" eb="10">
      <t>カンリヒ</t>
    </rPh>
    <rPh sb="10" eb="11">
      <t>リツ</t>
    </rPh>
    <phoneticPr fontId="6"/>
  </si>
  <si>
    <t>純工事費が5百万円以下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1">
      <t>イカ</t>
    </rPh>
    <phoneticPr fontId="6"/>
  </si>
  <si>
    <t>純工事費が5百万円超える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0">
      <t>コ</t>
    </rPh>
    <phoneticPr fontId="6"/>
  </si>
  <si>
    <t>一般管理費等率  算定欄</t>
    <rPh sb="0" eb="2">
      <t>イッパン</t>
    </rPh>
    <rPh sb="5" eb="6">
      <t>トウ</t>
    </rPh>
    <rPh sb="6" eb="7">
      <t>リツ</t>
    </rPh>
    <rPh sb="9" eb="11">
      <t>サンテイ</t>
    </rPh>
    <rPh sb="11" eb="12">
      <t>ラン</t>
    </rPh>
    <phoneticPr fontId="6"/>
  </si>
  <si>
    <t>一般管理費等率 算定式により算定される率</t>
    <rPh sb="0" eb="2">
      <t>イッパン</t>
    </rPh>
    <rPh sb="5" eb="6">
      <t>トウ</t>
    </rPh>
    <rPh sb="6" eb="7">
      <t>リツ</t>
    </rPh>
    <rPh sb="8" eb="10">
      <t>サンテイ</t>
    </rPh>
    <rPh sb="10" eb="11">
      <t>シキ</t>
    </rPh>
    <rPh sb="14" eb="16">
      <t>サンテイ</t>
    </rPh>
    <rPh sb="19" eb="20">
      <t>リツ</t>
    </rPh>
    <phoneticPr fontId="6"/>
  </si>
  <si>
    <t>Gp</t>
    <phoneticPr fontId="6"/>
  </si>
  <si>
    <t>工事原価が5百万円以下</t>
    <rPh sb="0" eb="2">
      <t>コウジ</t>
    </rPh>
    <rPh sb="2" eb="4">
      <t>ゲンカ</t>
    </rPh>
    <rPh sb="6" eb="7">
      <t>ヒャク</t>
    </rPh>
    <rPh sb="8" eb="9">
      <t>エン</t>
    </rPh>
    <rPh sb="9" eb="11">
      <t>イカ</t>
    </rPh>
    <phoneticPr fontId="6"/>
  </si>
  <si>
    <t>工事原価が30億円を超える</t>
    <rPh sb="0" eb="2">
      <t>コウジ</t>
    </rPh>
    <rPh sb="2" eb="4">
      <t>ゲンカ</t>
    </rPh>
    <rPh sb="7" eb="9">
      <t>オクエン</t>
    </rPh>
    <rPh sb="10" eb="11">
      <t>コ</t>
    </rPh>
    <phoneticPr fontId="6"/>
  </si>
  <si>
    <t>今回工事の一般管理費等率</t>
    <rPh sb="0" eb="2">
      <t>コンカイ</t>
    </rPh>
    <rPh sb="2" eb="4">
      <t>コウジ</t>
    </rPh>
    <rPh sb="5" eb="7">
      <t>イッパン</t>
    </rPh>
    <rPh sb="7" eb="10">
      <t>カンリヒ</t>
    </rPh>
    <rPh sb="10" eb="11">
      <t>トウ</t>
    </rPh>
    <rPh sb="11" eb="12">
      <t>リツ</t>
    </rPh>
    <phoneticPr fontId="6"/>
  </si>
  <si>
    <t>P-5</t>
    <phoneticPr fontId="6"/>
  </si>
  <si>
    <t>次回　変更計上金額</t>
    <rPh sb="0" eb="2">
      <t>ジカイ</t>
    </rPh>
    <rPh sb="3" eb="5">
      <t>ヘンコウ</t>
    </rPh>
    <rPh sb="5" eb="7">
      <t>ケイジョウ</t>
    </rPh>
    <rPh sb="7" eb="9">
      <t>キンガク</t>
    </rPh>
    <phoneticPr fontId="6"/>
  </si>
  <si>
    <t>内、リース料</t>
    <rPh sb="0" eb="1">
      <t>ウチ</t>
    </rPh>
    <rPh sb="5" eb="6">
      <t>リョウ</t>
    </rPh>
    <phoneticPr fontId="6"/>
  </si>
  <si>
    <t>(14)リース料,借地借家料(直工のみ）</t>
    <rPh sb="15" eb="16">
      <t>チョク</t>
    </rPh>
    <rPh sb="16" eb="17">
      <t>コウ</t>
    </rPh>
    <phoneticPr fontId="6"/>
  </si>
  <si>
    <t>P-5-2</t>
    <phoneticPr fontId="6"/>
  </si>
  <si>
    <t>対象直接工事費（（12）～（17）除く）</t>
    <rPh sb="2" eb="4">
      <t>チョクセツ</t>
    </rPh>
    <rPh sb="17" eb="18">
      <t>ノゾ</t>
    </rPh>
    <phoneticPr fontId="6"/>
  </si>
  <si>
    <t>（12）～(17)(但し(14)は率算出対象）</t>
    <rPh sb="10" eb="11">
      <t>タダ</t>
    </rPh>
    <rPh sb="17" eb="18">
      <t>リツ</t>
    </rPh>
    <rPh sb="18" eb="20">
      <t>サンシュツ</t>
    </rPh>
    <rPh sb="20" eb="22">
      <t>タイショウ</t>
    </rPh>
    <phoneticPr fontId="6"/>
  </si>
  <si>
    <t>共 通 費 算 定 表 合 計(1)</t>
    <rPh sb="0" eb="1">
      <t>トモ</t>
    </rPh>
    <rPh sb="2" eb="3">
      <t>ツウ</t>
    </rPh>
    <rPh sb="12" eb="13">
      <t>ゴウ</t>
    </rPh>
    <rPh sb="14" eb="15">
      <t>ケイ</t>
    </rPh>
    <phoneticPr fontId="6"/>
  </si>
  <si>
    <t>P-6</t>
    <phoneticPr fontId="6"/>
  </si>
  <si>
    <t>共 通 費 算 定 表 (2)</t>
    <rPh sb="0" eb="1">
      <t>トモ</t>
    </rPh>
    <rPh sb="2" eb="3">
      <t>ツウ</t>
    </rPh>
    <phoneticPr fontId="6"/>
  </si>
  <si>
    <t>P-7</t>
    <phoneticPr fontId="6"/>
  </si>
  <si>
    <t>共通費集計表</t>
  </si>
  <si>
    <t>変更諸経費表2020.xls</t>
    <phoneticPr fontId="6"/>
  </si>
  <si>
    <t>変更共通費集計表</t>
    <phoneticPr fontId="6"/>
  </si>
  <si>
    <t>今回変更の工事シート→</t>
    <phoneticPr fontId="6"/>
  </si>
  <si>
    <t>既発注の工事シート→</t>
    <rPh sb="0" eb="1">
      <t>キ</t>
    </rPh>
    <rPh sb="1" eb="3">
      <t>ハッチュウ</t>
    </rPh>
    <rPh sb="4" eb="6">
      <t>コウジ</t>
    </rPh>
    <phoneticPr fontId="6"/>
  </si>
  <si>
    <t>改修</t>
  </si>
  <si>
    <t>直</t>
    <rPh sb="0" eb="1">
      <t>チョク</t>
    </rPh>
    <phoneticPr fontId="6"/>
  </si>
  <si>
    <t>借地(共通)</t>
    <rPh sb="0" eb="2">
      <t>シャクチ</t>
    </rPh>
    <rPh sb="3" eb="5">
      <t>キョウツウ</t>
    </rPh>
    <phoneticPr fontId="6"/>
  </si>
  <si>
    <t>処(共通)</t>
    <rPh sb="0" eb="1">
      <t>トコロ</t>
    </rPh>
    <rPh sb="2" eb="4">
      <t>キョウツウ</t>
    </rPh>
    <phoneticPr fontId="6"/>
  </si>
  <si>
    <t>新鉄</t>
    <rPh sb="0" eb="1">
      <t>シン</t>
    </rPh>
    <rPh sb="1" eb="2">
      <t>テツ</t>
    </rPh>
    <phoneticPr fontId="6"/>
  </si>
  <si>
    <t>改鉄</t>
    <rPh sb="0" eb="1">
      <t>カイ</t>
    </rPh>
    <rPh sb="1" eb="2">
      <t>テツ</t>
    </rPh>
    <phoneticPr fontId="6"/>
  </si>
  <si>
    <t>屋</t>
    <rPh sb="0" eb="1">
      <t>オク</t>
    </rPh>
    <phoneticPr fontId="6"/>
  </si>
  <si>
    <t>壊</t>
    <rPh sb="0" eb="1">
      <t>コワ</t>
    </rPh>
    <phoneticPr fontId="6"/>
  </si>
  <si>
    <t>特</t>
    <rPh sb="0" eb="1">
      <t>トク</t>
    </rPh>
    <phoneticPr fontId="6"/>
  </si>
  <si>
    <t>調</t>
    <rPh sb="0" eb="1">
      <t>チョウ</t>
    </rPh>
    <phoneticPr fontId="6"/>
  </si>
  <si>
    <t>処</t>
    <rPh sb="0" eb="1">
      <t>トコロ</t>
    </rPh>
    <phoneticPr fontId="6"/>
  </si>
  <si>
    <t>(14)リース料,借地借家料（直工費のみ）</t>
    <rPh sb="15" eb="16">
      <t>チョク</t>
    </rPh>
    <rPh sb="16" eb="17">
      <t>コウ</t>
    </rPh>
    <rPh sb="17" eb="18">
      <t>ヒ</t>
    </rPh>
    <phoneticPr fontId="6"/>
  </si>
  <si>
    <t>借地(直工)</t>
    <rPh sb="0" eb="2">
      <t>シャクチ</t>
    </rPh>
    <rPh sb="3" eb="5">
      <t>チョッコウ</t>
    </rPh>
    <phoneticPr fontId="6"/>
  </si>
  <si>
    <t>負担金</t>
    <rPh sb="0" eb="3">
      <t>フタンキン</t>
    </rPh>
    <phoneticPr fontId="6"/>
  </si>
  <si>
    <t>工事2</t>
  </si>
  <si>
    <t>工事1</t>
  </si>
  <si>
    <t>現場管理費</t>
    <rPh sb="0" eb="2">
      <t>ゲンバ</t>
    </rPh>
    <rPh sb="2" eb="5">
      <t>カンリヒ</t>
    </rPh>
    <phoneticPr fontId="8"/>
  </si>
  <si>
    <t>一般管理費等</t>
    <rPh sb="0" eb="2">
      <t>イッパン</t>
    </rPh>
    <rPh sb="2" eb="5">
      <t>カンリヒ</t>
    </rPh>
    <rPh sb="5" eb="6">
      <t>トウ</t>
    </rPh>
    <phoneticPr fontId="8"/>
  </si>
  <si>
    <t>　計</t>
    <rPh sb="1" eb="2">
      <t>ケイ</t>
    </rPh>
    <phoneticPr fontId="8"/>
  </si>
  <si>
    <t>合　計</t>
    <rPh sb="0" eb="1">
      <t>ゴウ</t>
    </rPh>
    <rPh sb="2" eb="3">
      <t>ケイ</t>
    </rPh>
    <phoneticPr fontId="7"/>
  </si>
  <si>
    <t>直</t>
    <rPh sb="0" eb="1">
      <t>チョク</t>
    </rPh>
    <phoneticPr fontId="7"/>
  </si>
  <si>
    <t>積</t>
    <rPh sb="0" eb="1">
      <t>ツ</t>
    </rPh>
    <phoneticPr fontId="7"/>
  </si>
  <si>
    <t>借地(共通)</t>
    <rPh sb="0" eb="2">
      <t>シャクチ</t>
    </rPh>
    <rPh sb="3" eb="5">
      <t>キョウツウ</t>
    </rPh>
    <phoneticPr fontId="7"/>
  </si>
  <si>
    <t>処(共通)</t>
    <rPh sb="0" eb="1">
      <t>トコロ</t>
    </rPh>
    <rPh sb="2" eb="4">
      <t>キョウツウ</t>
    </rPh>
    <phoneticPr fontId="7"/>
  </si>
  <si>
    <t>新鉄</t>
    <rPh sb="0" eb="1">
      <t>シン</t>
    </rPh>
    <rPh sb="1" eb="2">
      <t>テツ</t>
    </rPh>
    <phoneticPr fontId="7"/>
  </si>
  <si>
    <t>改鉄</t>
    <rPh sb="0" eb="1">
      <t>カイ</t>
    </rPh>
    <rPh sb="1" eb="2">
      <t>テツ</t>
    </rPh>
    <phoneticPr fontId="7"/>
  </si>
  <si>
    <t>屋</t>
    <rPh sb="0" eb="1">
      <t>オク</t>
    </rPh>
    <phoneticPr fontId="7"/>
  </si>
  <si>
    <t>壊</t>
    <rPh sb="0" eb="1">
      <t>コワ</t>
    </rPh>
    <phoneticPr fontId="7"/>
  </si>
  <si>
    <t>特</t>
    <rPh sb="0" eb="1">
      <t>トク</t>
    </rPh>
    <phoneticPr fontId="7"/>
  </si>
  <si>
    <t>プ</t>
  </si>
  <si>
    <t>調</t>
    <rPh sb="0" eb="1">
      <t>チョウ</t>
    </rPh>
    <phoneticPr fontId="7"/>
  </si>
  <si>
    <t>処</t>
    <rPh sb="0" eb="1">
      <t>トコロ</t>
    </rPh>
    <phoneticPr fontId="7"/>
  </si>
  <si>
    <t>借地(直工)</t>
    <rPh sb="0" eb="2">
      <t>シャクチ</t>
    </rPh>
    <rPh sb="3" eb="5">
      <t>チョッコウ</t>
    </rPh>
    <phoneticPr fontId="7"/>
  </si>
  <si>
    <t>負担金</t>
    <rPh sb="0" eb="3">
      <t>フタンキン</t>
    </rPh>
    <phoneticPr fontId="7"/>
  </si>
  <si>
    <t>○○工事</t>
    <phoneticPr fontId="6"/>
  </si>
  <si>
    <t>シート番号</t>
    <rPh sb="3" eb="5">
      <t>バンゴウ</t>
    </rPh>
    <phoneticPr fontId="6"/>
  </si>
  <si>
    <t>財務分類</t>
    <rPh sb="0" eb="2">
      <t>ザイム</t>
    </rPh>
    <rPh sb="2" eb="4">
      <t>ブンルイ</t>
    </rPh>
    <phoneticPr fontId="6"/>
  </si>
  <si>
    <t>予算掌理部</t>
    <rPh sb="0" eb="2">
      <t>ヨサン</t>
    </rPh>
    <rPh sb="2" eb="4">
      <t>ショウリ</t>
    </rPh>
    <rPh sb="4" eb="5">
      <t>ブ</t>
    </rPh>
    <phoneticPr fontId="6"/>
  </si>
  <si>
    <t>資産クラス</t>
    <rPh sb="0" eb="2">
      <t>シサン</t>
    </rPh>
    <phoneticPr fontId="6"/>
  </si>
  <si>
    <t>番号</t>
    <rPh sb="0" eb="2">
      <t>バンゴウ</t>
    </rPh>
    <phoneticPr fontId="65"/>
  </si>
  <si>
    <t>コード</t>
    <phoneticPr fontId="65"/>
  </si>
  <si>
    <t>名称</t>
    <rPh sb="0" eb="2">
      <t>メイショウ</t>
    </rPh>
    <phoneticPr fontId="65"/>
  </si>
  <si>
    <t>コード&amp;名称</t>
    <rPh sb="4" eb="6">
      <t>メイショウ</t>
    </rPh>
    <phoneticPr fontId="65"/>
  </si>
  <si>
    <t>資産クラス</t>
    <rPh sb="0" eb="2">
      <t>シサン</t>
    </rPh>
    <phoneticPr fontId="65"/>
  </si>
  <si>
    <t>勘定科目（鉄有固-建物）</t>
    <rPh sb="0" eb="2">
      <t>カンジョウ</t>
    </rPh>
    <rPh sb="2" eb="4">
      <t>カモク</t>
    </rPh>
    <rPh sb="5" eb="6">
      <t>テツ</t>
    </rPh>
    <rPh sb="6" eb="7">
      <t>アリ</t>
    </rPh>
    <rPh sb="7" eb="8">
      <t>コ</t>
    </rPh>
    <rPh sb="9" eb="11">
      <t>タテモノ</t>
    </rPh>
    <phoneticPr fontId="65"/>
  </si>
  <si>
    <t>勘定科目（鉄有固-構築物）</t>
    <rPh sb="0" eb="2">
      <t>カンジョウ</t>
    </rPh>
    <rPh sb="2" eb="4">
      <t>カモク</t>
    </rPh>
    <rPh sb="5" eb="6">
      <t>テツ</t>
    </rPh>
    <rPh sb="6" eb="7">
      <t>アリ</t>
    </rPh>
    <rPh sb="7" eb="8">
      <t>コ</t>
    </rPh>
    <rPh sb="9" eb="12">
      <t>コウチクブツ</t>
    </rPh>
    <phoneticPr fontId="65"/>
  </si>
  <si>
    <t>その他工事等分類</t>
    <rPh sb="2" eb="3">
      <t>タ</t>
    </rPh>
    <rPh sb="3" eb="5">
      <t>コウジ</t>
    </rPh>
    <rPh sb="5" eb="6">
      <t>トウ</t>
    </rPh>
    <rPh sb="6" eb="8">
      <t>ブンルイ</t>
    </rPh>
    <phoneticPr fontId="6"/>
  </si>
  <si>
    <t>工事1</t>
    <rPh sb="0" eb="2">
      <t>コウジ</t>
    </rPh>
    <phoneticPr fontId="6"/>
  </si>
  <si>
    <t>1</t>
    <phoneticPr fontId="65"/>
  </si>
  <si>
    <t>資産【自己調達資金】</t>
    <phoneticPr fontId="65"/>
  </si>
  <si>
    <t>1</t>
  </si>
  <si>
    <t>経営戦略部</t>
    <rPh sb="0" eb="2">
      <t>ケイエイ</t>
    </rPh>
    <rPh sb="2" eb="4">
      <t>センリャク</t>
    </rPh>
    <rPh sb="4" eb="5">
      <t>ブ</t>
    </rPh>
    <phoneticPr fontId="3"/>
  </si>
  <si>
    <t>自動開閉設備</t>
    <rPh sb="0" eb="2">
      <t>ジドウ</t>
    </rPh>
    <rPh sb="2" eb="4">
      <t>カイヘイ</t>
    </rPh>
    <rPh sb="4" eb="6">
      <t>セツビ</t>
    </rPh>
    <phoneticPr fontId="6"/>
  </si>
  <si>
    <t>007停車場建物</t>
    <phoneticPr fontId="6"/>
  </si>
  <si>
    <t>内ﾘｰｽ料、借地借家料</t>
    <rPh sb="0" eb="1">
      <t>ウチ</t>
    </rPh>
    <rPh sb="4" eb="5">
      <t>リョウ</t>
    </rPh>
    <rPh sb="6" eb="8">
      <t>シャクチ</t>
    </rPh>
    <rPh sb="8" eb="10">
      <t>シャクヤ</t>
    </rPh>
    <rPh sb="10" eb="11">
      <t>リョウ</t>
    </rPh>
    <phoneticPr fontId="6"/>
  </si>
  <si>
    <t>工事2</t>
    <rPh sb="0" eb="2">
      <t>コウジ</t>
    </rPh>
    <phoneticPr fontId="6"/>
  </si>
  <si>
    <t>2</t>
    <phoneticPr fontId="65"/>
  </si>
  <si>
    <t>費用（撤去費)【自己調達資金】</t>
  </si>
  <si>
    <t>2</t>
  </si>
  <si>
    <t>都市開発事業部</t>
    <rPh sb="0" eb="2">
      <t>トシ</t>
    </rPh>
    <rPh sb="2" eb="4">
      <t>カイハツ</t>
    </rPh>
    <rPh sb="4" eb="6">
      <t>ジギョウ</t>
    </rPh>
    <rPh sb="6" eb="7">
      <t>ブ</t>
    </rPh>
    <phoneticPr fontId="65"/>
  </si>
  <si>
    <t>日よけ設備(金属製)</t>
    <rPh sb="0" eb="1">
      <t>ヒ</t>
    </rPh>
    <rPh sb="3" eb="5">
      <t>セツビ</t>
    </rPh>
    <rPh sb="6" eb="9">
      <t>キンゾクセイ</t>
    </rPh>
    <phoneticPr fontId="6"/>
  </si>
  <si>
    <t>008変電所建物</t>
    <phoneticPr fontId="6"/>
  </si>
  <si>
    <t>049車庫工場構築物</t>
  </si>
  <si>
    <t>工事3</t>
    <rPh sb="0" eb="2">
      <t>コウジ</t>
    </rPh>
    <phoneticPr fontId="6"/>
  </si>
  <si>
    <t>3</t>
  </si>
  <si>
    <t>費用（修繕費)【自己調達資金】</t>
  </si>
  <si>
    <t>法務・総務部</t>
  </si>
  <si>
    <t>日よけ設備(その他)</t>
    <rPh sb="0" eb="1">
      <t>ヒ</t>
    </rPh>
    <rPh sb="3" eb="5">
      <t>セツビ</t>
    </rPh>
    <rPh sb="8" eb="9">
      <t>タ</t>
    </rPh>
    <phoneticPr fontId="6"/>
  </si>
  <si>
    <t>009車庫、工場建物</t>
    <phoneticPr fontId="6"/>
  </si>
  <si>
    <t>050変電所構築物</t>
  </si>
  <si>
    <t>工事4</t>
    <rPh sb="0" eb="2">
      <t>コウジ</t>
    </rPh>
    <phoneticPr fontId="6"/>
  </si>
  <si>
    <t>4</t>
  </si>
  <si>
    <t>費用（保守費)【自己調達資金】</t>
  </si>
  <si>
    <t>経理部</t>
    <rPh sb="0" eb="2">
      <t>ケイリ</t>
    </rPh>
    <phoneticPr fontId="3"/>
  </si>
  <si>
    <t>店舗用簡易設備</t>
    <rPh sb="0" eb="3">
      <t>テンポヨウ</t>
    </rPh>
    <rPh sb="3" eb="5">
      <t>カンイ</t>
    </rPh>
    <rPh sb="5" eb="7">
      <t>セツビ</t>
    </rPh>
    <phoneticPr fontId="6"/>
  </si>
  <si>
    <t>010倉庫建物</t>
    <phoneticPr fontId="6"/>
  </si>
  <si>
    <t>999雑構築物</t>
    <phoneticPr fontId="6"/>
  </si>
  <si>
    <t>工事5</t>
    <rPh sb="0" eb="2">
      <t>コウジ</t>
    </rPh>
    <phoneticPr fontId="6"/>
  </si>
  <si>
    <t>6</t>
  </si>
  <si>
    <t>資産【その他調達資金】</t>
  </si>
  <si>
    <t>5</t>
  </si>
  <si>
    <t>調達部</t>
  </si>
  <si>
    <t>可動間仕切(簡易)</t>
    <rPh sb="0" eb="2">
      <t>カドウ</t>
    </rPh>
    <rPh sb="2" eb="5">
      <t>マジキリ</t>
    </rPh>
    <rPh sb="6" eb="8">
      <t>カンイ</t>
    </rPh>
    <phoneticPr fontId="6"/>
  </si>
  <si>
    <t>011詰所建物</t>
    <phoneticPr fontId="6"/>
  </si>
  <si>
    <t>工事6</t>
    <rPh sb="0" eb="2">
      <t>コウジ</t>
    </rPh>
    <phoneticPr fontId="6"/>
  </si>
  <si>
    <t>7</t>
  </si>
  <si>
    <t>費用（撤去費)【その他調達資金】</t>
  </si>
  <si>
    <t>統括部</t>
    <rPh sb="0" eb="2">
      <t>トウカツ</t>
    </rPh>
    <rPh sb="2" eb="3">
      <t>ブ</t>
    </rPh>
    <phoneticPr fontId="3"/>
  </si>
  <si>
    <t>可動間仕切(その他)</t>
    <rPh sb="0" eb="2">
      <t>カドウ</t>
    </rPh>
    <rPh sb="2" eb="5">
      <t>マジキリ</t>
    </rPh>
    <rPh sb="8" eb="9">
      <t>タ</t>
    </rPh>
    <phoneticPr fontId="6"/>
  </si>
  <si>
    <t>012事務所建物</t>
    <phoneticPr fontId="6"/>
  </si>
  <si>
    <t>工事7</t>
    <rPh sb="0" eb="2">
      <t>コウジ</t>
    </rPh>
    <phoneticPr fontId="6"/>
  </si>
  <si>
    <t>8</t>
  </si>
  <si>
    <t>費用（修繕費)【その他調達資金】</t>
  </si>
  <si>
    <t>駅務部</t>
    <rPh sb="0" eb="2">
      <t>エキム</t>
    </rPh>
    <rPh sb="2" eb="3">
      <t>ブ</t>
    </rPh>
    <phoneticPr fontId="3"/>
  </si>
  <si>
    <t>建築施設-止水設備(金属)</t>
    <rPh sb="0" eb="2">
      <t>ケンチク</t>
    </rPh>
    <rPh sb="2" eb="4">
      <t>シセツ</t>
    </rPh>
    <rPh sb="5" eb="7">
      <t>シスイ</t>
    </rPh>
    <rPh sb="7" eb="9">
      <t>セツビ</t>
    </rPh>
    <rPh sb="10" eb="12">
      <t>キンゾク</t>
    </rPh>
    <phoneticPr fontId="6"/>
  </si>
  <si>
    <t>013社宅及び寮建物</t>
    <phoneticPr fontId="6"/>
  </si>
  <si>
    <t>工事8</t>
    <rPh sb="0" eb="2">
      <t>コウジ</t>
    </rPh>
    <phoneticPr fontId="6"/>
  </si>
  <si>
    <t>9</t>
  </si>
  <si>
    <t>費用（保守費)【その他調達資金】</t>
  </si>
  <si>
    <t>運転部</t>
  </si>
  <si>
    <t>建築施設-管理シャッター(金属)</t>
    <rPh sb="0" eb="2">
      <t>ケンチク</t>
    </rPh>
    <rPh sb="2" eb="4">
      <t>シセツ</t>
    </rPh>
    <rPh sb="5" eb="7">
      <t>カンリ</t>
    </rPh>
    <rPh sb="13" eb="15">
      <t>キンゾク</t>
    </rPh>
    <phoneticPr fontId="6"/>
  </si>
  <si>
    <t>999雑建物</t>
    <phoneticPr fontId="6"/>
  </si>
  <si>
    <t>工事9</t>
    <rPh sb="0" eb="2">
      <t>コウジ</t>
    </rPh>
    <phoneticPr fontId="6"/>
  </si>
  <si>
    <t>A</t>
  </si>
  <si>
    <t>他流動資産（受託工事）</t>
  </si>
  <si>
    <t>営業部</t>
  </si>
  <si>
    <t>建築施設-防火シャッター(金属)</t>
    <rPh sb="0" eb="2">
      <t>ケンチク</t>
    </rPh>
    <rPh sb="2" eb="4">
      <t>シセツ</t>
    </rPh>
    <rPh sb="5" eb="7">
      <t>ボウカ</t>
    </rPh>
    <rPh sb="13" eb="15">
      <t>キンゾク</t>
    </rPh>
    <phoneticPr fontId="6"/>
  </si>
  <si>
    <t>工事10</t>
    <rPh sb="0" eb="2">
      <t>コウジ</t>
    </rPh>
    <phoneticPr fontId="6"/>
  </si>
  <si>
    <t>B</t>
  </si>
  <si>
    <t xml:space="preserve">資産【補助金対象】 </t>
  </si>
  <si>
    <t>電気部</t>
    <rPh sb="0" eb="2">
      <t>デンキ</t>
    </rPh>
    <rPh sb="2" eb="3">
      <t>ブ</t>
    </rPh>
    <phoneticPr fontId="3"/>
  </si>
  <si>
    <t>建築施設-止水設備(その他)</t>
    <rPh sb="0" eb="2">
      <t>ケンチク</t>
    </rPh>
    <rPh sb="2" eb="4">
      <t>シセツ</t>
    </rPh>
    <rPh sb="5" eb="7">
      <t>シスイ</t>
    </rPh>
    <rPh sb="7" eb="9">
      <t>セツビ</t>
    </rPh>
    <rPh sb="12" eb="13">
      <t>タ</t>
    </rPh>
    <phoneticPr fontId="6"/>
  </si>
  <si>
    <t>工事11</t>
    <rPh sb="0" eb="2">
      <t>コウジ</t>
    </rPh>
    <phoneticPr fontId="6"/>
  </si>
  <si>
    <t>C</t>
  </si>
  <si>
    <t xml:space="preserve">費用（撤去費） 【補助金対象】 </t>
  </si>
  <si>
    <t>車両部</t>
    <rPh sb="0" eb="2">
      <t>シャリョウ</t>
    </rPh>
    <rPh sb="2" eb="3">
      <t>ブ</t>
    </rPh>
    <phoneticPr fontId="3"/>
  </si>
  <si>
    <t>建築施設-防火シャッター(その他)</t>
    <rPh sb="0" eb="2">
      <t>ケンチク</t>
    </rPh>
    <rPh sb="2" eb="4">
      <t>シセツ</t>
    </rPh>
    <rPh sb="5" eb="7">
      <t>ボウカ</t>
    </rPh>
    <rPh sb="15" eb="16">
      <t>タ</t>
    </rPh>
    <phoneticPr fontId="6"/>
  </si>
  <si>
    <t>工事12</t>
    <rPh sb="0" eb="2">
      <t>コウジ</t>
    </rPh>
    <phoneticPr fontId="6"/>
  </si>
  <si>
    <t>D</t>
  </si>
  <si>
    <t xml:space="preserve">費用（修繕費） 【補助金対象】 </t>
  </si>
  <si>
    <t>工務部</t>
    <rPh sb="0" eb="2">
      <t>コウム</t>
    </rPh>
    <rPh sb="2" eb="3">
      <t>ブ</t>
    </rPh>
    <phoneticPr fontId="3"/>
  </si>
  <si>
    <t>電照サイン-金属製</t>
    <rPh sb="0" eb="2">
      <t>デンショウ</t>
    </rPh>
    <rPh sb="6" eb="9">
      <t>キンゾクセイ</t>
    </rPh>
    <phoneticPr fontId="6"/>
  </si>
  <si>
    <t>工事13</t>
    <rPh sb="0" eb="2">
      <t>コウジ</t>
    </rPh>
    <phoneticPr fontId="6"/>
  </si>
  <si>
    <t>E</t>
  </si>
  <si>
    <t xml:space="preserve">費用（保守費） 【補助金対象】 </t>
  </si>
  <si>
    <t>建築部</t>
    <rPh sb="0" eb="2">
      <t>ケンチク</t>
    </rPh>
    <rPh sb="2" eb="3">
      <t>ブ</t>
    </rPh>
    <phoneticPr fontId="3"/>
  </si>
  <si>
    <t>非電照サイン-金属製</t>
    <rPh sb="0" eb="1">
      <t>ヒ</t>
    </rPh>
    <rPh sb="1" eb="3">
      <t>デンショウ</t>
    </rPh>
    <rPh sb="7" eb="10">
      <t>キンゾクセイ</t>
    </rPh>
    <phoneticPr fontId="6"/>
  </si>
  <si>
    <t>工事14</t>
    <rPh sb="0" eb="2">
      <t>コウジ</t>
    </rPh>
    <phoneticPr fontId="6"/>
  </si>
  <si>
    <t>W</t>
  </si>
  <si>
    <t>費用（原価企画）【自己調達資金】</t>
  </si>
  <si>
    <t>安全監理部</t>
    <rPh sb="0" eb="2">
      <t>アンゼン</t>
    </rPh>
    <rPh sb="2" eb="4">
      <t>カンリ</t>
    </rPh>
    <rPh sb="4" eb="5">
      <t>ブ</t>
    </rPh>
    <phoneticPr fontId="66"/>
  </si>
  <si>
    <t>電照広告-金属製</t>
    <rPh sb="0" eb="2">
      <t>デンショウ</t>
    </rPh>
    <rPh sb="2" eb="4">
      <t>コウコク</t>
    </rPh>
    <rPh sb="5" eb="8">
      <t>キンゾクセイ</t>
    </rPh>
    <phoneticPr fontId="6"/>
  </si>
  <si>
    <t>工事15</t>
    <rPh sb="0" eb="2">
      <t>コウジ</t>
    </rPh>
    <phoneticPr fontId="6"/>
  </si>
  <si>
    <t>X</t>
  </si>
  <si>
    <t>費用【その他調達資金】</t>
  </si>
  <si>
    <t>F</t>
  </si>
  <si>
    <t>グループ監査部</t>
    <rPh sb="4" eb="6">
      <t>カンサ</t>
    </rPh>
    <rPh sb="6" eb="7">
      <t>ブ</t>
    </rPh>
    <phoneticPr fontId="3"/>
  </si>
  <si>
    <t>非電照広告-金属製</t>
    <rPh sb="0" eb="1">
      <t>ヒ</t>
    </rPh>
    <rPh sb="1" eb="3">
      <t>デンショウ</t>
    </rPh>
    <rPh sb="3" eb="5">
      <t>コウコク</t>
    </rPh>
    <rPh sb="6" eb="9">
      <t>キンゾクセイ</t>
    </rPh>
    <phoneticPr fontId="6"/>
  </si>
  <si>
    <t>工事16</t>
    <rPh sb="0" eb="2">
      <t>コウジ</t>
    </rPh>
    <phoneticPr fontId="6"/>
  </si>
  <si>
    <t>Y</t>
  </si>
  <si>
    <t>収入（その他収入）</t>
  </si>
  <si>
    <t>G</t>
  </si>
  <si>
    <t>人事部</t>
    <rPh sb="0" eb="2">
      <t>ジンジ</t>
    </rPh>
    <rPh sb="2" eb="3">
      <t>ブ</t>
    </rPh>
    <phoneticPr fontId="3"/>
  </si>
  <si>
    <t>工事17</t>
    <rPh sb="0" eb="2">
      <t>コウジ</t>
    </rPh>
    <phoneticPr fontId="6"/>
  </si>
  <si>
    <t>Z</t>
  </si>
  <si>
    <t>収入（運輸収入）</t>
  </si>
  <si>
    <t>H</t>
  </si>
  <si>
    <t>監査役</t>
  </si>
  <si>
    <t>電照サイン-その他</t>
    <rPh sb="0" eb="2">
      <t>デンショウ</t>
    </rPh>
    <rPh sb="8" eb="9">
      <t>タ</t>
    </rPh>
    <phoneticPr fontId="6"/>
  </si>
  <si>
    <t>工事18</t>
    <rPh sb="0" eb="2">
      <t>コウジ</t>
    </rPh>
    <phoneticPr fontId="6"/>
  </si>
  <si>
    <t>I</t>
  </si>
  <si>
    <t>リテール事業部</t>
  </si>
  <si>
    <t>非電照サイン-その他</t>
    <rPh sb="0" eb="1">
      <t>ヒ</t>
    </rPh>
    <rPh sb="1" eb="3">
      <t>デンショウ</t>
    </rPh>
    <rPh sb="9" eb="10">
      <t>タ</t>
    </rPh>
    <phoneticPr fontId="6"/>
  </si>
  <si>
    <t>工事19</t>
    <rPh sb="0" eb="2">
      <t>コウジ</t>
    </rPh>
    <phoneticPr fontId="6"/>
  </si>
  <si>
    <t>J</t>
  </si>
  <si>
    <t>先端技術研究所</t>
    <rPh sb="0" eb="2">
      <t>センタン</t>
    </rPh>
    <rPh sb="2" eb="4">
      <t>ギジュツ</t>
    </rPh>
    <rPh sb="4" eb="7">
      <t>ケンキュウショ</t>
    </rPh>
    <phoneticPr fontId="3"/>
  </si>
  <si>
    <t>電照広告-その他</t>
    <rPh sb="0" eb="2">
      <t>デンショウ</t>
    </rPh>
    <rPh sb="2" eb="4">
      <t>コウコク</t>
    </rPh>
    <rPh sb="7" eb="8">
      <t>タ</t>
    </rPh>
    <phoneticPr fontId="6"/>
  </si>
  <si>
    <t>工事20</t>
    <rPh sb="0" eb="2">
      <t>コウジ</t>
    </rPh>
    <phoneticPr fontId="6"/>
  </si>
  <si>
    <t>K</t>
  </si>
  <si>
    <t>計画部</t>
    <rPh sb="0" eb="2">
      <t>ケイカク</t>
    </rPh>
    <rPh sb="2" eb="3">
      <t>ブ</t>
    </rPh>
    <phoneticPr fontId="65"/>
  </si>
  <si>
    <t>非電照広告-その他</t>
    <rPh sb="0" eb="1">
      <t>ヒ</t>
    </rPh>
    <rPh sb="1" eb="3">
      <t>デンショウ</t>
    </rPh>
    <rPh sb="3" eb="5">
      <t>コウコク</t>
    </rPh>
    <rPh sb="8" eb="9">
      <t>タ</t>
    </rPh>
    <phoneticPr fontId="6"/>
  </si>
  <si>
    <t>工事21</t>
    <rPh sb="0" eb="2">
      <t>コウジ</t>
    </rPh>
    <phoneticPr fontId="6"/>
  </si>
  <si>
    <t>L</t>
  </si>
  <si>
    <t>経営管理部</t>
    <rPh sb="0" eb="2">
      <t>ケイエイ</t>
    </rPh>
    <rPh sb="2" eb="4">
      <t>カンリ</t>
    </rPh>
    <rPh sb="4" eb="5">
      <t>ブ</t>
    </rPh>
    <phoneticPr fontId="3"/>
  </si>
  <si>
    <t>工事22</t>
    <rPh sb="0" eb="2">
      <t>コウジ</t>
    </rPh>
    <phoneticPr fontId="6"/>
  </si>
  <si>
    <t>M</t>
  </si>
  <si>
    <t>活力インフラ部</t>
    <rPh sb="0" eb="2">
      <t>カツリョク</t>
    </rPh>
    <rPh sb="6" eb="7">
      <t>ブ</t>
    </rPh>
    <phoneticPr fontId="3"/>
  </si>
  <si>
    <t>器具備品-その他(金属製)</t>
    <rPh sb="0" eb="2">
      <t>キグ</t>
    </rPh>
    <rPh sb="2" eb="4">
      <t>ビヒン</t>
    </rPh>
    <rPh sb="7" eb="8">
      <t>タ</t>
    </rPh>
    <rPh sb="9" eb="12">
      <t>キンゾクセイ</t>
    </rPh>
    <phoneticPr fontId="6"/>
  </si>
  <si>
    <t>工事23</t>
    <rPh sb="0" eb="2">
      <t>コウジ</t>
    </rPh>
    <phoneticPr fontId="6"/>
  </si>
  <si>
    <t>N</t>
  </si>
  <si>
    <t>新規事業部</t>
    <rPh sb="0" eb="2">
      <t>シンキ</t>
    </rPh>
    <rPh sb="2" eb="4">
      <t>ジギョウ</t>
    </rPh>
    <rPh sb="4" eb="5">
      <t>ブ</t>
    </rPh>
    <phoneticPr fontId="65"/>
  </si>
  <si>
    <t>器具備品-その他(その他)</t>
    <rPh sb="0" eb="2">
      <t>キグ</t>
    </rPh>
    <rPh sb="2" eb="4">
      <t>ビヒン</t>
    </rPh>
    <rPh sb="7" eb="8">
      <t>タ</t>
    </rPh>
    <rPh sb="11" eb="12">
      <t>タ</t>
    </rPh>
    <phoneticPr fontId="6"/>
  </si>
  <si>
    <t>工事24</t>
    <rPh sb="0" eb="2">
      <t>コウジ</t>
    </rPh>
    <phoneticPr fontId="6"/>
  </si>
  <si>
    <t>P</t>
  </si>
  <si>
    <t>デジタルマーケティング部</t>
    <rPh sb="11" eb="12">
      <t>ブ</t>
    </rPh>
    <phoneticPr fontId="65"/>
  </si>
  <si>
    <t>工事25</t>
    <rPh sb="0" eb="2">
      <t>コウジ</t>
    </rPh>
    <phoneticPr fontId="6"/>
  </si>
  <si>
    <t>Q</t>
  </si>
  <si>
    <t>ＩＣＴ戦略部</t>
    <rPh sb="3" eb="5">
      <t>センリャク</t>
    </rPh>
    <rPh sb="5" eb="6">
      <t>ブ</t>
    </rPh>
    <phoneticPr fontId="3"/>
  </si>
  <si>
    <t>工事26</t>
    <rPh sb="0" eb="2">
      <t>コウジ</t>
    </rPh>
    <phoneticPr fontId="6"/>
  </si>
  <si>
    <t>R</t>
  </si>
  <si>
    <t>広報戦略部</t>
    <rPh sb="0" eb="2">
      <t>コウホウ</t>
    </rPh>
    <rPh sb="2" eb="4">
      <t>センリャク</t>
    </rPh>
    <rPh sb="4" eb="5">
      <t>ブ</t>
    </rPh>
    <phoneticPr fontId="3"/>
  </si>
  <si>
    <t>工事27</t>
    <rPh sb="0" eb="2">
      <t>コウジ</t>
    </rPh>
    <phoneticPr fontId="6"/>
  </si>
  <si>
    <t>工事28</t>
    <rPh sb="0" eb="2">
      <t>コウジ</t>
    </rPh>
    <phoneticPr fontId="6"/>
  </si>
  <si>
    <t>工事29</t>
    <rPh sb="0" eb="2">
      <t>コウジ</t>
    </rPh>
    <phoneticPr fontId="6"/>
  </si>
  <si>
    <t>工事30</t>
    <rPh sb="0" eb="2">
      <t>コウジ</t>
    </rPh>
    <phoneticPr fontId="6"/>
  </si>
  <si>
    <t>工事31</t>
    <rPh sb="0" eb="2">
      <t>コウジ</t>
    </rPh>
    <phoneticPr fontId="6"/>
  </si>
  <si>
    <t>工事32</t>
    <rPh sb="0" eb="2">
      <t>コウジ</t>
    </rPh>
    <phoneticPr fontId="6"/>
  </si>
  <si>
    <t>工事33</t>
    <rPh sb="0" eb="2">
      <t>コウジ</t>
    </rPh>
    <phoneticPr fontId="6"/>
  </si>
  <si>
    <t>工事34</t>
    <rPh sb="0" eb="2">
      <t>コウジ</t>
    </rPh>
    <phoneticPr fontId="6"/>
  </si>
  <si>
    <t>工事35</t>
    <rPh sb="0" eb="2">
      <t>コウジ</t>
    </rPh>
    <phoneticPr fontId="6"/>
  </si>
  <si>
    <t>工事36</t>
    <rPh sb="0" eb="2">
      <t>コウジ</t>
    </rPh>
    <phoneticPr fontId="6"/>
  </si>
  <si>
    <t>工事37</t>
    <rPh sb="0" eb="2">
      <t>コウジ</t>
    </rPh>
    <phoneticPr fontId="6"/>
  </si>
  <si>
    <t>工事38</t>
    <rPh sb="0" eb="2">
      <t>コウジ</t>
    </rPh>
    <phoneticPr fontId="6"/>
  </si>
  <si>
    <t>工事39</t>
    <rPh sb="0" eb="2">
      <t>コウジ</t>
    </rPh>
    <phoneticPr fontId="6"/>
  </si>
  <si>
    <t>工事40</t>
    <rPh sb="0" eb="2">
      <t>コウジ</t>
    </rPh>
    <phoneticPr fontId="6"/>
  </si>
  <si>
    <t>工事41</t>
    <rPh sb="0" eb="2">
      <t>コウジ</t>
    </rPh>
    <phoneticPr fontId="6"/>
  </si>
  <si>
    <t>工事42</t>
    <rPh sb="0" eb="2">
      <t>コウジ</t>
    </rPh>
    <phoneticPr fontId="6"/>
  </si>
  <si>
    <t>工事43</t>
    <rPh sb="0" eb="2">
      <t>コウジ</t>
    </rPh>
    <phoneticPr fontId="6"/>
  </si>
  <si>
    <t>工事44</t>
    <rPh sb="0" eb="2">
      <t>コウジ</t>
    </rPh>
    <phoneticPr fontId="6"/>
  </si>
  <si>
    <t>工事45</t>
    <rPh sb="0" eb="2">
      <t>コウジ</t>
    </rPh>
    <phoneticPr fontId="6"/>
  </si>
  <si>
    <t>工事46</t>
    <rPh sb="0" eb="2">
      <t>コウジ</t>
    </rPh>
    <phoneticPr fontId="6"/>
  </si>
  <si>
    <t>工事47</t>
    <rPh sb="0" eb="2">
      <t>コウジ</t>
    </rPh>
    <phoneticPr fontId="6"/>
  </si>
  <si>
    <t>工事48</t>
    <rPh sb="0" eb="2">
      <t>コウジ</t>
    </rPh>
    <phoneticPr fontId="6"/>
  </si>
  <si>
    <t>工事49</t>
    <rPh sb="0" eb="2">
      <t>コウジ</t>
    </rPh>
    <phoneticPr fontId="6"/>
  </si>
  <si>
    <t>工事50</t>
    <rPh sb="0" eb="2">
      <t>コウジ</t>
    </rPh>
    <phoneticPr fontId="6"/>
  </si>
  <si>
    <t>工事51</t>
    <rPh sb="0" eb="2">
      <t>コウジ</t>
    </rPh>
    <phoneticPr fontId="6"/>
  </si>
  <si>
    <t>工事52</t>
    <rPh sb="0" eb="2">
      <t>コウジ</t>
    </rPh>
    <phoneticPr fontId="6"/>
  </si>
  <si>
    <t>工事53</t>
    <rPh sb="0" eb="2">
      <t>コウジ</t>
    </rPh>
    <phoneticPr fontId="6"/>
  </si>
  <si>
    <t>工事54</t>
    <rPh sb="0" eb="2">
      <t>コウジ</t>
    </rPh>
    <phoneticPr fontId="6"/>
  </si>
  <si>
    <t>工事55</t>
    <rPh sb="0" eb="2">
      <t>コウジ</t>
    </rPh>
    <phoneticPr fontId="6"/>
  </si>
  <si>
    <t>工事56</t>
    <rPh sb="0" eb="2">
      <t>コウジ</t>
    </rPh>
    <phoneticPr fontId="6"/>
  </si>
  <si>
    <t>工事57</t>
    <rPh sb="0" eb="2">
      <t>コウジ</t>
    </rPh>
    <phoneticPr fontId="6"/>
  </si>
  <si>
    <t>工事58</t>
    <rPh sb="0" eb="2">
      <t>コウジ</t>
    </rPh>
    <phoneticPr fontId="6"/>
  </si>
  <si>
    <t>工事59</t>
    <rPh sb="0" eb="2">
      <t>コウジ</t>
    </rPh>
    <phoneticPr fontId="6"/>
  </si>
  <si>
    <t>工事60</t>
    <rPh sb="0" eb="2">
      <t>コウジ</t>
    </rPh>
    <phoneticPr fontId="6"/>
  </si>
  <si>
    <t>工事61</t>
    <rPh sb="0" eb="2">
      <t>コウジ</t>
    </rPh>
    <phoneticPr fontId="6"/>
  </si>
  <si>
    <t>工事62</t>
    <rPh sb="0" eb="2">
      <t>コウジ</t>
    </rPh>
    <phoneticPr fontId="6"/>
  </si>
  <si>
    <t>工事63</t>
    <rPh sb="0" eb="2">
      <t>コウジ</t>
    </rPh>
    <phoneticPr fontId="6"/>
  </si>
  <si>
    <t>工事64</t>
    <rPh sb="0" eb="2">
      <t>コウジ</t>
    </rPh>
    <phoneticPr fontId="6"/>
  </si>
  <si>
    <t>工事65</t>
    <rPh sb="0" eb="2">
      <t>コウジ</t>
    </rPh>
    <phoneticPr fontId="6"/>
  </si>
  <si>
    <t>工事66</t>
    <rPh sb="0" eb="2">
      <t>コウジ</t>
    </rPh>
    <phoneticPr fontId="6"/>
  </si>
  <si>
    <t>工事67</t>
    <rPh sb="0" eb="2">
      <t>コウジ</t>
    </rPh>
    <phoneticPr fontId="6"/>
  </si>
  <si>
    <t>工事68</t>
    <rPh sb="0" eb="2">
      <t>コウジ</t>
    </rPh>
    <phoneticPr fontId="6"/>
  </si>
  <si>
    <t>工事69</t>
    <rPh sb="0" eb="2">
      <t>コウジ</t>
    </rPh>
    <phoneticPr fontId="6"/>
  </si>
  <si>
    <t>工事70</t>
    <rPh sb="0" eb="2">
      <t>コウジ</t>
    </rPh>
    <phoneticPr fontId="6"/>
  </si>
  <si>
    <t>工事71</t>
    <rPh sb="0" eb="2">
      <t>コウジ</t>
    </rPh>
    <phoneticPr fontId="6"/>
  </si>
  <si>
    <t>工事72</t>
    <rPh sb="0" eb="2">
      <t>コウジ</t>
    </rPh>
    <phoneticPr fontId="6"/>
  </si>
  <si>
    <t>工事73</t>
    <rPh sb="0" eb="2">
      <t>コウジ</t>
    </rPh>
    <phoneticPr fontId="6"/>
  </si>
  <si>
    <t>工事74</t>
    <rPh sb="0" eb="2">
      <t>コウジ</t>
    </rPh>
    <phoneticPr fontId="6"/>
  </si>
  <si>
    <t>工事75</t>
    <rPh sb="0" eb="2">
      <t>コウジ</t>
    </rPh>
    <phoneticPr fontId="6"/>
  </si>
  <si>
    <t>工事76</t>
    <rPh sb="0" eb="2">
      <t>コウジ</t>
    </rPh>
    <phoneticPr fontId="6"/>
  </si>
  <si>
    <t>工事77</t>
    <rPh sb="0" eb="2">
      <t>コウジ</t>
    </rPh>
    <phoneticPr fontId="6"/>
  </si>
  <si>
    <t>工事78</t>
    <rPh sb="0" eb="2">
      <t>コウジ</t>
    </rPh>
    <phoneticPr fontId="6"/>
  </si>
  <si>
    <t>工事79</t>
    <rPh sb="0" eb="2">
      <t>コウジ</t>
    </rPh>
    <phoneticPr fontId="6"/>
  </si>
  <si>
    <t>工事80</t>
    <rPh sb="0" eb="2">
      <t>コウジ</t>
    </rPh>
    <phoneticPr fontId="6"/>
  </si>
  <si>
    <t>工事81</t>
    <rPh sb="0" eb="2">
      <t>コウジ</t>
    </rPh>
    <phoneticPr fontId="6"/>
  </si>
  <si>
    <t>工事82</t>
    <rPh sb="0" eb="2">
      <t>コウジ</t>
    </rPh>
    <phoneticPr fontId="6"/>
  </si>
  <si>
    <t>工事83</t>
    <rPh sb="0" eb="2">
      <t>コウジ</t>
    </rPh>
    <phoneticPr fontId="6"/>
  </si>
  <si>
    <t>工事84</t>
    <rPh sb="0" eb="2">
      <t>コウジ</t>
    </rPh>
    <phoneticPr fontId="6"/>
  </si>
  <si>
    <t>工事85</t>
    <rPh sb="0" eb="2">
      <t>コウジ</t>
    </rPh>
    <phoneticPr fontId="6"/>
  </si>
  <si>
    <t>工事86</t>
    <rPh sb="0" eb="2">
      <t>コウジ</t>
    </rPh>
    <phoneticPr fontId="6"/>
  </si>
  <si>
    <t>工事87</t>
    <rPh sb="0" eb="2">
      <t>コウジ</t>
    </rPh>
    <phoneticPr fontId="6"/>
  </si>
  <si>
    <t>工事88</t>
    <rPh sb="0" eb="2">
      <t>コウジ</t>
    </rPh>
    <phoneticPr fontId="6"/>
  </si>
  <si>
    <t>工事89</t>
    <rPh sb="0" eb="2">
      <t>コウジ</t>
    </rPh>
    <phoneticPr fontId="6"/>
  </si>
  <si>
    <t>工事90</t>
    <rPh sb="0" eb="2">
      <t>コウジ</t>
    </rPh>
    <phoneticPr fontId="6"/>
  </si>
  <si>
    <t>工事91</t>
    <rPh sb="0" eb="2">
      <t>コウジ</t>
    </rPh>
    <phoneticPr fontId="6"/>
  </si>
  <si>
    <t>工事92</t>
    <rPh sb="0" eb="2">
      <t>コウジ</t>
    </rPh>
    <phoneticPr fontId="6"/>
  </si>
  <si>
    <t>工事93</t>
    <rPh sb="0" eb="2">
      <t>コウジ</t>
    </rPh>
    <phoneticPr fontId="6"/>
  </si>
  <si>
    <t>工事94</t>
    <rPh sb="0" eb="2">
      <t>コウジ</t>
    </rPh>
    <phoneticPr fontId="6"/>
  </si>
  <si>
    <t>工事95</t>
    <rPh sb="0" eb="2">
      <t>コウジ</t>
    </rPh>
    <phoneticPr fontId="6"/>
  </si>
  <si>
    <t>工事96</t>
    <rPh sb="0" eb="2">
      <t>コウジ</t>
    </rPh>
    <phoneticPr fontId="6"/>
  </si>
  <si>
    <t>工事97</t>
    <rPh sb="0" eb="2">
      <t>コウジ</t>
    </rPh>
    <phoneticPr fontId="6"/>
  </si>
  <si>
    <t>工事98</t>
    <rPh sb="0" eb="2">
      <t>コウジ</t>
    </rPh>
    <phoneticPr fontId="6"/>
  </si>
  <si>
    <t>工事99</t>
    <rPh sb="0" eb="2">
      <t>コウジ</t>
    </rPh>
    <phoneticPr fontId="6"/>
  </si>
  <si>
    <t>工事100</t>
    <rPh sb="0" eb="2">
      <t>コウジ</t>
    </rPh>
    <phoneticPr fontId="6"/>
  </si>
  <si>
    <t>工事101</t>
    <rPh sb="0" eb="2">
      <t>コウジ</t>
    </rPh>
    <phoneticPr fontId="6"/>
  </si>
  <si>
    <t>工事102</t>
    <rPh sb="0" eb="2">
      <t>コウジ</t>
    </rPh>
    <phoneticPr fontId="6"/>
  </si>
  <si>
    <t>工事103</t>
    <rPh sb="0" eb="2">
      <t>コウジ</t>
    </rPh>
    <phoneticPr fontId="6"/>
  </si>
  <si>
    <t>工事104</t>
    <rPh sb="0" eb="2">
      <t>コウジ</t>
    </rPh>
    <phoneticPr fontId="6"/>
  </si>
  <si>
    <t>工事105</t>
    <rPh sb="0" eb="2">
      <t>コウジ</t>
    </rPh>
    <phoneticPr fontId="6"/>
  </si>
  <si>
    <t>工事106</t>
    <rPh sb="0" eb="2">
      <t>コウジ</t>
    </rPh>
    <phoneticPr fontId="6"/>
  </si>
  <si>
    <t>工事107</t>
    <rPh sb="0" eb="2">
      <t>コウジ</t>
    </rPh>
    <phoneticPr fontId="6"/>
  </si>
  <si>
    <t>工事108</t>
    <rPh sb="0" eb="2">
      <t>コウジ</t>
    </rPh>
    <phoneticPr fontId="6"/>
  </si>
  <si>
    <t>工事109</t>
    <rPh sb="0" eb="2">
      <t>コウジ</t>
    </rPh>
    <phoneticPr fontId="6"/>
  </si>
  <si>
    <t>工事110</t>
    <rPh sb="0" eb="2">
      <t>コウジ</t>
    </rPh>
    <phoneticPr fontId="6"/>
  </si>
  <si>
    <t>工事111</t>
    <rPh sb="0" eb="2">
      <t>コウジ</t>
    </rPh>
    <phoneticPr fontId="6"/>
  </si>
  <si>
    <t>工事112</t>
    <rPh sb="0" eb="2">
      <t>コウジ</t>
    </rPh>
    <phoneticPr fontId="6"/>
  </si>
  <si>
    <t>工事113</t>
    <rPh sb="0" eb="2">
      <t>コウジ</t>
    </rPh>
    <phoneticPr fontId="6"/>
  </si>
  <si>
    <t>工事114</t>
    <rPh sb="0" eb="2">
      <t>コウジ</t>
    </rPh>
    <phoneticPr fontId="6"/>
  </si>
  <si>
    <t>工事115</t>
    <rPh sb="0" eb="2">
      <t>コウジ</t>
    </rPh>
    <phoneticPr fontId="6"/>
  </si>
  <si>
    <t>工事116</t>
    <rPh sb="0" eb="2">
      <t>コウジ</t>
    </rPh>
    <phoneticPr fontId="6"/>
  </si>
  <si>
    <t>工事117</t>
    <rPh sb="0" eb="2">
      <t>コウジ</t>
    </rPh>
    <phoneticPr fontId="6"/>
  </si>
  <si>
    <t>工事118</t>
    <rPh sb="0" eb="2">
      <t>コウジ</t>
    </rPh>
    <phoneticPr fontId="6"/>
  </si>
  <si>
    <t>工事119</t>
    <rPh sb="0" eb="2">
      <t>コウジ</t>
    </rPh>
    <phoneticPr fontId="6"/>
  </si>
  <si>
    <t>工事120</t>
    <rPh sb="0" eb="2">
      <t>コウジ</t>
    </rPh>
    <phoneticPr fontId="6"/>
  </si>
  <si>
    <t>工事121</t>
    <rPh sb="0" eb="2">
      <t>コウジ</t>
    </rPh>
    <phoneticPr fontId="6"/>
  </si>
  <si>
    <t>工事122</t>
    <rPh sb="0" eb="2">
      <t>コウジ</t>
    </rPh>
    <phoneticPr fontId="6"/>
  </si>
  <si>
    <t>工事123</t>
    <rPh sb="0" eb="2">
      <t>コウジ</t>
    </rPh>
    <phoneticPr fontId="6"/>
  </si>
  <si>
    <t>工事124</t>
    <rPh sb="0" eb="2">
      <t>コウジ</t>
    </rPh>
    <phoneticPr fontId="6"/>
  </si>
  <si>
    <t>工事125</t>
    <rPh sb="0" eb="2">
      <t>コウジ</t>
    </rPh>
    <phoneticPr fontId="6"/>
  </si>
  <si>
    <t>工事126</t>
    <rPh sb="0" eb="2">
      <t>コウジ</t>
    </rPh>
    <phoneticPr fontId="6"/>
  </si>
  <si>
    <t>工事127</t>
    <rPh sb="0" eb="2">
      <t>コウジ</t>
    </rPh>
    <phoneticPr fontId="6"/>
  </si>
  <si>
    <t>工事128</t>
    <rPh sb="0" eb="2">
      <t>コウジ</t>
    </rPh>
    <phoneticPr fontId="6"/>
  </si>
  <si>
    <t>工事129</t>
    <rPh sb="0" eb="2">
      <t>コウジ</t>
    </rPh>
    <phoneticPr fontId="6"/>
  </si>
  <si>
    <t>工事130</t>
    <rPh sb="0" eb="2">
      <t>コウジ</t>
    </rPh>
    <phoneticPr fontId="6"/>
  </si>
  <si>
    <t>工事131</t>
    <rPh sb="0" eb="2">
      <t>コウジ</t>
    </rPh>
    <phoneticPr fontId="6"/>
  </si>
  <si>
    <t>工事132</t>
    <rPh sb="0" eb="2">
      <t>コウジ</t>
    </rPh>
    <phoneticPr fontId="6"/>
  </si>
  <si>
    <t>工事133</t>
    <rPh sb="0" eb="2">
      <t>コウジ</t>
    </rPh>
    <phoneticPr fontId="6"/>
  </si>
  <si>
    <t>工事134</t>
    <rPh sb="0" eb="2">
      <t>コウジ</t>
    </rPh>
    <phoneticPr fontId="6"/>
  </si>
  <si>
    <t>工事135</t>
    <rPh sb="0" eb="2">
      <t>コウジ</t>
    </rPh>
    <phoneticPr fontId="6"/>
  </si>
  <si>
    <t>工事136</t>
    <rPh sb="0" eb="2">
      <t>コウジ</t>
    </rPh>
    <phoneticPr fontId="6"/>
  </si>
  <si>
    <t>工事137</t>
    <rPh sb="0" eb="2">
      <t>コウジ</t>
    </rPh>
    <phoneticPr fontId="6"/>
  </si>
  <si>
    <t>工事138</t>
    <rPh sb="0" eb="2">
      <t>コウジ</t>
    </rPh>
    <phoneticPr fontId="6"/>
  </si>
  <si>
    <t>工事139</t>
    <rPh sb="0" eb="2">
      <t>コウジ</t>
    </rPh>
    <phoneticPr fontId="6"/>
  </si>
  <si>
    <t>工事140</t>
    <rPh sb="0" eb="2">
      <t>コウジ</t>
    </rPh>
    <phoneticPr fontId="6"/>
  </si>
  <si>
    <t>工事141</t>
    <rPh sb="0" eb="2">
      <t>コウジ</t>
    </rPh>
    <phoneticPr fontId="6"/>
  </si>
  <si>
    <t>工事142</t>
    <rPh sb="0" eb="2">
      <t>コウジ</t>
    </rPh>
    <phoneticPr fontId="6"/>
  </si>
  <si>
    <t>工事143</t>
    <rPh sb="0" eb="2">
      <t>コウジ</t>
    </rPh>
    <phoneticPr fontId="6"/>
  </si>
  <si>
    <t>工事144</t>
    <rPh sb="0" eb="2">
      <t>コウジ</t>
    </rPh>
    <phoneticPr fontId="6"/>
  </si>
  <si>
    <t>工事145</t>
    <rPh sb="0" eb="2">
      <t>コウジ</t>
    </rPh>
    <phoneticPr fontId="6"/>
  </si>
  <si>
    <t>工事146</t>
    <rPh sb="0" eb="2">
      <t>コウジ</t>
    </rPh>
    <phoneticPr fontId="6"/>
  </si>
  <si>
    <t>工事147</t>
    <rPh sb="0" eb="2">
      <t>コウジ</t>
    </rPh>
    <phoneticPr fontId="6"/>
  </si>
  <si>
    <t>工事148</t>
    <rPh sb="0" eb="2">
      <t>コウジ</t>
    </rPh>
    <phoneticPr fontId="6"/>
  </si>
  <si>
    <t>工事149</t>
    <rPh sb="0" eb="2">
      <t>コウジ</t>
    </rPh>
    <phoneticPr fontId="6"/>
  </si>
  <si>
    <t>工事150</t>
    <rPh sb="0" eb="2">
      <t>コウジ</t>
    </rPh>
    <phoneticPr fontId="6"/>
  </si>
  <si>
    <t>工事151</t>
    <rPh sb="0" eb="2">
      <t>コウジ</t>
    </rPh>
    <phoneticPr fontId="6"/>
  </si>
  <si>
    <t>工事152</t>
    <rPh sb="0" eb="2">
      <t>コウジ</t>
    </rPh>
    <phoneticPr fontId="6"/>
  </si>
  <si>
    <t>工事153</t>
    <rPh sb="0" eb="2">
      <t>コウジ</t>
    </rPh>
    <phoneticPr fontId="6"/>
  </si>
  <si>
    <t>工事154</t>
    <rPh sb="0" eb="2">
      <t>コウジ</t>
    </rPh>
    <phoneticPr fontId="6"/>
  </si>
  <si>
    <t>工事155</t>
    <rPh sb="0" eb="2">
      <t>コウジ</t>
    </rPh>
    <phoneticPr fontId="6"/>
  </si>
  <si>
    <t>工事156</t>
    <rPh sb="0" eb="2">
      <t>コウジ</t>
    </rPh>
    <phoneticPr fontId="6"/>
  </si>
  <si>
    <t>工事157</t>
    <rPh sb="0" eb="2">
      <t>コウジ</t>
    </rPh>
    <phoneticPr fontId="6"/>
  </si>
  <si>
    <t>工事158</t>
    <rPh sb="0" eb="2">
      <t>コウジ</t>
    </rPh>
    <phoneticPr fontId="6"/>
  </si>
  <si>
    <t>工事159</t>
    <rPh sb="0" eb="2">
      <t>コウジ</t>
    </rPh>
    <phoneticPr fontId="6"/>
  </si>
  <si>
    <t>工事160</t>
    <rPh sb="0" eb="2">
      <t>コウジ</t>
    </rPh>
    <phoneticPr fontId="6"/>
  </si>
  <si>
    <t>工事161</t>
    <rPh sb="0" eb="2">
      <t>コウジ</t>
    </rPh>
    <phoneticPr fontId="6"/>
  </si>
  <si>
    <t>工事162</t>
    <rPh sb="0" eb="2">
      <t>コウジ</t>
    </rPh>
    <phoneticPr fontId="6"/>
  </si>
  <si>
    <t>工事163</t>
    <rPh sb="0" eb="2">
      <t>コウジ</t>
    </rPh>
    <phoneticPr fontId="6"/>
  </si>
  <si>
    <t>工事164</t>
    <rPh sb="0" eb="2">
      <t>コウジ</t>
    </rPh>
    <phoneticPr fontId="6"/>
  </si>
  <si>
    <t>工事165</t>
    <rPh sb="0" eb="2">
      <t>コウジ</t>
    </rPh>
    <phoneticPr fontId="6"/>
  </si>
  <si>
    <t>工事166</t>
    <rPh sb="0" eb="2">
      <t>コウジ</t>
    </rPh>
    <phoneticPr fontId="6"/>
  </si>
  <si>
    <t>工事167</t>
    <rPh sb="0" eb="2">
      <t>コウジ</t>
    </rPh>
    <phoneticPr fontId="6"/>
  </si>
  <si>
    <t>工事168</t>
    <rPh sb="0" eb="2">
      <t>コウジ</t>
    </rPh>
    <phoneticPr fontId="6"/>
  </si>
  <si>
    <t>工事169</t>
    <rPh sb="0" eb="2">
      <t>コウジ</t>
    </rPh>
    <phoneticPr fontId="6"/>
  </si>
  <si>
    <t>工事170</t>
    <rPh sb="0" eb="2">
      <t>コウジ</t>
    </rPh>
    <phoneticPr fontId="6"/>
  </si>
  <si>
    <t>工事171</t>
    <rPh sb="0" eb="2">
      <t>コウジ</t>
    </rPh>
    <phoneticPr fontId="6"/>
  </si>
  <si>
    <t>工事172</t>
    <rPh sb="0" eb="2">
      <t>コウジ</t>
    </rPh>
    <phoneticPr fontId="6"/>
  </si>
  <si>
    <t>工事173</t>
    <rPh sb="0" eb="2">
      <t>コウジ</t>
    </rPh>
    <phoneticPr fontId="6"/>
  </si>
  <si>
    <t>工事174</t>
    <rPh sb="0" eb="2">
      <t>コウジ</t>
    </rPh>
    <phoneticPr fontId="6"/>
  </si>
  <si>
    <t>工事175</t>
    <rPh sb="0" eb="2">
      <t>コウジ</t>
    </rPh>
    <phoneticPr fontId="6"/>
  </si>
  <si>
    <t>工事176</t>
    <rPh sb="0" eb="2">
      <t>コウジ</t>
    </rPh>
    <phoneticPr fontId="6"/>
  </si>
  <si>
    <t>工事177</t>
    <rPh sb="0" eb="2">
      <t>コウジ</t>
    </rPh>
    <phoneticPr fontId="6"/>
  </si>
  <si>
    <t>工事178</t>
    <rPh sb="0" eb="2">
      <t>コウジ</t>
    </rPh>
    <phoneticPr fontId="6"/>
  </si>
  <si>
    <t>工事179</t>
    <rPh sb="0" eb="2">
      <t>コウジ</t>
    </rPh>
    <phoneticPr fontId="6"/>
  </si>
  <si>
    <t>工事180</t>
    <rPh sb="0" eb="2">
      <t>コウジ</t>
    </rPh>
    <phoneticPr fontId="6"/>
  </si>
  <si>
    <t>工事181</t>
    <rPh sb="0" eb="2">
      <t>コウジ</t>
    </rPh>
    <phoneticPr fontId="6"/>
  </si>
  <si>
    <t>工事182</t>
    <rPh sb="0" eb="2">
      <t>コウジ</t>
    </rPh>
    <phoneticPr fontId="6"/>
  </si>
  <si>
    <t>工事183</t>
    <rPh sb="0" eb="2">
      <t>コウジ</t>
    </rPh>
    <phoneticPr fontId="6"/>
  </si>
  <si>
    <t>工事184</t>
    <rPh sb="0" eb="2">
      <t>コウジ</t>
    </rPh>
    <phoneticPr fontId="6"/>
  </si>
  <si>
    <t>工事185</t>
    <rPh sb="0" eb="2">
      <t>コウジ</t>
    </rPh>
    <phoneticPr fontId="6"/>
  </si>
  <si>
    <t>工事186</t>
    <rPh sb="0" eb="2">
      <t>コウジ</t>
    </rPh>
    <phoneticPr fontId="6"/>
  </si>
  <si>
    <t>工事187</t>
    <rPh sb="0" eb="2">
      <t>コウジ</t>
    </rPh>
    <phoneticPr fontId="6"/>
  </si>
  <si>
    <t>工事188</t>
    <rPh sb="0" eb="2">
      <t>コウジ</t>
    </rPh>
    <phoneticPr fontId="6"/>
  </si>
  <si>
    <t>工事189</t>
    <rPh sb="0" eb="2">
      <t>コウジ</t>
    </rPh>
    <phoneticPr fontId="6"/>
  </si>
  <si>
    <t>工事190</t>
    <rPh sb="0" eb="2">
      <t>コウジ</t>
    </rPh>
    <phoneticPr fontId="6"/>
  </si>
  <si>
    <t>工事191</t>
    <rPh sb="0" eb="2">
      <t>コウジ</t>
    </rPh>
    <phoneticPr fontId="6"/>
  </si>
  <si>
    <t>工事192</t>
    <rPh sb="0" eb="2">
      <t>コウジ</t>
    </rPh>
    <phoneticPr fontId="6"/>
  </si>
  <si>
    <t>工事193</t>
    <rPh sb="0" eb="2">
      <t>コウジ</t>
    </rPh>
    <phoneticPr fontId="6"/>
  </si>
  <si>
    <t>工事194</t>
    <rPh sb="0" eb="2">
      <t>コウジ</t>
    </rPh>
    <phoneticPr fontId="6"/>
  </si>
  <si>
    <t>工事195</t>
    <rPh sb="0" eb="2">
      <t>コウジ</t>
    </rPh>
    <phoneticPr fontId="6"/>
  </si>
  <si>
    <t>工事196</t>
    <rPh sb="0" eb="2">
      <t>コウジ</t>
    </rPh>
    <phoneticPr fontId="6"/>
  </si>
  <si>
    <t>工事197</t>
    <rPh sb="0" eb="2">
      <t>コウジ</t>
    </rPh>
    <phoneticPr fontId="6"/>
  </si>
  <si>
    <t>工事198</t>
    <rPh sb="0" eb="2">
      <t>コウジ</t>
    </rPh>
    <phoneticPr fontId="6"/>
  </si>
  <si>
    <t>工事199</t>
    <rPh sb="0" eb="2">
      <t>コウジ</t>
    </rPh>
    <phoneticPr fontId="6"/>
  </si>
  <si>
    <t>工事200</t>
    <rPh sb="0" eb="2">
      <t>コウジ</t>
    </rPh>
    <phoneticPr fontId="6"/>
  </si>
  <si>
    <t>区分</t>
    <rPh sb="0" eb="2">
      <t>クブン</t>
    </rPh>
    <phoneticPr fontId="6"/>
  </si>
  <si>
    <t>墨出し</t>
    <rPh sb="0" eb="2">
      <t>スミダ</t>
    </rPh>
    <phoneticPr fontId="6"/>
  </si>
  <si>
    <t>養生</t>
    <rPh sb="0" eb="2">
      <t>ヨウジョウ</t>
    </rPh>
    <phoneticPr fontId="6"/>
  </si>
  <si>
    <t>片付清掃費</t>
    <rPh sb="0" eb="2">
      <t>カタヅ</t>
    </rPh>
    <rPh sb="2" eb="4">
      <t>セイソウ</t>
    </rPh>
    <rPh sb="4" eb="5">
      <t>ヒ</t>
    </rPh>
    <phoneticPr fontId="6"/>
  </si>
  <si>
    <t>外部足場</t>
    <rPh sb="0" eb="2">
      <t>ガイブ</t>
    </rPh>
    <rPh sb="2" eb="4">
      <t>アシバ</t>
    </rPh>
    <phoneticPr fontId="6"/>
  </si>
  <si>
    <t>内部足場</t>
    <rPh sb="0" eb="2">
      <t>ナイブ</t>
    </rPh>
    <rPh sb="2" eb="4">
      <t>アシバ</t>
    </rPh>
    <phoneticPr fontId="6"/>
  </si>
  <si>
    <t>直接仮設材運搬費</t>
    <rPh sb="0" eb="2">
      <t>チョクセツ</t>
    </rPh>
    <rPh sb="2" eb="4">
      <t>カセツ</t>
    </rPh>
    <rPh sb="4" eb="5">
      <t>ザイ</t>
    </rPh>
    <rPh sb="5" eb="7">
      <t>ウンパン</t>
    </rPh>
    <rPh sb="7" eb="8">
      <t>ヒ</t>
    </rPh>
    <phoneticPr fontId="6"/>
  </si>
  <si>
    <t>小    計</t>
    <phoneticPr fontId="6"/>
  </si>
  <si>
    <t>混合
廃棄物</t>
    <phoneticPr fontId="6"/>
  </si>
  <si>
    <t>摘            要</t>
    <phoneticPr fontId="6"/>
  </si>
  <si>
    <t>金    額</t>
    <phoneticPr fontId="6"/>
  </si>
  <si>
    <t>単   価</t>
    <phoneticPr fontId="6"/>
  </si>
  <si>
    <t>単 位</t>
    <phoneticPr fontId="6"/>
  </si>
  <si>
    <t>数   量</t>
    <phoneticPr fontId="6"/>
  </si>
  <si>
    <t>形   状   寸   法</t>
    <phoneticPr fontId="6"/>
  </si>
  <si>
    <t>名             称</t>
    <phoneticPr fontId="6"/>
  </si>
  <si>
    <t>運搬時間</t>
    <phoneticPr fontId="6"/>
  </si>
  <si>
    <t>式</t>
    <phoneticPr fontId="6"/>
  </si>
  <si>
    <t>積</t>
    <phoneticPr fontId="6"/>
  </si>
  <si>
    <t>直接仮設工事</t>
    <phoneticPr fontId="6"/>
  </si>
  <si>
    <t>今回変更の工事シート番号を入力（変更が無い場合は空欄）→</t>
    <rPh sb="10" eb="12">
      <t>バンゴウ</t>
    </rPh>
    <rPh sb="13" eb="15">
      <t>ニュウリョク</t>
    </rPh>
    <rPh sb="16" eb="18">
      <t>ヘンコウ</t>
    </rPh>
    <rPh sb="19" eb="20">
      <t>ナ</t>
    </rPh>
    <rPh sb="21" eb="23">
      <t>バアイ</t>
    </rPh>
    <rPh sb="24" eb="26">
      <t>クウラン</t>
    </rPh>
    <phoneticPr fontId="6"/>
  </si>
  <si>
    <t>変</t>
    <rPh sb="0" eb="1">
      <t>ヘン</t>
    </rPh>
    <phoneticPr fontId="6"/>
  </si>
  <si>
    <t>-</t>
  </si>
  <si>
    <t>建物種別補正（"駅施設"又は"地上建物"を選択）--&gt;
※駅施設工事の場合は仮設建物費・動力用水光熱費分を補正</t>
    <phoneticPr fontId="6"/>
  </si>
  <si>
    <t>端数処理の桁数</t>
    <rPh sb="0" eb="2">
      <t>ハスウ</t>
    </rPh>
    <rPh sb="2" eb="4">
      <t>ショリ</t>
    </rPh>
    <rPh sb="5" eb="7">
      <t>ケタスウ</t>
    </rPh>
    <phoneticPr fontId="6"/>
  </si>
  <si>
    <t>今回変更</t>
    <phoneticPr fontId="6"/>
  </si>
  <si>
    <t>既発注工事</t>
    <rPh sb="0" eb="1">
      <t>キ</t>
    </rPh>
    <rPh sb="1" eb="3">
      <t>ハッチュウ</t>
    </rPh>
    <rPh sb="3" eb="5">
      <t>コウジ</t>
    </rPh>
    <phoneticPr fontId="6"/>
  </si>
  <si>
    <t>(01)</t>
    <phoneticPr fontId="6"/>
  </si>
  <si>
    <t>雑建物-定額50年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</si>
  <si>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SRC造・RC造で他(下記の(01)～(27))に該当がないもの</t>
    <rPh sb="3" eb="4">
      <t>ヅクリ</t>
    </rPh>
    <rPh sb="7" eb="8">
      <t>ヅクリ</t>
    </rPh>
    <rPh sb="9" eb="10">
      <t>タ</t>
    </rPh>
    <rPh sb="11" eb="13">
      <t>カキ</t>
    </rPh>
    <rPh sb="25" eb="27">
      <t>ガイトウ</t>
    </rPh>
    <phoneticPr fontId="6"/>
  </si>
  <si>
    <t>(02)</t>
  </si>
  <si>
    <t>雑建物-定額47年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</si>
  <si>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(03)</t>
  </si>
  <si>
    <t>雑建物-定額41年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</si>
  <si>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れんが石ブロック造のもので他(下記の(04)～(27))に該当がないもの</t>
    <phoneticPr fontId="6"/>
  </si>
  <si>
    <t>(04)</t>
  </si>
  <si>
    <t>雑建物-定額39年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</si>
  <si>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(05)</t>
  </si>
  <si>
    <t>雑建物-定額38年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</si>
  <si>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SRC造・RC造で発電所用、送受信所用、格納庫用、荷扱所用のもの
金属造(4mm超)のもので、他(下記の(06)～(27))他に該当がないもの</t>
    <rPh sb="3" eb="4">
      <t>ヅクリ</t>
    </rPh>
    <rPh sb="7" eb="8">
      <t>ヅクリ</t>
    </rPh>
    <rPh sb="9" eb="11">
      <t>ハツデン</t>
    </rPh>
    <rPh sb="11" eb="12">
      <t>トコロ</t>
    </rPh>
    <rPh sb="12" eb="13">
      <t>ヨウ</t>
    </rPh>
    <rPh sb="14" eb="17">
      <t>ソウジュシン</t>
    </rPh>
    <rPh sb="17" eb="18">
      <t>ショ</t>
    </rPh>
    <rPh sb="18" eb="19">
      <t>ヨウ</t>
    </rPh>
    <rPh sb="20" eb="23">
      <t>カクノウコ</t>
    </rPh>
    <rPh sb="23" eb="24">
      <t>ヨウ</t>
    </rPh>
    <rPh sb="25" eb="27">
      <t>ニアツカイ</t>
    </rPh>
    <rPh sb="27" eb="28">
      <t>トコロ</t>
    </rPh>
    <rPh sb="28" eb="29">
      <t>ヨウ</t>
    </rPh>
    <rPh sb="33" eb="35">
      <t>キンゾク</t>
    </rPh>
    <rPh sb="35" eb="36">
      <t>ゾウ</t>
    </rPh>
    <rPh sb="40" eb="41">
      <t>チョウ</t>
    </rPh>
    <rPh sb="62" eb="63">
      <t>ホカ</t>
    </rPh>
    <rPh sb="64" eb="66">
      <t>ガイトウ</t>
    </rPh>
    <phoneticPr fontId="6"/>
  </si>
  <si>
    <t>(06)</t>
  </si>
  <si>
    <t>雑建物-定額36年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</si>
  <si>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(07)</t>
  </si>
  <si>
    <t>雑建物-定額34年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</si>
  <si>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れんが石ブロック造のもので発電所用、送受信所用、格納庫用、荷扱所用のもの</t>
    <phoneticPr fontId="6"/>
  </si>
  <si>
    <t>(08)</t>
  </si>
  <si>
    <t>雑建物-定額31年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</si>
  <si>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金属造(4mm超)のもので、発電所用、送受信所用、格納庫用、荷扱所用のもの</t>
    <phoneticPr fontId="6"/>
  </si>
  <si>
    <t>(09)</t>
  </si>
  <si>
    <t>雑建物-定額30年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</si>
  <si>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金属造(3mm超4mm以下)のもので、他(下記の(10)～(27))に該当がないもの</t>
    <rPh sb="7" eb="8">
      <t>コ</t>
    </rPh>
    <rPh sb="11" eb="13">
      <t>イカ</t>
    </rPh>
    <phoneticPr fontId="6"/>
  </si>
  <si>
    <t>雑建物-定額29年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</si>
  <si>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(11)</t>
  </si>
  <si>
    <t>雑建物-定額28年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</si>
  <si>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(12)</t>
  </si>
  <si>
    <t>雑建物-定額27年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</si>
  <si>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(13)</t>
  </si>
  <si>
    <t>雑建物-定額26年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</si>
  <si>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(14)</t>
  </si>
  <si>
    <t>雑建物-定額25年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</si>
  <si>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金属造(3mm超4mm以下)のもので、発電所用、送受信所用、格納庫用、荷扱所用のもの</t>
    <rPh sb="7" eb="8">
      <t>コ</t>
    </rPh>
    <rPh sb="11" eb="13">
      <t>イカ</t>
    </rPh>
    <phoneticPr fontId="6"/>
  </si>
  <si>
    <t>(15)</t>
  </si>
  <si>
    <t>雑建物-定額24年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</si>
  <si>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木造又は合成樹脂のもので、他(下記の(16)～(27))に該当がないもの</t>
    <rPh sb="0" eb="2">
      <t>モクゾウ</t>
    </rPh>
    <rPh sb="2" eb="3">
      <t>マタ</t>
    </rPh>
    <rPh sb="4" eb="6">
      <t>ゴウセイ</t>
    </rPh>
    <rPh sb="6" eb="8">
      <t>ジュシ</t>
    </rPh>
    <rPh sb="13" eb="14">
      <t>ホカ</t>
    </rPh>
    <rPh sb="29" eb="31">
      <t>ガイトウ</t>
    </rPh>
    <phoneticPr fontId="6"/>
  </si>
  <si>
    <t>(16)</t>
  </si>
  <si>
    <t>雑建物-定額22年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</si>
  <si>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金属造(3mm以下)のもので、他(下記の(17)～(27))に該当がないもの
木骨モルタル造のもので、他下記の(17)～(27))に該当がないもの</t>
    <rPh sb="15" eb="16">
      <t>ホカ</t>
    </rPh>
    <rPh sb="31" eb="33">
      <t>ガイトウ</t>
    </rPh>
    <rPh sb="39" eb="40">
      <t>モク</t>
    </rPh>
    <rPh sb="40" eb="41">
      <t>ホネ</t>
    </rPh>
    <rPh sb="45" eb="46">
      <t>ヅクリ</t>
    </rPh>
    <rPh sb="51" eb="52">
      <t>タ</t>
    </rPh>
    <rPh sb="66" eb="68">
      <t>ガイトウ</t>
    </rPh>
    <phoneticPr fontId="6"/>
  </si>
  <si>
    <t>(17)</t>
  </si>
  <si>
    <t>雑建物-定額21年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</si>
  <si>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(18)</t>
  </si>
  <si>
    <t>雑建物-定額20年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</si>
  <si>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(19)</t>
  </si>
  <si>
    <t>雑建物-定額19年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</si>
  <si>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金属造(3mm以下)のもので、発電所用、送受信所用、格納庫用、荷扱所用のもの</t>
    <phoneticPr fontId="6"/>
  </si>
  <si>
    <t>(20)</t>
  </si>
  <si>
    <t>雑建物-定額17年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</si>
  <si>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木造又は合成樹脂造のもので、発電所用、送受信所用、格納庫用、荷扱所用のもの</t>
    <rPh sb="0" eb="2">
      <t>モクゾウ</t>
    </rPh>
    <rPh sb="2" eb="3">
      <t>マタ</t>
    </rPh>
    <rPh sb="4" eb="6">
      <t>ゴウセイ</t>
    </rPh>
    <rPh sb="6" eb="8">
      <t>ジュシ</t>
    </rPh>
    <rPh sb="8" eb="9">
      <t>ゾウ</t>
    </rPh>
    <phoneticPr fontId="6"/>
  </si>
  <si>
    <t>(21)</t>
  </si>
  <si>
    <t>雑建物-定額15年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</si>
  <si>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木骨モルタル造のもので、発電所用、送受信所用、格納庫用、荷扱所用のもの</t>
    <rPh sb="0" eb="1">
      <t>モク</t>
    </rPh>
    <rPh sb="1" eb="2">
      <t>ホネ</t>
    </rPh>
    <rPh sb="6" eb="7">
      <t>ツク</t>
    </rPh>
    <phoneticPr fontId="6"/>
  </si>
  <si>
    <t>(22)</t>
  </si>
  <si>
    <t>雑建物-定額14年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</si>
  <si>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(23)</t>
  </si>
  <si>
    <t>雑建物-定額12年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</si>
  <si>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(24)</t>
  </si>
  <si>
    <t>雑建物-定額11年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</si>
  <si>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(25)</t>
  </si>
  <si>
    <t>雑建物-定額10年</t>
    <rPh sb="0" eb="1">
      <t>ザツ</t>
    </rPh>
    <rPh sb="1" eb="3">
      <t>タテモノ</t>
    </rPh>
    <rPh sb="4" eb="6">
      <t>テイガク</t>
    </rPh>
    <rPh sb="8" eb="9">
      <t>ネン</t>
    </rPh>
    <phoneticPr fontId="6"/>
  </si>
  <si>
    <t>木製主要柱が10cm角以下のもので、土居ぶき、ルーフィングぶき又はトタンぶきのもので、他の科目に属さないもの</t>
    <rPh sb="0" eb="2">
      <t>モクセイ</t>
    </rPh>
    <rPh sb="2" eb="4">
      <t>シュヨウ</t>
    </rPh>
    <rPh sb="4" eb="5">
      <t>ハシラ</t>
    </rPh>
    <rPh sb="10" eb="11">
      <t>カク</t>
    </rPh>
    <rPh sb="11" eb="13">
      <t>イカ</t>
    </rPh>
    <rPh sb="18" eb="20">
      <t>ドイ</t>
    </rPh>
    <rPh sb="31" eb="32">
      <t>マタ</t>
    </rPh>
    <rPh sb="43" eb="44">
      <t>タ</t>
    </rPh>
    <rPh sb="45" eb="47">
      <t>カモク</t>
    </rPh>
    <rPh sb="48" eb="49">
      <t>ゾク</t>
    </rPh>
    <phoneticPr fontId="6"/>
  </si>
  <si>
    <t>(26)</t>
  </si>
  <si>
    <t>雑建物-定額9年</t>
    <rPh sb="0" eb="1">
      <t>ザツ</t>
    </rPh>
    <rPh sb="1" eb="3">
      <t>タテモノ</t>
    </rPh>
    <rPh sb="4" eb="6">
      <t>テイガク</t>
    </rPh>
    <rPh sb="7" eb="8">
      <t>ネン</t>
    </rPh>
    <phoneticPr fontId="6"/>
  </si>
  <si>
    <t>(27)</t>
  </si>
  <si>
    <t>雑建物-定額7年</t>
    <rPh sb="0" eb="1">
      <t>ザツ</t>
    </rPh>
    <rPh sb="1" eb="3">
      <t>タテモノ</t>
    </rPh>
    <rPh sb="4" eb="6">
      <t>テイガク</t>
    </rPh>
    <rPh sb="7" eb="8">
      <t>ネン</t>
    </rPh>
    <phoneticPr fontId="6"/>
  </si>
  <si>
    <t>堀立造のもの及び仮設のもので、他の科目に属さないもの</t>
    <rPh sb="0" eb="1">
      <t>ホリ</t>
    </rPh>
    <rPh sb="1" eb="2">
      <t>タ</t>
    </rPh>
    <rPh sb="2" eb="3">
      <t>ヅクリ</t>
    </rPh>
    <rPh sb="6" eb="7">
      <t>オヨ</t>
    </rPh>
    <rPh sb="8" eb="10">
      <t>カセツ</t>
    </rPh>
    <rPh sb="15" eb="16">
      <t>ホカ</t>
    </rPh>
    <rPh sb="17" eb="19">
      <t>カモク</t>
    </rPh>
    <rPh sb="20" eb="21">
      <t>ゾク</t>
    </rPh>
    <phoneticPr fontId="6"/>
  </si>
  <si>
    <t>24(42)-2</t>
    <phoneticPr fontId="6"/>
  </si>
  <si>
    <t>前掲以外・前掲区分外-主として金属製の管理シャッター</t>
    <rPh sb="19" eb="21">
      <t>カンリ</t>
    </rPh>
    <phoneticPr fontId="6"/>
  </si>
  <si>
    <t>24(42)-3</t>
    <phoneticPr fontId="6"/>
  </si>
  <si>
    <t>前掲以外・前掲区分外-主として金属製の防火シャッター</t>
    <rPh sb="19" eb="21">
      <t>ボウカ</t>
    </rPh>
    <phoneticPr fontId="6"/>
  </si>
  <si>
    <t>25(43)-2</t>
    <phoneticPr fontId="6"/>
  </si>
  <si>
    <t>前掲以外・前掲区分外-金属製以外の防火シャッター</t>
    <phoneticPr fontId="6"/>
  </si>
  <si>
    <t>18(36)</t>
    <phoneticPr fontId="6"/>
  </si>
  <si>
    <t>19(37)</t>
    <phoneticPr fontId="6"/>
  </si>
  <si>
    <t>20(38)</t>
    <phoneticPr fontId="6"/>
  </si>
  <si>
    <t>アーケード又は日よけ設備-その他のもの</t>
    <phoneticPr fontId="6"/>
  </si>
  <si>
    <t>21(39)</t>
    <phoneticPr fontId="6"/>
  </si>
  <si>
    <t>店用簡易設備</t>
    <phoneticPr fontId="6"/>
  </si>
  <si>
    <t>22(40)</t>
    <phoneticPr fontId="6"/>
  </si>
  <si>
    <t>可動間仕切-簡易なもの</t>
    <rPh sb="2" eb="5">
      <t>マジキリ</t>
    </rPh>
    <phoneticPr fontId="6"/>
  </si>
  <si>
    <t>23(41)</t>
    <phoneticPr fontId="6"/>
  </si>
  <si>
    <t>可動間仕切-その他のもの</t>
    <rPh sb="2" eb="5">
      <t>マジキリ</t>
    </rPh>
    <phoneticPr fontId="6"/>
  </si>
  <si>
    <t>24(42)-1</t>
    <phoneticPr fontId="6"/>
  </si>
  <si>
    <t>前掲以外・前掲区分外-主として金属製の止水設備</t>
    <rPh sb="19" eb="21">
      <t>シスイ</t>
    </rPh>
    <rPh sb="21" eb="23">
      <t>セツビ</t>
    </rPh>
    <phoneticPr fontId="6"/>
  </si>
  <si>
    <t>25(43)-1</t>
    <phoneticPr fontId="6"/>
  </si>
  <si>
    <t>前掲以外・前掲区分外-金属製以外の止水設備</t>
    <rPh sb="11" eb="14">
      <t>キンゾクセイ</t>
    </rPh>
    <rPh sb="14" eb="16">
      <t>イガイ</t>
    </rPh>
    <rPh sb="17" eb="19">
      <t>シスイ</t>
    </rPh>
    <rPh sb="19" eb="21">
      <t>セツビ</t>
    </rPh>
    <phoneticPr fontId="6"/>
  </si>
  <si>
    <t>10(28)</t>
    <phoneticPr fontId="6"/>
  </si>
  <si>
    <t>11(29)</t>
    <phoneticPr fontId="6"/>
  </si>
  <si>
    <t>12(30)</t>
    <phoneticPr fontId="6"/>
  </si>
  <si>
    <t>13(31)</t>
    <phoneticPr fontId="6"/>
  </si>
  <si>
    <t>14(32)</t>
    <phoneticPr fontId="6"/>
  </si>
  <si>
    <t>15(33)</t>
    <phoneticPr fontId="6"/>
  </si>
  <si>
    <t>16(34)</t>
    <phoneticPr fontId="6"/>
  </si>
  <si>
    <t>17(35)</t>
    <phoneticPr fontId="6"/>
  </si>
  <si>
    <t>看板・広告機器</t>
    <rPh sb="0" eb="2">
      <t>カンバン</t>
    </rPh>
    <rPh sb="3" eb="5">
      <t>コウコク</t>
    </rPh>
    <rPh sb="5" eb="7">
      <t>キキ</t>
    </rPh>
    <phoneticPr fontId="6"/>
  </si>
  <si>
    <t>器具・備品-電照サイン-金属製</t>
    <rPh sb="0" eb="2">
      <t>キグ</t>
    </rPh>
    <rPh sb="3" eb="5">
      <t>ビヒン</t>
    </rPh>
    <rPh sb="6" eb="8">
      <t>デンショウ</t>
    </rPh>
    <rPh sb="12" eb="15">
      <t>キンゾクセイ</t>
    </rPh>
    <phoneticPr fontId="6"/>
  </si>
  <si>
    <t>器具・備品-非電照サイン-金属製</t>
    <rPh sb="0" eb="2">
      <t>キグ</t>
    </rPh>
    <rPh sb="3" eb="5">
      <t>ビヒン</t>
    </rPh>
    <rPh sb="6" eb="7">
      <t>ヒ</t>
    </rPh>
    <rPh sb="7" eb="9">
      <t>デンショウ</t>
    </rPh>
    <rPh sb="13" eb="16">
      <t>キンゾクセイ</t>
    </rPh>
    <phoneticPr fontId="6"/>
  </si>
  <si>
    <t>器具・備品-電照広告-金属製</t>
    <rPh sb="0" eb="2">
      <t>キグ</t>
    </rPh>
    <rPh sb="3" eb="5">
      <t>ビヒン</t>
    </rPh>
    <rPh sb="6" eb="8">
      <t>デンショウ</t>
    </rPh>
    <rPh sb="8" eb="10">
      <t>コウコク</t>
    </rPh>
    <rPh sb="11" eb="14">
      <t>キンゾクセイ</t>
    </rPh>
    <phoneticPr fontId="6"/>
  </si>
  <si>
    <t>器具・備品-非電照広告-金属製</t>
    <rPh sb="0" eb="2">
      <t>キグ</t>
    </rPh>
    <rPh sb="3" eb="5">
      <t>ビヒン</t>
    </rPh>
    <rPh sb="6" eb="7">
      <t>ヒ</t>
    </rPh>
    <rPh sb="7" eb="8">
      <t>デン</t>
    </rPh>
    <rPh sb="8" eb="9">
      <t>テ</t>
    </rPh>
    <rPh sb="9" eb="11">
      <t>コウコク</t>
    </rPh>
    <rPh sb="12" eb="15">
      <t>キンゾクセイ</t>
    </rPh>
    <phoneticPr fontId="6"/>
  </si>
  <si>
    <t>器具・備品-電照サイン-その他</t>
    <rPh sb="0" eb="2">
      <t>キグ</t>
    </rPh>
    <rPh sb="3" eb="5">
      <t>ビヒン</t>
    </rPh>
    <rPh sb="6" eb="8">
      <t>デンショウ</t>
    </rPh>
    <rPh sb="14" eb="15">
      <t>タ</t>
    </rPh>
    <phoneticPr fontId="6"/>
  </si>
  <si>
    <t>器具・備品-非電照サイン-その他</t>
    <rPh sb="0" eb="2">
      <t>キグ</t>
    </rPh>
    <rPh sb="3" eb="5">
      <t>ビヒン</t>
    </rPh>
    <rPh sb="6" eb="7">
      <t>ヒ</t>
    </rPh>
    <rPh sb="7" eb="9">
      <t>デンショウ</t>
    </rPh>
    <rPh sb="15" eb="16">
      <t>タ</t>
    </rPh>
    <phoneticPr fontId="6"/>
  </si>
  <si>
    <t>器具・備品-電照広告-その他</t>
    <rPh sb="0" eb="2">
      <t>キグ</t>
    </rPh>
    <rPh sb="3" eb="5">
      <t>ビヒン</t>
    </rPh>
    <rPh sb="6" eb="8">
      <t>デンショウ</t>
    </rPh>
    <rPh sb="8" eb="10">
      <t>コウコク</t>
    </rPh>
    <rPh sb="13" eb="14">
      <t>タ</t>
    </rPh>
    <phoneticPr fontId="6"/>
  </si>
  <si>
    <t>器具・備品-非電照広告-その他</t>
    <rPh sb="0" eb="2">
      <t>キグ</t>
    </rPh>
    <rPh sb="3" eb="5">
      <t>ビヒン</t>
    </rPh>
    <rPh sb="6" eb="7">
      <t>ヒ</t>
    </rPh>
    <rPh sb="7" eb="8">
      <t>デン</t>
    </rPh>
    <rPh sb="8" eb="9">
      <t>テ</t>
    </rPh>
    <rPh sb="9" eb="11">
      <t>コウコク</t>
    </rPh>
    <rPh sb="14" eb="15">
      <t>タ</t>
    </rPh>
    <phoneticPr fontId="6"/>
  </si>
  <si>
    <t>変更工事価格（変更諸経費表より）</t>
    <rPh sb="0" eb="2">
      <t>ヘンコウ</t>
    </rPh>
    <rPh sb="2" eb="4">
      <t>コウジ</t>
    </rPh>
    <rPh sb="4" eb="6">
      <t>カカク</t>
    </rPh>
    <rPh sb="7" eb="9">
      <t>ヘンコウ</t>
    </rPh>
    <rPh sb="9" eb="12">
      <t>ショケイヒ</t>
    </rPh>
    <rPh sb="12" eb="13">
      <t>ヒョウ</t>
    </rPh>
    <phoneticPr fontId="6"/>
  </si>
  <si>
    <t>↑K1セルに工期を入力</t>
    <rPh sb="6" eb="8">
      <t>コウキ</t>
    </rPh>
    <rPh sb="9" eb="11">
      <t>ニュウリョク</t>
    </rPh>
    <phoneticPr fontId="6"/>
  </si>
  <si>
    <t>←L1セルに工期Tを手入力</t>
    <rPh sb="6" eb="8">
      <t>コウキ</t>
    </rPh>
    <rPh sb="10" eb="11">
      <t>テ</t>
    </rPh>
    <rPh sb="11" eb="13">
      <t>ニュウリョク</t>
    </rPh>
    <phoneticPr fontId="6"/>
  </si>
  <si>
    <t>2021/＊＊/＊＊</t>
    <phoneticPr fontId="6"/>
  </si>
  <si>
    <t>今回変更の工事シート番号を入力
（変更無しなら空欄）→</t>
    <rPh sb="10" eb="12">
      <t>バンゴウ</t>
    </rPh>
    <rPh sb="13" eb="15">
      <t>ニュウリョク</t>
    </rPh>
    <rPh sb="17" eb="19">
      <t>ヘンコウ</t>
    </rPh>
    <rPh sb="19" eb="20">
      <t>ナ</t>
    </rPh>
    <rPh sb="23" eb="25">
      <t>クウラン</t>
    </rPh>
    <phoneticPr fontId="6"/>
  </si>
  <si>
    <t>既発注工事価格</t>
    <rPh sb="0" eb="1">
      <t>キ</t>
    </rPh>
    <rPh sb="1" eb="3">
      <t>ハッチュウ</t>
    </rPh>
    <rPh sb="3" eb="5">
      <t>コウジ</t>
    </rPh>
    <rPh sb="5" eb="7">
      <t>カカク</t>
    </rPh>
    <phoneticPr fontId="6"/>
  </si>
  <si>
    <t>05建物</t>
  </si>
  <si>
    <t>10構築物</t>
  </si>
  <si>
    <t>25工具・器具・備品</t>
  </si>
  <si>
    <t>059工具・器具・備品</t>
  </si>
  <si>
    <t>改修・新営を選択--&gt;</t>
  </si>
  <si>
    <t>前　払 い 有り・無し--&gt;</t>
  </si>
  <si>
    <t>　純　　工　　事　　費　　　　合　　計</t>
  </si>
  <si>
    <t>現場管理費より控除する専門・除外の工事費---&gt;</t>
  </si>
  <si>
    <t>　工 　事 　価 　格</t>
  </si>
  <si>
    <t>当該率---&gt;</t>
  </si>
  <si>
    <t>※(1)及び(2) ---&gt; 新築・改修工事が一括発注の場合は、合計額に対する各々の率</t>
  </si>
  <si>
    <t>(12)～（17）</t>
  </si>
  <si>
    <t>(1)建築工事～(14)借地借家料</t>
  </si>
  <si>
    <t>(17)下水道使用料、各種負担金（共通仮設）</t>
  </si>
  <si>
    <t>Jo</t>
  </si>
  <si>
    <t>Gp</t>
  </si>
  <si>
    <t>今回変更</t>
    <rPh sb="0" eb="2">
      <t>コンカイ</t>
    </rPh>
    <rPh sb="2" eb="4">
      <t>ヘンコウ</t>
    </rPh>
    <phoneticPr fontId="6"/>
  </si>
  <si>
    <t>既発注無し</t>
    <rPh sb="0" eb="1">
      <t>キ</t>
    </rPh>
    <rPh sb="1" eb="3">
      <t>ハッチュウ</t>
    </rPh>
    <rPh sb="3" eb="4">
      <t>ナ</t>
    </rPh>
    <phoneticPr fontId="6"/>
  </si>
  <si>
    <t>C:\積算\</t>
    <phoneticPr fontId="6"/>
  </si>
  <si>
    <t>FixColumn</t>
    <phoneticPr fontId="6"/>
  </si>
  <si>
    <t>※変更諸経費表　工事価格（78行目と照合）</t>
    <rPh sb="1" eb="3">
      <t>ヘンコウ</t>
    </rPh>
    <rPh sb="3" eb="6">
      <t>ショケイヒ</t>
    </rPh>
    <rPh sb="6" eb="7">
      <t>ヒョウ</t>
    </rPh>
    <rPh sb="8" eb="10">
      <t>コウジ</t>
    </rPh>
    <rPh sb="10" eb="12">
      <t>カカク</t>
    </rPh>
    <rPh sb="15" eb="16">
      <t>ギョウ</t>
    </rPh>
    <rPh sb="16" eb="17">
      <t>メ</t>
    </rPh>
    <rPh sb="18" eb="20">
      <t>ショウゴウ</t>
    </rPh>
    <phoneticPr fontId="6"/>
  </si>
  <si>
    <t>\\svfile92\k1_eizen$\建築グループ共有\０８）予算、資金計画、長期計画、積算関連\５．積算資料\標準単価\標準単価2020\</t>
    <phoneticPr fontId="6"/>
  </si>
  <si>
    <t>既発注+今回変更　合計工事価格（変更諸経費表より）</t>
    <rPh sb="0" eb="1">
      <t>キ</t>
    </rPh>
    <rPh sb="1" eb="3">
      <t>ハッチュウ</t>
    </rPh>
    <rPh sb="4" eb="6">
      <t>コンカイ</t>
    </rPh>
    <rPh sb="6" eb="8">
      <t>ヘンコウ</t>
    </rPh>
    <rPh sb="9" eb="11">
      <t>ゴウケイ</t>
    </rPh>
    <rPh sb="11" eb="13">
      <t>コウジ</t>
    </rPh>
    <rPh sb="13" eb="15">
      <t>カカク</t>
    </rPh>
    <rPh sb="16" eb="18">
      <t>ヘンコウ</t>
    </rPh>
    <rPh sb="18" eb="21">
      <t>ショケイヒ</t>
    </rPh>
    <rPh sb="21" eb="22">
      <t>ヒョウ</t>
    </rPh>
    <phoneticPr fontId="6"/>
  </si>
  <si>
    <t>←今回変更の工事シート番号を入力</t>
    <rPh sb="1" eb="3">
      <t>コンカイ</t>
    </rPh>
    <rPh sb="3" eb="5">
      <t>ヘンコウ</t>
    </rPh>
    <rPh sb="6" eb="8">
      <t>コウジ</t>
    </rPh>
    <rPh sb="11" eb="13">
      <t>バンゴウ</t>
    </rPh>
    <rPh sb="14" eb="16">
      <t>ニュウリョク</t>
    </rPh>
    <phoneticPr fontId="6"/>
  </si>
  <si>
    <t>←選択入力</t>
    <rPh sb="1" eb="3">
      <t>センタク</t>
    </rPh>
    <rPh sb="3" eb="5">
      <t>ニュウリョク</t>
    </rPh>
    <phoneticPr fontId="6"/>
  </si>
  <si>
    <t>勘定科目「目」--&gt;</t>
    <rPh sb="5" eb="6">
      <t>モク</t>
    </rPh>
    <phoneticPr fontId="9"/>
  </si>
  <si>
    <t>計上区分</t>
    <phoneticPr fontId="76"/>
  </si>
  <si>
    <t>資産or費用</t>
    <rPh sb="0" eb="2">
      <t>シサン</t>
    </rPh>
    <rPh sb="4" eb="6">
      <t>ヒヨウ</t>
    </rPh>
    <phoneticPr fontId="76"/>
  </si>
  <si>
    <t>)</t>
    <phoneticPr fontId="6"/>
  </si>
  <si>
    <t/>
  </si>
  <si>
    <t>今回変更の工事シート→</t>
  </si>
  <si>
    <t>変更共通費集計表</t>
  </si>
  <si>
    <t>共通仮設費　算出方法--&gt;</t>
  </si>
  <si>
    <t>建物種別補正（"駅施設"又は"地上建物"を選択）--&gt;
※駅施設工事の場合は仮設建物費・動力用水光熱費分を補正</t>
  </si>
  <si>
    <t>(12)～(17)</t>
  </si>
  <si>
    <t>現場管理費計</t>
  </si>
  <si>
    <t>既発注無し</t>
    <rPh sb="0" eb="1">
      <t>キ</t>
    </rPh>
    <rPh sb="1" eb="3">
      <t>ハッチュウ</t>
    </rPh>
    <rPh sb="3" eb="4">
      <t>ナシ</t>
    </rPh>
    <phoneticPr fontId="6"/>
  </si>
  <si>
    <t>←資産クラス分割表から自動転記</t>
    <rPh sb="1" eb="3">
      <t>シサン</t>
    </rPh>
    <rPh sb="6" eb="9">
      <t>ブンカツヒョウ</t>
    </rPh>
    <rPh sb="11" eb="13">
      <t>ジドウ</t>
    </rPh>
    <rPh sb="13" eb="15">
      <t>テンキ</t>
    </rPh>
    <phoneticPr fontId="6"/>
  </si>
  <si>
    <t>←土木工事があれば自動入力</t>
    <rPh sb="1" eb="3">
      <t>ドボク</t>
    </rPh>
    <rPh sb="3" eb="5">
      <t>コウジ</t>
    </rPh>
    <rPh sb="9" eb="11">
      <t>ジドウ</t>
    </rPh>
    <rPh sb="11" eb="13">
      <t>ニュウリョク</t>
    </rPh>
    <phoneticPr fontId="9"/>
  </si>
  <si>
    <t>←附帯工事があれば自動入力</t>
    <rPh sb="1" eb="3">
      <t>フタイ</t>
    </rPh>
    <rPh sb="3" eb="5">
      <t>コウジ</t>
    </rPh>
    <rPh sb="9" eb="11">
      <t>ジドウ</t>
    </rPh>
    <rPh sb="11" eb="13">
      <t>ニュウリョク</t>
    </rPh>
    <phoneticPr fontId="9"/>
  </si>
  <si>
    <t>←附帯工事があれば自動入力</t>
    <rPh sb="1" eb="3">
      <t>フタイ</t>
    </rPh>
    <rPh sb="3" eb="5">
      <t>コウジ</t>
    </rPh>
    <rPh sb="9" eb="11">
      <t>ジドウ</t>
    </rPh>
    <rPh sb="11" eb="13">
      <t>ニュウリョク</t>
    </rPh>
    <phoneticPr fontId="6"/>
  </si>
  <si>
    <t>←落札率は資産クラス分割表から自動転記</t>
    <rPh sb="1" eb="3">
      <t>ラクサツ</t>
    </rPh>
    <rPh sb="3" eb="4">
      <t>リツ</t>
    </rPh>
    <rPh sb="5" eb="7">
      <t>シサン</t>
    </rPh>
    <rPh sb="10" eb="13">
      <t>ブンカツヒョウ</t>
    </rPh>
    <rPh sb="15" eb="17">
      <t>ジドウ</t>
    </rPh>
    <rPh sb="17" eb="19">
      <t>テンキ</t>
    </rPh>
    <phoneticPr fontId="6"/>
  </si>
  <si>
    <t>←該当項目あれば入力</t>
    <rPh sb="1" eb="3">
      <t>ガイトウ</t>
    </rPh>
    <rPh sb="3" eb="5">
      <t>コウモク</t>
    </rPh>
    <rPh sb="8" eb="10">
      <t>ニュウリョク</t>
    </rPh>
    <phoneticPr fontId="6"/>
  </si>
  <si>
    <t>共通仮設費　算出方法--&gt;</t>
    <phoneticPr fontId="6"/>
  </si>
  <si>
    <t>改修・新営を選択--&gt;</t>
    <rPh sb="0" eb="2">
      <t>カイシュウ</t>
    </rPh>
    <rPh sb="3" eb="5">
      <t>シンエイ</t>
    </rPh>
    <rPh sb="6" eb="8">
      <t>センタク</t>
    </rPh>
    <phoneticPr fontId="6"/>
  </si>
  <si>
    <t>小数点以下1桁---&gt;</t>
    <phoneticPr fontId="6"/>
  </si>
  <si>
    <t>既発注無し</t>
  </si>
  <si>
    <t>資産クラスマスタ判定→</t>
    <rPh sb="0" eb="2">
      <t>シサン</t>
    </rPh>
    <rPh sb="8" eb="10">
      <t>ハンテイ</t>
    </rPh>
    <phoneticPr fontId="6"/>
  </si>
  <si>
    <t>表紙シート転記判定→</t>
    <rPh sb="0" eb="2">
      <t>ヒョウシ</t>
    </rPh>
    <rPh sb="5" eb="7">
      <t>テンキ</t>
    </rPh>
    <rPh sb="7" eb="9">
      <t>ハンテイ</t>
    </rPh>
    <phoneticPr fontId="6"/>
  </si>
  <si>
    <t>単価台帳Ｖｅｒと標準単価ファイルの紐付き</t>
    <rPh sb="0" eb="2">
      <t>タンカ</t>
    </rPh>
    <rPh sb="2" eb="4">
      <t>ダイチョウ</t>
    </rPh>
    <rPh sb="8" eb="10">
      <t>ヒョウジュン</t>
    </rPh>
    <rPh sb="10" eb="12">
      <t>タンカ</t>
    </rPh>
    <rPh sb="17" eb="18">
      <t>ヒモ</t>
    </rPh>
    <rPh sb="18" eb="19">
      <t>ツ</t>
    </rPh>
    <phoneticPr fontId="6"/>
  </si>
  <si>
    <t>平成28年3月</t>
    <rPh sb="0" eb="2">
      <t>ヘイセイ</t>
    </rPh>
    <rPh sb="4" eb="5">
      <t>ネン</t>
    </rPh>
    <rPh sb="6" eb="7">
      <t>ツキ</t>
    </rPh>
    <phoneticPr fontId="6"/>
  </si>
  <si>
    <t>標準単価27R2802xls</t>
    <rPh sb="0" eb="2">
      <t>ヒョウジュン</t>
    </rPh>
    <rPh sb="2" eb="4">
      <t>タンカ</t>
    </rPh>
    <phoneticPr fontId="6"/>
  </si>
  <si>
    <t>平成29年3月</t>
    <rPh sb="0" eb="2">
      <t>ヘイセイ</t>
    </rPh>
    <rPh sb="4" eb="5">
      <t>ネン</t>
    </rPh>
    <rPh sb="6" eb="7">
      <t>ツキ</t>
    </rPh>
    <phoneticPr fontId="6"/>
  </si>
  <si>
    <t>標準単価27R2903.xls</t>
    <rPh sb="0" eb="2">
      <t>ヒョウジュン</t>
    </rPh>
    <rPh sb="2" eb="4">
      <t>タンカ</t>
    </rPh>
    <phoneticPr fontId="6"/>
  </si>
  <si>
    <t>平成29年4月</t>
    <rPh sb="0" eb="2">
      <t>ヘイセイ</t>
    </rPh>
    <rPh sb="4" eb="5">
      <t>ネン</t>
    </rPh>
    <rPh sb="6" eb="7">
      <t>ツキ</t>
    </rPh>
    <phoneticPr fontId="6"/>
  </si>
  <si>
    <t>標準単価28R2903.xls</t>
    <rPh sb="0" eb="2">
      <t>ヒョウジュン</t>
    </rPh>
    <rPh sb="2" eb="4">
      <t>タンカ</t>
    </rPh>
    <phoneticPr fontId="6"/>
  </si>
  <si>
    <t>平成30年3月</t>
    <rPh sb="0" eb="2">
      <t>ヘイセイ</t>
    </rPh>
    <rPh sb="4" eb="5">
      <t>ネン</t>
    </rPh>
    <rPh sb="6" eb="7">
      <t>ツキ</t>
    </rPh>
    <phoneticPr fontId="6"/>
  </si>
  <si>
    <t>標準単価28R3003.xls</t>
    <rPh sb="0" eb="2">
      <t>ヒョウジュン</t>
    </rPh>
    <rPh sb="2" eb="4">
      <t>タンカ</t>
    </rPh>
    <phoneticPr fontId="6"/>
  </si>
  <si>
    <t>標準単価2018.xls</t>
    <rPh sb="0" eb="2">
      <t>ヒョウジュン</t>
    </rPh>
    <rPh sb="2" eb="4">
      <t>タンカ</t>
    </rPh>
    <phoneticPr fontId="6"/>
  </si>
  <si>
    <t>標準単価2019.xls</t>
    <rPh sb="0" eb="2">
      <t>ヒョウジュン</t>
    </rPh>
    <rPh sb="2" eb="4">
      <t>タンカ</t>
    </rPh>
    <phoneticPr fontId="6"/>
  </si>
  <si>
    <t>2020年8月</t>
    <rPh sb="4" eb="5">
      <t>ネン</t>
    </rPh>
    <rPh sb="6" eb="7">
      <t>ツキ</t>
    </rPh>
    <phoneticPr fontId="6"/>
  </si>
  <si>
    <t>標準単価2020.xls</t>
    <rPh sb="0" eb="2">
      <t>ヒョウジュン</t>
    </rPh>
    <rPh sb="2" eb="4">
      <t>タンカ</t>
    </rPh>
    <phoneticPr fontId="6"/>
  </si>
  <si>
    <t>平成28年3月(設計委託用 金無)</t>
    <rPh sb="0" eb="2">
      <t>ヘイセイ</t>
    </rPh>
    <rPh sb="4" eb="5">
      <t>ネン</t>
    </rPh>
    <rPh sb="6" eb="7">
      <t>ツキ</t>
    </rPh>
    <phoneticPr fontId="6"/>
  </si>
  <si>
    <t>標準単価金額無27R2802xls</t>
    <rPh sb="0" eb="2">
      <t>ヒョウジュン</t>
    </rPh>
    <rPh sb="2" eb="4">
      <t>タンカ</t>
    </rPh>
    <rPh sb="4" eb="6">
      <t>キンガク</t>
    </rPh>
    <rPh sb="6" eb="7">
      <t>ナ</t>
    </rPh>
    <phoneticPr fontId="6"/>
  </si>
  <si>
    <t>平成29年3月(設計委託用 金無)</t>
    <rPh sb="0" eb="2">
      <t>ヘイセイ</t>
    </rPh>
    <rPh sb="4" eb="5">
      <t>ネン</t>
    </rPh>
    <rPh sb="6" eb="7">
      <t>ツキ</t>
    </rPh>
    <phoneticPr fontId="6"/>
  </si>
  <si>
    <t>標準単価金額無27R2903.xls</t>
    <rPh sb="0" eb="2">
      <t>ヒョウジュン</t>
    </rPh>
    <rPh sb="2" eb="4">
      <t>タンカ</t>
    </rPh>
    <rPh sb="4" eb="6">
      <t>キンガク</t>
    </rPh>
    <rPh sb="6" eb="7">
      <t>ナ</t>
    </rPh>
    <phoneticPr fontId="6"/>
  </si>
  <si>
    <t>平成29年4月(設計委託用 金無)</t>
    <rPh sb="0" eb="2">
      <t>ヘイセイ</t>
    </rPh>
    <rPh sb="4" eb="5">
      <t>ネン</t>
    </rPh>
    <rPh sb="6" eb="7">
      <t>ツキ</t>
    </rPh>
    <phoneticPr fontId="6"/>
  </si>
  <si>
    <t>標準単価金額無28R2903.xls</t>
    <rPh sb="0" eb="2">
      <t>ヒョウジュン</t>
    </rPh>
    <rPh sb="2" eb="4">
      <t>タンカ</t>
    </rPh>
    <rPh sb="4" eb="6">
      <t>キンガク</t>
    </rPh>
    <rPh sb="6" eb="7">
      <t>ナ</t>
    </rPh>
    <phoneticPr fontId="6"/>
  </si>
  <si>
    <t>平成30年3月(設計委託用 金無)</t>
    <rPh sb="0" eb="2">
      <t>ヘイセイ</t>
    </rPh>
    <rPh sb="4" eb="5">
      <t>ネン</t>
    </rPh>
    <rPh sb="6" eb="7">
      <t>ツキ</t>
    </rPh>
    <phoneticPr fontId="6"/>
  </si>
  <si>
    <t>標準単価金額無28R3003.xls</t>
    <rPh sb="0" eb="2">
      <t>ヒョウジュン</t>
    </rPh>
    <rPh sb="2" eb="4">
      <t>タンカ</t>
    </rPh>
    <rPh sb="4" eb="6">
      <t>キンガク</t>
    </rPh>
    <rPh sb="6" eb="7">
      <t>ナ</t>
    </rPh>
    <phoneticPr fontId="6"/>
  </si>
  <si>
    <t>2018年5月(設計委託用 金無)</t>
    <rPh sb="4" eb="5">
      <t>ネン</t>
    </rPh>
    <rPh sb="6" eb="7">
      <t>ツキ</t>
    </rPh>
    <phoneticPr fontId="6"/>
  </si>
  <si>
    <t>標準単価金額無2018.xls</t>
    <rPh sb="0" eb="2">
      <t>ヒョウジュン</t>
    </rPh>
    <rPh sb="2" eb="4">
      <t>タンカ</t>
    </rPh>
    <rPh sb="4" eb="6">
      <t>キンガク</t>
    </rPh>
    <rPh sb="6" eb="7">
      <t>ナ</t>
    </rPh>
    <phoneticPr fontId="6"/>
  </si>
  <si>
    <t>2019年6月(設計委託用 金無)</t>
    <rPh sb="4" eb="5">
      <t>ネン</t>
    </rPh>
    <rPh sb="6" eb="7">
      <t>ツキ</t>
    </rPh>
    <phoneticPr fontId="6"/>
  </si>
  <si>
    <t>標準単価金額無2019.xls</t>
    <rPh sb="0" eb="2">
      <t>ヒョウジュン</t>
    </rPh>
    <rPh sb="2" eb="4">
      <t>タンカ</t>
    </rPh>
    <rPh sb="4" eb="6">
      <t>キンガク</t>
    </rPh>
    <rPh sb="6" eb="7">
      <t>ナ</t>
    </rPh>
    <phoneticPr fontId="6"/>
  </si>
  <si>
    <t>2020年8月(設計委託用 金無)</t>
    <rPh sb="4" eb="5">
      <t>ネン</t>
    </rPh>
    <rPh sb="6" eb="7">
      <t>ツキ</t>
    </rPh>
    <phoneticPr fontId="6"/>
  </si>
  <si>
    <t>標準単価金額無2020.xls</t>
    <rPh sb="0" eb="2">
      <t>ヒョウジュン</t>
    </rPh>
    <rPh sb="2" eb="4">
      <t>タンカ</t>
    </rPh>
    <rPh sb="4" eb="6">
      <t>キンガク</t>
    </rPh>
    <rPh sb="6" eb="7">
      <t>ナ</t>
    </rPh>
    <phoneticPr fontId="6"/>
  </si>
  <si>
    <t>2018年5月</t>
    <rPh sb="4" eb="5">
      <t>ネン</t>
    </rPh>
    <rPh sb="6" eb="7">
      <t>ツキ</t>
    </rPh>
    <phoneticPr fontId="6"/>
  </si>
  <si>
    <t>2019年6月</t>
    <rPh sb="4" eb="5">
      <t>ネン</t>
    </rPh>
    <rPh sb="6" eb="7">
      <t>ツキ</t>
    </rPh>
    <phoneticPr fontId="6"/>
  </si>
  <si>
    <t>工事シート番号（変更諸経費表より）(全体)　　　　</t>
    <rPh sb="0" eb="2">
      <t>コウジ</t>
    </rPh>
    <rPh sb="5" eb="7">
      <t>バンゴウ</t>
    </rPh>
    <rPh sb="8" eb="10">
      <t>ヘンコウ</t>
    </rPh>
    <rPh sb="10" eb="13">
      <t>ショケイヒ</t>
    </rPh>
    <rPh sb="13" eb="14">
      <t>ヒョウ</t>
    </rPh>
    <rPh sb="18" eb="20">
      <t>ゼンタイ</t>
    </rPh>
    <phoneticPr fontId="6"/>
  </si>
  <si>
    <t>工事シート番号（変更諸経費表より）(今回変更)</t>
    <rPh sb="0" eb="2">
      <t>コウジ</t>
    </rPh>
    <rPh sb="5" eb="7">
      <t>バンゴウ</t>
    </rPh>
    <rPh sb="8" eb="10">
      <t>ヘンコウ</t>
    </rPh>
    <rPh sb="10" eb="13">
      <t>ショケイヒ</t>
    </rPh>
    <rPh sb="13" eb="14">
      <t>ヒョウ</t>
    </rPh>
    <rPh sb="18" eb="20">
      <t>コンカイ</t>
    </rPh>
    <rPh sb="20" eb="22">
      <t>ヘンコウ</t>
    </rPh>
    <phoneticPr fontId="6"/>
  </si>
  <si>
    <t>建築工事／附帯工事</t>
    <rPh sb="0" eb="2">
      <t>ケンチク</t>
    </rPh>
    <rPh sb="2" eb="4">
      <t>コウジ</t>
    </rPh>
    <rPh sb="5" eb="7">
      <t>フタイ</t>
    </rPh>
    <rPh sb="7" eb="9">
      <t>コウジ</t>
    </rPh>
    <phoneticPr fontId="76"/>
  </si>
  <si>
    <t>落札率：R＝＞</t>
    <phoneticPr fontId="6"/>
  </si>
  <si>
    <t>落札率：R＝＞</t>
    <phoneticPr fontId="6"/>
  </si>
  <si>
    <t>工種一覧</t>
    <rPh sb="0" eb="2">
      <t>コウシュ</t>
    </rPh>
    <rPh sb="2" eb="4">
      <t>イチラン</t>
    </rPh>
    <phoneticPr fontId="6"/>
  </si>
  <si>
    <t>土工事</t>
    <rPh sb="0" eb="1">
      <t>ツチ</t>
    </rPh>
    <rPh sb="1" eb="3">
      <t>コウジ</t>
    </rPh>
    <phoneticPr fontId="2"/>
  </si>
  <si>
    <t>地業工事</t>
    <rPh sb="0" eb="2">
      <t>ジギョウ</t>
    </rPh>
    <rPh sb="2" eb="4">
      <t>コウジ</t>
    </rPh>
    <phoneticPr fontId="2"/>
  </si>
  <si>
    <t>鉄筋工事</t>
    <rPh sb="0" eb="2">
      <t>テッキン</t>
    </rPh>
    <rPh sb="2" eb="4">
      <t>コウジ</t>
    </rPh>
    <phoneticPr fontId="2"/>
  </si>
  <si>
    <t>コンクリート工事</t>
    <rPh sb="6" eb="8">
      <t>コウジ</t>
    </rPh>
    <phoneticPr fontId="2"/>
  </si>
  <si>
    <t>鉄骨工事</t>
    <rPh sb="0" eb="2">
      <t>テッコツ</t>
    </rPh>
    <rPh sb="2" eb="4">
      <t>コウジ</t>
    </rPh>
    <phoneticPr fontId="2"/>
  </si>
  <si>
    <t>コンクリートブロック・ＡＬＣパネル・押出成形セメント板工事</t>
    <rPh sb="18" eb="20">
      <t>オシダシ</t>
    </rPh>
    <rPh sb="20" eb="22">
      <t>セイケイ</t>
    </rPh>
    <rPh sb="26" eb="27">
      <t>イタ</t>
    </rPh>
    <rPh sb="27" eb="29">
      <t>コウジ</t>
    </rPh>
    <phoneticPr fontId="2"/>
  </si>
  <si>
    <t>防水工事</t>
    <rPh sb="0" eb="2">
      <t>ボウスイ</t>
    </rPh>
    <rPh sb="2" eb="4">
      <t>コウジ</t>
    </rPh>
    <phoneticPr fontId="2"/>
  </si>
  <si>
    <t>石工事</t>
    <rPh sb="0" eb="1">
      <t>イシ</t>
    </rPh>
    <rPh sb="1" eb="3">
      <t>コウジ</t>
    </rPh>
    <phoneticPr fontId="2"/>
  </si>
  <si>
    <t>タイル工事</t>
    <rPh sb="3" eb="5">
      <t>コウジ</t>
    </rPh>
    <phoneticPr fontId="2"/>
  </si>
  <si>
    <t>木工事</t>
    <rPh sb="0" eb="1">
      <t>モク</t>
    </rPh>
    <rPh sb="1" eb="3">
      <t>コウジ</t>
    </rPh>
    <phoneticPr fontId="2"/>
  </si>
  <si>
    <t>屋根及びとい工事</t>
    <rPh sb="0" eb="2">
      <t>ヤネ</t>
    </rPh>
    <rPh sb="2" eb="3">
      <t>オヨ</t>
    </rPh>
    <rPh sb="6" eb="8">
      <t>コウジ</t>
    </rPh>
    <phoneticPr fontId="2"/>
  </si>
  <si>
    <t>金属工事</t>
    <rPh sb="0" eb="2">
      <t>キンゾク</t>
    </rPh>
    <rPh sb="2" eb="4">
      <t>コウジ</t>
    </rPh>
    <phoneticPr fontId="2"/>
  </si>
  <si>
    <t>左官工事</t>
    <rPh sb="0" eb="2">
      <t>サカン</t>
    </rPh>
    <rPh sb="2" eb="4">
      <t>コウジ</t>
    </rPh>
    <phoneticPr fontId="2"/>
  </si>
  <si>
    <t>建具工事</t>
    <rPh sb="0" eb="2">
      <t>タテグ</t>
    </rPh>
    <rPh sb="2" eb="4">
      <t>コウジ</t>
    </rPh>
    <phoneticPr fontId="2"/>
  </si>
  <si>
    <t>カーテンウォール工事</t>
    <rPh sb="8" eb="10">
      <t>コウジ</t>
    </rPh>
    <phoneticPr fontId="2"/>
  </si>
  <si>
    <t>塗装工事</t>
    <rPh sb="0" eb="2">
      <t>トソウ</t>
    </rPh>
    <rPh sb="2" eb="4">
      <t>コウジ</t>
    </rPh>
    <phoneticPr fontId="2"/>
  </si>
  <si>
    <t>内装工事</t>
    <rPh sb="0" eb="2">
      <t>ナイソウ</t>
    </rPh>
    <rPh sb="2" eb="4">
      <t>コウジ</t>
    </rPh>
    <phoneticPr fontId="2"/>
  </si>
  <si>
    <t>ユニット及びその他の工事</t>
    <rPh sb="4" eb="5">
      <t>オヨ</t>
    </rPh>
    <rPh sb="8" eb="9">
      <t>タ</t>
    </rPh>
    <rPh sb="10" eb="12">
      <t>コウジ</t>
    </rPh>
    <phoneticPr fontId="2"/>
  </si>
  <si>
    <t>部分撤去工事</t>
    <rPh sb="0" eb="2">
      <t>ブブン</t>
    </rPh>
    <rPh sb="2" eb="4">
      <t>テッキョ</t>
    </rPh>
    <rPh sb="4" eb="6">
      <t>コウジ</t>
    </rPh>
    <phoneticPr fontId="2"/>
  </si>
  <si>
    <t>排水工事</t>
    <rPh sb="0" eb="2">
      <t>ハイスイ</t>
    </rPh>
    <rPh sb="2" eb="4">
      <t>コウジ</t>
    </rPh>
    <phoneticPr fontId="2"/>
  </si>
  <si>
    <t>舗装工事</t>
    <rPh sb="0" eb="2">
      <t>ホソウ</t>
    </rPh>
    <rPh sb="2" eb="4">
      <t>コウジ</t>
    </rPh>
    <phoneticPr fontId="2"/>
  </si>
  <si>
    <t>植栽及び屋上緑化工事</t>
    <rPh sb="0" eb="2">
      <t>ショクサイ</t>
    </rPh>
    <rPh sb="2" eb="3">
      <t>オヨ</t>
    </rPh>
    <rPh sb="4" eb="6">
      <t>オクジョウ</t>
    </rPh>
    <rPh sb="6" eb="8">
      <t>リョッカ</t>
    </rPh>
    <rPh sb="8" eb="10">
      <t>コウジ</t>
    </rPh>
    <phoneticPr fontId="2"/>
  </si>
  <si>
    <t>とりこわし工事</t>
    <rPh sb="5" eb="7">
      <t>コウジ</t>
    </rPh>
    <phoneticPr fontId="2"/>
  </si>
  <si>
    <t>前ページと同一</t>
    <rPh sb="0" eb="1">
      <t>マエ</t>
    </rPh>
    <rPh sb="5" eb="7">
      <t>ドウイツ</t>
    </rPh>
    <phoneticPr fontId="6"/>
  </si>
  <si>
    <t>←土木一括発注で、土木に変更があれば</t>
    <rPh sb="1" eb="3">
      <t>ドボク</t>
    </rPh>
    <rPh sb="3" eb="5">
      <t>イッカツ</t>
    </rPh>
    <rPh sb="5" eb="7">
      <t>ハッチュウ</t>
    </rPh>
    <rPh sb="9" eb="11">
      <t>ドボク</t>
    </rPh>
    <rPh sb="12" eb="14">
      <t>ヘンコウ</t>
    </rPh>
    <phoneticPr fontId="6"/>
  </si>
  <si>
    <t>直接入力すること</t>
    <rPh sb="0" eb="2">
      <t>チョクセツ</t>
    </rPh>
    <rPh sb="2" eb="4">
      <t>ニュウリョク</t>
    </rPh>
    <phoneticPr fontId="6"/>
  </si>
  <si>
    <t>←前回変更時の契約価格を入力</t>
    <rPh sb="1" eb="3">
      <t>ゼンカイ</t>
    </rPh>
    <rPh sb="3" eb="5">
      <t>ヘンコウ</t>
    </rPh>
    <rPh sb="5" eb="6">
      <t>ジ</t>
    </rPh>
    <rPh sb="7" eb="9">
      <t>ケイヤク</t>
    </rPh>
    <rPh sb="9" eb="11">
      <t>カカク</t>
    </rPh>
    <rPh sb="12" eb="14">
      <t>ニュウリョク</t>
    </rPh>
    <phoneticPr fontId="6"/>
  </si>
  <si>
    <t>←落札率は前回諸経費表からリンク</t>
    <rPh sb="1" eb="3">
      <t>ラクサツ</t>
    </rPh>
    <rPh sb="3" eb="4">
      <t>リツ</t>
    </rPh>
    <rPh sb="5" eb="7">
      <t>ゼンカイ</t>
    </rPh>
    <rPh sb="7" eb="10">
      <t>ショケイヒ</t>
    </rPh>
    <rPh sb="10" eb="11">
      <t>ヒョウ</t>
    </rPh>
    <phoneticPr fontId="6"/>
  </si>
  <si>
    <t>ファイル間転記</t>
    <phoneticPr fontId="6"/>
  </si>
  <si>
    <t>諸経費表　第1回変更</t>
  </si>
  <si>
    <t>小数点以下1桁---&gt;</t>
  </si>
  <si>
    <t>既発注無し</t>
    <phoneticPr fontId="6"/>
  </si>
  <si>
    <t>現場管理費対象純工事費</t>
    <phoneticPr fontId="6"/>
  </si>
  <si>
    <t>状態コード：</t>
    <rPh sb="0" eb="2">
      <t>ジョウタイ</t>
    </rPh>
    <phoneticPr fontId="9"/>
  </si>
  <si>
    <t>今回変更資産クラス分割表入力フォーム情報</t>
    <rPh sb="0" eb="2">
      <t>コンカイ</t>
    </rPh>
    <rPh sb="2" eb="4">
      <t>ヘンコウ</t>
    </rPh>
    <rPh sb="4" eb="6">
      <t>シサン</t>
    </rPh>
    <rPh sb="9" eb="11">
      <t>ブンカツ</t>
    </rPh>
    <rPh sb="11" eb="12">
      <t>ヒョウ</t>
    </rPh>
    <rPh sb="12" eb="14">
      <t>ニュウリョク</t>
    </rPh>
    <rPh sb="18" eb="20">
      <t>ジョウホウ</t>
    </rPh>
    <phoneticPr fontId="6"/>
  </si>
  <si>
    <t>資産クラス分割表を</t>
    <rPh sb="0" eb="2">
      <t>シサン</t>
    </rPh>
    <rPh sb="5" eb="8">
      <t>ブンカツヒョウ</t>
    </rPh>
    <phoneticPr fontId="6"/>
  </si>
  <si>
    <t>→右のボタンをクリック</t>
    <rPh sb="1" eb="2">
      <t>ミギ</t>
    </rPh>
    <phoneticPr fontId="6"/>
  </si>
  <si>
    <t>作成・印刷・初期化する場合</t>
    <rPh sb="0" eb="2">
      <t>サクセイ</t>
    </rPh>
    <rPh sb="3" eb="5">
      <t>インサツ</t>
    </rPh>
    <rPh sb="6" eb="9">
      <t>ショキカ</t>
    </rPh>
    <rPh sb="11" eb="13">
      <t>バアイ</t>
    </rPh>
    <phoneticPr fontId="6"/>
  </si>
  <si>
    <t>状態コード：</t>
    <rPh sb="0" eb="2">
      <t>ジョウタイ</t>
    </rPh>
    <phoneticPr fontId="6"/>
  </si>
  <si>
    <t>変更諸経費表入力フォーム情報</t>
    <rPh sb="0" eb="2">
      <t>ヘンコウ</t>
    </rPh>
    <rPh sb="2" eb="5">
      <t>ショケイヒ</t>
    </rPh>
    <rPh sb="5" eb="6">
      <t>ヒョウ</t>
    </rPh>
    <rPh sb="6" eb="8">
      <t>ニュウリョク</t>
    </rPh>
    <rPh sb="12" eb="14">
      <t>ジョウホウ</t>
    </rPh>
    <phoneticPr fontId="6"/>
  </si>
  <si>
    <t>変更諸経費表の</t>
    <rPh sb="0" eb="2">
      <t>ヘンコウ</t>
    </rPh>
    <rPh sb="2" eb="5">
      <t>ショケイヒ</t>
    </rPh>
    <rPh sb="5" eb="6">
      <t>ヒョウ</t>
    </rPh>
    <phoneticPr fontId="6"/>
  </si>
  <si>
    <t>作成・印刷設定・初期化を行う場合</t>
    <rPh sb="0" eb="2">
      <t>サクセイ</t>
    </rPh>
    <rPh sb="3" eb="5">
      <t>インサツ</t>
    </rPh>
    <rPh sb="5" eb="7">
      <t>セッテイ</t>
    </rPh>
    <rPh sb="8" eb="11">
      <t>ショキカ</t>
    </rPh>
    <rPh sb="12" eb="13">
      <t>オコナ</t>
    </rPh>
    <rPh sb="14" eb="16">
      <t>バアイ</t>
    </rPh>
    <phoneticPr fontId="6"/>
  </si>
  <si>
    <t>右のボタンをクリック→</t>
    <rPh sb="0" eb="1">
      <t>ミギ</t>
    </rPh>
    <phoneticPr fontId="6"/>
  </si>
  <si>
    <t>変更諸経費表(第2回変更以降)入力フォーム情報</t>
    <rPh sb="0" eb="2">
      <t>ヘンコウ</t>
    </rPh>
    <rPh sb="2" eb="5">
      <t>ショケイヒ</t>
    </rPh>
    <rPh sb="5" eb="6">
      <t>ヒョウ</t>
    </rPh>
    <rPh sb="7" eb="8">
      <t>ダイ</t>
    </rPh>
    <rPh sb="9" eb="10">
      <t>カイ</t>
    </rPh>
    <rPh sb="10" eb="12">
      <t>ヘンコウ</t>
    </rPh>
    <rPh sb="12" eb="14">
      <t>イコウ</t>
    </rPh>
    <rPh sb="15" eb="17">
      <t>ニュウリョク</t>
    </rPh>
    <rPh sb="21" eb="23">
      <t>ジョウホウ</t>
    </rPh>
    <phoneticPr fontId="6"/>
  </si>
  <si>
    <t xml:space="preserve">  合   計</t>
    <phoneticPr fontId="6"/>
  </si>
  <si>
    <t>黄緑着色部：数値入力</t>
    <rPh sb="0" eb="2">
      <t>キミドリ</t>
    </rPh>
    <rPh sb="2" eb="4">
      <t>チャクショク</t>
    </rPh>
    <rPh sb="4" eb="5">
      <t>ブ</t>
    </rPh>
    <rPh sb="6" eb="8">
      <t>スウチ</t>
    </rPh>
    <rPh sb="8" eb="10">
      <t>ニュウリョク</t>
    </rPh>
    <phoneticPr fontId="9"/>
  </si>
  <si>
    <t>諸経費表（当初発注）</t>
    <rPh sb="0" eb="3">
      <t>ショケイヒ</t>
    </rPh>
    <rPh sb="3" eb="4">
      <t>ヒョウ</t>
    </rPh>
    <rPh sb="5" eb="7">
      <t>トウショ</t>
    </rPh>
    <rPh sb="7" eb="9">
      <t>ハッチュウ</t>
    </rPh>
    <phoneticPr fontId="10"/>
  </si>
  <si>
    <t>工期（Ｔ）か月--&gt;</t>
    <rPh sb="0" eb="2">
      <t>コウキ</t>
    </rPh>
    <rPh sb="6" eb="7">
      <t>ゲツ</t>
    </rPh>
    <phoneticPr fontId="9"/>
  </si>
  <si>
    <t>小数点以下1桁---&gt;</t>
    <rPh sb="0" eb="3">
      <t>ショウスウテン</t>
    </rPh>
    <rPh sb="3" eb="5">
      <t>イカ</t>
    </rPh>
    <rPh sb="6" eb="7">
      <t>ケタ</t>
    </rPh>
    <phoneticPr fontId="9"/>
  </si>
  <si>
    <t>諸経費率--&gt;</t>
    <rPh sb="0" eb="3">
      <t>ショケイヒ</t>
    </rPh>
    <rPh sb="3" eb="4">
      <t>リツ</t>
    </rPh>
    <phoneticPr fontId="9"/>
  </si>
  <si>
    <t>リンクする工事シート番号→</t>
    <rPh sb="5" eb="7">
      <t>コウジ</t>
    </rPh>
    <rPh sb="10" eb="12">
      <t>バンゴウ</t>
    </rPh>
    <phoneticPr fontId="9"/>
  </si>
  <si>
    <t>&lt;工期は2ヶ月以内&gt;</t>
    <rPh sb="1" eb="3">
      <t>コウキ</t>
    </rPh>
    <rPh sb="6" eb="7">
      <t>ゲツ</t>
    </rPh>
    <rPh sb="7" eb="9">
      <t>イナイ</t>
    </rPh>
    <phoneticPr fontId="9"/>
  </si>
  <si>
    <t>共通仮設費　算出方法--&gt;</t>
    <rPh sb="0" eb="2">
      <t>キョウツウ</t>
    </rPh>
    <rPh sb="2" eb="4">
      <t>カセツ</t>
    </rPh>
    <rPh sb="4" eb="5">
      <t>ヒ</t>
    </rPh>
    <rPh sb="6" eb="8">
      <t>サンシュツ</t>
    </rPh>
    <rPh sb="8" eb="10">
      <t>ホウホウ</t>
    </rPh>
    <phoneticPr fontId="9"/>
  </si>
  <si>
    <t>建物種別補正（"駅施設"又は"地上建物"を選択）--&gt;
※駅施設工事の場合は仮設建物費・動力用水光熱費分を補正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0">
      <t>エキ</t>
    </rPh>
    <rPh sb="30" eb="32">
      <t>シセツ</t>
    </rPh>
    <rPh sb="32" eb="34">
      <t>コウジ</t>
    </rPh>
    <rPh sb="35" eb="37">
      <t>バアイ</t>
    </rPh>
    <rPh sb="38" eb="40">
      <t>カセツ</t>
    </rPh>
    <rPh sb="40" eb="42">
      <t>タテモノ</t>
    </rPh>
    <rPh sb="42" eb="43">
      <t>ヒ</t>
    </rPh>
    <rPh sb="44" eb="46">
      <t>ドウリョク</t>
    </rPh>
    <rPh sb="46" eb="48">
      <t>ヨウスイ</t>
    </rPh>
    <rPh sb="48" eb="51">
      <t>コウネツヒ</t>
    </rPh>
    <rPh sb="51" eb="52">
      <t>ブン</t>
    </rPh>
    <rPh sb="53" eb="55">
      <t>ホセイ</t>
    </rPh>
    <phoneticPr fontId="9"/>
  </si>
  <si>
    <t>監督員事務所の有無--&gt;
駅施設の場合は"無し"地上建物で監督員事務所を設ける場合は"有り"</t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9"/>
  </si>
  <si>
    <t>(直接工事費 直接仮設・別途算定を含む)</t>
    <rPh sb="12" eb="14">
      <t>ベット</t>
    </rPh>
    <rPh sb="14" eb="16">
      <t>サンテイ</t>
    </rPh>
    <phoneticPr fontId="9"/>
  </si>
  <si>
    <t>別途算定の現場管理費にかかる工事費--&gt;</t>
    <rPh sb="0" eb="2">
      <t>ベット</t>
    </rPh>
    <rPh sb="2" eb="4">
      <t>サンテイ</t>
    </rPh>
    <phoneticPr fontId="9"/>
  </si>
  <si>
    <t>(共通仮設費) 総計</t>
    <rPh sb="8" eb="10">
      <t>ソウケイ</t>
    </rPh>
    <phoneticPr fontId="9"/>
  </si>
  <si>
    <t>内、率算出による総額</t>
    <rPh sb="8" eb="9">
      <t>ソウ</t>
    </rPh>
    <phoneticPr fontId="9"/>
  </si>
  <si>
    <t>内、積上げによる総額</t>
    <rPh sb="0" eb="1">
      <t>ウチ</t>
    </rPh>
    <rPh sb="2" eb="3">
      <t>ツ</t>
    </rPh>
    <rPh sb="3" eb="4">
      <t>ア</t>
    </rPh>
    <rPh sb="8" eb="9">
      <t>ソウ</t>
    </rPh>
    <rPh sb="9" eb="10">
      <t>ガク</t>
    </rPh>
    <phoneticPr fontId="9"/>
  </si>
  <si>
    <t>　　　　内ﾘｰｽ料、借地借家料</t>
    <rPh sb="4" eb="5">
      <t>ウチ</t>
    </rPh>
    <rPh sb="8" eb="9">
      <t>リョウ</t>
    </rPh>
    <rPh sb="10" eb="12">
      <t>シャクチ</t>
    </rPh>
    <rPh sb="12" eb="14">
      <t>シャクヤ</t>
    </rPh>
    <rPh sb="14" eb="15">
      <t>リョウ</t>
    </rPh>
    <phoneticPr fontId="9"/>
  </si>
  <si>
    <t>内、残材処分費</t>
    <rPh sb="2" eb="3">
      <t>ザン</t>
    </rPh>
    <rPh sb="3" eb="4">
      <t>ザイ</t>
    </rPh>
    <rPh sb="4" eb="6">
      <t>ショブン</t>
    </rPh>
    <rPh sb="6" eb="7">
      <t>ヒ</t>
    </rPh>
    <phoneticPr fontId="9"/>
  </si>
  <si>
    <t>内、別途算定による共仮費</t>
    <rPh sb="0" eb="1">
      <t>ウチ</t>
    </rPh>
    <rPh sb="2" eb="4">
      <t>ベット</t>
    </rPh>
    <rPh sb="4" eb="6">
      <t>サンテイ</t>
    </rPh>
    <rPh sb="9" eb="10">
      <t>トモ</t>
    </rPh>
    <rPh sb="10" eb="11">
      <t>カリ</t>
    </rPh>
    <rPh sb="11" eb="12">
      <t>ヒ</t>
    </rPh>
    <phoneticPr fontId="9"/>
  </si>
  <si>
    <t>　現場管理費・一般管理費等　　合　　計</t>
    <rPh sb="1" eb="3">
      <t>ゲンバ</t>
    </rPh>
    <rPh sb="3" eb="5">
      <t>カンリ</t>
    </rPh>
    <rPh sb="5" eb="6">
      <t>ヒ</t>
    </rPh>
    <rPh sb="7" eb="9">
      <t>イッパン</t>
    </rPh>
    <rPh sb="9" eb="11">
      <t>カンリ</t>
    </rPh>
    <rPh sb="11" eb="12">
      <t>ヒ</t>
    </rPh>
    <rPh sb="12" eb="13">
      <t>トウ</t>
    </rPh>
    <phoneticPr fontId="9"/>
  </si>
  <si>
    <t>　　内、建築工事によるもの</t>
    <rPh sb="2" eb="3">
      <t>ウチ</t>
    </rPh>
    <rPh sb="4" eb="6">
      <t>ケンチク</t>
    </rPh>
    <rPh sb="6" eb="8">
      <t>コウジ</t>
    </rPh>
    <phoneticPr fontId="9"/>
  </si>
  <si>
    <t>[内固定率・除外（設備含む）の額]</t>
    <rPh sb="9" eb="11">
      <t>セツビ</t>
    </rPh>
    <rPh sb="11" eb="12">
      <t>フク</t>
    </rPh>
    <phoneticPr fontId="9"/>
  </si>
  <si>
    <t>内、別途算定によるもの</t>
    <rPh sb="0" eb="1">
      <t>ウチ</t>
    </rPh>
    <rPh sb="2" eb="4">
      <t>ベット</t>
    </rPh>
    <rPh sb="4" eb="6">
      <t>サンテイ</t>
    </rPh>
    <phoneticPr fontId="9"/>
  </si>
  <si>
    <t>内、別途算定によるもの（補正額含む）</t>
    <rPh sb="0" eb="1">
      <t>ウチ</t>
    </rPh>
    <rPh sb="2" eb="4">
      <t>ベット</t>
    </rPh>
    <rPh sb="4" eb="6">
      <t>サンテイ</t>
    </rPh>
    <rPh sb="12" eb="14">
      <t>ホセイ</t>
    </rPh>
    <rPh sb="14" eb="15">
      <t>ガク</t>
    </rPh>
    <rPh sb="15" eb="16">
      <t>フク</t>
    </rPh>
    <phoneticPr fontId="9"/>
  </si>
  <si>
    <t>共 通 費 算 定 用 入 力 欄</t>
    <rPh sb="0" eb="1">
      <t>トモ</t>
    </rPh>
    <rPh sb="2" eb="3">
      <t>ツウ</t>
    </rPh>
    <phoneticPr fontId="9"/>
  </si>
  <si>
    <t>一般・その他等  直接工事費</t>
    <rPh sb="9" eb="11">
      <t>チョクセツ</t>
    </rPh>
    <rPh sb="11" eb="13">
      <t>コウジ</t>
    </rPh>
    <rPh sb="13" eb="14">
      <t>ヒ</t>
    </rPh>
    <phoneticPr fontId="9"/>
  </si>
  <si>
    <t>(4)改修主体工事の鉄骨工事(機械費含む)</t>
    <rPh sb="15" eb="17">
      <t>キカイ</t>
    </rPh>
    <rPh sb="17" eb="18">
      <t>ヒ</t>
    </rPh>
    <rPh sb="18" eb="19">
      <t>フク</t>
    </rPh>
    <phoneticPr fontId="9"/>
  </si>
  <si>
    <t>(6)とりこわし工事(部分撤去、処分費除く)</t>
    <rPh sb="11" eb="13">
      <t>ブブン</t>
    </rPh>
    <rPh sb="13" eb="15">
      <t>テッキョ</t>
    </rPh>
    <phoneticPr fontId="9"/>
  </si>
  <si>
    <t>(12)残材処分費及び残土処分費(直工費のみ)</t>
    <rPh sb="17" eb="18">
      <t>チョク</t>
    </rPh>
    <rPh sb="18" eb="19">
      <t>コウ</t>
    </rPh>
    <rPh sb="19" eb="20">
      <t>ヒ</t>
    </rPh>
    <phoneticPr fontId="9"/>
  </si>
  <si>
    <t>(12)残材処分費及び残土処分費(共通仮設)</t>
    <rPh sb="17" eb="19">
      <t>キョウツウ</t>
    </rPh>
    <rPh sb="19" eb="21">
      <t>カセツ</t>
    </rPh>
    <phoneticPr fontId="9"/>
  </si>
  <si>
    <t>(14)リース料,借地借家料（共通仮設）</t>
    <rPh sb="15" eb="17">
      <t>キョウツウ</t>
    </rPh>
    <rPh sb="17" eb="19">
      <t>カセツ</t>
    </rPh>
    <phoneticPr fontId="9"/>
  </si>
  <si>
    <t>(14)リース料,借地借家料（直工費のみ）</t>
    <rPh sb="15" eb="16">
      <t>チョク</t>
    </rPh>
    <rPh sb="16" eb="17">
      <t>コウ</t>
    </rPh>
    <rPh sb="17" eb="18">
      <t>ヒ</t>
    </rPh>
    <phoneticPr fontId="9"/>
  </si>
  <si>
    <t>(15)別途算定（直工費）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9"/>
  </si>
  <si>
    <t>(16）別途算定（共通仮設）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9"/>
  </si>
  <si>
    <t>(17)下水道使用料、各種負担金（共通仮設）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9"/>
  </si>
  <si>
    <t>共 通 費 算 定 表 (0)</t>
    <rPh sb="0" eb="1">
      <t>トモ</t>
    </rPh>
    <rPh sb="2" eb="3">
      <t>ツウ</t>
    </rPh>
    <phoneticPr fontId="9"/>
  </si>
  <si>
    <t>※(0）及び(1)並びに(2) ---&gt; 新築・改修工事が一括発注の場合は、合計額に対する各々の率</t>
    <rPh sb="4" eb="5">
      <t>オヨ</t>
    </rPh>
    <rPh sb="9" eb="10">
      <t>ナラ</t>
    </rPh>
    <phoneticPr fontId="9"/>
  </si>
  <si>
    <t>共通仮設費対象直接工事費</t>
    <rPh sb="0" eb="2">
      <t>キョウツウ</t>
    </rPh>
    <rPh sb="2" eb="4">
      <t>カセツ</t>
    </rPh>
    <rPh sb="4" eb="5">
      <t>ヒ</t>
    </rPh>
    <rPh sb="7" eb="9">
      <t>チョクセツ</t>
    </rPh>
    <phoneticPr fontId="9"/>
  </si>
  <si>
    <t>対象直接工事費（（12）、(15)～(17)除く）</t>
    <rPh sb="2" eb="4">
      <t>チョクセツ</t>
    </rPh>
    <rPh sb="22" eb="23">
      <t>ノゾ</t>
    </rPh>
    <phoneticPr fontId="9"/>
  </si>
  <si>
    <t>（12）～(17) （但し(14)は率算出対象）</t>
    <rPh sb="11" eb="12">
      <t>タダ</t>
    </rPh>
    <rPh sb="18" eb="19">
      <t>リツ</t>
    </rPh>
    <rPh sb="19" eb="21">
      <t>サンシュツ</t>
    </rPh>
    <rPh sb="21" eb="23">
      <t>タイショウ</t>
    </rPh>
    <phoneticPr fontId="9"/>
  </si>
  <si>
    <t>共通仮設費 [内率算出による標準額]</t>
    <rPh sb="0" eb="2">
      <t>キョウツウ</t>
    </rPh>
    <rPh sb="2" eb="4">
      <t>カセツ</t>
    </rPh>
    <rPh sb="4" eb="5">
      <t>ヒ</t>
    </rPh>
    <rPh sb="7" eb="8">
      <t>ウチ</t>
    </rPh>
    <rPh sb="8" eb="9">
      <t>リツ</t>
    </rPh>
    <rPh sb="9" eb="11">
      <t>サンシュツ</t>
    </rPh>
    <rPh sb="14" eb="16">
      <t>ヒョウジュン</t>
    </rPh>
    <rPh sb="16" eb="17">
      <t>ガク</t>
    </rPh>
    <phoneticPr fontId="9"/>
  </si>
  <si>
    <t>共通仮設費 [内率算出による標準額]</t>
    <rPh sb="0" eb="2">
      <t>キョウツウ</t>
    </rPh>
    <rPh sb="2" eb="4">
      <t>カセツ</t>
    </rPh>
    <rPh sb="4" eb="5">
      <t>ヒ</t>
    </rPh>
    <phoneticPr fontId="9"/>
  </si>
  <si>
    <t>共 通 費 算 定 表 (1)</t>
    <rPh sb="0" eb="1">
      <t>トモ</t>
    </rPh>
    <rPh sb="2" eb="3">
      <t>ツウ</t>
    </rPh>
    <phoneticPr fontId="9"/>
  </si>
  <si>
    <t>対象純工事費（（12）(15）(16））除く</t>
    <rPh sb="20" eb="21">
      <t>ノゾ</t>
    </rPh>
    <phoneticPr fontId="9"/>
  </si>
  <si>
    <t>（18）別途算定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9"/>
  </si>
  <si>
    <t>　※各別途工事により算定</t>
    <rPh sb="2" eb="3">
      <t>カク</t>
    </rPh>
    <rPh sb="3" eb="5">
      <t>ベット</t>
    </rPh>
    <rPh sb="5" eb="7">
      <t>コウジ</t>
    </rPh>
    <rPh sb="10" eb="12">
      <t>サンテイ</t>
    </rPh>
    <phoneticPr fontId="9"/>
  </si>
  <si>
    <t>共 通 費 算 定 表 (2)</t>
    <rPh sb="0" eb="1">
      <t>トモ</t>
    </rPh>
    <rPh sb="2" eb="3">
      <t>ツウ</t>
    </rPh>
    <phoneticPr fontId="9"/>
  </si>
  <si>
    <t>土木工事原価（一括発注時）</t>
    <rPh sb="0" eb="2">
      <t>ドボク</t>
    </rPh>
    <rPh sb="2" eb="4">
      <t>コウジ</t>
    </rPh>
    <rPh sb="4" eb="6">
      <t>ゲンカ</t>
    </rPh>
    <rPh sb="7" eb="9">
      <t>イッカツ</t>
    </rPh>
    <rPh sb="9" eb="11">
      <t>ハッチュウ</t>
    </rPh>
    <rPh sb="11" eb="12">
      <t>ジ</t>
    </rPh>
    <phoneticPr fontId="9"/>
  </si>
  <si>
    <t>対象工事原価（下水道使用料・各種負担金を除く）</t>
    <rPh sb="14" eb="16">
      <t>カクシュ</t>
    </rPh>
    <rPh sb="16" eb="19">
      <t>フタンキン</t>
    </rPh>
    <phoneticPr fontId="9"/>
  </si>
  <si>
    <t>別途算定　一般管理費等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phoneticPr fontId="9"/>
  </si>
  <si>
    <t>　※土木工事により算定(補正額含む）</t>
    <rPh sb="2" eb="4">
      <t>ドボク</t>
    </rPh>
    <rPh sb="4" eb="6">
      <t>コウジ</t>
    </rPh>
    <rPh sb="9" eb="11">
      <t>サンテイ</t>
    </rPh>
    <rPh sb="12" eb="14">
      <t>ホセイ</t>
    </rPh>
    <rPh sb="14" eb="15">
      <t>ガク</t>
    </rPh>
    <rPh sb="15" eb="16">
      <t>フク</t>
    </rPh>
    <phoneticPr fontId="9"/>
  </si>
  <si>
    <t>共通仮設費率  算定欄</t>
    <rPh sb="0" eb="2">
      <t>キョウツウ</t>
    </rPh>
    <rPh sb="2" eb="4">
      <t>カセツ</t>
    </rPh>
    <rPh sb="4" eb="5">
      <t>ヒ</t>
    </rPh>
    <rPh sb="5" eb="6">
      <t>リツ</t>
    </rPh>
    <rPh sb="8" eb="10">
      <t>サンテイ</t>
    </rPh>
    <rPh sb="10" eb="11">
      <t>ラン</t>
    </rPh>
    <phoneticPr fontId="9"/>
  </si>
  <si>
    <t>Ｔ（か月）</t>
    <rPh sb="3" eb="4">
      <t>ツキ</t>
    </rPh>
    <phoneticPr fontId="9"/>
  </si>
  <si>
    <t>共通仮設費率 算定式により算定される率</t>
    <rPh sb="0" eb="2">
      <t>キョウツウ</t>
    </rPh>
    <rPh sb="2" eb="4">
      <t>カセツ</t>
    </rPh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9"/>
  </si>
  <si>
    <t>直接工事費が１千万円以下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2">
      <t>イカ</t>
    </rPh>
    <phoneticPr fontId="9"/>
  </si>
  <si>
    <t>上限</t>
    <rPh sb="0" eb="2">
      <t>ジョウゲン</t>
    </rPh>
    <phoneticPr fontId="9"/>
  </si>
  <si>
    <t>下限</t>
    <rPh sb="0" eb="1">
      <t>シタ</t>
    </rPh>
    <rPh sb="1" eb="2">
      <t>カギ</t>
    </rPh>
    <phoneticPr fontId="9"/>
  </si>
  <si>
    <t>直接工事費が１千万円超える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1">
      <t>コ</t>
    </rPh>
    <phoneticPr fontId="9"/>
  </si>
  <si>
    <t>今回工事の共通仮設費率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phoneticPr fontId="9"/>
  </si>
  <si>
    <t>今回工事の共通仮設費率補正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rPh sb="11" eb="13">
      <t>ホセイ</t>
    </rPh>
    <phoneticPr fontId="9"/>
  </si>
  <si>
    <t>直接工事費が5百万円以下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2">
      <t>イカ</t>
    </rPh>
    <phoneticPr fontId="9"/>
  </si>
  <si>
    <t>直接工事費が5百万円超える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1">
      <t>コ</t>
    </rPh>
    <phoneticPr fontId="9"/>
  </si>
  <si>
    <t>現場管理費率  算定欄</t>
    <rPh sb="5" eb="6">
      <t>リツ</t>
    </rPh>
    <rPh sb="8" eb="10">
      <t>サンテイ</t>
    </rPh>
    <rPh sb="10" eb="11">
      <t>ラン</t>
    </rPh>
    <phoneticPr fontId="9"/>
  </si>
  <si>
    <t>現場管理費率 算定式により算定される率</t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9"/>
  </si>
  <si>
    <t>純工事費が１千万円以下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1">
      <t>イカ</t>
    </rPh>
    <phoneticPr fontId="9"/>
  </si>
  <si>
    <t>純工事費が１千万円超える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0">
      <t>コ</t>
    </rPh>
    <phoneticPr fontId="9"/>
  </si>
  <si>
    <t>今回工事の現場管理費率</t>
    <rPh sb="0" eb="2">
      <t>コンカイ</t>
    </rPh>
    <rPh sb="2" eb="4">
      <t>コウジ</t>
    </rPh>
    <rPh sb="5" eb="7">
      <t>ゲンバ</t>
    </rPh>
    <rPh sb="7" eb="10">
      <t>カンリヒ</t>
    </rPh>
    <rPh sb="10" eb="11">
      <t>リツ</t>
    </rPh>
    <phoneticPr fontId="9"/>
  </si>
  <si>
    <t>純工事費が5百万円以下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1">
      <t>イカ</t>
    </rPh>
    <phoneticPr fontId="9"/>
  </si>
  <si>
    <t>純工事費が5百万円超える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0">
      <t>コ</t>
    </rPh>
    <phoneticPr fontId="9"/>
  </si>
  <si>
    <t>一般管理費等率  算定欄</t>
    <rPh sb="0" eb="2">
      <t>イッパン</t>
    </rPh>
    <rPh sb="5" eb="6">
      <t>トウ</t>
    </rPh>
    <rPh sb="6" eb="7">
      <t>リツ</t>
    </rPh>
    <rPh sb="9" eb="11">
      <t>サンテイ</t>
    </rPh>
    <rPh sb="11" eb="12">
      <t>ラン</t>
    </rPh>
    <phoneticPr fontId="9"/>
  </si>
  <si>
    <t>一般管理費等率 算定式により算定される率</t>
    <rPh sb="0" eb="2">
      <t>イッパン</t>
    </rPh>
    <rPh sb="5" eb="6">
      <t>トウ</t>
    </rPh>
    <rPh sb="6" eb="7">
      <t>リツ</t>
    </rPh>
    <rPh sb="8" eb="10">
      <t>サンテイ</t>
    </rPh>
    <rPh sb="10" eb="11">
      <t>シキ</t>
    </rPh>
    <rPh sb="14" eb="16">
      <t>サンテイ</t>
    </rPh>
    <rPh sb="19" eb="20">
      <t>リツ</t>
    </rPh>
    <phoneticPr fontId="9"/>
  </si>
  <si>
    <t>工事原価が5百万円以下</t>
    <rPh sb="0" eb="2">
      <t>コウジ</t>
    </rPh>
    <rPh sb="2" eb="4">
      <t>ゲンカ</t>
    </rPh>
    <rPh sb="6" eb="7">
      <t>ヒャク</t>
    </rPh>
    <rPh sb="8" eb="9">
      <t>エン</t>
    </rPh>
    <rPh sb="9" eb="11">
      <t>イカ</t>
    </rPh>
    <phoneticPr fontId="9"/>
  </si>
  <si>
    <t>工事原価が30億円を超える</t>
    <rPh sb="0" eb="2">
      <t>コウジ</t>
    </rPh>
    <rPh sb="2" eb="4">
      <t>ゲンカ</t>
    </rPh>
    <rPh sb="7" eb="9">
      <t>オクエン</t>
    </rPh>
    <rPh sb="10" eb="11">
      <t>コ</t>
    </rPh>
    <phoneticPr fontId="9"/>
  </si>
  <si>
    <t>今回工事の一般管理費等率</t>
    <rPh sb="0" eb="2">
      <t>コンカイ</t>
    </rPh>
    <rPh sb="2" eb="4">
      <t>コウジ</t>
    </rPh>
    <rPh sb="5" eb="7">
      <t>イッパン</t>
    </rPh>
    <rPh sb="7" eb="10">
      <t>カンリヒ</t>
    </rPh>
    <rPh sb="10" eb="11">
      <t>トウ</t>
    </rPh>
    <rPh sb="11" eb="12">
      <t>リツ</t>
    </rPh>
    <phoneticPr fontId="9"/>
  </si>
  <si>
    <t>オレンジ着色部：選択入力－</t>
  </si>
  <si>
    <t>使用する諸経費表名</t>
    <rPh sb="0" eb="2">
      <t>シヨウ</t>
    </rPh>
    <rPh sb="4" eb="7">
      <t>ショケイヒ</t>
    </rPh>
    <rPh sb="7" eb="8">
      <t>ヒョウ</t>
    </rPh>
    <rPh sb="8" eb="9">
      <t>メイ</t>
    </rPh>
    <phoneticPr fontId="6"/>
  </si>
  <si>
    <t>→→→→→→→</t>
    <phoneticPr fontId="6"/>
  </si>
  <si>
    <t>共通仮設費</t>
    <rPh sb="0" eb="2">
      <t>キョウツウ</t>
    </rPh>
    <rPh sb="2" eb="4">
      <t>カセツ</t>
    </rPh>
    <rPh sb="4" eb="5">
      <t>ヒ</t>
    </rPh>
    <phoneticPr fontId="2"/>
  </si>
  <si>
    <t>このシートには直接入力しません。
「変更諸経費表(第2回変更以降)」シート
のマクロボタンで自動転記してください。</t>
    <rPh sb="25" eb="26">
      <t>ダイ</t>
    </rPh>
    <rPh sb="27" eb="28">
      <t>カイ</t>
    </rPh>
    <rPh sb="28" eb="30">
      <t>ヘンコウ</t>
    </rPh>
    <rPh sb="30" eb="32">
      <t>イコウ</t>
    </rPh>
    <phoneticPr fontId="6"/>
  </si>
  <si>
    <t>○</t>
    <phoneticPr fontId="6"/>
  </si>
  <si>
    <t>新Ver.Ｆｌａｇ→</t>
    <rPh sb="0" eb="1">
      <t>シン</t>
    </rPh>
    <phoneticPr fontId="6"/>
  </si>
  <si>
    <t>※U25セルの○はシステム上の固定値のため触らないで下さい。</t>
    <rPh sb="13" eb="14">
      <t>ウエ</t>
    </rPh>
    <rPh sb="15" eb="17">
      <t>コテイ</t>
    </rPh>
    <rPh sb="17" eb="18">
      <t>アタイ</t>
    </rPh>
    <rPh sb="21" eb="22">
      <t>サワ</t>
    </rPh>
    <rPh sb="26" eb="27">
      <t>クダ</t>
    </rPh>
    <phoneticPr fontId="6"/>
  </si>
  <si>
    <t>※転記元明細のverを自動判定する欄です。マクロにより自動入力されます。</t>
    <rPh sb="1" eb="3">
      <t>テンキ</t>
    </rPh>
    <rPh sb="3" eb="4">
      <t>モト</t>
    </rPh>
    <rPh sb="4" eb="6">
      <t>メイサイ</t>
    </rPh>
    <rPh sb="11" eb="13">
      <t>ジドウ</t>
    </rPh>
    <rPh sb="13" eb="15">
      <t>ハンテイ</t>
    </rPh>
    <rPh sb="17" eb="18">
      <t>ラン</t>
    </rPh>
    <rPh sb="27" eb="29">
      <t>ジドウ</t>
    </rPh>
    <rPh sb="29" eb="31">
      <t>ニュウリョク</t>
    </rPh>
    <phoneticPr fontId="6"/>
  </si>
  <si>
    <t>鹿島</t>
    <rPh sb="0" eb="2">
      <t>カシマ</t>
    </rPh>
    <phoneticPr fontId="6"/>
  </si>
  <si>
    <t>A:三和シャッター工業㈱</t>
    <rPh sb="2" eb="4">
      <t>サンワ</t>
    </rPh>
    <rPh sb="9" eb="11">
      <t>コウギョウ</t>
    </rPh>
    <phoneticPr fontId="6"/>
  </si>
  <si>
    <t>B:YKKap㈱</t>
    <phoneticPr fontId="6"/>
  </si>
  <si>
    <t>SD-1 両面鋼製フラッシュ扉</t>
    <rPh sb="5" eb="7">
      <t>リョウメン</t>
    </rPh>
    <rPh sb="7" eb="9">
      <t>コウセイ</t>
    </rPh>
    <rPh sb="14" eb="15">
      <t>トビラ</t>
    </rPh>
    <phoneticPr fontId="6"/>
  </si>
  <si>
    <t>箇所</t>
    <rPh sb="0" eb="2">
      <t>カショ</t>
    </rPh>
    <phoneticPr fontId="6"/>
  </si>
  <si>
    <t>鉄骨階段</t>
    <rPh sb="0" eb="2">
      <t>テッコツ</t>
    </rPh>
    <rPh sb="2" eb="4">
      <t>カイダン</t>
    </rPh>
    <phoneticPr fontId="6"/>
  </si>
  <si>
    <t>W900×L2650×H1100</t>
    <phoneticPr fontId="6"/>
  </si>
  <si>
    <t>W900×L1000×H1100</t>
    <phoneticPr fontId="6"/>
  </si>
  <si>
    <t>機械器具費</t>
    <phoneticPr fontId="6"/>
  </si>
  <si>
    <t>cells(34,8)</t>
    <phoneticPr fontId="6"/>
  </si>
  <si>
    <t>元諸経費表</t>
    <rPh sb="0" eb="1">
      <t>モト</t>
    </rPh>
    <rPh sb="1" eb="4">
      <t>ショケイヒ</t>
    </rPh>
    <rPh sb="4" eb="5">
      <t>ヒョウ</t>
    </rPh>
    <phoneticPr fontId="6"/>
  </si>
  <si>
    <t>変更諸経費表 (第2回変更以降)</t>
    <rPh sb="8" eb="9">
      <t>ダイ</t>
    </rPh>
    <rPh sb="10" eb="11">
      <t>カイ</t>
    </rPh>
    <rPh sb="11" eb="13">
      <t>ヘンコウ</t>
    </rPh>
    <rPh sb="13" eb="15">
      <t>イコウ</t>
    </rPh>
    <phoneticPr fontId="6"/>
  </si>
  <si>
    <t>前回諸経費表</t>
    <rPh sb="0" eb="2">
      <t>ゼンカイ</t>
    </rPh>
    <rPh sb="2" eb="5">
      <t>ショケイヒ</t>
    </rPh>
    <rPh sb="5" eb="6">
      <t>ヒョウ</t>
    </rPh>
    <phoneticPr fontId="6"/>
  </si>
  <si>
    <t>諸経費表のシート名（１－４）</t>
    <rPh sb="0" eb="3">
      <t>ショケイヒ</t>
    </rPh>
    <rPh sb="3" eb="4">
      <t>ヒョウ</t>
    </rPh>
    <rPh sb="8" eb="9">
      <t>メイ</t>
    </rPh>
    <phoneticPr fontId="6"/>
  </si>
  <si>
    <t>建築工事</t>
    <phoneticPr fontId="6"/>
  </si>
  <si>
    <t>●●駅改良その他工事</t>
    <phoneticPr fontId="6"/>
  </si>
  <si>
    <t>建築技術　　　　　　　担当課長</t>
    <rPh sb="0" eb="2">
      <t>ケンチク</t>
    </rPh>
    <rPh sb="2" eb="4">
      <t>ギジュツ</t>
    </rPh>
    <rPh sb="11" eb="13">
      <t>タントウ</t>
    </rPh>
    <rPh sb="13" eb="15">
      <t>カチョウ</t>
    </rPh>
    <phoneticPr fontId="6"/>
  </si>
  <si>
    <t>―</t>
    <phoneticPr fontId="6"/>
  </si>
  <si>
    <t>中道</t>
    <rPh sb="0" eb="2">
      <t>ナカミチ</t>
    </rPh>
    <phoneticPr fontId="6"/>
  </si>
  <si>
    <t xml:space="preserve">  計</t>
    <phoneticPr fontId="6"/>
  </si>
  <si>
    <t>消費税及び地方消費税相当額</t>
  </si>
  <si>
    <t>■既存明細を転記せずに、新たに変更明細を作成する場合</t>
    <rPh sb="1" eb="3">
      <t>キゾン</t>
    </rPh>
    <rPh sb="3" eb="5">
      <t>メイサイ</t>
    </rPh>
    <rPh sb="6" eb="8">
      <t>テンキ</t>
    </rPh>
    <rPh sb="12" eb="13">
      <t>アラ</t>
    </rPh>
    <rPh sb="15" eb="17">
      <t>ヘンコウ</t>
    </rPh>
    <rPh sb="17" eb="19">
      <t>メイサイ</t>
    </rPh>
    <rPh sb="20" eb="22">
      <t>サクセイ</t>
    </rPh>
    <rPh sb="24" eb="26">
      <t>バアイ</t>
    </rPh>
    <phoneticPr fontId="6"/>
  </si>
  <si>
    <t>■既存明細を転記する場合</t>
    <rPh sb="1" eb="3">
      <t>キゾン</t>
    </rPh>
    <rPh sb="3" eb="5">
      <t>メイサイ</t>
    </rPh>
    <rPh sb="6" eb="8">
      <t>テンキ</t>
    </rPh>
    <rPh sb="10" eb="12">
      <t>バアイ</t>
    </rPh>
    <phoneticPr fontId="6"/>
  </si>
  <si>
    <t>右のマクロボタンをクリックし、転記元ファイルを入力してください→</t>
    <rPh sb="0" eb="1">
      <t>ミギ</t>
    </rPh>
    <rPh sb="15" eb="17">
      <t>テンキ</t>
    </rPh>
    <rPh sb="17" eb="18">
      <t>モト</t>
    </rPh>
    <rPh sb="23" eb="25">
      <t>ニュウリョク</t>
    </rPh>
    <phoneticPr fontId="6"/>
  </si>
  <si>
    <t>指定契約＝＞</t>
    <rPh sb="0" eb="2">
      <t>シテイ</t>
    </rPh>
    <rPh sb="2" eb="4">
      <t>ケイヤク</t>
    </rPh>
    <rPh sb="3" eb="4">
      <t>ズイケイ</t>
    </rPh>
    <phoneticPr fontId="6"/>
  </si>
  <si>
    <t>共通費集計表</t>
    <phoneticPr fontId="6"/>
  </si>
  <si>
    <t>共通費集計表</t>
    <phoneticPr fontId="6"/>
  </si>
  <si>
    <t>←通常の設計変更は”無し”、指定契約の場合のみ”有り”を選択</t>
    <phoneticPr fontId="6"/>
  </si>
  <si>
    <t>※手動による列の追加・削除は行わないこと</t>
    <rPh sb="1" eb="3">
      <t>シュドウ</t>
    </rPh>
    <rPh sb="6" eb="7">
      <t>レツ</t>
    </rPh>
    <rPh sb="8" eb="10">
      <t>ツイカ</t>
    </rPh>
    <rPh sb="11" eb="13">
      <t>サクジョ</t>
    </rPh>
    <rPh sb="14" eb="15">
      <t>オコナ</t>
    </rPh>
    <phoneticPr fontId="6"/>
  </si>
  <si>
    <r>
      <t>監督員事務所の有無--&gt;</t>
    </r>
    <r>
      <rPr>
        <sz val="6"/>
        <rFont val="ＭＳ Ｐ明朝"/>
        <family val="1"/>
        <charset val="128"/>
      </rPr>
      <t xml:space="preserve">
駅施設の場合は"無し"地上建物で監督員事務所を設ける場合は"有り"</t>
    </r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6"/>
  </si>
  <si>
    <t>標</t>
  </si>
  <si>
    <t>標</t>
    <phoneticPr fontId="6"/>
  </si>
  <si>
    <t>準</t>
  </si>
  <si>
    <t>準</t>
    <phoneticPr fontId="6"/>
  </si>
  <si>
    <t>そ</t>
  </si>
  <si>
    <t>の</t>
  </si>
  <si>
    <t>他</t>
  </si>
  <si>
    <t>工</t>
  </si>
  <si>
    <t>事</t>
  </si>
  <si>
    <t>除</t>
    <phoneticPr fontId="6"/>
  </si>
  <si>
    <t>外</t>
    <phoneticPr fontId="6"/>
  </si>
  <si>
    <t>内</t>
    <rPh sb="0" eb="1">
      <t>ウチ</t>
    </rPh>
    <phoneticPr fontId="6"/>
  </si>
  <si>
    <t>訳</t>
    <phoneticPr fontId="6"/>
  </si>
  <si>
    <t>契約区分</t>
    <rPh sb="0" eb="2">
      <t>ケイヤク</t>
    </rPh>
    <rPh sb="2" eb="4">
      <t>クブン</t>
    </rPh>
    <phoneticPr fontId="6"/>
  </si>
  <si>
    <t>　共通仮設費</t>
    <rPh sb="1" eb="3">
      <t>キョウツウ</t>
    </rPh>
    <rPh sb="3" eb="5">
      <t>カセツ</t>
    </rPh>
    <rPh sb="5" eb="6">
      <t>ヒ</t>
    </rPh>
    <phoneticPr fontId="6"/>
  </si>
  <si>
    <t>　現場管理費</t>
    <rPh sb="1" eb="3">
      <t>ゲンバ</t>
    </rPh>
    <rPh sb="3" eb="6">
      <t>カンリヒ</t>
    </rPh>
    <phoneticPr fontId="6"/>
  </si>
  <si>
    <t>　一般管理費等</t>
    <rPh sb="1" eb="3">
      <t>イッパン</t>
    </rPh>
    <rPh sb="3" eb="6">
      <t>カンリヒ</t>
    </rPh>
    <rPh sb="6" eb="7">
      <t>ナド</t>
    </rPh>
    <phoneticPr fontId="6"/>
  </si>
  <si>
    <t>　小　　計</t>
    <rPh sb="1" eb="2">
      <t>ショウ</t>
    </rPh>
    <rPh sb="4" eb="5">
      <t>ケイ</t>
    </rPh>
    <phoneticPr fontId="6"/>
  </si>
  <si>
    <t>金額</t>
    <rPh sb="0" eb="2">
      <t>キンガク</t>
    </rPh>
    <phoneticPr fontId="6"/>
  </si>
  <si>
    <t>　計</t>
    <rPh sb="1" eb="2">
      <t>ケイ</t>
    </rPh>
    <phoneticPr fontId="6"/>
  </si>
  <si>
    <t>消費税及び地方消費税相当額</t>
    <rPh sb="0" eb="3">
      <t>ショウヒゼイ</t>
    </rPh>
    <rPh sb="3" eb="4">
      <t>オヨ</t>
    </rPh>
    <rPh sb="5" eb="7">
      <t>チホウ</t>
    </rPh>
    <rPh sb="7" eb="10">
      <t>ショウヒゼイ</t>
    </rPh>
    <rPh sb="10" eb="12">
      <t>ソウトウ</t>
    </rPh>
    <rPh sb="12" eb="13">
      <t>ガク</t>
    </rPh>
    <phoneticPr fontId="6"/>
  </si>
  <si>
    <t>　合　計</t>
    <rPh sb="1" eb="2">
      <t>ゴウ</t>
    </rPh>
    <rPh sb="3" eb="4">
      <t>ケイ</t>
    </rPh>
    <phoneticPr fontId="6"/>
  </si>
  <si>
    <t>そ　の　他　工　事</t>
    <rPh sb="4" eb="5">
      <t>タ</t>
    </rPh>
    <rPh sb="6" eb="9">
      <t>コウジ</t>
    </rPh>
    <phoneticPr fontId="9"/>
  </si>
  <si>
    <t>除　外</t>
    <rPh sb="0" eb="1">
      <t>ジョ</t>
    </rPh>
    <rPh sb="2" eb="3">
      <t>ガイ</t>
    </rPh>
    <phoneticPr fontId="9"/>
  </si>
  <si>
    <t>別途算定</t>
    <rPh sb="0" eb="2">
      <t>ベット</t>
    </rPh>
    <rPh sb="2" eb="4">
      <t>サンテイ</t>
    </rPh>
    <phoneticPr fontId="9"/>
  </si>
  <si>
    <t>補正</t>
    <rPh sb="1" eb="2">
      <t>セイ</t>
    </rPh>
    <phoneticPr fontId="9"/>
  </si>
  <si>
    <t>除外</t>
    <rPh sb="1" eb="2">
      <t>ガイ</t>
    </rPh>
    <phoneticPr fontId="9"/>
  </si>
  <si>
    <t>新営建築工事</t>
    <rPh sb="0" eb="2">
      <t>シンエイ</t>
    </rPh>
    <rPh sb="2" eb="4">
      <t>ケンチク</t>
    </rPh>
    <rPh sb="4" eb="6">
      <t>コウジ</t>
    </rPh>
    <phoneticPr fontId="9"/>
  </si>
  <si>
    <t>改修建築工事</t>
    <rPh sb="0" eb="2">
      <t>カイシュウ</t>
    </rPh>
    <rPh sb="2" eb="4">
      <t>ケンチク</t>
    </rPh>
    <rPh sb="4" eb="6">
      <t>コウジ</t>
    </rPh>
    <phoneticPr fontId="9"/>
  </si>
  <si>
    <t>建築工事</t>
    <rPh sb="0" eb="2">
      <t>ケンチク</t>
    </rPh>
    <rPh sb="2" eb="4">
      <t>コウジ</t>
    </rPh>
    <phoneticPr fontId="9"/>
  </si>
  <si>
    <t>工　事　費　内　訳　書</t>
    <rPh sb="0" eb="1">
      <t>コウ</t>
    </rPh>
    <rPh sb="2" eb="3">
      <t>コト</t>
    </rPh>
    <rPh sb="4" eb="5">
      <t>ヒ</t>
    </rPh>
    <rPh sb="6" eb="7">
      <t>ウチ</t>
    </rPh>
    <rPh sb="8" eb="9">
      <t>ヤク</t>
    </rPh>
    <phoneticPr fontId="6"/>
  </si>
  <si>
    <t>工　事　費　内　訳　書</t>
    <rPh sb="0" eb="1">
      <t>コウ</t>
    </rPh>
    <rPh sb="4" eb="5">
      <t>ヒ</t>
    </rPh>
    <rPh sb="6" eb="7">
      <t>ウチ</t>
    </rPh>
    <rPh sb="8" eb="9">
      <t>ワケ</t>
    </rPh>
    <rPh sb="10" eb="11">
      <t>ショ</t>
    </rPh>
    <phoneticPr fontId="6"/>
  </si>
  <si>
    <t>工　事　費　内　訳　書</t>
    <rPh sb="0" eb="1">
      <t>コウ</t>
    </rPh>
    <rPh sb="4" eb="5">
      <t>ヒ</t>
    </rPh>
    <rPh sb="6" eb="7">
      <t>ウチ</t>
    </rPh>
    <rPh sb="8" eb="9">
      <t>ヤク</t>
    </rPh>
    <phoneticPr fontId="6"/>
  </si>
  <si>
    <t>○○工事</t>
  </si>
  <si>
    <t>　　　　　　　　工　事　費　内　訳　書</t>
    <rPh sb="8" eb="9">
      <t>タクミ</t>
    </rPh>
    <rPh sb="10" eb="11">
      <t>コト</t>
    </rPh>
    <rPh sb="12" eb="13">
      <t>ヒ</t>
    </rPh>
    <rPh sb="14" eb="15">
      <t>ウチ</t>
    </rPh>
    <rPh sb="16" eb="17">
      <t>ヤク</t>
    </rPh>
    <rPh sb="18" eb="19">
      <t>ショ</t>
    </rPh>
    <phoneticPr fontId="6"/>
  </si>
  <si>
    <t>　　　　　　  工　事　費　内　訳　書</t>
    <rPh sb="8" eb="9">
      <t>タクミ</t>
    </rPh>
    <rPh sb="10" eb="11">
      <t>コト</t>
    </rPh>
    <rPh sb="12" eb="13">
      <t>ヒ</t>
    </rPh>
    <rPh sb="14" eb="15">
      <t>ウチ</t>
    </rPh>
    <rPh sb="16" eb="17">
      <t>ヤク</t>
    </rPh>
    <rPh sb="18" eb="19">
      <t>ショ</t>
    </rPh>
    <phoneticPr fontId="6"/>
  </si>
  <si>
    <t>設計変更</t>
  </si>
  <si>
    <t>変更工事価格</t>
    <phoneticPr fontId="7"/>
  </si>
  <si>
    <t>金額変更を伴う変更が　初回/2回目以降　かを選択してください→
※指定契約の変更の場合　2回目以降　を選択してください　</t>
    <rPh sb="33" eb="35">
      <t>シテイ</t>
    </rPh>
    <rPh sb="35" eb="37">
      <t>ケイヤク</t>
    </rPh>
    <rPh sb="38" eb="40">
      <t>ヘンコウ</t>
    </rPh>
    <rPh sb="41" eb="43">
      <t>バアイ</t>
    </rPh>
    <rPh sb="45" eb="46">
      <t>カイ</t>
    </rPh>
    <rPh sb="46" eb="47">
      <t>メ</t>
    </rPh>
    <rPh sb="47" eb="49">
      <t>イコウ</t>
    </rPh>
    <rPh sb="51" eb="53">
      <t>センタク</t>
    </rPh>
    <phoneticPr fontId="6"/>
  </si>
  <si>
    <t>2021/07/27版</t>
    <rPh sb="10" eb="11">
      <t>バン</t>
    </rPh>
    <phoneticPr fontId="6"/>
  </si>
  <si>
    <t>地下空間の大規模改革に伴う基本設計その他業務委託（4号線谷町四丁目外5駅の部）</t>
  </si>
  <si>
    <t>地下空間の大規模改革に伴う基本設計その他業務委託（4号線谷町四丁目外5駅の部）</t>
    <phoneticPr fontId="6"/>
  </si>
  <si>
    <t>設計担当係長</t>
    <phoneticPr fontId="6"/>
  </si>
  <si>
    <t>設計担当者</t>
    <phoneticPr fontId="6"/>
  </si>
  <si>
    <t>川元　正博</t>
    <phoneticPr fontId="6"/>
  </si>
  <si>
    <t>堀田　裕紀</t>
    <phoneticPr fontId="6"/>
  </si>
  <si>
    <t>M2211002</t>
    <phoneticPr fontId="6"/>
  </si>
  <si>
    <t>1024</t>
    <phoneticPr fontId="6"/>
  </si>
  <si>
    <t>基本設計の部</t>
    <rPh sb="0" eb="2">
      <t>キホン</t>
    </rPh>
    <rPh sb="2" eb="4">
      <t>セッケイ</t>
    </rPh>
    <rPh sb="5" eb="6">
      <t>ブ</t>
    </rPh>
    <phoneticPr fontId="1"/>
  </si>
  <si>
    <t>4号線谷町四丁目駅</t>
    <rPh sb="1" eb="8">
      <t>ゴウセンタニマチヨンチョウメ</t>
    </rPh>
    <rPh sb="8" eb="9">
      <t>エキ</t>
    </rPh>
    <phoneticPr fontId="1"/>
  </si>
  <si>
    <t>図面・仕様書どおり</t>
    <rPh sb="0" eb="2">
      <t>ズメン</t>
    </rPh>
    <rPh sb="3" eb="6">
      <t>シヨウショ</t>
    </rPh>
    <phoneticPr fontId="1"/>
  </si>
  <si>
    <t>4号線森ノ宮駅</t>
    <rPh sb="1" eb="3">
      <t>ゴウセン</t>
    </rPh>
    <rPh sb="3" eb="4">
      <t>モリ</t>
    </rPh>
    <rPh sb="5" eb="6">
      <t>ミヤ</t>
    </rPh>
    <rPh sb="6" eb="7">
      <t>エキ</t>
    </rPh>
    <phoneticPr fontId="1"/>
  </si>
  <si>
    <t>小計</t>
    <rPh sb="0" eb="2">
      <t>ショウケイ</t>
    </rPh>
    <phoneticPr fontId="1"/>
  </si>
  <si>
    <t>消費税及び地方消費税相当額</t>
    <rPh sb="0" eb="3">
      <t>ショウヒゼイ</t>
    </rPh>
    <rPh sb="3" eb="4">
      <t>オヨ</t>
    </rPh>
    <rPh sb="5" eb="7">
      <t>チホウ</t>
    </rPh>
    <rPh sb="7" eb="10">
      <t>ショウヒゼイ</t>
    </rPh>
    <rPh sb="10" eb="12">
      <t>ソウトウ</t>
    </rPh>
    <rPh sb="12" eb="13">
      <t>ガク</t>
    </rPh>
    <phoneticPr fontId="1"/>
  </si>
  <si>
    <t>計</t>
    <rPh sb="0" eb="1">
      <t>ケイ</t>
    </rPh>
    <phoneticPr fontId="1"/>
  </si>
  <si>
    <t>設計企画の部</t>
    <rPh sb="0" eb="2">
      <t>セッケイ</t>
    </rPh>
    <rPh sb="2" eb="4">
      <t>キカク</t>
    </rPh>
    <rPh sb="5" eb="6">
      <t>ブ</t>
    </rPh>
    <phoneticPr fontId="1"/>
  </si>
  <si>
    <t>1号線本町駅</t>
    <rPh sb="1" eb="3">
      <t>ゴウセン</t>
    </rPh>
    <rPh sb="3" eb="5">
      <t>ホンマチ</t>
    </rPh>
    <rPh sb="5" eb="6">
      <t>エキ</t>
    </rPh>
    <phoneticPr fontId="1"/>
  </si>
  <si>
    <t>4号線本町駅</t>
    <rPh sb="1" eb="3">
      <t>ゴウセン</t>
    </rPh>
    <rPh sb="3" eb="5">
      <t>ホンマチ</t>
    </rPh>
    <rPh sb="5" eb="6">
      <t>エキ</t>
    </rPh>
    <phoneticPr fontId="1"/>
  </si>
  <si>
    <t>設計監修の部（その１）</t>
    <rPh sb="0" eb="2">
      <t>セッケイ</t>
    </rPh>
    <rPh sb="2" eb="4">
      <t>カンシュウ</t>
    </rPh>
    <rPh sb="5" eb="6">
      <t>ブ</t>
    </rPh>
    <phoneticPr fontId="1"/>
  </si>
  <si>
    <t>淀屋橋駅</t>
    <rPh sb="0" eb="4">
      <t>ヨドヤバシエキ</t>
    </rPh>
    <phoneticPr fontId="1"/>
  </si>
  <si>
    <t>仕様書どおり</t>
    <rPh sb="0" eb="3">
      <t>シヨウショ</t>
    </rPh>
    <phoneticPr fontId="1"/>
  </si>
  <si>
    <t>1号線天王寺駅</t>
    <rPh sb="1" eb="3">
      <t>ゴウセン</t>
    </rPh>
    <rPh sb="3" eb="7">
      <t>テンノウジエキ</t>
    </rPh>
    <phoneticPr fontId="1"/>
  </si>
  <si>
    <t>設計監修の部（その２）</t>
    <rPh sb="0" eb="2">
      <t>セッケイ</t>
    </rPh>
    <rPh sb="2" eb="4">
      <t>カンシュウ</t>
    </rPh>
    <rPh sb="5" eb="6">
      <t>ブ</t>
    </rPh>
    <phoneticPr fontId="1"/>
  </si>
  <si>
    <t>設計監修の部（その３）</t>
    <rPh sb="0" eb="2">
      <t>セッケイ</t>
    </rPh>
    <rPh sb="2" eb="4">
      <t>カンシュウ</t>
    </rPh>
    <rPh sb="5" eb="6">
      <t>ブ</t>
    </rPh>
    <phoneticPr fontId="1"/>
  </si>
  <si>
    <t>3号線本町駅</t>
    <rPh sb="1" eb="3">
      <t>ゴウセン</t>
    </rPh>
    <rPh sb="3" eb="5">
      <t>ホンマチ</t>
    </rPh>
    <rPh sb="5" eb="6">
      <t>エキ</t>
    </rPh>
    <phoneticPr fontId="1"/>
  </si>
  <si>
    <t>業務1</t>
    <rPh sb="0" eb="2">
      <t>ギョウ</t>
    </rPh>
    <phoneticPr fontId="6"/>
  </si>
  <si>
    <t>業務2</t>
    <phoneticPr fontId="6"/>
  </si>
  <si>
    <t>業務3</t>
    <phoneticPr fontId="6"/>
  </si>
  <si>
    <t>業務4</t>
    <phoneticPr fontId="6"/>
  </si>
  <si>
    <t>業務5</t>
    <phoneticPr fontId="6"/>
  </si>
  <si>
    <t>業務6</t>
    <phoneticPr fontId="6"/>
  </si>
  <si>
    <t>業務7</t>
    <phoneticPr fontId="6"/>
  </si>
  <si>
    <t>業務8</t>
    <phoneticPr fontId="6"/>
  </si>
  <si>
    <t>業務9</t>
    <phoneticPr fontId="6"/>
  </si>
  <si>
    <t>業務10</t>
    <phoneticPr fontId="6"/>
  </si>
  <si>
    <t>業務11</t>
    <phoneticPr fontId="6"/>
  </si>
  <si>
    <t>費目</t>
    <rPh sb="0" eb="2">
      <t>ヒモク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</si>
</sst>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;;;"/>
    <numFmt numFmtId="177" formatCode="#,##0;&quot;△ &quot;#,##0"/>
    <numFmt numFmtId="178" formatCode="0&quot;A&quot;"/>
    <numFmt numFmtId="179" formatCode="#,##0_ "/>
    <numFmt numFmtId="180" formatCode="0_ "/>
    <numFmt numFmtId="181" formatCode="0;0;;@"/>
    <numFmt numFmtId="182" formatCode="&quot;◇&quot;@"/>
    <numFmt numFmtId="183" formatCode="General;\-General;"/>
    <numFmt numFmtId="184" formatCode="#,##0;&quot;△ &quot;#,##0;"/>
    <numFmt numFmtId="185" formatCode="0;&quot;△&quot;0;;"/>
    <numFmt numFmtId="186" formatCode="General;&quot;△&quot;General;"/>
    <numFmt numFmtId="187" formatCode="#,##0.0;&quot;△ &quot;#,##0.0"/>
    <numFmt numFmtId="188" formatCode="yyyy&quot;年&quot;m&quot;月&quot;d&quot;日&quot;;@"/>
    <numFmt numFmtId="189" formatCode="#,##0.0;[Red]\-#,##0.0"/>
    <numFmt numFmtId="190" formatCode="0.0_ "/>
    <numFmt numFmtId="191" formatCode="0.00_ "/>
    <numFmt numFmtId="192" formatCode="0.0"/>
    <numFmt numFmtId="193" formatCode="&quot;R=&quot;General"/>
    <numFmt numFmtId="194" formatCode="&quot;-&quot;@"/>
  </numFmts>
  <fonts count="96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4"/>
      <color indexed="8"/>
      <name val="ＭＳ Ｐ明朝"/>
      <family val="1"/>
      <charset val="128"/>
    </font>
    <font>
      <b/>
      <sz val="14"/>
      <color indexed="8"/>
      <name val="ＭＳ Ｐ明朝"/>
      <family val="1"/>
      <charset val="128"/>
    </font>
    <font>
      <b/>
      <sz val="20"/>
      <color indexed="8"/>
      <name val="ＭＳ Ｐゴシック"/>
      <family val="3"/>
      <charset val="128"/>
    </font>
    <font>
      <sz val="8"/>
      <color indexed="8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1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sz val="16"/>
      <name val="ＭＳ Ｐ明朝"/>
      <family val="1"/>
      <charset val="128"/>
    </font>
    <font>
      <sz val="13"/>
      <color indexed="8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48"/>
      <color indexed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9"/>
      <name val="ＭＳ Ｐゴシック"/>
      <family val="3"/>
      <charset val="128"/>
    </font>
    <font>
      <sz val="9"/>
      <color indexed="8"/>
      <name val="ＭＳ Ｐ明朝"/>
      <family val="1"/>
      <charset val="128"/>
    </font>
    <font>
      <i/>
      <sz val="9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2"/>
      <color indexed="8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b/>
      <u/>
      <sz val="9"/>
      <color indexed="8"/>
      <name val="ＭＳ Ｐ明朝"/>
      <family val="1"/>
      <charset val="128"/>
    </font>
    <font>
      <sz val="18"/>
      <color indexed="8"/>
      <name val="ＭＳ ゴシック"/>
      <family val="3"/>
      <charset val="128"/>
    </font>
    <font>
      <b/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color rgb="FF00B050"/>
      <name val="ＭＳ Ｐ明朝"/>
      <family val="1"/>
      <charset val="128"/>
    </font>
    <font>
      <b/>
      <sz val="9"/>
      <color indexed="81"/>
      <name val="MS P ゴシック"/>
      <family val="3"/>
      <charset val="128"/>
    </font>
    <font>
      <b/>
      <sz val="11"/>
      <color indexed="12"/>
      <name val="ＭＳ Ｐ明朝"/>
      <family val="1"/>
      <charset val="128"/>
    </font>
    <font>
      <sz val="10"/>
      <color rgb="FFFF0000"/>
      <name val="ＭＳ Ｐ明朝"/>
      <family val="1"/>
      <charset val="128"/>
    </font>
    <font>
      <b/>
      <sz val="10"/>
      <color indexed="8"/>
      <name val="ＭＳ Ｐ明朝"/>
      <family val="1"/>
      <charset val="128"/>
    </font>
    <font>
      <sz val="10"/>
      <color rgb="FF7030A0"/>
      <name val="ＭＳ Ｐ明朝"/>
      <family val="1"/>
      <charset val="128"/>
    </font>
    <font>
      <b/>
      <sz val="10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9"/>
      <color rgb="FFFF0000"/>
      <name val="ＭＳ Ｐ明朝"/>
      <family val="1"/>
      <charset val="128"/>
    </font>
    <font>
      <b/>
      <sz val="9"/>
      <color indexed="8"/>
      <name val="ＭＳ Ｐ明朝"/>
      <family val="1"/>
      <charset val="128"/>
    </font>
    <font>
      <b/>
      <sz val="9"/>
      <name val="ＭＳ Ｐ明朝"/>
      <family val="1"/>
      <charset val="128"/>
    </font>
    <font>
      <sz val="10"/>
      <color rgb="FF0070C0"/>
      <name val="ＭＳ Ｐ明朝"/>
      <family val="1"/>
      <charset val="128"/>
    </font>
    <font>
      <b/>
      <sz val="12"/>
      <color rgb="FF0070C0"/>
      <name val="ＭＳ Ｐ明朝"/>
      <family val="1"/>
      <charset val="128"/>
    </font>
    <font>
      <b/>
      <sz val="11"/>
      <color rgb="FF0070C0"/>
      <name val="ＭＳ Ｐ明朝"/>
      <family val="1"/>
      <charset val="128"/>
    </font>
    <font>
      <b/>
      <sz val="10"/>
      <color rgb="FF0070C0"/>
      <name val="ＭＳ Ｐ明朝"/>
      <family val="1"/>
      <charset val="128"/>
    </font>
    <font>
      <sz val="10"/>
      <color theme="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name val="Meiryo UI"/>
      <family val="3"/>
      <charset val="128"/>
    </font>
    <font>
      <sz val="10"/>
      <name val="Meiryo UI"/>
      <family val="3"/>
      <charset val="128"/>
    </font>
    <font>
      <sz val="9"/>
      <name val="Meiryo UI"/>
      <family val="3"/>
      <charset val="128"/>
    </font>
    <font>
      <sz val="10"/>
      <color rgb="FF00B050"/>
      <name val="ＭＳ Ｐ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0"/>
      <name val="Meiryo UI"/>
      <family val="3"/>
      <charset val="128"/>
    </font>
    <font>
      <sz val="6"/>
      <color rgb="FF7030A0"/>
      <name val="ＭＳ Ｐ明朝"/>
      <family val="1"/>
      <charset val="128"/>
    </font>
    <font>
      <sz val="6"/>
      <name val="ＭＳ Ｐ明朝"/>
      <family val="1"/>
      <charset val="128"/>
    </font>
    <font>
      <b/>
      <sz val="8"/>
      <name val="ＭＳ Ｐ明朝"/>
      <family val="1"/>
      <charset val="128"/>
    </font>
    <font>
      <sz val="14"/>
      <color indexed="8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0"/>
      <name val="ＭＳ Ｐ明朝"/>
      <family val="1"/>
      <charset val="128"/>
    </font>
    <font>
      <b/>
      <sz val="12"/>
      <name val="ＭＳ Ｐ明朝"/>
      <family val="1"/>
      <charset val="128"/>
    </font>
    <font>
      <b/>
      <sz val="6"/>
      <name val="ＭＳ Ｐ明朝"/>
      <family val="1"/>
      <charset val="128"/>
    </font>
    <font>
      <b/>
      <sz val="16"/>
      <color indexed="8"/>
      <name val="ＭＳ Ｐ明朝"/>
      <family val="1"/>
      <charset val="128"/>
    </font>
    <font>
      <b/>
      <sz val="9"/>
      <color rgb="FFFF0000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sz val="6"/>
      <color indexed="8"/>
      <name val="ＭＳ Ｐ明朝"/>
      <family val="1"/>
      <charset val="128"/>
    </font>
    <font>
      <sz val="9"/>
      <color theme="0"/>
      <name val="ＭＳ Ｐ明朝"/>
      <family val="1"/>
      <charset val="128"/>
    </font>
    <font>
      <b/>
      <u/>
      <sz val="11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20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sz val="16"/>
      <color indexed="8"/>
      <name val="ＭＳ Ｐ明朝"/>
      <family val="1"/>
      <charset val="128"/>
    </font>
    <font>
      <b/>
      <sz val="16"/>
      <color rgb="FFFF0000"/>
      <name val="ＭＳ Ｐ明朝"/>
      <family val="1"/>
      <charset val="128"/>
    </font>
    <font>
      <sz val="7"/>
      <name val="ＭＳ Ｐ明朝"/>
      <family val="1"/>
      <charset val="128"/>
    </font>
    <font>
      <sz val="7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6"/>
      <name val="ＭＳ Ｐ明朝"/>
      <family val="1"/>
      <charset val="128"/>
    </font>
    <font>
      <sz val="8"/>
      <color theme="0"/>
      <name val="ＭＳ Ｐ明朝"/>
      <family val="1"/>
      <charset val="128"/>
    </font>
    <font>
      <b/>
      <sz val="16"/>
      <color indexed="8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b/>
      <sz val="11"/>
      <color rgb="FF0000FF"/>
      <name val="Meiryo UI"/>
      <family val="2"/>
      <charset val="128"/>
    </font>
    <font>
      <sz val="12"/>
      <color rgb="FF0000FF"/>
      <name val="Meiryo UI"/>
      <family val="2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1"/>
      </patternFill>
    </fill>
    <fill>
      <patternFill patternType="gray125">
        <fgColor indexed="11"/>
      </patternFill>
    </fill>
    <fill>
      <patternFill patternType="solid">
        <fgColor indexed="42"/>
        <bgColor indexed="64"/>
      </patternFill>
    </fill>
    <fill>
      <patternFill patternType="gray125">
        <fgColor theme="0"/>
      </patternFill>
    </fill>
    <fill>
      <patternFill patternType="lightGray">
        <fgColor theme="0"/>
      </patternFill>
    </fill>
    <fill>
      <patternFill patternType="gray125">
        <fgColor theme="0" tint="-0.2499465926084170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auto="1"/>
        <bgColor indexed="64"/>
      </patternFill>
    </fill>
  </fills>
  <borders count="368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hair">
        <color indexed="8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medium">
        <color indexed="8"/>
      </top>
      <bottom style="hair">
        <color indexed="8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8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medium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 style="medium">
        <color auto="1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hair">
        <color indexed="8"/>
      </top>
      <bottom/>
      <diagonal/>
    </border>
    <border>
      <left/>
      <right/>
      <top style="hair">
        <color indexed="8"/>
      </top>
      <bottom style="medium">
        <color indexed="8"/>
      </bottom>
      <diagonal/>
    </border>
    <border>
      <left/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 style="hair">
        <color indexed="8"/>
      </top>
      <bottom style="thin">
        <color indexed="8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/>
      <bottom style="hair">
        <color indexed="8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dotted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tted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hair">
        <color indexed="8"/>
      </left>
      <right/>
      <top style="medium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8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 style="hair">
        <color indexed="8"/>
      </top>
      <bottom style="medium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/>
      <bottom style="hair">
        <color indexed="64"/>
      </bottom>
      <diagonal/>
    </border>
    <border>
      <left style="medium">
        <color indexed="8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auto="1"/>
      </right>
      <top/>
      <bottom/>
      <diagonal/>
    </border>
    <border>
      <left style="medium">
        <color indexed="8"/>
      </left>
      <right/>
      <top/>
      <bottom style="hair">
        <color indexed="8"/>
      </bottom>
      <diagonal/>
    </border>
  </borders>
  <cellStyleXfs count="10">
    <xf numFmtId="0" fontId="0" fillId="0" borderId="0"/>
    <xf numFmtId="38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62" fillId="0" borderId="0">
      <alignment vertical="center"/>
    </xf>
    <xf numFmtId="0" fontId="78" fillId="0" borderId="0" applyNumberFormat="0" applyFill="0" applyBorder="0" applyAlignment="0" applyProtection="0"/>
    <xf numFmtId="9" fontId="5" fillId="0" borderId="0" applyFont="0" applyFill="0" applyBorder="0" applyAlignment="0" applyProtection="0">
      <alignment vertical="center"/>
    </xf>
  </cellStyleXfs>
  <cellXfs count="2315">
    <xf numFmtId="0" fontId="0" fillId="0" borderId="0" xfId="0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177" fontId="7" fillId="0" borderId="0" xfId="0" applyNumberFormat="1" applyFont="1" applyAlignment="1">
      <alignment vertical="center" shrinkToFit="1"/>
    </xf>
    <xf numFmtId="0" fontId="8" fillId="0" borderId="0" xfId="0" applyFont="1" applyAlignment="1">
      <alignment vertical="top" textRotation="255" shrinkToFit="1"/>
    </xf>
    <xf numFmtId="0" fontId="7" fillId="0" borderId="0" xfId="0" applyFont="1" applyAlignment="1">
      <alignment vertical="center" shrinkToFit="1"/>
    </xf>
    <xf numFmtId="178" fontId="8" fillId="0" borderId="0" xfId="0" applyNumberFormat="1" applyFont="1" applyAlignment="1">
      <alignment vertical="center" shrinkToFit="1"/>
    </xf>
    <xf numFmtId="0" fontId="7" fillId="0" borderId="0" xfId="0" applyFont="1" applyBorder="1" applyAlignment="1">
      <alignment vertical="center" shrinkToFit="1"/>
    </xf>
    <xf numFmtId="0" fontId="8" fillId="0" borderId="0" xfId="0" applyFont="1" applyBorder="1" applyAlignment="1">
      <alignment vertical="top" textRotation="255" shrinkToFit="1"/>
    </xf>
    <xf numFmtId="0" fontId="9" fillId="0" borderId="0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/>
    </xf>
    <xf numFmtId="178" fontId="8" fillId="0" borderId="0" xfId="0" applyNumberFormat="1" applyFont="1" applyBorder="1" applyAlignment="1">
      <alignment vertical="center" shrinkToFit="1"/>
    </xf>
    <xf numFmtId="0" fontId="10" fillId="0" borderId="0" xfId="0" applyFont="1" applyBorder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9" fillId="0" borderId="0" xfId="0" applyFont="1" applyBorder="1" applyAlignment="1" applyProtection="1">
      <alignment vertical="center" wrapText="1"/>
    </xf>
    <xf numFmtId="0" fontId="9" fillId="0" borderId="0" xfId="0" applyFont="1" applyBorder="1" applyAlignment="1" applyProtection="1">
      <alignment horizontal="right" vertical="center"/>
    </xf>
    <xf numFmtId="177" fontId="9" fillId="0" borderId="0" xfId="0" applyNumberFormat="1" applyFont="1" applyBorder="1" applyAlignment="1" applyProtection="1">
      <alignment vertical="center" shrinkToFit="1"/>
    </xf>
    <xf numFmtId="0" fontId="11" fillId="0" borderId="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right" vertical="center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vertical="center"/>
    </xf>
    <xf numFmtId="0" fontId="20" fillId="0" borderId="10" xfId="0" applyFont="1" applyBorder="1" applyAlignment="1">
      <alignment vertical="center"/>
    </xf>
    <xf numFmtId="179" fontId="20" fillId="0" borderId="0" xfId="0" applyNumberFormat="1" applyFont="1" applyAlignment="1">
      <alignment vertical="center"/>
    </xf>
    <xf numFmtId="0" fontId="7" fillId="2" borderId="11" xfId="0" applyFont="1" applyFill="1" applyBorder="1" applyAlignment="1">
      <alignment vertical="center"/>
    </xf>
    <xf numFmtId="0" fontId="7" fillId="0" borderId="0" xfId="0" applyFont="1" applyAlignment="1">
      <alignment horizontal="right" vertical="center" wrapText="1"/>
    </xf>
    <xf numFmtId="0" fontId="7" fillId="0" borderId="0" xfId="0" quotePrefix="1" applyFont="1" applyAlignment="1">
      <alignment horizontal="center" vertical="center"/>
    </xf>
    <xf numFmtId="177" fontId="7" fillId="0" borderId="0" xfId="0" applyNumberFormat="1" applyFont="1" applyAlignment="1">
      <alignment horizontal="right" vertical="center"/>
    </xf>
    <xf numFmtId="0" fontId="18" fillId="0" borderId="0" xfId="0" applyFont="1" applyAlignment="1" applyProtection="1">
      <alignment vertical="center"/>
      <protection locked="0"/>
    </xf>
    <xf numFmtId="178" fontId="8" fillId="0" borderId="0" xfId="0" applyNumberFormat="1" applyFont="1" applyAlignment="1" applyProtection="1">
      <alignment vertical="center" shrinkToFit="1"/>
      <protection locked="0"/>
    </xf>
    <xf numFmtId="0" fontId="7" fillId="0" borderId="0" xfId="0" applyFont="1" applyAlignment="1" applyProtection="1">
      <alignment vertical="center"/>
      <protection locked="0"/>
    </xf>
    <xf numFmtId="0" fontId="7" fillId="2" borderId="1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12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14" fillId="4" borderId="0" xfId="0" applyFont="1" applyFill="1" applyProtection="1">
      <protection locked="0"/>
    </xf>
    <xf numFmtId="0" fontId="0" fillId="0" borderId="0" xfId="0" quotePrefix="1" applyProtection="1">
      <protection locked="0"/>
    </xf>
    <xf numFmtId="176" fontId="9" fillId="0" borderId="0" xfId="0" applyNumberFormat="1" applyFont="1" applyBorder="1" applyAlignment="1" applyProtection="1">
      <alignment vertical="center"/>
    </xf>
    <xf numFmtId="0" fontId="20" fillId="0" borderId="16" xfId="0" applyFont="1" applyBorder="1" applyAlignment="1" applyProtection="1">
      <alignment horizontal="center" vertical="center"/>
      <protection locked="0"/>
    </xf>
    <xf numFmtId="0" fontId="20" fillId="0" borderId="17" xfId="0" applyFont="1" applyBorder="1" applyAlignment="1" applyProtection="1">
      <alignment horizontal="center" vertical="center"/>
      <protection locked="0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19" xfId="0" applyFont="1" applyBorder="1" applyAlignment="1" applyProtection="1">
      <alignment horizontal="center" vertical="center"/>
      <protection locked="0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 applyProtection="1">
      <alignment vertical="center"/>
      <protection locked="0"/>
    </xf>
    <xf numFmtId="0" fontId="26" fillId="0" borderId="23" xfId="0" applyFont="1" applyBorder="1" applyAlignment="1">
      <alignment horizontal="center" shrinkToFit="1"/>
    </xf>
    <xf numFmtId="0" fontId="20" fillId="0" borderId="24" xfId="0" applyFont="1" applyBorder="1" applyAlignment="1" applyProtection="1">
      <alignment vertical="center"/>
      <protection locked="0"/>
    </xf>
    <xf numFmtId="0" fontId="20" fillId="0" borderId="25" xfId="0" applyFont="1" applyBorder="1" applyAlignment="1" applyProtection="1">
      <alignment vertical="center"/>
      <protection locked="0"/>
    </xf>
    <xf numFmtId="181" fontId="17" fillId="0" borderId="39" xfId="0" applyNumberFormat="1" applyFont="1" applyBorder="1" applyAlignment="1" applyProtection="1">
      <alignment horizontal="left" vertical="center"/>
      <protection locked="0"/>
    </xf>
    <xf numFmtId="0" fontId="17" fillId="0" borderId="39" xfId="0" applyFont="1" applyBorder="1" applyAlignment="1" applyProtection="1">
      <alignment vertical="center"/>
      <protection locked="0"/>
    </xf>
    <xf numFmtId="0" fontId="17" fillId="0" borderId="40" xfId="0" applyFont="1" applyBorder="1" applyAlignment="1" applyProtection="1">
      <alignment vertical="center"/>
      <protection locked="0"/>
    </xf>
    <xf numFmtId="0" fontId="20" fillId="0" borderId="41" xfId="0" applyFont="1" applyBorder="1" applyAlignment="1" applyProtection="1">
      <alignment vertical="center"/>
      <protection locked="0"/>
    </xf>
    <xf numFmtId="0" fontId="20" fillId="0" borderId="42" xfId="0" applyFont="1" applyBorder="1" applyAlignment="1" applyProtection="1">
      <alignment vertical="center"/>
      <protection locked="0"/>
    </xf>
    <xf numFmtId="0" fontId="20" fillId="0" borderId="43" xfId="0" applyFont="1" applyBorder="1" applyAlignment="1" applyProtection="1">
      <alignment vertical="center"/>
      <protection locked="0"/>
    </xf>
    <xf numFmtId="0" fontId="20" fillId="0" borderId="44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46" xfId="0" applyFont="1" applyBorder="1" applyAlignment="1" applyProtection="1">
      <alignment horizontal="center" vertical="center"/>
      <protection locked="0"/>
    </xf>
    <xf numFmtId="0" fontId="20" fillId="0" borderId="47" xfId="0" applyFont="1" applyBorder="1" applyAlignment="1" applyProtection="1">
      <alignment horizontal="center" vertical="center"/>
      <protection locked="0"/>
    </xf>
    <xf numFmtId="0" fontId="20" fillId="0" borderId="48" xfId="0" applyFont="1" applyBorder="1" applyAlignment="1" applyProtection="1">
      <alignment horizontal="center" vertical="center"/>
      <protection locked="0"/>
    </xf>
    <xf numFmtId="0" fontId="20" fillId="0" borderId="49" xfId="0" applyFont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20" fillId="0" borderId="51" xfId="0" applyFont="1" applyBorder="1" applyAlignment="1" applyProtection="1">
      <alignment vertical="center"/>
      <protection locked="0"/>
    </xf>
    <xf numFmtId="0" fontId="20" fillId="0" borderId="52" xfId="0" applyFont="1" applyBorder="1" applyAlignment="1" applyProtection="1">
      <alignment vertical="center"/>
      <protection locked="0"/>
    </xf>
    <xf numFmtId="0" fontId="20" fillId="0" borderId="53" xfId="0" applyFont="1" applyBorder="1" applyAlignment="1" applyProtection="1">
      <alignment vertical="center"/>
      <protection locked="0"/>
    </xf>
    <xf numFmtId="177" fontId="9" fillId="0" borderId="0" xfId="0" applyNumberFormat="1" applyFont="1" applyBorder="1" applyAlignment="1" applyProtection="1">
      <alignment vertical="center" shrinkToFit="1"/>
      <protection locked="0"/>
    </xf>
    <xf numFmtId="0" fontId="26" fillId="0" borderId="0" xfId="0" applyFont="1" applyAlignment="1">
      <alignment shrinkToFit="1"/>
    </xf>
    <xf numFmtId="0" fontId="7" fillId="0" borderId="0" xfId="0" applyFont="1" applyAlignment="1" applyProtection="1">
      <alignment vertical="center"/>
    </xf>
    <xf numFmtId="177" fontId="12" fillId="0" borderId="63" xfId="0" applyNumberFormat="1" applyFont="1" applyBorder="1" applyAlignment="1" applyProtection="1">
      <alignment horizontal="right" vertical="top" shrinkToFit="1"/>
    </xf>
    <xf numFmtId="178" fontId="20" fillId="0" borderId="67" xfId="0" applyNumberFormat="1" applyFont="1" applyBorder="1" applyAlignment="1" applyProtection="1">
      <alignment horizontal="center" vertical="center"/>
      <protection locked="0"/>
    </xf>
    <xf numFmtId="178" fontId="20" fillId="0" borderId="41" xfId="0" applyNumberFormat="1" applyFont="1" applyBorder="1" applyAlignment="1" applyProtection="1">
      <alignment horizontal="center" vertical="center"/>
      <protection locked="0"/>
    </xf>
    <xf numFmtId="178" fontId="20" fillId="0" borderId="68" xfId="0" applyNumberFormat="1" applyFont="1" applyBorder="1" applyAlignment="1" applyProtection="1">
      <alignment horizontal="center" vertical="center"/>
      <protection locked="0"/>
    </xf>
    <xf numFmtId="178" fontId="20" fillId="0" borderId="42" xfId="0" applyNumberFormat="1" applyFont="1" applyBorder="1" applyAlignment="1" applyProtection="1">
      <alignment horizontal="center" vertical="center"/>
      <protection locked="0"/>
    </xf>
    <xf numFmtId="178" fontId="20" fillId="0" borderId="69" xfId="0" applyNumberFormat="1" applyFont="1" applyBorder="1" applyAlignment="1" applyProtection="1">
      <alignment horizontal="center" vertical="center"/>
      <protection locked="0"/>
    </xf>
    <xf numFmtId="178" fontId="20" fillId="0" borderId="43" xfId="0" applyNumberFormat="1" applyFont="1" applyBorder="1" applyAlignment="1" applyProtection="1">
      <alignment horizontal="center" vertical="center"/>
      <protection locked="0"/>
    </xf>
    <xf numFmtId="38" fontId="12" fillId="0" borderId="63" xfId="0" applyNumberFormat="1" applyFont="1" applyBorder="1" applyAlignment="1" applyProtection="1">
      <alignment horizontal="right" vertical="top"/>
      <protection locked="0"/>
    </xf>
    <xf numFmtId="38" fontId="12" fillId="0" borderId="63" xfId="0" applyNumberFormat="1" applyFont="1" applyBorder="1" applyAlignment="1" applyProtection="1">
      <alignment horizontal="right" vertical="top" shrinkToFit="1"/>
      <protection locked="0"/>
    </xf>
    <xf numFmtId="0" fontId="17" fillId="0" borderId="70" xfId="0" applyFont="1" applyBorder="1" applyAlignment="1" applyProtection="1">
      <alignment vertical="center"/>
      <protection locked="0"/>
    </xf>
    <xf numFmtId="0" fontId="26" fillId="0" borderId="0" xfId="0" applyNumberFormat="1" applyFont="1" applyAlignment="1">
      <alignment shrinkToFit="1"/>
    </xf>
    <xf numFmtId="0" fontId="7" fillId="0" borderId="0" xfId="0" applyNumberFormat="1" applyFont="1" applyAlignment="1">
      <alignment vertical="center"/>
    </xf>
    <xf numFmtId="0" fontId="17" fillId="0" borderId="72" xfId="0" applyFont="1" applyBorder="1" applyAlignment="1" applyProtection="1">
      <alignment vertical="center"/>
      <protection locked="0"/>
    </xf>
    <xf numFmtId="0" fontId="17" fillId="0" borderId="63" xfId="0" applyFont="1" applyBorder="1" applyAlignment="1" applyProtection="1">
      <alignment vertical="center" wrapText="1"/>
      <protection locked="0"/>
    </xf>
    <xf numFmtId="0" fontId="17" fillId="0" borderId="63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vertical="center" wrapText="1"/>
      <protection locked="0"/>
    </xf>
    <xf numFmtId="0" fontId="17" fillId="0" borderId="73" xfId="0" applyFont="1" applyBorder="1" applyAlignment="1" applyProtection="1">
      <alignment vertical="center"/>
      <protection locked="0"/>
    </xf>
    <xf numFmtId="177" fontId="17" fillId="0" borderId="73" xfId="0" applyNumberFormat="1" applyFont="1" applyBorder="1" applyAlignment="1" applyProtection="1">
      <alignment vertical="center" shrinkToFit="1"/>
      <protection locked="0"/>
    </xf>
    <xf numFmtId="0" fontId="17" fillId="0" borderId="74" xfId="0" applyFont="1" applyBorder="1" applyAlignment="1" applyProtection="1">
      <alignment horizontal="right" vertical="center"/>
      <protection locked="0"/>
    </xf>
    <xf numFmtId="0" fontId="17" fillId="0" borderId="75" xfId="0" applyFont="1" applyBorder="1" applyAlignment="1" applyProtection="1">
      <alignment vertical="center"/>
      <protection locked="0"/>
    </xf>
    <xf numFmtId="0" fontId="17" fillId="0" borderId="76" xfId="0" applyFont="1" applyBorder="1" applyAlignment="1" applyProtection="1">
      <alignment vertical="center" wrapText="1"/>
      <protection locked="0"/>
    </xf>
    <xf numFmtId="177" fontId="17" fillId="0" borderId="76" xfId="0" applyNumberFormat="1" applyFont="1" applyBorder="1" applyAlignment="1" applyProtection="1">
      <alignment vertical="center" shrinkToFit="1"/>
      <protection locked="0"/>
    </xf>
    <xf numFmtId="0" fontId="16" fillId="0" borderId="65" xfId="0" applyFont="1" applyBorder="1" applyAlignment="1" applyProtection="1">
      <alignment horizontal="centerContinuous" vertical="center"/>
    </xf>
    <xf numFmtId="0" fontId="16" fillId="0" borderId="38" xfId="0" applyFont="1" applyBorder="1" applyAlignment="1" applyProtection="1">
      <alignment horizontal="center" vertical="center" wrapText="1"/>
    </xf>
    <xf numFmtId="0" fontId="16" fillId="0" borderId="38" xfId="0" applyFont="1" applyBorder="1" applyAlignment="1" applyProtection="1">
      <alignment horizontal="center" vertical="center"/>
    </xf>
    <xf numFmtId="177" fontId="16" fillId="0" borderId="38" xfId="0" applyNumberFormat="1" applyFont="1" applyBorder="1" applyAlignment="1" applyProtection="1">
      <alignment horizontal="center" vertical="center" shrinkToFit="1"/>
    </xf>
    <xf numFmtId="0" fontId="16" fillId="0" borderId="64" xfId="0" applyFont="1" applyBorder="1" applyAlignment="1" applyProtection="1">
      <alignment horizontal="centerContinuous" vertical="center"/>
    </xf>
    <xf numFmtId="0" fontId="15" fillId="0" borderId="77" xfId="0" applyFont="1" applyBorder="1" applyAlignment="1" applyProtection="1">
      <alignment vertical="center"/>
    </xf>
    <xf numFmtId="0" fontId="17" fillId="0" borderId="72" xfId="0" applyFont="1" applyBorder="1" applyAlignment="1" applyProtection="1">
      <alignment vertical="center"/>
    </xf>
    <xf numFmtId="0" fontId="17" fillId="0" borderId="63" xfId="0" applyFont="1" applyBorder="1" applyAlignment="1" applyProtection="1">
      <alignment horizontal="center" vertical="center"/>
    </xf>
    <xf numFmtId="0" fontId="17" fillId="0" borderId="73" xfId="0" applyFont="1" applyBorder="1" applyAlignment="1" applyProtection="1">
      <alignment vertical="center" shrinkToFit="1"/>
      <protection locked="0"/>
    </xf>
    <xf numFmtId="0" fontId="17" fillId="0" borderId="73" xfId="0" applyFont="1" applyBorder="1" applyAlignment="1" applyProtection="1">
      <alignment horizontal="center" vertical="center" shrinkToFit="1"/>
      <protection locked="0"/>
    </xf>
    <xf numFmtId="0" fontId="17" fillId="0" borderId="39" xfId="0" quotePrefix="1" applyFont="1" applyBorder="1" applyAlignment="1" applyProtection="1">
      <alignment vertical="center"/>
      <protection locked="0"/>
    </xf>
    <xf numFmtId="0" fontId="17" fillId="0" borderId="76" xfId="0" applyFont="1" applyBorder="1" applyAlignment="1" applyProtection="1">
      <alignment vertical="center" shrinkToFit="1"/>
      <protection locked="0"/>
    </xf>
    <xf numFmtId="0" fontId="17" fillId="0" borderId="76" xfId="0" applyFont="1" applyBorder="1" applyAlignment="1" applyProtection="1">
      <alignment horizontal="center" vertical="center" shrinkToFit="1"/>
      <protection locked="0"/>
    </xf>
    <xf numFmtId="177" fontId="17" fillId="0" borderId="76" xfId="0" applyNumberFormat="1" applyFont="1" applyBorder="1" applyAlignment="1" applyProtection="1">
      <alignment horizontal="right" vertical="center" shrinkToFit="1"/>
      <protection locked="0"/>
    </xf>
    <xf numFmtId="0" fontId="17" fillId="0" borderId="78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vertical="center"/>
    </xf>
    <xf numFmtId="0" fontId="8" fillId="0" borderId="0" xfId="0" quotePrefix="1" applyFont="1" applyAlignment="1">
      <alignment horizontal="center" vertical="center"/>
    </xf>
    <xf numFmtId="177" fontId="8" fillId="0" borderId="0" xfId="0" applyNumberFormat="1" applyFont="1" applyAlignment="1">
      <alignment vertical="center" shrinkToFit="1"/>
    </xf>
    <xf numFmtId="180" fontId="17" fillId="0" borderId="74" xfId="0" applyNumberFormat="1" applyFont="1" applyBorder="1" applyAlignment="1" applyProtection="1">
      <alignment horizontal="right" vertical="center" shrinkToFit="1"/>
      <protection locked="0"/>
    </xf>
    <xf numFmtId="0" fontId="17" fillId="0" borderId="39" xfId="0" applyFont="1" applyBorder="1" applyAlignment="1" applyProtection="1">
      <alignment vertical="center" shrinkToFit="1"/>
      <protection locked="0"/>
    </xf>
    <xf numFmtId="0" fontId="17" fillId="0" borderId="73" xfId="0" applyFont="1" applyBorder="1" applyAlignment="1" applyProtection="1">
      <alignment horizontal="right" vertical="center" shrinkToFit="1"/>
      <protection locked="0"/>
    </xf>
    <xf numFmtId="38" fontId="17" fillId="0" borderId="76" xfId="0" applyNumberFormat="1" applyFont="1" applyBorder="1" applyAlignment="1" applyProtection="1">
      <alignment horizontal="right" vertical="center" shrinkToFit="1"/>
      <protection locked="0"/>
    </xf>
    <xf numFmtId="182" fontId="15" fillId="0" borderId="77" xfId="0" applyNumberFormat="1" applyFont="1" applyBorder="1" applyAlignment="1" applyProtection="1">
      <alignment vertical="center"/>
      <protection locked="0"/>
    </xf>
    <xf numFmtId="0" fontId="17" fillId="0" borderId="72" xfId="0" applyFont="1" applyBorder="1" applyAlignment="1" applyProtection="1">
      <alignment vertical="center" shrinkToFit="1"/>
      <protection locked="0"/>
    </xf>
    <xf numFmtId="0" fontId="17" fillId="0" borderId="63" xfId="0" applyFont="1" applyBorder="1" applyAlignment="1" applyProtection="1">
      <alignment vertical="center" shrinkToFit="1"/>
      <protection locked="0"/>
    </xf>
    <xf numFmtId="38" fontId="17" fillId="0" borderId="73" xfId="0" applyNumberFormat="1" applyFont="1" applyBorder="1" applyAlignment="1" applyProtection="1">
      <alignment horizontal="right" vertical="center" shrinkToFit="1"/>
      <protection locked="0"/>
    </xf>
    <xf numFmtId="0" fontId="17" fillId="0" borderId="63" xfId="0" applyFont="1" applyBorder="1" applyAlignment="1" applyProtection="1">
      <alignment horizontal="center" vertical="center" shrinkToFit="1"/>
      <protection locked="0"/>
    </xf>
    <xf numFmtId="38" fontId="17" fillId="0" borderId="73" xfId="0" applyNumberFormat="1" applyFont="1" applyBorder="1" applyAlignment="1" applyProtection="1">
      <alignment vertical="center" shrinkToFit="1"/>
      <protection locked="0"/>
    </xf>
    <xf numFmtId="0" fontId="17" fillId="0" borderId="74" xfId="0" applyNumberFormat="1" applyFont="1" applyBorder="1" applyAlignment="1" applyProtection="1">
      <alignment horizontal="right" vertical="center"/>
      <protection locked="0"/>
    </xf>
    <xf numFmtId="0" fontId="14" fillId="0" borderId="0" xfId="0" applyFont="1" applyAlignment="1">
      <alignment shrinkToFit="1"/>
    </xf>
    <xf numFmtId="0" fontId="5" fillId="4" borderId="0" xfId="0" applyFont="1" applyFill="1" applyProtection="1">
      <protection locked="0"/>
    </xf>
    <xf numFmtId="0" fontId="5" fillId="5" borderId="0" xfId="0" applyFont="1" applyFill="1" applyProtection="1"/>
    <xf numFmtId="0" fontId="21" fillId="5" borderId="0" xfId="0" applyFont="1" applyFill="1" applyProtection="1"/>
    <xf numFmtId="0" fontId="0" fillId="0" borderId="0" xfId="0" applyProtection="1"/>
    <xf numFmtId="0" fontId="29" fillId="4" borderId="0" xfId="0" applyFont="1" applyFill="1" applyProtection="1">
      <protection locked="0"/>
    </xf>
    <xf numFmtId="0" fontId="30" fillId="0" borderId="0" xfId="0" applyFont="1" applyAlignment="1">
      <alignment vertical="center"/>
    </xf>
    <xf numFmtId="0" fontId="29" fillId="0" borderId="0" xfId="0" applyFont="1" applyProtection="1">
      <protection locked="0"/>
    </xf>
    <xf numFmtId="0" fontId="26" fillId="0" borderId="23" xfId="0" applyFont="1" applyBorder="1" applyAlignment="1">
      <alignment shrinkToFit="1"/>
    </xf>
    <xf numFmtId="0" fontId="0" fillId="0" borderId="0" xfId="0" applyFill="1"/>
    <xf numFmtId="0" fontId="0" fillId="0" borderId="0" xfId="0" quotePrefix="1" applyFill="1"/>
    <xf numFmtId="0" fontId="0" fillId="0" borderId="0" xfId="0" applyFill="1" applyProtection="1">
      <protection locked="0"/>
    </xf>
    <xf numFmtId="10" fontId="0" fillId="0" borderId="0" xfId="0" applyNumberFormat="1" applyFill="1"/>
    <xf numFmtId="0" fontId="0" fillId="0" borderId="0" xfId="0" applyAlignment="1" applyProtection="1">
      <alignment horizontal="right"/>
      <protection locked="0"/>
    </xf>
    <xf numFmtId="0" fontId="7" fillId="0" borderId="11" xfId="0" applyFont="1" applyBorder="1" applyAlignment="1">
      <alignment horizontal="center" vertical="center"/>
    </xf>
    <xf numFmtId="0" fontId="31" fillId="0" borderId="11" xfId="0" applyFont="1" applyBorder="1" applyAlignment="1">
      <alignment vertical="center"/>
    </xf>
    <xf numFmtId="0" fontId="7" fillId="0" borderId="79" xfId="0" applyFont="1" applyBorder="1" applyAlignment="1">
      <alignment horizontal="center" vertical="center"/>
    </xf>
    <xf numFmtId="0" fontId="7" fillId="0" borderId="80" xfId="0" applyFont="1" applyBorder="1" applyAlignment="1">
      <alignment horizontal="center" vertical="center"/>
    </xf>
    <xf numFmtId="0" fontId="7" fillId="0" borderId="79" xfId="0" applyFont="1" applyBorder="1" applyAlignment="1" applyProtection="1">
      <alignment vertical="center"/>
      <protection locked="0"/>
    </xf>
    <xf numFmtId="0" fontId="7" fillId="0" borderId="80" xfId="0" applyFont="1" applyBorder="1" applyAlignment="1" applyProtection="1">
      <alignment vertical="center"/>
      <protection locked="0"/>
    </xf>
    <xf numFmtId="0" fontId="31" fillId="0" borderId="79" xfId="0" applyFont="1" applyBorder="1" applyAlignment="1">
      <alignment vertical="center" wrapText="1"/>
    </xf>
    <xf numFmtId="0" fontId="26" fillId="0" borderId="0" xfId="0" applyFont="1" applyBorder="1" applyAlignment="1">
      <alignment shrinkToFit="1"/>
    </xf>
    <xf numFmtId="0" fontId="32" fillId="0" borderId="0" xfId="0" applyFont="1" applyAlignment="1">
      <alignment vertical="center"/>
    </xf>
    <xf numFmtId="0" fontId="26" fillId="0" borderId="52" xfId="0" applyFont="1" applyBorder="1" applyAlignment="1">
      <alignment horizontal="center" shrinkToFit="1"/>
    </xf>
    <xf numFmtId="0" fontId="26" fillId="0" borderId="52" xfId="0" applyFont="1" applyBorder="1" applyAlignment="1">
      <alignment shrinkToFit="1"/>
    </xf>
    <xf numFmtId="0" fontId="26" fillId="0" borderId="24" xfId="0" applyFont="1" applyBorder="1" applyAlignment="1">
      <alignment horizontal="center" shrinkToFit="1"/>
    </xf>
    <xf numFmtId="0" fontId="26" fillId="0" borderId="31" xfId="0" applyFont="1" applyBorder="1" applyAlignment="1">
      <alignment horizontal="center" shrinkToFit="1"/>
    </xf>
    <xf numFmtId="0" fontId="26" fillId="0" borderId="24" xfId="0" applyFont="1" applyBorder="1" applyAlignment="1">
      <alignment shrinkToFit="1"/>
    </xf>
    <xf numFmtId="0" fontId="26" fillId="0" borderId="81" xfId="0" applyFont="1" applyBorder="1" applyAlignment="1">
      <alignment shrinkToFit="1"/>
    </xf>
    <xf numFmtId="0" fontId="26" fillId="0" borderId="82" xfId="0" applyFont="1" applyBorder="1" applyAlignment="1">
      <alignment shrinkToFit="1"/>
    </xf>
    <xf numFmtId="0" fontId="26" fillId="0" borderId="83" xfId="0" applyFont="1" applyBorder="1" applyAlignment="1">
      <alignment shrinkToFit="1"/>
    </xf>
    <xf numFmtId="0" fontId="26" fillId="0" borderId="0" xfId="0" applyFont="1" applyBorder="1" applyAlignment="1">
      <alignment vertical="center" shrinkToFit="1"/>
    </xf>
    <xf numFmtId="0" fontId="26" fillId="0" borderId="84" xfId="0" applyFont="1" applyBorder="1" applyAlignment="1">
      <alignment vertical="center" shrinkToFit="1"/>
    </xf>
    <xf numFmtId="0" fontId="26" fillId="0" borderId="85" xfId="0" applyFont="1" applyBorder="1" applyAlignment="1">
      <alignment vertical="center" shrinkToFit="1"/>
    </xf>
    <xf numFmtId="0" fontId="26" fillId="0" borderId="0" xfId="0" applyFont="1" applyAlignment="1">
      <alignment vertical="center" shrinkToFit="1"/>
    </xf>
    <xf numFmtId="0" fontId="28" fillId="0" borderId="86" xfId="0" applyFont="1" applyBorder="1" applyAlignment="1">
      <alignment vertical="center" shrinkToFit="1"/>
    </xf>
    <xf numFmtId="0" fontId="5" fillId="0" borderId="0" xfId="0" applyFont="1" applyAlignment="1"/>
    <xf numFmtId="0" fontId="5" fillId="0" borderId="87" xfId="0" applyFont="1" applyFill="1" applyBorder="1" applyAlignment="1"/>
    <xf numFmtId="0" fontId="26" fillId="0" borderId="88" xfId="0" applyFont="1" applyBorder="1" applyAlignment="1">
      <alignment shrinkToFit="1"/>
    </xf>
    <xf numFmtId="0" fontId="26" fillId="0" borderId="89" xfId="0" applyFont="1" applyBorder="1" applyAlignment="1">
      <alignment shrinkToFit="1"/>
    </xf>
    <xf numFmtId="0" fontId="26" fillId="0" borderId="24" xfId="0" applyFont="1" applyBorder="1" applyAlignment="1">
      <alignment vertical="center" shrinkToFit="1"/>
    </xf>
    <xf numFmtId="0" fontId="26" fillId="0" borderId="23" xfId="0" applyFont="1" applyBorder="1" applyAlignment="1">
      <alignment vertical="center" shrinkToFit="1"/>
    </xf>
    <xf numFmtId="0" fontId="28" fillId="0" borderId="52" xfId="0" applyFont="1" applyBorder="1" applyAlignment="1">
      <alignment vertical="center" shrinkToFit="1"/>
    </xf>
    <xf numFmtId="0" fontId="26" fillId="0" borderId="81" xfId="0" applyNumberFormat="1" applyFont="1" applyBorder="1" applyAlignment="1">
      <alignment shrinkToFit="1"/>
    </xf>
    <xf numFmtId="0" fontId="26" fillId="0" borderId="24" xfId="0" applyNumberFormat="1" applyFont="1" applyBorder="1" applyAlignment="1">
      <alignment shrinkToFit="1"/>
    </xf>
    <xf numFmtId="0" fontId="28" fillId="0" borderId="93" xfId="0" applyFont="1" applyBorder="1" applyAlignment="1">
      <alignment shrinkToFit="1"/>
    </xf>
    <xf numFmtId="0" fontId="26" fillId="0" borderId="94" xfId="0" applyFont="1" applyBorder="1" applyAlignment="1">
      <alignment vertical="center" shrinkToFit="1"/>
    </xf>
    <xf numFmtId="0" fontId="26" fillId="0" borderId="95" xfId="0" applyFont="1" applyBorder="1" applyAlignment="1">
      <alignment vertical="center" shrinkToFit="1"/>
    </xf>
    <xf numFmtId="0" fontId="28" fillId="0" borderId="96" xfId="0" applyFont="1" applyBorder="1" applyAlignment="1">
      <alignment vertical="center" shrinkToFit="1"/>
    </xf>
    <xf numFmtId="0" fontId="32" fillId="0" borderId="39" xfId="0" applyFont="1" applyBorder="1" applyAlignment="1" applyProtection="1">
      <alignment vertical="center" shrinkToFit="1"/>
      <protection locked="0"/>
    </xf>
    <xf numFmtId="183" fontId="26" fillId="0" borderId="94" xfId="0" quotePrefix="1" applyNumberFormat="1" applyFont="1" applyBorder="1" applyAlignment="1">
      <alignment vertical="center" shrinkToFit="1"/>
    </xf>
    <xf numFmtId="183" fontId="26" fillId="0" borderId="24" xfId="0" quotePrefix="1" applyNumberFormat="1" applyFont="1" applyBorder="1" applyAlignment="1">
      <alignment vertical="center" shrinkToFit="1"/>
    </xf>
    <xf numFmtId="183" fontId="26" fillId="0" borderId="88" xfId="0" applyNumberFormat="1" applyFont="1" applyBorder="1" applyAlignment="1">
      <alignment shrinkToFit="1"/>
    </xf>
    <xf numFmtId="0" fontId="17" fillId="0" borderId="74" xfId="0" applyFont="1" applyBorder="1" applyAlignment="1" applyProtection="1">
      <alignment vertical="center"/>
      <protection locked="0"/>
    </xf>
    <xf numFmtId="177" fontId="17" fillId="0" borderId="39" xfId="0" applyNumberFormat="1" applyFont="1" applyBorder="1" applyAlignment="1" applyProtection="1">
      <alignment vertical="center"/>
      <protection locked="0"/>
    </xf>
    <xf numFmtId="184" fontId="26" fillId="0" borderId="84" xfId="0" applyNumberFormat="1" applyFont="1" applyBorder="1" applyAlignment="1">
      <alignment vertical="center" shrinkToFit="1"/>
    </xf>
    <xf numFmtId="184" fontId="26" fillId="0" borderId="85" xfId="0" applyNumberFormat="1" applyFont="1" applyBorder="1" applyAlignment="1">
      <alignment vertical="center" shrinkToFit="1"/>
    </xf>
    <xf numFmtId="184" fontId="26" fillId="0" borderId="98" xfId="0" applyNumberFormat="1" applyFont="1" applyBorder="1" applyAlignment="1">
      <alignment vertical="center" shrinkToFit="1"/>
    </xf>
    <xf numFmtId="185" fontId="26" fillId="0" borderId="94" xfId="0" applyNumberFormat="1" applyFont="1" applyBorder="1" applyAlignment="1">
      <alignment vertical="center" shrinkToFit="1"/>
    </xf>
    <xf numFmtId="185" fontId="26" fillId="0" borderId="95" xfId="0" applyNumberFormat="1" applyFont="1" applyBorder="1" applyAlignment="1">
      <alignment vertical="center" shrinkToFit="1"/>
    </xf>
    <xf numFmtId="185" fontId="26" fillId="0" borderId="99" xfId="0" applyNumberFormat="1" applyFont="1" applyBorder="1" applyAlignment="1">
      <alignment vertical="center" shrinkToFit="1"/>
    </xf>
    <xf numFmtId="185" fontId="26" fillId="0" borderId="24" xfId="0" applyNumberFormat="1" applyFont="1" applyBorder="1" applyAlignment="1">
      <alignment vertical="center" shrinkToFit="1"/>
    </xf>
    <xf numFmtId="185" fontId="26" fillId="0" borderId="23" xfId="0" applyNumberFormat="1" applyFont="1" applyBorder="1" applyAlignment="1">
      <alignment vertical="center" shrinkToFit="1"/>
    </xf>
    <xf numFmtId="185" fontId="26" fillId="0" borderId="31" xfId="0" applyNumberFormat="1" applyFont="1" applyBorder="1" applyAlignment="1">
      <alignment vertical="center" shrinkToFit="1"/>
    </xf>
    <xf numFmtId="185" fontId="26" fillId="0" borderId="88" xfId="0" applyNumberFormat="1" applyFont="1" applyBorder="1" applyAlignment="1">
      <alignment shrinkToFit="1"/>
    </xf>
    <xf numFmtId="185" fontId="26" fillId="0" borderId="89" xfId="0" applyNumberFormat="1" applyFont="1" applyBorder="1" applyAlignment="1">
      <alignment shrinkToFit="1"/>
    </xf>
    <xf numFmtId="185" fontId="26" fillId="0" borderId="100" xfId="0" applyNumberFormat="1" applyFont="1" applyBorder="1" applyAlignment="1">
      <alignment shrinkToFit="1"/>
    </xf>
    <xf numFmtId="0" fontId="7" fillId="0" borderId="23" xfId="0" applyFont="1" applyBorder="1" applyAlignment="1">
      <alignment vertical="center"/>
    </xf>
    <xf numFmtId="0" fontId="7" fillId="0" borderId="82" xfId="0" applyFont="1" applyBorder="1" applyAlignment="1">
      <alignment vertical="center"/>
    </xf>
    <xf numFmtId="179" fontId="17" fillId="6" borderId="76" xfId="0" applyNumberFormat="1" applyFont="1" applyFill="1" applyBorder="1" applyAlignment="1" applyProtection="1">
      <alignment vertical="center" shrinkToFit="1"/>
      <protection locked="0"/>
    </xf>
    <xf numFmtId="21" fontId="17" fillId="0" borderId="73" xfId="0" applyNumberFormat="1" applyFont="1" applyBorder="1" applyAlignment="1" applyProtection="1">
      <alignment vertical="center" wrapText="1"/>
      <protection locked="0"/>
    </xf>
    <xf numFmtId="179" fontId="17" fillId="6" borderId="72" xfId="0" applyNumberFormat="1" applyFont="1" applyFill="1" applyBorder="1" applyAlignment="1" applyProtection="1">
      <alignment vertical="center" shrinkToFit="1"/>
      <protection locked="0"/>
    </xf>
    <xf numFmtId="179" fontId="17" fillId="6" borderId="63" xfId="0" applyNumberFormat="1" applyFont="1" applyFill="1" applyBorder="1" applyAlignment="1" applyProtection="1">
      <alignment vertical="center" shrinkToFit="1"/>
      <protection locked="0"/>
    </xf>
    <xf numFmtId="179" fontId="17" fillId="6" borderId="63" xfId="0" applyNumberFormat="1" applyFont="1" applyFill="1" applyBorder="1" applyAlignment="1" applyProtection="1">
      <alignment vertical="center"/>
      <protection locked="0"/>
    </xf>
    <xf numFmtId="179" fontId="17" fillId="6" borderId="63" xfId="0" applyNumberFormat="1" applyFont="1" applyFill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vertical="center"/>
      <protection locked="0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179" fontId="26" fillId="0" borderId="0" xfId="0" applyNumberFormat="1" applyFont="1" applyAlignment="1">
      <alignment vertical="center"/>
    </xf>
    <xf numFmtId="9" fontId="14" fillId="7" borderId="0" xfId="0" applyNumberFormat="1" applyFont="1" applyFill="1" applyAlignment="1">
      <alignment horizontal="center" vertical="center"/>
    </xf>
    <xf numFmtId="21" fontId="17" fillId="0" borderId="73" xfId="0" quotePrefix="1" applyNumberFormat="1" applyFont="1" applyBorder="1" applyAlignment="1" applyProtection="1">
      <alignment vertical="center" wrapText="1"/>
      <protection locked="0"/>
    </xf>
    <xf numFmtId="0" fontId="0" fillId="3" borderId="0" xfId="0" applyFill="1" applyAlignment="1" applyProtection="1">
      <protection locked="0"/>
    </xf>
    <xf numFmtId="0" fontId="31" fillId="0" borderId="14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79" xfId="0" applyFont="1" applyBorder="1" applyAlignment="1" applyProtection="1">
      <alignment vertical="center" shrinkToFit="1"/>
      <protection locked="0"/>
    </xf>
    <xf numFmtId="0" fontId="7" fillId="0" borderId="80" xfId="0" applyFont="1" applyBorder="1" applyAlignment="1" applyProtection="1">
      <alignment vertical="center" shrinkToFit="1"/>
      <protection locked="0"/>
    </xf>
    <xf numFmtId="0" fontId="7" fillId="0" borderId="11" xfId="0" applyFont="1" applyBorder="1" applyAlignment="1">
      <alignment vertical="center" shrinkToFit="1"/>
    </xf>
    <xf numFmtId="0" fontId="7" fillId="0" borderId="14" xfId="0" applyFont="1" applyBorder="1" applyAlignment="1">
      <alignment vertical="center" shrinkToFit="1"/>
    </xf>
    <xf numFmtId="0" fontId="7" fillId="0" borderId="80" xfId="0" applyFont="1" applyBorder="1" applyAlignment="1">
      <alignment vertical="center" shrinkToFit="1"/>
    </xf>
    <xf numFmtId="0" fontId="7" fillId="0" borderId="79" xfId="0" applyFont="1" applyBorder="1" applyAlignment="1">
      <alignment vertical="center" shrinkToFit="1"/>
    </xf>
    <xf numFmtId="0" fontId="26" fillId="0" borderId="94" xfId="0" applyFont="1" applyBorder="1" applyAlignment="1">
      <alignment shrinkToFit="1"/>
    </xf>
    <xf numFmtId="0" fontId="26" fillId="0" borderId="95" xfId="0" applyFont="1" applyBorder="1" applyAlignment="1">
      <alignment shrinkToFit="1"/>
    </xf>
    <xf numFmtId="0" fontId="26" fillId="0" borderId="96" xfId="0" applyFont="1" applyBorder="1" applyAlignment="1">
      <alignment shrinkToFit="1"/>
    </xf>
    <xf numFmtId="178" fontId="8" fillId="6" borderId="0" xfId="0" applyNumberFormat="1" applyFont="1" applyFill="1" applyAlignment="1" applyProtection="1">
      <alignment vertical="center" shrinkToFit="1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9" fontId="26" fillId="0" borderId="0" xfId="0" applyNumberFormat="1" applyFont="1" applyFill="1" applyAlignment="1">
      <alignment horizontal="center" vertical="center"/>
    </xf>
    <xf numFmtId="0" fontId="20" fillId="0" borderId="2" xfId="0" applyFont="1" applyBorder="1" applyAlignment="1">
      <alignment horizontal="center" vertical="center" shrinkToFit="1"/>
    </xf>
    <xf numFmtId="179" fontId="20" fillId="0" borderId="101" xfId="0" applyNumberFormat="1" applyFont="1" applyBorder="1" applyAlignment="1" applyProtection="1">
      <alignment horizontal="center" vertical="center" shrinkToFit="1"/>
      <protection locked="0"/>
    </xf>
    <xf numFmtId="179" fontId="20" fillId="0" borderId="102" xfId="0" applyNumberFormat="1" applyFont="1" applyBorder="1" applyAlignment="1" applyProtection="1">
      <alignment horizontal="center" vertical="center" shrinkToFit="1"/>
      <protection locked="0"/>
    </xf>
    <xf numFmtId="0" fontId="20" fillId="0" borderId="103" xfId="0" applyFont="1" applyBorder="1" applyAlignment="1">
      <alignment horizontal="center" vertical="center" shrinkToFit="1"/>
    </xf>
    <xf numFmtId="0" fontId="20" fillId="0" borderId="4" xfId="0" applyFont="1" applyBorder="1" applyAlignment="1">
      <alignment horizontal="center" vertical="center" shrinkToFit="1"/>
    </xf>
    <xf numFmtId="0" fontId="20" fillId="0" borderId="5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04" xfId="0" applyFont="1" applyBorder="1" applyAlignment="1">
      <alignment horizontal="center" vertical="center" shrinkToFit="1"/>
    </xf>
    <xf numFmtId="0" fontId="20" fillId="0" borderId="50" xfId="0" applyFont="1" applyBorder="1" applyAlignment="1">
      <alignment horizontal="center" vertical="center" shrinkToFit="1"/>
    </xf>
    <xf numFmtId="179" fontId="20" fillId="0" borderId="105" xfId="0" applyNumberFormat="1" applyFont="1" applyBorder="1" applyAlignment="1">
      <alignment horizontal="center" vertical="center" shrinkToFit="1"/>
    </xf>
    <xf numFmtId="179" fontId="20" fillId="0" borderId="106" xfId="0" applyNumberFormat="1" applyFont="1" applyBorder="1" applyAlignment="1">
      <alignment horizontal="center" vertical="center" shrinkToFit="1"/>
    </xf>
    <xf numFmtId="0" fontId="20" fillId="0" borderId="107" xfId="0" applyFont="1" applyBorder="1" applyAlignment="1">
      <alignment horizontal="center" vertical="center" shrinkToFit="1"/>
    </xf>
    <xf numFmtId="0" fontId="20" fillId="0" borderId="108" xfId="0" applyFont="1" applyBorder="1" applyAlignment="1">
      <alignment horizontal="center" vertical="center" shrinkToFit="1"/>
    </xf>
    <xf numFmtId="179" fontId="20" fillId="0" borderId="109" xfId="0" applyNumberFormat="1" applyFont="1" applyBorder="1" applyAlignment="1" applyProtection="1">
      <alignment horizontal="center" vertical="center" shrinkToFit="1"/>
    </xf>
    <xf numFmtId="0" fontId="20" fillId="0" borderId="17" xfId="0" applyFont="1" applyBorder="1" applyAlignment="1" applyProtection="1">
      <alignment horizontal="center" vertical="center" shrinkToFit="1"/>
      <protection locked="0"/>
    </xf>
    <xf numFmtId="178" fontId="20" fillId="0" borderId="67" xfId="0" applyNumberFormat="1" applyFont="1" applyBorder="1" applyAlignment="1" applyProtection="1">
      <alignment horizontal="center" vertical="center" shrinkToFit="1"/>
      <protection locked="0"/>
    </xf>
    <xf numFmtId="178" fontId="20" fillId="0" borderId="41" xfId="0" applyNumberFormat="1" applyFont="1" applyBorder="1" applyAlignment="1" applyProtection="1">
      <alignment horizontal="center" vertical="center" shrinkToFit="1"/>
      <protection locked="0"/>
    </xf>
    <xf numFmtId="0" fontId="20" fillId="0" borderId="110" xfId="0" applyFont="1" applyBorder="1" applyAlignment="1" applyProtection="1">
      <alignment vertical="center" shrinkToFit="1"/>
      <protection locked="0"/>
    </xf>
    <xf numFmtId="0" fontId="20" fillId="0" borderId="51" xfId="0" applyFont="1" applyBorder="1" applyAlignment="1" applyProtection="1">
      <alignment vertical="center" shrinkToFit="1"/>
      <protection locked="0"/>
    </xf>
    <xf numFmtId="0" fontId="20" fillId="0" borderId="111" xfId="0" applyFont="1" applyBorder="1" applyAlignment="1" applyProtection="1">
      <alignment vertical="center" shrinkToFit="1"/>
      <protection locked="0"/>
    </xf>
    <xf numFmtId="0" fontId="20" fillId="0" borderId="51" xfId="0" applyFont="1" applyBorder="1" applyAlignment="1" applyProtection="1">
      <alignment horizontal="center" vertical="center" shrinkToFit="1"/>
      <protection locked="0"/>
    </xf>
    <xf numFmtId="179" fontId="20" fillId="8" borderId="112" xfId="0" applyNumberFormat="1" applyFont="1" applyFill="1" applyBorder="1" applyAlignment="1" applyProtection="1">
      <alignment vertical="center" shrinkToFit="1"/>
      <protection locked="0"/>
    </xf>
    <xf numFmtId="178" fontId="20" fillId="0" borderId="113" xfId="0" applyNumberFormat="1" applyFont="1" applyBorder="1" applyAlignment="1" applyProtection="1">
      <alignment horizontal="center" vertical="center" shrinkToFit="1"/>
      <protection locked="0"/>
    </xf>
    <xf numFmtId="0" fontId="20" fillId="0" borderId="18" xfId="0" applyFont="1" applyBorder="1" applyAlignment="1" applyProtection="1">
      <alignment horizontal="center" vertical="center" shrinkToFit="1"/>
      <protection locked="0"/>
    </xf>
    <xf numFmtId="178" fontId="20" fillId="0" borderId="68" xfId="0" applyNumberFormat="1" applyFont="1" applyBorder="1" applyAlignment="1" applyProtection="1">
      <alignment horizontal="center" vertical="center" shrinkToFit="1"/>
      <protection locked="0"/>
    </xf>
    <xf numFmtId="178" fontId="20" fillId="0" borderId="42" xfId="0" applyNumberFormat="1" applyFont="1" applyBorder="1" applyAlignment="1" applyProtection="1">
      <alignment horizontal="center" vertical="center" shrinkToFit="1"/>
      <protection locked="0"/>
    </xf>
    <xf numFmtId="0" fontId="20" fillId="0" borderId="114" xfId="0" applyFont="1" applyBorder="1" applyAlignment="1" applyProtection="1">
      <alignment vertical="center" shrinkToFit="1"/>
      <protection locked="0"/>
    </xf>
    <xf numFmtId="0" fontId="20" fillId="0" borderId="52" xfId="0" applyFont="1" applyBorder="1" applyAlignment="1" applyProtection="1">
      <alignment vertical="center" shrinkToFit="1"/>
      <protection locked="0"/>
    </xf>
    <xf numFmtId="0" fontId="20" fillId="0" borderId="23" xfId="0" applyFont="1" applyBorder="1" applyAlignment="1" applyProtection="1">
      <alignment vertical="center" shrinkToFit="1"/>
      <protection locked="0"/>
    </xf>
    <xf numFmtId="0" fontId="20" fillId="0" borderId="52" xfId="0" applyFont="1" applyBorder="1" applyAlignment="1" applyProtection="1">
      <alignment horizontal="center" vertical="center" shrinkToFit="1"/>
      <protection locked="0"/>
    </xf>
    <xf numFmtId="179" fontId="20" fillId="8" borderId="115" xfId="0" applyNumberFormat="1" applyFont="1" applyFill="1" applyBorder="1" applyAlignment="1" applyProtection="1">
      <alignment vertical="center" shrinkToFit="1"/>
      <protection locked="0"/>
    </xf>
    <xf numFmtId="178" fontId="20" fillId="0" borderId="116" xfId="0" applyNumberFormat="1" applyFont="1" applyBorder="1" applyAlignment="1" applyProtection="1">
      <alignment horizontal="center" vertical="center" shrinkToFit="1"/>
      <protection locked="0"/>
    </xf>
    <xf numFmtId="179" fontId="20" fillId="0" borderId="117" xfId="0" applyNumberFormat="1" applyFont="1" applyBorder="1" applyAlignment="1" applyProtection="1">
      <alignment vertical="center" shrinkToFit="1"/>
    </xf>
    <xf numFmtId="186" fontId="17" fillId="0" borderId="63" xfId="0" applyNumberFormat="1" applyFont="1" applyBorder="1" applyAlignment="1" applyProtection="1">
      <alignment vertical="center"/>
      <protection locked="0"/>
    </xf>
    <xf numFmtId="186" fontId="17" fillId="0" borderId="73" xfId="0" applyNumberFormat="1" applyFont="1" applyBorder="1" applyAlignment="1" applyProtection="1">
      <alignment vertical="center" shrinkToFit="1"/>
      <protection locked="0"/>
    </xf>
    <xf numFmtId="186" fontId="17" fillId="0" borderId="76" xfId="0" applyNumberFormat="1" applyFont="1" applyBorder="1" applyAlignment="1" applyProtection="1">
      <alignment vertical="center" shrinkToFit="1"/>
      <protection locked="0"/>
    </xf>
    <xf numFmtId="0" fontId="31" fillId="0" borderId="11" xfId="0" applyFont="1" applyBorder="1" applyAlignment="1">
      <alignment vertical="center" wrapText="1"/>
    </xf>
    <xf numFmtId="0" fontId="26" fillId="0" borderId="119" xfId="0" applyFont="1" applyBorder="1" applyAlignment="1">
      <alignment horizontal="center" shrinkToFit="1"/>
    </xf>
    <xf numFmtId="0" fontId="26" fillId="0" borderId="120" xfId="0" applyFont="1" applyBorder="1" applyAlignment="1">
      <alignment horizontal="center" shrinkToFit="1"/>
    </xf>
    <xf numFmtId="0" fontId="34" fillId="0" borderId="120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 shrinkToFit="1"/>
    </xf>
    <xf numFmtId="184" fontId="26" fillId="0" borderId="120" xfId="0" applyNumberFormat="1" applyFont="1" applyBorder="1" applyAlignment="1">
      <alignment horizontal="center" shrinkToFit="1"/>
    </xf>
    <xf numFmtId="0" fontId="0" fillId="0" borderId="120" xfId="0" applyBorder="1" applyAlignment="1">
      <alignment horizontal="center" vertical="center" shrinkToFit="1"/>
    </xf>
    <xf numFmtId="0" fontId="26" fillId="0" borderId="120" xfId="0" applyFont="1" applyBorder="1" applyAlignment="1">
      <alignment shrinkToFit="1"/>
    </xf>
    <xf numFmtId="185" fontId="26" fillId="0" borderId="23" xfId="0" quotePrefix="1" applyNumberFormat="1" applyFont="1" applyBorder="1" applyAlignment="1">
      <alignment vertical="center" shrinkToFit="1"/>
    </xf>
    <xf numFmtId="185" fontId="26" fillId="0" borderId="85" xfId="0" applyNumberFormat="1" applyFont="1" applyBorder="1" applyAlignment="1">
      <alignment shrinkToFit="1"/>
    </xf>
    <xf numFmtId="184" fontId="26" fillId="0" borderId="85" xfId="0" quotePrefix="1" applyNumberFormat="1" applyFont="1" applyBorder="1" applyAlignment="1">
      <alignment vertical="center" shrinkToFit="1"/>
    </xf>
    <xf numFmtId="0" fontId="7" fillId="0" borderId="123" xfId="0" applyFont="1" applyBorder="1" applyAlignment="1" applyProtection="1">
      <alignment vertical="center"/>
      <protection locked="0"/>
    </xf>
    <xf numFmtId="179" fontId="7" fillId="6" borderId="79" xfId="0" applyNumberFormat="1" applyFont="1" applyFill="1" applyBorder="1" applyAlignment="1" applyProtection="1">
      <alignment vertical="center"/>
    </xf>
    <xf numFmtId="179" fontId="7" fillId="6" borderId="80" xfId="0" applyNumberFormat="1" applyFont="1" applyFill="1" applyBorder="1" applyAlignment="1" applyProtection="1">
      <alignment vertical="center"/>
    </xf>
    <xf numFmtId="179" fontId="7" fillId="6" borderId="123" xfId="0" applyNumberFormat="1" applyFont="1" applyFill="1" applyBorder="1" applyAlignment="1" applyProtection="1">
      <alignment vertical="center"/>
    </xf>
    <xf numFmtId="179" fontId="7" fillId="6" borderId="11" xfId="0" applyNumberFormat="1" applyFont="1" applyFill="1" applyBorder="1" applyAlignment="1" applyProtection="1">
      <alignment vertical="center"/>
    </xf>
    <xf numFmtId="186" fontId="17" fillId="0" borderId="63" xfId="0" applyNumberFormat="1" applyFont="1" applyBorder="1" applyAlignment="1" applyProtection="1">
      <alignment vertical="center"/>
    </xf>
    <xf numFmtId="0" fontId="20" fillId="0" borderId="125" xfId="0" applyFont="1" applyBorder="1" applyAlignment="1">
      <alignment horizontal="center" vertical="center" shrinkToFit="1"/>
    </xf>
    <xf numFmtId="0" fontId="20" fillId="0" borderId="126" xfId="0" applyFont="1" applyBorder="1" applyAlignment="1" applyProtection="1">
      <alignment horizontal="center" vertical="center" shrinkToFit="1"/>
      <protection locked="0"/>
    </xf>
    <xf numFmtId="178" fontId="20" fillId="0" borderId="127" xfId="0" applyNumberFormat="1" applyFont="1" applyBorder="1" applyAlignment="1" applyProtection="1">
      <alignment horizontal="center" vertical="center" shrinkToFit="1"/>
      <protection locked="0"/>
    </xf>
    <xf numFmtId="0" fontId="20" fillId="0" borderId="127" xfId="0" applyFont="1" applyBorder="1" applyAlignment="1" applyProtection="1">
      <alignment vertical="center" shrinkToFit="1"/>
      <protection locked="0"/>
    </xf>
    <xf numFmtId="0" fontId="20" fillId="0" borderId="128" xfId="0" applyFont="1" applyBorder="1" applyAlignment="1" applyProtection="1">
      <alignment horizontal="right" vertical="center" shrinkToFit="1"/>
      <protection locked="0"/>
    </xf>
    <xf numFmtId="179" fontId="20" fillId="9" borderId="129" xfId="0" applyNumberFormat="1" applyFont="1" applyFill="1" applyBorder="1" applyAlignment="1" applyProtection="1">
      <alignment vertical="center" shrinkToFit="1"/>
      <protection locked="0"/>
    </xf>
    <xf numFmtId="0" fontId="20" fillId="0" borderId="1" xfId="0" applyFont="1" applyBorder="1" applyAlignment="1" applyProtection="1">
      <alignment horizontal="center" vertical="center" shrinkToFit="1"/>
      <protection locked="0"/>
    </xf>
    <xf numFmtId="178" fontId="20" fillId="0" borderId="2" xfId="0" applyNumberFormat="1" applyFont="1" applyBorder="1" applyAlignment="1" applyProtection="1">
      <alignment horizontal="center" vertical="center" shrinkToFit="1"/>
      <protection locked="0"/>
    </xf>
    <xf numFmtId="178" fontId="20" fillId="0" borderId="3" xfId="0" applyNumberFormat="1" applyFont="1" applyBorder="1" applyAlignment="1" applyProtection="1">
      <alignment horizontal="center" vertical="center" shrinkToFit="1"/>
      <protection locked="0"/>
    </xf>
    <xf numFmtId="0" fontId="20" fillId="0" borderId="130" xfId="0" applyFont="1" applyBorder="1" applyAlignment="1" applyProtection="1">
      <alignment vertical="center" shrinkToFit="1"/>
      <protection locked="0"/>
    </xf>
    <xf numFmtId="0" fontId="20" fillId="0" borderId="49" xfId="0" applyFont="1" applyBorder="1" applyAlignment="1" applyProtection="1">
      <alignment horizontal="right" vertical="center" shrinkToFit="1"/>
      <protection locked="0"/>
    </xf>
    <xf numFmtId="0" fontId="20" fillId="0" borderId="131" xfId="0" applyFont="1" applyBorder="1" applyAlignment="1" applyProtection="1">
      <alignment horizontal="right" vertical="center" shrinkToFit="1"/>
      <protection locked="0"/>
    </xf>
    <xf numFmtId="0" fontId="20" fillId="0" borderId="132" xfId="0" applyFont="1" applyBorder="1" applyAlignment="1" applyProtection="1">
      <alignment vertical="center" shrinkToFit="1"/>
      <protection locked="0"/>
    </xf>
    <xf numFmtId="0" fontId="20" fillId="0" borderId="49" xfId="0" applyFont="1" applyBorder="1" applyAlignment="1" applyProtection="1">
      <alignment vertical="center" shrinkToFit="1"/>
      <protection locked="0"/>
    </xf>
    <xf numFmtId="0" fontId="20" fillId="0" borderId="133" xfId="0" applyFont="1" applyBorder="1" applyAlignment="1" applyProtection="1">
      <alignment vertical="center" shrinkToFit="1"/>
      <protection locked="0"/>
    </xf>
    <xf numFmtId="176" fontId="20" fillId="0" borderId="134" xfId="0" applyNumberFormat="1" applyFont="1" applyBorder="1" applyAlignment="1" applyProtection="1">
      <alignment vertical="center" shrinkToFit="1"/>
    </xf>
    <xf numFmtId="0" fontId="20" fillId="0" borderId="135" xfId="0" applyFont="1" applyBorder="1" applyAlignment="1">
      <alignment horizontal="center" vertical="center" shrinkToFit="1"/>
    </xf>
    <xf numFmtId="0" fontId="20" fillId="0" borderId="136" xfId="0" applyFont="1" applyBorder="1" applyAlignment="1">
      <alignment horizontal="center" vertical="center" shrinkToFit="1"/>
    </xf>
    <xf numFmtId="179" fontId="20" fillId="9" borderId="137" xfId="0" applyNumberFormat="1" applyFont="1" applyFill="1" applyBorder="1" applyAlignment="1" applyProtection="1">
      <alignment vertical="center" shrinkToFit="1"/>
      <protection locked="0"/>
    </xf>
    <xf numFmtId="179" fontId="20" fillId="9" borderId="138" xfId="0" applyNumberFormat="1" applyFont="1" applyFill="1" applyBorder="1" applyAlignment="1" applyProtection="1">
      <alignment vertical="center" shrinkToFit="1"/>
      <protection locked="0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left" indent="1"/>
    </xf>
    <xf numFmtId="0" fontId="7" fillId="0" borderId="23" xfId="0" applyFont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0" fontId="7" fillId="0" borderId="140" xfId="0" applyNumberFormat="1" applyFont="1" applyBorder="1" applyAlignment="1">
      <alignment vertical="center"/>
    </xf>
    <xf numFmtId="0" fontId="7" fillId="0" borderId="23" xfId="0" applyNumberFormat="1" applyFont="1" applyBorder="1" applyAlignment="1">
      <alignment vertical="center"/>
    </xf>
    <xf numFmtId="0" fontId="7" fillId="0" borderId="23" xfId="0" applyFont="1" applyBorder="1"/>
    <xf numFmtId="0" fontId="7" fillId="0" borderId="23" xfId="0" applyFont="1" applyBorder="1" applyAlignment="1">
      <alignment horizontal="center"/>
    </xf>
    <xf numFmtId="0" fontId="31" fillId="0" borderId="23" xfId="0" applyFont="1" applyBorder="1" applyAlignment="1">
      <alignment horizontal="right" vertical="top"/>
    </xf>
    <xf numFmtId="0" fontId="8" fillId="0" borderId="142" xfId="0" applyFont="1" applyBorder="1" applyAlignment="1">
      <alignment horizontal="center" vertical="center"/>
    </xf>
    <xf numFmtId="0" fontId="8" fillId="0" borderId="143" xfId="0" applyFont="1" applyBorder="1" applyAlignment="1">
      <alignment horizontal="center" vertical="center"/>
    </xf>
    <xf numFmtId="178" fontId="20" fillId="0" borderId="0" xfId="0" applyNumberFormat="1" applyFont="1" applyAlignment="1" applyProtection="1">
      <alignment vertical="center" shrinkToFit="1"/>
      <protection locked="0"/>
    </xf>
    <xf numFmtId="0" fontId="7" fillId="0" borderId="144" xfId="0" applyNumberFormat="1" applyFont="1" applyBorder="1" applyAlignment="1">
      <alignment vertical="center" shrinkToFit="1"/>
    </xf>
    <xf numFmtId="187" fontId="7" fillId="0" borderId="142" xfId="0" applyNumberFormat="1" applyFont="1" applyBorder="1" applyAlignment="1">
      <alignment vertical="center"/>
    </xf>
    <xf numFmtId="187" fontId="7" fillId="0" borderId="23" xfId="0" applyNumberFormat="1" applyFont="1" applyBorder="1" applyAlignment="1">
      <alignment vertical="center"/>
    </xf>
    <xf numFmtId="177" fontId="7" fillId="0" borderId="23" xfId="0" applyNumberFormat="1" applyFont="1" applyBorder="1" applyAlignment="1">
      <alignment horizontal="center" vertical="center"/>
    </xf>
    <xf numFmtId="177" fontId="7" fillId="0" borderId="23" xfId="0" applyNumberFormat="1" applyFont="1" applyBorder="1" applyAlignment="1">
      <alignment vertical="center"/>
    </xf>
    <xf numFmtId="177" fontId="8" fillId="0" borderId="142" xfId="0" applyNumberFormat="1" applyFont="1" applyBorder="1" applyAlignment="1">
      <alignment vertical="center"/>
    </xf>
    <xf numFmtId="177" fontId="8" fillId="0" borderId="143" xfId="0" applyNumberFormat="1" applyFont="1" applyBorder="1" applyAlignment="1">
      <alignment vertical="center"/>
    </xf>
    <xf numFmtId="0" fontId="7" fillId="0" borderId="126" xfId="0" applyNumberFormat="1" applyFont="1" applyBorder="1" applyAlignment="1">
      <alignment vertical="center" shrinkToFit="1"/>
    </xf>
    <xf numFmtId="0" fontId="7" fillId="0" borderId="118" xfId="0" applyNumberFormat="1" applyFont="1" applyBorder="1" applyAlignment="1">
      <alignment vertical="center"/>
    </xf>
    <xf numFmtId="177" fontId="7" fillId="0" borderId="127" xfId="0" applyNumberFormat="1" applyFont="1" applyBorder="1" applyAlignment="1">
      <alignment vertical="center"/>
    </xf>
    <xf numFmtId="177" fontId="7" fillId="0" borderId="118" xfId="0" applyNumberFormat="1" applyFont="1" applyBorder="1" applyAlignment="1">
      <alignment vertical="center"/>
    </xf>
    <xf numFmtId="177" fontId="7" fillId="0" borderId="118" xfId="0" applyNumberFormat="1" applyFont="1" applyBorder="1" applyAlignment="1">
      <alignment horizontal="center" vertical="center"/>
    </xf>
    <xf numFmtId="177" fontId="7" fillId="0" borderId="145" xfId="0" applyNumberFormat="1" applyFont="1" applyBorder="1" applyAlignment="1">
      <alignment vertical="center"/>
    </xf>
    <xf numFmtId="176" fontId="9" fillId="0" borderId="0" xfId="0" applyNumberFormat="1" applyFont="1" applyBorder="1" applyAlignment="1" applyProtection="1">
      <alignment vertical="center" shrinkToFit="1"/>
    </xf>
    <xf numFmtId="176" fontId="17" fillId="0" borderId="0" xfId="0" applyNumberFormat="1" applyFont="1" applyBorder="1" applyAlignment="1" applyProtection="1">
      <alignment horizontal="right" vertical="center"/>
    </xf>
    <xf numFmtId="0" fontId="20" fillId="0" borderId="49" xfId="0" applyFont="1" applyBorder="1" applyAlignment="1" applyProtection="1">
      <alignment horizontal="center" vertical="center" shrinkToFit="1"/>
      <protection locked="0"/>
    </xf>
    <xf numFmtId="0" fontId="28" fillId="0" borderId="84" xfId="0" applyFont="1" applyBorder="1" applyAlignment="1">
      <alignment horizontal="right" vertical="center" shrinkToFit="1"/>
    </xf>
    <xf numFmtId="0" fontId="26" fillId="0" borderId="147" xfId="0" applyNumberFormat="1" applyFont="1" applyBorder="1" applyAlignment="1">
      <alignment horizontal="center" shrinkToFit="1"/>
    </xf>
    <xf numFmtId="0" fontId="26" fillId="10" borderId="14" xfId="0" applyFont="1" applyFill="1" applyBorder="1" applyAlignment="1">
      <alignment vertical="center" shrinkToFit="1"/>
    </xf>
    <xf numFmtId="0" fontId="26" fillId="10" borderId="15" xfId="0" applyFont="1" applyFill="1" applyBorder="1" applyAlignment="1">
      <alignment vertical="center" shrinkToFit="1"/>
    </xf>
    <xf numFmtId="0" fontId="26" fillId="10" borderId="123" xfId="0" applyFont="1" applyFill="1" applyBorder="1" applyAlignment="1">
      <alignment vertical="center" shrinkToFit="1"/>
    </xf>
    <xf numFmtId="0" fontId="26" fillId="10" borderId="148" xfId="0" applyFont="1" applyFill="1" applyBorder="1" applyAlignment="1">
      <alignment horizontal="center" shrinkToFit="1"/>
    </xf>
    <xf numFmtId="0" fontId="26" fillId="10" borderId="149" xfId="0" applyFont="1" applyFill="1" applyBorder="1" applyAlignment="1">
      <alignment horizontal="center" shrinkToFit="1"/>
    </xf>
    <xf numFmtId="0" fontId="26" fillId="10" borderId="150" xfId="0" applyFont="1" applyFill="1" applyBorder="1" applyAlignment="1">
      <alignment horizontal="center" shrinkToFit="1"/>
    </xf>
    <xf numFmtId="0" fontId="26" fillId="10" borderId="14" xfId="0" applyFont="1" applyFill="1" applyBorder="1" applyAlignment="1">
      <alignment shrinkToFit="1"/>
    </xf>
    <xf numFmtId="0" fontId="26" fillId="10" borderId="15" xfId="0" applyFont="1" applyFill="1" applyBorder="1" applyAlignment="1">
      <alignment shrinkToFit="1"/>
    </xf>
    <xf numFmtId="0" fontId="26" fillId="10" borderId="123" xfId="0" applyFont="1" applyFill="1" applyBorder="1" applyAlignment="1">
      <alignment shrinkToFit="1"/>
    </xf>
    <xf numFmtId="0" fontId="26" fillId="0" borderId="0" xfId="0" applyFont="1" applyBorder="1" applyAlignment="1">
      <alignment horizontal="center" shrinkToFit="1"/>
    </xf>
    <xf numFmtId="0" fontId="26" fillId="0" borderId="0" xfId="0" applyNumberFormat="1" applyFont="1" applyBorder="1" applyAlignment="1">
      <alignment shrinkToFit="1"/>
    </xf>
    <xf numFmtId="184" fontId="26" fillId="10" borderId="94" xfId="0" applyNumberFormat="1" applyFont="1" applyFill="1" applyBorder="1" applyAlignment="1">
      <alignment vertical="center" shrinkToFit="1"/>
    </xf>
    <xf numFmtId="184" fontId="26" fillId="10" borderId="95" xfId="0" applyNumberFormat="1" applyFont="1" applyFill="1" applyBorder="1" applyAlignment="1">
      <alignment vertical="center" shrinkToFit="1"/>
    </xf>
    <xf numFmtId="184" fontId="26" fillId="10" borderId="99" xfId="0" applyNumberFormat="1" applyFont="1" applyFill="1" applyBorder="1" applyAlignment="1">
      <alignment vertical="center" shrinkToFit="1"/>
    </xf>
    <xf numFmtId="0" fontId="26" fillId="0" borderId="0" xfId="0" applyFont="1" applyAlignment="1">
      <alignment horizontal="center" shrinkToFit="1"/>
    </xf>
    <xf numFmtId="184" fontId="26" fillId="10" borderId="24" xfId="0" applyNumberFormat="1" applyFont="1" applyFill="1" applyBorder="1" applyAlignment="1">
      <alignment vertical="center" shrinkToFit="1"/>
    </xf>
    <xf numFmtId="184" fontId="26" fillId="10" borderId="23" xfId="0" applyNumberFormat="1" applyFont="1" applyFill="1" applyBorder="1" applyAlignment="1">
      <alignment vertical="center" shrinkToFit="1"/>
    </xf>
    <xf numFmtId="184" fontId="26" fillId="10" borderId="31" xfId="0" applyNumberFormat="1" applyFont="1" applyFill="1" applyBorder="1" applyAlignment="1">
      <alignment vertical="center" shrinkToFit="1"/>
    </xf>
    <xf numFmtId="184" fontId="26" fillId="10" borderId="85" xfId="0" applyNumberFormat="1" applyFont="1" applyFill="1" applyBorder="1" applyAlignment="1">
      <alignment vertical="center" shrinkToFit="1"/>
    </xf>
    <xf numFmtId="184" fontId="26" fillId="10" borderId="98" xfId="0" applyNumberFormat="1" applyFont="1" applyFill="1" applyBorder="1" applyAlignment="1">
      <alignment vertical="center" shrinkToFit="1"/>
    </xf>
    <xf numFmtId="0" fontId="26" fillId="0" borderId="87" xfId="0" applyNumberFormat="1" applyFont="1" applyBorder="1" applyAlignment="1">
      <alignment shrinkToFit="1"/>
    </xf>
    <xf numFmtId="0" fontId="26" fillId="0" borderId="87" xfId="0" applyFont="1" applyBorder="1" applyAlignment="1">
      <alignment shrinkToFit="1"/>
    </xf>
    <xf numFmtId="177" fontId="33" fillId="0" borderId="87" xfId="0" applyNumberFormat="1" applyFont="1" applyBorder="1" applyAlignment="1">
      <alignment shrinkToFit="1"/>
    </xf>
    <xf numFmtId="0" fontId="33" fillId="0" borderId="87" xfId="0" applyFont="1" applyBorder="1" applyAlignment="1"/>
    <xf numFmtId="177" fontId="26" fillId="0" borderId="87" xfId="0" applyNumberFormat="1" applyFont="1" applyBorder="1" applyAlignment="1">
      <alignment shrinkToFit="1"/>
    </xf>
    <xf numFmtId="184" fontId="26" fillId="0" borderId="0" xfId="0" applyNumberFormat="1" applyFont="1" applyFill="1" applyBorder="1" applyAlignment="1">
      <alignment vertical="center" shrinkToFit="1"/>
    </xf>
    <xf numFmtId="0" fontId="31" fillId="0" borderId="80" xfId="0" applyFont="1" applyBorder="1" applyAlignment="1">
      <alignment vertical="center"/>
    </xf>
    <xf numFmtId="0" fontId="31" fillId="0" borderId="80" xfId="0" applyFont="1" applyBorder="1" applyAlignment="1">
      <alignment vertical="center" wrapText="1"/>
    </xf>
    <xf numFmtId="0" fontId="26" fillId="5" borderId="0" xfId="0" applyFont="1" applyFill="1"/>
    <xf numFmtId="179" fontId="20" fillId="0" borderId="158" xfId="0" applyNumberFormat="1" applyFont="1" applyBorder="1" applyAlignment="1" applyProtection="1">
      <alignment horizontal="center" vertical="center" shrinkToFit="1"/>
      <protection locked="0"/>
    </xf>
    <xf numFmtId="179" fontId="20" fillId="0" borderId="127" xfId="0" applyNumberFormat="1" applyFont="1" applyBorder="1" applyAlignment="1">
      <alignment horizontal="center" vertical="center" shrinkToFit="1"/>
    </xf>
    <xf numFmtId="0" fontId="20" fillId="0" borderId="134" xfId="0" applyNumberFormat="1" applyFont="1" applyFill="1" applyBorder="1" applyAlignment="1" applyProtection="1">
      <alignment vertical="center" shrinkToFit="1"/>
    </xf>
    <xf numFmtId="0" fontId="20" fillId="0" borderId="178" xfId="0" applyFont="1" applyBorder="1" applyAlignment="1" applyProtection="1">
      <alignment horizontal="center" vertical="center" shrinkToFit="1"/>
      <protection locked="0"/>
    </xf>
    <xf numFmtId="178" fontId="20" fillId="0" borderId="179" xfId="0" applyNumberFormat="1" applyFont="1" applyBorder="1" applyAlignment="1" applyProtection="1">
      <alignment horizontal="center" vertical="center" shrinkToFit="1"/>
      <protection locked="0"/>
    </xf>
    <xf numFmtId="178" fontId="20" fillId="0" borderId="180" xfId="0" applyNumberFormat="1" applyFont="1" applyBorder="1" applyAlignment="1" applyProtection="1">
      <alignment horizontal="center" vertical="center" shrinkToFit="1"/>
      <protection locked="0"/>
    </xf>
    <xf numFmtId="0" fontId="20" fillId="0" borderId="181" xfId="0" applyFont="1" applyBorder="1" applyAlignment="1" applyProtection="1">
      <alignment vertical="center" shrinkToFit="1"/>
      <protection locked="0"/>
    </xf>
    <xf numFmtId="0" fontId="20" fillId="0" borderId="162" xfId="0" applyFont="1" applyBorder="1" applyAlignment="1" applyProtection="1">
      <alignment vertical="center" shrinkToFit="1"/>
      <protection locked="0"/>
    </xf>
    <xf numFmtId="0" fontId="20" fillId="0" borderId="120" xfId="0" applyFont="1" applyBorder="1" applyAlignment="1" applyProtection="1">
      <alignment vertical="center" shrinkToFit="1"/>
      <protection locked="0"/>
    </xf>
    <xf numFmtId="0" fontId="20" fillId="0" borderId="162" xfId="0" applyFont="1" applyBorder="1" applyAlignment="1" applyProtection="1">
      <alignment horizontal="center" vertical="center" shrinkToFit="1"/>
      <protection locked="0"/>
    </xf>
    <xf numFmtId="179" fontId="20" fillId="8" borderId="182" xfId="0" applyNumberFormat="1" applyFont="1" applyFill="1" applyBorder="1" applyAlignment="1" applyProtection="1">
      <alignment vertical="center" shrinkToFit="1"/>
      <protection locked="0"/>
    </xf>
    <xf numFmtId="178" fontId="20" fillId="0" borderId="183" xfId="0" applyNumberFormat="1" applyFont="1" applyBorder="1" applyAlignment="1" applyProtection="1">
      <alignment horizontal="center" vertical="center" shrinkToFit="1"/>
      <protection locked="0"/>
    </xf>
    <xf numFmtId="0" fontId="20" fillId="0" borderId="184" xfId="0" applyFont="1" applyBorder="1" applyAlignment="1" applyProtection="1">
      <alignment horizontal="center" vertical="center" shrinkToFit="1"/>
      <protection locked="0"/>
    </xf>
    <xf numFmtId="178" fontId="20" fillId="0" borderId="185" xfId="0" applyNumberFormat="1" applyFont="1" applyBorder="1" applyAlignment="1" applyProtection="1">
      <alignment horizontal="center" vertical="center" shrinkToFit="1"/>
      <protection locked="0"/>
    </xf>
    <xf numFmtId="0" fontId="20" fillId="0" borderId="185" xfId="0" applyFont="1" applyBorder="1" applyAlignment="1" applyProtection="1">
      <alignment vertical="center" shrinkToFit="1"/>
      <protection locked="0"/>
    </xf>
    <xf numFmtId="0" fontId="20" fillId="0" borderId="185" xfId="0" applyFont="1" applyBorder="1" applyAlignment="1" applyProtection="1">
      <alignment horizontal="center" vertical="center" shrinkToFit="1"/>
      <protection locked="0"/>
    </xf>
    <xf numFmtId="179" fontId="20" fillId="11" borderId="185" xfId="0" applyNumberFormat="1" applyFont="1" applyFill="1" applyBorder="1" applyAlignment="1" applyProtection="1">
      <alignment vertical="center" shrinkToFit="1"/>
      <protection locked="0"/>
    </xf>
    <xf numFmtId="179" fontId="20" fillId="12" borderId="185" xfId="0" applyNumberFormat="1" applyFont="1" applyFill="1" applyBorder="1" applyAlignment="1" applyProtection="1">
      <alignment vertical="center" shrinkToFit="1"/>
      <protection locked="0"/>
    </xf>
    <xf numFmtId="179" fontId="20" fillId="0" borderId="177" xfId="0" applyNumberFormat="1" applyFont="1" applyBorder="1" applyAlignment="1" applyProtection="1">
      <alignment vertical="center" shrinkToFit="1"/>
    </xf>
    <xf numFmtId="179" fontId="20" fillId="0" borderId="185" xfId="0" applyNumberFormat="1" applyFont="1" applyFill="1" applyBorder="1" applyAlignment="1" applyProtection="1">
      <alignment vertical="center" shrinkToFit="1"/>
      <protection locked="0"/>
    </xf>
    <xf numFmtId="179" fontId="20" fillId="0" borderId="187" xfId="0" applyNumberFormat="1" applyFont="1" applyBorder="1" applyAlignment="1" applyProtection="1">
      <alignment vertical="center" shrinkToFit="1"/>
    </xf>
    <xf numFmtId="179" fontId="20" fillId="13" borderId="117" xfId="0" applyNumberFormat="1" applyFont="1" applyFill="1" applyBorder="1" applyAlignment="1" applyProtection="1">
      <alignment vertical="center" shrinkToFit="1"/>
    </xf>
    <xf numFmtId="179" fontId="20" fillId="13" borderId="142" xfId="0" applyNumberFormat="1" applyFont="1" applyFill="1" applyBorder="1" applyAlignment="1" applyProtection="1">
      <alignment vertical="center" shrinkToFit="1"/>
      <protection locked="0"/>
    </xf>
    <xf numFmtId="179" fontId="20" fillId="13" borderId="186" xfId="0" applyNumberFormat="1" applyFont="1" applyFill="1" applyBorder="1" applyAlignment="1" applyProtection="1">
      <alignment vertical="center" shrinkToFit="1"/>
    </xf>
    <xf numFmtId="0" fontId="20" fillId="0" borderId="124" xfId="0" applyFont="1" applyBorder="1" applyAlignment="1">
      <alignment horizontal="center" vertical="center" shrinkToFit="1"/>
    </xf>
    <xf numFmtId="179" fontId="20" fillId="0" borderId="124" xfId="0" applyNumberFormat="1" applyFont="1" applyBorder="1" applyAlignment="1" applyProtection="1">
      <alignment horizontal="center" vertical="center" shrinkToFit="1"/>
      <protection locked="0"/>
    </xf>
    <xf numFmtId="179" fontId="20" fillId="0" borderId="188" xfId="0" applyNumberFormat="1" applyFont="1" applyFill="1" applyBorder="1" applyAlignment="1" applyProtection="1">
      <alignment vertical="center" shrinkToFit="1"/>
      <protection locked="0"/>
    </xf>
    <xf numFmtId="179" fontId="20" fillId="0" borderId="189" xfId="0" applyNumberFormat="1" applyFont="1" applyFill="1" applyBorder="1" applyAlignment="1" applyProtection="1">
      <alignment vertical="center" shrinkToFit="1"/>
      <protection locked="0"/>
    </xf>
    <xf numFmtId="179" fontId="20" fillId="0" borderId="44" xfId="0" applyNumberFormat="1" applyFont="1" applyBorder="1" applyAlignment="1" applyProtection="1">
      <alignment horizontal="center" vertical="center" shrinkToFit="1"/>
      <protection locked="0"/>
    </xf>
    <xf numFmtId="179" fontId="20" fillId="0" borderId="190" xfId="0" applyNumberFormat="1" applyFont="1" applyBorder="1" applyAlignment="1" applyProtection="1">
      <alignment vertical="center" shrinkToFit="1"/>
    </xf>
    <xf numFmtId="0" fontId="20" fillId="0" borderId="191" xfId="0" applyFont="1" applyBorder="1" applyAlignment="1">
      <alignment vertical="center"/>
    </xf>
    <xf numFmtId="0" fontId="0" fillId="0" borderId="185" xfId="0" applyBorder="1" applyAlignment="1">
      <alignment vertical="center"/>
    </xf>
    <xf numFmtId="0" fontId="0" fillId="0" borderId="192" xfId="0" applyBorder="1" applyAlignment="1">
      <alignment horizontal="right" vertical="center"/>
    </xf>
    <xf numFmtId="0" fontId="20" fillId="0" borderId="111" xfId="0" applyFont="1" applyFill="1" applyBorder="1" applyAlignment="1" applyProtection="1">
      <alignment vertical="center" shrinkToFit="1"/>
      <protection locked="0"/>
    </xf>
    <xf numFmtId="0" fontId="20" fillId="0" borderId="23" xfId="0" applyFont="1" applyFill="1" applyBorder="1" applyAlignment="1" applyProtection="1">
      <alignment vertical="center" shrinkToFit="1"/>
      <protection locked="0"/>
    </xf>
    <xf numFmtId="0" fontId="20" fillId="0" borderId="120" xfId="0" applyFont="1" applyFill="1" applyBorder="1" applyAlignment="1" applyProtection="1">
      <alignment vertical="center" shrinkToFit="1"/>
      <protection locked="0"/>
    </xf>
    <xf numFmtId="0" fontId="26" fillId="0" borderId="171" xfId="0" applyNumberFormat="1" applyFont="1" applyBorder="1" applyAlignment="1">
      <alignment shrinkToFit="1"/>
    </xf>
    <xf numFmtId="0" fontId="26" fillId="0" borderId="193" xfId="0" applyNumberFormat="1" applyFont="1" applyBorder="1" applyAlignment="1">
      <alignment shrinkToFit="1"/>
    </xf>
    <xf numFmtId="0" fontId="26" fillId="0" borderId="142" xfId="0" applyNumberFormat="1" applyFont="1" applyBorder="1" applyAlignment="1">
      <alignment shrinkToFit="1"/>
    </xf>
    <xf numFmtId="0" fontId="26" fillId="0" borderId="31" xfId="0" applyNumberFormat="1" applyFont="1" applyBorder="1" applyAlignment="1">
      <alignment shrinkToFit="1"/>
    </xf>
    <xf numFmtId="0" fontId="26" fillId="0" borderId="169" xfId="0" quotePrefix="1" applyNumberFormat="1" applyFont="1" applyBorder="1" applyAlignment="1">
      <alignment vertical="center" shrinkToFit="1"/>
    </xf>
    <xf numFmtId="0" fontId="26" fillId="0" borderId="98" xfId="0" quotePrefix="1" applyNumberFormat="1" applyFont="1" applyBorder="1" applyAlignment="1">
      <alignment vertical="center" shrinkToFit="1"/>
    </xf>
    <xf numFmtId="183" fontId="26" fillId="0" borderId="99" xfId="0" quotePrefix="1" applyNumberFormat="1" applyFont="1" applyBorder="1" applyAlignment="1">
      <alignment vertical="center" shrinkToFit="1"/>
    </xf>
    <xf numFmtId="183" fontId="26" fillId="0" borderId="142" xfId="0" quotePrefix="1" applyNumberFormat="1" applyFont="1" applyBorder="1" applyAlignment="1">
      <alignment vertical="center" shrinkToFit="1"/>
    </xf>
    <xf numFmtId="183" fontId="26" fillId="0" borderId="31" xfId="0" quotePrefix="1" applyNumberFormat="1" applyFont="1" applyBorder="1" applyAlignment="1">
      <alignment vertical="center" shrinkToFit="1"/>
    </xf>
    <xf numFmtId="183" fontId="26" fillId="0" borderId="87" xfId="0" applyNumberFormat="1" applyFont="1" applyBorder="1" applyAlignment="1">
      <alignment shrinkToFit="1"/>
    </xf>
    <xf numFmtId="183" fontId="26" fillId="0" borderId="100" xfId="0" applyNumberFormat="1" applyFont="1" applyBorder="1" applyAlignment="1">
      <alignment shrinkToFit="1"/>
    </xf>
    <xf numFmtId="0" fontId="26" fillId="0" borderId="162" xfId="0" applyFont="1" applyBorder="1" applyAlignment="1">
      <alignment shrinkToFit="1"/>
    </xf>
    <xf numFmtId="0" fontId="26" fillId="0" borderId="162" xfId="0" applyFont="1" applyBorder="1" applyAlignment="1">
      <alignment horizontal="center" shrinkToFit="1"/>
    </xf>
    <xf numFmtId="0" fontId="26" fillId="0" borderId="122" xfId="0" applyFont="1" applyBorder="1" applyAlignment="1">
      <alignment horizontal="center" shrinkToFit="1"/>
    </xf>
    <xf numFmtId="0" fontId="26" fillId="0" borderId="194" xfId="0" applyFont="1" applyBorder="1" applyAlignment="1">
      <alignment horizontal="center" shrinkToFit="1"/>
    </xf>
    <xf numFmtId="0" fontId="26" fillId="0" borderId="195" xfId="0" applyFont="1" applyBorder="1" applyAlignment="1">
      <alignment horizontal="center" shrinkToFit="1"/>
    </xf>
    <xf numFmtId="0" fontId="26" fillId="0" borderId="99" xfId="0" applyFont="1" applyBorder="1" applyAlignment="1">
      <alignment shrinkToFit="1"/>
    </xf>
    <xf numFmtId="0" fontId="26" fillId="0" borderId="153" xfId="0" applyFont="1" applyBorder="1" applyAlignment="1">
      <alignment shrinkToFit="1"/>
    </xf>
    <xf numFmtId="0" fontId="26" fillId="0" borderId="96" xfId="0" applyFont="1" applyBorder="1" applyAlignment="1">
      <alignment horizontal="center" shrinkToFit="1"/>
    </xf>
    <xf numFmtId="184" fontId="26" fillId="0" borderId="86" xfId="0" applyNumberFormat="1" applyFont="1" applyBorder="1" applyAlignment="1">
      <alignment vertical="center" shrinkToFit="1"/>
    </xf>
    <xf numFmtId="184" fontId="26" fillId="0" borderId="196" xfId="0" applyNumberFormat="1" applyFont="1" applyBorder="1" applyAlignment="1">
      <alignment vertical="center" shrinkToFit="1"/>
    </xf>
    <xf numFmtId="185" fontId="26" fillId="0" borderId="52" xfId="0" applyNumberFormat="1" applyFont="1" applyBorder="1" applyAlignment="1">
      <alignment vertical="center" shrinkToFit="1"/>
    </xf>
    <xf numFmtId="185" fontId="26" fillId="0" borderId="140" xfId="0" applyNumberFormat="1" applyFont="1" applyBorder="1" applyAlignment="1">
      <alignment vertical="center" shrinkToFit="1"/>
    </xf>
    <xf numFmtId="0" fontId="26" fillId="0" borderId="197" xfId="0" applyFont="1" applyBorder="1" applyAlignment="1">
      <alignment vertical="center" shrinkToFit="1"/>
    </xf>
    <xf numFmtId="0" fontId="26" fillId="0" borderId="31" xfId="0" applyFont="1" applyBorder="1" applyAlignment="1">
      <alignment vertical="center" shrinkToFit="1"/>
    </xf>
    <xf numFmtId="185" fontId="26" fillId="0" borderId="86" xfId="0" applyNumberFormat="1" applyFont="1" applyBorder="1" applyAlignment="1">
      <alignment shrinkToFit="1"/>
    </xf>
    <xf numFmtId="185" fontId="26" fillId="0" borderId="198" xfId="0" applyNumberFormat="1" applyFont="1" applyBorder="1" applyAlignment="1">
      <alignment shrinkToFit="1"/>
    </xf>
    <xf numFmtId="185" fontId="26" fillId="0" borderId="93" xfId="0" applyNumberFormat="1" applyFont="1" applyBorder="1" applyAlignment="1">
      <alignment shrinkToFit="1"/>
    </xf>
    <xf numFmtId="0" fontId="26" fillId="0" borderId="100" xfId="0" applyFont="1" applyBorder="1" applyAlignment="1">
      <alignment shrinkToFit="1"/>
    </xf>
    <xf numFmtId="0" fontId="31" fillId="0" borderId="11" xfId="0" applyFont="1" applyBorder="1" applyAlignment="1">
      <alignment horizontal="center" vertical="center" wrapText="1"/>
    </xf>
    <xf numFmtId="0" fontId="31" fillId="0" borderId="199" xfId="0" applyFont="1" applyBorder="1" applyAlignment="1">
      <alignment horizontal="center" vertical="center" wrapText="1"/>
    </xf>
    <xf numFmtId="0" fontId="7" fillId="0" borderId="123" xfId="0" applyFont="1" applyBorder="1" applyAlignment="1">
      <alignment horizontal="center" vertical="center"/>
    </xf>
    <xf numFmtId="0" fontId="7" fillId="0" borderId="199" xfId="0" applyFont="1" applyBorder="1" applyAlignment="1">
      <alignment vertical="center" shrinkToFit="1"/>
    </xf>
    <xf numFmtId="0" fontId="7" fillId="0" borderId="123" xfId="0" applyFont="1" applyBorder="1" applyAlignment="1">
      <alignment vertical="center" shrinkToFit="1"/>
    </xf>
    <xf numFmtId="0" fontId="7" fillId="0" borderId="11" xfId="0" applyFont="1" applyBorder="1" applyAlignment="1">
      <alignment vertical="center"/>
    </xf>
    <xf numFmtId="0" fontId="20" fillId="0" borderId="0" xfId="0" applyFont="1" applyAlignment="1">
      <alignment vertical="center" shrinkToFit="1"/>
    </xf>
    <xf numFmtId="179" fontId="20" fillId="0" borderId="0" xfId="0" applyNumberFormat="1" applyFont="1" applyAlignment="1">
      <alignment vertical="center" shrinkToFit="1"/>
    </xf>
    <xf numFmtId="179" fontId="20" fillId="0" borderId="26" xfId="0" applyNumberFormat="1" applyFont="1" applyBorder="1" applyAlignment="1">
      <alignment horizontal="center" vertical="center" shrinkToFit="1"/>
    </xf>
    <xf numFmtId="179" fontId="20" fillId="0" borderId="27" xfId="0" applyNumberFormat="1" applyFont="1" applyBorder="1" applyAlignment="1">
      <alignment horizontal="center" vertical="center" shrinkToFit="1"/>
    </xf>
    <xf numFmtId="179" fontId="20" fillId="0" borderId="36" xfId="0" applyNumberFormat="1" applyFont="1" applyBorder="1" applyAlignment="1">
      <alignment horizontal="center" vertical="center" shrinkToFit="1"/>
    </xf>
    <xf numFmtId="179" fontId="20" fillId="0" borderId="58" xfId="0" applyNumberFormat="1" applyFont="1" applyBorder="1" applyAlignment="1">
      <alignment horizontal="center" vertical="center" shrinkToFit="1"/>
    </xf>
    <xf numFmtId="179" fontId="20" fillId="0" borderId="28" xfId="0" applyNumberFormat="1" applyFont="1" applyBorder="1" applyAlignment="1" applyProtection="1">
      <alignment vertical="center" shrinkToFit="1"/>
      <protection locked="0"/>
    </xf>
    <xf numFmtId="179" fontId="20" fillId="0" borderId="29" xfId="0" applyNumberFormat="1" applyFont="1" applyBorder="1" applyAlignment="1">
      <alignment vertical="center" shrinkToFit="1"/>
    </xf>
    <xf numFmtId="179" fontId="20" fillId="0" borderId="22" xfId="0" applyNumberFormat="1" applyFont="1" applyBorder="1" applyAlignment="1" applyProtection="1">
      <alignment vertical="center" shrinkToFit="1"/>
      <protection locked="0"/>
    </xf>
    <xf numFmtId="179" fontId="20" fillId="0" borderId="54" xfId="0" applyNumberFormat="1" applyFont="1" applyBorder="1" applyAlignment="1">
      <alignment vertical="center" shrinkToFit="1"/>
    </xf>
    <xf numFmtId="179" fontId="20" fillId="0" borderId="59" xfId="0" applyNumberFormat="1" applyFont="1" applyBorder="1" applyAlignment="1">
      <alignment vertical="center" shrinkToFit="1"/>
    </xf>
    <xf numFmtId="179" fontId="20" fillId="0" borderId="30" xfId="0" applyNumberFormat="1" applyFont="1" applyBorder="1" applyAlignment="1" applyProtection="1">
      <alignment vertical="center" shrinkToFit="1"/>
      <protection locked="0"/>
    </xf>
    <xf numFmtId="179" fontId="20" fillId="0" borderId="31" xfId="0" applyNumberFormat="1" applyFont="1" applyBorder="1" applyAlignment="1">
      <alignment vertical="center" shrinkToFit="1"/>
    </xf>
    <xf numFmtId="179" fontId="20" fillId="0" borderId="24" xfId="0" applyNumberFormat="1" applyFont="1" applyBorder="1" applyAlignment="1" applyProtection="1">
      <alignment vertical="center" shrinkToFit="1"/>
      <protection locked="0"/>
    </xf>
    <xf numFmtId="179" fontId="20" fillId="0" borderId="55" xfId="0" applyNumberFormat="1" applyFont="1" applyBorder="1" applyAlignment="1">
      <alignment vertical="center" shrinkToFit="1"/>
    </xf>
    <xf numFmtId="179" fontId="20" fillId="0" borderId="60" xfId="0" applyNumberFormat="1" applyFont="1" applyBorder="1" applyAlignment="1">
      <alignment vertical="center" shrinkToFit="1"/>
    </xf>
    <xf numFmtId="179" fontId="20" fillId="0" borderId="32" xfId="0" applyNumberFormat="1" applyFont="1" applyBorder="1" applyAlignment="1" applyProtection="1">
      <alignment vertical="center" shrinkToFit="1"/>
      <protection locked="0"/>
    </xf>
    <xf numFmtId="179" fontId="20" fillId="0" borderId="33" xfId="0" applyNumberFormat="1" applyFont="1" applyBorder="1" applyAlignment="1">
      <alignment vertical="center" shrinkToFit="1"/>
    </xf>
    <xf numFmtId="179" fontId="20" fillId="0" borderId="25" xfId="0" applyNumberFormat="1" applyFont="1" applyBorder="1" applyAlignment="1" applyProtection="1">
      <alignment vertical="center" shrinkToFit="1"/>
      <protection locked="0"/>
    </xf>
    <xf numFmtId="179" fontId="20" fillId="0" borderId="56" xfId="0" applyNumberFormat="1" applyFont="1" applyBorder="1" applyAlignment="1">
      <alignment vertical="center" shrinkToFit="1"/>
    </xf>
    <xf numFmtId="179" fontId="20" fillId="0" borderId="61" xfId="0" applyNumberFormat="1" applyFont="1" applyBorder="1" applyAlignment="1">
      <alignment vertical="center" shrinkToFit="1"/>
    </xf>
    <xf numFmtId="179" fontId="20" fillId="0" borderId="34" xfId="0" applyNumberFormat="1" applyFont="1" applyBorder="1" applyAlignment="1">
      <alignment vertical="center" shrinkToFit="1"/>
    </xf>
    <xf numFmtId="179" fontId="20" fillId="0" borderId="35" xfId="0" applyNumberFormat="1" applyFont="1" applyBorder="1" applyAlignment="1">
      <alignment vertical="center" shrinkToFit="1"/>
    </xf>
    <xf numFmtId="179" fontId="20" fillId="0" borderId="37" xfId="0" applyNumberFormat="1" applyFont="1" applyBorder="1" applyAlignment="1">
      <alignment vertical="center" shrinkToFit="1"/>
    </xf>
    <xf numFmtId="179" fontId="20" fillId="0" borderId="57" xfId="0" applyNumberFormat="1" applyFont="1" applyBorder="1" applyAlignment="1">
      <alignment vertical="center" shrinkToFit="1"/>
    </xf>
    <xf numFmtId="179" fontId="20" fillId="0" borderId="34" xfId="0" applyNumberFormat="1" applyFont="1" applyBorder="1" applyAlignment="1">
      <alignment horizontal="right" vertical="center" shrinkToFit="1"/>
    </xf>
    <xf numFmtId="179" fontId="20" fillId="0" borderId="62" xfId="0" applyNumberFormat="1" applyFont="1" applyBorder="1" applyAlignment="1">
      <alignment vertical="center" shrinkToFit="1"/>
    </xf>
    <xf numFmtId="0" fontId="27" fillId="0" borderId="0" xfId="0" applyFont="1" applyBorder="1" applyAlignment="1" applyProtection="1">
      <alignment vertical="center" wrapText="1"/>
    </xf>
    <xf numFmtId="0" fontId="2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0" fontId="17" fillId="17" borderId="0" xfId="0" applyFont="1" applyFill="1" applyBorder="1" applyAlignment="1">
      <alignment horizontal="right"/>
    </xf>
    <xf numFmtId="0" fontId="7" fillId="0" borderId="0" xfId="0" applyFont="1" applyFill="1" applyBorder="1" applyAlignment="1"/>
    <xf numFmtId="0" fontId="7" fillId="17" borderId="0" xfId="0" applyFont="1" applyFill="1" applyBorder="1" applyAlignment="1"/>
    <xf numFmtId="0" fontId="17" fillId="18" borderId="150" xfId="0" applyFont="1" applyFill="1" applyBorder="1" applyAlignment="1">
      <alignment horizontal="center" shrinkToFit="1"/>
    </xf>
    <xf numFmtId="0" fontId="7" fillId="17" borderId="207" xfId="0" applyFont="1" applyFill="1" applyBorder="1" applyAlignment="1">
      <alignment horizontal="right"/>
    </xf>
    <xf numFmtId="0" fontId="7" fillId="17" borderId="0" xfId="0" applyFont="1" applyFill="1" applyBorder="1" applyAlignment="1">
      <alignment horizontal="right"/>
    </xf>
    <xf numFmtId="0" fontId="7" fillId="17" borderId="0" xfId="0" applyFont="1" applyFill="1" applyBorder="1" applyAlignment="1">
      <alignment horizontal="center" vertical="center"/>
    </xf>
    <xf numFmtId="0" fontId="7" fillId="17" borderId="208" xfId="0" applyFont="1" applyFill="1" applyBorder="1" applyAlignment="1"/>
    <xf numFmtId="0" fontId="39" fillId="17" borderId="208" xfId="0" applyFont="1" applyFill="1" applyBorder="1" applyAlignment="1"/>
    <xf numFmtId="0" fontId="40" fillId="0" borderId="0" xfId="0" applyFont="1" applyFill="1" applyBorder="1" applyAlignment="1"/>
    <xf numFmtId="0" fontId="40" fillId="17" borderId="0" xfId="0" applyFont="1" applyFill="1" applyBorder="1" applyAlignment="1"/>
    <xf numFmtId="0" fontId="7" fillId="17" borderId="0" xfId="0" applyFont="1" applyFill="1" applyBorder="1" applyAlignment="1">
      <alignment horizontal="left" vertical="center"/>
    </xf>
    <xf numFmtId="0" fontId="7" fillId="17" borderId="153" xfId="0" applyFont="1" applyFill="1" applyBorder="1" applyAlignment="1"/>
    <xf numFmtId="0" fontId="39" fillId="17" borderId="153" xfId="0" applyFont="1" applyFill="1" applyBorder="1" applyAlignment="1"/>
    <xf numFmtId="38" fontId="7" fillId="0" borderId="99" xfId="0" applyNumberFormat="1" applyFont="1" applyFill="1" applyBorder="1" applyAlignment="1">
      <alignment horizontal="right" shrinkToFit="1"/>
    </xf>
    <xf numFmtId="0" fontId="7" fillId="0" borderId="209" xfId="0" applyFont="1" applyFill="1" applyBorder="1" applyAlignment="1"/>
    <xf numFmtId="0" fontId="39" fillId="0" borderId="209" xfId="0" applyFont="1" applyFill="1" applyBorder="1" applyAlignment="1"/>
    <xf numFmtId="0" fontId="7" fillId="17" borderId="196" xfId="0" applyFont="1" applyFill="1" applyBorder="1" applyAlignment="1"/>
    <xf numFmtId="0" fontId="39" fillId="17" borderId="196" xfId="0" applyFont="1" applyFill="1" applyBorder="1" applyAlignment="1"/>
    <xf numFmtId="38" fontId="7" fillId="0" borderId="98" xfId="1" applyFont="1" applyFill="1" applyBorder="1" applyAlignment="1">
      <alignment horizontal="right"/>
    </xf>
    <xf numFmtId="0" fontId="7" fillId="17" borderId="210" xfId="0" applyFont="1" applyFill="1" applyBorder="1" applyAlignment="1">
      <alignment horizontal="right" vertical="center" textRotation="255"/>
    </xf>
    <xf numFmtId="0" fontId="0" fillId="0" borderId="209" xfId="0" applyBorder="1" applyAlignment="1">
      <alignment horizontal="right" vertical="center" textRotation="255"/>
    </xf>
    <xf numFmtId="0" fontId="7" fillId="17" borderId="209" xfId="0" applyFont="1" applyFill="1" applyBorder="1" applyAlignment="1">
      <alignment horizontal="right" vertical="center" textRotation="255"/>
    </xf>
    <xf numFmtId="0" fontId="0" fillId="0" borderId="198" xfId="0" applyBorder="1" applyAlignment="1">
      <alignment horizontal="right" vertical="center" textRotation="255"/>
    </xf>
    <xf numFmtId="0" fontId="7" fillId="17" borderId="0" xfId="0" applyFont="1" applyFill="1" applyBorder="1" applyAlignment="1">
      <alignment horizontal="distributed" vertical="center"/>
    </xf>
    <xf numFmtId="38" fontId="7" fillId="0" borderId="150" xfId="0" applyNumberFormat="1" applyFont="1" applyFill="1" applyBorder="1" applyAlignment="1">
      <alignment horizontal="right" shrinkToFit="1"/>
    </xf>
    <xf numFmtId="0" fontId="7" fillId="17" borderId="140" xfId="0" applyFont="1" applyFill="1" applyBorder="1" applyAlignment="1"/>
    <xf numFmtId="0" fontId="39" fillId="17" borderId="140" xfId="0" applyFont="1" applyFill="1" applyBorder="1" applyAlignment="1"/>
    <xf numFmtId="0" fontId="41" fillId="17" borderId="0" xfId="0" applyFont="1" applyFill="1" applyBorder="1" applyAlignment="1"/>
    <xf numFmtId="0" fontId="41" fillId="17" borderId="211" xfId="0" applyFont="1" applyFill="1" applyBorder="1" applyAlignment="1">
      <alignment horizontal="right"/>
    </xf>
    <xf numFmtId="0" fontId="41" fillId="17" borderId="87" xfId="0" applyFont="1" applyFill="1" applyBorder="1" applyAlignment="1">
      <alignment horizontal="right"/>
    </xf>
    <xf numFmtId="0" fontId="7" fillId="17" borderId="87" xfId="0" applyFont="1" applyFill="1" applyBorder="1" applyAlignment="1">
      <alignment horizontal="left" vertical="center"/>
    </xf>
    <xf numFmtId="0" fontId="7" fillId="17" borderId="87" xfId="0" applyFont="1" applyFill="1" applyBorder="1" applyAlignment="1">
      <alignment horizontal="left"/>
    </xf>
    <xf numFmtId="0" fontId="41" fillId="17" borderId="149" xfId="0" applyFont="1" applyFill="1" applyBorder="1" applyAlignment="1">
      <alignment horizontal="right"/>
    </xf>
    <xf numFmtId="0" fontId="41" fillId="0" borderId="0" xfId="0" applyFont="1" applyFill="1" applyBorder="1" applyAlignment="1"/>
    <xf numFmtId="0" fontId="41" fillId="17" borderId="15" xfId="0" applyFont="1" applyFill="1" applyBorder="1" applyAlignment="1">
      <alignment horizontal="right"/>
    </xf>
    <xf numFmtId="0" fontId="39" fillId="17" borderId="205" xfId="0" applyFont="1" applyFill="1" applyBorder="1" applyAlignment="1">
      <alignment horizontal="left"/>
    </xf>
    <xf numFmtId="0" fontId="41" fillId="17" borderId="206" xfId="0" applyFont="1" applyFill="1" applyBorder="1" applyAlignment="1">
      <alignment horizontal="right"/>
    </xf>
    <xf numFmtId="0" fontId="40" fillId="17" borderId="206" xfId="0" applyFont="1" applyFill="1" applyBorder="1" applyAlignment="1">
      <alignment horizontal="distributed"/>
    </xf>
    <xf numFmtId="38" fontId="7" fillId="0" borderId="213" xfId="0" applyNumberFormat="1" applyFont="1" applyFill="1" applyBorder="1" applyAlignment="1">
      <alignment horizontal="center" shrinkToFit="1"/>
    </xf>
    <xf numFmtId="0" fontId="39" fillId="17" borderId="211" xfId="0" applyFont="1" applyFill="1" applyBorder="1" applyAlignment="1">
      <alignment horizontal="left" vertical="center"/>
    </xf>
    <xf numFmtId="38" fontId="7" fillId="18" borderId="100" xfId="0" applyNumberFormat="1" applyFont="1" applyFill="1" applyBorder="1" applyAlignment="1">
      <alignment horizontal="center" shrinkToFit="1"/>
    </xf>
    <xf numFmtId="0" fontId="7" fillId="17" borderId="0" xfId="0" applyFont="1" applyFill="1" applyBorder="1" applyAlignment="1">
      <alignment horizontal="left"/>
    </xf>
    <xf numFmtId="49" fontId="7" fillId="17" borderId="141" xfId="0" applyNumberFormat="1" applyFont="1" applyFill="1" applyBorder="1" applyAlignment="1">
      <alignment horizontal="right"/>
    </xf>
    <xf numFmtId="0" fontId="7" fillId="17" borderId="214" xfId="0" applyFont="1" applyFill="1" applyBorder="1" applyAlignment="1">
      <alignment horizontal="left"/>
    </xf>
    <xf numFmtId="0" fontId="7" fillId="17" borderId="214" xfId="0" applyFont="1" applyFill="1" applyBorder="1" applyAlignment="1">
      <alignment horizontal="center"/>
    </xf>
    <xf numFmtId="49" fontId="7" fillId="17" borderId="142" xfId="0" applyNumberFormat="1" applyFont="1" applyFill="1" applyBorder="1" applyAlignment="1">
      <alignment horizontal="right"/>
    </xf>
    <xf numFmtId="0" fontId="7" fillId="17" borderId="140" xfId="0" applyFont="1" applyFill="1" applyBorder="1" applyAlignment="1">
      <alignment horizontal="left"/>
    </xf>
    <xf numFmtId="0" fontId="7" fillId="17" borderId="140" xfId="0" applyFont="1" applyFill="1" applyBorder="1" applyAlignment="1">
      <alignment horizontal="center"/>
    </xf>
    <xf numFmtId="0" fontId="7" fillId="17" borderId="140" xfId="0" applyFont="1" applyFill="1" applyBorder="1" applyAlignment="1">
      <alignment horizontal="right"/>
    </xf>
    <xf numFmtId="38" fontId="7" fillId="0" borderId="31" xfId="0" applyNumberFormat="1" applyFont="1" applyFill="1" applyBorder="1" applyAlignment="1">
      <alignment horizontal="right" shrinkToFit="1"/>
    </xf>
    <xf numFmtId="0" fontId="7" fillId="17" borderId="14" xfId="0" applyFont="1" applyFill="1" applyBorder="1" applyAlignment="1">
      <alignment horizontal="right"/>
    </xf>
    <xf numFmtId="0" fontId="7" fillId="17" borderId="15" xfId="0" applyFont="1" applyFill="1" applyBorder="1" applyAlignment="1">
      <alignment horizontal="left"/>
    </xf>
    <xf numFmtId="0" fontId="7" fillId="17" borderId="149" xfId="0" applyFont="1" applyFill="1" applyBorder="1" applyAlignment="1">
      <alignment horizontal="left"/>
    </xf>
    <xf numFmtId="38" fontId="7" fillId="0" borderId="100" xfId="0" applyNumberFormat="1" applyFont="1" applyFill="1" applyBorder="1" applyAlignment="1">
      <alignment horizontal="center" shrinkToFit="1"/>
    </xf>
    <xf numFmtId="49" fontId="7" fillId="17" borderId="139" xfId="0" applyNumberFormat="1" applyFont="1" applyFill="1" applyBorder="1" applyAlignment="1">
      <alignment horizontal="right"/>
    </xf>
    <xf numFmtId="0" fontId="7" fillId="17" borderId="194" xfId="0" applyFont="1" applyFill="1" applyBorder="1" applyAlignment="1">
      <alignment horizontal="left"/>
    </xf>
    <xf numFmtId="0" fontId="7" fillId="17" borderId="194" xfId="0" applyFont="1" applyFill="1" applyBorder="1" applyAlignment="1">
      <alignment horizontal="center"/>
    </xf>
    <xf numFmtId="0" fontId="7" fillId="17" borderId="206" xfId="0" applyFont="1" applyFill="1" applyBorder="1" applyAlignment="1">
      <alignment horizontal="right"/>
    </xf>
    <xf numFmtId="0" fontId="7" fillId="17" borderId="210" xfId="0" applyFont="1" applyFill="1" applyBorder="1" applyAlignment="1">
      <alignment horizontal="left"/>
    </xf>
    <xf numFmtId="0" fontId="7" fillId="17" borderId="210" xfId="0" applyFont="1" applyFill="1" applyBorder="1" applyAlignment="1">
      <alignment horizontal="center"/>
    </xf>
    <xf numFmtId="38" fontId="7" fillId="17" borderId="213" xfId="0" applyNumberFormat="1" applyFont="1" applyFill="1" applyBorder="1" applyAlignment="1">
      <alignment horizontal="center" shrinkToFit="1"/>
    </xf>
    <xf numFmtId="0" fontId="7" fillId="17" borderId="87" xfId="0" applyFont="1" applyFill="1" applyBorder="1" applyAlignment="1">
      <alignment horizontal="right"/>
    </xf>
    <xf numFmtId="0" fontId="7" fillId="17" borderId="198" xfId="0" applyFont="1" applyFill="1" applyBorder="1" applyAlignment="1">
      <alignment horizontal="left"/>
    </xf>
    <xf numFmtId="0" fontId="7" fillId="17" borderId="198" xfId="0" applyFont="1" applyFill="1" applyBorder="1" applyAlignment="1">
      <alignment horizontal="center"/>
    </xf>
    <xf numFmtId="0" fontId="7" fillId="17" borderId="153" xfId="0" applyFont="1" applyFill="1" applyBorder="1" applyAlignment="1">
      <alignment horizontal="left"/>
    </xf>
    <xf numFmtId="0" fontId="7" fillId="17" borderId="153" xfId="0" applyFont="1" applyFill="1" applyBorder="1" applyAlignment="1">
      <alignment horizontal="center"/>
    </xf>
    <xf numFmtId="38" fontId="7" fillId="17" borderId="216" xfId="0" applyNumberFormat="1" applyFont="1" applyFill="1" applyBorder="1" applyAlignment="1">
      <alignment horizontal="right" shrinkToFit="1"/>
    </xf>
    <xf numFmtId="0" fontId="39" fillId="17" borderId="205" xfId="0" applyFont="1" applyFill="1" applyBorder="1" applyAlignment="1">
      <alignment horizontal="left" vertical="center"/>
    </xf>
    <xf numFmtId="0" fontId="7" fillId="17" borderId="142" xfId="0" applyFont="1" applyFill="1" applyBorder="1" applyAlignment="1">
      <alignment vertical="center"/>
    </xf>
    <xf numFmtId="0" fontId="7" fillId="17" borderId="142" xfId="0" quotePrefix="1" applyFont="1" applyFill="1" applyBorder="1" applyAlignment="1">
      <alignment vertical="center"/>
    </xf>
    <xf numFmtId="0" fontId="7" fillId="17" borderId="217" xfId="0" applyFont="1" applyFill="1" applyBorder="1" applyAlignment="1">
      <alignment horizontal="right"/>
    </xf>
    <xf numFmtId="0" fontId="7" fillId="17" borderId="218" xfId="0" applyFont="1" applyFill="1" applyBorder="1" applyAlignment="1">
      <alignment horizontal="left"/>
    </xf>
    <xf numFmtId="0" fontId="7" fillId="17" borderId="221" xfId="0" applyFont="1" applyFill="1" applyBorder="1" applyAlignment="1">
      <alignment horizontal="right"/>
    </xf>
    <xf numFmtId="0" fontId="7" fillId="17" borderId="222" xfId="0" applyFont="1" applyFill="1" applyBorder="1" applyAlignment="1">
      <alignment horizontal="left"/>
    </xf>
    <xf numFmtId="38" fontId="7" fillId="17" borderId="224" xfId="0" applyNumberFormat="1" applyFont="1" applyFill="1" applyBorder="1" applyAlignment="1">
      <alignment horizontal="right" shrinkToFit="1"/>
    </xf>
    <xf numFmtId="0" fontId="8" fillId="0" borderId="171" xfId="0" applyFont="1" applyFill="1" applyBorder="1" applyAlignment="1">
      <alignment horizontal="left"/>
    </xf>
    <xf numFmtId="0" fontId="8" fillId="0" borderId="171" xfId="0" applyFont="1" applyFill="1" applyBorder="1" applyAlignment="1">
      <alignment horizontal="left" shrinkToFit="1"/>
    </xf>
    <xf numFmtId="0" fontId="8" fillId="0" borderId="142" xfId="0" applyFont="1" applyFill="1" applyBorder="1" applyAlignment="1">
      <alignment horizontal="left"/>
    </xf>
    <xf numFmtId="0" fontId="8" fillId="0" borderId="142" xfId="0" applyFont="1" applyFill="1" applyBorder="1" applyAlignment="1">
      <alignment horizontal="left" shrinkToFit="1"/>
    </xf>
    <xf numFmtId="0" fontId="7" fillId="17" borderId="0" xfId="0" applyFont="1" applyFill="1" applyBorder="1" applyAlignment="1">
      <alignment shrinkToFit="1"/>
    </xf>
    <xf numFmtId="0" fontId="0" fillId="0" borderId="0" xfId="0" applyNumberFormat="1"/>
    <xf numFmtId="38" fontId="7" fillId="0" borderId="193" xfId="1" applyFont="1" applyFill="1" applyBorder="1" applyAlignment="1">
      <alignment horizontal="right"/>
    </xf>
    <xf numFmtId="38" fontId="7" fillId="0" borderId="31" xfId="1" applyFont="1" applyFill="1" applyBorder="1" applyAlignment="1">
      <alignment horizontal="right"/>
    </xf>
    <xf numFmtId="0" fontId="7" fillId="17" borderId="206" xfId="0" applyFont="1" applyFill="1" applyBorder="1" applyAlignment="1">
      <alignment horizontal="left" vertical="center"/>
    </xf>
    <xf numFmtId="0" fontId="7" fillId="17" borderId="206" xfId="0" applyFont="1" applyFill="1" applyBorder="1" applyAlignment="1">
      <alignment horizontal="left"/>
    </xf>
    <xf numFmtId="0" fontId="7" fillId="0" borderId="207" xfId="0" applyFont="1" applyFill="1" applyBorder="1" applyAlignment="1">
      <alignment vertical="center" shrinkToFit="1"/>
    </xf>
    <xf numFmtId="0" fontId="17" fillId="0" borderId="227" xfId="0" applyNumberFormat="1" applyFont="1" applyBorder="1" applyAlignment="1" applyProtection="1">
      <alignment horizontal="right" vertical="center"/>
      <protection locked="0"/>
    </xf>
    <xf numFmtId="0" fontId="17" fillId="0" borderId="228" xfId="0" applyFont="1" applyBorder="1" applyAlignment="1" applyProtection="1">
      <alignment vertical="center"/>
      <protection locked="0"/>
    </xf>
    <xf numFmtId="0" fontId="17" fillId="0" borderId="229" xfId="0" applyFont="1" applyBorder="1" applyAlignment="1" applyProtection="1">
      <alignment vertical="center" wrapText="1"/>
      <protection locked="0"/>
    </xf>
    <xf numFmtId="186" fontId="17" fillId="0" borderId="229" xfId="0" applyNumberFormat="1" applyFont="1" applyBorder="1" applyAlignment="1" applyProtection="1">
      <alignment vertical="center" shrinkToFit="1"/>
      <protection locked="0"/>
    </xf>
    <xf numFmtId="0" fontId="17" fillId="0" borderId="229" xfId="0" applyFont="1" applyBorder="1" applyAlignment="1" applyProtection="1">
      <alignment horizontal="center" vertical="center" shrinkToFit="1"/>
      <protection locked="0"/>
    </xf>
    <xf numFmtId="38" fontId="17" fillId="0" borderId="229" xfId="0" applyNumberFormat="1" applyFont="1" applyBorder="1" applyAlignment="1" applyProtection="1">
      <alignment vertical="center" shrinkToFit="1"/>
      <protection locked="0"/>
    </xf>
    <xf numFmtId="177" fontId="17" fillId="0" borderId="229" xfId="0" applyNumberFormat="1" applyFont="1" applyBorder="1" applyAlignment="1" applyProtection="1">
      <alignment vertical="center" shrinkToFit="1"/>
      <protection locked="0"/>
    </xf>
    <xf numFmtId="0" fontId="17" fillId="0" borderId="230" xfId="0" applyFont="1" applyBorder="1" applyAlignment="1" applyProtection="1">
      <alignment vertical="center"/>
      <protection locked="0"/>
    </xf>
    <xf numFmtId="0" fontId="17" fillId="0" borderId="77" xfId="0" applyFont="1" applyBorder="1" applyAlignment="1" applyProtection="1">
      <alignment horizontal="right" vertical="center"/>
      <protection locked="0"/>
    </xf>
    <xf numFmtId="186" fontId="17" fillId="0" borderId="63" xfId="0" applyNumberFormat="1" applyFont="1" applyBorder="1" applyAlignment="1" applyProtection="1">
      <alignment vertical="center" shrinkToFit="1"/>
      <protection locked="0"/>
    </xf>
    <xf numFmtId="38" fontId="17" fillId="0" borderId="63" xfId="0" applyNumberFormat="1" applyFont="1" applyBorder="1" applyAlignment="1" applyProtection="1">
      <alignment vertical="center" shrinkToFit="1"/>
      <protection locked="0"/>
    </xf>
    <xf numFmtId="177" fontId="17" fillId="0" borderId="63" xfId="0" applyNumberFormat="1" applyFont="1" applyBorder="1" applyAlignment="1" applyProtection="1">
      <alignment vertical="center" shrinkToFit="1"/>
      <protection locked="0"/>
    </xf>
    <xf numFmtId="0" fontId="17" fillId="0" borderId="231" xfId="0" applyFont="1" applyBorder="1" applyAlignment="1" applyProtection="1">
      <alignment vertical="center"/>
      <protection locked="0"/>
    </xf>
    <xf numFmtId="0" fontId="17" fillId="0" borderId="227" xfId="0" applyFont="1" applyBorder="1" applyAlignment="1" applyProtection="1">
      <alignment horizontal="right" vertical="center"/>
      <protection locked="0"/>
    </xf>
    <xf numFmtId="0" fontId="15" fillId="0" borderId="0" xfId="0" applyFont="1" applyFill="1" applyBorder="1" applyAlignment="1">
      <alignment horizontal="center"/>
    </xf>
    <xf numFmtId="0" fontId="7" fillId="17" borderId="198" xfId="0" applyFont="1" applyFill="1" applyBorder="1" applyAlignment="1"/>
    <xf numFmtId="0" fontId="31" fillId="0" borderId="0" xfId="0" applyFont="1" applyBorder="1" applyAlignment="1" applyProtection="1">
      <alignment horizontal="center" vertical="center" wrapText="1"/>
      <protection locked="0"/>
    </xf>
    <xf numFmtId="0" fontId="17" fillId="20" borderId="39" xfId="0" applyFont="1" applyFill="1" applyBorder="1" applyAlignment="1" applyProtection="1">
      <alignment vertical="center"/>
      <protection locked="0"/>
    </xf>
    <xf numFmtId="38" fontId="17" fillId="20" borderId="39" xfId="1" applyFont="1" applyFill="1" applyBorder="1" applyAlignment="1" applyProtection="1">
      <alignment vertical="center"/>
      <protection locked="0"/>
    </xf>
    <xf numFmtId="176" fontId="17" fillId="21" borderId="78" xfId="0" applyNumberFormat="1" applyFont="1" applyFill="1" applyBorder="1" applyAlignment="1" applyProtection="1">
      <alignment vertical="center"/>
      <protection locked="0"/>
    </xf>
    <xf numFmtId="179" fontId="17" fillId="21" borderId="70" xfId="0" applyNumberFormat="1" applyFont="1" applyFill="1" applyBorder="1" applyAlignment="1" applyProtection="1">
      <alignment vertical="center"/>
      <protection locked="0"/>
    </xf>
    <xf numFmtId="0" fontId="17" fillId="21" borderId="70" xfId="0" applyFont="1" applyFill="1" applyBorder="1" applyAlignment="1" applyProtection="1">
      <alignment vertical="center"/>
      <protection locked="0"/>
    </xf>
    <xf numFmtId="0" fontId="29" fillId="22" borderId="0" xfId="0" applyFont="1" applyFill="1" applyProtection="1">
      <protection locked="0"/>
    </xf>
    <xf numFmtId="0" fontId="29" fillId="22" borderId="12" xfId="0" applyFont="1" applyFill="1" applyBorder="1" applyProtection="1">
      <protection locked="0"/>
    </xf>
    <xf numFmtId="0" fontId="29" fillId="22" borderId="13" xfId="0" applyFont="1" applyFill="1" applyBorder="1" applyProtection="1">
      <protection locked="0"/>
    </xf>
    <xf numFmtId="0" fontId="13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44" fillId="0" borderId="0" xfId="0" applyFont="1" applyFill="1" applyBorder="1" applyAlignment="1">
      <alignment horizontal="center" shrinkToFit="1"/>
    </xf>
    <xf numFmtId="0" fontId="8" fillId="0" borderId="0" xfId="0" applyFont="1" applyBorder="1" applyAlignment="1">
      <alignment vertical="center"/>
    </xf>
    <xf numFmtId="0" fontId="13" fillId="0" borderId="0" xfId="0" applyFont="1" applyFill="1" applyBorder="1" applyAlignment="1">
      <alignment horizontal="right" vertical="center" shrinkToFit="1"/>
    </xf>
    <xf numFmtId="0" fontId="13" fillId="0" borderId="205" xfId="0" applyFont="1" applyFill="1" applyBorder="1" applyAlignment="1">
      <alignment horizontal="right" vertical="center"/>
    </xf>
    <xf numFmtId="0" fontId="8" fillId="0" borderId="206" xfId="0" applyFont="1" applyBorder="1" applyAlignment="1">
      <alignment vertical="center"/>
    </xf>
    <xf numFmtId="0" fontId="13" fillId="0" borderId="206" xfId="0" applyFont="1" applyFill="1" applyBorder="1" applyAlignment="1">
      <alignment horizontal="center" vertical="center"/>
    </xf>
    <xf numFmtId="177" fontId="13" fillId="0" borderId="212" xfId="0" applyNumberFormat="1" applyFont="1" applyFill="1" applyBorder="1" applyAlignment="1">
      <alignment horizontal="right" vertical="center"/>
    </xf>
    <xf numFmtId="177" fontId="13" fillId="0" borderId="212" xfId="0" applyNumberFormat="1" applyFont="1" applyFill="1" applyBorder="1" applyAlignment="1">
      <alignment vertical="center" shrinkToFit="1"/>
    </xf>
    <xf numFmtId="177" fontId="13" fillId="0" borderId="212" xfId="0" applyNumberFormat="1" applyFont="1" applyFill="1" applyBorder="1" applyAlignment="1">
      <alignment horizontal="right" vertical="center" shrinkToFit="1"/>
    </xf>
    <xf numFmtId="0" fontId="13" fillId="0" borderId="207" xfId="0" applyFont="1" applyFill="1" applyBorder="1" applyAlignment="1">
      <alignment horizontal="right" vertical="center"/>
    </xf>
    <xf numFmtId="177" fontId="13" fillId="0" borderId="120" xfId="0" applyNumberFormat="1" applyFont="1" applyFill="1" applyBorder="1" applyAlignment="1">
      <alignment horizontal="right" vertical="center"/>
    </xf>
    <xf numFmtId="177" fontId="13" fillId="0" borderId="120" xfId="0" applyNumberFormat="1" applyFont="1" applyFill="1" applyBorder="1" applyAlignment="1">
      <alignment vertical="center" shrinkToFit="1"/>
    </xf>
    <xf numFmtId="177" fontId="13" fillId="0" borderId="120" xfId="0" applyNumberFormat="1" applyFont="1" applyFill="1" applyBorder="1" applyAlignment="1">
      <alignment horizontal="right" vertical="center" shrinkToFit="1"/>
    </xf>
    <xf numFmtId="0" fontId="13" fillId="0" borderId="14" xfId="0" applyFont="1" applyFill="1" applyBorder="1" applyAlignment="1">
      <alignment horizontal="right" vertical="center"/>
    </xf>
    <xf numFmtId="0" fontId="13" fillId="0" borderId="15" xfId="0" applyFont="1" applyFill="1" applyBorder="1" applyAlignment="1">
      <alignment horizontal="center" vertical="center"/>
    </xf>
    <xf numFmtId="177" fontId="13" fillId="0" borderId="149" xfId="0" applyNumberFormat="1" applyFont="1" applyFill="1" applyBorder="1" applyAlignment="1">
      <alignment horizontal="right" vertical="center"/>
    </xf>
    <xf numFmtId="177" fontId="13" fillId="0" borderId="149" xfId="0" applyNumberFormat="1" applyFont="1" applyFill="1" applyBorder="1" applyAlignment="1">
      <alignment vertical="center" shrinkToFit="1"/>
    </xf>
    <xf numFmtId="177" fontId="13" fillId="0" borderId="149" xfId="0" applyNumberFormat="1" applyFont="1" applyFill="1" applyBorder="1" applyAlignment="1">
      <alignment horizontal="right" vertical="center" shrinkToFit="1"/>
    </xf>
    <xf numFmtId="0" fontId="8" fillId="0" borderId="205" xfId="0" applyFont="1" applyFill="1" applyBorder="1" applyAlignment="1">
      <alignment horizontal="right"/>
    </xf>
    <xf numFmtId="0" fontId="8" fillId="0" borderId="206" xfId="0" applyFont="1" applyFill="1" applyBorder="1" applyAlignment="1">
      <alignment horizontal="right"/>
    </xf>
    <xf numFmtId="0" fontId="8" fillId="0" borderId="171" xfId="0" applyFont="1" applyFill="1" applyBorder="1" applyAlignment="1">
      <alignment horizontal="distributed"/>
    </xf>
    <xf numFmtId="0" fontId="39" fillId="0" borderId="171" xfId="0" applyFont="1" applyFill="1" applyBorder="1" applyAlignment="1">
      <alignment horizontal="center"/>
    </xf>
    <xf numFmtId="0" fontId="8" fillId="0" borderId="82" xfId="0" applyFont="1" applyFill="1" applyBorder="1" applyAlignment="1">
      <alignment horizontal="center"/>
    </xf>
    <xf numFmtId="0" fontId="8" fillId="0" borderId="82" xfId="0" applyFont="1" applyFill="1" applyBorder="1" applyAlignment="1">
      <alignment horizontal="right"/>
    </xf>
    <xf numFmtId="189" fontId="8" fillId="0" borderId="82" xfId="0" applyNumberFormat="1" applyFont="1" applyFill="1" applyBorder="1" applyAlignment="1">
      <alignment horizontal="center" shrinkToFit="1"/>
    </xf>
    <xf numFmtId="0" fontId="44" fillId="0" borderId="0" xfId="0" applyFont="1" applyFill="1" applyBorder="1" applyAlignment="1"/>
    <xf numFmtId="0" fontId="8" fillId="0" borderId="95" xfId="0" applyFont="1" applyFill="1" applyBorder="1" applyAlignment="1">
      <alignment horizontal="center"/>
    </xf>
    <xf numFmtId="0" fontId="8" fillId="0" borderId="95" xfId="0" applyFont="1" applyFill="1" applyBorder="1" applyAlignment="1">
      <alignment horizontal="right"/>
    </xf>
    <xf numFmtId="189" fontId="8" fillId="0" borderId="95" xfId="0" applyNumberFormat="1" applyFont="1" applyFill="1" applyBorder="1" applyAlignment="1">
      <alignment horizontal="center" shrinkToFit="1"/>
    </xf>
    <xf numFmtId="38" fontId="13" fillId="0" borderId="120" xfId="0" applyNumberFormat="1" applyFont="1" applyFill="1" applyBorder="1" applyAlignment="1">
      <alignment horizontal="center" shrinkToFit="1"/>
    </xf>
    <xf numFmtId="0" fontId="8" fillId="0" borderId="0" xfId="0" applyFont="1" applyFill="1" applyBorder="1" applyAlignment="1"/>
    <xf numFmtId="0" fontId="8" fillId="0" borderId="206" xfId="0" applyFont="1" applyFill="1" applyBorder="1" applyAlignment="1">
      <alignment horizontal="left"/>
    </xf>
    <xf numFmtId="0" fontId="8" fillId="0" borderId="15" xfId="0" applyFont="1" applyFill="1" applyBorder="1" applyAlignment="1">
      <alignment horizontal="left"/>
    </xf>
    <xf numFmtId="0" fontId="8" fillId="0" borderId="149" xfId="0" applyFont="1" applyFill="1" applyBorder="1" applyAlignment="1">
      <alignment horizontal="center"/>
    </xf>
    <xf numFmtId="38" fontId="13" fillId="0" borderId="149" xfId="0" applyNumberFormat="1" applyFont="1" applyFill="1" applyBorder="1" applyAlignment="1">
      <alignment horizontal="right"/>
    </xf>
    <xf numFmtId="38" fontId="13" fillId="0" borderId="149" xfId="0" applyNumberFormat="1" applyFont="1" applyFill="1" applyBorder="1" applyAlignment="1">
      <alignment horizontal="right" shrinkToFit="1"/>
    </xf>
    <xf numFmtId="38" fontId="13" fillId="0" borderId="82" xfId="0" applyNumberFormat="1" applyFont="1" applyFill="1" applyBorder="1" applyAlignment="1">
      <alignment horizontal="right"/>
    </xf>
    <xf numFmtId="0" fontId="8" fillId="0" borderId="23" xfId="0" applyFont="1" applyFill="1" applyBorder="1" applyAlignment="1">
      <alignment horizontal="right"/>
    </xf>
    <xf numFmtId="38" fontId="13" fillId="0" borderId="23" xfId="0" applyNumberFormat="1" applyFont="1" applyFill="1" applyBorder="1" applyAlignment="1">
      <alignment horizontal="right"/>
    </xf>
    <xf numFmtId="38" fontId="13" fillId="0" borderId="23" xfId="0" applyNumberFormat="1" applyFont="1" applyFill="1" applyBorder="1" applyAlignment="1">
      <alignment horizontal="right" shrinkToFit="1"/>
    </xf>
    <xf numFmtId="0" fontId="8" fillId="0" borderId="142" xfId="0" applyFont="1" applyFill="1" applyBorder="1" applyAlignment="1">
      <alignment horizontal="center" vertical="center"/>
    </xf>
    <xf numFmtId="38" fontId="13" fillId="0" borderId="0" xfId="0" applyNumberFormat="1" applyFont="1" applyFill="1" applyBorder="1" applyAlignment="1">
      <alignment horizontal="right" shrinkToFit="1"/>
    </xf>
    <xf numFmtId="177" fontId="27" fillId="0" borderId="23" xfId="0" applyNumberFormat="1" applyFont="1" applyFill="1" applyBorder="1" applyAlignment="1">
      <alignment horizontal="right" vertical="center" shrinkToFit="1"/>
    </xf>
    <xf numFmtId="177" fontId="27" fillId="0" borderId="0" xfId="0" applyNumberFormat="1" applyFont="1" applyFill="1" applyBorder="1" applyAlignment="1">
      <alignment horizontal="right" vertical="center" shrinkToFit="1"/>
    </xf>
    <xf numFmtId="0" fontId="8" fillId="0" borderId="142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8" fillId="0" borderId="121" xfId="0" applyFont="1" applyFill="1" applyBorder="1" applyAlignment="1">
      <alignment horizontal="right"/>
    </xf>
    <xf numFmtId="38" fontId="13" fillId="0" borderId="121" xfId="0" applyNumberFormat="1" applyFont="1" applyFill="1" applyBorder="1" applyAlignment="1">
      <alignment horizontal="right"/>
    </xf>
    <xf numFmtId="0" fontId="39" fillId="0" borderId="207" xfId="0" applyFont="1" applyFill="1" applyBorder="1" applyAlignment="1">
      <alignment horizontal="left"/>
    </xf>
    <xf numFmtId="0" fontId="47" fillId="0" borderId="0" xfId="0" applyFont="1" applyFill="1" applyBorder="1" applyAlignment="1">
      <alignment horizontal="left"/>
    </xf>
    <xf numFmtId="0" fontId="47" fillId="0" borderId="234" xfId="0" applyFont="1" applyFill="1" applyBorder="1" applyAlignment="1">
      <alignment horizontal="left"/>
    </xf>
    <xf numFmtId="0" fontId="8" fillId="0" borderId="89" xfId="0" applyFont="1" applyFill="1" applyBorder="1" applyAlignment="1">
      <alignment horizontal="center"/>
    </xf>
    <xf numFmtId="0" fontId="13" fillId="0" borderId="89" xfId="0" applyFont="1" applyFill="1" applyBorder="1" applyAlignment="1">
      <alignment horizontal="right"/>
    </xf>
    <xf numFmtId="0" fontId="13" fillId="0" borderId="89" xfId="0" applyFont="1" applyFill="1" applyBorder="1" applyAlignment="1">
      <alignment horizontal="right" shrinkToFit="1"/>
    </xf>
    <xf numFmtId="0" fontId="20" fillId="0" borderId="142" xfId="0" applyFont="1" applyFill="1" applyBorder="1" applyAlignment="1">
      <alignment horizontal="left"/>
    </xf>
    <xf numFmtId="0" fontId="8" fillId="0" borderId="142" xfId="0" quotePrefix="1" applyFont="1" applyFill="1" applyBorder="1" applyAlignment="1">
      <alignment horizontal="left" shrinkToFit="1"/>
    </xf>
    <xf numFmtId="0" fontId="8" fillId="0" borderId="142" xfId="0" quotePrefix="1" applyFont="1" applyFill="1" applyBorder="1" applyAlignment="1">
      <alignment horizontal="left"/>
    </xf>
    <xf numFmtId="0" fontId="8" fillId="0" borderId="120" xfId="0" applyFont="1" applyFill="1" applyBorder="1" applyAlignment="1">
      <alignment horizontal="right"/>
    </xf>
    <xf numFmtId="0" fontId="8" fillId="0" borderId="169" xfId="0" applyFont="1" applyFill="1" applyBorder="1" applyAlignment="1">
      <alignment horizontal="left" shrinkToFit="1"/>
    </xf>
    <xf numFmtId="0" fontId="8" fillId="0" borderId="85" xfId="0" applyFont="1" applyFill="1" applyBorder="1" applyAlignment="1">
      <alignment horizontal="right"/>
    </xf>
    <xf numFmtId="38" fontId="13" fillId="0" borderId="85" xfId="0" applyNumberFormat="1" applyFont="1" applyFill="1" applyBorder="1" applyAlignment="1">
      <alignment horizontal="right"/>
    </xf>
    <xf numFmtId="0" fontId="27" fillId="0" borderId="89" xfId="0" applyFont="1" applyFill="1" applyBorder="1" applyAlignment="1">
      <alignment horizontal="center" vertical="center" wrapText="1"/>
    </xf>
    <xf numFmtId="0" fontId="48" fillId="0" borderId="89" xfId="0" applyFont="1" applyFill="1" applyBorder="1" applyAlignment="1">
      <alignment horizontal="left" vertical="center"/>
    </xf>
    <xf numFmtId="38" fontId="27" fillId="0" borderId="89" xfId="0" applyNumberFormat="1" applyFont="1" applyFill="1" applyBorder="1" applyAlignment="1">
      <alignment horizontal="right" vertical="center"/>
    </xf>
    <xf numFmtId="38" fontId="27" fillId="0" borderId="89" xfId="0" applyNumberFormat="1" applyFont="1" applyFill="1" applyBorder="1" applyAlignment="1">
      <alignment horizontal="right" vertical="center" shrinkToFit="1"/>
    </xf>
    <xf numFmtId="0" fontId="27" fillId="0" borderId="82" xfId="0" applyFont="1" applyFill="1" applyBorder="1" applyAlignment="1">
      <alignment horizontal="left" vertical="center" shrinkToFit="1"/>
    </xf>
    <xf numFmtId="0" fontId="27" fillId="0" borderId="23" xfId="0" applyNumberFormat="1" applyFont="1" applyFill="1" applyBorder="1" applyAlignment="1">
      <alignment horizontal="right" vertical="center" shrinkToFit="1"/>
    </xf>
    <xf numFmtId="10" fontId="27" fillId="0" borderId="23" xfId="0" quotePrefix="1" applyNumberFormat="1" applyFont="1" applyFill="1" applyBorder="1" applyAlignment="1">
      <alignment horizontal="right" vertical="center" shrinkToFit="1"/>
    </xf>
    <xf numFmtId="177" fontId="27" fillId="0" borderId="23" xfId="0" applyNumberFormat="1" applyFont="1" applyFill="1" applyBorder="1" applyAlignment="1">
      <alignment horizontal="right" vertical="center"/>
    </xf>
    <xf numFmtId="0" fontId="8" fillId="0" borderId="0" xfId="0" applyFont="1" applyFill="1" applyBorder="1" applyAlignment="1">
      <alignment vertical="center"/>
    </xf>
    <xf numFmtId="0" fontId="27" fillId="0" borderId="23" xfId="0" applyFont="1" applyFill="1" applyBorder="1" applyAlignment="1">
      <alignment horizontal="left" vertical="center" shrinkToFit="1"/>
    </xf>
    <xf numFmtId="10" fontId="27" fillId="0" borderId="23" xfId="0" applyNumberFormat="1" applyFont="1" applyFill="1" applyBorder="1" applyAlignment="1">
      <alignment horizontal="right" vertical="center" shrinkToFit="1"/>
    </xf>
    <xf numFmtId="49" fontId="27" fillId="0" borderId="142" xfId="0" applyNumberFormat="1" applyFont="1" applyFill="1" applyBorder="1" applyAlignment="1">
      <alignment horizontal="left" vertical="center" shrinkToFit="1"/>
    </xf>
    <xf numFmtId="0" fontId="27" fillId="0" borderId="23" xfId="0" applyFont="1" applyFill="1" applyBorder="1" applyAlignment="1">
      <alignment vertical="center" shrinkToFit="1"/>
    </xf>
    <xf numFmtId="0" fontId="27" fillId="0" borderId="23" xfId="0" quotePrefix="1" applyFont="1" applyFill="1" applyBorder="1" applyAlignment="1">
      <alignment horizontal="left" vertical="center" shrinkToFit="1"/>
    </xf>
    <xf numFmtId="0" fontId="27" fillId="0" borderId="120" xfId="0" applyNumberFormat="1" applyFont="1" applyFill="1" applyBorder="1" applyAlignment="1">
      <alignment horizontal="right" vertical="center" shrinkToFit="1"/>
    </xf>
    <xf numFmtId="10" fontId="27" fillId="0" borderId="120" xfId="0" applyNumberFormat="1" applyFont="1" applyFill="1" applyBorder="1" applyAlignment="1">
      <alignment horizontal="right" vertical="center" shrinkToFit="1"/>
    </xf>
    <xf numFmtId="177" fontId="27" fillId="0" borderId="120" xfId="0" applyNumberFormat="1" applyFont="1" applyFill="1" applyBorder="1" applyAlignment="1">
      <alignment horizontal="right" vertical="center"/>
    </xf>
    <xf numFmtId="177" fontId="27" fillId="0" borderId="120" xfId="0" applyNumberFormat="1" applyFont="1" applyFill="1" applyBorder="1" applyAlignment="1">
      <alignment horizontal="right" vertical="center" shrinkToFit="1"/>
    </xf>
    <xf numFmtId="0" fontId="27" fillId="0" borderId="207" xfId="0" applyFont="1" applyFill="1" applyBorder="1" applyAlignment="1">
      <alignment horizontal="right" vertical="center"/>
    </xf>
    <xf numFmtId="0" fontId="27" fillId="0" borderId="239" xfId="0" applyFont="1" applyFill="1" applyBorder="1" applyAlignment="1">
      <alignment horizontal="left" vertical="center"/>
    </xf>
    <xf numFmtId="0" fontId="27" fillId="0" borderId="239" xfId="0" applyFont="1" applyFill="1" applyBorder="1" applyAlignment="1">
      <alignment horizontal="right" vertical="center"/>
    </xf>
    <xf numFmtId="177" fontId="27" fillId="0" borderId="239" xfId="0" applyNumberFormat="1" applyFont="1" applyFill="1" applyBorder="1" applyAlignment="1">
      <alignment horizontal="right" vertical="center"/>
    </xf>
    <xf numFmtId="177" fontId="27" fillId="0" borderId="239" xfId="0" applyNumberFormat="1" applyFont="1" applyFill="1" applyBorder="1" applyAlignment="1">
      <alignment horizontal="right" vertical="center" shrinkToFit="1"/>
    </xf>
    <xf numFmtId="0" fontId="27" fillId="0" borderId="242" xfId="0" applyFont="1" applyFill="1" applyBorder="1" applyAlignment="1">
      <alignment horizontal="left" vertical="center"/>
    </xf>
    <xf numFmtId="0" fontId="27" fillId="0" borderId="242" xfId="0" applyFont="1" applyFill="1" applyBorder="1" applyAlignment="1">
      <alignment horizontal="right" vertical="center"/>
    </xf>
    <xf numFmtId="177" fontId="27" fillId="0" borderId="242" xfId="0" applyNumberFormat="1" applyFont="1" applyFill="1" applyBorder="1" applyAlignment="1">
      <alignment horizontal="right" vertical="center" shrinkToFit="1"/>
    </xf>
    <xf numFmtId="0" fontId="47" fillId="0" borderId="205" xfId="0" applyFont="1" applyBorder="1" applyAlignment="1">
      <alignment vertical="center"/>
    </xf>
    <xf numFmtId="0" fontId="20" fillId="0" borderId="206" xfId="0" applyFont="1" applyBorder="1" applyAlignment="1">
      <alignment vertical="center"/>
    </xf>
    <xf numFmtId="0" fontId="20" fillId="0" borderId="212" xfId="0" applyFont="1" applyBorder="1" applyAlignment="1">
      <alignment vertical="center"/>
    </xf>
    <xf numFmtId="0" fontId="20" fillId="0" borderId="212" xfId="0" applyFont="1" applyFill="1" applyBorder="1" applyAlignment="1">
      <alignment horizontal="right" vertical="center"/>
    </xf>
    <xf numFmtId="177" fontId="20" fillId="0" borderId="212" xfId="0" applyNumberFormat="1" applyFont="1" applyBorder="1" applyAlignment="1">
      <alignment vertical="center"/>
    </xf>
    <xf numFmtId="177" fontId="20" fillId="0" borderId="212" xfId="0" applyNumberFormat="1" applyFont="1" applyBorder="1" applyAlignment="1">
      <alignment vertical="center" shrinkToFit="1"/>
    </xf>
    <xf numFmtId="0" fontId="20" fillId="0" borderId="207" xfId="0" applyFont="1" applyBorder="1" applyAlignment="1">
      <alignment vertical="center"/>
    </xf>
    <xf numFmtId="0" fontId="27" fillId="0" borderId="245" xfId="0" applyNumberFormat="1" applyFont="1" applyFill="1" applyBorder="1" applyAlignment="1">
      <alignment horizontal="right" vertical="center" shrinkToFit="1"/>
    </xf>
    <xf numFmtId="10" fontId="27" fillId="0" borderId="245" xfId="0" quotePrefix="1" applyNumberFormat="1" applyFont="1" applyFill="1" applyBorder="1" applyAlignment="1">
      <alignment horizontal="right" vertical="center" shrinkToFit="1"/>
    </xf>
    <xf numFmtId="0" fontId="20" fillId="0" borderId="246" xfId="0" applyFont="1" applyBorder="1" applyAlignment="1">
      <alignment vertical="center"/>
    </xf>
    <xf numFmtId="0" fontId="20" fillId="0" borderId="247" xfId="0" applyFont="1" applyBorder="1" applyAlignment="1">
      <alignment vertical="center"/>
    </xf>
    <xf numFmtId="0" fontId="20" fillId="0" borderId="248" xfId="0" applyFont="1" applyBorder="1" applyAlignment="1">
      <alignment vertical="center"/>
    </xf>
    <xf numFmtId="0" fontId="20" fillId="0" borderId="248" xfId="0" applyFont="1" applyFill="1" applyBorder="1" applyAlignment="1">
      <alignment horizontal="right" vertical="center"/>
    </xf>
    <xf numFmtId="177" fontId="20" fillId="0" borderId="248" xfId="0" applyNumberFormat="1" applyFont="1" applyBorder="1" applyAlignment="1">
      <alignment vertical="center"/>
    </xf>
    <xf numFmtId="0" fontId="20" fillId="0" borderId="249" xfId="0" applyFont="1" applyBorder="1" applyAlignment="1">
      <alignment vertical="center"/>
    </xf>
    <xf numFmtId="0" fontId="20" fillId="0" borderId="242" xfId="0" applyFont="1" applyBorder="1" applyAlignment="1">
      <alignment vertical="center"/>
    </xf>
    <xf numFmtId="0" fontId="20" fillId="0" borderId="242" xfId="0" applyFont="1" applyFill="1" applyBorder="1" applyAlignment="1">
      <alignment horizontal="right" vertical="center"/>
    </xf>
    <xf numFmtId="0" fontId="47" fillId="0" borderId="217" xfId="0" applyFont="1" applyBorder="1" applyAlignment="1">
      <alignment vertical="center"/>
    </xf>
    <xf numFmtId="0" fontId="50" fillId="0" borderId="218" xfId="0" applyFont="1" applyFill="1" applyBorder="1" applyAlignment="1">
      <alignment vertical="center" shrinkToFit="1"/>
    </xf>
    <xf numFmtId="0" fontId="27" fillId="0" borderId="218" xfId="0" applyFont="1" applyFill="1" applyBorder="1" applyAlignment="1">
      <alignment vertical="center" shrinkToFit="1"/>
    </xf>
    <xf numFmtId="190" fontId="27" fillId="0" borderId="219" xfId="0" applyNumberFormat="1" applyFont="1" applyFill="1" applyBorder="1" applyAlignment="1">
      <alignment horizontal="right" vertical="center" shrinkToFit="1"/>
    </xf>
    <xf numFmtId="10" fontId="27" fillId="0" borderId="219" xfId="0" quotePrefix="1" applyNumberFormat="1" applyFont="1" applyFill="1" applyBorder="1" applyAlignment="1">
      <alignment horizontal="right" vertical="center" shrinkToFit="1"/>
    </xf>
    <xf numFmtId="177" fontId="20" fillId="0" borderId="219" xfId="0" applyNumberFormat="1" applyFont="1" applyBorder="1" applyAlignment="1">
      <alignment vertical="center"/>
    </xf>
    <xf numFmtId="177" fontId="20" fillId="0" borderId="219" xfId="0" applyNumberFormat="1" applyFont="1" applyBorder="1" applyAlignment="1">
      <alignment vertical="center" shrinkToFit="1"/>
    </xf>
    <xf numFmtId="0" fontId="47" fillId="0" borderId="250" xfId="0" applyFont="1" applyBorder="1" applyAlignment="1">
      <alignment vertical="center"/>
    </xf>
    <xf numFmtId="0" fontId="20" fillId="0" borderId="251" xfId="0" applyFont="1" applyBorder="1" applyAlignment="1">
      <alignment vertical="center"/>
    </xf>
    <xf numFmtId="0" fontId="31" fillId="0" borderId="251" xfId="0" applyFont="1" applyBorder="1" applyAlignment="1">
      <alignment horizontal="right" vertical="center"/>
    </xf>
    <xf numFmtId="177" fontId="20" fillId="0" borderId="223" xfId="0" applyNumberFormat="1" applyFont="1" applyBorder="1" applyAlignment="1">
      <alignment vertical="center"/>
    </xf>
    <xf numFmtId="177" fontId="20" fillId="0" borderId="223" xfId="0" applyNumberFormat="1" applyFont="1" applyBorder="1" applyAlignment="1">
      <alignment vertical="center" shrinkToFit="1"/>
    </xf>
    <xf numFmtId="0" fontId="51" fillId="0" borderId="207" xfId="0" applyFont="1" applyBorder="1" applyAlignment="1">
      <alignment vertical="center"/>
    </xf>
    <xf numFmtId="0" fontId="20" fillId="0" borderId="82" xfId="0" applyFont="1" applyBorder="1" applyAlignment="1">
      <alignment vertical="center"/>
    </xf>
    <xf numFmtId="177" fontId="20" fillId="0" borderId="82" xfId="0" applyNumberFormat="1" applyFont="1" applyBorder="1" applyAlignment="1">
      <alignment vertical="center"/>
    </xf>
    <xf numFmtId="177" fontId="20" fillId="0" borderId="82" xfId="0" applyNumberFormat="1" applyFont="1" applyBorder="1" applyAlignment="1">
      <alignment vertical="center" shrinkToFit="1"/>
    </xf>
    <xf numFmtId="0" fontId="20" fillId="0" borderId="252" xfId="0" applyFont="1" applyBorder="1" applyAlignment="1">
      <alignment vertical="center"/>
    </xf>
    <xf numFmtId="0" fontId="20" fillId="0" borderId="85" xfId="0" applyFont="1" applyBorder="1" applyAlignment="1">
      <alignment vertical="center"/>
    </xf>
    <xf numFmtId="177" fontId="20" fillId="0" borderId="85" xfId="0" applyNumberFormat="1" applyFont="1" applyBorder="1" applyAlignment="1">
      <alignment vertical="center"/>
    </xf>
    <xf numFmtId="177" fontId="20" fillId="0" borderId="85" xfId="0" applyNumberFormat="1" applyFont="1" applyBorder="1" applyAlignment="1">
      <alignment vertical="center" shrinkToFit="1"/>
    </xf>
    <xf numFmtId="0" fontId="44" fillId="0" borderId="0" xfId="0" applyFont="1" applyFill="1" applyBorder="1" applyAlignment="1">
      <alignment horizontal="right"/>
    </xf>
    <xf numFmtId="0" fontId="44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left"/>
    </xf>
    <xf numFmtId="0" fontId="13" fillId="0" borderId="234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distributed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 shrinkToFit="1"/>
    </xf>
    <xf numFmtId="0" fontId="13" fillId="0" borderId="121" xfId="0" applyFont="1" applyFill="1" applyBorder="1" applyAlignment="1">
      <alignment horizontal="center"/>
    </xf>
    <xf numFmtId="0" fontId="56" fillId="0" borderId="95" xfId="0" applyFont="1" applyFill="1" applyBorder="1" applyAlignment="1"/>
    <xf numFmtId="0" fontId="13" fillId="0" borderId="95" xfId="0" applyFont="1" applyFill="1" applyBorder="1" applyAlignment="1">
      <alignment horizontal="center" shrinkToFit="1"/>
    </xf>
    <xf numFmtId="0" fontId="8" fillId="0" borderId="142" xfId="0" applyFont="1" applyFill="1" applyBorder="1" applyAlignment="1"/>
    <xf numFmtId="38" fontId="8" fillId="0" borderId="23" xfId="0" applyNumberFormat="1" applyFont="1" applyFill="1" applyBorder="1" applyAlignment="1">
      <alignment horizontal="right"/>
    </xf>
    <xf numFmtId="0" fontId="8" fillId="0" borderId="252" xfId="0" applyFont="1" applyFill="1" applyBorder="1" applyAlignment="1">
      <alignment horizontal="right"/>
    </xf>
    <xf numFmtId="0" fontId="8" fillId="0" borderId="234" xfId="0" applyFont="1" applyFill="1" applyBorder="1" applyAlignment="1">
      <alignment horizontal="right"/>
    </xf>
    <xf numFmtId="0" fontId="8" fillId="0" borderId="169" xfId="0" applyFont="1" applyFill="1" applyBorder="1" applyAlignment="1">
      <alignment horizontal="center"/>
    </xf>
    <xf numFmtId="0" fontId="8" fillId="0" borderId="169" xfId="0" applyFont="1" applyFill="1" applyBorder="1" applyAlignment="1">
      <alignment horizontal="left"/>
    </xf>
    <xf numFmtId="38" fontId="13" fillId="0" borderId="85" xfId="0" applyNumberFormat="1" applyFont="1" applyFill="1" applyBorder="1" applyAlignment="1">
      <alignment horizontal="right" shrinkToFit="1"/>
    </xf>
    <xf numFmtId="38" fontId="13" fillId="0" borderId="121" xfId="0" applyNumberFormat="1" applyFont="1" applyFill="1" applyBorder="1" applyAlignment="1">
      <alignment horizontal="right" shrinkToFit="1"/>
    </xf>
    <xf numFmtId="38" fontId="13" fillId="0" borderId="82" xfId="0" applyNumberFormat="1" applyFont="1" applyFill="1" applyBorder="1" applyAlignment="1">
      <alignment horizontal="right" shrinkToFit="1"/>
    </xf>
    <xf numFmtId="38" fontId="8" fillId="0" borderId="95" xfId="0" applyNumberFormat="1" applyFont="1" applyFill="1" applyBorder="1" applyAlignment="1">
      <alignment horizontal="right" shrinkToFit="1"/>
    </xf>
    <xf numFmtId="0" fontId="8" fillId="0" borderId="142" xfId="0" applyFont="1" applyFill="1" applyBorder="1" applyAlignment="1">
      <alignment horizontal="right"/>
    </xf>
    <xf numFmtId="38" fontId="8" fillId="0" borderId="0" xfId="0" applyNumberFormat="1" applyFont="1" applyFill="1" applyBorder="1" applyAlignment="1">
      <alignment horizontal="right"/>
    </xf>
    <xf numFmtId="0" fontId="8" fillId="0" borderId="14" xfId="0" applyFont="1" applyFill="1" applyBorder="1" applyAlignment="1">
      <alignment horizontal="right"/>
    </xf>
    <xf numFmtId="0" fontId="8" fillId="0" borderId="149" xfId="0" applyFont="1" applyFill="1" applyBorder="1" applyAlignment="1">
      <alignment horizontal="right"/>
    </xf>
    <xf numFmtId="0" fontId="8" fillId="0" borderId="15" xfId="0" applyFont="1" applyFill="1" applyBorder="1" applyAlignment="1">
      <alignment horizontal="right"/>
    </xf>
    <xf numFmtId="0" fontId="39" fillId="0" borderId="0" xfId="0" applyFont="1" applyFill="1" applyBorder="1" applyAlignment="1">
      <alignment horizontal="left"/>
    </xf>
    <xf numFmtId="0" fontId="47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shrinkToFit="1"/>
    </xf>
    <xf numFmtId="0" fontId="13" fillId="0" borderId="0" xfId="0" applyFont="1" applyFill="1" applyBorder="1" applyAlignment="1"/>
    <xf numFmtId="0" fontId="8" fillId="0" borderId="212" xfId="0" applyFont="1" applyFill="1" applyBorder="1" applyAlignment="1">
      <alignment horizontal="center"/>
    </xf>
    <xf numFmtId="0" fontId="13" fillId="0" borderId="212" xfId="0" applyFont="1" applyFill="1" applyBorder="1" applyAlignment="1">
      <alignment horizontal="center"/>
    </xf>
    <xf numFmtId="0" fontId="13" fillId="0" borderId="212" xfId="0" applyFont="1" applyFill="1" applyBorder="1" applyAlignment="1">
      <alignment horizontal="center" shrinkToFit="1"/>
    </xf>
    <xf numFmtId="0" fontId="39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shrinkToFit="1"/>
    </xf>
    <xf numFmtId="38" fontId="13" fillId="0" borderId="89" xfId="0" applyNumberFormat="1" applyFont="1" applyFill="1" applyBorder="1" applyAlignment="1">
      <alignment horizontal="right"/>
    </xf>
    <xf numFmtId="38" fontId="13" fillId="0" borderId="89" xfId="0" applyNumberFormat="1" applyFont="1" applyFill="1" applyBorder="1" applyAlignment="1">
      <alignment horizontal="right" shrinkToFit="1"/>
    </xf>
    <xf numFmtId="0" fontId="8" fillId="0" borderId="83" xfId="0" applyFont="1" applyFill="1" applyBorder="1" applyAlignment="1"/>
    <xf numFmtId="0" fontId="8" fillId="0" borderId="214" xfId="0" applyFont="1" applyFill="1" applyBorder="1" applyAlignment="1"/>
    <xf numFmtId="0" fontId="8" fillId="0" borderId="212" xfId="0" applyFont="1" applyFill="1" applyBorder="1" applyAlignment="1">
      <alignment horizontal="center" shrinkToFit="1"/>
    </xf>
    <xf numFmtId="10" fontId="8" fillId="0" borderId="212" xfId="0" applyNumberFormat="1" applyFont="1" applyFill="1" applyBorder="1" applyAlignment="1">
      <alignment horizontal="right" shrinkToFit="1"/>
    </xf>
    <xf numFmtId="38" fontId="13" fillId="0" borderId="212" xfId="0" applyNumberFormat="1" applyFont="1" applyFill="1" applyBorder="1" applyAlignment="1">
      <alignment horizontal="right"/>
    </xf>
    <xf numFmtId="38" fontId="13" fillId="0" borderId="212" xfId="0" applyNumberFormat="1" applyFont="1" applyFill="1" applyBorder="1" applyAlignment="1">
      <alignment horizontal="right" shrinkToFit="1"/>
    </xf>
    <xf numFmtId="0" fontId="8" fillId="0" borderId="23" xfId="0" applyFont="1" applyFill="1" applyBorder="1" applyAlignment="1">
      <alignment horizontal="left" shrinkToFit="1"/>
    </xf>
    <xf numFmtId="191" fontId="8" fillId="0" borderId="23" xfId="0" applyNumberFormat="1" applyFont="1" applyFill="1" applyBorder="1" applyAlignment="1">
      <alignment horizontal="right" shrinkToFit="1"/>
    </xf>
    <xf numFmtId="10" fontId="8" fillId="0" borderId="23" xfId="0" quotePrefix="1" applyNumberFormat="1" applyFont="1" applyFill="1" applyBorder="1" applyAlignment="1">
      <alignment horizontal="center" shrinkToFit="1"/>
    </xf>
    <xf numFmtId="10" fontId="8" fillId="0" borderId="23" xfId="0" applyNumberFormat="1" applyFont="1" applyFill="1" applyBorder="1" applyAlignment="1">
      <alignment horizontal="right" shrinkToFit="1"/>
    </xf>
    <xf numFmtId="0" fontId="8" fillId="0" borderId="23" xfId="0" quotePrefix="1" applyFont="1" applyFill="1" applyBorder="1" applyAlignment="1">
      <alignment horizontal="left" shrinkToFit="1"/>
    </xf>
    <xf numFmtId="0" fontId="8" fillId="0" borderId="196" xfId="0" applyFont="1" applyFill="1" applyBorder="1" applyAlignment="1">
      <alignment horizontal="center" vertical="center" shrinkToFit="1"/>
    </xf>
    <xf numFmtId="191" fontId="8" fillId="0" borderId="85" xfId="0" applyNumberFormat="1" applyFont="1" applyFill="1" applyBorder="1" applyAlignment="1">
      <alignment horizontal="right" shrinkToFit="1"/>
    </xf>
    <xf numFmtId="10" fontId="8" fillId="0" borderId="85" xfId="0" applyNumberFormat="1" applyFont="1" applyFill="1" applyBorder="1" applyAlignment="1">
      <alignment horizontal="right" shrinkToFit="1"/>
    </xf>
    <xf numFmtId="0" fontId="8" fillId="0" borderId="205" xfId="0" applyFont="1" applyFill="1" applyBorder="1" applyAlignment="1">
      <alignment horizontal="center" shrinkToFit="1"/>
    </xf>
    <xf numFmtId="0" fontId="8" fillId="0" borderId="206" xfId="0" applyFont="1" applyFill="1" applyBorder="1" applyAlignment="1">
      <alignment horizontal="center" vertical="center" shrinkToFit="1"/>
    </xf>
    <xf numFmtId="0" fontId="8" fillId="0" borderId="206" xfId="0" applyFont="1" applyFill="1" applyBorder="1" applyAlignment="1">
      <alignment horizontal="left" shrinkToFit="1"/>
    </xf>
    <xf numFmtId="0" fontId="8" fillId="0" borderId="212" xfId="0" applyFont="1" applyFill="1" applyBorder="1" applyAlignment="1">
      <alignment horizontal="left" shrinkToFit="1"/>
    </xf>
    <xf numFmtId="191" fontId="8" fillId="0" borderId="212" xfId="0" applyNumberFormat="1" applyFont="1" applyFill="1" applyBorder="1" applyAlignment="1">
      <alignment vertical="center" shrinkToFit="1"/>
    </xf>
    <xf numFmtId="10" fontId="8" fillId="0" borderId="82" xfId="0" applyNumberFormat="1" applyFont="1" applyFill="1" applyBorder="1" applyAlignment="1">
      <alignment horizontal="center" vertical="center"/>
    </xf>
    <xf numFmtId="38" fontId="20" fillId="0" borderId="82" xfId="0" applyNumberFormat="1" applyFont="1" applyFill="1" applyBorder="1" applyAlignment="1">
      <alignment horizontal="right"/>
    </xf>
    <xf numFmtId="10" fontId="8" fillId="0" borderId="82" xfId="0" applyNumberFormat="1" applyFont="1" applyFill="1" applyBorder="1" applyAlignment="1">
      <alignment horizontal="left" vertical="center" shrinkToFit="1"/>
    </xf>
    <xf numFmtId="0" fontId="8" fillId="0" borderId="95" xfId="0" applyFont="1" applyFill="1" applyBorder="1" applyAlignment="1">
      <alignment horizontal="left" shrinkToFit="1"/>
    </xf>
    <xf numFmtId="191" fontId="8" fillId="0" borderId="95" xfId="0" applyNumberFormat="1" applyFont="1" applyFill="1" applyBorder="1" applyAlignment="1">
      <alignment vertical="top" shrinkToFit="1"/>
    </xf>
    <xf numFmtId="10" fontId="8" fillId="0" borderId="23" xfId="0" applyNumberFormat="1" applyFont="1" applyFill="1" applyBorder="1" applyAlignment="1">
      <alignment horizontal="center" vertical="center"/>
    </xf>
    <xf numFmtId="0" fontId="8" fillId="0" borderId="120" xfId="0" applyFont="1" applyFill="1" applyBorder="1" applyAlignment="1">
      <alignment horizontal="left" shrinkToFit="1"/>
    </xf>
    <xf numFmtId="38" fontId="20" fillId="0" borderId="23" xfId="0" applyNumberFormat="1" applyFont="1" applyFill="1" applyBorder="1" applyAlignment="1">
      <alignment horizontal="right"/>
    </xf>
    <xf numFmtId="10" fontId="8" fillId="0" borderId="23" xfId="0" applyNumberFormat="1" applyFont="1" applyFill="1" applyBorder="1" applyAlignment="1">
      <alignment horizontal="left" shrinkToFit="1"/>
    </xf>
    <xf numFmtId="191" fontId="8" fillId="0" borderId="95" xfId="0" applyNumberFormat="1" applyFont="1" applyFill="1" applyBorder="1" applyAlignment="1">
      <alignment shrinkToFit="1"/>
    </xf>
    <xf numFmtId="191" fontId="8" fillId="0" borderId="23" xfId="0" applyNumberFormat="1" applyFont="1" applyFill="1" applyBorder="1" applyAlignment="1">
      <alignment shrinkToFit="1"/>
    </xf>
    <xf numFmtId="0" fontId="8" fillId="0" borderId="23" xfId="0" applyFont="1" applyFill="1" applyBorder="1" applyAlignment="1">
      <alignment horizontal="left" vertical="center" shrinkToFit="1"/>
    </xf>
    <xf numFmtId="0" fontId="8" fillId="0" borderId="257" xfId="0" applyFont="1" applyFill="1" applyBorder="1" applyAlignment="1">
      <alignment horizontal="center" vertical="center" shrinkToFit="1"/>
    </xf>
    <xf numFmtId="49" fontId="8" fillId="0" borderId="85" xfId="0" applyNumberFormat="1" applyFont="1" applyFill="1" applyBorder="1" applyAlignment="1">
      <alignment horizontal="left" shrinkToFit="1"/>
    </xf>
    <xf numFmtId="191" fontId="8" fillId="0" borderId="258" xfId="0" applyNumberFormat="1" applyFont="1" applyFill="1" applyBorder="1" applyAlignment="1">
      <alignment shrinkToFit="1"/>
    </xf>
    <xf numFmtId="10" fontId="8" fillId="0" borderId="258" xfId="0" applyNumberFormat="1" applyFont="1" applyFill="1" applyBorder="1" applyAlignment="1">
      <alignment horizontal="right" shrinkToFit="1"/>
    </xf>
    <xf numFmtId="38" fontId="13" fillId="0" borderId="258" xfId="0" applyNumberFormat="1" applyFont="1" applyFill="1" applyBorder="1" applyAlignment="1">
      <alignment horizontal="right"/>
    </xf>
    <xf numFmtId="0" fontId="8" fillId="0" borderId="221" xfId="0" applyFont="1" applyFill="1" applyBorder="1" applyAlignment="1">
      <alignment horizontal="right"/>
    </xf>
    <xf numFmtId="0" fontId="8" fillId="0" borderId="222" xfId="0" applyFont="1" applyFill="1" applyBorder="1" applyAlignment="1">
      <alignment horizontal="right"/>
    </xf>
    <xf numFmtId="0" fontId="8" fillId="0" borderId="222" xfId="0" applyFont="1" applyFill="1" applyBorder="1" applyAlignment="1">
      <alignment horizontal="left"/>
    </xf>
    <xf numFmtId="0" fontId="8" fillId="0" borderId="223" xfId="0" applyFont="1" applyFill="1" applyBorder="1" applyAlignment="1">
      <alignment horizontal="left"/>
    </xf>
    <xf numFmtId="0" fontId="8" fillId="0" borderId="223" xfId="0" applyFont="1" applyFill="1" applyBorder="1" applyAlignment="1">
      <alignment horizontal="right"/>
    </xf>
    <xf numFmtId="38" fontId="13" fillId="0" borderId="223" xfId="0" applyNumberFormat="1" applyFont="1" applyFill="1" applyBorder="1" applyAlignment="1">
      <alignment horizontal="right"/>
    </xf>
    <xf numFmtId="38" fontId="13" fillId="0" borderId="223" xfId="0" applyNumberFormat="1" applyFont="1" applyFill="1" applyBorder="1" applyAlignment="1">
      <alignment horizontal="right" shrinkToFit="1"/>
    </xf>
    <xf numFmtId="38" fontId="13" fillId="0" borderId="0" xfId="0" applyNumberFormat="1" applyFont="1" applyFill="1" applyBorder="1" applyAlignment="1">
      <alignment horizontal="right"/>
    </xf>
    <xf numFmtId="0" fontId="8" fillId="0" borderId="85" xfId="0" applyFont="1" applyFill="1" applyBorder="1" applyAlignment="1">
      <alignment horizontal="left" shrinkToFit="1"/>
    </xf>
    <xf numFmtId="10" fontId="8" fillId="0" borderId="23" xfId="2" applyNumberFormat="1" applyFont="1" applyFill="1" applyBorder="1" applyAlignment="1">
      <alignment horizontal="left" shrinkToFit="1"/>
    </xf>
    <xf numFmtId="191" fontId="8" fillId="0" borderId="120" xfId="0" applyNumberFormat="1" applyFont="1" applyFill="1" applyBorder="1" applyAlignment="1">
      <alignment shrinkToFit="1"/>
    </xf>
    <xf numFmtId="10" fontId="8" fillId="0" borderId="120" xfId="0" applyNumberFormat="1" applyFont="1" applyFill="1" applyBorder="1" applyAlignment="1">
      <alignment horizontal="right" shrinkToFit="1"/>
    </xf>
    <xf numFmtId="0" fontId="31" fillId="0" borderId="23" xfId="0" applyFont="1" applyFill="1" applyBorder="1" applyAlignment="1">
      <alignment horizontal="left" shrinkToFit="1"/>
    </xf>
    <xf numFmtId="0" fontId="8" fillId="0" borderId="194" xfId="0" applyFont="1" applyFill="1" applyBorder="1" applyAlignment="1">
      <alignment horizontal="center" vertical="center" shrinkToFit="1"/>
    </xf>
    <xf numFmtId="0" fontId="8" fillId="0" borderId="259" xfId="0" applyFont="1" applyFill="1" applyBorder="1" applyAlignment="1">
      <alignment horizontal="right"/>
    </xf>
    <xf numFmtId="0" fontId="8" fillId="0" borderId="226" xfId="0" applyFont="1" applyFill="1" applyBorder="1" applyAlignment="1">
      <alignment horizontal="right"/>
    </xf>
    <xf numFmtId="0" fontId="8" fillId="0" borderId="226" xfId="0" applyFont="1" applyFill="1" applyBorder="1" applyAlignment="1">
      <alignment horizontal="left"/>
    </xf>
    <xf numFmtId="0" fontId="8" fillId="0" borderId="260" xfId="0" applyFont="1" applyFill="1" applyBorder="1" applyAlignment="1">
      <alignment horizontal="left"/>
    </xf>
    <xf numFmtId="0" fontId="8" fillId="0" borderId="260" xfId="0" applyFont="1" applyFill="1" applyBorder="1" applyAlignment="1">
      <alignment horizontal="right"/>
    </xf>
    <xf numFmtId="38" fontId="13" fillId="0" borderId="260" xfId="0" applyNumberFormat="1" applyFont="1" applyFill="1" applyBorder="1" applyAlignment="1">
      <alignment horizontal="right"/>
    </xf>
    <xf numFmtId="38" fontId="13" fillId="0" borderId="260" xfId="0" applyNumberFormat="1" applyFont="1" applyFill="1" applyBorder="1" applyAlignment="1">
      <alignment horizontal="right" shrinkToFit="1"/>
    </xf>
    <xf numFmtId="0" fontId="8" fillId="0" borderId="168" xfId="0" applyFont="1" applyFill="1" applyBorder="1" applyAlignment="1">
      <alignment horizontal="right"/>
    </xf>
    <xf numFmtId="0" fontId="8" fillId="0" borderId="169" xfId="0" applyFont="1" applyFill="1" applyBorder="1" applyAlignment="1">
      <alignment horizontal="right"/>
    </xf>
    <xf numFmtId="0" fontId="8" fillId="0" borderId="85" xfId="0" applyFont="1" applyFill="1" applyBorder="1" applyAlignment="1">
      <alignment horizontal="left"/>
    </xf>
    <xf numFmtId="0" fontId="13" fillId="0" borderId="234" xfId="0" applyFont="1" applyFill="1" applyBorder="1" applyAlignment="1">
      <alignment horizontal="right" shrinkToFit="1"/>
    </xf>
    <xf numFmtId="0" fontId="8" fillId="0" borderId="212" xfId="0" applyFont="1" applyFill="1" applyBorder="1" applyAlignment="1">
      <alignment horizontal="center" wrapText="1"/>
    </xf>
    <xf numFmtId="0" fontId="14" fillId="0" borderId="89" xfId="0" applyFont="1" applyFill="1" applyBorder="1" applyAlignment="1">
      <alignment horizontal="center" wrapText="1"/>
    </xf>
    <xf numFmtId="0" fontId="8" fillId="0" borderId="89" xfId="0" applyFont="1" applyFill="1" applyBorder="1" applyAlignment="1">
      <alignment horizontal="right"/>
    </xf>
    <xf numFmtId="0" fontId="13" fillId="0" borderId="89" xfId="0" applyFont="1" applyFill="1" applyBorder="1" applyAlignment="1">
      <alignment horizontal="center" shrinkToFit="1"/>
    </xf>
    <xf numFmtId="0" fontId="8" fillId="0" borderId="170" xfId="0" applyFont="1" applyFill="1" applyBorder="1" applyAlignment="1">
      <alignment horizontal="right"/>
    </xf>
    <xf numFmtId="0" fontId="8" fillId="0" borderId="171" xfId="0" applyFont="1" applyFill="1" applyBorder="1" applyAlignment="1">
      <alignment horizontal="right"/>
    </xf>
    <xf numFmtId="0" fontId="8" fillId="0" borderId="214" xfId="0" applyFont="1" applyFill="1" applyBorder="1" applyAlignment="1">
      <alignment horizontal="left"/>
    </xf>
    <xf numFmtId="0" fontId="8" fillId="0" borderId="82" xfId="0" applyFont="1" applyFill="1" applyBorder="1" applyAlignment="1">
      <alignment horizontal="left"/>
    </xf>
    <xf numFmtId="0" fontId="8" fillId="0" borderId="83" xfId="0" applyFont="1" applyFill="1" applyBorder="1" applyAlignment="1">
      <alignment horizontal="center"/>
    </xf>
    <xf numFmtId="38" fontId="13" fillId="0" borderId="177" xfId="0" applyNumberFormat="1" applyFont="1" applyFill="1" applyBorder="1" applyAlignment="1">
      <alignment horizontal="right"/>
    </xf>
    <xf numFmtId="38" fontId="13" fillId="0" borderId="214" xfId="0" applyNumberFormat="1" applyFont="1" applyFill="1" applyBorder="1" applyAlignment="1">
      <alignment horizontal="right"/>
    </xf>
    <xf numFmtId="0" fontId="8" fillId="0" borderId="209" xfId="0" applyFont="1" applyFill="1" applyBorder="1" applyAlignment="1">
      <alignment horizontal="left"/>
    </xf>
    <xf numFmtId="0" fontId="8" fillId="0" borderId="121" xfId="0" applyFont="1" applyFill="1" applyBorder="1" applyAlignment="1">
      <alignment horizontal="left"/>
    </xf>
    <xf numFmtId="0" fontId="8" fillId="0" borderId="121" xfId="0" applyFont="1" applyFill="1" applyBorder="1" applyAlignment="1">
      <alignment horizontal="center"/>
    </xf>
    <xf numFmtId="0" fontId="8" fillId="0" borderId="212" xfId="0" applyFont="1" applyFill="1" applyBorder="1" applyAlignment="1">
      <alignment horizontal="right"/>
    </xf>
    <xf numFmtId="0" fontId="39" fillId="0" borderId="89" xfId="0" applyFont="1" applyFill="1" applyBorder="1" applyAlignment="1">
      <alignment horizontal="left"/>
    </xf>
    <xf numFmtId="0" fontId="8" fillId="0" borderId="85" xfId="0" applyFont="1" applyFill="1" applyBorder="1" applyAlignment="1">
      <alignment horizontal="center"/>
    </xf>
    <xf numFmtId="0" fontId="8" fillId="0" borderId="82" xfId="0" applyFont="1" applyFill="1" applyBorder="1" applyAlignment="1">
      <alignment horizontal="center" shrinkToFit="1"/>
    </xf>
    <xf numFmtId="0" fontId="8" fillId="0" borderId="82" xfId="0" applyFont="1" applyFill="1" applyBorder="1" applyAlignment="1">
      <alignment horizontal="left" shrinkToFit="1"/>
    </xf>
    <xf numFmtId="0" fontId="8" fillId="0" borderId="82" xfId="0" applyFont="1" applyFill="1" applyBorder="1" applyAlignment="1">
      <alignment shrinkToFit="1"/>
    </xf>
    <xf numFmtId="10" fontId="8" fillId="0" borderId="82" xfId="0" quotePrefix="1" applyNumberFormat="1" applyFont="1" applyFill="1" applyBorder="1" applyAlignment="1">
      <alignment horizontal="right" shrinkToFit="1"/>
    </xf>
    <xf numFmtId="0" fontId="8" fillId="0" borderId="23" xfId="0" applyNumberFormat="1" applyFont="1" applyFill="1" applyBorder="1" applyAlignment="1">
      <alignment shrinkToFit="1"/>
    </xf>
    <xf numFmtId="0" fontId="8" fillId="0" borderId="23" xfId="0" applyFont="1" applyFill="1" applyBorder="1" applyAlignment="1">
      <alignment horizontal="center"/>
    </xf>
    <xf numFmtId="0" fontId="8" fillId="0" borderId="23" xfId="0" applyFont="1" applyFill="1" applyBorder="1" applyAlignment="1">
      <alignment horizontal="right" shrinkToFit="1"/>
    </xf>
    <xf numFmtId="0" fontId="8" fillId="0" borderId="23" xfId="0" applyFont="1" applyFill="1" applyBorder="1" applyAlignment="1">
      <alignment shrinkToFit="1"/>
    </xf>
    <xf numFmtId="9" fontId="8" fillId="0" borderId="23" xfId="0" applyNumberFormat="1" applyFont="1" applyFill="1" applyBorder="1" applyAlignment="1">
      <alignment horizontal="right" shrinkToFit="1"/>
    </xf>
    <xf numFmtId="0" fontId="8" fillId="0" borderId="23" xfId="0" applyFont="1" applyFill="1" applyBorder="1" applyAlignment="1">
      <alignment horizontal="left"/>
    </xf>
    <xf numFmtId="0" fontId="8" fillId="0" borderId="120" xfId="0" applyFont="1" applyFill="1" applyBorder="1" applyAlignment="1">
      <alignment horizontal="left"/>
    </xf>
    <xf numFmtId="9" fontId="8" fillId="0" borderId="85" xfId="0" applyNumberFormat="1" applyFont="1" applyFill="1" applyBorder="1" applyAlignment="1">
      <alignment horizontal="right" shrinkToFit="1"/>
    </xf>
    <xf numFmtId="0" fontId="8" fillId="0" borderId="210" xfId="0" applyFont="1" applyFill="1" applyBorder="1" applyAlignment="1">
      <alignment horizontal="right"/>
    </xf>
    <xf numFmtId="0" fontId="8" fillId="0" borderId="212" xfId="0" applyFont="1" applyFill="1" applyBorder="1" applyAlignment="1">
      <alignment horizontal="right" shrinkToFit="1"/>
    </xf>
    <xf numFmtId="0" fontId="8" fillId="0" borderId="82" xfId="0" applyFont="1" applyFill="1" applyBorder="1" applyAlignment="1">
      <alignment horizontal="right" shrinkToFit="1"/>
    </xf>
    <xf numFmtId="0" fontId="39" fillId="0" borderId="89" xfId="0" applyFont="1" applyFill="1" applyBorder="1" applyAlignment="1">
      <alignment horizontal="left" shrinkToFit="1"/>
    </xf>
    <xf numFmtId="0" fontId="8" fillId="0" borderId="85" xfId="0" applyFont="1" applyFill="1" applyBorder="1" applyAlignment="1">
      <alignment horizontal="right" shrinkToFit="1"/>
    </xf>
    <xf numFmtId="38" fontId="56" fillId="0" borderId="85" xfId="0" applyNumberFormat="1" applyFont="1" applyFill="1" applyBorder="1" applyAlignment="1">
      <alignment horizontal="right" shrinkToFit="1"/>
    </xf>
    <xf numFmtId="0" fontId="8" fillId="0" borderId="95" xfId="0" applyFont="1" applyFill="1" applyBorder="1" applyAlignment="1">
      <alignment horizontal="center" shrinkToFit="1"/>
    </xf>
    <xf numFmtId="10" fontId="8" fillId="0" borderId="82" xfId="0" applyNumberFormat="1" applyFont="1" applyFill="1" applyBorder="1" applyAlignment="1">
      <alignment horizontal="right" shrinkToFit="1"/>
    </xf>
    <xf numFmtId="0" fontId="8" fillId="0" borderId="147" xfId="0" applyFont="1" applyFill="1" applyBorder="1" applyAlignment="1">
      <alignment horizontal="right"/>
    </xf>
    <xf numFmtId="191" fontId="8" fillId="0" borderId="121" xfId="0" applyNumberFormat="1" applyFont="1" applyFill="1" applyBorder="1" applyAlignment="1">
      <alignment shrinkToFit="1"/>
    </xf>
    <xf numFmtId="10" fontId="8" fillId="0" borderId="121" xfId="0" applyNumberFormat="1" applyFont="1" applyFill="1" applyBorder="1" applyAlignment="1">
      <alignment horizontal="right" shrinkToFit="1"/>
    </xf>
    <xf numFmtId="38" fontId="8" fillId="0" borderId="95" xfId="0" applyNumberFormat="1" applyFont="1" applyFill="1" applyBorder="1" applyAlignment="1">
      <alignment horizontal="right"/>
    </xf>
    <xf numFmtId="0" fontId="8" fillId="0" borderId="115" xfId="0" applyFont="1" applyFill="1" applyBorder="1" applyAlignment="1">
      <alignment horizontal="right"/>
    </xf>
    <xf numFmtId="0" fontId="8" fillId="0" borderId="261" xfId="0" applyFont="1" applyFill="1" applyBorder="1" applyAlignment="1">
      <alignment horizontal="right"/>
    </xf>
    <xf numFmtId="0" fontId="8" fillId="0" borderId="262" xfId="0" applyFont="1" applyFill="1" applyBorder="1" applyAlignment="1">
      <alignment horizontal="right"/>
    </xf>
    <xf numFmtId="0" fontId="8" fillId="0" borderId="262" xfId="0" applyFont="1" applyFill="1" applyBorder="1" applyAlignment="1">
      <alignment horizontal="left"/>
    </xf>
    <xf numFmtId="0" fontId="8" fillId="0" borderId="258" xfId="0" applyFont="1" applyFill="1" applyBorder="1" applyAlignment="1">
      <alignment horizontal="left"/>
    </xf>
    <xf numFmtId="0" fontId="8" fillId="0" borderId="258" xfId="0" applyFont="1" applyFill="1" applyBorder="1" applyAlignment="1">
      <alignment horizontal="right"/>
    </xf>
    <xf numFmtId="38" fontId="13" fillId="0" borderId="258" xfId="0" applyNumberFormat="1" applyFont="1" applyFill="1" applyBorder="1" applyAlignment="1">
      <alignment horizontal="right" shrinkToFit="1"/>
    </xf>
    <xf numFmtId="176" fontId="13" fillId="0" borderId="121" xfId="0" applyNumberFormat="1" applyFont="1" applyFill="1" applyBorder="1" applyAlignment="1">
      <alignment horizontal="right" shrinkToFit="1"/>
    </xf>
    <xf numFmtId="176" fontId="8" fillId="0" borderId="23" xfId="0" applyNumberFormat="1" applyFont="1" applyFill="1" applyBorder="1" applyAlignment="1">
      <alignment shrinkToFit="1"/>
    </xf>
    <xf numFmtId="38" fontId="8" fillId="0" borderId="23" xfId="0" applyNumberFormat="1" applyFont="1" applyFill="1" applyBorder="1" applyAlignment="1">
      <alignment shrinkToFit="1"/>
    </xf>
    <xf numFmtId="0" fontId="8" fillId="0" borderId="115" xfId="0" applyFont="1" applyFill="1" applyBorder="1" applyAlignment="1"/>
    <xf numFmtId="0" fontId="8" fillId="0" borderId="23" xfId="0" applyFont="1" applyFill="1" applyBorder="1" applyAlignment="1"/>
    <xf numFmtId="38" fontId="8" fillId="0" borderId="23" xfId="0" applyNumberFormat="1" applyFont="1" applyFill="1" applyBorder="1" applyAlignment="1"/>
    <xf numFmtId="0" fontId="8" fillId="0" borderId="252" xfId="0" applyFont="1" applyFill="1" applyBorder="1" applyAlignment="1"/>
    <xf numFmtId="0" fontId="8" fillId="0" borderId="234" xfId="0" applyFont="1" applyFill="1" applyBorder="1" applyAlignment="1"/>
    <xf numFmtId="0" fontId="8" fillId="0" borderId="89" xfId="0" applyFont="1" applyFill="1" applyBorder="1" applyAlignment="1"/>
    <xf numFmtId="176" fontId="8" fillId="0" borderId="89" xfId="0" applyNumberFormat="1" applyFont="1" applyFill="1" applyBorder="1" applyAlignment="1">
      <alignment shrinkToFit="1"/>
    </xf>
    <xf numFmtId="176" fontId="8" fillId="0" borderId="89" xfId="0" applyNumberFormat="1" applyFont="1" applyFill="1" applyBorder="1" applyAlignment="1"/>
    <xf numFmtId="38" fontId="8" fillId="0" borderId="0" xfId="3" applyFont="1" applyFill="1" applyBorder="1" applyAlignment="1"/>
    <xf numFmtId="0" fontId="8" fillId="0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shrinkToFit="1"/>
    </xf>
    <xf numFmtId="0" fontId="8" fillId="0" borderId="125" xfId="0" applyFont="1" applyFill="1" applyBorder="1" applyAlignment="1"/>
    <xf numFmtId="0" fontId="8" fillId="0" borderId="263" xfId="0" applyFont="1" applyFill="1" applyBorder="1" applyAlignment="1"/>
    <xf numFmtId="0" fontId="47" fillId="0" borderId="51" xfId="0" applyFont="1" applyFill="1" applyBorder="1" applyAlignment="1"/>
    <xf numFmtId="0" fontId="8" fillId="0" borderId="124" xfId="0" applyFont="1" applyFill="1" applyBorder="1" applyAlignment="1"/>
    <xf numFmtId="0" fontId="8" fillId="0" borderId="111" xfId="0" applyFont="1" applyFill="1" applyBorder="1" applyAlignment="1">
      <alignment horizontal="center" vertical="center" shrinkToFit="1"/>
    </xf>
    <xf numFmtId="192" fontId="8" fillId="0" borderId="111" xfId="0" applyNumberFormat="1" applyFont="1" applyFill="1" applyBorder="1" applyAlignment="1">
      <alignment horizontal="center"/>
    </xf>
    <xf numFmtId="0" fontId="31" fillId="0" borderId="52" xfId="0" applyFont="1" applyFill="1" applyBorder="1" applyAlignment="1">
      <alignment shrinkToFit="1"/>
    </xf>
    <xf numFmtId="0" fontId="8" fillId="0" borderId="140" xfId="0" applyFont="1" applyFill="1" applyBorder="1" applyAlignment="1"/>
    <xf numFmtId="0" fontId="8" fillId="0" borderId="23" xfId="0" applyFont="1" applyFill="1" applyBorder="1" applyAlignment="1">
      <alignment horizontal="center" vertical="center"/>
    </xf>
    <xf numFmtId="191" fontId="8" fillId="15" borderId="23" xfId="0" applyNumberFormat="1" applyFont="1" applyFill="1" applyBorder="1" applyAlignment="1" applyProtection="1">
      <alignment horizontal="center" vertical="center"/>
    </xf>
    <xf numFmtId="0" fontId="8" fillId="0" borderId="194" xfId="0" applyFont="1" applyFill="1" applyBorder="1" applyAlignment="1"/>
    <xf numFmtId="191" fontId="8" fillId="0" borderId="23" xfId="2" applyNumberFormat="1" applyFont="1" applyFill="1" applyBorder="1" applyAlignment="1" applyProtection="1">
      <alignment horizontal="center" vertical="center"/>
    </xf>
    <xf numFmtId="2" fontId="8" fillId="0" borderId="23" xfId="0" applyNumberFormat="1" applyFont="1" applyFill="1" applyBorder="1" applyAlignment="1" applyProtection="1">
      <alignment horizontal="center" vertical="center"/>
    </xf>
    <xf numFmtId="2" fontId="8" fillId="0" borderId="135" xfId="0" applyNumberFormat="1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>
      <alignment horizontal="center" shrinkToFit="1"/>
    </xf>
    <xf numFmtId="0" fontId="8" fillId="0" borderId="23" xfId="0" applyFont="1" applyFill="1" applyBorder="1" applyAlignment="1" applyProtection="1">
      <alignment horizontal="center" vertical="center"/>
    </xf>
    <xf numFmtId="0" fontId="8" fillId="0" borderId="128" xfId="0" applyFont="1" applyFill="1" applyBorder="1" applyAlignment="1"/>
    <xf numFmtId="2" fontId="8" fillId="0" borderId="118" xfId="0" applyNumberFormat="1" applyFont="1" applyFill="1" applyBorder="1" applyAlignment="1" applyProtection="1">
      <alignment horizontal="center" vertical="center"/>
    </xf>
    <xf numFmtId="0" fontId="8" fillId="0" borderId="127" xfId="0" applyFont="1" applyFill="1" applyBorder="1" applyAlignment="1"/>
    <xf numFmtId="0" fontId="8" fillId="0" borderId="118" xfId="0" applyFont="1" applyFill="1" applyBorder="1" applyAlignment="1" applyProtection="1">
      <alignment horizontal="center" vertical="center"/>
    </xf>
    <xf numFmtId="192" fontId="8" fillId="0" borderId="51" xfId="0" applyNumberFormat="1" applyFont="1" applyFill="1" applyBorder="1" applyAlignment="1">
      <alignment horizontal="center"/>
    </xf>
    <xf numFmtId="192" fontId="8" fillId="0" borderId="265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 vertical="center"/>
    </xf>
    <xf numFmtId="191" fontId="8" fillId="0" borderId="265" xfId="0" applyNumberFormat="1" applyFont="1" applyFill="1" applyBorder="1" applyAlignment="1" applyProtection="1">
      <alignment horizontal="center" vertical="center"/>
    </xf>
    <xf numFmtId="0" fontId="8" fillId="0" borderId="140" xfId="0" applyFont="1" applyFill="1" applyBorder="1" applyAlignment="1">
      <alignment horizontal="center" vertical="center"/>
    </xf>
    <xf numFmtId="191" fontId="8" fillId="0" borderId="52" xfId="2" applyNumberFormat="1" applyFont="1" applyFill="1" applyBorder="1" applyAlignment="1" applyProtection="1">
      <alignment horizontal="center" vertical="center"/>
    </xf>
    <xf numFmtId="191" fontId="8" fillId="0" borderId="265" xfId="2" applyNumberFormat="1" applyFont="1" applyFill="1" applyBorder="1" applyAlignment="1" applyProtection="1">
      <alignment horizontal="center" vertical="center"/>
    </xf>
    <xf numFmtId="191" fontId="8" fillId="0" borderId="0" xfId="2" applyNumberFormat="1" applyFont="1" applyFill="1" applyBorder="1" applyAlignment="1" applyProtection="1">
      <alignment horizontal="center" vertical="center"/>
    </xf>
    <xf numFmtId="2" fontId="8" fillId="0" borderId="265" xfId="0" applyNumberFormat="1" applyFont="1" applyFill="1" applyBorder="1" applyAlignment="1" applyProtection="1">
      <alignment horizontal="center" vertical="center"/>
    </xf>
    <xf numFmtId="0" fontId="8" fillId="0" borderId="188" xfId="0" applyFont="1" applyFill="1" applyBorder="1" applyAlignment="1" applyProtection="1">
      <alignment horizontal="center" vertical="center"/>
    </xf>
    <xf numFmtId="0" fontId="8" fillId="0" borderId="265" xfId="0" applyFont="1" applyFill="1" applyBorder="1" applyAlignment="1" applyProtection="1">
      <alignment horizontal="center" vertical="center"/>
    </xf>
    <xf numFmtId="0" fontId="8" fillId="0" borderId="0" xfId="0" applyFont="1" applyBorder="1" applyAlignment="1"/>
    <xf numFmtId="0" fontId="8" fillId="0" borderId="0" xfId="0" applyFont="1" applyBorder="1" applyAlignment="1">
      <alignment shrinkToFit="1"/>
    </xf>
    <xf numFmtId="189" fontId="8" fillId="0" borderId="23" xfId="0" applyNumberFormat="1" applyFont="1" applyFill="1" applyBorder="1" applyAlignment="1">
      <alignment horizontal="center" shrinkToFit="1"/>
    </xf>
    <xf numFmtId="177" fontId="13" fillId="0" borderId="212" xfId="0" applyNumberFormat="1" applyFont="1" applyFill="1" applyBorder="1" applyAlignment="1">
      <alignment horizontal="center" shrinkToFit="1"/>
    </xf>
    <xf numFmtId="0" fontId="13" fillId="0" borderId="121" xfId="0" applyFont="1" applyFill="1" applyBorder="1" applyAlignment="1">
      <alignment horizontal="right"/>
    </xf>
    <xf numFmtId="0" fontId="13" fillId="0" borderId="121" xfId="0" applyFont="1" applyFill="1" applyBorder="1" applyAlignment="1">
      <alignment horizontal="right" shrinkToFit="1"/>
    </xf>
    <xf numFmtId="0" fontId="39" fillId="0" borderId="206" xfId="0" applyFont="1" applyFill="1" applyBorder="1" applyAlignment="1">
      <alignment horizontal="center"/>
    </xf>
    <xf numFmtId="0" fontId="8" fillId="0" borderId="206" xfId="0" applyFont="1" applyFill="1" applyBorder="1" applyAlignment="1">
      <alignment horizontal="center"/>
    </xf>
    <xf numFmtId="0" fontId="13" fillId="0" borderId="206" xfId="0" applyFont="1" applyFill="1" applyBorder="1" applyAlignment="1">
      <alignment horizontal="center"/>
    </xf>
    <xf numFmtId="0" fontId="13" fillId="0" borderId="206" xfId="0" applyFont="1" applyFill="1" applyBorder="1" applyAlignment="1">
      <alignment horizontal="center" shrinkToFit="1"/>
    </xf>
    <xf numFmtId="0" fontId="13" fillId="0" borderId="206" xfId="0" applyFont="1" applyFill="1" applyBorder="1" applyAlignment="1">
      <alignment horizontal="right" shrinkToFit="1"/>
    </xf>
    <xf numFmtId="38" fontId="13" fillId="0" borderId="95" xfId="0" applyNumberFormat="1" applyFont="1" applyFill="1" applyBorder="1" applyAlignment="1">
      <alignment horizontal="right" shrinkToFit="1"/>
    </xf>
    <xf numFmtId="38" fontId="8" fillId="0" borderId="0" xfId="3" applyFont="1" applyBorder="1" applyAlignment="1"/>
    <xf numFmtId="0" fontId="8" fillId="0" borderId="0" xfId="0" applyFont="1" applyBorder="1" applyAlignment="1">
      <alignment horizontal="center" vertical="center" shrinkToFit="1"/>
    </xf>
    <xf numFmtId="0" fontId="59" fillId="0" borderId="0" xfId="0" applyFont="1" applyFill="1" applyBorder="1" applyAlignment="1">
      <alignment vertical="center"/>
    </xf>
    <xf numFmtId="0" fontId="59" fillId="0" borderId="0" xfId="0" applyFont="1" applyFill="1" applyBorder="1" applyAlignment="1">
      <alignment vertical="center" shrinkToFit="1"/>
    </xf>
    <xf numFmtId="176" fontId="8" fillId="0" borderId="89" xfId="4" applyNumberFormat="1" applyFont="1" applyFill="1" applyBorder="1" applyAlignment="1">
      <alignment shrinkToFit="1"/>
    </xf>
    <xf numFmtId="176" fontId="8" fillId="0" borderId="89" xfId="4" applyNumberFormat="1" applyFont="1" applyFill="1" applyBorder="1" applyAlignment="1"/>
    <xf numFmtId="0" fontId="8" fillId="0" borderId="207" xfId="0" applyFont="1" applyFill="1" applyBorder="1" applyAlignment="1"/>
    <xf numFmtId="0" fontId="44" fillId="0" borderId="207" xfId="0" applyFont="1" applyFill="1" applyBorder="1" applyAlignment="1"/>
    <xf numFmtId="0" fontId="17" fillId="0" borderId="272" xfId="0" applyFont="1" applyFill="1" applyBorder="1" applyAlignment="1" applyProtection="1">
      <alignment horizontal="center" vertical="center" shrinkToFit="1"/>
      <protection locked="0"/>
    </xf>
    <xf numFmtId="188" fontId="39" fillId="0" borderId="272" xfId="0" applyNumberFormat="1" applyFont="1" applyFill="1" applyBorder="1" applyAlignment="1">
      <alignment vertical="center" shrinkToFit="1"/>
    </xf>
    <xf numFmtId="190" fontId="39" fillId="0" borderId="272" xfId="0" applyNumberFormat="1" applyFont="1" applyFill="1" applyBorder="1" applyAlignment="1">
      <alignment horizontal="center" vertical="center" shrinkToFit="1"/>
    </xf>
    <xf numFmtId="0" fontId="63" fillId="19" borderId="0" xfId="7" applyFont="1" applyFill="1">
      <alignment vertical="center"/>
    </xf>
    <xf numFmtId="0" fontId="63" fillId="17" borderId="0" xfId="7" applyFont="1" applyFill="1">
      <alignment vertical="center"/>
    </xf>
    <xf numFmtId="0" fontId="63" fillId="16" borderId="0" xfId="7" applyFont="1" applyFill="1">
      <alignment vertical="center"/>
    </xf>
    <xf numFmtId="0" fontId="63" fillId="15" borderId="0" xfId="7" applyFont="1" applyFill="1">
      <alignment vertical="center"/>
    </xf>
    <xf numFmtId="0" fontId="63" fillId="19" borderId="0" xfId="7" applyFont="1" applyFill="1" applyAlignment="1">
      <alignment vertical="center"/>
    </xf>
    <xf numFmtId="0" fontId="64" fillId="22" borderId="11" xfId="7" applyFont="1" applyFill="1" applyBorder="1">
      <alignment vertical="center"/>
    </xf>
    <xf numFmtId="0" fontId="64" fillId="22" borderId="11" xfId="0" applyFont="1" applyFill="1" applyBorder="1" applyAlignment="1">
      <alignment horizontal="left" vertical="center"/>
    </xf>
    <xf numFmtId="0" fontId="66" fillId="22" borderId="11" xfId="0" applyFont="1" applyFill="1" applyBorder="1" applyAlignment="1">
      <alignment vertical="center"/>
    </xf>
    <xf numFmtId="0" fontId="66" fillId="22" borderId="11" xfId="7" applyFont="1" applyFill="1" applyBorder="1">
      <alignment vertical="center"/>
    </xf>
    <xf numFmtId="0" fontId="66" fillId="22" borderId="12" xfId="7" applyFont="1" applyFill="1" applyBorder="1">
      <alignment vertical="center"/>
    </xf>
    <xf numFmtId="0" fontId="66" fillId="22" borderId="0" xfId="7" applyFont="1" applyFill="1" applyBorder="1">
      <alignment vertical="center"/>
    </xf>
    <xf numFmtId="49" fontId="63" fillId="17" borderId="0" xfId="0" applyNumberFormat="1" applyFont="1" applyFill="1" applyAlignment="1">
      <alignment vertical="center"/>
    </xf>
    <xf numFmtId="0" fontId="63" fillId="17" borderId="0" xfId="0" applyFont="1" applyFill="1" applyAlignment="1">
      <alignment vertical="center"/>
    </xf>
    <xf numFmtId="49" fontId="63" fillId="17" borderId="0" xfId="7" applyNumberFormat="1" applyFont="1" applyFill="1">
      <alignment vertical="center"/>
    </xf>
    <xf numFmtId="0" fontId="63" fillId="17" borderId="273" xfId="7" applyFont="1" applyFill="1" applyBorder="1">
      <alignment vertical="center"/>
    </xf>
    <xf numFmtId="0" fontId="58" fillId="17" borderId="274" xfId="0" applyFont="1" applyFill="1" applyBorder="1"/>
    <xf numFmtId="0" fontId="63" fillId="17" borderId="274" xfId="7" applyFont="1" applyFill="1" applyBorder="1">
      <alignment vertical="center"/>
    </xf>
    <xf numFmtId="0" fontId="63" fillId="17" borderId="275" xfId="7" applyFont="1" applyFill="1" applyBorder="1">
      <alignment vertical="center"/>
    </xf>
    <xf numFmtId="0" fontId="63" fillId="17" borderId="274" xfId="7" applyFont="1" applyFill="1" applyBorder="1" applyAlignment="1">
      <alignment horizontal="left" vertical="center"/>
    </xf>
    <xf numFmtId="0" fontId="60" fillId="23" borderId="274" xfId="0" applyFont="1" applyFill="1" applyBorder="1" applyAlignment="1">
      <alignment horizontal="left"/>
    </xf>
    <xf numFmtId="0" fontId="59" fillId="17" borderId="274" xfId="0" applyFont="1" applyFill="1" applyBorder="1" applyAlignment="1">
      <alignment horizontal="left"/>
    </xf>
    <xf numFmtId="0" fontId="59" fillId="23" borderId="274" xfId="0" applyFont="1" applyFill="1" applyBorder="1" applyAlignment="1">
      <alignment horizontal="left" shrinkToFit="1"/>
    </xf>
    <xf numFmtId="0" fontId="59" fillId="23" borderId="274" xfId="0" quotePrefix="1" applyFont="1" applyFill="1" applyBorder="1" applyAlignment="1">
      <alignment horizontal="left" shrinkToFit="1"/>
    </xf>
    <xf numFmtId="0" fontId="59" fillId="23" borderId="274" xfId="0" quotePrefix="1" applyFont="1" applyFill="1" applyBorder="1" applyAlignment="1">
      <alignment horizontal="left"/>
    </xf>
    <xf numFmtId="0" fontId="59" fillId="0" borderId="274" xfId="0" applyFont="1" applyFill="1" applyBorder="1" applyAlignment="1">
      <alignment horizontal="left"/>
    </xf>
    <xf numFmtId="0" fontId="63" fillId="17" borderId="276" xfId="7" applyFont="1" applyFill="1" applyBorder="1">
      <alignment vertical="center"/>
    </xf>
    <xf numFmtId="0" fontId="63" fillId="17" borderId="277" xfId="7" applyFont="1" applyFill="1" applyBorder="1">
      <alignment vertical="center"/>
    </xf>
    <xf numFmtId="0" fontId="63" fillId="17" borderId="278" xfId="7" applyFont="1" applyFill="1" applyBorder="1">
      <alignment vertical="center"/>
    </xf>
    <xf numFmtId="0" fontId="63" fillId="17" borderId="279" xfId="7" applyFont="1" applyFill="1" applyBorder="1">
      <alignment vertical="center"/>
    </xf>
    <xf numFmtId="0" fontId="0" fillId="0" borderId="271" xfId="0" applyBorder="1" applyAlignment="1">
      <alignment vertical="center" shrinkToFit="1"/>
    </xf>
    <xf numFmtId="0" fontId="7" fillId="0" borderId="271" xfId="0" applyFont="1" applyBorder="1" applyAlignment="1" applyProtection="1">
      <alignment vertical="center"/>
      <protection locked="0"/>
    </xf>
    <xf numFmtId="0" fontId="7" fillId="0" borderId="280" xfId="0" applyFont="1" applyBorder="1" applyAlignment="1" applyProtection="1">
      <alignment vertical="center" textRotation="255"/>
      <protection locked="0"/>
    </xf>
    <xf numFmtId="0" fontId="31" fillId="0" borderId="280" xfId="0" applyFont="1" applyBorder="1" applyAlignment="1" applyProtection="1">
      <alignment horizontal="center" vertical="center" wrapText="1"/>
      <protection locked="0"/>
    </xf>
    <xf numFmtId="0" fontId="7" fillId="0" borderId="281" xfId="0" applyFont="1" applyBorder="1" applyAlignment="1" applyProtection="1">
      <alignment vertical="center"/>
      <protection locked="0"/>
    </xf>
    <xf numFmtId="0" fontId="0" fillId="0" borderId="281" xfId="0" applyBorder="1" applyAlignment="1">
      <alignment vertical="center" shrinkToFit="1"/>
    </xf>
    <xf numFmtId="0" fontId="17" fillId="0" borderId="282" xfId="0" applyFont="1" applyBorder="1" applyAlignment="1" applyProtection="1">
      <alignment vertical="center"/>
      <protection locked="0"/>
    </xf>
    <xf numFmtId="0" fontId="0" fillId="0" borderId="0" xfId="0" applyFill="1" applyBorder="1" applyAlignment="1"/>
    <xf numFmtId="0" fontId="8" fillId="0" borderId="0" xfId="0" applyFont="1" applyFill="1" applyBorder="1" applyAlignment="1">
      <alignment vertical="center" shrinkToFit="1"/>
    </xf>
    <xf numFmtId="0" fontId="46" fillId="0" borderId="207" xfId="0" applyFont="1" applyFill="1" applyBorder="1" applyAlignment="1">
      <alignment horizontal="right"/>
    </xf>
    <xf numFmtId="0" fontId="46" fillId="0" borderId="0" xfId="0" applyFont="1" applyFill="1" applyBorder="1" applyAlignment="1">
      <alignment horizontal="right"/>
    </xf>
    <xf numFmtId="0" fontId="45" fillId="0" borderId="206" xfId="0" applyFont="1" applyFill="1" applyBorder="1" applyAlignment="1">
      <alignment horizontal="left" vertical="center" shrinkToFit="1"/>
    </xf>
    <xf numFmtId="0" fontId="45" fillId="0" borderId="210" xfId="0" applyFont="1" applyFill="1" applyBorder="1" applyAlignment="1">
      <alignment horizontal="left" vertical="center" shrinkToFit="1"/>
    </xf>
    <xf numFmtId="0" fontId="27" fillId="0" borderId="147" xfId="0" applyFont="1" applyFill="1" applyBorder="1" applyAlignment="1">
      <alignment horizontal="center" vertical="center" shrinkToFit="1"/>
    </xf>
    <xf numFmtId="0" fontId="27" fillId="0" borderId="212" xfId="0" applyFont="1" applyFill="1" applyBorder="1" applyAlignment="1">
      <alignment horizontal="center" vertical="center" textRotation="255"/>
    </xf>
    <xf numFmtId="0" fontId="27" fillId="0" borderId="121" xfId="0" applyFont="1" applyFill="1" applyBorder="1" applyAlignment="1">
      <alignment horizontal="center" vertical="center" textRotation="255"/>
    </xf>
    <xf numFmtId="0" fontId="27" fillId="0" borderId="95" xfId="0" applyFont="1" applyFill="1" applyBorder="1" applyAlignment="1">
      <alignment horizontal="center" vertical="center" textRotation="255"/>
    </xf>
    <xf numFmtId="0" fontId="27" fillId="0" borderId="120" xfId="0" applyFont="1" applyFill="1" applyBorder="1" applyAlignment="1">
      <alignment horizontal="center" vertical="center" textRotation="255"/>
    </xf>
    <xf numFmtId="0" fontId="8" fillId="0" borderId="147" xfId="0" applyFont="1" applyFill="1" applyBorder="1" applyAlignment="1">
      <alignment horizontal="center"/>
    </xf>
    <xf numFmtId="0" fontId="8" fillId="0" borderId="235" xfId="0" applyFont="1" applyFill="1" applyBorder="1" applyAlignment="1">
      <alignment horizontal="center"/>
    </xf>
    <xf numFmtId="0" fontId="20" fillId="0" borderId="212" xfId="0" applyFont="1" applyBorder="1" applyAlignment="1">
      <alignment vertical="center" textRotation="255"/>
    </xf>
    <xf numFmtId="0" fontId="20" fillId="0" borderId="253" xfId="0" applyFont="1" applyBorder="1" applyAlignment="1">
      <alignment vertical="center" textRotation="255"/>
    </xf>
    <xf numFmtId="0" fontId="20" fillId="0" borderId="89" xfId="0" applyFont="1" applyFill="1" applyBorder="1" applyAlignment="1">
      <alignment horizontal="center" vertical="center" wrapText="1"/>
    </xf>
    <xf numFmtId="0" fontId="8" fillId="0" borderId="255" xfId="0" applyFont="1" applyFill="1" applyBorder="1" applyAlignment="1">
      <alignment horizontal="center" shrinkToFit="1"/>
    </xf>
    <xf numFmtId="0" fontId="8" fillId="0" borderId="147" xfId="0" applyFont="1" applyFill="1" applyBorder="1" applyAlignment="1">
      <alignment horizontal="center" shrinkToFit="1"/>
    </xf>
    <xf numFmtId="0" fontId="8" fillId="0" borderId="235" xfId="0" applyFont="1" applyFill="1" applyBorder="1" applyAlignment="1">
      <alignment horizontal="center" shrinkToFit="1"/>
    </xf>
    <xf numFmtId="0" fontId="8" fillId="0" borderId="212" xfId="0" applyFont="1" applyFill="1" applyBorder="1" applyAlignment="1">
      <alignment horizontal="center" vertical="center" wrapText="1"/>
    </xf>
    <xf numFmtId="0" fontId="8" fillId="0" borderId="89" xfId="0" applyFont="1" applyFill="1" applyBorder="1" applyAlignment="1">
      <alignment horizontal="center" vertical="center" wrapText="1"/>
    </xf>
    <xf numFmtId="0" fontId="8" fillId="0" borderId="256" xfId="0" applyFont="1" applyFill="1" applyBorder="1" applyAlignment="1">
      <alignment horizontal="center" shrinkToFit="1"/>
    </xf>
    <xf numFmtId="0" fontId="8" fillId="0" borderId="205" xfId="0" applyFont="1" applyFill="1" applyBorder="1" applyAlignment="1">
      <alignment horizontal="center" wrapText="1"/>
    </xf>
    <xf numFmtId="0" fontId="8" fillId="0" borderId="206" xfId="0" applyFont="1" applyFill="1" applyBorder="1" applyAlignment="1">
      <alignment horizontal="center" wrapText="1"/>
    </xf>
    <xf numFmtId="0" fontId="8" fillId="0" borderId="210" xfId="0" applyFont="1" applyFill="1" applyBorder="1" applyAlignment="1">
      <alignment horizontal="center" wrapText="1"/>
    </xf>
    <xf numFmtId="0" fontId="8" fillId="0" borderId="252" xfId="0" applyFont="1" applyFill="1" applyBorder="1" applyAlignment="1">
      <alignment horizontal="center" wrapText="1"/>
    </xf>
    <xf numFmtId="0" fontId="8" fillId="0" borderId="234" xfId="0" applyFont="1" applyFill="1" applyBorder="1" applyAlignment="1">
      <alignment horizontal="center" wrapText="1"/>
    </xf>
    <xf numFmtId="0" fontId="8" fillId="0" borderId="254" xfId="0" applyFont="1" applyFill="1" applyBorder="1" applyAlignment="1">
      <alignment horizontal="center" wrapText="1"/>
    </xf>
    <xf numFmtId="38" fontId="13" fillId="0" borderId="83" xfId="0" applyNumberFormat="1" applyFont="1" applyFill="1" applyBorder="1" applyAlignment="1">
      <alignment horizontal="left"/>
    </xf>
    <xf numFmtId="38" fontId="13" fillId="0" borderId="214" xfId="0" applyNumberFormat="1" applyFont="1" applyFill="1" applyBorder="1" applyAlignment="1">
      <alignment horizontal="left"/>
    </xf>
    <xf numFmtId="0" fontId="39" fillId="0" borderId="252" xfId="0" applyFont="1" applyFill="1" applyBorder="1" applyAlignment="1">
      <alignment horizontal="left"/>
    </xf>
    <xf numFmtId="0" fontId="39" fillId="0" borderId="234" xfId="0" applyFont="1" applyFill="1" applyBorder="1" applyAlignment="1">
      <alignment horizontal="left"/>
    </xf>
    <xf numFmtId="0" fontId="39" fillId="0" borderId="254" xfId="0" applyFont="1" applyFill="1" applyBorder="1" applyAlignment="1">
      <alignment horizontal="left"/>
    </xf>
    <xf numFmtId="38" fontId="13" fillId="0" borderId="86" xfId="0" applyNumberFormat="1" applyFont="1" applyFill="1" applyBorder="1" applyAlignment="1">
      <alignment horizontal="left"/>
    </xf>
    <xf numFmtId="38" fontId="13" fillId="0" borderId="196" xfId="0" applyNumberFormat="1" applyFont="1" applyFill="1" applyBorder="1" applyAlignment="1">
      <alignment horizontal="left"/>
    </xf>
    <xf numFmtId="0" fontId="8" fillId="0" borderId="255" xfId="0" applyFont="1" applyFill="1" applyBorder="1" applyAlignment="1">
      <alignment horizontal="center"/>
    </xf>
    <xf numFmtId="0" fontId="8" fillId="0" borderId="140" xfId="0" applyFont="1" applyFill="1" applyBorder="1" applyAlignment="1">
      <alignment horizontal="left" vertical="center"/>
    </xf>
    <xf numFmtId="0" fontId="8" fillId="0" borderId="128" xfId="0" applyFont="1" applyFill="1" applyBorder="1" applyAlignment="1">
      <alignment horizontal="left" vertical="center"/>
    </xf>
    <xf numFmtId="0" fontId="8" fillId="0" borderId="207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0" fontId="8" fillId="0" borderId="142" xfId="0" applyFont="1" applyFill="1" applyBorder="1" applyAlignment="1">
      <alignment horizontal="center" vertical="center" shrinkToFit="1"/>
    </xf>
    <xf numFmtId="192" fontId="8" fillId="0" borderId="0" xfId="0" applyNumberFormat="1" applyFont="1" applyFill="1" applyBorder="1" applyAlignment="1">
      <alignment horizontal="center"/>
    </xf>
    <xf numFmtId="2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191" fontId="8" fillId="0" borderId="0" xfId="0" applyNumberFormat="1" applyFont="1" applyFill="1" applyBorder="1" applyAlignment="1" applyProtection="1">
      <alignment horizontal="center" vertical="center"/>
    </xf>
    <xf numFmtId="0" fontId="8" fillId="0" borderId="273" xfId="0" applyFont="1" applyFill="1" applyBorder="1" applyAlignment="1"/>
    <xf numFmtId="38" fontId="13" fillId="0" borderId="162" xfId="0" applyNumberFormat="1" applyFont="1" applyFill="1" applyBorder="1" applyAlignment="1">
      <alignment horizontal="center" shrinkToFit="1"/>
    </xf>
    <xf numFmtId="38" fontId="13" fillId="0" borderId="52" xfId="0" applyNumberFormat="1" applyFont="1" applyFill="1" applyBorder="1" applyAlignment="1">
      <alignment horizontal="right" shrinkToFit="1"/>
    </xf>
    <xf numFmtId="0" fontId="8" fillId="0" borderId="207" xfId="0" applyFont="1" applyBorder="1" applyAlignment="1">
      <alignment vertical="center"/>
    </xf>
    <xf numFmtId="0" fontId="44" fillId="0" borderId="207" xfId="0" applyFont="1" applyFill="1" applyBorder="1" applyAlignment="1">
      <alignment horizontal="left" vertical="center"/>
    </xf>
    <xf numFmtId="38" fontId="13" fillId="0" borderId="207" xfId="0" applyNumberFormat="1" applyFont="1" applyFill="1" applyBorder="1" applyAlignment="1">
      <alignment horizontal="right" shrinkToFit="1"/>
    </xf>
    <xf numFmtId="177" fontId="27" fillId="0" borderId="207" xfId="0" applyNumberFormat="1" applyFont="1" applyFill="1" applyBorder="1" applyAlignment="1">
      <alignment horizontal="right" vertical="center" shrinkToFit="1"/>
    </xf>
    <xf numFmtId="0" fontId="8" fillId="0" borderId="207" xfId="0" applyFont="1" applyFill="1" applyBorder="1" applyAlignment="1">
      <alignment vertical="center"/>
    </xf>
    <xf numFmtId="0" fontId="13" fillId="0" borderId="266" xfId="0" applyFont="1" applyFill="1" applyBorder="1" applyAlignment="1">
      <alignment horizontal="center" shrinkToFit="1"/>
    </xf>
    <xf numFmtId="38" fontId="13" fillId="0" borderId="93" xfId="0" applyNumberFormat="1" applyFont="1" applyFill="1" applyBorder="1" applyAlignment="1">
      <alignment horizontal="right" shrinkToFit="1"/>
    </xf>
    <xf numFmtId="38" fontId="13" fillId="0" borderId="266" xfId="0" applyNumberFormat="1" applyFont="1" applyFill="1" applyBorder="1" applyAlignment="1">
      <alignment horizontal="right" shrinkToFit="1"/>
    </xf>
    <xf numFmtId="0" fontId="13" fillId="0" borderId="93" xfId="0" applyFont="1" applyFill="1" applyBorder="1" applyAlignment="1">
      <alignment horizontal="center" shrinkToFit="1"/>
    </xf>
    <xf numFmtId="38" fontId="13" fillId="0" borderId="86" xfId="0" applyNumberFormat="1" applyFont="1" applyFill="1" applyBorder="1" applyAlignment="1">
      <alignment horizontal="right" shrinkToFit="1"/>
    </xf>
    <xf numFmtId="38" fontId="13" fillId="0" borderId="83" xfId="0" applyNumberFormat="1" applyFont="1" applyFill="1" applyBorder="1" applyAlignment="1">
      <alignment horizontal="right" shrinkToFit="1"/>
    </xf>
    <xf numFmtId="176" fontId="13" fillId="0" borderId="195" xfId="0" applyNumberFormat="1" applyFont="1" applyFill="1" applyBorder="1" applyAlignment="1">
      <alignment horizontal="right" shrinkToFit="1"/>
    </xf>
    <xf numFmtId="176" fontId="8" fillId="0" borderId="93" xfId="0" applyNumberFormat="1" applyFont="1" applyFill="1" applyBorder="1" applyAlignment="1">
      <alignment shrinkToFit="1"/>
    </xf>
    <xf numFmtId="0" fontId="13" fillId="0" borderId="234" xfId="0" applyFont="1" applyFill="1" applyBorder="1" applyAlignment="1">
      <alignment horizontal="center"/>
    </xf>
    <xf numFmtId="0" fontId="13" fillId="0" borderId="195" xfId="0" applyFont="1" applyFill="1" applyBorder="1" applyAlignment="1">
      <alignment horizontal="right" shrinkToFit="1"/>
    </xf>
    <xf numFmtId="10" fontId="8" fillId="0" borderId="83" xfId="0" applyNumberFormat="1" applyFont="1" applyFill="1" applyBorder="1" applyAlignment="1">
      <alignment horizontal="left" vertical="center" shrinkToFit="1"/>
    </xf>
    <xf numFmtId="38" fontId="8" fillId="0" borderId="96" xfId="0" applyNumberFormat="1" applyFont="1" applyFill="1" applyBorder="1" applyAlignment="1">
      <alignment horizontal="right" shrinkToFit="1"/>
    </xf>
    <xf numFmtId="10" fontId="8" fillId="0" borderId="52" xfId="0" applyNumberFormat="1" applyFont="1" applyFill="1" applyBorder="1" applyAlignment="1">
      <alignment horizontal="left" shrinkToFit="1"/>
    </xf>
    <xf numFmtId="38" fontId="13" fillId="0" borderId="270" xfId="0" applyNumberFormat="1" applyFont="1" applyFill="1" applyBorder="1" applyAlignment="1">
      <alignment horizontal="right" shrinkToFit="1"/>
    </xf>
    <xf numFmtId="38" fontId="13" fillId="0" borderId="171" xfId="0" applyNumberFormat="1" applyFont="1" applyFill="1" applyBorder="1" applyAlignment="1">
      <alignment horizontal="right"/>
    </xf>
    <xf numFmtId="38" fontId="13" fillId="0" borderId="195" xfId="0" applyNumberFormat="1" applyFont="1" applyFill="1" applyBorder="1" applyAlignment="1">
      <alignment horizontal="right"/>
    </xf>
    <xf numFmtId="38" fontId="13" fillId="0" borderId="96" xfId="0" applyNumberFormat="1" applyFont="1" applyFill="1" applyBorder="1" applyAlignment="1">
      <alignment horizontal="right" shrinkToFit="1"/>
    </xf>
    <xf numFmtId="38" fontId="13" fillId="0" borderId="53" xfId="0" applyNumberFormat="1" applyFont="1" applyFill="1" applyBorder="1" applyAlignment="1">
      <alignment horizontal="right" shrinkToFit="1"/>
    </xf>
    <xf numFmtId="38" fontId="8" fillId="0" borderId="52" xfId="0" applyNumberFormat="1" applyFont="1" applyFill="1" applyBorder="1" applyAlignment="1">
      <alignment shrinkToFit="1"/>
    </xf>
    <xf numFmtId="2" fontId="8" fillId="0" borderId="52" xfId="0" applyNumberFormat="1" applyFont="1" applyFill="1" applyBorder="1" applyAlignment="1" applyProtection="1">
      <alignment horizontal="center" vertical="center"/>
    </xf>
    <xf numFmtId="2" fontId="8" fillId="0" borderId="188" xfId="0" applyNumberFormat="1" applyFont="1" applyFill="1" applyBorder="1" applyAlignment="1" applyProtection="1">
      <alignment horizontal="center" vertical="center"/>
    </xf>
    <xf numFmtId="0" fontId="8" fillId="0" borderId="52" xfId="0" applyFont="1" applyFill="1" applyBorder="1" applyAlignment="1" applyProtection="1">
      <alignment horizontal="center" vertical="center"/>
    </xf>
    <xf numFmtId="0" fontId="8" fillId="0" borderId="232" xfId="0" applyFont="1" applyFill="1" applyBorder="1" applyAlignment="1"/>
    <xf numFmtId="0" fontId="46" fillId="0" borderId="120" xfId="0" applyFont="1" applyBorder="1" applyAlignment="1">
      <alignment horizontal="right" vertical="center" wrapText="1" shrinkToFit="1"/>
    </xf>
    <xf numFmtId="0" fontId="8" fillId="0" borderId="96" xfId="0" applyFont="1" applyFill="1" applyBorder="1" applyAlignment="1">
      <alignment horizontal="center"/>
    </xf>
    <xf numFmtId="0" fontId="8" fillId="0" borderId="267" xfId="0" applyFont="1" applyFill="1" applyBorder="1" applyAlignment="1">
      <alignment horizontal="center"/>
    </xf>
    <xf numFmtId="0" fontId="8" fillId="0" borderId="52" xfId="0" applyFont="1" applyFill="1" applyBorder="1" applyAlignment="1">
      <alignment horizontal="right"/>
    </xf>
    <xf numFmtId="0" fontId="8" fillId="0" borderId="195" xfId="0" applyFont="1" applyFill="1" applyBorder="1" applyAlignment="1">
      <alignment horizontal="right"/>
    </xf>
    <xf numFmtId="0" fontId="8" fillId="0" borderId="86" xfId="0" applyFont="1" applyFill="1" applyBorder="1" applyAlignment="1">
      <alignment horizontal="right"/>
    </xf>
    <xf numFmtId="0" fontId="8" fillId="0" borderId="83" xfId="0" applyFont="1" applyFill="1" applyBorder="1" applyAlignment="1">
      <alignment horizontal="right"/>
    </xf>
    <xf numFmtId="0" fontId="8" fillId="0" borderId="96" xfId="0" applyFont="1" applyFill="1" applyBorder="1" applyAlignment="1">
      <alignment horizontal="right"/>
    </xf>
    <xf numFmtId="0" fontId="8" fillId="0" borderId="267" xfId="0" applyFont="1" applyFill="1" applyBorder="1" applyAlignment="1">
      <alignment horizontal="right"/>
    </xf>
    <xf numFmtId="0" fontId="8" fillId="0" borderId="266" xfId="0" applyFont="1" applyFill="1" applyBorder="1" applyAlignment="1">
      <alignment horizontal="center"/>
    </xf>
    <xf numFmtId="0" fontId="8" fillId="0" borderId="93" xfId="0" applyFont="1" applyFill="1" applyBorder="1" applyAlignment="1">
      <alignment horizontal="center"/>
    </xf>
    <xf numFmtId="0" fontId="8" fillId="0" borderId="162" xfId="0" applyFont="1" applyFill="1" applyBorder="1" applyAlignment="1">
      <alignment horizontal="right"/>
    </xf>
    <xf numFmtId="0" fontId="13" fillId="0" borderId="121" xfId="0" applyFont="1" applyFill="1" applyBorder="1" applyAlignment="1"/>
    <xf numFmtId="0" fontId="13" fillId="0" borderId="195" xfId="0" applyFont="1" applyFill="1" applyBorder="1" applyAlignment="1">
      <alignment horizontal="center"/>
    </xf>
    <xf numFmtId="0" fontId="46" fillId="0" borderId="95" xfId="0" applyFont="1" applyBorder="1" applyAlignment="1">
      <alignment horizontal="right" vertical="center" wrapText="1"/>
    </xf>
    <xf numFmtId="0" fontId="8" fillId="0" borderId="283" xfId="0" applyFont="1" applyFill="1" applyBorder="1" applyAlignment="1"/>
    <xf numFmtId="0" fontId="15" fillId="17" borderId="205" xfId="0" applyFont="1" applyFill="1" applyBorder="1" applyAlignment="1">
      <alignment horizontal="left"/>
    </xf>
    <xf numFmtId="0" fontId="17" fillId="17" borderId="206" xfId="0" applyFont="1" applyFill="1" applyBorder="1" applyAlignment="1">
      <alignment horizontal="right"/>
    </xf>
    <xf numFmtId="0" fontId="15" fillId="17" borderId="206" xfId="0" applyFont="1" applyFill="1" applyBorder="1" applyAlignment="1">
      <alignment horizontal="left"/>
    </xf>
    <xf numFmtId="0" fontId="15" fillId="17" borderId="15" xfId="0" applyFont="1" applyFill="1" applyBorder="1" applyAlignment="1">
      <alignment horizontal="center"/>
    </xf>
    <xf numFmtId="0" fontId="15" fillId="17" borderId="149" xfId="0" applyFont="1" applyFill="1" applyBorder="1" applyAlignment="1">
      <alignment horizontal="center"/>
    </xf>
    <xf numFmtId="49" fontId="7" fillId="17" borderId="283" xfId="0" applyNumberFormat="1" applyFont="1" applyFill="1" applyBorder="1" applyAlignment="1">
      <alignment horizontal="right"/>
    </xf>
    <xf numFmtId="0" fontId="7" fillId="17" borderId="140" xfId="0" applyFont="1" applyFill="1" applyBorder="1" applyAlignment="1">
      <alignment horizontal="left" shrinkToFit="1"/>
    </xf>
    <xf numFmtId="49" fontId="7" fillId="17" borderId="283" xfId="0" applyNumberFormat="1" applyFont="1" applyFill="1" applyBorder="1" applyAlignment="1">
      <alignment horizontal="right" vertical="center"/>
    </xf>
    <xf numFmtId="0" fontId="7" fillId="17" borderId="140" xfId="0" applyFont="1" applyFill="1" applyBorder="1" applyAlignment="1">
      <alignment horizontal="left" vertical="center" shrinkToFit="1"/>
    </xf>
    <xf numFmtId="0" fontId="7" fillId="17" borderId="283" xfId="0" applyFont="1" applyFill="1" applyBorder="1" applyAlignment="1"/>
    <xf numFmtId="0" fontId="7" fillId="0" borderId="207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left"/>
    </xf>
    <xf numFmtId="38" fontId="7" fillId="0" borderId="195" xfId="0" applyNumberFormat="1" applyFont="1" applyFill="1" applyBorder="1" applyAlignment="1">
      <alignment horizontal="right" shrinkToFit="1"/>
    </xf>
    <xf numFmtId="38" fontId="57" fillId="0" borderId="195" xfId="0" applyNumberFormat="1" applyFont="1" applyFill="1" applyBorder="1" applyAlignment="1">
      <alignment horizontal="right" shrinkToFit="1"/>
    </xf>
    <xf numFmtId="38" fontId="40" fillId="0" borderId="225" xfId="0" applyNumberFormat="1" applyFont="1" applyFill="1" applyBorder="1" applyAlignment="1">
      <alignment horizontal="right" shrinkToFit="1"/>
    </xf>
    <xf numFmtId="38" fontId="7" fillId="17" borderId="0" xfId="1" applyFont="1" applyFill="1" applyBorder="1" applyAlignment="1">
      <alignment shrinkToFit="1"/>
    </xf>
    <xf numFmtId="38" fontId="8" fillId="0" borderId="195" xfId="0" applyNumberFormat="1" applyFont="1" applyFill="1" applyBorder="1" applyAlignment="1">
      <alignment horizontal="right"/>
    </xf>
    <xf numFmtId="0" fontId="8" fillId="0" borderId="195" xfId="0" applyFont="1" applyFill="1" applyBorder="1" applyAlignment="1"/>
    <xf numFmtId="38" fontId="13" fillId="0" borderId="95" xfId="0" applyNumberFormat="1" applyFont="1" applyFill="1" applyBorder="1" applyAlignment="1">
      <alignment horizontal="right"/>
    </xf>
    <xf numFmtId="38" fontId="13" fillId="0" borderId="269" xfId="0" applyNumberFormat="1" applyFont="1" applyFill="1" applyBorder="1" applyAlignment="1">
      <alignment horizontal="right" shrinkToFit="1"/>
    </xf>
    <xf numFmtId="0" fontId="38" fillId="0" borderId="0" xfId="0" applyFont="1" applyBorder="1" applyAlignment="1" applyProtection="1">
      <alignment horizontal="center" vertical="center"/>
    </xf>
    <xf numFmtId="0" fontId="0" fillId="0" borderId="0" xfId="0" applyAlignment="1"/>
    <xf numFmtId="178" fontId="71" fillId="0" borderId="0" xfId="0" applyNumberFormat="1" applyFont="1" applyBorder="1" applyAlignment="1">
      <alignment vertical="center" shrinkToFit="1"/>
    </xf>
    <xf numFmtId="0" fontId="70" fillId="0" borderId="0" xfId="0" applyFont="1" applyBorder="1" applyAlignment="1" applyProtection="1">
      <alignment horizontal="right" vertical="center"/>
    </xf>
    <xf numFmtId="0" fontId="72" fillId="0" borderId="0" xfId="0" applyFont="1" applyAlignment="1">
      <alignment vertical="center"/>
    </xf>
    <xf numFmtId="0" fontId="70" fillId="0" borderId="0" xfId="0" applyFont="1" applyBorder="1" applyAlignment="1" applyProtection="1">
      <alignment vertical="center"/>
    </xf>
    <xf numFmtId="188" fontId="57" fillId="24" borderId="272" xfId="0" applyNumberFormat="1" applyFont="1" applyFill="1" applyBorder="1" applyAlignment="1">
      <alignment vertical="center" shrinkToFit="1"/>
    </xf>
    <xf numFmtId="190" fontId="39" fillId="24" borderId="272" xfId="0" applyNumberFormat="1" applyFont="1" applyFill="1" applyBorder="1" applyAlignment="1">
      <alignment horizontal="center" vertical="center" shrinkToFit="1"/>
    </xf>
    <xf numFmtId="0" fontId="57" fillId="0" borderId="0" xfId="0" applyFont="1" applyAlignment="1">
      <alignment vertical="center"/>
    </xf>
    <xf numFmtId="0" fontId="7" fillId="0" borderId="0" xfId="0" applyFont="1" applyFill="1" applyAlignment="1" applyProtection="1">
      <alignment vertical="center"/>
      <protection locked="0"/>
    </xf>
    <xf numFmtId="177" fontId="17" fillId="0" borderId="73" xfId="0" applyNumberFormat="1" applyFont="1" applyFill="1" applyBorder="1" applyAlignment="1" applyProtection="1">
      <alignment vertical="center" shrinkToFit="1"/>
      <protection locked="0"/>
    </xf>
    <xf numFmtId="0" fontId="7" fillId="0" borderId="204" xfId="0" applyFont="1" applyFill="1" applyBorder="1" applyAlignment="1" applyProtection="1">
      <alignment vertical="center"/>
      <protection locked="0"/>
    </xf>
    <xf numFmtId="0" fontId="17" fillId="0" borderId="39" xfId="0" applyFont="1" applyFill="1" applyBorder="1" applyAlignment="1" applyProtection="1">
      <alignment vertical="center"/>
      <protection locked="0"/>
    </xf>
    <xf numFmtId="0" fontId="17" fillId="0" borderId="70" xfId="0" applyFont="1" applyFill="1" applyBorder="1" applyAlignment="1" applyProtection="1">
      <alignment vertical="center"/>
      <protection locked="0"/>
    </xf>
    <xf numFmtId="0" fontId="17" fillId="0" borderId="285" xfId="0" applyFont="1" applyBorder="1" applyAlignment="1" applyProtection="1">
      <alignment vertical="center" shrinkToFit="1"/>
      <protection locked="0"/>
    </xf>
    <xf numFmtId="0" fontId="7" fillId="0" borderId="271" xfId="0" applyFont="1" applyFill="1" applyBorder="1" applyAlignment="1" applyProtection="1">
      <alignment vertical="center"/>
      <protection locked="0"/>
    </xf>
    <xf numFmtId="0" fontId="57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11" xfId="0" applyFont="1" applyFill="1" applyBorder="1" applyAlignment="1" applyProtection="1">
      <alignment vertical="center"/>
      <protection locked="0"/>
    </xf>
    <xf numFmtId="0" fontId="7" fillId="0" borderId="233" xfId="0" applyFont="1" applyFill="1" applyBorder="1" applyAlignment="1">
      <alignment vertical="center"/>
    </xf>
    <xf numFmtId="0" fontId="7" fillId="0" borderId="280" xfId="0" applyFont="1" applyFill="1" applyBorder="1" applyAlignment="1" applyProtection="1">
      <alignment vertical="center" textRotation="255"/>
      <protection locked="0"/>
    </xf>
    <xf numFmtId="0" fontId="7" fillId="0" borderId="281" xfId="0" applyFont="1" applyFill="1" applyBorder="1" applyAlignment="1" applyProtection="1">
      <alignment vertical="center"/>
      <protection locked="0"/>
    </xf>
    <xf numFmtId="0" fontId="43" fillId="0" borderId="0" xfId="0" applyFont="1" applyFill="1" applyBorder="1" applyAlignment="1">
      <alignment horizontal="left" vertical="center" shrinkToFit="1"/>
    </xf>
    <xf numFmtId="0" fontId="13" fillId="17" borderId="0" xfId="0" applyFont="1" applyFill="1" applyBorder="1" applyAlignment="1">
      <alignment horizontal="center"/>
    </xf>
    <xf numFmtId="0" fontId="12" fillId="17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 vertical="center"/>
    </xf>
    <xf numFmtId="38" fontId="8" fillId="0" borderId="95" xfId="0" applyNumberFormat="1" applyFont="1" applyFill="1" applyBorder="1" applyAlignment="1">
      <alignment horizontal="center" vertical="center" shrinkToFit="1"/>
    </xf>
    <xf numFmtId="38" fontId="8" fillId="0" borderId="89" xfId="0" applyNumberFormat="1" applyFont="1" applyFill="1" applyBorder="1" applyAlignment="1">
      <alignment horizontal="center" vertical="center" shrinkToFit="1"/>
    </xf>
    <xf numFmtId="38" fontId="8" fillId="25" borderId="95" xfId="0" applyNumberFormat="1" applyFont="1" applyFill="1" applyBorder="1" applyAlignment="1">
      <alignment horizontal="center" vertical="center" shrinkToFit="1"/>
    </xf>
    <xf numFmtId="38" fontId="8" fillId="25" borderId="89" xfId="0" applyNumberFormat="1" applyFont="1" applyFill="1" applyBorder="1" applyAlignment="1">
      <alignment horizontal="center" vertical="center" shrinkToFit="1"/>
    </xf>
    <xf numFmtId="38" fontId="8" fillId="25" borderId="96" xfId="0" applyNumberFormat="1" applyFont="1" applyFill="1" applyBorder="1" applyAlignment="1">
      <alignment horizontal="center" vertical="center" shrinkToFit="1"/>
    </xf>
    <xf numFmtId="189" fontId="8" fillId="25" borderId="95" xfId="0" applyNumberFormat="1" applyFont="1" applyFill="1" applyBorder="1" applyAlignment="1">
      <alignment horizontal="center" shrinkToFit="1"/>
    </xf>
    <xf numFmtId="177" fontId="20" fillId="0" borderId="82" xfId="0" applyNumberFormat="1" applyFont="1" applyFill="1" applyBorder="1" applyAlignment="1">
      <alignment horizontal="center" vertical="center" shrinkToFit="1"/>
    </xf>
    <xf numFmtId="177" fontId="20" fillId="0" borderId="239" xfId="0" applyNumberFormat="1" applyFont="1" applyFill="1" applyBorder="1" applyAlignment="1">
      <alignment horizontal="right" vertical="center" shrinkToFit="1"/>
    </xf>
    <xf numFmtId="0" fontId="27" fillId="0" borderId="207" xfId="0" applyFont="1" applyFill="1" applyBorder="1" applyAlignment="1">
      <alignment horizontal="left" vertical="center"/>
    </xf>
    <xf numFmtId="0" fontId="27" fillId="0" borderId="237" xfId="0" applyFont="1" applyFill="1" applyBorder="1" applyAlignment="1">
      <alignment horizontal="left" vertical="center"/>
    </xf>
    <xf numFmtId="0" fontId="27" fillId="0" borderId="238" xfId="0" applyFont="1" applyFill="1" applyBorder="1" applyAlignment="1">
      <alignment horizontal="left" vertical="center"/>
    </xf>
    <xf numFmtId="0" fontId="8" fillId="0" borderId="162" xfId="0" applyFont="1" applyFill="1" applyBorder="1" applyAlignment="1">
      <alignment horizontal="center" shrinkToFit="1"/>
    </xf>
    <xf numFmtId="0" fontId="8" fillId="0" borderId="120" xfId="0" applyFont="1" applyFill="1" applyBorder="1" applyAlignment="1">
      <alignment horizontal="center" shrinkToFit="1"/>
    </xf>
    <xf numFmtId="0" fontId="13" fillId="0" borderId="96" xfId="0" applyFont="1" applyFill="1" applyBorder="1" applyAlignment="1">
      <alignment horizontal="center" shrinkToFit="1"/>
    </xf>
    <xf numFmtId="38" fontId="8" fillId="0" borderId="23" xfId="0" applyNumberFormat="1" applyFont="1" applyFill="1" applyBorder="1" applyAlignment="1">
      <alignment horizontal="center" shrinkToFit="1"/>
    </xf>
    <xf numFmtId="0" fontId="46" fillId="0" borderId="121" xfId="0" applyFont="1" applyFill="1" applyBorder="1" applyAlignment="1">
      <alignment horizontal="right" vertical="center" wrapText="1" shrinkToFit="1"/>
    </xf>
    <xf numFmtId="0" fontId="46" fillId="0" borderId="120" xfId="0" applyFont="1" applyFill="1" applyBorder="1" applyAlignment="1">
      <alignment horizontal="right" vertical="center" wrapText="1" shrinkToFit="1"/>
    </xf>
    <xf numFmtId="0" fontId="46" fillId="0" borderId="140" xfId="0" applyFont="1" applyFill="1" applyBorder="1" applyAlignment="1">
      <alignment horizontal="right" vertical="center" wrapText="1" shrinkToFit="1"/>
    </xf>
    <xf numFmtId="0" fontId="46" fillId="0" borderId="209" xfId="0" applyFont="1" applyFill="1" applyBorder="1" applyAlignment="1">
      <alignment horizontal="right" vertical="center" wrapText="1" shrinkToFit="1"/>
    </xf>
    <xf numFmtId="0" fontId="74" fillId="0" borderId="0" xfId="0" applyFont="1" applyFill="1" applyBorder="1" applyAlignment="1">
      <alignment horizontal="left" vertical="center"/>
    </xf>
    <xf numFmtId="0" fontId="8" fillId="0" borderId="234" xfId="0" applyFont="1" applyBorder="1" applyAlignment="1">
      <alignment vertical="center"/>
    </xf>
    <xf numFmtId="0" fontId="8" fillId="0" borderId="0" xfId="0" applyFont="1" applyFill="1" applyBorder="1" applyAlignment="1">
      <alignment horizontal="right" shrinkToFit="1"/>
    </xf>
    <xf numFmtId="0" fontId="74" fillId="0" borderId="0" xfId="0" applyFont="1" applyFill="1" applyBorder="1" applyAlignment="1">
      <alignment horizontal="right"/>
    </xf>
    <xf numFmtId="0" fontId="39" fillId="0" borderId="0" xfId="0" applyFont="1" applyFill="1" applyBorder="1" applyAlignment="1">
      <alignment horizontal="distributed"/>
    </xf>
    <xf numFmtId="0" fontId="47" fillId="0" borderId="0" xfId="0" applyFont="1" applyBorder="1" applyAlignment="1">
      <alignment vertical="center"/>
    </xf>
    <xf numFmtId="38" fontId="7" fillId="24" borderId="31" xfId="0" applyNumberFormat="1" applyFont="1" applyFill="1" applyBorder="1" applyAlignment="1">
      <alignment horizontal="right" shrinkToFit="1"/>
    </xf>
    <xf numFmtId="38" fontId="7" fillId="24" borderId="122" xfId="0" applyNumberFormat="1" applyFont="1" applyFill="1" applyBorder="1" applyAlignment="1">
      <alignment horizontal="right" shrinkToFit="1"/>
    </xf>
    <xf numFmtId="38" fontId="7" fillId="0" borderId="197" xfId="1" applyFont="1" applyFill="1" applyBorder="1" applyAlignment="1">
      <alignment horizontal="right"/>
    </xf>
    <xf numFmtId="38" fontId="7" fillId="0" borderId="193" xfId="0" applyNumberFormat="1" applyFont="1" applyFill="1" applyBorder="1" applyAlignment="1">
      <alignment horizontal="right" shrinkToFit="1"/>
    </xf>
    <xf numFmtId="38" fontId="7" fillId="0" borderId="122" xfId="1" applyFont="1" applyFill="1" applyBorder="1" applyAlignment="1">
      <alignment horizontal="right"/>
    </xf>
    <xf numFmtId="38" fontId="7" fillId="0" borderId="284" xfId="1" applyFont="1" applyFill="1" applyBorder="1" applyAlignment="1">
      <alignment horizontal="right"/>
    </xf>
    <xf numFmtId="38" fontId="7" fillId="0" borderId="100" xfId="0" applyNumberFormat="1" applyFont="1" applyFill="1" applyBorder="1" applyAlignment="1">
      <alignment horizontal="right" shrinkToFit="1"/>
    </xf>
    <xf numFmtId="0" fontId="7" fillId="0" borderId="140" xfId="0" applyFont="1" applyFill="1" applyBorder="1" applyAlignment="1">
      <alignment horizontal="center"/>
    </xf>
    <xf numFmtId="0" fontId="7" fillId="0" borderId="14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right"/>
    </xf>
    <xf numFmtId="0" fontId="7" fillId="0" borderId="142" xfId="0" applyFont="1" applyFill="1" applyBorder="1" applyAlignment="1"/>
    <xf numFmtId="0" fontId="7" fillId="0" borderId="140" xfId="0" applyFont="1" applyFill="1" applyBorder="1" applyAlignment="1">
      <alignment horizontal="left" shrinkToFit="1"/>
    </xf>
    <xf numFmtId="0" fontId="68" fillId="0" borderId="0" xfId="0" applyFont="1" applyFill="1" applyBorder="1" applyAlignment="1">
      <alignment horizontal="right" wrapText="1"/>
    </xf>
    <xf numFmtId="49" fontId="7" fillId="0" borderId="283" xfId="0" applyNumberFormat="1" applyFont="1" applyFill="1" applyBorder="1" applyAlignment="1">
      <alignment horizontal="right"/>
    </xf>
    <xf numFmtId="0" fontId="7" fillId="0" borderId="140" xfId="0" applyFont="1" applyFill="1" applyBorder="1" applyAlignment="1">
      <alignment horizontal="center" shrinkToFit="1"/>
    </xf>
    <xf numFmtId="49" fontId="7" fillId="0" borderId="141" xfId="0" applyNumberFormat="1" applyFont="1" applyFill="1" applyBorder="1" applyAlignment="1">
      <alignment horizontal="right"/>
    </xf>
    <xf numFmtId="0" fontId="76" fillId="17" borderId="0" xfId="0" applyFont="1" applyFill="1" applyBorder="1" applyAlignment="1">
      <alignment horizontal="left" vertical="center"/>
    </xf>
    <xf numFmtId="0" fontId="7" fillId="17" borderId="0" xfId="0" applyFont="1" applyFill="1" applyBorder="1" applyAlignment="1">
      <alignment vertical="center"/>
    </xf>
    <xf numFmtId="0" fontId="14" fillId="0" borderId="0" xfId="0" applyFont="1" applyFill="1" applyBorder="1" applyAlignment="1"/>
    <xf numFmtId="0" fontId="14" fillId="0" borderId="0" xfId="0" applyFont="1" applyBorder="1" applyAlignment="1"/>
    <xf numFmtId="38" fontId="7" fillId="0" borderId="0" xfId="0" applyNumberFormat="1" applyFont="1" applyFill="1" applyBorder="1" applyAlignment="1">
      <alignment horizontal="right" shrinkToFit="1"/>
    </xf>
    <xf numFmtId="38" fontId="57" fillId="0" borderId="0" xfId="0" applyNumberFormat="1" applyFont="1" applyFill="1" applyBorder="1" applyAlignment="1">
      <alignment horizontal="right" shrinkToFit="1"/>
    </xf>
    <xf numFmtId="0" fontId="7" fillId="0" borderId="14" xfId="0" applyFont="1" applyFill="1" applyBorder="1" applyAlignment="1">
      <alignment horizontal="right"/>
    </xf>
    <xf numFmtId="0" fontId="7" fillId="0" borderId="15" xfId="0" applyFont="1" applyFill="1" applyBorder="1" applyAlignment="1">
      <alignment horizontal="left"/>
    </xf>
    <xf numFmtId="0" fontId="7" fillId="0" borderId="149" xfId="0" applyFont="1" applyFill="1" applyBorder="1" applyAlignment="1">
      <alignment horizontal="left"/>
    </xf>
    <xf numFmtId="0" fontId="45" fillId="0" borderId="0" xfId="0" applyFont="1" applyFill="1" applyBorder="1" applyAlignment="1">
      <alignment horizontal="center" vertical="center"/>
    </xf>
    <xf numFmtId="0" fontId="75" fillId="0" borderId="207" xfId="4" applyFont="1" applyFill="1" applyBorder="1" applyAlignment="1">
      <alignment wrapText="1"/>
    </xf>
    <xf numFmtId="0" fontId="77" fillId="0" borderId="0" xfId="0" applyFont="1" applyBorder="1" applyAlignment="1">
      <alignment vertical="center"/>
    </xf>
    <xf numFmtId="38" fontId="8" fillId="0" borderId="23" xfId="4" applyNumberFormat="1" applyFont="1" applyFill="1" applyBorder="1" applyAlignment="1">
      <alignment shrinkToFit="1"/>
    </xf>
    <xf numFmtId="38" fontId="7" fillId="0" borderId="220" xfId="0" applyNumberFormat="1" applyFont="1" applyFill="1" applyBorder="1" applyAlignment="1">
      <alignment horizontal="right" shrinkToFit="1"/>
    </xf>
    <xf numFmtId="0" fontId="50" fillId="0" borderId="0" xfId="0" applyFont="1" applyFill="1" applyBorder="1" applyAlignment="1">
      <alignment horizontal="center"/>
    </xf>
    <xf numFmtId="38" fontId="7" fillId="0" borderId="0" xfId="1" applyFont="1" applyFill="1" applyBorder="1" applyAlignment="1"/>
    <xf numFmtId="0" fontId="8" fillId="0" borderId="144" xfId="0" applyFont="1" applyFill="1" applyBorder="1" applyAlignment="1">
      <alignment horizontal="left" vertical="center"/>
    </xf>
    <xf numFmtId="0" fontId="8" fillId="0" borderId="142" xfId="0" applyFont="1" applyFill="1" applyBorder="1" applyAlignment="1">
      <alignment horizontal="left" vertical="center"/>
    </xf>
    <xf numFmtId="0" fontId="8" fillId="0" borderId="126" xfId="0" applyFont="1" applyFill="1" applyBorder="1" applyAlignment="1">
      <alignment horizontal="left" vertical="center"/>
    </xf>
    <xf numFmtId="0" fontId="8" fillId="0" borderId="127" xfId="0" applyFont="1" applyFill="1" applyBorder="1" applyAlignment="1">
      <alignment horizontal="left" vertical="center"/>
    </xf>
    <xf numFmtId="0" fontId="20" fillId="0" borderId="212" xfId="0" applyFont="1" applyFill="1" applyBorder="1" applyAlignment="1">
      <alignment horizontal="center" vertical="center" wrapText="1"/>
    </xf>
    <xf numFmtId="0" fontId="8" fillId="0" borderId="212" xfId="0" applyFont="1" applyFill="1" applyBorder="1" applyAlignment="1">
      <alignment horizontal="center" vertical="center" textRotation="255"/>
    </xf>
    <xf numFmtId="0" fontId="8" fillId="0" borderId="120" xfId="0" applyFont="1" applyFill="1" applyBorder="1" applyAlignment="1">
      <alignment horizontal="center" vertical="center" textRotation="255"/>
    </xf>
    <xf numFmtId="0" fontId="8" fillId="0" borderId="121" xfId="0" applyFont="1" applyFill="1" applyBorder="1" applyAlignment="1">
      <alignment horizontal="center" vertical="center" textRotation="255"/>
    </xf>
    <xf numFmtId="0" fontId="8" fillId="0" borderId="95" xfId="0" applyFont="1" applyFill="1" applyBorder="1" applyAlignment="1">
      <alignment horizontal="center" vertical="center" textRotation="255"/>
    </xf>
    <xf numFmtId="0" fontId="8" fillId="0" borderId="89" xfId="0" applyFont="1" applyFill="1" applyBorder="1" applyAlignment="1">
      <alignment horizontal="center" vertical="center" textRotation="255"/>
    </xf>
    <xf numFmtId="0" fontId="39" fillId="0" borderId="234" xfId="0" applyFont="1" applyFill="1" applyBorder="1" applyAlignment="1">
      <alignment horizontal="left" shrinkToFit="1"/>
    </xf>
    <xf numFmtId="0" fontId="39" fillId="0" borderId="254" xfId="0" applyFont="1" applyFill="1" applyBorder="1" applyAlignment="1">
      <alignment horizontal="left" shrinkToFit="1"/>
    </xf>
    <xf numFmtId="0" fontId="8" fillId="0" borderId="264" xfId="0" applyFont="1" applyFill="1" applyBorder="1" applyAlignment="1">
      <alignment vertical="center" wrapText="1"/>
    </xf>
    <xf numFmtId="0" fontId="8" fillId="0" borderId="232" xfId="0" applyFont="1" applyFill="1" applyBorder="1" applyAlignment="1">
      <alignment vertical="center" wrapText="1"/>
    </xf>
    <xf numFmtId="0" fontId="8" fillId="0" borderId="152" xfId="0" applyFont="1" applyFill="1" applyBorder="1" applyAlignment="1">
      <alignment vertical="center" wrapText="1"/>
    </xf>
    <xf numFmtId="0" fontId="51" fillId="0" borderId="194" xfId="0" applyFont="1" applyFill="1" applyBorder="1" applyAlignment="1">
      <alignment vertical="center" wrapText="1"/>
    </xf>
    <xf numFmtId="0" fontId="51" fillId="0" borderId="209" xfId="0" applyFont="1" applyFill="1" applyBorder="1" applyAlignment="1">
      <alignment vertical="center" wrapText="1"/>
    </xf>
    <xf numFmtId="0" fontId="51" fillId="0" borderId="273" xfId="0" applyFont="1" applyFill="1" applyBorder="1" applyAlignment="1">
      <alignment vertical="center" wrapText="1"/>
    </xf>
    <xf numFmtId="0" fontId="8" fillId="0" borderId="162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8" fillId="0" borderId="126" xfId="0" applyFont="1" applyFill="1" applyBorder="1" applyAlignment="1">
      <alignment horizontal="center" vertical="center"/>
    </xf>
    <xf numFmtId="0" fontId="8" fillId="0" borderId="127" xfId="0" applyFont="1" applyFill="1" applyBorder="1" applyAlignment="1">
      <alignment horizontal="center" vertical="center"/>
    </xf>
    <xf numFmtId="0" fontId="31" fillId="26" borderId="0" xfId="0" applyFont="1" applyFill="1" applyBorder="1" applyAlignment="1">
      <alignment horizontal="right"/>
    </xf>
    <xf numFmtId="0" fontId="13" fillId="26" borderId="0" xfId="0" applyFont="1" applyFill="1" applyBorder="1" applyAlignment="1">
      <alignment horizontal="center"/>
    </xf>
    <xf numFmtId="0" fontId="13" fillId="0" borderId="286" xfId="0" applyFont="1" applyFill="1" applyBorder="1" applyAlignment="1">
      <alignment horizontal="center" vertical="center"/>
    </xf>
    <xf numFmtId="0" fontId="8" fillId="0" borderId="283" xfId="0" applyFont="1" applyFill="1" applyBorder="1" applyAlignment="1">
      <alignment horizontal="distributed"/>
    </xf>
    <xf numFmtId="0" fontId="39" fillId="0" borderId="283" xfId="0" applyFont="1" applyFill="1" applyBorder="1" applyAlignment="1">
      <alignment horizontal="center"/>
    </xf>
    <xf numFmtId="0" fontId="8" fillId="0" borderId="286" xfId="0" applyFont="1" applyFill="1" applyBorder="1" applyAlignment="1">
      <alignment horizontal="left" shrinkToFit="1"/>
    </xf>
    <xf numFmtId="0" fontId="8" fillId="0" borderId="283" xfId="0" applyFont="1" applyFill="1" applyBorder="1" applyAlignment="1">
      <alignment horizontal="left"/>
    </xf>
    <xf numFmtId="0" fontId="8" fillId="0" borderId="286" xfId="0" applyFont="1" applyFill="1" applyBorder="1" applyAlignment="1"/>
    <xf numFmtId="0" fontId="8" fillId="0" borderId="268" xfId="0" applyFont="1" applyFill="1" applyBorder="1" applyAlignment="1"/>
    <xf numFmtId="183" fontId="26" fillId="0" borderId="283" xfId="0" quotePrefix="1" applyNumberFormat="1" applyFont="1" applyBorder="1" applyAlignment="1">
      <alignment vertical="center" shrinkToFit="1"/>
    </xf>
    <xf numFmtId="38" fontId="8" fillId="0" borderId="85" xfId="4" applyNumberFormat="1" applyFont="1" applyFill="1" applyBorder="1" applyAlignment="1">
      <alignment horizontal="right"/>
    </xf>
    <xf numFmtId="0" fontId="8" fillId="26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right" vertical="center"/>
    </xf>
    <xf numFmtId="0" fontId="8" fillId="0" borderId="177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13" fillId="0" borderId="234" xfId="0" applyFont="1" applyFill="1" applyBorder="1" applyAlignment="1">
      <alignment vertical="center"/>
    </xf>
    <xf numFmtId="179" fontId="17" fillId="0" borderId="70" xfId="0" applyNumberFormat="1" applyFont="1" applyFill="1" applyBorder="1" applyAlignment="1" applyProtection="1">
      <alignment vertical="center"/>
      <protection locked="0"/>
    </xf>
    <xf numFmtId="176" fontId="17" fillId="0" borderId="78" xfId="0" applyNumberFormat="1" applyFont="1" applyFill="1" applyBorder="1" applyAlignment="1" applyProtection="1">
      <alignment vertical="center"/>
      <protection locked="0"/>
    </xf>
    <xf numFmtId="189" fontId="8" fillId="25" borderId="0" xfId="0" applyNumberFormat="1" applyFont="1" applyFill="1" applyBorder="1" applyAlignment="1">
      <alignment horizontal="left" shrinkToFit="1"/>
    </xf>
    <xf numFmtId="189" fontId="8" fillId="0" borderId="0" xfId="0" applyNumberFormat="1" applyFont="1" applyFill="1" applyBorder="1" applyAlignment="1">
      <alignment horizontal="left" shrinkToFit="1"/>
    </xf>
    <xf numFmtId="177" fontId="27" fillId="0" borderId="0" xfId="0" applyNumberFormat="1" applyFont="1" applyFill="1" applyBorder="1" applyAlignment="1">
      <alignment horizontal="left" vertical="center" shrinkToFit="1"/>
    </xf>
    <xf numFmtId="0" fontId="8" fillId="0" borderId="126" xfId="0" applyFont="1" applyFill="1" applyBorder="1" applyAlignment="1">
      <alignment horizontal="center" vertical="center"/>
    </xf>
    <xf numFmtId="0" fontId="8" fillId="0" borderId="127" xfId="0" applyFont="1" applyFill="1" applyBorder="1" applyAlignment="1">
      <alignment horizontal="center" vertical="center"/>
    </xf>
    <xf numFmtId="0" fontId="8" fillId="0" borderId="264" xfId="0" applyFont="1" applyFill="1" applyBorder="1" applyAlignment="1">
      <alignment vertical="center" wrapText="1"/>
    </xf>
    <xf numFmtId="0" fontId="8" fillId="0" borderId="232" xfId="0" applyFont="1" applyFill="1" applyBorder="1" applyAlignment="1">
      <alignment vertical="center" wrapText="1"/>
    </xf>
    <xf numFmtId="0" fontId="8" fillId="0" borderId="152" xfId="0" applyFont="1" applyFill="1" applyBorder="1" applyAlignment="1">
      <alignment vertical="center" wrapText="1"/>
    </xf>
    <xf numFmtId="0" fontId="8" fillId="0" borderId="162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8" fillId="0" borderId="120" xfId="0" applyFont="1" applyFill="1" applyBorder="1" applyAlignment="1">
      <alignment horizontal="center" vertical="center" textRotation="255"/>
    </xf>
    <xf numFmtId="0" fontId="8" fillId="0" borderId="95" xfId="0" applyFont="1" applyFill="1" applyBorder="1" applyAlignment="1">
      <alignment horizontal="center" vertical="center" textRotation="255"/>
    </xf>
    <xf numFmtId="0" fontId="8" fillId="0" borderId="121" xfId="0" applyFont="1" applyFill="1" applyBorder="1" applyAlignment="1">
      <alignment horizontal="center" vertical="center" textRotation="255"/>
    </xf>
    <xf numFmtId="0" fontId="51" fillId="0" borderId="194" xfId="0" applyFont="1" applyFill="1" applyBorder="1" applyAlignment="1">
      <alignment vertical="center" wrapText="1"/>
    </xf>
    <xf numFmtId="0" fontId="51" fillId="0" borderId="209" xfId="0" applyFont="1" applyFill="1" applyBorder="1" applyAlignment="1">
      <alignment vertical="center" wrapText="1"/>
    </xf>
    <xf numFmtId="0" fontId="51" fillId="0" borderId="273" xfId="0" applyFont="1" applyFill="1" applyBorder="1" applyAlignment="1">
      <alignment vertical="center" wrapText="1"/>
    </xf>
    <xf numFmtId="0" fontId="8" fillId="0" borderId="144" xfId="0" applyFont="1" applyFill="1" applyBorder="1" applyAlignment="1">
      <alignment horizontal="left" vertical="center"/>
    </xf>
    <xf numFmtId="0" fontId="8" fillId="0" borderId="142" xfId="0" applyFont="1" applyFill="1" applyBorder="1" applyAlignment="1">
      <alignment horizontal="left" vertical="center"/>
    </xf>
    <xf numFmtId="0" fontId="8" fillId="0" borderId="126" xfId="0" applyFont="1" applyFill="1" applyBorder="1" applyAlignment="1">
      <alignment horizontal="left" vertical="center"/>
    </xf>
    <xf numFmtId="0" fontId="8" fillId="0" borderId="127" xfId="0" applyFont="1" applyFill="1" applyBorder="1" applyAlignment="1">
      <alignment horizontal="left" vertical="center"/>
    </xf>
    <xf numFmtId="0" fontId="20" fillId="0" borderId="212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left" vertical="center"/>
    </xf>
    <xf numFmtId="0" fontId="8" fillId="0" borderId="206" xfId="0" applyFont="1" applyFill="1" applyBorder="1" applyAlignment="1">
      <alignment horizontal="right" vertical="center"/>
    </xf>
    <xf numFmtId="0" fontId="47" fillId="0" borderId="206" xfId="0" applyFont="1" applyFill="1" applyBorder="1" applyAlignment="1">
      <alignment horizontal="center" vertical="center"/>
    </xf>
    <xf numFmtId="0" fontId="8" fillId="0" borderId="206" xfId="0" applyFont="1" applyFill="1" applyBorder="1" applyAlignment="1">
      <alignment horizontal="center" vertical="center"/>
    </xf>
    <xf numFmtId="0" fontId="20" fillId="23" borderId="121" xfId="0" applyFont="1" applyFill="1" applyBorder="1" applyAlignment="1">
      <alignment horizontal="right" vertical="center"/>
    </xf>
    <xf numFmtId="0" fontId="8" fillId="0" borderId="96" xfId="0" applyFont="1" applyFill="1" applyBorder="1" applyAlignment="1">
      <alignment horizontal="center" shrinkToFit="1"/>
    </xf>
    <xf numFmtId="177" fontId="17" fillId="0" borderId="39" xfId="0" applyNumberFormat="1" applyFont="1" applyFill="1" applyBorder="1" applyAlignment="1" applyProtection="1">
      <alignment vertical="center"/>
      <protection locked="0"/>
    </xf>
    <xf numFmtId="177" fontId="17" fillId="0" borderId="76" xfId="0" applyNumberFormat="1" applyFont="1" applyFill="1" applyBorder="1" applyAlignment="1" applyProtection="1">
      <alignment vertical="center" shrinkToFit="1"/>
      <protection locked="0"/>
    </xf>
    <xf numFmtId="193" fontId="17" fillId="0" borderId="70" xfId="0" applyNumberFormat="1" applyFont="1" applyFill="1" applyBorder="1" applyAlignment="1" applyProtection="1">
      <alignment vertical="center" shrinkToFit="1"/>
      <protection locked="0"/>
    </xf>
    <xf numFmtId="38" fontId="17" fillId="0" borderId="73" xfId="0" applyNumberFormat="1" applyFont="1" applyFill="1" applyBorder="1" applyAlignment="1" applyProtection="1">
      <alignment vertical="center" shrinkToFit="1"/>
      <protection locked="0"/>
    </xf>
    <xf numFmtId="0" fontId="8" fillId="27" borderId="0" xfId="0" applyFont="1" applyFill="1" applyBorder="1" applyAlignment="1">
      <alignment vertical="center"/>
    </xf>
    <xf numFmtId="0" fontId="44" fillId="27" borderId="0" xfId="0" applyFont="1" applyFill="1" applyBorder="1" applyAlignment="1"/>
    <xf numFmtId="0" fontId="8" fillId="27" borderId="0" xfId="0" applyFont="1" applyFill="1" applyBorder="1" applyAlignment="1"/>
    <xf numFmtId="177" fontId="20" fillId="0" borderId="212" xfId="0" applyNumberFormat="1" applyFont="1" applyFill="1" applyBorder="1" applyAlignment="1">
      <alignment vertical="center" shrinkToFit="1"/>
    </xf>
    <xf numFmtId="177" fontId="20" fillId="0" borderId="248" xfId="0" applyNumberFormat="1" applyFont="1" applyFill="1" applyBorder="1" applyAlignment="1">
      <alignment vertical="center"/>
    </xf>
    <xf numFmtId="177" fontId="20" fillId="0" borderId="219" xfId="0" applyNumberFormat="1" applyFont="1" applyFill="1" applyBorder="1" applyAlignment="1">
      <alignment vertical="center" shrinkToFit="1"/>
    </xf>
    <xf numFmtId="177" fontId="20" fillId="0" borderId="223" xfId="0" applyNumberFormat="1" applyFont="1" applyFill="1" applyBorder="1" applyAlignment="1">
      <alignment vertical="center" shrinkToFit="1"/>
    </xf>
    <xf numFmtId="177" fontId="20" fillId="0" borderId="82" xfId="0" applyNumberFormat="1" applyFont="1" applyFill="1" applyBorder="1" applyAlignment="1">
      <alignment vertical="center" shrinkToFit="1"/>
    </xf>
    <xf numFmtId="177" fontId="20" fillId="0" borderId="85" xfId="0" applyNumberFormat="1" applyFont="1" applyFill="1" applyBorder="1" applyAlignment="1">
      <alignment vertical="center" shrinkToFit="1"/>
    </xf>
    <xf numFmtId="189" fontId="8" fillId="0" borderId="85" xfId="0" applyNumberFormat="1" applyFont="1" applyFill="1" applyBorder="1" applyAlignment="1">
      <alignment horizontal="center" shrinkToFit="1"/>
    </xf>
    <xf numFmtId="0" fontId="72" fillId="0" borderId="0" xfId="0" applyFont="1" applyFill="1" applyAlignment="1">
      <alignment vertical="center"/>
    </xf>
    <xf numFmtId="0" fontId="7" fillId="0" borderId="0" xfId="0" applyFont="1" applyFill="1" applyAlignment="1">
      <alignment horizontal="right" vertical="center"/>
    </xf>
    <xf numFmtId="0" fontId="8" fillId="0" borderId="0" xfId="4" applyFont="1" applyFill="1" applyBorder="1" applyAlignment="1"/>
    <xf numFmtId="0" fontId="44" fillId="0" borderId="0" xfId="4" applyFont="1" applyFill="1" applyBorder="1" applyAlignment="1"/>
    <xf numFmtId="0" fontId="61" fillId="0" borderId="0" xfId="4" applyFont="1" applyFill="1" applyBorder="1" applyAlignment="1"/>
    <xf numFmtId="0" fontId="7" fillId="0" borderId="289" xfId="0" applyFont="1" applyBorder="1" applyAlignment="1">
      <alignment vertical="center"/>
    </xf>
    <xf numFmtId="0" fontId="20" fillId="0" borderId="121" xfId="0" applyFont="1" applyFill="1" applyBorder="1" applyAlignment="1">
      <alignment horizontal="right" vertical="center"/>
    </xf>
    <xf numFmtId="0" fontId="8" fillId="0" borderId="121" xfId="0" applyFont="1" applyFill="1" applyBorder="1" applyAlignment="1">
      <alignment horizontal="center" vertical="center" textRotation="255"/>
    </xf>
    <xf numFmtId="0" fontId="31" fillId="0" borderId="82" xfId="0" applyFont="1" applyFill="1" applyBorder="1" applyAlignment="1">
      <alignment horizontal="right"/>
    </xf>
    <xf numFmtId="0" fontId="31" fillId="0" borderId="95" xfId="0" applyFont="1" applyFill="1" applyBorder="1" applyAlignment="1">
      <alignment horizontal="right"/>
    </xf>
    <xf numFmtId="38" fontId="8" fillId="0" borderId="149" xfId="1" applyFont="1" applyFill="1" applyBorder="1" applyAlignment="1"/>
    <xf numFmtId="177" fontId="13" fillId="0" borderId="23" xfId="0" applyNumberFormat="1" applyFont="1" applyFill="1" applyBorder="1" applyAlignment="1">
      <alignment horizontal="right" vertical="center" shrinkToFit="1"/>
    </xf>
    <xf numFmtId="0" fontId="20" fillId="0" borderId="207" xfId="0" applyFont="1" applyFill="1" applyBorder="1" applyAlignment="1">
      <alignment vertical="center"/>
    </xf>
    <xf numFmtId="177" fontId="20" fillId="0" borderId="245" xfId="0" applyNumberFormat="1" applyFont="1" applyFill="1" applyBorder="1" applyAlignment="1">
      <alignment vertical="center" shrinkToFit="1"/>
    </xf>
    <xf numFmtId="177" fontId="20" fillId="0" borderId="245" xfId="0" applyNumberFormat="1" applyFont="1" applyFill="1" applyBorder="1" applyAlignment="1">
      <alignment vertical="center"/>
    </xf>
    <xf numFmtId="38" fontId="13" fillId="25" borderId="23" xfId="0" applyNumberFormat="1" applyFont="1" applyFill="1" applyBorder="1" applyAlignment="1">
      <alignment horizontal="center" shrinkToFit="1"/>
    </xf>
    <xf numFmtId="38" fontId="13" fillId="25" borderId="31" xfId="0" applyNumberFormat="1" applyFont="1" applyFill="1" applyBorder="1" applyAlignment="1">
      <alignment horizontal="center" shrinkToFit="1"/>
    </xf>
    <xf numFmtId="0" fontId="8" fillId="26" borderId="0" xfId="0" applyFont="1" applyFill="1" applyBorder="1" applyAlignment="1">
      <alignment horizontal="left"/>
    </xf>
    <xf numFmtId="0" fontId="46" fillId="0" borderId="95" xfId="0" applyFont="1" applyFill="1" applyBorder="1" applyAlignment="1">
      <alignment horizontal="right"/>
    </xf>
    <xf numFmtId="0" fontId="46" fillId="0" borderId="23" xfId="0" applyFont="1" applyFill="1" applyBorder="1" applyAlignment="1">
      <alignment horizontal="right"/>
    </xf>
    <xf numFmtId="0" fontId="20" fillId="0" borderId="120" xfId="0" applyFont="1" applyFill="1" applyBorder="1" applyAlignment="1">
      <alignment horizontal="center" vertical="center" shrinkToFit="1"/>
    </xf>
    <xf numFmtId="0" fontId="20" fillId="0" borderId="23" xfId="0" applyFont="1" applyFill="1" applyBorder="1" applyAlignment="1">
      <alignment horizontal="left" vertical="center" shrinkToFit="1"/>
    </xf>
    <xf numFmtId="0" fontId="20" fillId="23" borderId="236" xfId="0" applyFont="1" applyFill="1" applyBorder="1" applyAlignment="1">
      <alignment horizontal="center" vertical="center" shrinkToFit="1"/>
    </xf>
    <xf numFmtId="0" fontId="31" fillId="23" borderId="120" xfId="0" applyFont="1" applyFill="1" applyBorder="1" applyAlignment="1">
      <alignment horizontal="left" vertical="center" shrinkToFit="1"/>
    </xf>
    <xf numFmtId="0" fontId="20" fillId="0" borderId="240" xfId="0" applyFont="1" applyFill="1" applyBorder="1" applyAlignment="1">
      <alignment horizontal="left" vertical="center"/>
    </xf>
    <xf numFmtId="0" fontId="20" fillId="0" borderId="241" xfId="0" applyFont="1" applyFill="1" applyBorder="1" applyAlignment="1">
      <alignment horizontal="left" vertical="center"/>
    </xf>
    <xf numFmtId="0" fontId="20" fillId="0" borderId="243" xfId="0" applyFont="1" applyFill="1" applyBorder="1" applyAlignment="1">
      <alignment horizontal="left" vertical="center"/>
    </xf>
    <xf numFmtId="0" fontId="20" fillId="0" borderId="244" xfId="0" applyFont="1" applyFill="1" applyBorder="1" applyAlignment="1">
      <alignment horizontal="left" vertical="center"/>
    </xf>
    <xf numFmtId="0" fontId="20" fillId="0" borderId="23" xfId="0" applyFont="1" applyFill="1" applyBorder="1" applyAlignment="1">
      <alignment vertical="center" shrinkToFit="1"/>
    </xf>
    <xf numFmtId="0" fontId="20" fillId="0" borderId="23" xfId="0" quotePrefix="1" applyFont="1" applyFill="1" applyBorder="1" applyAlignment="1">
      <alignment horizontal="left" vertical="center" shrinkToFit="1"/>
    </xf>
    <xf numFmtId="0" fontId="20" fillId="23" borderId="120" xfId="0" applyFont="1" applyFill="1" applyBorder="1" applyAlignment="1">
      <alignment horizontal="center" vertical="center" shrinkToFit="1"/>
    </xf>
    <xf numFmtId="0" fontId="20" fillId="23" borderId="23" xfId="0" applyFont="1" applyFill="1" applyBorder="1" applyAlignment="1">
      <alignment horizontal="left" vertical="center" shrinkToFit="1"/>
    </xf>
    <xf numFmtId="0" fontId="20" fillId="0" borderId="237" xfId="0" applyFont="1" applyFill="1" applyBorder="1" applyAlignment="1">
      <alignment horizontal="left" vertical="center"/>
    </xf>
    <xf numFmtId="0" fontId="20" fillId="0" borderId="238" xfId="0" applyFont="1" applyFill="1" applyBorder="1" applyAlignment="1">
      <alignment horizontal="left" vertical="center"/>
    </xf>
    <xf numFmtId="0" fontId="20" fillId="0" borderId="240" xfId="0" applyFont="1" applyBorder="1" applyAlignment="1">
      <alignment vertical="center"/>
    </xf>
    <xf numFmtId="0" fontId="13" fillId="0" borderId="290" xfId="0" applyFont="1" applyFill="1" applyBorder="1" applyAlignment="1">
      <alignment vertical="center"/>
    </xf>
    <xf numFmtId="0" fontId="47" fillId="0" borderId="290" xfId="0" applyFont="1" applyFill="1" applyBorder="1" applyAlignment="1">
      <alignment horizontal="left"/>
    </xf>
    <xf numFmtId="0" fontId="13" fillId="0" borderId="290" xfId="0" applyFont="1" applyFill="1" applyBorder="1" applyAlignment="1">
      <alignment horizontal="right"/>
    </xf>
    <xf numFmtId="0" fontId="13" fillId="0" borderId="290" xfId="0" applyFont="1" applyFill="1" applyBorder="1" applyAlignment="1">
      <alignment horizontal="right" shrinkToFit="1"/>
    </xf>
    <xf numFmtId="0" fontId="13" fillId="0" borderId="291" xfId="0" applyFont="1" applyFill="1" applyBorder="1" applyAlignment="1">
      <alignment horizontal="right" shrinkToFit="1"/>
    </xf>
    <xf numFmtId="0" fontId="8" fillId="0" borderId="291" xfId="0" applyFont="1" applyFill="1" applyBorder="1" applyAlignment="1">
      <alignment horizontal="right"/>
    </xf>
    <xf numFmtId="0" fontId="8" fillId="0" borderId="290" xfId="0" applyFont="1" applyFill="1" applyBorder="1" applyAlignment="1">
      <alignment horizontal="right"/>
    </xf>
    <xf numFmtId="0" fontId="8" fillId="0" borderId="291" xfId="0" applyFont="1" applyFill="1" applyBorder="1" applyAlignment="1">
      <alignment horizontal="center" wrapText="1"/>
    </xf>
    <xf numFmtId="0" fontId="8" fillId="0" borderId="290" xfId="0" applyFont="1" applyFill="1" applyBorder="1" applyAlignment="1">
      <alignment horizontal="center" wrapText="1"/>
    </xf>
    <xf numFmtId="0" fontId="8" fillId="0" borderId="292" xfId="0" applyFont="1" applyFill="1" applyBorder="1" applyAlignment="1">
      <alignment horizontal="center" wrapText="1"/>
    </xf>
    <xf numFmtId="0" fontId="39" fillId="0" borderId="291" xfId="0" applyFont="1" applyFill="1" applyBorder="1" applyAlignment="1">
      <alignment horizontal="left"/>
    </xf>
    <xf numFmtId="0" fontId="39" fillId="0" borderId="290" xfId="0" applyFont="1" applyFill="1" applyBorder="1" applyAlignment="1">
      <alignment horizontal="left"/>
    </xf>
    <xf numFmtId="0" fontId="39" fillId="0" borderId="292" xfId="0" applyFont="1" applyFill="1" applyBorder="1" applyAlignment="1">
      <alignment horizontal="left"/>
    </xf>
    <xf numFmtId="0" fontId="8" fillId="0" borderId="291" xfId="0" applyFont="1" applyFill="1" applyBorder="1" applyAlignment="1"/>
    <xf numFmtId="0" fontId="8" fillId="0" borderId="290" xfId="0" applyFont="1" applyFill="1" applyBorder="1" applyAlignment="1"/>
    <xf numFmtId="0" fontId="13" fillId="0" borderId="290" xfId="0" applyFont="1" applyFill="1" applyBorder="1" applyAlignment="1">
      <alignment horizontal="center"/>
    </xf>
    <xf numFmtId="0" fontId="39" fillId="0" borderId="290" xfId="0" applyFont="1" applyFill="1" applyBorder="1" applyAlignment="1">
      <alignment horizontal="left" shrinkToFit="1"/>
    </xf>
    <xf numFmtId="0" fontId="39" fillId="0" borderId="292" xfId="0" applyFont="1" applyFill="1" applyBorder="1" applyAlignment="1">
      <alignment horizontal="left" shrinkToFit="1"/>
    </xf>
    <xf numFmtId="181" fontId="17" fillId="0" borderId="39" xfId="0" applyNumberFormat="1" applyFont="1" applyBorder="1" applyAlignment="1" applyProtection="1">
      <alignment horizontal="left" vertical="center"/>
      <protection locked="0"/>
    </xf>
    <xf numFmtId="177" fontId="8" fillId="0" borderId="121" xfId="0" applyNumberFormat="1" applyFont="1" applyFill="1" applyBorder="1" applyAlignment="1">
      <alignment horizontal="center" shrinkToFit="1"/>
    </xf>
    <xf numFmtId="191" fontId="8" fillId="0" borderId="23" xfId="0" applyNumberFormat="1" applyFont="1" applyFill="1" applyBorder="1" applyAlignment="1" applyProtection="1">
      <alignment horizontal="center" vertical="center"/>
    </xf>
    <xf numFmtId="38" fontId="13" fillId="0" borderId="23" xfId="0" applyNumberFormat="1" applyFont="1" applyFill="1" applyBorder="1" applyAlignment="1">
      <alignment horizontal="center" vertical="center" shrinkToFit="1"/>
    </xf>
    <xf numFmtId="38" fontId="13" fillId="0" borderId="95" xfId="0" applyNumberFormat="1" applyFont="1" applyFill="1" applyBorder="1" applyAlignment="1">
      <alignment horizontal="center" vertical="center" shrinkToFit="1"/>
    </xf>
    <xf numFmtId="0" fontId="63" fillId="17" borderId="0" xfId="7" applyFont="1" applyFill="1" applyBorder="1">
      <alignment vertical="center"/>
    </xf>
    <xf numFmtId="0" fontId="66" fillId="22" borderId="0" xfId="7" applyFont="1" applyFill="1">
      <alignment vertical="center"/>
    </xf>
    <xf numFmtId="49" fontId="63" fillId="17" borderId="274" xfId="7" applyNumberFormat="1" applyFont="1" applyFill="1" applyBorder="1">
      <alignment vertical="center"/>
    </xf>
    <xf numFmtId="0" fontId="17" fillId="17" borderId="14" xfId="0" applyFont="1" applyFill="1" applyBorder="1" applyAlignment="1">
      <alignment horizontal="left"/>
    </xf>
    <xf numFmtId="0" fontId="26" fillId="17" borderId="15" xfId="0" applyFont="1" applyFill="1" applyBorder="1" applyAlignment="1">
      <alignment horizontal="right"/>
    </xf>
    <xf numFmtId="0" fontId="17" fillId="0" borderId="123" xfId="0" applyFont="1" applyFill="1" applyBorder="1" applyAlignment="1">
      <alignment horizontal="center"/>
    </xf>
    <xf numFmtId="0" fontId="7" fillId="0" borderId="123" xfId="0" applyFont="1" applyFill="1" applyBorder="1" applyAlignment="1">
      <alignment horizontal="center" shrinkToFit="1"/>
    </xf>
    <xf numFmtId="38" fontId="7" fillId="0" borderId="123" xfId="0" applyNumberFormat="1" applyFont="1" applyFill="1" applyBorder="1" applyAlignment="1">
      <alignment horizontal="right" shrinkToFit="1"/>
    </xf>
    <xf numFmtId="38" fontId="7" fillId="0" borderId="293" xfId="0" applyNumberFormat="1" applyFont="1" applyFill="1" applyBorder="1" applyAlignment="1">
      <alignment horizontal="right" shrinkToFit="1"/>
    </xf>
    <xf numFmtId="38" fontId="7" fillId="0" borderId="215" xfId="1" applyFont="1" applyFill="1" applyBorder="1" applyAlignment="1">
      <alignment horizontal="right"/>
    </xf>
    <xf numFmtId="38" fontId="7" fillId="0" borderId="92" xfId="1" applyFont="1" applyFill="1" applyBorder="1" applyAlignment="1">
      <alignment horizontal="right"/>
    </xf>
    <xf numFmtId="38" fontId="7" fillId="0" borderId="90" xfId="1" applyFont="1" applyFill="1" applyBorder="1" applyAlignment="1">
      <alignment horizontal="right"/>
    </xf>
    <xf numFmtId="38" fontId="7" fillId="0" borderId="91" xfId="1" applyFont="1" applyFill="1" applyBorder="1" applyAlignment="1">
      <alignment horizontal="right"/>
    </xf>
    <xf numFmtId="38" fontId="7" fillId="0" borderId="90" xfId="0" applyNumberFormat="1" applyFont="1" applyFill="1" applyBorder="1" applyAlignment="1">
      <alignment horizontal="right" shrinkToFit="1"/>
    </xf>
    <xf numFmtId="38" fontId="7" fillId="0" borderId="294" xfId="1" applyFont="1" applyFill="1" applyBorder="1" applyAlignment="1">
      <alignment horizontal="right"/>
    </xf>
    <xf numFmtId="38" fontId="7" fillId="0" borderId="91" xfId="0" applyNumberFormat="1" applyFont="1" applyFill="1" applyBorder="1" applyAlignment="1">
      <alignment horizontal="right" shrinkToFit="1"/>
    </xf>
    <xf numFmtId="38" fontId="7" fillId="0" borderId="92" xfId="0" applyNumberFormat="1" applyFont="1" applyFill="1" applyBorder="1" applyAlignment="1">
      <alignment horizontal="right" shrinkToFit="1"/>
    </xf>
    <xf numFmtId="38" fontId="7" fillId="0" borderId="216" xfId="0" applyNumberFormat="1" applyFont="1" applyFill="1" applyBorder="1" applyAlignment="1">
      <alignment horizontal="right" shrinkToFit="1"/>
    </xf>
    <xf numFmtId="0" fontId="7" fillId="0" borderId="210" xfId="0" applyFont="1" applyFill="1" applyBorder="1" applyAlignment="1">
      <alignment horizontal="right"/>
    </xf>
    <xf numFmtId="0" fontId="7" fillId="17" borderId="292" xfId="0" applyFont="1" applyFill="1" applyBorder="1" applyAlignment="1">
      <alignment horizontal="right"/>
    </xf>
    <xf numFmtId="38" fontId="17" fillId="0" borderId="214" xfId="0" applyNumberFormat="1" applyFont="1" applyFill="1" applyBorder="1" applyAlignment="1">
      <alignment horizontal="right"/>
    </xf>
    <xf numFmtId="38" fontId="17" fillId="0" borderId="140" xfId="0" applyNumberFormat="1" applyFont="1" applyFill="1" applyBorder="1" applyAlignment="1">
      <alignment horizontal="right"/>
    </xf>
    <xf numFmtId="38" fontId="17" fillId="0" borderId="208" xfId="0" applyNumberFormat="1" applyFont="1" applyFill="1" applyBorder="1" applyAlignment="1">
      <alignment horizontal="right"/>
    </xf>
    <xf numFmtId="0" fontId="7" fillId="0" borderId="292" xfId="0" applyFont="1" applyFill="1" applyBorder="1" applyAlignment="1">
      <alignment horizontal="right"/>
    </xf>
    <xf numFmtId="38" fontId="17" fillId="0" borderId="194" xfId="0" applyNumberFormat="1" applyFont="1" applyFill="1" applyBorder="1" applyAlignment="1">
      <alignment horizontal="right"/>
    </xf>
    <xf numFmtId="38" fontId="17" fillId="0" borderId="210" xfId="0" applyNumberFormat="1" applyFont="1" applyFill="1" applyBorder="1" applyAlignment="1">
      <alignment horizontal="right"/>
    </xf>
    <xf numFmtId="38" fontId="17" fillId="0" borderId="273" xfId="0" applyNumberFormat="1" applyFont="1" applyFill="1" applyBorder="1" applyAlignment="1">
      <alignment horizontal="right"/>
    </xf>
    <xf numFmtId="38" fontId="17" fillId="0" borderId="196" xfId="0" applyNumberFormat="1" applyFont="1" applyFill="1" applyBorder="1" applyAlignment="1">
      <alignment horizontal="right"/>
    </xf>
    <xf numFmtId="38" fontId="17" fillId="0" borderId="295" xfId="0" applyNumberFormat="1" applyFont="1" applyFill="1" applyBorder="1" applyAlignment="1">
      <alignment horizontal="right"/>
    </xf>
    <xf numFmtId="38" fontId="7" fillId="0" borderId="296" xfId="0" applyNumberFormat="1" applyFont="1" applyFill="1" applyBorder="1" applyAlignment="1">
      <alignment horizontal="right" shrinkToFit="1"/>
    </xf>
    <xf numFmtId="0" fontId="17" fillId="0" borderId="150" xfId="0" applyFont="1" applyFill="1" applyBorder="1" applyAlignment="1" applyProtection="1">
      <alignment horizontal="right"/>
    </xf>
    <xf numFmtId="0" fontId="7" fillId="17" borderId="150" xfId="0" applyFont="1" applyFill="1" applyBorder="1" applyAlignment="1">
      <alignment horizontal="center"/>
    </xf>
    <xf numFmtId="0" fontId="7" fillId="17" borderId="99" xfId="0" applyFont="1" applyFill="1" applyBorder="1" applyAlignment="1">
      <alignment horizontal="right"/>
    </xf>
    <xf numFmtId="0" fontId="7" fillId="0" borderId="197" xfId="0" applyFont="1" applyFill="1" applyBorder="1" applyAlignment="1">
      <alignment horizontal="right"/>
    </xf>
    <xf numFmtId="0" fontId="7" fillId="0" borderId="98" xfId="0" applyFont="1" applyFill="1" applyBorder="1" applyAlignment="1">
      <alignment horizontal="right"/>
    </xf>
    <xf numFmtId="0" fontId="7" fillId="0" borderId="193" xfId="0" applyFont="1" applyFill="1" applyBorder="1" applyAlignment="1">
      <alignment horizontal="right"/>
    </xf>
    <xf numFmtId="0" fontId="7" fillId="0" borderId="31" xfId="0" applyFont="1" applyFill="1" applyBorder="1" applyAlignment="1">
      <alignment horizontal="right"/>
    </xf>
    <xf numFmtId="0" fontId="7" fillId="0" borderId="98" xfId="0" applyFont="1" applyFill="1" applyBorder="1" applyAlignment="1">
      <alignment horizontal="right" shrinkToFit="1"/>
    </xf>
    <xf numFmtId="0" fontId="7" fillId="17" borderId="31" xfId="0" applyFont="1" applyFill="1" applyBorder="1" applyAlignment="1">
      <alignment horizontal="right"/>
    </xf>
    <xf numFmtId="0" fontId="7" fillId="17" borderId="98" xfId="0" applyFont="1" applyFill="1" applyBorder="1" applyAlignment="1">
      <alignment horizontal="right"/>
    </xf>
    <xf numFmtId="0" fontId="7" fillId="17" borderId="100" xfId="0" applyFont="1" applyFill="1" applyBorder="1" applyAlignment="1">
      <alignment horizontal="right"/>
    </xf>
    <xf numFmtId="0" fontId="7" fillId="0" borderId="123" xfId="0" applyFont="1" applyFill="1" applyBorder="1" applyAlignment="1">
      <alignment horizontal="center"/>
    </xf>
    <xf numFmtId="0" fontId="7" fillId="17" borderId="213" xfId="0" applyFont="1" applyFill="1" applyBorder="1" applyAlignment="1">
      <alignment horizontal="center"/>
    </xf>
    <xf numFmtId="0" fontId="0" fillId="17" borderId="100" xfId="0" applyFont="1" applyFill="1" applyBorder="1" applyAlignment="1">
      <alignment horizontal="center"/>
    </xf>
    <xf numFmtId="0" fontId="7" fillId="17" borderId="193" xfId="0" applyFont="1" applyFill="1" applyBorder="1" applyAlignment="1">
      <alignment horizontal="left" shrinkToFit="1"/>
    </xf>
    <xf numFmtId="0" fontId="7" fillId="17" borderId="31" xfId="0" applyFont="1" applyFill="1" applyBorder="1" applyAlignment="1">
      <alignment horizontal="left" shrinkToFit="1"/>
    </xf>
    <xf numFmtId="0" fontId="20" fillId="17" borderId="31" xfId="0" applyFont="1" applyFill="1" applyBorder="1" applyAlignment="1">
      <alignment vertical="top" wrapText="1" shrinkToFit="1"/>
    </xf>
    <xf numFmtId="0" fontId="7" fillId="17" borderId="31" xfId="0" applyFont="1" applyFill="1" applyBorder="1" applyAlignment="1">
      <alignment horizontal="left" vertical="center" shrinkToFit="1"/>
    </xf>
    <xf numFmtId="0" fontId="20" fillId="17" borderId="31" xfId="0" applyFont="1" applyFill="1" applyBorder="1" applyAlignment="1">
      <alignment horizontal="left" vertical="top" wrapText="1" shrinkToFit="1"/>
    </xf>
    <xf numFmtId="0" fontId="7" fillId="0" borderId="31" xfId="0" applyFont="1" applyFill="1" applyBorder="1" applyAlignment="1">
      <alignment horizontal="left" shrinkToFit="1"/>
    </xf>
    <xf numFmtId="0" fontId="39" fillId="0" borderId="150" xfId="0" applyFont="1" applyFill="1" applyBorder="1" applyAlignment="1">
      <alignment horizontal="right"/>
    </xf>
    <xf numFmtId="0" fontId="7" fillId="17" borderId="122" xfId="0" applyFont="1" applyFill="1" applyBorder="1" applyAlignment="1">
      <alignment horizontal="left" shrinkToFit="1"/>
    </xf>
    <xf numFmtId="0" fontId="7" fillId="17" borderId="213" xfId="0" applyFont="1" applyFill="1" applyBorder="1" applyAlignment="1">
      <alignment horizontal="left" shrinkToFit="1"/>
    </xf>
    <xf numFmtId="0" fontId="7" fillId="17" borderId="100" xfId="0" applyFont="1" applyFill="1" applyBorder="1" applyAlignment="1">
      <alignment horizontal="left" shrinkToFit="1"/>
    </xf>
    <xf numFmtId="0" fontId="7" fillId="17" borderId="99" xfId="0" applyFont="1" applyFill="1" applyBorder="1" applyAlignment="1">
      <alignment horizontal="left" shrinkToFit="1"/>
    </xf>
    <xf numFmtId="0" fontId="39" fillId="17" borderId="150" xfId="0" applyFont="1" applyFill="1" applyBorder="1" applyAlignment="1">
      <alignment horizontal="right"/>
    </xf>
    <xf numFmtId="0" fontId="39" fillId="17" borderId="215" xfId="0" applyFont="1" applyFill="1" applyBorder="1" applyAlignment="1">
      <alignment horizontal="right"/>
    </xf>
    <xf numFmtId="0" fontId="39" fillId="17" borderId="216" xfId="0" applyFont="1" applyFill="1" applyBorder="1" applyAlignment="1">
      <alignment horizontal="right"/>
    </xf>
    <xf numFmtId="0" fontId="7" fillId="0" borderId="31" xfId="0" applyFont="1" applyFill="1" applyBorder="1" applyAlignment="1">
      <alignment horizontal="left"/>
    </xf>
    <xf numFmtId="0" fontId="39" fillId="17" borderId="220" xfId="0" applyFont="1" applyFill="1" applyBorder="1" applyAlignment="1">
      <alignment horizontal="right"/>
    </xf>
    <xf numFmtId="0" fontId="39" fillId="17" borderId="224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left" indent="3"/>
    </xf>
    <xf numFmtId="0" fontId="7" fillId="0" borderId="0" xfId="0" applyFont="1" applyFill="1" applyBorder="1" applyAlignment="1">
      <alignment horizontal="center" shrinkToFit="1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shrinkToFit="1"/>
    </xf>
    <xf numFmtId="38" fontId="17" fillId="0" borderId="205" xfId="0" applyNumberFormat="1" applyFont="1" applyFill="1" applyBorder="1" applyAlignment="1">
      <alignment horizontal="right"/>
    </xf>
    <xf numFmtId="38" fontId="7" fillId="17" borderId="206" xfId="0" applyNumberFormat="1" applyFont="1" applyFill="1" applyBorder="1" applyAlignment="1">
      <alignment horizontal="right" shrinkToFit="1"/>
    </xf>
    <xf numFmtId="38" fontId="7" fillId="17" borderId="225" xfId="0" applyNumberFormat="1" applyFont="1" applyFill="1" applyBorder="1" applyAlignment="1">
      <alignment horizontal="right" shrinkToFit="1"/>
    </xf>
    <xf numFmtId="38" fontId="17" fillId="0" borderId="291" xfId="0" applyNumberFormat="1" applyFont="1" applyFill="1" applyBorder="1" applyAlignment="1">
      <alignment horizontal="right"/>
    </xf>
    <xf numFmtId="38" fontId="7" fillId="17" borderId="290" xfId="0" applyNumberFormat="1" applyFont="1" applyFill="1" applyBorder="1" applyAlignment="1">
      <alignment horizontal="right" shrinkToFit="1"/>
    </xf>
    <xf numFmtId="0" fontId="15" fillId="0" borderId="15" xfId="0" applyFont="1" applyFill="1" applyBorder="1" applyAlignment="1">
      <alignment horizontal="center" shrinkToFit="1"/>
    </xf>
    <xf numFmtId="0" fontId="17" fillId="0" borderId="11" xfId="0" applyFont="1" applyFill="1" applyBorder="1" applyAlignment="1">
      <alignment horizontal="center" shrinkToFit="1"/>
    </xf>
    <xf numFmtId="0" fontId="7" fillId="17" borderId="1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 vertical="center" wrapText="1"/>
    </xf>
    <xf numFmtId="0" fontId="79" fillId="0" borderId="95" xfId="0" applyFont="1" applyFill="1" applyBorder="1" applyAlignment="1">
      <alignment horizontal="center" wrapText="1" shrinkToFit="1"/>
    </xf>
    <xf numFmtId="0" fontId="45" fillId="0" borderId="205" xfId="0" applyFont="1" applyFill="1" applyBorder="1" applyAlignment="1">
      <alignment horizontal="left" vertical="center"/>
    </xf>
    <xf numFmtId="189" fontId="68" fillId="0" borderId="23" xfId="0" applyNumberFormat="1" applyFont="1" applyFill="1" applyBorder="1" applyAlignment="1">
      <alignment horizontal="center" wrapText="1" shrinkToFit="1"/>
    </xf>
    <xf numFmtId="38" fontId="8" fillId="24" borderId="149" xfId="1" applyFont="1" applyFill="1" applyBorder="1" applyAlignment="1"/>
    <xf numFmtId="0" fontId="8" fillId="24" borderId="0" xfId="0" applyFont="1" applyFill="1" applyBorder="1" applyAlignment="1">
      <alignment vertical="center"/>
    </xf>
    <xf numFmtId="38" fontId="8" fillId="0" borderId="82" xfId="1" applyFont="1" applyFill="1" applyBorder="1" applyAlignment="1">
      <alignment horizontal="right"/>
    </xf>
    <xf numFmtId="191" fontId="8" fillId="0" borderId="52" xfId="0" applyNumberFormat="1" applyFont="1" applyFill="1" applyBorder="1" applyAlignment="1" applyProtection="1">
      <alignment horizontal="center" vertical="center"/>
    </xf>
    <xf numFmtId="0" fontId="8" fillId="0" borderId="144" xfId="0" applyFont="1" applyFill="1" applyBorder="1" applyAlignment="1">
      <alignment horizontal="left" vertical="center"/>
    </xf>
    <xf numFmtId="0" fontId="8" fillId="0" borderId="142" xfId="0" applyFont="1" applyFill="1" applyBorder="1" applyAlignment="1">
      <alignment horizontal="left" vertical="center"/>
    </xf>
    <xf numFmtId="0" fontId="8" fillId="0" borderId="126" xfId="0" applyFont="1" applyFill="1" applyBorder="1" applyAlignment="1">
      <alignment horizontal="left" vertical="center"/>
    </xf>
    <xf numFmtId="0" fontId="8" fillId="0" borderId="127" xfId="0" applyFont="1" applyFill="1" applyBorder="1" applyAlignment="1">
      <alignment horizontal="left" vertical="center"/>
    </xf>
    <xf numFmtId="0" fontId="8" fillId="0" borderId="162" xfId="0" applyFont="1" applyFill="1" applyBorder="1" applyAlignment="1">
      <alignment vertical="center"/>
    </xf>
    <xf numFmtId="0" fontId="8" fillId="0" borderId="126" xfId="0" applyFont="1" applyFill="1" applyBorder="1" applyAlignment="1">
      <alignment horizontal="center" vertical="center"/>
    </xf>
    <xf numFmtId="0" fontId="8" fillId="0" borderId="127" xfId="0" applyFont="1" applyFill="1" applyBorder="1" applyAlignment="1">
      <alignment horizontal="center" vertical="center"/>
    </xf>
    <xf numFmtId="0" fontId="8" fillId="0" borderId="264" xfId="0" applyFont="1" applyFill="1" applyBorder="1" applyAlignment="1">
      <alignment vertical="center" wrapText="1"/>
    </xf>
    <xf numFmtId="0" fontId="8" fillId="0" borderId="232" xfId="0" applyFont="1" applyFill="1" applyBorder="1" applyAlignment="1">
      <alignment vertical="center" wrapText="1"/>
    </xf>
    <xf numFmtId="0" fontId="8" fillId="0" borderId="152" xfId="0" applyFont="1" applyFill="1" applyBorder="1" applyAlignment="1">
      <alignment vertical="center" wrapText="1"/>
    </xf>
    <xf numFmtId="38" fontId="13" fillId="24" borderId="23" xfId="0" applyNumberFormat="1" applyFont="1" applyFill="1" applyBorder="1" applyAlignment="1">
      <alignment horizontal="right" shrinkToFit="1"/>
    </xf>
    <xf numFmtId="0" fontId="8" fillId="24" borderId="0" xfId="4" applyFont="1" applyFill="1" applyBorder="1" applyAlignment="1"/>
    <xf numFmtId="0" fontId="8" fillId="24" borderId="0" xfId="0" applyFont="1" applyFill="1" applyBorder="1" applyAlignment="1"/>
    <xf numFmtId="38" fontId="13" fillId="24" borderId="121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56" fillId="0" borderId="0" xfId="0" applyFont="1" applyFill="1" applyBorder="1" applyAlignment="1">
      <alignment horizontal="right" vertical="center"/>
    </xf>
    <xf numFmtId="177" fontId="80" fillId="0" borderId="82" xfId="0" applyNumberFormat="1" applyFont="1" applyFill="1" applyBorder="1" applyAlignment="1">
      <alignment horizontal="center" vertical="center" shrinkToFit="1"/>
    </xf>
    <xf numFmtId="0" fontId="17" fillId="0" borderId="298" xfId="0" applyFont="1" applyBorder="1" applyAlignment="1" applyProtection="1">
      <alignment vertical="center"/>
      <protection locked="0"/>
    </xf>
    <xf numFmtId="0" fontId="17" fillId="0" borderId="300" xfId="0" applyNumberFormat="1" applyFont="1" applyBorder="1" applyAlignment="1" applyProtection="1">
      <alignment horizontal="right" vertical="center"/>
      <protection locked="0"/>
    </xf>
    <xf numFmtId="0" fontId="17" fillId="0" borderId="301" xfId="0" applyFont="1" applyBorder="1" applyAlignment="1" applyProtection="1">
      <alignment vertical="center"/>
      <protection locked="0"/>
    </xf>
    <xf numFmtId="0" fontId="17" fillId="0" borderId="302" xfId="0" applyFont="1" applyBorder="1" applyAlignment="1" applyProtection="1">
      <alignment vertical="center" wrapText="1"/>
      <protection locked="0"/>
    </xf>
    <xf numFmtId="186" fontId="17" fillId="0" borderId="302" xfId="0" applyNumberFormat="1" applyFont="1" applyBorder="1" applyAlignment="1" applyProtection="1">
      <alignment vertical="center" shrinkToFit="1"/>
      <protection locked="0"/>
    </xf>
    <xf numFmtId="0" fontId="17" fillId="0" borderId="302" xfId="0" applyFont="1" applyBorder="1" applyAlignment="1" applyProtection="1">
      <alignment horizontal="center" vertical="center" shrinkToFit="1"/>
      <protection locked="0"/>
    </xf>
    <xf numFmtId="38" fontId="17" fillId="0" borderId="302" xfId="0" applyNumberFormat="1" applyFont="1" applyBorder="1" applyAlignment="1" applyProtection="1">
      <alignment vertical="center" shrinkToFit="1"/>
      <protection locked="0"/>
    </xf>
    <xf numFmtId="177" fontId="17" fillId="0" borderId="302" xfId="0" applyNumberFormat="1" applyFont="1" applyBorder="1" applyAlignment="1" applyProtection="1">
      <alignment vertical="center" shrinkToFit="1"/>
      <protection locked="0"/>
    </xf>
    <xf numFmtId="0" fontId="17" fillId="0" borderId="303" xfId="0" applyFont="1" applyBorder="1" applyAlignment="1" applyProtection="1">
      <alignment vertical="center"/>
      <protection locked="0"/>
    </xf>
    <xf numFmtId="0" fontId="17" fillId="0" borderId="300" xfId="0" applyFont="1" applyBorder="1" applyAlignment="1" applyProtection="1">
      <alignment horizontal="right" vertical="center"/>
      <protection locked="0"/>
    </xf>
    <xf numFmtId="0" fontId="17" fillId="21" borderId="298" xfId="0" applyFont="1" applyFill="1" applyBorder="1" applyAlignment="1" applyProtection="1">
      <alignment vertical="center"/>
      <protection locked="0"/>
    </xf>
    <xf numFmtId="179" fontId="17" fillId="21" borderId="298" xfId="0" applyNumberFormat="1" applyFont="1" applyFill="1" applyBorder="1" applyAlignment="1" applyProtection="1">
      <alignment vertical="center"/>
      <protection locked="0"/>
    </xf>
    <xf numFmtId="176" fontId="17" fillId="21" borderId="299" xfId="0" applyNumberFormat="1" applyFont="1" applyFill="1" applyBorder="1" applyAlignment="1" applyProtection="1">
      <alignment vertical="center"/>
      <protection locked="0"/>
    </xf>
    <xf numFmtId="188" fontId="39" fillId="24" borderId="272" xfId="0" applyNumberFormat="1" applyFont="1" applyFill="1" applyBorder="1" applyAlignment="1">
      <alignment vertical="center" shrinkToFit="1"/>
    </xf>
    <xf numFmtId="0" fontId="7" fillId="0" borderId="140" xfId="0" applyNumberFormat="1" applyFont="1" applyBorder="1" applyAlignment="1">
      <alignment vertical="center" shrinkToFit="1"/>
    </xf>
    <xf numFmtId="177" fontId="7" fillId="0" borderId="142" xfId="0" applyNumberFormat="1" applyFont="1" applyBorder="1" applyAlignment="1">
      <alignment vertical="center"/>
    </xf>
    <xf numFmtId="177" fontId="7" fillId="0" borderId="23" xfId="0" applyNumberFormat="1" applyFont="1" applyBorder="1" applyAlignment="1">
      <alignment horizontal="right" vertical="center"/>
    </xf>
    <xf numFmtId="177" fontId="7" fillId="0" borderId="143" xfId="0" applyNumberFormat="1" applyFont="1" applyBorder="1" applyAlignment="1">
      <alignment vertical="center"/>
    </xf>
    <xf numFmtId="177" fontId="7" fillId="0" borderId="118" xfId="0" applyNumberFormat="1" applyFont="1" applyBorder="1" applyAlignment="1">
      <alignment horizontal="right" vertical="center"/>
    </xf>
    <xf numFmtId="0" fontId="39" fillId="0" borderId="291" xfId="0" applyFont="1" applyFill="1" applyBorder="1" applyAlignment="1">
      <alignment horizontal="left" shrinkToFit="1"/>
    </xf>
    <xf numFmtId="0" fontId="13" fillId="0" borderId="310" xfId="0" applyFont="1" applyFill="1" applyBorder="1" applyAlignment="1">
      <alignment horizontal="center" vertical="center"/>
    </xf>
    <xf numFmtId="0" fontId="8" fillId="0" borderId="310" xfId="0" applyFont="1" applyFill="1" applyBorder="1" applyAlignment="1">
      <alignment horizontal="left" shrinkToFit="1"/>
    </xf>
    <xf numFmtId="0" fontId="8" fillId="0" borderId="310" xfId="0" applyFont="1" applyFill="1" applyBorder="1" applyAlignment="1"/>
    <xf numFmtId="0" fontId="8" fillId="0" borderId="153" xfId="0" applyFont="1" applyFill="1" applyBorder="1" applyAlignment="1"/>
    <xf numFmtId="0" fontId="51" fillId="0" borderId="153" xfId="0" applyFont="1" applyFill="1" applyBorder="1" applyAlignment="1">
      <alignment vertical="center" wrapText="1"/>
    </xf>
    <xf numFmtId="0" fontId="6" fillId="0" borderId="153" xfId="0" applyFont="1" applyFill="1" applyBorder="1" applyAlignment="1">
      <alignment horizontal="right" vertical="center" wrapText="1" shrinkToFit="1"/>
    </xf>
    <xf numFmtId="0" fontId="69" fillId="0" borderId="153" xfId="0" applyFont="1" applyFill="1" applyBorder="1" applyAlignment="1">
      <alignment vertical="center" wrapText="1"/>
    </xf>
    <xf numFmtId="0" fontId="34" fillId="0" borderId="153" xfId="0" applyFont="1" applyFill="1" applyBorder="1" applyAlignment="1">
      <alignment vertical="center" wrapText="1"/>
    </xf>
    <xf numFmtId="0" fontId="67" fillId="0" borderId="167" xfId="0" applyFont="1" applyFill="1" applyBorder="1" applyAlignment="1">
      <alignment horizontal="right" vertical="center" wrapText="1" shrinkToFit="1"/>
    </xf>
    <xf numFmtId="0" fontId="6" fillId="0" borderId="283" xfId="0" applyFont="1" applyFill="1" applyBorder="1" applyAlignment="1">
      <alignment horizontal="right" vertical="center" wrapText="1" shrinkToFit="1"/>
    </xf>
    <xf numFmtId="0" fontId="8" fillId="0" borderId="144" xfId="0" applyFont="1" applyFill="1" applyBorder="1" applyAlignment="1">
      <alignment horizontal="left" vertical="center"/>
    </xf>
    <xf numFmtId="0" fontId="8" fillId="0" borderId="142" xfId="0" applyFont="1" applyFill="1" applyBorder="1" applyAlignment="1">
      <alignment horizontal="left" vertical="center"/>
    </xf>
    <xf numFmtId="0" fontId="8" fillId="0" borderId="120" xfId="0" applyFont="1" applyFill="1" applyBorder="1" applyAlignment="1">
      <alignment horizontal="center" vertical="center" textRotation="255"/>
    </xf>
    <xf numFmtId="0" fontId="8" fillId="0" borderId="95" xfId="0" applyFont="1" applyFill="1" applyBorder="1" applyAlignment="1">
      <alignment horizontal="center" vertical="center" textRotation="255"/>
    </xf>
    <xf numFmtId="0" fontId="8" fillId="0" borderId="121" xfId="0" applyFont="1" applyFill="1" applyBorder="1" applyAlignment="1">
      <alignment horizontal="center" vertical="center" textRotation="255"/>
    </xf>
    <xf numFmtId="0" fontId="8" fillId="0" borderId="89" xfId="0" applyFont="1" applyFill="1" applyBorder="1" applyAlignment="1">
      <alignment horizontal="center" vertical="center" textRotation="255"/>
    </xf>
    <xf numFmtId="0" fontId="8" fillId="0" borderId="212" xfId="0" applyFont="1" applyFill="1" applyBorder="1" applyAlignment="1">
      <alignment horizontal="center" vertical="center" textRotation="255"/>
    </xf>
    <xf numFmtId="0" fontId="31" fillId="0" borderId="120" xfId="0" applyFont="1" applyFill="1" applyBorder="1" applyAlignment="1">
      <alignment horizontal="center" vertical="center" textRotation="255" wrapText="1"/>
    </xf>
    <xf numFmtId="0" fontId="31" fillId="0" borderId="95" xfId="0" applyFont="1" applyFill="1" applyBorder="1" applyAlignment="1">
      <alignment horizontal="center" vertical="center" textRotation="255" wrapText="1"/>
    </xf>
    <xf numFmtId="0" fontId="31" fillId="0" borderId="89" xfId="0" applyFont="1" applyFill="1" applyBorder="1" applyAlignment="1">
      <alignment horizontal="center" vertical="center" textRotation="255" wrapText="1"/>
    </xf>
    <xf numFmtId="0" fontId="8" fillId="0" borderId="126" xfId="0" applyFont="1" applyFill="1" applyBorder="1" applyAlignment="1">
      <alignment horizontal="left" vertical="center"/>
    </xf>
    <xf numFmtId="0" fontId="8" fillId="0" borderId="127" xfId="0" applyFont="1" applyFill="1" applyBorder="1" applyAlignment="1">
      <alignment horizontal="left" vertical="center"/>
    </xf>
    <xf numFmtId="0" fontId="20" fillId="0" borderId="212" xfId="0" applyFont="1" applyFill="1" applyBorder="1" applyAlignment="1">
      <alignment horizontal="center" vertical="center" wrapText="1"/>
    </xf>
    <xf numFmtId="0" fontId="20" fillId="0" borderId="169" xfId="0" applyFont="1" applyFill="1" applyBorder="1" applyAlignment="1">
      <alignment horizontal="left" shrinkToFit="1"/>
    </xf>
    <xf numFmtId="0" fontId="20" fillId="0" borderId="196" xfId="0" applyFont="1" applyFill="1" applyBorder="1" applyAlignment="1">
      <alignment horizontal="left" shrinkToFit="1"/>
    </xf>
    <xf numFmtId="0" fontId="45" fillId="0" borderId="171" xfId="0" applyFont="1" applyFill="1" applyBorder="1" applyAlignment="1">
      <alignment horizontal="distributed" vertical="center"/>
    </xf>
    <xf numFmtId="0" fontId="45" fillId="0" borderId="169" xfId="0" applyFont="1" applyFill="1" applyBorder="1" applyAlignment="1">
      <alignment horizontal="distributed" vertical="center"/>
    </xf>
    <xf numFmtId="0" fontId="45" fillId="0" borderId="15" xfId="0" applyFont="1" applyFill="1" applyBorder="1" applyAlignment="1">
      <alignment horizontal="distributed" vertical="center"/>
    </xf>
    <xf numFmtId="0" fontId="0" fillId="0" borderId="15" xfId="0" applyFill="1" applyBorder="1" applyAlignment="1">
      <alignment horizontal="distributed" vertical="center"/>
    </xf>
    <xf numFmtId="0" fontId="8" fillId="0" borderId="120" xfId="0" applyFont="1" applyFill="1" applyBorder="1" applyAlignment="1">
      <alignment horizontal="center" vertical="center" textRotation="255" shrinkToFit="1"/>
    </xf>
    <xf numFmtId="0" fontId="8" fillId="0" borderId="121" xfId="0" applyFont="1" applyFill="1" applyBorder="1" applyAlignment="1">
      <alignment horizontal="center" vertical="center" textRotation="255" shrinkToFit="1"/>
    </xf>
    <xf numFmtId="0" fontId="8" fillId="0" borderId="95" xfId="0" applyFont="1" applyFill="1" applyBorder="1" applyAlignment="1">
      <alignment horizontal="center" vertical="center" textRotation="255" shrinkToFit="1"/>
    </xf>
    <xf numFmtId="0" fontId="8" fillId="0" borderId="162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68" fillId="0" borderId="120" xfId="0" applyFont="1" applyFill="1" applyBorder="1" applyAlignment="1">
      <alignment horizontal="center" vertical="center" textRotation="255" wrapText="1"/>
    </xf>
    <xf numFmtId="0" fontId="68" fillId="0" borderId="89" xfId="0" applyFont="1" applyFill="1" applyBorder="1" applyAlignment="1">
      <alignment horizontal="center" vertical="center" textRotation="255" wrapText="1"/>
    </xf>
    <xf numFmtId="0" fontId="51" fillId="0" borderId="194" xfId="0" applyFont="1" applyFill="1" applyBorder="1" applyAlignment="1">
      <alignment vertical="center" wrapText="1"/>
    </xf>
    <xf numFmtId="0" fontId="51" fillId="0" borderId="209" xfId="0" applyFont="1" applyFill="1" applyBorder="1" applyAlignment="1">
      <alignment vertical="center" wrapText="1"/>
    </xf>
    <xf numFmtId="0" fontId="69" fillId="0" borderId="194" xfId="0" applyFont="1" applyFill="1" applyBorder="1" applyAlignment="1">
      <alignment vertical="center" wrapText="1"/>
    </xf>
    <xf numFmtId="0" fontId="34" fillId="0" borderId="209" xfId="0" applyFont="1" applyFill="1" applyBorder="1" applyAlignment="1">
      <alignment vertical="center" wrapText="1"/>
    </xf>
    <xf numFmtId="0" fontId="8" fillId="0" borderId="126" xfId="0" applyFont="1" applyFill="1" applyBorder="1" applyAlignment="1">
      <alignment horizontal="center" vertical="center"/>
    </xf>
    <xf numFmtId="0" fontId="8" fillId="0" borderId="127" xfId="0" applyFont="1" applyFill="1" applyBorder="1" applyAlignment="1">
      <alignment horizontal="center" vertical="center"/>
    </xf>
    <xf numFmtId="0" fontId="8" fillId="0" borderId="264" xfId="0" applyFont="1" applyFill="1" applyBorder="1" applyAlignment="1">
      <alignment vertical="center" wrapText="1"/>
    </xf>
    <xf numFmtId="0" fontId="8" fillId="0" borderId="232" xfId="0" applyFont="1" applyFill="1" applyBorder="1" applyAlignment="1">
      <alignment vertical="center" wrapText="1"/>
    </xf>
    <xf numFmtId="0" fontId="8" fillId="0" borderId="152" xfId="0" applyFont="1" applyFill="1" applyBorder="1" applyAlignment="1">
      <alignment vertical="center" wrapText="1"/>
    </xf>
    <xf numFmtId="0" fontId="69" fillId="0" borderId="209" xfId="0" applyFont="1" applyFill="1" applyBorder="1" applyAlignment="1">
      <alignment vertical="center" wrapText="1"/>
    </xf>
    <xf numFmtId="0" fontId="17" fillId="0" borderId="39" xfId="0" applyFont="1" applyBorder="1" applyAlignment="1" applyProtection="1">
      <alignment vertical="center" shrinkToFit="1"/>
      <protection locked="0"/>
    </xf>
    <xf numFmtId="0" fontId="17" fillId="0" borderId="0" xfId="0" applyFont="1" applyFill="1" applyBorder="1" applyAlignment="1">
      <alignment horizontal="right"/>
    </xf>
    <xf numFmtId="0" fontId="44" fillId="0" borderId="0" xfId="0" applyFont="1" applyFill="1" applyBorder="1" applyAlignment="1">
      <alignment vertical="center"/>
    </xf>
    <xf numFmtId="0" fontId="77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right"/>
    </xf>
    <xf numFmtId="0" fontId="8" fillId="0" borderId="290" xfId="0" applyFont="1" applyFill="1" applyBorder="1" applyAlignment="1">
      <alignment vertical="center"/>
    </xf>
    <xf numFmtId="0" fontId="8" fillId="0" borderId="206" xfId="0" applyFont="1" applyFill="1" applyBorder="1" applyAlignment="1">
      <alignment vertical="center"/>
    </xf>
    <xf numFmtId="0" fontId="0" fillId="0" borderId="171" xfId="0" applyFill="1" applyBorder="1" applyAlignment="1">
      <alignment horizontal="distributed" vertical="center"/>
    </xf>
    <xf numFmtId="0" fontId="0" fillId="0" borderId="169" xfId="0" applyFill="1" applyBorder="1" applyAlignment="1">
      <alignment horizontal="distributed" vertical="center"/>
    </xf>
    <xf numFmtId="38" fontId="13" fillId="0" borderId="23" xfId="0" applyNumberFormat="1" applyFont="1" applyFill="1" applyBorder="1" applyAlignment="1">
      <alignment horizontal="center" shrinkToFit="1"/>
    </xf>
    <xf numFmtId="0" fontId="34" fillId="0" borderId="283" xfId="0" applyFont="1" applyFill="1" applyBorder="1" applyAlignment="1">
      <alignment horizontal="right" vertical="center" wrapText="1"/>
    </xf>
    <xf numFmtId="0" fontId="46" fillId="0" borderId="95" xfId="0" applyFont="1" applyFill="1" applyBorder="1" applyAlignment="1">
      <alignment horizontal="right" vertical="center" wrapText="1"/>
    </xf>
    <xf numFmtId="0" fontId="20" fillId="0" borderId="236" xfId="0" applyFont="1" applyFill="1" applyBorder="1" applyAlignment="1">
      <alignment horizontal="center" vertical="center" shrinkToFit="1"/>
    </xf>
    <xf numFmtId="0" fontId="31" fillId="0" borderId="120" xfId="0" applyFont="1" applyFill="1" applyBorder="1" applyAlignment="1">
      <alignment horizontal="left" vertical="center" shrinkToFit="1"/>
    </xf>
    <xf numFmtId="0" fontId="47" fillId="0" borderId="205" xfId="0" applyFont="1" applyFill="1" applyBorder="1" applyAlignment="1">
      <alignment vertical="center"/>
    </xf>
    <xf numFmtId="0" fontId="20" fillId="0" borderId="206" xfId="0" applyFont="1" applyFill="1" applyBorder="1" applyAlignment="1">
      <alignment vertical="center"/>
    </xf>
    <xf numFmtId="0" fontId="20" fillId="0" borderId="212" xfId="0" applyFont="1" applyFill="1" applyBorder="1" applyAlignment="1">
      <alignment vertical="center"/>
    </xf>
    <xf numFmtId="177" fontId="20" fillId="0" borderId="212" xfId="0" applyNumberFormat="1" applyFont="1" applyFill="1" applyBorder="1" applyAlignment="1">
      <alignment vertical="center"/>
    </xf>
    <xf numFmtId="0" fontId="20" fillId="0" borderId="246" xfId="0" applyFont="1" applyFill="1" applyBorder="1" applyAlignment="1">
      <alignment vertical="center"/>
    </xf>
    <xf numFmtId="0" fontId="20" fillId="0" borderId="247" xfId="0" applyFont="1" applyFill="1" applyBorder="1" applyAlignment="1">
      <alignment vertical="center"/>
    </xf>
    <xf numFmtId="0" fontId="20" fillId="0" borderId="248" xfId="0" applyFont="1" applyFill="1" applyBorder="1" applyAlignment="1">
      <alignment vertical="center"/>
    </xf>
    <xf numFmtId="0" fontId="49" fillId="0" borderId="240" xfId="0" applyFont="1" applyFill="1" applyBorder="1" applyAlignment="1">
      <alignment vertical="center"/>
    </xf>
    <xf numFmtId="0" fontId="20" fillId="0" borderId="249" xfId="0" applyFont="1" applyFill="1" applyBorder="1" applyAlignment="1">
      <alignment vertical="center"/>
    </xf>
    <xf numFmtId="0" fontId="20" fillId="0" borderId="242" xfId="0" applyFont="1" applyFill="1" applyBorder="1" applyAlignment="1">
      <alignment vertical="center"/>
    </xf>
    <xf numFmtId="0" fontId="47" fillId="0" borderId="217" xfId="0" applyFont="1" applyFill="1" applyBorder="1" applyAlignment="1">
      <alignment vertical="center"/>
    </xf>
    <xf numFmtId="177" fontId="20" fillId="0" borderId="219" xfId="0" applyNumberFormat="1" applyFont="1" applyFill="1" applyBorder="1" applyAlignment="1">
      <alignment vertical="center"/>
    </xf>
    <xf numFmtId="0" fontId="47" fillId="0" borderId="250" xfId="0" applyFont="1" applyFill="1" applyBorder="1" applyAlignment="1">
      <alignment vertical="center"/>
    </xf>
    <xf numFmtId="0" fontId="20" fillId="0" borderId="251" xfId="0" applyFont="1" applyFill="1" applyBorder="1" applyAlignment="1">
      <alignment vertical="center"/>
    </xf>
    <xf numFmtId="0" fontId="31" fillId="0" borderId="251" xfId="0" applyFont="1" applyFill="1" applyBorder="1" applyAlignment="1">
      <alignment horizontal="right" vertical="center"/>
    </xf>
    <xf numFmtId="177" fontId="20" fillId="0" borderId="223" xfId="0" applyNumberFormat="1" applyFont="1" applyFill="1" applyBorder="1" applyAlignment="1">
      <alignment vertical="center"/>
    </xf>
    <xf numFmtId="0" fontId="51" fillId="0" borderId="207" xfId="0" applyFont="1" applyFill="1" applyBorder="1" applyAlignment="1">
      <alignment vertical="center"/>
    </xf>
    <xf numFmtId="0" fontId="20" fillId="0" borderId="212" xfId="0" applyFont="1" applyFill="1" applyBorder="1" applyAlignment="1">
      <alignment vertical="center" textRotation="255"/>
    </xf>
    <xf numFmtId="0" fontId="20" fillId="0" borderId="82" xfId="0" applyFont="1" applyFill="1" applyBorder="1" applyAlignment="1">
      <alignment vertical="center"/>
    </xf>
    <xf numFmtId="177" fontId="20" fillId="0" borderId="82" xfId="0" applyNumberFormat="1" applyFont="1" applyFill="1" applyBorder="1" applyAlignment="1">
      <alignment vertical="center"/>
    </xf>
    <xf numFmtId="0" fontId="20" fillId="0" borderId="291" xfId="0" applyFont="1" applyFill="1" applyBorder="1" applyAlignment="1">
      <alignment vertical="center"/>
    </xf>
    <xf numFmtId="0" fontId="20" fillId="0" borderId="253" xfId="0" applyFont="1" applyFill="1" applyBorder="1" applyAlignment="1">
      <alignment vertical="center" textRotation="255"/>
    </xf>
    <xf numFmtId="0" fontId="20" fillId="0" borderId="85" xfId="0" applyFont="1" applyFill="1" applyBorder="1" applyAlignment="1">
      <alignment vertical="center"/>
    </xf>
    <xf numFmtId="177" fontId="20" fillId="0" borderId="85" xfId="0" applyNumberFormat="1" applyFont="1" applyFill="1" applyBorder="1" applyAlignment="1">
      <alignment vertical="center"/>
    </xf>
    <xf numFmtId="0" fontId="20" fillId="0" borderId="89" xfId="0" applyFont="1" applyFill="1" applyBorder="1" applyAlignment="1">
      <alignment vertical="center" textRotation="255"/>
    </xf>
    <xf numFmtId="0" fontId="0" fillId="0" borderId="121" xfId="0" applyFill="1" applyBorder="1" applyAlignment="1">
      <alignment horizontal="center" vertical="center" textRotation="255"/>
    </xf>
    <xf numFmtId="0" fontId="0" fillId="0" borderId="95" xfId="0" applyFill="1" applyBorder="1" applyAlignment="1">
      <alignment horizontal="center" vertical="center" textRotation="255"/>
    </xf>
    <xf numFmtId="0" fontId="0" fillId="0" borderId="89" xfId="0" applyFill="1" applyBorder="1" applyAlignment="1">
      <alignment horizontal="center" vertical="center" textRotation="255"/>
    </xf>
    <xf numFmtId="0" fontId="0" fillId="0" borderId="290" xfId="0" applyFill="1" applyBorder="1" applyAlignment="1">
      <alignment horizontal="left" shrinkToFit="1"/>
    </xf>
    <xf numFmtId="0" fontId="0" fillId="0" borderId="292" xfId="0" applyFill="1" applyBorder="1" applyAlignment="1">
      <alignment horizontal="left" shrinkToFit="1"/>
    </xf>
    <xf numFmtId="0" fontId="0" fillId="0" borderId="89" xfId="0" applyFill="1" applyBorder="1" applyAlignment="1">
      <alignment horizontal="center" vertical="center" wrapText="1"/>
    </xf>
    <xf numFmtId="0" fontId="67" fillId="0" borderId="115" xfId="0" applyFont="1" applyFill="1" applyBorder="1" applyAlignment="1">
      <alignment horizontal="right" vertical="center" wrapText="1" shrinkToFit="1"/>
    </xf>
    <xf numFmtId="0" fontId="0" fillId="0" borderId="142" xfId="0" applyFill="1" applyBorder="1" applyAlignment="1">
      <alignment horizontal="right" vertical="center" wrapText="1" shrinkToFit="1"/>
    </xf>
    <xf numFmtId="0" fontId="0" fillId="0" borderId="140" xfId="0" applyFill="1" applyBorder="1" applyAlignment="1">
      <alignment horizontal="right" vertical="center" wrapText="1" shrinkToFit="1"/>
    </xf>
    <xf numFmtId="0" fontId="8" fillId="23" borderId="205" xfId="4" applyFont="1" applyFill="1" applyBorder="1" applyAlignment="1">
      <alignment horizontal="right"/>
    </xf>
    <xf numFmtId="0" fontId="8" fillId="23" borderId="206" xfId="4" applyFont="1" applyFill="1" applyBorder="1" applyAlignment="1">
      <alignment horizontal="right"/>
    </xf>
    <xf numFmtId="0" fontId="8" fillId="23" borderId="207" xfId="4" applyFont="1" applyFill="1" applyBorder="1" applyAlignment="1">
      <alignment horizontal="right"/>
    </xf>
    <xf numFmtId="0" fontId="8" fillId="29" borderId="23" xfId="4" applyFont="1" applyFill="1" applyBorder="1" applyAlignment="1">
      <alignment horizontal="center" shrinkToFit="1"/>
    </xf>
    <xf numFmtId="0" fontId="8" fillId="23" borderId="121" xfId="4" applyFont="1" applyFill="1" applyBorder="1" applyAlignment="1">
      <alignment horizontal="center" shrinkToFit="1"/>
    </xf>
    <xf numFmtId="0" fontId="8" fillId="23" borderId="95" xfId="4" applyFont="1" applyFill="1" applyBorder="1" applyAlignment="1"/>
    <xf numFmtId="38" fontId="8" fillId="29" borderId="23" xfId="4" applyNumberFormat="1" applyFont="1" applyFill="1" applyBorder="1" applyAlignment="1">
      <alignment horizontal="center" shrinkToFit="1"/>
    </xf>
    <xf numFmtId="38" fontId="8" fillId="29" borderId="95" xfId="4" applyNumberFormat="1" applyFont="1" applyFill="1" applyBorder="1" applyAlignment="1">
      <alignment horizontal="center" vertical="center" shrinkToFit="1"/>
    </xf>
    <xf numFmtId="38" fontId="8" fillId="29" borderId="89" xfId="4" applyNumberFormat="1" applyFont="1" applyFill="1" applyBorder="1" applyAlignment="1">
      <alignment horizontal="center" vertical="center" shrinkToFit="1"/>
    </xf>
    <xf numFmtId="0" fontId="8" fillId="23" borderId="206" xfId="4" applyFont="1" applyFill="1" applyBorder="1" applyAlignment="1">
      <alignment horizontal="left"/>
    </xf>
    <xf numFmtId="0" fontId="8" fillId="23" borderId="15" xfId="4" applyFont="1" applyFill="1" applyBorder="1" applyAlignment="1">
      <alignment horizontal="left"/>
    </xf>
    <xf numFmtId="0" fontId="8" fillId="23" borderId="149" xfId="4" applyFont="1" applyFill="1" applyBorder="1" applyAlignment="1">
      <alignment horizontal="center"/>
    </xf>
    <xf numFmtId="38" fontId="8" fillId="23" borderId="149" xfId="4" applyNumberFormat="1" applyFont="1" applyFill="1" applyBorder="1" applyAlignment="1">
      <alignment horizontal="right"/>
    </xf>
    <xf numFmtId="0" fontId="8" fillId="23" borderId="171" xfId="4" applyFont="1" applyFill="1" applyBorder="1" applyAlignment="1">
      <alignment horizontal="left"/>
    </xf>
    <xf numFmtId="0" fontId="8" fillId="23" borderId="171" xfId="4" applyFont="1" applyFill="1" applyBorder="1" applyAlignment="1">
      <alignment horizontal="left" shrinkToFit="1"/>
    </xf>
    <xf numFmtId="0" fontId="8" fillId="23" borderId="82" xfId="4" applyFont="1" applyFill="1" applyBorder="1" applyAlignment="1">
      <alignment horizontal="center"/>
    </xf>
    <xf numFmtId="38" fontId="8" fillId="23" borderId="82" xfId="4" applyNumberFormat="1" applyFont="1" applyFill="1" applyBorder="1" applyAlignment="1">
      <alignment horizontal="right"/>
    </xf>
    <xf numFmtId="0" fontId="8" fillId="0" borderId="142" xfId="4" applyFont="1" applyBorder="1" applyAlignment="1"/>
    <xf numFmtId="0" fontId="8" fillId="23" borderId="23" xfId="4" applyFont="1" applyFill="1" applyBorder="1" applyAlignment="1">
      <alignment horizontal="right"/>
    </xf>
    <xf numFmtId="38" fontId="8" fillId="23" borderId="23" xfId="4" applyNumberFormat="1" applyFont="1" applyFill="1" applyBorder="1" applyAlignment="1">
      <alignment horizontal="right"/>
    </xf>
    <xf numFmtId="38" fontId="8" fillId="23" borderId="23" xfId="4" applyNumberFormat="1" applyFont="1" applyFill="1" applyBorder="1" applyAlignment="1">
      <alignment horizontal="right" shrinkToFit="1"/>
    </xf>
    <xf numFmtId="0" fontId="8" fillId="17" borderId="207" xfId="4" applyFont="1" applyFill="1" applyBorder="1" applyAlignment="1">
      <alignment horizontal="right"/>
    </xf>
    <xf numFmtId="0" fontId="8" fillId="17" borderId="142" xfId="4" applyFont="1" applyFill="1" applyBorder="1" applyAlignment="1">
      <alignment horizontal="left"/>
    </xf>
    <xf numFmtId="0" fontId="8" fillId="17" borderId="23" xfId="4" applyFont="1" applyFill="1" applyBorder="1" applyAlignment="1">
      <alignment horizontal="right"/>
    </xf>
    <xf numFmtId="38" fontId="8" fillId="17" borderId="23" xfId="4" applyNumberFormat="1" applyFont="1" applyFill="1" applyBorder="1" applyAlignment="1">
      <alignment horizontal="right"/>
    </xf>
    <xf numFmtId="38" fontId="8" fillId="17" borderId="23" xfId="4" applyNumberFormat="1" applyFont="1" applyFill="1" applyBorder="1" applyAlignment="1">
      <alignment horizontal="right" shrinkToFit="1"/>
    </xf>
    <xf numFmtId="0" fontId="8" fillId="23" borderId="142" xfId="4" applyFont="1" applyFill="1" applyBorder="1" applyAlignment="1">
      <alignment horizontal="center" vertical="center"/>
    </xf>
    <xf numFmtId="38" fontId="8" fillId="17" borderId="120" xfId="4" applyNumberFormat="1" applyFont="1" applyFill="1" applyBorder="1" applyAlignment="1">
      <alignment horizontal="right" shrinkToFit="1"/>
    </xf>
    <xf numFmtId="0" fontId="8" fillId="23" borderId="121" xfId="4" applyFont="1" applyFill="1" applyBorder="1" applyAlignment="1">
      <alignment horizontal="right"/>
    </xf>
    <xf numFmtId="38" fontId="8" fillId="23" borderId="121" xfId="4" applyNumberFormat="1" applyFont="1" applyFill="1" applyBorder="1" applyAlignment="1">
      <alignment horizontal="right"/>
    </xf>
    <xf numFmtId="0" fontId="8" fillId="23" borderId="291" xfId="4" applyFont="1" applyFill="1" applyBorder="1" applyAlignment="1">
      <alignment horizontal="right"/>
    </xf>
    <xf numFmtId="0" fontId="8" fillId="23" borderId="290" xfId="4" applyFont="1" applyFill="1" applyBorder="1" applyAlignment="1">
      <alignment horizontal="right"/>
    </xf>
    <xf numFmtId="0" fontId="8" fillId="23" borderId="169" xfId="4" applyFont="1" applyFill="1" applyBorder="1" applyAlignment="1">
      <alignment horizontal="center"/>
    </xf>
    <xf numFmtId="0" fontId="8" fillId="23" borderId="169" xfId="4" applyFont="1" applyFill="1" applyBorder="1" applyAlignment="1">
      <alignment horizontal="left"/>
    </xf>
    <xf numFmtId="0" fontId="8" fillId="23" borderId="85" xfId="4" applyFont="1" applyFill="1" applyBorder="1" applyAlignment="1">
      <alignment horizontal="right"/>
    </xf>
    <xf numFmtId="38" fontId="8" fillId="23" borderId="85" xfId="4" applyNumberFormat="1" applyFont="1" applyFill="1" applyBorder="1" applyAlignment="1">
      <alignment horizontal="right"/>
    </xf>
    <xf numFmtId="38" fontId="8" fillId="23" borderId="121" xfId="4" applyNumberFormat="1" applyFont="1" applyFill="1" applyBorder="1" applyAlignment="1">
      <alignment horizontal="right" shrinkToFit="1"/>
    </xf>
    <xf numFmtId="0" fontId="8" fillId="17" borderId="171" xfId="4" applyFont="1" applyFill="1" applyBorder="1" applyAlignment="1">
      <alignment horizontal="left"/>
    </xf>
    <xf numFmtId="0" fontId="8" fillId="17" borderId="82" xfId="4" applyFont="1" applyFill="1" applyBorder="1" applyAlignment="1">
      <alignment horizontal="right"/>
    </xf>
    <xf numFmtId="38" fontId="8" fillId="17" borderId="82" xfId="4" applyNumberFormat="1" applyFont="1" applyFill="1" applyBorder="1" applyAlignment="1">
      <alignment horizontal="right"/>
    </xf>
    <xf numFmtId="38" fontId="8" fillId="17" borderId="82" xfId="4" applyNumberFormat="1" applyFont="1" applyFill="1" applyBorder="1" applyAlignment="1">
      <alignment horizontal="right" shrinkToFit="1"/>
    </xf>
    <xf numFmtId="0" fontId="8" fillId="17" borderId="95" xfId="4" applyFont="1" applyFill="1" applyBorder="1" applyAlignment="1">
      <alignment horizontal="right"/>
    </xf>
    <xf numFmtId="38" fontId="8" fillId="17" borderId="95" xfId="4" applyNumberFormat="1" applyFont="1" applyFill="1" applyBorder="1" applyAlignment="1">
      <alignment horizontal="right" shrinkToFit="1"/>
    </xf>
    <xf numFmtId="0" fontId="8" fillId="17" borderId="142" xfId="4" applyFont="1" applyFill="1" applyBorder="1" applyAlignment="1">
      <alignment horizontal="right"/>
    </xf>
    <xf numFmtId="0" fontId="8" fillId="23" borderId="14" xfId="4" applyFont="1" applyFill="1" applyBorder="1" applyAlignment="1">
      <alignment horizontal="right"/>
    </xf>
    <xf numFmtId="0" fontId="8" fillId="23" borderId="149" xfId="4" applyFont="1" applyFill="1" applyBorder="1" applyAlignment="1">
      <alignment horizontal="right"/>
    </xf>
    <xf numFmtId="38" fontId="8" fillId="23" borderId="149" xfId="4" applyNumberFormat="1" applyFont="1" applyFill="1" applyBorder="1" applyAlignment="1">
      <alignment horizontal="right" shrinkToFit="1"/>
    </xf>
    <xf numFmtId="0" fontId="8" fillId="23" borderId="15" xfId="4" applyFont="1" applyFill="1" applyBorder="1" applyAlignment="1">
      <alignment horizontal="right"/>
    </xf>
    <xf numFmtId="0" fontId="8" fillId="23" borderId="212" xfId="4" applyFont="1" applyFill="1" applyBorder="1" applyAlignment="1">
      <alignment horizontal="center"/>
    </xf>
    <xf numFmtId="0" fontId="8" fillId="23" borderId="212" xfId="4" applyFont="1" applyFill="1" applyBorder="1" applyAlignment="1">
      <alignment horizontal="center" shrinkToFit="1"/>
    </xf>
    <xf numFmtId="0" fontId="39" fillId="23" borderId="207" xfId="4" applyFont="1" applyFill="1" applyBorder="1" applyAlignment="1">
      <alignment horizontal="left"/>
    </xf>
    <xf numFmtId="0" fontId="47" fillId="23" borderId="290" xfId="4" applyFont="1" applyFill="1" applyBorder="1" applyAlignment="1">
      <alignment horizontal="left"/>
    </xf>
    <xf numFmtId="0" fontId="8" fillId="23" borderId="89" xfId="4" applyFont="1" applyFill="1" applyBorder="1" applyAlignment="1">
      <alignment horizontal="center"/>
    </xf>
    <xf numFmtId="0" fontId="8" fillId="23" borderId="89" xfId="4" applyFont="1" applyFill="1" applyBorder="1" applyAlignment="1">
      <alignment horizontal="right"/>
    </xf>
    <xf numFmtId="0" fontId="8" fillId="23" borderId="89" xfId="4" applyFont="1" applyFill="1" applyBorder="1" applyAlignment="1">
      <alignment horizontal="right" shrinkToFit="1"/>
    </xf>
    <xf numFmtId="0" fontId="8" fillId="23" borderId="142" xfId="4" applyFont="1" applyFill="1" applyBorder="1" applyAlignment="1">
      <alignment horizontal="left" shrinkToFit="1"/>
    </xf>
    <xf numFmtId="0" fontId="20" fillId="23" borderId="142" xfId="4" applyFont="1" applyFill="1" applyBorder="1" applyAlignment="1">
      <alignment horizontal="left"/>
    </xf>
    <xf numFmtId="0" fontId="8" fillId="23" borderId="142" xfId="4" quotePrefix="1" applyFont="1" applyFill="1" applyBorder="1" applyAlignment="1">
      <alignment horizontal="left" shrinkToFit="1"/>
    </xf>
    <xf numFmtId="38" fontId="8" fillId="10" borderId="23" xfId="4" applyNumberFormat="1" applyFont="1" applyFill="1" applyBorder="1" applyAlignment="1">
      <alignment horizontal="right" shrinkToFit="1"/>
    </xf>
    <xf numFmtId="0" fontId="8" fillId="23" borderId="142" xfId="4" quotePrefix="1" applyFont="1" applyFill="1" applyBorder="1" applyAlignment="1">
      <alignment horizontal="left"/>
    </xf>
    <xf numFmtId="0" fontId="8" fillId="23" borderId="120" xfId="4" applyFont="1" applyFill="1" applyBorder="1" applyAlignment="1">
      <alignment horizontal="right"/>
    </xf>
    <xf numFmtId="0" fontId="8" fillId="23" borderId="169" xfId="4" applyFont="1" applyFill="1" applyBorder="1" applyAlignment="1">
      <alignment horizontal="left" shrinkToFit="1"/>
    </xf>
    <xf numFmtId="0" fontId="8" fillId="23" borderId="23" xfId="4" applyFont="1" applyFill="1" applyBorder="1" applyAlignment="1">
      <alignment horizontal="left" shrinkToFit="1"/>
    </xf>
    <xf numFmtId="0" fontId="8" fillId="23" borderId="23" xfId="4" quotePrefix="1" applyFont="1" applyFill="1" applyBorder="1" applyAlignment="1">
      <alignment horizontal="left" shrinkToFit="1"/>
    </xf>
    <xf numFmtId="0" fontId="8" fillId="23" borderId="196" xfId="4" applyFont="1" applyFill="1" applyBorder="1" applyAlignment="1">
      <alignment horizontal="center" vertical="center" shrinkToFit="1"/>
    </xf>
    <xf numFmtId="0" fontId="8" fillId="23" borderId="206" xfId="4" applyFont="1" applyFill="1" applyBorder="1" applyAlignment="1">
      <alignment horizontal="center" vertical="center" shrinkToFit="1"/>
    </xf>
    <xf numFmtId="0" fontId="8" fillId="23" borderId="206" xfId="4" applyFont="1" applyFill="1" applyBorder="1" applyAlignment="1">
      <alignment horizontal="left" shrinkToFit="1"/>
    </xf>
    <xf numFmtId="0" fontId="8" fillId="23" borderId="23" xfId="4" applyFont="1" applyFill="1" applyBorder="1" applyAlignment="1">
      <alignment horizontal="left" vertical="center" shrinkToFit="1"/>
    </xf>
    <xf numFmtId="0" fontId="8" fillId="23" borderId="257" xfId="4" applyFont="1" applyFill="1" applyBorder="1" applyAlignment="1">
      <alignment horizontal="center" vertical="center" shrinkToFit="1"/>
    </xf>
    <xf numFmtId="49" fontId="8" fillId="23" borderId="85" xfId="4" applyNumberFormat="1" applyFont="1" applyFill="1" applyBorder="1" applyAlignment="1">
      <alignment horizontal="left" shrinkToFit="1"/>
    </xf>
    <xf numFmtId="0" fontId="8" fillId="17" borderId="23" xfId="4" applyFont="1" applyFill="1" applyBorder="1" applyAlignment="1">
      <alignment horizontal="left" shrinkToFit="1"/>
    </xf>
    <xf numFmtId="191" fontId="8" fillId="17" borderId="23" xfId="4" applyNumberFormat="1" applyFont="1" applyFill="1" applyBorder="1" applyAlignment="1">
      <alignment horizontal="right" shrinkToFit="1"/>
    </xf>
    <xf numFmtId="10" fontId="8" fillId="17" borderId="23" xfId="4" quotePrefix="1" applyNumberFormat="1" applyFont="1" applyFill="1" applyBorder="1" applyAlignment="1">
      <alignment horizontal="center" shrinkToFit="1"/>
    </xf>
    <xf numFmtId="0" fontId="8" fillId="23" borderId="85" xfId="4" applyFont="1" applyFill="1" applyBorder="1" applyAlignment="1">
      <alignment horizontal="left" shrinkToFit="1"/>
    </xf>
    <xf numFmtId="0" fontId="8" fillId="0" borderId="142" xfId="4" applyFont="1" applyBorder="1" applyAlignment="1">
      <alignment horizontal="right"/>
    </xf>
    <xf numFmtId="0" fontId="8" fillId="0" borderId="140" xfId="4" applyFont="1" applyBorder="1" applyAlignment="1">
      <alignment horizontal="right"/>
    </xf>
    <xf numFmtId="0" fontId="8" fillId="23" borderId="147" xfId="4" applyFont="1" applyFill="1" applyBorder="1" applyAlignment="1">
      <alignment horizontal="center"/>
    </xf>
    <xf numFmtId="0" fontId="8" fillId="23" borderId="235" xfId="4" applyFont="1" applyFill="1" applyBorder="1" applyAlignment="1">
      <alignment horizontal="center"/>
    </xf>
    <xf numFmtId="0" fontId="8" fillId="23" borderId="194" xfId="4" applyFont="1" applyFill="1" applyBorder="1" applyAlignment="1">
      <alignment horizontal="center" vertical="center" shrinkToFit="1"/>
    </xf>
    <xf numFmtId="38" fontId="8" fillId="28" borderId="121" xfId="4" applyNumberFormat="1" applyFont="1" applyFill="1" applyBorder="1" applyAlignment="1">
      <alignment horizontal="right"/>
    </xf>
    <xf numFmtId="38" fontId="13" fillId="0" borderId="149" xfId="1" applyFont="1" applyFill="1" applyBorder="1" applyAlignment="1">
      <alignment horizontal="right" shrinkToFit="1"/>
    </xf>
    <xf numFmtId="3" fontId="8" fillId="0" borderId="82" xfId="0" applyNumberFormat="1" applyFont="1" applyFill="1" applyBorder="1" applyAlignment="1">
      <alignment horizontal="right"/>
    </xf>
    <xf numFmtId="179" fontId="20" fillId="0" borderId="46" xfId="0" applyNumberFormat="1" applyFont="1" applyBorder="1" applyAlignment="1" applyProtection="1">
      <alignment horizontal="center" vertical="center" shrinkToFit="1"/>
      <protection locked="0"/>
    </xf>
    <xf numFmtId="0" fontId="20" fillId="0" borderId="124" xfId="0" applyFont="1" applyBorder="1" applyAlignment="1">
      <alignment horizontal="center" vertical="center" shrinkToFit="1"/>
    </xf>
    <xf numFmtId="0" fontId="40" fillId="0" borderId="0" xfId="0" applyFont="1" applyAlignment="1">
      <alignment vertical="center"/>
    </xf>
    <xf numFmtId="0" fontId="0" fillId="0" borderId="0" xfId="0" applyFont="1"/>
    <xf numFmtId="0" fontId="7" fillId="0" borderId="0" xfId="0" applyFont="1" applyAlignment="1">
      <alignment horizontal="center"/>
    </xf>
    <xf numFmtId="0" fontId="7" fillId="0" borderId="313" xfId="0" applyFont="1" applyBorder="1" applyAlignment="1">
      <alignment horizontal="center" vertical="center"/>
    </xf>
    <xf numFmtId="0" fontId="7" fillId="0" borderId="23" xfId="0" applyNumberFormat="1" applyFont="1" applyBorder="1" applyAlignment="1">
      <alignment vertical="center" shrinkToFit="1"/>
    </xf>
    <xf numFmtId="0" fontId="7" fillId="0" borderId="23" xfId="0" applyNumberFormat="1" applyFont="1" applyFill="1" applyBorder="1" applyAlignment="1">
      <alignment vertical="center" shrinkToFit="1"/>
    </xf>
    <xf numFmtId="187" fontId="7" fillId="0" borderId="142" xfId="0" applyNumberFormat="1" applyFont="1" applyFill="1" applyBorder="1" applyAlignment="1">
      <alignment vertical="center"/>
    </xf>
    <xf numFmtId="187" fontId="7" fillId="0" borderId="23" xfId="0" applyNumberFormat="1" applyFont="1" applyFill="1" applyBorder="1" applyAlignment="1">
      <alignment vertical="center"/>
    </xf>
    <xf numFmtId="177" fontId="7" fillId="0" borderId="23" xfId="0" applyNumberFormat="1" applyFont="1" applyFill="1" applyBorder="1" applyAlignment="1">
      <alignment horizontal="center" vertical="center"/>
    </xf>
    <xf numFmtId="177" fontId="7" fillId="0" borderId="23" xfId="0" applyNumberFormat="1" applyFont="1" applyFill="1" applyBorder="1" applyAlignment="1">
      <alignment vertical="center"/>
    </xf>
    <xf numFmtId="38" fontId="7" fillId="0" borderId="140" xfId="1" applyFont="1" applyFill="1" applyBorder="1" applyAlignment="1">
      <alignment vertical="center"/>
    </xf>
    <xf numFmtId="38" fontId="7" fillId="0" borderId="23" xfId="1" applyFont="1" applyFill="1" applyBorder="1" applyAlignment="1">
      <alignment vertical="center"/>
    </xf>
    <xf numFmtId="177" fontId="7" fillId="0" borderId="142" xfId="0" applyNumberFormat="1" applyFont="1" applyFill="1" applyBorder="1" applyAlignment="1">
      <alignment vertical="center"/>
    </xf>
    <xf numFmtId="177" fontId="7" fillId="0" borderId="143" xfId="0" applyNumberFormat="1" applyFont="1" applyFill="1" applyBorder="1" applyAlignment="1">
      <alignment vertical="center"/>
    </xf>
    <xf numFmtId="0" fontId="7" fillId="0" borderId="143" xfId="0" applyNumberFormat="1" applyFont="1" applyFill="1" applyBorder="1" applyAlignment="1">
      <alignment vertical="center"/>
    </xf>
    <xf numFmtId="38" fontId="7" fillId="0" borderId="23" xfId="1" applyFont="1" applyBorder="1" applyAlignment="1">
      <alignment horizontal="right" vertical="center"/>
    </xf>
    <xf numFmtId="0" fontId="7" fillId="0" borderId="140" xfId="0" applyNumberFormat="1" applyFont="1" applyBorder="1" applyAlignment="1">
      <alignment horizontal="left" vertical="center" shrinkToFit="1"/>
    </xf>
    <xf numFmtId="0" fontId="7" fillId="0" borderId="23" xfId="0" applyFont="1" applyBorder="1" applyAlignment="1">
      <alignment horizontal="right" vertical="top"/>
    </xf>
    <xf numFmtId="0" fontId="17" fillId="0" borderId="309" xfId="0" applyFont="1" applyBorder="1" applyAlignment="1" applyProtection="1">
      <alignment vertical="center"/>
      <protection locked="0"/>
    </xf>
    <xf numFmtId="0" fontId="7" fillId="0" borderId="23" xfId="0" applyNumberFormat="1" applyFont="1" applyFill="1" applyBorder="1" applyAlignment="1">
      <alignment vertical="center"/>
    </xf>
    <xf numFmtId="0" fontId="7" fillId="0" borderId="140" xfId="0" applyNumberFormat="1" applyFont="1" applyBorder="1" applyAlignment="1">
      <alignment horizontal="left" vertical="center"/>
    </xf>
    <xf numFmtId="187" fontId="7" fillId="0" borderId="142" xfId="0" applyNumberFormat="1" applyFont="1" applyBorder="1" applyAlignment="1">
      <alignment vertical="center" shrinkToFit="1"/>
    </xf>
    <xf numFmtId="187" fontId="7" fillId="0" borderId="23" xfId="0" applyNumberFormat="1" applyFont="1" applyBorder="1" applyAlignment="1">
      <alignment vertical="center" shrinkToFit="1"/>
    </xf>
    <xf numFmtId="177" fontId="7" fillId="0" borderId="23" xfId="0" applyNumberFormat="1" applyFont="1" applyBorder="1" applyAlignment="1">
      <alignment horizontal="center" vertical="center" shrinkToFit="1"/>
    </xf>
    <xf numFmtId="187" fontId="7" fillId="0" borderId="142" xfId="0" applyNumberFormat="1" applyFont="1" applyFill="1" applyBorder="1" applyAlignment="1">
      <alignment vertical="center" shrinkToFit="1"/>
    </xf>
    <xf numFmtId="187" fontId="7" fillId="0" borderId="23" xfId="0" applyNumberFormat="1" applyFont="1" applyFill="1" applyBorder="1" applyAlignment="1">
      <alignment vertical="center" shrinkToFit="1"/>
    </xf>
    <xf numFmtId="177" fontId="7" fillId="0" borderId="23" xfId="0" applyNumberFormat="1" applyFont="1" applyFill="1" applyBorder="1" applyAlignment="1">
      <alignment horizontal="center" vertical="center" shrinkToFit="1"/>
    </xf>
    <xf numFmtId="0" fontId="35" fillId="0" borderId="320" xfId="0" applyFont="1" applyBorder="1" applyAlignment="1" applyProtection="1">
      <alignment vertical="center"/>
    </xf>
    <xf numFmtId="0" fontId="20" fillId="0" borderId="321" xfId="0" applyFont="1" applyBorder="1" applyAlignment="1">
      <alignment horizontal="center" vertical="center"/>
    </xf>
    <xf numFmtId="0" fontId="20" fillId="0" borderId="322" xfId="0" applyFont="1" applyBorder="1" applyAlignment="1">
      <alignment horizontal="center" vertical="center"/>
    </xf>
    <xf numFmtId="0" fontId="20" fillId="0" borderId="323" xfId="0" applyFont="1" applyBorder="1" applyAlignment="1">
      <alignment horizontal="center" vertical="center"/>
    </xf>
    <xf numFmtId="0" fontId="20" fillId="0" borderId="319" xfId="0" applyFont="1" applyBorder="1" applyAlignment="1">
      <alignment horizontal="center" vertical="center"/>
    </xf>
    <xf numFmtId="0" fontId="20" fillId="0" borderId="324" xfId="0" applyFont="1" applyBorder="1" applyAlignment="1">
      <alignment horizontal="center" vertical="center"/>
    </xf>
    <xf numFmtId="0" fontId="20" fillId="0" borderId="325" xfId="0" applyFont="1" applyBorder="1" applyAlignment="1">
      <alignment horizontal="center" vertical="center"/>
    </xf>
    <xf numFmtId="0" fontId="20" fillId="0" borderId="321" xfId="0" applyFont="1" applyBorder="1" applyAlignment="1" applyProtection="1">
      <alignment horizontal="center" vertical="center" shrinkToFit="1"/>
      <protection locked="0"/>
    </xf>
    <xf numFmtId="178" fontId="20" fillId="0" borderId="322" xfId="0" applyNumberFormat="1" applyFont="1" applyBorder="1" applyAlignment="1" applyProtection="1">
      <alignment horizontal="center" vertical="center" shrinkToFit="1"/>
      <protection locked="0"/>
    </xf>
    <xf numFmtId="178" fontId="20" fillId="0" borderId="323" xfId="0" applyNumberFormat="1" applyFont="1" applyBorder="1" applyAlignment="1" applyProtection="1">
      <alignment horizontal="center" vertical="center" shrinkToFit="1"/>
      <protection locked="0"/>
    </xf>
    <xf numFmtId="0" fontId="20" fillId="0" borderId="330" xfId="0" applyFont="1" applyBorder="1" applyAlignment="1" applyProtection="1">
      <alignment vertical="center" shrinkToFit="1"/>
      <protection locked="0"/>
    </xf>
    <xf numFmtId="0" fontId="20" fillId="0" borderId="319" xfId="0" applyFont="1" applyBorder="1" applyAlignment="1" applyProtection="1">
      <alignment horizontal="right" vertical="center" shrinkToFit="1"/>
      <protection locked="0"/>
    </xf>
    <xf numFmtId="0" fontId="20" fillId="0" borderId="331" xfId="0" applyFont="1" applyBorder="1" applyAlignment="1" applyProtection="1">
      <alignment horizontal="right" vertical="center" shrinkToFit="1"/>
      <protection locked="0"/>
    </xf>
    <xf numFmtId="179" fontId="20" fillId="0" borderId="327" xfId="0" applyNumberFormat="1" applyFont="1" applyBorder="1" applyAlignment="1" applyProtection="1">
      <alignment horizontal="center" vertical="center" shrinkToFit="1"/>
      <protection locked="0"/>
    </xf>
    <xf numFmtId="179" fontId="20" fillId="0" borderId="328" xfId="0" applyNumberFormat="1" applyFont="1" applyBorder="1" applyAlignment="1" applyProtection="1">
      <alignment horizontal="center" vertical="center" shrinkToFit="1"/>
      <protection locked="0"/>
    </xf>
    <xf numFmtId="0" fontId="20" fillId="0" borderId="332" xfId="0" applyFont="1" applyBorder="1" applyAlignment="1">
      <alignment horizontal="center" vertical="center" shrinkToFit="1"/>
    </xf>
    <xf numFmtId="0" fontId="20" fillId="0" borderId="322" xfId="0" applyFont="1" applyBorder="1" applyAlignment="1">
      <alignment horizontal="center" vertical="center" shrinkToFit="1"/>
    </xf>
    <xf numFmtId="0" fontId="20" fillId="0" borderId="316" xfId="0" applyFont="1" applyBorder="1" applyAlignment="1" applyProtection="1">
      <alignment vertical="center" shrinkToFit="1"/>
      <protection locked="0"/>
    </xf>
    <xf numFmtId="0" fontId="20" fillId="0" borderId="319" xfId="0" applyFont="1" applyBorder="1" applyAlignment="1" applyProtection="1">
      <alignment vertical="center" shrinkToFit="1"/>
      <protection locked="0"/>
    </xf>
    <xf numFmtId="0" fontId="20" fillId="0" borderId="317" xfId="0" applyFont="1" applyBorder="1" applyAlignment="1" applyProtection="1">
      <alignment vertical="center" shrinkToFit="1"/>
      <protection locked="0"/>
    </xf>
    <xf numFmtId="0" fontId="20" fillId="0" borderId="319" xfId="0" applyFont="1" applyBorder="1" applyAlignment="1" applyProtection="1">
      <alignment horizontal="center" vertical="center" shrinkToFit="1"/>
      <protection locked="0"/>
    </xf>
    <xf numFmtId="176" fontId="20" fillId="0" borderId="333" xfId="0" applyNumberFormat="1" applyFont="1" applyBorder="1" applyAlignment="1" applyProtection="1">
      <alignment vertical="center" shrinkToFit="1"/>
    </xf>
    <xf numFmtId="179" fontId="20" fillId="0" borderId="318" xfId="0" applyNumberFormat="1" applyFont="1" applyBorder="1" applyAlignment="1" applyProtection="1">
      <alignment horizontal="center" vertical="center" shrinkToFit="1"/>
      <protection locked="0"/>
    </xf>
    <xf numFmtId="0" fontId="20" fillId="0" borderId="333" xfId="0" applyNumberFormat="1" applyFont="1" applyFill="1" applyBorder="1" applyAlignment="1" applyProtection="1">
      <alignment vertical="center" shrinkToFit="1"/>
    </xf>
    <xf numFmtId="178" fontId="20" fillId="0" borderId="334" xfId="0" applyNumberFormat="1" applyFont="1" applyBorder="1" applyAlignment="1" applyProtection="1">
      <alignment horizontal="center" vertical="center" shrinkToFit="1"/>
      <protection locked="0"/>
    </xf>
    <xf numFmtId="0" fontId="20" fillId="0" borderId="334" xfId="0" applyFont="1" applyBorder="1" applyAlignment="1" applyProtection="1">
      <alignment vertical="center" shrinkToFit="1"/>
      <protection locked="0"/>
    </xf>
    <xf numFmtId="0" fontId="20" fillId="0" borderId="334" xfId="0" applyFont="1" applyBorder="1" applyAlignment="1" applyProtection="1">
      <alignment horizontal="center" vertical="center" shrinkToFit="1"/>
      <protection locked="0"/>
    </xf>
    <xf numFmtId="179" fontId="20" fillId="11" borderId="334" xfId="0" applyNumberFormat="1" applyFont="1" applyFill="1" applyBorder="1" applyAlignment="1" applyProtection="1">
      <alignment vertical="center" shrinkToFit="1"/>
      <protection locked="0"/>
    </xf>
    <xf numFmtId="179" fontId="20" fillId="12" borderId="334" xfId="0" applyNumberFormat="1" applyFont="1" applyFill="1" applyBorder="1" applyAlignment="1" applyProtection="1">
      <alignment vertical="center" shrinkToFit="1"/>
      <protection locked="0"/>
    </xf>
    <xf numFmtId="0" fontId="8" fillId="0" borderId="335" xfId="0" applyFont="1" applyBorder="1" applyAlignment="1">
      <alignment vertical="center"/>
    </xf>
    <xf numFmtId="0" fontId="0" fillId="0" borderId="334" xfId="0" applyBorder="1" applyAlignment="1">
      <alignment vertical="center"/>
    </xf>
    <xf numFmtId="0" fontId="0" fillId="0" borderId="336" xfId="0" applyBorder="1" applyAlignment="1">
      <alignment horizontal="right" vertical="center" shrinkToFit="1"/>
    </xf>
    <xf numFmtId="179" fontId="20" fillId="0" borderId="315" xfId="0" applyNumberFormat="1" applyFont="1" applyBorder="1" applyAlignment="1" applyProtection="1">
      <alignment vertical="center" shrinkToFit="1"/>
    </xf>
    <xf numFmtId="179" fontId="20" fillId="0" borderId="334" xfId="0" applyNumberFormat="1" applyFont="1" applyFill="1" applyBorder="1" applyAlignment="1" applyProtection="1">
      <alignment vertical="center" shrinkToFit="1"/>
      <protection locked="0"/>
    </xf>
    <xf numFmtId="179" fontId="20" fillId="0" borderId="334" xfId="0" applyNumberFormat="1" applyFont="1" applyFill="1" applyBorder="1" applyAlignment="1" applyProtection="1">
      <alignment vertical="center" shrinkToFit="1"/>
    </xf>
    <xf numFmtId="0" fontId="16" fillId="0" borderId="337" xfId="0" applyFont="1" applyBorder="1" applyAlignment="1" applyProtection="1">
      <alignment horizontal="centerContinuous" vertical="center"/>
    </xf>
    <xf numFmtId="0" fontId="16" fillId="0" borderId="338" xfId="0" applyFont="1" applyBorder="1" applyAlignment="1" applyProtection="1">
      <alignment horizontal="centerContinuous" vertical="center"/>
    </xf>
    <xf numFmtId="0" fontId="16" fillId="0" borderId="339" xfId="0" applyFont="1" applyBorder="1" applyAlignment="1" applyProtection="1">
      <alignment horizontal="center" vertical="center" wrapText="1"/>
    </xf>
    <xf numFmtId="0" fontId="16" fillId="0" borderId="339" xfId="0" applyFont="1" applyBorder="1" applyAlignment="1" applyProtection="1">
      <alignment horizontal="center" vertical="center"/>
    </xf>
    <xf numFmtId="177" fontId="16" fillId="0" borderId="339" xfId="0" applyNumberFormat="1" applyFont="1" applyBorder="1" applyAlignment="1" applyProtection="1">
      <alignment horizontal="center" vertical="center" shrinkToFit="1"/>
    </xf>
    <xf numFmtId="0" fontId="15" fillId="0" borderId="320" xfId="0" applyFont="1" applyBorder="1" applyAlignment="1" applyProtection="1">
      <alignment vertical="center"/>
    </xf>
    <xf numFmtId="0" fontId="17" fillId="0" borderId="342" xfId="0" applyFont="1" applyBorder="1" applyAlignment="1" applyProtection="1">
      <alignment vertical="center"/>
    </xf>
    <xf numFmtId="0" fontId="17" fillId="0" borderId="343" xfId="0" applyFont="1" applyBorder="1" applyAlignment="1" applyProtection="1">
      <alignment vertical="center" wrapText="1"/>
      <protection locked="0"/>
    </xf>
    <xf numFmtId="186" fontId="17" fillId="0" borderId="343" xfId="0" applyNumberFormat="1" applyFont="1" applyBorder="1" applyAlignment="1" applyProtection="1">
      <alignment vertical="center"/>
      <protection locked="0"/>
    </xf>
    <xf numFmtId="0" fontId="17" fillId="0" borderId="343" xfId="0" applyFont="1" applyBorder="1" applyAlignment="1" applyProtection="1">
      <alignment horizontal="center" vertical="center"/>
    </xf>
    <xf numFmtId="177" fontId="12" fillId="0" borderId="343" xfId="0" applyNumberFormat="1" applyFont="1" applyBorder="1" applyAlignment="1" applyProtection="1">
      <alignment horizontal="right" vertical="top" shrinkToFit="1"/>
    </xf>
    <xf numFmtId="0" fontId="9" fillId="0" borderId="337" xfId="0" applyFont="1" applyBorder="1" applyAlignment="1" applyProtection="1">
      <alignment horizontal="centerContinuous" vertical="center"/>
    </xf>
    <xf numFmtId="0" fontId="9" fillId="0" borderId="338" xfId="0" applyFont="1" applyBorder="1" applyAlignment="1" applyProtection="1">
      <alignment horizontal="centerContinuous" vertical="center"/>
    </xf>
    <xf numFmtId="0" fontId="9" fillId="0" borderId="339" xfId="0" applyFont="1" applyBorder="1" applyAlignment="1" applyProtection="1">
      <alignment horizontal="center" vertical="center" wrapText="1"/>
    </xf>
    <xf numFmtId="0" fontId="9" fillId="0" borderId="339" xfId="0" applyFont="1" applyBorder="1" applyAlignment="1" applyProtection="1">
      <alignment horizontal="center" vertical="center"/>
    </xf>
    <xf numFmtId="177" fontId="9" fillId="0" borderId="339" xfId="0" applyNumberFormat="1" applyFont="1" applyBorder="1" applyAlignment="1" applyProtection="1">
      <alignment horizontal="center" vertical="center" shrinkToFit="1"/>
    </xf>
    <xf numFmtId="0" fontId="9" fillId="0" borderId="341" xfId="0" applyFont="1" applyBorder="1" applyAlignment="1" applyProtection="1">
      <alignment horizontal="centerContinuous" vertical="center"/>
    </xf>
    <xf numFmtId="182" fontId="15" fillId="0" borderId="320" xfId="0" applyNumberFormat="1" applyFont="1" applyBorder="1" applyAlignment="1" applyProtection="1">
      <alignment vertical="center"/>
      <protection locked="0"/>
    </xf>
    <xf numFmtId="0" fontId="17" fillId="0" borderId="342" xfId="0" applyFont="1" applyBorder="1" applyAlignment="1" applyProtection="1">
      <alignment vertical="center"/>
      <protection locked="0"/>
    </xf>
    <xf numFmtId="0" fontId="17" fillId="0" borderId="343" xfId="0" applyFont="1" applyBorder="1" applyAlignment="1" applyProtection="1">
      <alignment horizontal="center" vertical="center" shrinkToFit="1"/>
      <protection locked="0"/>
    </xf>
    <xf numFmtId="38" fontId="12" fillId="0" borderId="343" xfId="0" applyNumberFormat="1" applyFont="1" applyBorder="1" applyAlignment="1" applyProtection="1">
      <alignment horizontal="right" vertical="top" shrinkToFit="1"/>
      <protection locked="0"/>
    </xf>
    <xf numFmtId="0" fontId="17" fillId="0" borderId="320" xfId="0" applyFont="1" applyBorder="1" applyAlignment="1" applyProtection="1">
      <alignment horizontal="right" vertical="center"/>
      <protection locked="0"/>
    </xf>
    <xf numFmtId="186" fontId="17" fillId="0" borderId="343" xfId="0" applyNumberFormat="1" applyFont="1" applyBorder="1" applyAlignment="1" applyProtection="1">
      <alignment vertical="center" shrinkToFit="1"/>
      <protection locked="0"/>
    </xf>
    <xf numFmtId="38" fontId="17" fillId="0" borderId="343" xfId="0" applyNumberFormat="1" applyFont="1" applyBorder="1" applyAlignment="1" applyProtection="1">
      <alignment vertical="center" shrinkToFit="1"/>
      <protection locked="0"/>
    </xf>
    <xf numFmtId="177" fontId="17" fillId="0" borderId="343" xfId="0" applyNumberFormat="1" applyFont="1" applyBorder="1" applyAlignment="1" applyProtection="1">
      <alignment vertical="center" shrinkToFit="1"/>
      <protection locked="0"/>
    </xf>
    <xf numFmtId="0" fontId="17" fillId="0" borderId="344" xfId="0" applyFont="1" applyBorder="1" applyAlignment="1" applyProtection="1">
      <alignment vertical="center"/>
      <protection locked="0"/>
    </xf>
    <xf numFmtId="0" fontId="82" fillId="0" borderId="39" xfId="0" applyFont="1" applyBorder="1" applyAlignment="1" applyProtection="1">
      <alignment vertical="center"/>
      <protection locked="0"/>
    </xf>
    <xf numFmtId="0" fontId="7" fillId="0" borderId="345" xfId="0" applyFont="1" applyBorder="1" applyAlignment="1" applyProtection="1">
      <alignment vertical="center"/>
      <protection locked="0"/>
    </xf>
    <xf numFmtId="0" fontId="31" fillId="0" borderId="346" xfId="0" applyFont="1" applyBorder="1" applyAlignment="1" applyProtection="1">
      <alignment horizontal="center" vertical="center" wrapText="1"/>
      <protection locked="0"/>
    </xf>
    <xf numFmtId="0" fontId="17" fillId="0" borderId="342" xfId="0" applyFont="1" applyBorder="1" applyAlignment="1" applyProtection="1">
      <alignment vertical="center" shrinkToFit="1"/>
      <protection locked="0"/>
    </xf>
    <xf numFmtId="0" fontId="17" fillId="0" borderId="343" xfId="0" applyFont="1" applyBorder="1" applyAlignment="1" applyProtection="1">
      <alignment vertical="center" shrinkToFit="1"/>
      <protection locked="0"/>
    </xf>
    <xf numFmtId="0" fontId="17" fillId="0" borderId="343" xfId="0" applyFont="1" applyBorder="1" applyAlignment="1" applyProtection="1">
      <alignment horizontal="center" vertical="center"/>
      <protection locked="0"/>
    </xf>
    <xf numFmtId="38" fontId="12" fillId="0" borderId="343" xfId="0" applyNumberFormat="1" applyFont="1" applyBorder="1" applyAlignment="1" applyProtection="1">
      <alignment horizontal="right" vertical="top"/>
      <protection locked="0"/>
    </xf>
    <xf numFmtId="0" fontId="7" fillId="0" borderId="347" xfId="0" applyFont="1" applyBorder="1" applyAlignment="1" applyProtection="1">
      <alignment vertical="center"/>
      <protection locked="0"/>
    </xf>
    <xf numFmtId="0" fontId="7" fillId="0" borderId="347" xfId="0" applyFont="1" applyBorder="1" applyAlignment="1">
      <alignment vertical="center"/>
    </xf>
    <xf numFmtId="38" fontId="73" fillId="0" borderId="73" xfId="0" applyNumberFormat="1" applyFont="1" applyBorder="1" applyAlignment="1" applyProtection="1">
      <alignment horizontal="right" vertical="center" shrinkToFit="1"/>
      <protection locked="0"/>
    </xf>
    <xf numFmtId="0" fontId="8" fillId="23" borderId="313" xfId="4" applyFont="1" applyFill="1" applyBorder="1" applyAlignment="1">
      <alignment horizontal="left" shrinkToFit="1"/>
    </xf>
    <xf numFmtId="0" fontId="8" fillId="0" borderId="196" xfId="4" applyFont="1" applyBorder="1" applyAlignment="1">
      <alignment horizontal="right" vertical="center" shrinkToFit="1"/>
    </xf>
    <xf numFmtId="0" fontId="27" fillId="0" borderId="200" xfId="0" applyFont="1" applyBorder="1" applyAlignment="1" applyProtection="1">
      <alignment horizontal="center" vertical="center" wrapText="1"/>
    </xf>
    <xf numFmtId="0" fontId="13" fillId="0" borderId="309" xfId="0" applyFont="1" applyBorder="1" applyAlignment="1" applyProtection="1">
      <alignment vertical="center"/>
      <protection locked="0"/>
    </xf>
    <xf numFmtId="177" fontId="9" fillId="30" borderId="71" xfId="0" applyNumberFormat="1" applyFont="1" applyFill="1" applyBorder="1" applyAlignment="1" applyProtection="1">
      <alignment vertical="center" shrinkToFit="1"/>
    </xf>
    <xf numFmtId="0" fontId="7" fillId="28" borderId="314" xfId="0" applyFont="1" applyFill="1" applyBorder="1" applyAlignment="1">
      <alignment vertical="center"/>
    </xf>
    <xf numFmtId="0" fontId="7" fillId="28" borderId="348" xfId="0" applyFont="1" applyFill="1" applyBorder="1" applyAlignment="1">
      <alignment horizontal="right" vertical="center"/>
    </xf>
    <xf numFmtId="0" fontId="7" fillId="28" borderId="349" xfId="0" applyFont="1" applyFill="1" applyBorder="1" applyAlignment="1">
      <alignment vertical="center"/>
    </xf>
    <xf numFmtId="0" fontId="7" fillId="28" borderId="350" xfId="0" applyFont="1" applyFill="1" applyBorder="1" applyAlignment="1">
      <alignment vertical="center"/>
    </xf>
    <xf numFmtId="0" fontId="7" fillId="31" borderId="350" xfId="0" applyFont="1" applyFill="1" applyBorder="1" applyAlignment="1">
      <alignment vertical="center"/>
    </xf>
    <xf numFmtId="0" fontId="7" fillId="31" borderId="348" xfId="0" applyFont="1" applyFill="1" applyBorder="1" applyAlignment="1">
      <alignment horizontal="right" vertical="center"/>
    </xf>
    <xf numFmtId="0" fontId="7" fillId="31" borderId="349" xfId="0" applyFont="1" applyFill="1" applyBorder="1" applyAlignment="1">
      <alignment horizontal="center" vertical="center"/>
    </xf>
    <xf numFmtId="0" fontId="7" fillId="28" borderId="288" xfId="0" applyFont="1" applyFill="1" applyBorder="1" applyAlignment="1">
      <alignment horizontal="center" vertical="center"/>
    </xf>
    <xf numFmtId="0" fontId="26" fillId="0" borderId="0" xfId="0" applyFont="1" applyAlignment="1"/>
    <xf numFmtId="0" fontId="0" fillId="0" borderId="0" xfId="0" applyFont="1" applyAlignment="1">
      <alignment vertical="center"/>
    </xf>
    <xf numFmtId="0" fontId="26" fillId="0" borderId="0" xfId="0" applyFont="1" applyAlignment="1">
      <alignment horizontal="right" vertical="center"/>
    </xf>
    <xf numFmtId="0" fontId="22" fillId="0" borderId="0" xfId="0" applyFont="1" applyFill="1" applyProtection="1">
      <protection locked="0"/>
    </xf>
    <xf numFmtId="0" fontId="29" fillId="0" borderId="12" xfId="0" applyFont="1" applyFill="1" applyBorder="1" applyProtection="1">
      <protection locked="0"/>
    </xf>
    <xf numFmtId="0" fontId="78" fillId="0" borderId="287" xfId="8" applyFill="1" applyBorder="1" applyProtection="1">
      <protection locked="0"/>
    </xf>
    <xf numFmtId="0" fontId="7" fillId="0" borderId="311" xfId="0" applyFont="1" applyFill="1" applyBorder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81" fillId="0" borderId="312" xfId="0" applyFont="1" applyFill="1" applyBorder="1" applyAlignment="1">
      <alignment horizontal="left" vertical="center"/>
    </xf>
    <xf numFmtId="0" fontId="40" fillId="0" borderId="39" xfId="0" applyFont="1" applyBorder="1" applyAlignment="1" applyProtection="1">
      <alignment vertical="center" shrinkToFit="1"/>
      <protection locked="0"/>
    </xf>
    <xf numFmtId="0" fontId="40" fillId="0" borderId="39" xfId="0" applyFont="1" applyBorder="1" applyAlignment="1" applyProtection="1">
      <alignment vertical="center"/>
      <protection locked="0"/>
    </xf>
    <xf numFmtId="0" fontId="8" fillId="0" borderId="95" xfId="0" applyFont="1" applyFill="1" applyBorder="1" applyAlignment="1"/>
    <xf numFmtId="189" fontId="44" fillId="15" borderId="0" xfId="0" applyNumberFormat="1" applyFont="1" applyFill="1" applyBorder="1" applyAlignment="1">
      <alignment horizontal="center" shrinkToFit="1"/>
    </xf>
    <xf numFmtId="0" fontId="44" fillId="15" borderId="0" xfId="0" applyFont="1" applyFill="1" applyBorder="1" applyAlignment="1">
      <alignment horizontal="right"/>
    </xf>
    <xf numFmtId="49" fontId="84" fillId="15" borderId="0" xfId="0" applyNumberFormat="1" applyFont="1" applyFill="1" applyBorder="1" applyAlignment="1">
      <alignment horizontal="center"/>
    </xf>
    <xf numFmtId="191" fontId="44" fillId="15" borderId="23" xfId="0" applyNumberFormat="1" applyFont="1" applyFill="1" applyBorder="1" applyAlignment="1">
      <alignment shrinkToFit="1"/>
    </xf>
    <xf numFmtId="10" fontId="44" fillId="15" borderId="23" xfId="0" applyNumberFormat="1" applyFont="1" applyFill="1" applyBorder="1" applyAlignment="1">
      <alignment horizontal="right" shrinkToFit="1"/>
    </xf>
    <xf numFmtId="191" fontId="44" fillId="15" borderId="120" xfId="0" applyNumberFormat="1" applyFont="1" applyFill="1" applyBorder="1" applyAlignment="1">
      <alignment shrinkToFit="1"/>
    </xf>
    <xf numFmtId="0" fontId="44" fillId="15" borderId="23" xfId="0" applyFont="1" applyFill="1" applyBorder="1" applyAlignment="1">
      <alignment shrinkToFit="1"/>
    </xf>
    <xf numFmtId="10" fontId="44" fillId="15" borderId="23" xfId="9" applyNumberFormat="1" applyFont="1" applyFill="1" applyBorder="1" applyAlignment="1">
      <alignment horizontal="right" shrinkToFit="1"/>
    </xf>
    <xf numFmtId="0" fontId="44" fillId="15" borderId="95" xfId="0" applyFont="1" applyFill="1" applyBorder="1" applyAlignment="1">
      <alignment horizontal="center"/>
    </xf>
    <xf numFmtId="189" fontId="44" fillId="15" borderId="290" xfId="0" applyNumberFormat="1" applyFont="1" applyFill="1" applyBorder="1" applyAlignment="1">
      <alignment horizontal="center" shrinkToFit="1"/>
    </xf>
    <xf numFmtId="0" fontId="44" fillId="15" borderId="23" xfId="0" applyNumberFormat="1" applyFont="1" applyFill="1" applyBorder="1" applyAlignment="1">
      <alignment shrinkToFit="1"/>
    </xf>
    <xf numFmtId="38" fontId="44" fillId="15" borderId="52" xfId="0" applyNumberFormat="1" applyFont="1" applyFill="1" applyBorder="1" applyAlignment="1">
      <alignment horizontal="right" shrinkToFit="1"/>
    </xf>
    <xf numFmtId="38" fontId="13" fillId="15" borderId="23" xfId="0" applyNumberFormat="1" applyFont="1" applyFill="1" applyBorder="1" applyAlignment="1">
      <alignment horizontal="right"/>
    </xf>
    <xf numFmtId="38" fontId="44" fillId="15" borderId="23" xfId="0" applyNumberFormat="1" applyFont="1" applyFill="1" applyBorder="1" applyAlignment="1">
      <alignment horizontal="right" shrinkToFit="1"/>
    </xf>
    <xf numFmtId="49" fontId="84" fillId="15" borderId="290" xfId="0" applyNumberFormat="1" applyFont="1" applyFill="1" applyBorder="1" applyAlignment="1">
      <alignment horizontal="center"/>
    </xf>
    <xf numFmtId="0" fontId="44" fillId="15" borderId="12" xfId="0" applyNumberFormat="1" applyFont="1" applyFill="1" applyBorder="1" applyAlignment="1">
      <alignment horizontal="center" shrinkToFit="1"/>
    </xf>
    <xf numFmtId="0" fontId="44" fillId="15" borderId="121" xfId="0" applyFont="1" applyFill="1" applyBorder="1" applyAlignment="1">
      <alignment horizontal="center"/>
    </xf>
    <xf numFmtId="0" fontId="56" fillId="0" borderId="0" xfId="0" applyFont="1" applyBorder="1" applyAlignment="1">
      <alignment vertical="center"/>
    </xf>
    <xf numFmtId="0" fontId="8" fillId="32" borderId="0" xfId="0" applyFont="1" applyFill="1" applyBorder="1" applyAlignment="1">
      <alignment vertical="center"/>
    </xf>
    <xf numFmtId="0" fontId="44" fillId="32" borderId="0" xfId="0" applyFont="1" applyFill="1" applyBorder="1" applyAlignment="1"/>
    <xf numFmtId="0" fontId="8" fillId="32" borderId="0" xfId="0" applyFont="1" applyFill="1" applyBorder="1" applyAlignment="1"/>
    <xf numFmtId="0" fontId="59" fillId="26" borderId="71" xfId="4" applyFont="1" applyFill="1" applyBorder="1" applyAlignment="1">
      <alignment horizontal="center"/>
    </xf>
    <xf numFmtId="0" fontId="59" fillId="26" borderId="306" xfId="4" applyFont="1" applyFill="1" applyBorder="1" applyAlignment="1">
      <alignment horizontal="center"/>
    </xf>
    <xf numFmtId="0" fontId="59" fillId="26" borderId="307" xfId="4" applyFont="1" applyFill="1" applyBorder="1" applyAlignment="1">
      <alignment horizontal="center"/>
    </xf>
    <xf numFmtId="0" fontId="59" fillId="26" borderId="265" xfId="4" applyFont="1" applyFill="1" applyBorder="1" applyAlignment="1"/>
    <xf numFmtId="0" fontId="59" fillId="26" borderId="265" xfId="4" applyFont="1" applyFill="1" applyBorder="1" applyAlignment="1">
      <alignment horizontal="right"/>
    </xf>
    <xf numFmtId="0" fontId="59" fillId="26" borderId="265" xfId="4" applyFont="1" applyFill="1" applyBorder="1" applyAlignment="1">
      <alignment horizontal="left"/>
    </xf>
    <xf numFmtId="0" fontId="59" fillId="26" borderId="308" xfId="4" applyFont="1" applyFill="1" applyBorder="1" applyAlignment="1">
      <alignment horizontal="center"/>
    </xf>
    <xf numFmtId="0" fontId="85" fillId="0" borderId="0" xfId="0" applyFont="1" applyFill="1" applyBorder="1" applyAlignment="1">
      <alignment horizontal="center" vertical="center"/>
    </xf>
    <xf numFmtId="0" fontId="76" fillId="0" borderId="0" xfId="0" applyFont="1" applyFill="1" applyBorder="1" applyAlignment="1">
      <alignment horizontal="right" vertical="center"/>
    </xf>
    <xf numFmtId="0" fontId="86" fillId="0" borderId="0" xfId="0" applyFont="1" applyFill="1" applyBorder="1" applyAlignment="1">
      <alignment horizontal="left" vertical="center" shrinkToFit="1"/>
    </xf>
    <xf numFmtId="0" fontId="8" fillId="0" borderId="120" xfId="0" applyFont="1" applyFill="1" applyBorder="1" applyAlignment="1">
      <alignment horizontal="center" vertical="center" textRotation="255"/>
    </xf>
    <xf numFmtId="0" fontId="8" fillId="0" borderId="121" xfId="0" applyFont="1" applyFill="1" applyBorder="1" applyAlignment="1">
      <alignment horizontal="center" vertical="center" textRotation="255"/>
    </xf>
    <xf numFmtId="0" fontId="8" fillId="0" borderId="95" xfId="0" applyFont="1" applyFill="1" applyBorder="1" applyAlignment="1">
      <alignment horizontal="center" vertical="center" textRotation="255"/>
    </xf>
    <xf numFmtId="0" fontId="8" fillId="0" borderId="89" xfId="0" applyFont="1" applyFill="1" applyBorder="1" applyAlignment="1">
      <alignment horizontal="center" vertical="center" textRotation="255"/>
    </xf>
    <xf numFmtId="0" fontId="8" fillId="0" borderId="212" xfId="0" applyFont="1" applyFill="1" applyBorder="1" applyAlignment="1">
      <alignment horizontal="center" vertical="center" textRotation="255"/>
    </xf>
    <xf numFmtId="0" fontId="20" fillId="0" borderId="212" xfId="0" applyFont="1" applyBorder="1" applyAlignment="1">
      <alignment vertical="center" textRotation="255"/>
    </xf>
    <xf numFmtId="0" fontId="8" fillId="0" borderId="234" xfId="0" applyFont="1" applyFill="1" applyBorder="1" applyAlignment="1">
      <alignment horizontal="center"/>
    </xf>
    <xf numFmtId="0" fontId="8" fillId="0" borderId="234" xfId="0" applyFont="1" applyFill="1" applyBorder="1" applyAlignment="1">
      <alignment horizontal="right" shrinkToFit="1"/>
    </xf>
    <xf numFmtId="0" fontId="8" fillId="0" borderId="94" xfId="0" applyFont="1" applyFill="1" applyBorder="1" applyAlignment="1">
      <alignment horizontal="right"/>
    </xf>
    <xf numFmtId="0" fontId="8" fillId="0" borderId="121" xfId="0" applyFont="1" applyFill="1" applyBorder="1" applyAlignment="1">
      <alignment horizontal="right" vertical="center" wrapText="1" shrinkToFit="1"/>
    </xf>
    <xf numFmtId="0" fontId="8" fillId="0" borderId="120" xfId="0" applyFont="1" applyFill="1" applyBorder="1" applyAlignment="1">
      <alignment horizontal="right" vertical="center" wrapText="1" shrinkToFit="1"/>
    </xf>
    <xf numFmtId="0" fontId="31" fillId="0" borderId="167" xfId="0" applyFont="1" applyFill="1" applyBorder="1" applyAlignment="1">
      <alignment horizontal="right" vertical="center" wrapText="1" shrinkToFit="1"/>
    </xf>
    <xf numFmtId="0" fontId="20" fillId="26" borderId="23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5" fillId="0" borderId="320" xfId="4" applyFont="1" applyFill="1" applyBorder="1" applyAlignment="1" applyProtection="1">
      <alignment vertical="center"/>
      <protection locked="0"/>
    </xf>
    <xf numFmtId="0" fontId="40" fillId="0" borderId="320" xfId="4" applyFont="1" applyFill="1" applyBorder="1" applyAlignment="1" applyProtection="1">
      <alignment vertical="center"/>
      <protection locked="0"/>
    </xf>
    <xf numFmtId="0" fontId="17" fillId="0" borderId="74" xfId="4" quotePrefix="1" applyFont="1" applyBorder="1" applyAlignment="1" applyProtection="1">
      <alignment horizontal="right" vertical="center"/>
      <protection locked="0"/>
    </xf>
    <xf numFmtId="0" fontId="17" fillId="0" borderId="74" xfId="4" applyFont="1" applyBorder="1" applyAlignment="1" applyProtection="1">
      <alignment horizontal="right" vertical="center"/>
      <protection locked="0"/>
    </xf>
    <xf numFmtId="0" fontId="7" fillId="0" borderId="354" xfId="0" applyFont="1" applyBorder="1" applyAlignment="1">
      <alignment horizontal="center" vertical="center"/>
    </xf>
    <xf numFmtId="0" fontId="7" fillId="0" borderId="283" xfId="0" applyFont="1" applyBorder="1"/>
    <xf numFmtId="0" fontId="7" fillId="0" borderId="283" xfId="0" applyFont="1" applyBorder="1" applyAlignment="1">
      <alignment horizontal="right" vertical="top"/>
    </xf>
    <xf numFmtId="0" fontId="7" fillId="0" borderId="118" xfId="0" applyNumberFormat="1" applyFont="1" applyBorder="1" applyAlignment="1">
      <alignment vertical="center" shrinkToFit="1"/>
    </xf>
    <xf numFmtId="177" fontId="7" fillId="0" borderId="118" xfId="0" applyNumberFormat="1" applyFont="1" applyBorder="1" applyAlignment="1">
      <alignment horizontal="center" vertical="center" shrinkToFit="1"/>
    </xf>
    <xf numFmtId="177" fontId="8" fillId="0" borderId="127" xfId="0" applyNumberFormat="1" applyFont="1" applyBorder="1" applyAlignment="1">
      <alignment vertical="center"/>
    </xf>
    <xf numFmtId="177" fontId="8" fillId="0" borderId="145" xfId="0" applyNumberFormat="1" applyFont="1" applyBorder="1" applyAlignment="1">
      <alignment vertical="center"/>
    </xf>
    <xf numFmtId="0" fontId="13" fillId="0" borderId="361" xfId="0" applyFont="1" applyBorder="1" applyAlignment="1" applyProtection="1">
      <alignment vertical="center"/>
      <protection locked="0"/>
    </xf>
    <xf numFmtId="0" fontId="17" fillId="0" borderId="362" xfId="4" applyFont="1" applyFill="1" applyBorder="1" applyAlignment="1" applyProtection="1">
      <alignment vertical="center"/>
      <protection locked="0"/>
    </xf>
    <xf numFmtId="0" fontId="17" fillId="0" borderId="360" xfId="4" applyFont="1" applyBorder="1" applyAlignment="1" applyProtection="1">
      <alignment vertical="center"/>
      <protection locked="0"/>
    </xf>
    <xf numFmtId="0" fontId="17" fillId="0" borderId="360" xfId="4" applyFont="1" applyBorder="1" applyAlignment="1" applyProtection="1">
      <alignment horizontal="left" vertical="center"/>
      <protection locked="0"/>
    </xf>
    <xf numFmtId="0" fontId="17" fillId="0" borderId="360" xfId="0" applyFont="1" applyBorder="1" applyAlignment="1" applyProtection="1">
      <alignment horizontal="left" vertical="center"/>
      <protection locked="0"/>
    </xf>
    <xf numFmtId="0" fontId="7" fillId="0" borderId="128" xfId="0" applyNumberFormat="1" applyFont="1" applyBorder="1" applyAlignment="1">
      <alignment vertical="center" shrinkToFit="1"/>
    </xf>
    <xf numFmtId="0" fontId="35" fillId="0" borderId="359" xfId="0" applyFont="1" applyBorder="1" applyAlignment="1" applyProtection="1">
      <alignment vertical="center"/>
    </xf>
    <xf numFmtId="0" fontId="35" fillId="0" borderId="140" xfId="0" applyFont="1" applyBorder="1" applyAlignment="1" applyProtection="1">
      <alignment vertical="center"/>
    </xf>
    <xf numFmtId="0" fontId="7" fillId="0" borderId="95" xfId="0" applyNumberFormat="1" applyFont="1" applyBorder="1" applyAlignment="1">
      <alignment vertical="center"/>
    </xf>
    <xf numFmtId="0" fontId="7" fillId="0" borderId="95" xfId="0" applyFont="1" applyBorder="1" applyAlignment="1">
      <alignment horizontal="center"/>
    </xf>
    <xf numFmtId="0" fontId="35" fillId="0" borderId="364" xfId="0" applyFont="1" applyBorder="1" applyAlignment="1" applyProtection="1">
      <alignment vertical="center"/>
    </xf>
    <xf numFmtId="0" fontId="35" fillId="0" borderId="357" xfId="0" applyFont="1" applyBorder="1" applyAlignment="1" applyProtection="1">
      <alignment vertical="center"/>
    </xf>
    <xf numFmtId="0" fontId="8" fillId="0" borderId="167" xfId="4" applyFont="1" applyBorder="1" applyAlignment="1">
      <alignment horizontal="right" vertical="center" wrapText="1" shrinkToFit="1"/>
    </xf>
    <xf numFmtId="0" fontId="8" fillId="0" borderId="273" xfId="4" applyFont="1" applyBorder="1" applyAlignment="1">
      <alignment horizontal="right" vertical="center" shrinkToFit="1"/>
    </xf>
    <xf numFmtId="0" fontId="8" fillId="0" borderId="168" xfId="4" applyFont="1" applyBorder="1" applyAlignment="1">
      <alignment horizontal="right" vertical="center" wrapText="1" shrinkToFit="1"/>
    </xf>
    <xf numFmtId="0" fontId="8" fillId="0" borderId="169" xfId="4" applyFont="1" applyBorder="1" applyAlignment="1">
      <alignment horizontal="right" vertical="center" shrinkToFit="1"/>
    </xf>
    <xf numFmtId="0" fontId="8" fillId="23" borderId="212" xfId="4" applyFont="1" applyFill="1" applyBorder="1" applyAlignment="1">
      <alignment horizontal="center" vertical="center" textRotation="255"/>
    </xf>
    <xf numFmtId="0" fontId="8" fillId="23" borderId="121" xfId="4" applyFont="1" applyFill="1" applyBorder="1" applyAlignment="1">
      <alignment horizontal="center" vertical="center" textRotation="255"/>
    </xf>
    <xf numFmtId="0" fontId="8" fillId="23" borderId="95" xfId="4" applyFont="1" applyFill="1" applyBorder="1" applyAlignment="1">
      <alignment horizontal="center" vertical="center" textRotation="255"/>
    </xf>
    <xf numFmtId="0" fontId="8" fillId="23" borderId="120" xfId="4" applyFont="1" applyFill="1" applyBorder="1" applyAlignment="1">
      <alignment horizontal="center" vertical="center" textRotation="255"/>
    </xf>
    <xf numFmtId="0" fontId="8" fillId="23" borderId="89" xfId="4" applyFont="1" applyFill="1" applyBorder="1" applyAlignment="1">
      <alignment horizontal="center" vertical="center" textRotation="255"/>
    </xf>
    <xf numFmtId="0" fontId="31" fillId="23" borderId="120" xfId="4" applyFont="1" applyFill="1" applyBorder="1" applyAlignment="1">
      <alignment horizontal="center" vertical="center" textRotation="255" wrapText="1"/>
    </xf>
    <xf numFmtId="0" fontId="34" fillId="0" borderId="95" xfId="4" applyFont="1" applyBorder="1" applyAlignment="1">
      <alignment horizontal="center" vertical="center" textRotation="255" wrapText="1"/>
    </xf>
    <xf numFmtId="0" fontId="34" fillId="0" borderId="89" xfId="4" applyFont="1" applyBorder="1" applyAlignment="1">
      <alignment horizontal="center" vertical="center" textRotation="255" wrapText="1"/>
    </xf>
    <xf numFmtId="0" fontId="89" fillId="0" borderId="0" xfId="0" applyFont="1"/>
    <xf numFmtId="0" fontId="8" fillId="17" borderId="365" xfId="4" applyFont="1" applyFill="1" applyBorder="1" applyAlignment="1">
      <alignment horizontal="left"/>
    </xf>
    <xf numFmtId="0" fontId="8" fillId="0" borderId="365" xfId="4" applyFont="1" applyBorder="1" applyAlignment="1">
      <alignment horizontal="right" vertical="center" shrinkToFit="1"/>
    </xf>
    <xf numFmtId="38" fontId="8" fillId="26" borderId="149" xfId="1" applyFont="1" applyFill="1" applyBorder="1" applyAlignment="1"/>
    <xf numFmtId="0" fontId="8" fillId="0" borderId="0" xfId="4" applyFont="1" applyFill="1" applyBorder="1" applyAlignment="1">
      <alignment horizontal="right"/>
    </xf>
    <xf numFmtId="0" fontId="8" fillId="0" borderId="0" xfId="4" applyFont="1" applyFill="1" applyBorder="1" applyAlignment="1">
      <alignment horizontal="center"/>
    </xf>
    <xf numFmtId="0" fontId="74" fillId="0" borderId="0" xfId="4" applyFont="1" applyFill="1" applyBorder="1" applyAlignment="1">
      <alignment horizontal="right"/>
    </xf>
    <xf numFmtId="0" fontId="74" fillId="0" borderId="0" xfId="4" applyFont="1" applyFill="1" applyBorder="1" applyAlignment="1">
      <alignment horizontal="left"/>
    </xf>
    <xf numFmtId="0" fontId="47" fillId="0" borderId="0" xfId="4" applyFont="1" applyFill="1" applyBorder="1" applyAlignment="1">
      <alignment horizontal="center"/>
    </xf>
    <xf numFmtId="0" fontId="47" fillId="0" borderId="0" xfId="4" applyFont="1" applyFill="1" applyBorder="1" applyAlignment="1">
      <alignment horizontal="left"/>
    </xf>
    <xf numFmtId="0" fontId="8" fillId="29" borderId="0" xfId="4" applyFont="1" applyFill="1" applyBorder="1" applyAlignment="1"/>
    <xf numFmtId="0" fontId="8" fillId="0" borderId="0" xfId="5" applyFont="1" applyFill="1" applyBorder="1" applyAlignment="1">
      <alignment horizontal="center"/>
    </xf>
    <xf numFmtId="38" fontId="8" fillId="10" borderId="0" xfId="4" applyNumberFormat="1" applyFont="1" applyFill="1" applyBorder="1" applyAlignment="1">
      <alignment shrinkToFit="1"/>
    </xf>
    <xf numFmtId="0" fontId="8" fillId="0" borderId="290" xfId="4" applyFont="1" applyFill="1" applyBorder="1" applyAlignment="1">
      <alignment horizontal="right"/>
    </xf>
    <xf numFmtId="0" fontId="39" fillId="0" borderId="0" xfId="4" applyFont="1" applyFill="1" applyBorder="1" applyAlignment="1">
      <alignment horizontal="distributed"/>
    </xf>
    <xf numFmtId="0" fontId="39" fillId="0" borderId="0" xfId="4" applyFont="1" applyFill="1" applyBorder="1" applyAlignment="1">
      <alignment horizontal="center"/>
    </xf>
    <xf numFmtId="0" fontId="8" fillId="0" borderId="0" xfId="4" applyFont="1" applyFill="1" applyBorder="1" applyAlignment="1">
      <alignment horizontal="left"/>
    </xf>
    <xf numFmtId="0" fontId="8" fillId="0" borderId="290" xfId="4" applyFont="1" applyFill="1" applyBorder="1" applyAlignment="1">
      <alignment horizontal="center" shrinkToFit="1"/>
    </xf>
    <xf numFmtId="0" fontId="8" fillId="0" borderId="171" xfId="4" applyFont="1" applyFill="1" applyBorder="1" applyAlignment="1">
      <alignment horizontal="distributed"/>
    </xf>
    <xf numFmtId="0" fontId="39" fillId="0" borderId="171" xfId="4" applyFont="1" applyFill="1" applyBorder="1" applyAlignment="1">
      <alignment horizontal="center"/>
    </xf>
    <xf numFmtId="0" fontId="8" fillId="0" borderId="82" xfId="4" applyFont="1" applyFill="1" applyBorder="1" applyAlignment="1">
      <alignment horizontal="center"/>
    </xf>
    <xf numFmtId="0" fontId="8" fillId="0" borderId="82" xfId="4" applyFont="1" applyFill="1" applyBorder="1" applyAlignment="1">
      <alignment horizontal="right"/>
    </xf>
    <xf numFmtId="189" fontId="8" fillId="0" borderId="82" xfId="6" applyNumberFormat="1" applyFont="1" applyFill="1" applyBorder="1" applyAlignment="1">
      <alignment horizontal="center" shrinkToFit="1"/>
    </xf>
    <xf numFmtId="0" fontId="8" fillId="23" borderId="0" xfId="4" applyFont="1" applyFill="1" applyBorder="1" applyAlignment="1">
      <alignment horizontal="right"/>
    </xf>
    <xf numFmtId="0" fontId="8" fillId="0" borderId="142" xfId="4" applyFont="1" applyFill="1" applyBorder="1" applyAlignment="1">
      <alignment horizontal="distributed"/>
    </xf>
    <xf numFmtId="0" fontId="39" fillId="0" borderId="142" xfId="4" applyFont="1" applyFill="1" applyBorder="1" applyAlignment="1">
      <alignment horizontal="center"/>
    </xf>
    <xf numFmtId="0" fontId="8" fillId="0" borderId="23" xfId="4" applyFont="1" applyFill="1" applyBorder="1" applyAlignment="1">
      <alignment horizontal="center"/>
    </xf>
    <xf numFmtId="0" fontId="8" fillId="0" borderId="52" xfId="4" applyFont="1" applyFill="1" applyBorder="1" applyAlignment="1">
      <alignment horizontal="right"/>
    </xf>
    <xf numFmtId="0" fontId="8" fillId="0" borderId="120" xfId="5" applyFont="1" applyFill="1" applyBorder="1" applyAlignment="1">
      <alignment horizontal="center" vertical="center"/>
    </xf>
    <xf numFmtId="0" fontId="8" fillId="0" borderId="0" xfId="5" applyFont="1" applyFill="1" applyBorder="1" applyAlignment="1">
      <alignment horizontal="center" vertical="center"/>
    </xf>
    <xf numFmtId="0" fontId="8" fillId="0" borderId="95" xfId="5" applyFont="1" applyFill="1" applyBorder="1" applyAlignment="1">
      <alignment horizontal="center" shrinkToFit="1"/>
    </xf>
    <xf numFmtId="38" fontId="8" fillId="0" borderId="149" xfId="4" applyNumberFormat="1" applyFont="1" applyFill="1" applyBorder="1" applyAlignment="1">
      <alignment horizontal="right" shrinkToFit="1"/>
    </xf>
    <xf numFmtId="38" fontId="8" fillId="0" borderId="23" xfId="5" applyNumberFormat="1" applyFont="1" applyFill="1" applyBorder="1" applyAlignment="1">
      <alignment horizontal="right" shrinkToFit="1"/>
    </xf>
    <xf numFmtId="0" fontId="8" fillId="17" borderId="0" xfId="4" applyFont="1" applyFill="1" applyBorder="1" applyAlignment="1">
      <alignment horizontal="right"/>
    </xf>
    <xf numFmtId="0" fontId="8" fillId="0" borderId="142" xfId="4" applyFont="1" applyFill="1" applyBorder="1" applyAlignment="1">
      <alignment horizontal="center"/>
    </xf>
    <xf numFmtId="0" fontId="8" fillId="23" borderId="0" xfId="4" applyFont="1" applyFill="1" applyBorder="1" applyAlignment="1">
      <alignment horizontal="center"/>
    </xf>
    <xf numFmtId="0" fontId="8" fillId="23" borderId="0" xfId="4" applyFont="1" applyFill="1" applyBorder="1" applyAlignment="1">
      <alignment horizontal="left"/>
    </xf>
    <xf numFmtId="38" fontId="8" fillId="0" borderId="85" xfId="4" applyNumberFormat="1" applyFont="1" applyFill="1" applyBorder="1" applyAlignment="1">
      <alignment horizontal="right" shrinkToFit="1"/>
    </xf>
    <xf numFmtId="38" fontId="8" fillId="0" borderId="121" xfId="4" applyNumberFormat="1" applyFont="1" applyFill="1" applyBorder="1" applyAlignment="1">
      <alignment horizontal="right" shrinkToFit="1"/>
    </xf>
    <xf numFmtId="38" fontId="8" fillId="0" borderId="82" xfId="4" applyNumberFormat="1" applyFont="1" applyFill="1" applyBorder="1" applyAlignment="1">
      <alignment horizontal="right" shrinkToFit="1"/>
    </xf>
    <xf numFmtId="38" fontId="8" fillId="0" borderId="95" xfId="4" applyNumberFormat="1" applyFont="1" applyFill="1" applyBorder="1" applyAlignment="1">
      <alignment horizontal="right" shrinkToFit="1"/>
    </xf>
    <xf numFmtId="38" fontId="8" fillId="0" borderId="23" xfId="4" applyNumberFormat="1" applyFont="1" applyFill="1" applyBorder="1" applyAlignment="1">
      <alignment horizontal="right" shrinkToFit="1"/>
    </xf>
    <xf numFmtId="0" fontId="8" fillId="0" borderId="207" xfId="4" applyFont="1" applyFill="1" applyBorder="1" applyAlignment="1">
      <alignment horizontal="right"/>
    </xf>
    <xf numFmtId="0" fontId="8" fillId="0" borderId="142" xfId="4" applyFont="1" applyFill="1" applyBorder="1" applyAlignment="1">
      <alignment horizontal="left"/>
    </xf>
    <xf numFmtId="0" fontId="8" fillId="0" borderId="23" xfId="4" applyFont="1" applyFill="1" applyBorder="1" applyAlignment="1">
      <alignment horizontal="right"/>
    </xf>
    <xf numFmtId="38" fontId="8" fillId="0" borderId="23" xfId="4" applyNumberFormat="1" applyFont="1" applyFill="1" applyBorder="1" applyAlignment="1">
      <alignment horizontal="right"/>
    </xf>
    <xf numFmtId="0" fontId="8" fillId="0" borderId="142" xfId="4" applyFont="1" applyFill="1" applyBorder="1" applyAlignment="1">
      <alignment horizontal="right"/>
    </xf>
    <xf numFmtId="38" fontId="8" fillId="0" borderId="0" xfId="4" applyNumberFormat="1" applyFont="1" applyFill="1" applyBorder="1" applyAlignment="1">
      <alignment horizontal="right"/>
    </xf>
    <xf numFmtId="0" fontId="8" fillId="0" borderId="121" xfId="4" applyFont="1" applyFill="1" applyBorder="1" applyAlignment="1">
      <alignment horizontal="right"/>
    </xf>
    <xf numFmtId="38" fontId="8" fillId="0" borderId="121" xfId="4" applyNumberFormat="1" applyFont="1" applyFill="1" applyBorder="1" applyAlignment="1">
      <alignment horizontal="right"/>
    </xf>
    <xf numFmtId="0" fontId="39" fillId="23" borderId="0" xfId="4" applyFont="1" applyFill="1" applyBorder="1" applyAlignment="1">
      <alignment horizontal="left"/>
    </xf>
    <xf numFmtId="0" fontId="47" fillId="23" borderId="0" xfId="4" applyFont="1" applyFill="1" applyBorder="1" applyAlignment="1">
      <alignment horizontal="center"/>
    </xf>
    <xf numFmtId="0" fontId="8" fillId="23" borderId="0" xfId="4" applyFont="1" applyFill="1" applyBorder="1" applyAlignment="1">
      <alignment horizontal="left" shrinkToFit="1"/>
    </xf>
    <xf numFmtId="0" fontId="8" fillId="17" borderId="0" xfId="4" applyFont="1" applyFill="1" applyBorder="1" applyAlignment="1"/>
    <xf numFmtId="0" fontId="47" fillId="23" borderId="0" xfId="4" applyFont="1" applyFill="1" applyBorder="1" applyAlignment="1">
      <alignment horizontal="left"/>
    </xf>
    <xf numFmtId="0" fontId="8" fillId="0" borderId="142" xfId="4" applyFont="1" applyFill="1" applyBorder="1" applyAlignment="1">
      <alignment horizontal="left" shrinkToFit="1"/>
    </xf>
    <xf numFmtId="38" fontId="8" fillId="0" borderId="95" xfId="4" applyNumberFormat="1" applyFont="1" applyFill="1" applyBorder="1" applyAlignment="1">
      <alignment horizontal="right" vertical="center" shrinkToFit="1"/>
    </xf>
    <xf numFmtId="38" fontId="8" fillId="0" borderId="85" xfId="5" applyNumberFormat="1" applyFont="1" applyFill="1" applyBorder="1" applyAlignment="1">
      <alignment horizontal="right" shrinkToFit="1"/>
    </xf>
    <xf numFmtId="0" fontId="8" fillId="0" borderId="0" xfId="4" applyFont="1" applyFill="1" applyBorder="1" applyAlignment="1">
      <alignment horizontal="right" shrinkToFit="1"/>
    </xf>
    <xf numFmtId="0" fontId="8" fillId="0" borderId="205" xfId="4" applyFont="1" applyFill="1" applyBorder="1" applyAlignment="1">
      <alignment horizontal="right"/>
    </xf>
    <xf numFmtId="0" fontId="8" fillId="0" borderId="206" xfId="4" applyFont="1" applyFill="1" applyBorder="1" applyAlignment="1">
      <alignment horizontal="right"/>
    </xf>
    <xf numFmtId="0" fontId="8" fillId="0" borderId="212" xfId="4" applyFont="1" applyFill="1" applyBorder="1" applyAlignment="1">
      <alignment horizontal="center"/>
    </xf>
    <xf numFmtId="0" fontId="8" fillId="0" borderId="212" xfId="4" applyFont="1" applyFill="1" applyBorder="1" applyAlignment="1">
      <alignment horizontal="center" shrinkToFit="1"/>
    </xf>
    <xf numFmtId="38" fontId="8" fillId="0" borderId="89" xfId="4" applyNumberFormat="1" applyFont="1" applyFill="1" applyBorder="1" applyAlignment="1">
      <alignment horizontal="right"/>
    </xf>
    <xf numFmtId="38" fontId="8" fillId="0" borderId="89" xfId="4" applyNumberFormat="1" applyFont="1" applyFill="1" applyBorder="1" applyAlignment="1">
      <alignment horizontal="right" shrinkToFit="1"/>
    </xf>
    <xf numFmtId="0" fontId="8" fillId="0" borderId="83" xfId="4" applyFont="1" applyFill="1" applyBorder="1" applyAlignment="1"/>
    <xf numFmtId="0" fontId="8" fillId="0" borderId="171" xfId="4" applyFont="1" applyFill="1" applyBorder="1" applyAlignment="1">
      <alignment shrinkToFit="1"/>
    </xf>
    <xf numFmtId="0" fontId="8" fillId="0" borderId="214" xfId="4" applyFont="1" applyFill="1" applyBorder="1" applyAlignment="1">
      <alignment shrinkToFit="1"/>
    </xf>
    <xf numFmtId="38" fontId="8" fillId="0" borderId="212" xfId="4" applyNumberFormat="1" applyFont="1" applyFill="1" applyBorder="1" applyAlignment="1">
      <alignment horizontal="right"/>
    </xf>
    <xf numFmtId="38" fontId="8" fillId="0" borderId="212" xfId="4" applyNumberFormat="1" applyFont="1" applyFill="1" applyBorder="1" applyAlignment="1">
      <alignment horizontal="right" shrinkToFit="1"/>
    </xf>
    <xf numFmtId="0" fontId="8" fillId="0" borderId="23" xfId="4" applyFont="1" applyFill="1" applyBorder="1" applyAlignment="1">
      <alignment horizontal="left" shrinkToFit="1"/>
    </xf>
    <xf numFmtId="191" fontId="8" fillId="0" borderId="23" xfId="4" applyNumberFormat="1" applyFont="1" applyFill="1" applyBorder="1" applyAlignment="1">
      <alignment horizontal="right" shrinkToFit="1"/>
    </xf>
    <xf numFmtId="10" fontId="8" fillId="0" borderId="23" xfId="4" quotePrefix="1" applyNumberFormat="1" applyFont="1" applyFill="1" applyBorder="1" applyAlignment="1">
      <alignment horizontal="center" shrinkToFit="1"/>
    </xf>
    <xf numFmtId="10" fontId="8" fillId="0" borderId="23" xfId="4" applyNumberFormat="1" applyFont="1" applyFill="1" applyBorder="1" applyAlignment="1">
      <alignment horizontal="right" shrinkToFit="1"/>
    </xf>
    <xf numFmtId="49" fontId="8" fillId="0" borderId="85" xfId="4" applyNumberFormat="1" applyFont="1" applyFill="1" applyBorder="1" applyAlignment="1">
      <alignment horizontal="left" shrinkToFit="1"/>
    </xf>
    <xf numFmtId="191" fontId="8" fillId="0" borderId="85" xfId="4" applyNumberFormat="1" applyFont="1" applyFill="1" applyBorder="1" applyAlignment="1">
      <alignment horizontal="right" shrinkToFit="1"/>
    </xf>
    <xf numFmtId="10" fontId="8" fillId="0" borderId="85" xfId="4" applyNumberFormat="1" applyFont="1" applyFill="1" applyBorder="1" applyAlignment="1">
      <alignment horizontal="right" shrinkToFit="1"/>
    </xf>
    <xf numFmtId="0" fontId="8" fillId="0" borderId="205" xfId="4" applyFont="1" applyFill="1" applyBorder="1" applyAlignment="1">
      <alignment horizontal="center" shrinkToFit="1"/>
    </xf>
    <xf numFmtId="0" fontId="8" fillId="0" borderId="212" xfId="4" applyFont="1" applyFill="1" applyBorder="1" applyAlignment="1">
      <alignment horizontal="left" shrinkToFit="1"/>
    </xf>
    <xf numFmtId="191" fontId="8" fillId="0" borderId="212" xfId="4" applyNumberFormat="1" applyFont="1" applyFill="1" applyBorder="1" applyAlignment="1">
      <alignment vertical="center" shrinkToFit="1"/>
    </xf>
    <xf numFmtId="10" fontId="8" fillId="0" borderId="82" xfId="4" applyNumberFormat="1" applyFont="1" applyFill="1" applyBorder="1" applyAlignment="1">
      <alignment horizontal="center" vertical="center"/>
    </xf>
    <xf numFmtId="38" fontId="20" fillId="0" borderId="82" xfId="4" applyNumberFormat="1" applyFont="1" applyFill="1" applyBorder="1" applyAlignment="1">
      <alignment horizontal="right"/>
    </xf>
    <xf numFmtId="10" fontId="8" fillId="0" borderId="82" xfId="4" applyNumberFormat="1" applyFont="1" applyFill="1" applyBorder="1" applyAlignment="1">
      <alignment horizontal="left" vertical="center" shrinkToFit="1"/>
    </xf>
    <xf numFmtId="0" fontId="8" fillId="0" borderId="95" xfId="4" applyFont="1" applyFill="1" applyBorder="1" applyAlignment="1">
      <alignment horizontal="left" shrinkToFit="1"/>
    </xf>
    <xf numFmtId="191" fontId="8" fillId="0" borderId="95" xfId="4" applyNumberFormat="1" applyFont="1" applyFill="1" applyBorder="1" applyAlignment="1">
      <alignment vertical="top" shrinkToFit="1"/>
    </xf>
    <xf numFmtId="10" fontId="8" fillId="0" borderId="23" xfId="4" applyNumberFormat="1" applyFont="1" applyFill="1" applyBorder="1" applyAlignment="1">
      <alignment horizontal="center" vertical="center"/>
    </xf>
    <xf numFmtId="0" fontId="8" fillId="0" borderId="120" xfId="4" applyFont="1" applyFill="1" applyBorder="1" applyAlignment="1">
      <alignment horizontal="left" shrinkToFit="1"/>
    </xf>
    <xf numFmtId="0" fontId="8" fillId="0" borderId="313" xfId="4" applyFont="1" applyFill="1" applyBorder="1" applyAlignment="1"/>
    <xf numFmtId="38" fontId="20" fillId="0" borderId="23" xfId="4" applyNumberFormat="1" applyFont="1" applyFill="1" applyBorder="1" applyAlignment="1">
      <alignment horizontal="right"/>
    </xf>
    <xf numFmtId="10" fontId="8" fillId="0" borderId="23" xfId="4" applyNumberFormat="1" applyFont="1" applyFill="1" applyBorder="1" applyAlignment="1">
      <alignment horizontal="left" shrinkToFit="1"/>
    </xf>
    <xf numFmtId="191" fontId="8" fillId="0" borderId="95" xfId="4" applyNumberFormat="1" applyFont="1" applyFill="1" applyBorder="1" applyAlignment="1">
      <alignment shrinkToFit="1"/>
    </xf>
    <xf numFmtId="191" fontId="8" fillId="0" borderId="23" xfId="4" applyNumberFormat="1" applyFont="1" applyFill="1" applyBorder="1" applyAlignment="1">
      <alignment shrinkToFit="1"/>
    </xf>
    <xf numFmtId="191" fontId="8" fillId="0" borderId="258" xfId="4" applyNumberFormat="1" applyFont="1" applyFill="1" applyBorder="1" applyAlignment="1">
      <alignment shrinkToFit="1"/>
    </xf>
    <xf numFmtId="10" fontId="8" fillId="0" borderId="258" xfId="4" applyNumberFormat="1" applyFont="1" applyFill="1" applyBorder="1" applyAlignment="1">
      <alignment horizontal="right" shrinkToFit="1"/>
    </xf>
    <xf numFmtId="38" fontId="8" fillId="0" borderId="258" xfId="4" applyNumberFormat="1" applyFont="1" applyFill="1" applyBorder="1" applyAlignment="1">
      <alignment horizontal="right"/>
    </xf>
    <xf numFmtId="0" fontId="8" fillId="0" borderId="221" xfId="4" applyFont="1" applyFill="1" applyBorder="1" applyAlignment="1">
      <alignment horizontal="right"/>
    </xf>
    <xf numFmtId="0" fontId="8" fillId="0" borderId="222" xfId="4" applyFont="1" applyFill="1" applyBorder="1" applyAlignment="1">
      <alignment horizontal="right"/>
    </xf>
    <xf numFmtId="0" fontId="8" fillId="0" borderId="222" xfId="4" applyFont="1" applyFill="1" applyBorder="1" applyAlignment="1">
      <alignment horizontal="left"/>
    </xf>
    <xf numFmtId="0" fontId="8" fillId="0" borderId="223" xfId="4" applyFont="1" applyFill="1" applyBorder="1" applyAlignment="1">
      <alignment horizontal="left"/>
    </xf>
    <xf numFmtId="0" fontId="8" fillId="0" borderId="223" xfId="4" applyFont="1" applyFill="1" applyBorder="1" applyAlignment="1">
      <alignment horizontal="right"/>
    </xf>
    <xf numFmtId="38" fontId="8" fillId="0" borderId="223" xfId="4" applyNumberFormat="1" applyFont="1" applyFill="1" applyBorder="1" applyAlignment="1">
      <alignment horizontal="right"/>
    </xf>
    <xf numFmtId="38" fontId="8" fillId="0" borderId="223" xfId="4" applyNumberFormat="1" applyFont="1" applyFill="1" applyBorder="1" applyAlignment="1">
      <alignment horizontal="right" shrinkToFit="1"/>
    </xf>
    <xf numFmtId="38" fontId="8" fillId="0" borderId="0" xfId="4" applyNumberFormat="1" applyFont="1" applyFill="1" applyBorder="1" applyAlignment="1">
      <alignment horizontal="right" shrinkToFit="1"/>
    </xf>
    <xf numFmtId="0" fontId="8" fillId="0" borderId="214" xfId="4" applyFont="1" applyFill="1" applyBorder="1" applyAlignment="1"/>
    <xf numFmtId="10" fontId="8" fillId="0" borderId="212" xfId="4" applyNumberFormat="1" applyFont="1" applyFill="1" applyBorder="1" applyAlignment="1">
      <alignment horizontal="right" shrinkToFit="1"/>
    </xf>
    <xf numFmtId="191" fontId="8" fillId="0" borderId="120" xfId="4" applyNumberFormat="1" applyFont="1" applyFill="1" applyBorder="1" applyAlignment="1">
      <alignment shrinkToFit="1"/>
    </xf>
    <xf numFmtId="10" fontId="8" fillId="0" borderId="120" xfId="4" applyNumberFormat="1" applyFont="1" applyFill="1" applyBorder="1" applyAlignment="1">
      <alignment horizontal="right" shrinkToFit="1"/>
    </xf>
    <xf numFmtId="0" fontId="31" fillId="0" borderId="23" xfId="4" applyFont="1" applyFill="1" applyBorder="1" applyAlignment="1">
      <alignment horizontal="left" shrinkToFit="1"/>
    </xf>
    <xf numFmtId="0" fontId="8" fillId="0" borderId="259" xfId="4" applyFont="1" applyFill="1" applyBorder="1" applyAlignment="1">
      <alignment horizontal="right"/>
    </xf>
    <xf numFmtId="0" fontId="8" fillId="0" borderId="226" xfId="4" applyFont="1" applyFill="1" applyBorder="1" applyAlignment="1">
      <alignment horizontal="right"/>
    </xf>
    <xf numFmtId="0" fontId="8" fillId="0" borderId="226" xfId="4" applyFont="1" applyFill="1" applyBorder="1" applyAlignment="1">
      <alignment horizontal="left"/>
    </xf>
    <xf numFmtId="0" fontId="8" fillId="0" borderId="260" xfId="4" applyFont="1" applyFill="1" applyBorder="1" applyAlignment="1">
      <alignment horizontal="left"/>
    </xf>
    <xf numFmtId="0" fontId="8" fillId="0" borderId="260" xfId="4" applyFont="1" applyFill="1" applyBorder="1" applyAlignment="1">
      <alignment horizontal="right"/>
    </xf>
    <xf numFmtId="38" fontId="8" fillId="0" borderId="260" xfId="4" applyNumberFormat="1" applyFont="1" applyFill="1" applyBorder="1" applyAlignment="1">
      <alignment horizontal="right"/>
    </xf>
    <xf numFmtId="38" fontId="8" fillId="0" borderId="260" xfId="4" applyNumberFormat="1" applyFont="1" applyFill="1" applyBorder="1" applyAlignment="1">
      <alignment horizontal="right" shrinkToFit="1"/>
    </xf>
    <xf numFmtId="0" fontId="8" fillId="0" borderId="168" xfId="4" applyFont="1" applyFill="1" applyBorder="1" applyAlignment="1">
      <alignment horizontal="right"/>
    </xf>
    <xf numFmtId="0" fontId="8" fillId="0" borderId="169" xfId="4" applyFont="1" applyFill="1" applyBorder="1" applyAlignment="1">
      <alignment horizontal="right"/>
    </xf>
    <xf numFmtId="0" fontId="8" fillId="0" borderId="169" xfId="4" applyFont="1" applyFill="1" applyBorder="1" applyAlignment="1">
      <alignment horizontal="left"/>
    </xf>
    <xf numFmtId="0" fontId="8" fillId="0" borderId="85" xfId="4" applyFont="1" applyFill="1" applyBorder="1" applyAlignment="1">
      <alignment horizontal="left"/>
    </xf>
    <xf numFmtId="0" fontId="8" fillId="0" borderId="85" xfId="4" applyFont="1" applyFill="1" applyBorder="1" applyAlignment="1">
      <alignment horizontal="right"/>
    </xf>
    <xf numFmtId="0" fontId="39" fillId="0" borderId="206" xfId="4" applyFont="1" applyFill="1" applyBorder="1" applyAlignment="1">
      <alignment horizontal="center"/>
    </xf>
    <xf numFmtId="0" fontId="8" fillId="0" borderId="206" xfId="4" applyFont="1" applyFill="1" applyBorder="1" applyAlignment="1">
      <alignment horizontal="center"/>
    </xf>
    <xf numFmtId="0" fontId="8" fillId="0" borderId="206" xfId="4" applyFont="1" applyFill="1" applyBorder="1" applyAlignment="1">
      <alignment horizontal="center" shrinkToFit="1"/>
    </xf>
    <xf numFmtId="0" fontId="8" fillId="0" borderId="206" xfId="4" applyFont="1" applyFill="1" applyBorder="1" applyAlignment="1">
      <alignment horizontal="right" shrinkToFit="1"/>
    </xf>
    <xf numFmtId="0" fontId="8" fillId="0" borderId="212" xfId="4" applyFont="1" applyFill="1" applyBorder="1" applyAlignment="1">
      <alignment horizontal="center" wrapText="1"/>
    </xf>
    <xf numFmtId="0" fontId="14" fillId="0" borderId="89" xfId="4" applyFont="1" applyFill="1" applyBorder="1" applyAlignment="1">
      <alignment horizontal="center" wrapText="1"/>
    </xf>
    <xf numFmtId="0" fontId="8" fillId="0" borderId="89" xfId="4" applyFont="1" applyFill="1" applyBorder="1" applyAlignment="1">
      <alignment horizontal="right"/>
    </xf>
    <xf numFmtId="0" fontId="8" fillId="0" borderId="121" xfId="4" applyFont="1" applyFill="1" applyBorder="1" applyAlignment="1">
      <alignment horizontal="center"/>
    </xf>
    <xf numFmtId="0" fontId="8" fillId="0" borderId="89" xfId="4" applyFont="1" applyFill="1" applyBorder="1" applyAlignment="1">
      <alignment horizontal="center" shrinkToFit="1"/>
    </xf>
    <xf numFmtId="0" fontId="8" fillId="0" borderId="170" xfId="4" applyFont="1" applyFill="1" applyBorder="1" applyAlignment="1">
      <alignment horizontal="right"/>
    </xf>
    <xf numFmtId="0" fontId="8" fillId="0" borderId="171" xfId="4" applyFont="1" applyFill="1" applyBorder="1" applyAlignment="1">
      <alignment horizontal="right"/>
    </xf>
    <xf numFmtId="0" fontId="8" fillId="0" borderId="214" xfId="4" applyFont="1" applyFill="1" applyBorder="1" applyAlignment="1">
      <alignment horizontal="left"/>
    </xf>
    <xf numFmtId="0" fontId="8" fillId="0" borderId="82" xfId="4" applyFont="1" applyFill="1" applyBorder="1" applyAlignment="1">
      <alignment horizontal="left"/>
    </xf>
    <xf numFmtId="0" fontId="8" fillId="0" borderId="83" xfId="4" applyFont="1" applyFill="1" applyBorder="1" applyAlignment="1">
      <alignment horizontal="center"/>
    </xf>
    <xf numFmtId="38" fontId="8" fillId="0" borderId="177" xfId="4" applyNumberFormat="1" applyFont="1" applyFill="1" applyBorder="1" applyAlignment="1">
      <alignment horizontal="right"/>
    </xf>
    <xf numFmtId="38" fontId="8" fillId="0" borderId="214" xfId="5" applyNumberFormat="1" applyFont="1" applyFill="1" applyBorder="1" applyAlignment="1">
      <alignment horizontal="right"/>
    </xf>
    <xf numFmtId="0" fontId="8" fillId="0" borderId="209" xfId="4" applyFont="1" applyFill="1" applyBorder="1" applyAlignment="1">
      <alignment horizontal="left"/>
    </xf>
    <xf numFmtId="0" fontId="8" fillId="0" borderId="121" xfId="4" applyFont="1" applyFill="1" applyBorder="1" applyAlignment="1">
      <alignment horizontal="left"/>
    </xf>
    <xf numFmtId="38" fontId="8" fillId="0" borderId="121" xfId="5" applyNumberFormat="1" applyFont="1" applyFill="1" applyBorder="1" applyAlignment="1">
      <alignment horizontal="right"/>
    </xf>
    <xf numFmtId="0" fontId="8" fillId="0" borderId="212" xfId="4" applyFont="1" applyFill="1" applyBorder="1" applyAlignment="1">
      <alignment horizontal="right"/>
    </xf>
    <xf numFmtId="0" fontId="39" fillId="0" borderId="89" xfId="4" applyFont="1" applyFill="1" applyBorder="1" applyAlignment="1">
      <alignment horizontal="left"/>
    </xf>
    <xf numFmtId="0" fontId="8" fillId="0" borderId="85" xfId="4" applyFont="1" applyFill="1" applyBorder="1" applyAlignment="1">
      <alignment horizontal="center"/>
    </xf>
    <xf numFmtId="0" fontId="8" fillId="0" borderId="82" xfId="4" applyFont="1" applyFill="1" applyBorder="1" applyAlignment="1">
      <alignment horizontal="center" shrinkToFit="1"/>
    </xf>
    <xf numFmtId="0" fontId="8" fillId="0" borderId="82" xfId="4" applyFont="1" applyFill="1" applyBorder="1" applyAlignment="1">
      <alignment horizontal="left" shrinkToFit="1"/>
    </xf>
    <xf numFmtId="0" fontId="8" fillId="0" borderId="82" xfId="4" applyFont="1" applyFill="1" applyBorder="1" applyAlignment="1">
      <alignment shrinkToFit="1"/>
    </xf>
    <xf numFmtId="10" fontId="8" fillId="0" borderId="82" xfId="4" quotePrefix="1" applyNumberFormat="1" applyFont="1" applyFill="1" applyBorder="1" applyAlignment="1">
      <alignment horizontal="right" shrinkToFit="1"/>
    </xf>
    <xf numFmtId="38" fontId="8" fillId="0" borderId="82" xfId="4" applyNumberFormat="1" applyFont="1" applyFill="1" applyBorder="1" applyAlignment="1">
      <alignment horizontal="right"/>
    </xf>
    <xf numFmtId="0" fontId="8" fillId="0" borderId="23" xfId="4" applyFont="1" applyFill="1" applyBorder="1" applyAlignment="1">
      <alignment horizontal="right" shrinkToFit="1"/>
    </xf>
    <xf numFmtId="0" fontId="8" fillId="0" borderId="23" xfId="4" applyFont="1" applyFill="1" applyBorder="1" applyAlignment="1">
      <alignment shrinkToFit="1"/>
    </xf>
    <xf numFmtId="9" fontId="8" fillId="0" borderId="23" xfId="4" applyNumberFormat="1" applyFont="1" applyFill="1" applyBorder="1" applyAlignment="1">
      <alignment horizontal="right" shrinkToFit="1"/>
    </xf>
    <xf numFmtId="0" fontId="8" fillId="0" borderId="23" xfId="4" applyFont="1" applyFill="1" applyBorder="1" applyAlignment="1">
      <alignment horizontal="left"/>
    </xf>
    <xf numFmtId="0" fontId="8" fillId="0" borderId="120" xfId="4" applyFont="1" applyFill="1" applyBorder="1" applyAlignment="1">
      <alignment horizontal="left"/>
    </xf>
    <xf numFmtId="0" fontId="8" fillId="0" borderId="85" xfId="4" applyFont="1" applyFill="1" applyBorder="1" applyAlignment="1">
      <alignment horizontal="left" shrinkToFit="1"/>
    </xf>
    <xf numFmtId="9" fontId="8" fillId="0" borderId="85" xfId="4" applyNumberFormat="1" applyFont="1" applyFill="1" applyBorder="1" applyAlignment="1">
      <alignment horizontal="right" shrinkToFit="1"/>
    </xf>
    <xf numFmtId="0" fontId="8" fillId="0" borderId="210" xfId="4" applyFont="1" applyFill="1" applyBorder="1" applyAlignment="1">
      <alignment horizontal="right"/>
    </xf>
    <xf numFmtId="0" fontId="8" fillId="0" borderId="212" xfId="4" applyFont="1" applyFill="1" applyBorder="1" applyAlignment="1">
      <alignment horizontal="right" shrinkToFit="1"/>
    </xf>
    <xf numFmtId="0" fontId="8" fillId="0" borderId="82" xfId="4" applyFont="1" applyFill="1" applyBorder="1" applyAlignment="1">
      <alignment horizontal="right" shrinkToFit="1"/>
    </xf>
    <xf numFmtId="0" fontId="39" fillId="0" borderId="89" xfId="4" applyFont="1" applyFill="1" applyBorder="1" applyAlignment="1">
      <alignment horizontal="left" shrinkToFit="1"/>
    </xf>
    <xf numFmtId="0" fontId="8" fillId="0" borderId="85" xfId="4" applyFont="1" applyFill="1" applyBorder="1" applyAlignment="1">
      <alignment horizontal="right" shrinkToFit="1"/>
    </xf>
    <xf numFmtId="0" fontId="8" fillId="0" borderId="95" xfId="4" applyFont="1" applyFill="1" applyBorder="1" applyAlignment="1">
      <alignment horizontal="center" shrinkToFit="1"/>
    </xf>
    <xf numFmtId="10" fontId="8" fillId="0" borderId="82" xfId="4" applyNumberFormat="1" applyFont="1" applyFill="1" applyBorder="1" applyAlignment="1">
      <alignment horizontal="right" shrinkToFit="1"/>
    </xf>
    <xf numFmtId="0" fontId="8" fillId="0" borderId="147" xfId="4" applyFont="1" applyFill="1" applyBorder="1" applyAlignment="1">
      <alignment horizontal="right"/>
    </xf>
    <xf numFmtId="191" fontId="8" fillId="0" borderId="121" xfId="4" applyNumberFormat="1" applyFont="1" applyFill="1" applyBorder="1" applyAlignment="1">
      <alignment shrinkToFit="1"/>
    </xf>
    <xf numFmtId="10" fontId="8" fillId="0" borderId="121" xfId="4" applyNumberFormat="1" applyFont="1" applyFill="1" applyBorder="1" applyAlignment="1">
      <alignment horizontal="right" shrinkToFit="1"/>
    </xf>
    <xf numFmtId="38" fontId="8" fillId="0" borderId="95" xfId="4" applyNumberFormat="1" applyFont="1" applyFill="1" applyBorder="1" applyAlignment="1">
      <alignment horizontal="right"/>
    </xf>
    <xf numFmtId="0" fontId="8" fillId="0" borderId="115" xfId="4" applyFont="1" applyFill="1" applyBorder="1" applyAlignment="1">
      <alignment horizontal="right"/>
    </xf>
    <xf numFmtId="0" fontId="8" fillId="0" borderId="261" xfId="4" applyFont="1" applyFill="1" applyBorder="1" applyAlignment="1">
      <alignment horizontal="right"/>
    </xf>
    <xf numFmtId="0" fontId="8" fillId="0" borderId="262" xfId="4" applyFont="1" applyFill="1" applyBorder="1" applyAlignment="1">
      <alignment horizontal="right"/>
    </xf>
    <xf numFmtId="0" fontId="8" fillId="0" borderId="262" xfId="4" applyFont="1" applyFill="1" applyBorder="1" applyAlignment="1">
      <alignment horizontal="left"/>
    </xf>
    <xf numFmtId="0" fontId="8" fillId="0" borderId="258" xfId="4" applyFont="1" applyFill="1" applyBorder="1" applyAlignment="1">
      <alignment horizontal="left"/>
    </xf>
    <xf numFmtId="0" fontId="8" fillId="0" borderId="258" xfId="4" applyFont="1" applyFill="1" applyBorder="1" applyAlignment="1">
      <alignment horizontal="right"/>
    </xf>
    <xf numFmtId="38" fontId="8" fillId="0" borderId="258" xfId="4" applyNumberFormat="1" applyFont="1" applyFill="1" applyBorder="1" applyAlignment="1">
      <alignment horizontal="right" shrinkToFit="1"/>
    </xf>
    <xf numFmtId="176" fontId="8" fillId="0" borderId="121" xfId="4" applyNumberFormat="1" applyFont="1" applyFill="1" applyBorder="1" applyAlignment="1">
      <alignment horizontal="right" shrinkToFit="1"/>
    </xf>
    <xf numFmtId="176" fontId="8" fillId="0" borderId="23" xfId="4" applyNumberFormat="1" applyFont="1" applyFill="1" applyBorder="1" applyAlignment="1">
      <alignment shrinkToFit="1"/>
    </xf>
    <xf numFmtId="0" fontId="8" fillId="0" borderId="115" xfId="4" applyFont="1" applyFill="1" applyBorder="1" applyAlignment="1"/>
    <xf numFmtId="0" fontId="8" fillId="0" borderId="142" xfId="4" applyFont="1" applyFill="1" applyBorder="1" applyAlignment="1"/>
    <xf numFmtId="0" fontId="8" fillId="0" borderId="23" xfId="4" applyFont="1" applyFill="1" applyBorder="1" applyAlignment="1"/>
    <xf numFmtId="38" fontId="8" fillId="0" borderId="23" xfId="4" applyNumberFormat="1" applyFont="1" applyFill="1" applyBorder="1" applyAlignment="1"/>
    <xf numFmtId="0" fontId="8" fillId="0" borderId="291" xfId="4" applyFont="1" applyFill="1" applyBorder="1" applyAlignment="1"/>
    <xf numFmtId="0" fontId="8" fillId="0" borderId="290" xfId="4" applyFont="1" applyFill="1" applyBorder="1" applyAlignment="1"/>
    <xf numFmtId="0" fontId="8" fillId="0" borderId="89" xfId="4" applyFont="1" applyFill="1" applyBorder="1" applyAlignment="1"/>
    <xf numFmtId="0" fontId="8" fillId="0" borderId="0" xfId="4" applyFont="1" applyFill="1" applyBorder="1" applyAlignment="1">
      <alignment horizontal="center" vertical="center" shrinkToFit="1"/>
    </xf>
    <xf numFmtId="0" fontId="8" fillId="0" borderId="0" xfId="4" applyFont="1" applyFill="1" applyBorder="1" applyAlignment="1">
      <alignment shrinkToFit="1"/>
    </xf>
    <xf numFmtId="0" fontId="8" fillId="0" borderId="125" xfId="4" applyFont="1" applyFill="1" applyBorder="1" applyAlignment="1"/>
    <xf numFmtId="0" fontId="8" fillId="0" borderId="263" xfId="4" applyFont="1" applyFill="1" applyBorder="1" applyAlignment="1"/>
    <xf numFmtId="0" fontId="47" fillId="0" borderId="51" xfId="4" applyFont="1" applyFill="1" applyBorder="1" applyAlignment="1"/>
    <xf numFmtId="0" fontId="8" fillId="0" borderId="124" xfId="4" applyFont="1" applyFill="1" applyBorder="1" applyAlignment="1"/>
    <xf numFmtId="0" fontId="8" fillId="0" borderId="111" xfId="4" applyFont="1" applyFill="1" applyBorder="1" applyAlignment="1">
      <alignment horizontal="center" vertical="center" shrinkToFit="1"/>
    </xf>
    <xf numFmtId="192" fontId="8" fillId="0" borderId="111" xfId="4" applyNumberFormat="1" applyFont="1" applyFill="1" applyBorder="1" applyAlignment="1">
      <alignment horizontal="center"/>
    </xf>
    <xf numFmtId="0" fontId="31" fillId="0" borderId="52" xfId="4" applyFont="1" applyFill="1" applyBorder="1" applyAlignment="1">
      <alignment shrinkToFit="1"/>
    </xf>
    <xf numFmtId="0" fontId="8" fillId="0" borderId="140" xfId="4" applyFont="1" applyFill="1" applyBorder="1" applyAlignment="1"/>
    <xf numFmtId="0" fontId="8" fillId="0" borderId="23" xfId="4" applyFont="1" applyFill="1" applyBorder="1" applyAlignment="1">
      <alignment horizontal="center" vertical="center"/>
    </xf>
    <xf numFmtId="191" fontId="8" fillId="0" borderId="23" xfId="4" applyNumberFormat="1" applyFont="1" applyFill="1" applyBorder="1" applyAlignment="1" applyProtection="1">
      <alignment horizontal="center" vertical="center"/>
    </xf>
    <xf numFmtId="0" fontId="8" fillId="0" borderId="194" xfId="4" applyFont="1" applyFill="1" applyBorder="1" applyAlignment="1"/>
    <xf numFmtId="0" fontId="8" fillId="0" borderId="365" xfId="4" applyFont="1" applyFill="1" applyBorder="1" applyAlignment="1"/>
    <xf numFmtId="0" fontId="8" fillId="0" borderId="273" xfId="4" applyFont="1" applyFill="1" applyBorder="1" applyAlignment="1"/>
    <xf numFmtId="2" fontId="8" fillId="0" borderId="23" xfId="4" applyNumberFormat="1" applyFont="1" applyFill="1" applyBorder="1" applyAlignment="1" applyProtection="1">
      <alignment horizontal="center" vertical="center"/>
    </xf>
    <xf numFmtId="2" fontId="8" fillId="0" borderId="135" xfId="4" applyNumberFormat="1" applyFont="1" applyFill="1" applyBorder="1" applyAlignment="1" applyProtection="1">
      <alignment horizontal="center" vertical="center"/>
    </xf>
    <xf numFmtId="0" fontId="8" fillId="0" borderId="0" xfId="4" applyFont="1" applyFill="1" applyBorder="1" applyAlignment="1">
      <alignment horizontal="center" shrinkToFit="1"/>
    </xf>
    <xf numFmtId="0" fontId="8" fillId="0" borderId="23" xfId="4" applyFont="1" applyFill="1" applyBorder="1" applyAlignment="1" applyProtection="1">
      <alignment horizontal="center" vertical="center"/>
    </xf>
    <xf numFmtId="0" fontId="8" fillId="0" borderId="268" xfId="4" applyFont="1" applyFill="1" applyBorder="1" applyAlignment="1"/>
    <xf numFmtId="0" fontId="8" fillId="0" borderId="128" xfId="4" applyFont="1" applyFill="1" applyBorder="1" applyAlignment="1"/>
    <xf numFmtId="2" fontId="8" fillId="0" borderId="118" xfId="4" applyNumberFormat="1" applyFont="1" applyFill="1" applyBorder="1" applyAlignment="1" applyProtection="1">
      <alignment horizontal="center" vertical="center"/>
    </xf>
    <xf numFmtId="0" fontId="8" fillId="0" borderId="118" xfId="4" applyFont="1" applyFill="1" applyBorder="1" applyAlignment="1" applyProtection="1">
      <alignment horizontal="center" vertical="center"/>
    </xf>
    <xf numFmtId="0" fontId="8" fillId="0" borderId="127" xfId="4" applyFont="1" applyFill="1" applyBorder="1" applyAlignment="1"/>
    <xf numFmtId="192" fontId="8" fillId="0" borderId="51" xfId="4" applyNumberFormat="1" applyFont="1" applyFill="1" applyBorder="1" applyAlignment="1">
      <alignment horizontal="center"/>
    </xf>
    <xf numFmtId="192" fontId="8" fillId="0" borderId="265" xfId="4" applyNumberFormat="1" applyFont="1" applyFill="1" applyBorder="1" applyAlignment="1">
      <alignment horizontal="center"/>
    </xf>
    <xf numFmtId="0" fontId="8" fillId="0" borderId="0" xfId="4" applyFont="1" applyFill="1" applyAlignment="1">
      <alignment horizontal="center" vertical="center"/>
    </xf>
    <xf numFmtId="191" fontId="8" fillId="0" borderId="265" xfId="4" applyNumberFormat="1" applyFont="1" applyFill="1" applyBorder="1" applyAlignment="1" applyProtection="1">
      <alignment horizontal="center" vertical="center"/>
    </xf>
    <xf numFmtId="0" fontId="8" fillId="0" borderId="162" xfId="4" applyFont="1" applyFill="1" applyBorder="1" applyAlignment="1">
      <alignment vertical="center"/>
    </xf>
    <xf numFmtId="0" fontId="8" fillId="0" borderId="140" xfId="4" applyFont="1" applyFill="1" applyBorder="1" applyAlignment="1">
      <alignment horizontal="center" vertical="center"/>
    </xf>
    <xf numFmtId="2" fontId="8" fillId="0" borderId="265" xfId="4" applyNumberFormat="1" applyFont="1" applyFill="1" applyBorder="1" applyAlignment="1" applyProtection="1">
      <alignment horizontal="center" vertical="center"/>
    </xf>
    <xf numFmtId="0" fontId="8" fillId="0" borderId="188" xfId="4" applyFont="1" applyFill="1" applyBorder="1" applyAlignment="1" applyProtection="1">
      <alignment horizontal="center" vertical="center"/>
    </xf>
    <xf numFmtId="0" fontId="8" fillId="0" borderId="265" xfId="4" applyFont="1" applyFill="1" applyBorder="1" applyAlignment="1" applyProtection="1">
      <alignment horizontal="center" vertical="center"/>
    </xf>
    <xf numFmtId="0" fontId="8" fillId="0" borderId="0" xfId="4" applyFont="1" applyBorder="1" applyAlignment="1"/>
    <xf numFmtId="0" fontId="8" fillId="0" borderId="0" xfId="4" applyFont="1" applyBorder="1" applyAlignment="1">
      <alignment shrinkToFit="1"/>
    </xf>
    <xf numFmtId="0" fontId="20" fillId="0" borderId="212" xfId="4" applyFont="1" applyFill="1" applyBorder="1" applyAlignment="1">
      <alignment horizontal="center" vertical="center" wrapText="1"/>
    </xf>
    <xf numFmtId="0" fontId="39" fillId="0" borderId="291" xfId="4" applyFont="1" applyFill="1" applyBorder="1" applyAlignment="1">
      <alignment horizontal="left" shrinkToFit="1"/>
    </xf>
    <xf numFmtId="0" fontId="39" fillId="0" borderId="290" xfId="4" applyFont="1" applyFill="1" applyBorder="1" applyAlignment="1">
      <alignment horizontal="left" shrinkToFit="1"/>
    </xf>
    <xf numFmtId="0" fontId="39" fillId="0" borderId="292" xfId="4" applyFont="1" applyFill="1" applyBorder="1" applyAlignment="1">
      <alignment horizontal="left" shrinkToFit="1"/>
    </xf>
    <xf numFmtId="0" fontId="20" fillId="0" borderId="89" xfId="4" applyFont="1" applyFill="1" applyBorder="1" applyAlignment="1">
      <alignment horizontal="center" vertical="center" wrapText="1"/>
    </xf>
    <xf numFmtId="0" fontId="8" fillId="0" borderId="255" xfId="4" applyFont="1" applyFill="1" applyBorder="1" applyAlignment="1">
      <alignment horizontal="center" shrinkToFit="1"/>
    </xf>
    <xf numFmtId="0" fontId="8" fillId="0" borderId="147" xfId="4" applyFont="1" applyFill="1" applyBorder="1" applyAlignment="1">
      <alignment horizontal="center" shrinkToFit="1"/>
    </xf>
    <xf numFmtId="0" fontId="8" fillId="0" borderId="235" xfId="4" applyFont="1" applyFill="1" applyBorder="1" applyAlignment="1">
      <alignment horizontal="center" shrinkToFit="1"/>
    </xf>
    <xf numFmtId="0" fontId="8" fillId="0" borderId="212" xfId="4" applyFont="1" applyFill="1" applyBorder="1" applyAlignment="1">
      <alignment horizontal="center" vertical="center" wrapText="1"/>
    </xf>
    <xf numFmtId="0" fontId="8" fillId="0" borderId="89" xfId="4" applyFont="1" applyFill="1" applyBorder="1" applyAlignment="1">
      <alignment horizontal="center" vertical="center" wrapText="1"/>
    </xf>
    <xf numFmtId="0" fontId="8" fillId="0" borderId="256" xfId="4" applyFont="1" applyFill="1" applyBorder="1" applyAlignment="1">
      <alignment horizontal="center" shrinkToFit="1"/>
    </xf>
    <xf numFmtId="0" fontId="8" fillId="0" borderId="205" xfId="4" applyFont="1" applyFill="1" applyBorder="1" applyAlignment="1">
      <alignment horizontal="center" wrapText="1"/>
    </xf>
    <xf numFmtId="0" fontId="8" fillId="0" borderId="206" xfId="4" applyFont="1" applyFill="1" applyBorder="1" applyAlignment="1">
      <alignment horizontal="center" wrapText="1"/>
    </xf>
    <xf numFmtId="0" fontId="8" fillId="0" borderId="210" xfId="4" applyFont="1" applyFill="1" applyBorder="1" applyAlignment="1">
      <alignment horizontal="center" wrapText="1"/>
    </xf>
    <xf numFmtId="0" fontId="14" fillId="0" borderId="291" xfId="4" applyFont="1" applyFill="1" applyBorder="1" applyAlignment="1">
      <alignment horizontal="center" wrapText="1"/>
    </xf>
    <xf numFmtId="0" fontId="14" fillId="0" borderId="290" xfId="4" applyFont="1" applyFill="1" applyBorder="1" applyAlignment="1">
      <alignment horizontal="center" wrapText="1"/>
    </xf>
    <xf numFmtId="0" fontId="14" fillId="0" borderId="292" xfId="4" applyFont="1" applyFill="1" applyBorder="1" applyAlignment="1">
      <alignment horizontal="center" wrapText="1"/>
    </xf>
    <xf numFmtId="0" fontId="20" fillId="0" borderId="169" xfId="4" applyFont="1" applyFill="1" applyBorder="1" applyAlignment="1">
      <alignment horizontal="left" shrinkToFit="1"/>
    </xf>
    <xf numFmtId="0" fontId="5" fillId="0" borderId="169" xfId="4" applyFont="1" applyBorder="1" applyAlignment="1">
      <alignment shrinkToFit="1"/>
    </xf>
    <xf numFmtId="0" fontId="5" fillId="0" borderId="196" xfId="4" applyFont="1" applyBorder="1" applyAlignment="1">
      <alignment shrinkToFit="1"/>
    </xf>
    <xf numFmtId="38" fontId="8" fillId="0" borderId="83" xfId="4" applyNumberFormat="1" applyFont="1" applyFill="1" applyBorder="1" applyAlignment="1">
      <alignment horizontal="left"/>
    </xf>
    <xf numFmtId="38" fontId="8" fillId="0" borderId="214" xfId="4" applyNumberFormat="1" applyFont="1" applyFill="1" applyBorder="1" applyAlignment="1">
      <alignment horizontal="left"/>
    </xf>
    <xf numFmtId="0" fontId="39" fillId="0" borderId="291" xfId="4" applyFont="1" applyFill="1" applyBorder="1" applyAlignment="1">
      <alignment horizontal="left"/>
    </xf>
    <xf numFmtId="0" fontId="39" fillId="0" borderId="290" xfId="4" applyFont="1" applyFill="1" applyBorder="1" applyAlignment="1">
      <alignment horizontal="left"/>
    </xf>
    <xf numFmtId="0" fontId="39" fillId="0" borderId="292" xfId="4" applyFont="1" applyFill="1" applyBorder="1" applyAlignment="1">
      <alignment horizontal="left"/>
    </xf>
    <xf numFmtId="38" fontId="8" fillId="0" borderId="86" xfId="4" applyNumberFormat="1" applyFont="1" applyFill="1" applyBorder="1" applyAlignment="1">
      <alignment horizontal="left"/>
    </xf>
    <xf numFmtId="38" fontId="8" fillId="0" borderId="196" xfId="4" applyNumberFormat="1" applyFont="1" applyFill="1" applyBorder="1" applyAlignment="1">
      <alignment horizontal="left"/>
    </xf>
    <xf numFmtId="0" fontId="8" fillId="0" borderId="255" xfId="4" applyFont="1" applyFill="1" applyBorder="1" applyAlignment="1">
      <alignment horizontal="center"/>
    </xf>
    <xf numFmtId="0" fontId="8" fillId="0" borderId="147" xfId="4" applyFont="1" applyFill="1" applyBorder="1" applyAlignment="1">
      <alignment horizontal="center"/>
    </xf>
    <xf numFmtId="0" fontId="8" fillId="0" borderId="120" xfId="4" applyFont="1" applyFill="1" applyBorder="1" applyAlignment="1">
      <alignment horizontal="center" vertical="center" textRotation="255"/>
    </xf>
    <xf numFmtId="0" fontId="8" fillId="0" borderId="95" xfId="4" applyFont="1" applyFill="1" applyBorder="1" applyAlignment="1">
      <alignment horizontal="center" vertical="center" textRotation="255"/>
    </xf>
    <xf numFmtId="0" fontId="8" fillId="0" borderId="121" xfId="4" applyFont="1" applyFill="1" applyBorder="1" applyAlignment="1">
      <alignment horizontal="center" vertical="center" textRotation="255"/>
    </xf>
    <xf numFmtId="0" fontId="8" fillId="0" borderId="235" xfId="4" applyFont="1" applyFill="1" applyBorder="1" applyAlignment="1">
      <alignment horizontal="center"/>
    </xf>
    <xf numFmtId="0" fontId="8" fillId="0" borderId="89" xfId="4" applyFont="1" applyFill="1" applyBorder="1" applyAlignment="1">
      <alignment horizontal="center" vertical="center" textRotation="255"/>
    </xf>
    <xf numFmtId="0" fontId="8" fillId="0" borderId="264" xfId="4" applyFont="1" applyFill="1" applyBorder="1" applyAlignment="1">
      <alignment vertical="center" wrapText="1"/>
    </xf>
    <xf numFmtId="0" fontId="51" fillId="0" borderId="194" xfId="4" applyFont="1" applyFill="1" applyBorder="1" applyAlignment="1">
      <alignment vertical="center" wrapText="1"/>
    </xf>
    <xf numFmtId="0" fontId="8" fillId="0" borderId="232" xfId="4" applyFont="1" applyFill="1" applyBorder="1" applyAlignment="1">
      <alignment vertical="center" wrapText="1"/>
    </xf>
    <xf numFmtId="0" fontId="51" fillId="0" borderId="209" xfId="4" applyFont="1" applyFill="1" applyBorder="1" applyAlignment="1">
      <alignment vertical="center" wrapText="1"/>
    </xf>
    <xf numFmtId="0" fontId="5" fillId="0" borderId="96" xfId="4" applyFont="1" applyFill="1" applyBorder="1" applyAlignment="1">
      <alignment vertical="center"/>
    </xf>
    <xf numFmtId="0" fontId="8" fillId="0" borderId="152" xfId="4" applyFont="1" applyFill="1" applyBorder="1" applyAlignment="1">
      <alignment vertical="center" wrapText="1"/>
    </xf>
    <xf numFmtId="0" fontId="51" fillId="0" borderId="273" xfId="4" applyFont="1" applyFill="1" applyBorder="1" applyAlignment="1">
      <alignment vertical="center" wrapText="1"/>
    </xf>
    <xf numFmtId="0" fontId="8" fillId="0" borderId="144" xfId="4" applyFont="1" applyFill="1" applyBorder="1" applyAlignment="1">
      <alignment horizontal="left" vertical="center"/>
    </xf>
    <xf numFmtId="0" fontId="5" fillId="0" borderId="142" xfId="4" applyFont="1" applyFill="1" applyBorder="1" applyAlignment="1">
      <alignment horizontal="left" vertical="center"/>
    </xf>
    <xf numFmtId="0" fontId="5" fillId="0" borderId="140" xfId="4" applyFont="1" applyFill="1" applyBorder="1" applyAlignment="1">
      <alignment horizontal="left" vertical="center"/>
    </xf>
    <xf numFmtId="0" fontId="8" fillId="0" borderId="126" xfId="4" applyFont="1" applyFill="1" applyBorder="1" applyAlignment="1">
      <alignment horizontal="left" vertical="center"/>
    </xf>
    <xf numFmtId="0" fontId="5" fillId="0" borderId="127" xfId="4" applyFont="1" applyFill="1" applyBorder="1" applyAlignment="1">
      <alignment horizontal="left" vertical="center"/>
    </xf>
    <xf numFmtId="0" fontId="5" fillId="0" borderId="128" xfId="4" applyFont="1" applyFill="1" applyBorder="1" applyAlignment="1">
      <alignment horizontal="left" vertical="center"/>
    </xf>
    <xf numFmtId="0" fontId="8" fillId="0" borderId="126" xfId="4" applyFont="1" applyFill="1" applyBorder="1" applyAlignment="1">
      <alignment horizontal="center" vertical="center"/>
    </xf>
    <xf numFmtId="0" fontId="5" fillId="0" borderId="127" xfId="4" applyFont="1" applyFill="1" applyBorder="1" applyAlignment="1">
      <alignment horizontal="center" vertical="center"/>
    </xf>
    <xf numFmtId="0" fontId="90" fillId="0" borderId="0" xfId="4" applyFont="1" applyFill="1" applyBorder="1" applyAlignment="1">
      <alignment horizontal="right"/>
    </xf>
    <xf numFmtId="0" fontId="90" fillId="0" borderId="0" xfId="4" applyFont="1" applyFill="1" applyBorder="1" applyAlignment="1">
      <alignment horizontal="left"/>
    </xf>
    <xf numFmtId="0" fontId="8" fillId="0" borderId="120" xfId="4" applyFont="1" applyBorder="1" applyAlignment="1">
      <alignment horizontal="center"/>
    </xf>
    <xf numFmtId="0" fontId="8" fillId="29" borderId="95" xfId="4" applyFont="1" applyFill="1" applyBorder="1" applyAlignment="1">
      <alignment horizontal="center"/>
    </xf>
    <xf numFmtId="191" fontId="44" fillId="0" borderId="23" xfId="4" applyNumberFormat="1" applyFont="1" applyFill="1" applyBorder="1" applyAlignment="1">
      <alignment shrinkToFit="1"/>
    </xf>
    <xf numFmtId="10" fontId="44" fillId="0" borderId="23" xfId="4" applyNumberFormat="1" applyFont="1" applyFill="1" applyBorder="1" applyAlignment="1">
      <alignment horizontal="right" shrinkToFit="1"/>
    </xf>
    <xf numFmtId="0" fontId="44" fillId="0" borderId="23" xfId="4" applyNumberFormat="1" applyFont="1" applyFill="1" applyBorder="1" applyAlignment="1">
      <alignment shrinkToFit="1"/>
    </xf>
    <xf numFmtId="0" fontId="31" fillId="0" borderId="0" xfId="0" applyFont="1" applyFill="1" applyBorder="1" applyAlignment="1">
      <alignment horizontal="right" vertical="center"/>
    </xf>
    <xf numFmtId="0" fontId="91" fillId="0" borderId="0" xfId="0" applyFont="1" applyFill="1" applyBorder="1" applyAlignment="1">
      <alignment horizontal="right" vertical="center"/>
    </xf>
    <xf numFmtId="0" fontId="44" fillId="15" borderId="0" xfId="0" applyFont="1" applyFill="1" applyBorder="1" applyAlignment="1">
      <alignment horizontal="right" vertical="center"/>
    </xf>
    <xf numFmtId="0" fontId="7" fillId="0" borderId="354" xfId="0" applyFont="1" applyBorder="1" applyAlignment="1">
      <alignment horizontal="center" vertical="center"/>
    </xf>
    <xf numFmtId="0" fontId="82" fillId="0" borderId="297" xfId="0" applyFont="1" applyFill="1" applyBorder="1" applyAlignment="1" applyProtection="1">
      <alignment vertical="center" shrinkToFit="1"/>
      <protection locked="0"/>
    </xf>
    <xf numFmtId="0" fontId="82" fillId="0" borderId="39" xfId="0" applyFont="1" applyFill="1" applyBorder="1" applyAlignment="1" applyProtection="1">
      <alignment vertical="center"/>
      <protection locked="0"/>
    </xf>
    <xf numFmtId="179" fontId="82" fillId="0" borderId="40" xfId="0" applyNumberFormat="1" applyFont="1" applyBorder="1" applyAlignment="1" applyProtection="1">
      <alignment vertical="center"/>
      <protection locked="0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vertical="center" wrapText="1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25" fillId="0" borderId="0" xfId="0" applyFont="1" applyBorder="1" applyAlignment="1">
      <alignment vertical="center"/>
    </xf>
    <xf numFmtId="0" fontId="7" fillId="0" borderId="354" xfId="0" applyFont="1" applyBorder="1" applyAlignment="1">
      <alignment horizontal="center" vertical="center"/>
    </xf>
    <xf numFmtId="0" fontId="15" fillId="0" borderId="367" xfId="4" applyFont="1" applyBorder="1" applyAlignment="1" applyProtection="1">
      <alignment vertical="center"/>
      <protection locked="0"/>
    </xf>
    <xf numFmtId="0" fontId="17" fillId="0" borderId="73" xfId="4" applyFont="1" applyBorder="1" applyAlignment="1" applyProtection="1">
      <alignment vertical="center" wrapText="1"/>
      <protection locked="0"/>
    </xf>
    <xf numFmtId="0" fontId="17" fillId="0" borderId="362" xfId="0" applyFont="1" applyBorder="1" applyAlignment="1" applyProtection="1">
      <alignment vertical="center"/>
      <protection locked="0"/>
    </xf>
    <xf numFmtId="0" fontId="17" fillId="0" borderId="360" xfId="0" applyFont="1" applyBorder="1" applyAlignment="1" applyProtection="1">
      <alignment vertical="center"/>
      <protection locked="0"/>
    </xf>
    <xf numFmtId="177" fontId="8" fillId="0" borderId="23" xfId="0" applyNumberFormat="1" applyFont="1" applyBorder="1" applyAlignment="1">
      <alignment vertical="center"/>
    </xf>
    <xf numFmtId="38" fontId="8" fillId="0" borderId="23" xfId="1" applyFont="1" applyFill="1" applyBorder="1" applyAlignment="1">
      <alignment vertical="center"/>
    </xf>
    <xf numFmtId="38" fontId="8" fillId="0" borderId="140" xfId="1" applyFont="1" applyFill="1" applyBorder="1" applyAlignment="1">
      <alignment vertical="center"/>
    </xf>
    <xf numFmtId="0" fontId="7" fillId="0" borderId="51" xfId="0" applyFont="1" applyBorder="1" applyAlignment="1">
      <alignment horizontal="center" vertical="center"/>
    </xf>
    <xf numFmtId="0" fontId="7" fillId="0" borderId="263" xfId="0" applyFont="1" applyBorder="1" applyAlignment="1">
      <alignment horizontal="center" vertical="center"/>
    </xf>
    <xf numFmtId="0" fontId="7" fillId="0" borderId="354" xfId="0" applyFont="1" applyBorder="1" applyAlignment="1">
      <alignment horizontal="center" vertical="center"/>
    </xf>
    <xf numFmtId="0" fontId="7" fillId="0" borderId="355" xfId="0" applyFont="1" applyBorder="1" applyAlignment="1">
      <alignment horizontal="center" vertical="center"/>
    </xf>
    <xf numFmtId="0" fontId="7" fillId="0" borderId="356" xfId="0" applyFont="1" applyBorder="1" applyAlignment="1">
      <alignment horizontal="center" vertical="center"/>
    </xf>
    <xf numFmtId="0" fontId="7" fillId="0" borderId="96" xfId="0" applyFont="1" applyBorder="1" applyAlignment="1">
      <alignment horizontal="center" vertical="center"/>
    </xf>
    <xf numFmtId="0" fontId="7" fillId="0" borderId="283" xfId="0" applyFont="1" applyBorder="1" applyAlignment="1">
      <alignment horizontal="center" vertical="center"/>
    </xf>
    <xf numFmtId="0" fontId="7" fillId="0" borderId="358" xfId="0" applyFont="1" applyBorder="1" applyAlignment="1">
      <alignment horizontal="center" vertical="center"/>
    </xf>
    <xf numFmtId="194" fontId="83" fillId="26" borderId="194" xfId="0" applyNumberFormat="1" applyFont="1" applyFill="1" applyBorder="1" applyAlignment="1" applyProtection="1">
      <alignment horizontal="center" vertical="center" shrinkToFit="1"/>
      <protection locked="0"/>
    </xf>
    <xf numFmtId="0" fontId="0" fillId="26" borderId="273" xfId="0" applyFont="1" applyFill="1" applyBorder="1" applyAlignment="1">
      <alignment horizontal="center" vertical="center" shrinkToFit="1"/>
    </xf>
    <xf numFmtId="0" fontId="83" fillId="26" borderId="162" xfId="0" applyNumberFormat="1" applyFont="1" applyFill="1" applyBorder="1" applyAlignment="1" applyProtection="1">
      <alignment horizontal="center" vertical="center" shrinkToFit="1"/>
      <protection locked="0"/>
    </xf>
    <xf numFmtId="0" fontId="0" fillId="26" borderId="96" xfId="0" applyFont="1" applyFill="1" applyBorder="1" applyAlignment="1">
      <alignment horizontal="center" vertical="center" shrinkToFit="1"/>
    </xf>
    <xf numFmtId="0" fontId="13" fillId="14" borderId="23" xfId="0" applyFont="1" applyFill="1" applyBorder="1" applyAlignment="1" applyProtection="1">
      <alignment horizontal="center" vertical="center" shrinkToFit="1"/>
    </xf>
    <xf numFmtId="180" fontId="38" fillId="26" borderId="0" xfId="0" applyNumberFormat="1" applyFont="1" applyFill="1" applyBorder="1" applyAlignment="1" applyProtection="1">
      <alignment horizontal="distributed" vertical="center"/>
    </xf>
    <xf numFmtId="0" fontId="0" fillId="0" borderId="0" xfId="0" applyAlignment="1">
      <alignment horizontal="distributed" vertical="center"/>
    </xf>
    <xf numFmtId="0" fontId="16" fillId="0" borderId="172" xfId="0" applyFont="1" applyBorder="1" applyAlignment="1" applyProtection="1">
      <alignment horizontal="center" vertical="center" wrapText="1"/>
    </xf>
    <xf numFmtId="0" fontId="16" fillId="0" borderId="173" xfId="0" applyFont="1" applyBorder="1" applyAlignment="1" applyProtection="1">
      <alignment horizontal="center" vertical="center" wrapText="1"/>
    </xf>
    <xf numFmtId="0" fontId="16" fillId="0" borderId="174" xfId="0" applyFont="1" applyBorder="1" applyAlignment="1" applyProtection="1">
      <alignment horizontal="center" vertical="center" wrapText="1"/>
    </xf>
    <xf numFmtId="0" fontId="16" fillId="0" borderId="146" xfId="0" applyFont="1" applyBorder="1" applyAlignment="1" applyProtection="1">
      <alignment horizontal="center" vertical="center" wrapText="1"/>
    </xf>
    <xf numFmtId="0" fontId="16" fillId="0" borderId="175" xfId="0" applyFont="1" applyBorder="1" applyAlignment="1" applyProtection="1">
      <alignment horizontal="center" vertical="center" wrapText="1"/>
    </xf>
    <xf numFmtId="0" fontId="16" fillId="0" borderId="176" xfId="0" applyFont="1" applyBorder="1" applyAlignment="1" applyProtection="1">
      <alignment horizontal="center" vertical="center" wrapText="1"/>
    </xf>
    <xf numFmtId="0" fontId="16" fillId="0" borderId="202" xfId="0" applyFont="1" applyBorder="1" applyAlignment="1" applyProtection="1">
      <alignment horizontal="center" vertical="center" wrapText="1"/>
    </xf>
    <xf numFmtId="0" fontId="16" fillId="0" borderId="203" xfId="0" applyFont="1" applyBorder="1" applyAlignment="1" applyProtection="1">
      <alignment horizontal="center" vertical="center" wrapText="1"/>
    </xf>
    <xf numFmtId="0" fontId="16" fillId="0" borderId="201" xfId="0" applyFont="1" applyBorder="1" applyAlignment="1" applyProtection="1">
      <alignment horizontal="center" vertical="center" wrapText="1"/>
    </xf>
    <xf numFmtId="0" fontId="27" fillId="0" borderId="155" xfId="0" applyFont="1" applyBorder="1" applyAlignment="1" applyProtection="1">
      <alignment horizontal="center" vertical="center" shrinkToFit="1"/>
    </xf>
    <xf numFmtId="0" fontId="27" fillId="0" borderId="156" xfId="0" applyFont="1" applyBorder="1" applyAlignment="1" applyProtection="1">
      <alignment horizontal="center" vertical="center" shrinkToFit="1"/>
    </xf>
    <xf numFmtId="0" fontId="27" fillId="0" borderId="157" xfId="0" applyFont="1" applyBorder="1" applyAlignment="1" applyProtection="1">
      <alignment horizontal="center" vertical="center" shrinkToFit="1"/>
    </xf>
    <xf numFmtId="0" fontId="27" fillId="0" borderId="202" xfId="0" applyFont="1" applyBorder="1" applyAlignment="1" applyProtection="1">
      <alignment horizontal="center" vertical="center" wrapText="1"/>
    </xf>
    <xf numFmtId="0" fontId="27" fillId="0" borderId="201" xfId="0" applyFont="1" applyBorder="1" applyAlignment="1" applyProtection="1">
      <alignment horizontal="center" vertical="center" wrapText="1"/>
    </xf>
    <xf numFmtId="0" fontId="27" fillId="0" borderId="155" xfId="0" applyFont="1" applyBorder="1" applyAlignment="1" applyProtection="1">
      <alignment horizontal="center" vertical="center" wrapText="1"/>
    </xf>
    <xf numFmtId="0" fontId="27" fillId="0" borderId="157" xfId="0" applyFont="1" applyBorder="1" applyAlignment="1" applyProtection="1">
      <alignment horizontal="center" vertical="center" wrapText="1"/>
    </xf>
    <xf numFmtId="0" fontId="27" fillId="0" borderId="203" xfId="0" applyFont="1" applyBorder="1" applyAlignment="1" applyProtection="1">
      <alignment horizontal="center" vertical="center" wrapText="1"/>
    </xf>
    <xf numFmtId="0" fontId="92" fillId="26" borderId="268" xfId="0" applyFont="1" applyFill="1" applyBorder="1" applyAlignment="1" applyProtection="1">
      <alignment horizontal="distributed" vertical="center" justifyLastLine="1"/>
      <protection locked="0"/>
    </xf>
    <xf numFmtId="0" fontId="7" fillId="0" borderId="353" xfId="0" applyFont="1" applyBorder="1" applyAlignment="1">
      <alignment horizontal="center" vertical="center"/>
    </xf>
    <xf numFmtId="0" fontId="7" fillId="0" borderId="95" xfId="0" applyFont="1" applyBorder="1" applyAlignment="1">
      <alignment horizontal="center" vertical="center"/>
    </xf>
    <xf numFmtId="0" fontId="0" fillId="0" borderId="0" xfId="0" applyAlignment="1">
      <alignment horizontal="center" vertical="center" textRotation="255" shrinkToFit="1"/>
    </xf>
    <xf numFmtId="0" fontId="0" fillId="0" borderId="151" xfId="0" applyBorder="1" applyAlignment="1">
      <alignment horizontal="center" vertical="center" textRotation="255" shrinkToFit="1"/>
    </xf>
    <xf numFmtId="0" fontId="7" fillId="0" borderId="351" xfId="0" applyFont="1" applyBorder="1" applyAlignment="1">
      <alignment horizontal="center" vertical="center"/>
    </xf>
    <xf numFmtId="0" fontId="7" fillId="0" borderId="352" xfId="0" applyFont="1" applyBorder="1" applyAlignment="1">
      <alignment horizontal="center" vertical="center"/>
    </xf>
    <xf numFmtId="0" fontId="7" fillId="0" borderId="152" xfId="0" applyFont="1" applyBorder="1" applyAlignment="1">
      <alignment horizontal="center" vertical="center"/>
    </xf>
    <xf numFmtId="0" fontId="7" fillId="0" borderId="273" xfId="0" applyFont="1" applyBorder="1" applyAlignment="1">
      <alignment horizontal="center" vertical="center"/>
    </xf>
    <xf numFmtId="0" fontId="37" fillId="14" borderId="23" xfId="0" applyFont="1" applyFill="1" applyBorder="1" applyAlignment="1" applyProtection="1">
      <alignment horizontal="center" vertical="center" shrinkToFit="1"/>
    </xf>
    <xf numFmtId="177" fontId="13" fillId="14" borderId="52" xfId="0" applyNumberFormat="1" applyFont="1" applyFill="1" applyBorder="1" applyAlignment="1" applyProtection="1">
      <alignment horizontal="center" vertical="center" shrinkToFit="1"/>
    </xf>
    <xf numFmtId="177" fontId="13" fillId="14" borderId="140" xfId="0" applyNumberFormat="1" applyFont="1" applyFill="1" applyBorder="1" applyAlignment="1" applyProtection="1">
      <alignment horizontal="center" vertical="center" shrinkToFit="1"/>
    </xf>
    <xf numFmtId="188" fontId="20" fillId="26" borderId="23" xfId="0" applyNumberFormat="1" applyFont="1" applyFill="1" applyBorder="1" applyAlignment="1" applyProtection="1">
      <alignment horizontal="center" vertical="center"/>
      <protection locked="0"/>
    </xf>
    <xf numFmtId="0" fontId="20" fillId="26" borderId="23" xfId="0" applyFont="1" applyFill="1" applyBorder="1" applyAlignment="1">
      <alignment horizontal="center" vertical="center"/>
    </xf>
    <xf numFmtId="55" fontId="20" fillId="26" borderId="23" xfId="0" applyNumberFormat="1" applyFont="1" applyFill="1" applyBorder="1" applyAlignment="1" applyProtection="1">
      <alignment horizontal="center" vertical="center" wrapText="1"/>
    </xf>
    <xf numFmtId="0" fontId="26" fillId="0" borderId="0" xfId="0" applyFont="1" applyFill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366" xfId="0" applyBorder="1" applyAlignment="1">
      <alignment vertical="center" wrapText="1"/>
    </xf>
    <xf numFmtId="58" fontId="19" fillId="0" borderId="0" xfId="0" applyNumberFormat="1" applyFont="1" applyBorder="1" applyAlignment="1" applyProtection="1">
      <alignment horizontal="center" vertical="center" shrinkToFit="1"/>
      <protection locked="0"/>
    </xf>
    <xf numFmtId="0" fontId="13" fillId="14" borderId="52" xfId="0" applyFont="1" applyFill="1" applyBorder="1" applyAlignment="1" applyProtection="1">
      <alignment horizontal="center" vertical="center" shrinkToFit="1"/>
    </xf>
    <xf numFmtId="0" fontId="13" fillId="14" borderId="140" xfId="0" applyFont="1" applyFill="1" applyBorder="1" applyAlignment="1" applyProtection="1">
      <alignment horizontal="center" vertical="center" shrinkToFit="1"/>
    </xf>
    <xf numFmtId="177" fontId="20" fillId="26" borderId="23" xfId="0" applyNumberFormat="1" applyFont="1" applyFill="1" applyBorder="1" applyAlignment="1" applyProtection="1">
      <alignment horizontal="center" vertical="center"/>
    </xf>
    <xf numFmtId="0" fontId="8" fillId="0" borderId="120" xfId="0" applyFont="1" applyFill="1" applyBorder="1" applyAlignment="1">
      <alignment horizontal="center" vertical="center" textRotation="255"/>
    </xf>
    <xf numFmtId="0" fontId="8" fillId="0" borderId="95" xfId="0" applyFont="1" applyFill="1" applyBorder="1" applyAlignment="1">
      <alignment horizontal="center" vertical="center" textRotation="255"/>
    </xf>
    <xf numFmtId="0" fontId="8" fillId="0" borderId="121" xfId="0" applyFont="1" applyFill="1" applyBorder="1" applyAlignment="1">
      <alignment horizontal="center" vertical="center" textRotation="255"/>
    </xf>
    <xf numFmtId="0" fontId="8" fillId="0" borderId="89" xfId="0" applyFont="1" applyFill="1" applyBorder="1" applyAlignment="1">
      <alignment horizontal="center" vertical="center" textRotation="255"/>
    </xf>
    <xf numFmtId="0" fontId="8" fillId="0" borderId="264" xfId="0" applyFont="1" applyFill="1" applyBorder="1" applyAlignment="1">
      <alignment vertical="center" wrapText="1"/>
    </xf>
    <xf numFmtId="0" fontId="8" fillId="0" borderId="232" xfId="0" applyFont="1" applyFill="1" applyBorder="1" applyAlignment="1">
      <alignment vertical="center" wrapText="1"/>
    </xf>
    <xf numFmtId="0" fontId="8" fillId="0" borderId="152" xfId="0" applyFont="1" applyFill="1" applyBorder="1" applyAlignment="1">
      <alignment vertical="center" wrapText="1"/>
    </xf>
    <xf numFmtId="0" fontId="51" fillId="0" borderId="194" xfId="0" applyFont="1" applyFill="1" applyBorder="1" applyAlignment="1">
      <alignment vertical="center" wrapText="1"/>
    </xf>
    <xf numFmtId="0" fontId="51" fillId="0" borderId="209" xfId="0" applyFont="1" applyFill="1" applyBorder="1" applyAlignment="1">
      <alignment vertical="center" wrapText="1"/>
    </xf>
    <xf numFmtId="0" fontId="51" fillId="0" borderId="273" xfId="0" applyFont="1" applyFill="1" applyBorder="1" applyAlignment="1">
      <alignment vertical="center" wrapText="1"/>
    </xf>
    <xf numFmtId="0" fontId="8" fillId="0" borderId="162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68" fillId="0" borderId="120" xfId="0" applyFont="1" applyFill="1" applyBorder="1" applyAlignment="1">
      <alignment horizontal="center" vertical="center" textRotation="255" wrapText="1"/>
    </xf>
    <xf numFmtId="0" fontId="68" fillId="0" borderId="89" xfId="0" applyFont="1" applyFill="1" applyBorder="1" applyAlignment="1">
      <alignment horizontal="center" vertical="center" textRotation="255" wrapText="1"/>
    </xf>
    <xf numFmtId="0" fontId="69" fillId="0" borderId="194" xfId="0" applyFont="1" applyFill="1" applyBorder="1" applyAlignment="1">
      <alignment vertical="center" wrapText="1"/>
    </xf>
    <xf numFmtId="0" fontId="34" fillId="0" borderId="209" xfId="0" applyFont="1" applyFill="1" applyBorder="1" applyAlignment="1">
      <alignment vertical="center" wrapText="1"/>
    </xf>
    <xf numFmtId="0" fontId="34" fillId="0" borderId="273" xfId="0" applyFont="1" applyFill="1" applyBorder="1" applyAlignment="1">
      <alignment vertical="center" wrapText="1"/>
    </xf>
    <xf numFmtId="0" fontId="8" fillId="0" borderId="126" xfId="0" applyFont="1" applyFill="1" applyBorder="1" applyAlignment="1">
      <alignment horizontal="center" vertical="center"/>
    </xf>
    <xf numFmtId="0" fontId="8" fillId="0" borderId="127" xfId="0" applyFont="1" applyFill="1" applyBorder="1" applyAlignment="1">
      <alignment horizontal="center" vertical="center"/>
    </xf>
    <xf numFmtId="0" fontId="69" fillId="0" borderId="209" xfId="0" applyFont="1" applyFill="1" applyBorder="1" applyAlignment="1">
      <alignment vertical="center" wrapText="1"/>
    </xf>
    <xf numFmtId="0" fontId="69" fillId="0" borderId="273" xfId="0" applyFont="1" applyFill="1" applyBorder="1" applyAlignment="1">
      <alignment vertical="center" wrapText="1"/>
    </xf>
    <xf numFmtId="0" fontId="8" fillId="0" borderId="212" xfId="0" applyFont="1" applyFill="1" applyBorder="1" applyAlignment="1">
      <alignment horizontal="center" vertical="center" textRotation="255"/>
    </xf>
    <xf numFmtId="0" fontId="31" fillId="0" borderId="120" xfId="0" applyFont="1" applyFill="1" applyBorder="1" applyAlignment="1">
      <alignment horizontal="center" vertical="center" textRotation="255" wrapText="1"/>
    </xf>
    <xf numFmtId="0" fontId="31" fillId="0" borderId="95" xfId="0" applyFont="1" applyFill="1" applyBorder="1" applyAlignment="1">
      <alignment horizontal="center" vertical="center" textRotation="255" wrapText="1"/>
    </xf>
    <xf numFmtId="0" fontId="20" fillId="0" borderId="169" xfId="0" applyFont="1" applyFill="1" applyBorder="1" applyAlignment="1">
      <alignment horizontal="left" shrinkToFit="1"/>
    </xf>
    <xf numFmtId="0" fontId="20" fillId="0" borderId="196" xfId="0" applyFont="1" applyFill="1" applyBorder="1" applyAlignment="1">
      <alignment horizontal="left" shrinkToFit="1"/>
    </xf>
    <xf numFmtId="0" fontId="8" fillId="0" borderId="120" xfId="0" applyFont="1" applyFill="1" applyBorder="1" applyAlignment="1">
      <alignment horizontal="center" vertical="center" textRotation="255" shrinkToFit="1"/>
    </xf>
    <xf numFmtId="0" fontId="8" fillId="0" borderId="121" xfId="0" applyFont="1" applyFill="1" applyBorder="1" applyAlignment="1">
      <alignment horizontal="center" vertical="center" textRotation="255" shrinkToFit="1"/>
    </xf>
    <xf numFmtId="0" fontId="8" fillId="0" borderId="95" xfId="0" applyFont="1" applyFill="1" applyBorder="1" applyAlignment="1">
      <alignment horizontal="center" vertical="center" textRotation="255" shrinkToFit="1"/>
    </xf>
    <xf numFmtId="0" fontId="8" fillId="0" borderId="126" xfId="0" applyFont="1" applyFill="1" applyBorder="1" applyAlignment="1">
      <alignment horizontal="left" vertical="center"/>
    </xf>
    <xf numFmtId="0" fontId="8" fillId="0" borderId="127" xfId="0" applyFont="1" applyFill="1" applyBorder="1" applyAlignment="1">
      <alignment horizontal="left" vertical="center"/>
    </xf>
    <xf numFmtId="0" fontId="20" fillId="0" borderId="212" xfId="0" applyFont="1" applyFill="1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39" fillId="0" borderId="252" xfId="0" applyFont="1" applyFill="1" applyBorder="1" applyAlignment="1">
      <alignment horizontal="left" shrinkToFit="1"/>
    </xf>
    <xf numFmtId="0" fontId="0" fillId="0" borderId="234" xfId="0" applyBorder="1" applyAlignment="1">
      <alignment horizontal="left" shrinkToFit="1"/>
    </xf>
    <xf numFmtId="0" fontId="0" fillId="0" borderId="254" xfId="0" applyBorder="1" applyAlignment="1">
      <alignment horizontal="left" shrinkToFit="1"/>
    </xf>
    <xf numFmtId="0" fontId="0" fillId="0" borderId="121" xfId="0" applyBorder="1" applyAlignment="1">
      <alignment horizontal="center" vertical="center" textRotation="255"/>
    </xf>
    <xf numFmtId="0" fontId="0" fillId="0" borderId="95" xfId="0" applyBorder="1" applyAlignment="1">
      <alignment horizontal="center" vertical="center" textRotation="255"/>
    </xf>
    <xf numFmtId="0" fontId="0" fillId="0" borderId="89" xfId="0" applyBorder="1" applyAlignment="1">
      <alignment horizontal="center" vertical="center" textRotation="255"/>
    </xf>
    <xf numFmtId="0" fontId="8" fillId="0" borderId="144" xfId="0" applyFont="1" applyFill="1" applyBorder="1" applyAlignment="1">
      <alignment horizontal="left" vertical="center"/>
    </xf>
    <xf numFmtId="0" fontId="8" fillId="0" borderId="142" xfId="0" applyFont="1" applyFill="1" applyBorder="1" applyAlignment="1">
      <alignment horizontal="left" vertical="center"/>
    </xf>
    <xf numFmtId="0" fontId="39" fillId="0" borderId="234" xfId="0" applyFont="1" applyFill="1" applyBorder="1" applyAlignment="1">
      <alignment horizontal="left" shrinkToFit="1"/>
    </xf>
    <xf numFmtId="0" fontId="39" fillId="0" borderId="254" xfId="0" applyFont="1" applyFill="1" applyBorder="1" applyAlignment="1">
      <alignment horizontal="left" shrinkToFit="1"/>
    </xf>
    <xf numFmtId="0" fontId="31" fillId="0" borderId="89" xfId="0" applyFont="1" applyFill="1" applyBorder="1" applyAlignment="1">
      <alignment horizontal="center" vertical="center" textRotation="255" wrapText="1"/>
    </xf>
    <xf numFmtId="0" fontId="31" fillId="0" borderId="115" xfId="0" applyFont="1" applyBorder="1" applyAlignment="1">
      <alignment horizontal="right" vertical="center" wrapText="1" shrinkToFit="1"/>
    </xf>
    <xf numFmtId="0" fontId="34" fillId="0" borderId="142" xfId="0" applyFont="1" applyBorder="1" applyAlignment="1">
      <alignment horizontal="right" vertical="center" wrapText="1" shrinkToFit="1"/>
    </xf>
    <xf numFmtId="0" fontId="34" fillId="0" borderId="140" xfId="0" applyFont="1" applyBorder="1" applyAlignment="1">
      <alignment horizontal="right" vertical="center" wrapText="1" shrinkToFit="1"/>
    </xf>
    <xf numFmtId="0" fontId="87" fillId="0" borderId="115" xfId="0" applyFont="1" applyBorder="1" applyAlignment="1">
      <alignment horizontal="right" vertical="center" wrapText="1" shrinkToFit="1"/>
    </xf>
    <xf numFmtId="0" fontId="88" fillId="0" borderId="142" xfId="0" applyFont="1" applyBorder="1" applyAlignment="1">
      <alignment horizontal="right" vertical="center" wrapText="1" shrinkToFit="1"/>
    </xf>
    <xf numFmtId="0" fontId="88" fillId="0" borderId="140" xfId="0" applyFont="1" applyBorder="1" applyAlignment="1">
      <alignment horizontal="right" vertical="center" wrapText="1" shrinkToFit="1"/>
    </xf>
    <xf numFmtId="0" fontId="39" fillId="26" borderId="304" xfId="4" applyFont="1" applyFill="1" applyBorder="1" applyAlignment="1">
      <alignment horizontal="center" vertical="center"/>
    </xf>
    <xf numFmtId="0" fontId="5" fillId="26" borderId="305" xfId="0" applyFont="1" applyFill="1" applyBorder="1" applyAlignment="1">
      <alignment horizontal="center" vertical="center"/>
    </xf>
    <xf numFmtId="0" fontId="31" fillId="0" borderId="167" xfId="0" applyFont="1" applyFill="1" applyBorder="1" applyAlignment="1">
      <alignment horizontal="right" vertical="center" wrapText="1" shrinkToFit="1"/>
    </xf>
    <xf numFmtId="0" fontId="34" fillId="0" borderId="283" xfId="0" applyFont="1" applyFill="1" applyBorder="1" applyAlignment="1">
      <alignment horizontal="right" vertical="center" wrapText="1" shrinkToFit="1"/>
    </xf>
    <xf numFmtId="0" fontId="34" fillId="0" borderId="273" xfId="0" applyFont="1" applyFill="1" applyBorder="1" applyAlignment="1">
      <alignment horizontal="right" vertical="center" wrapText="1" shrinkToFit="1"/>
    </xf>
    <xf numFmtId="0" fontId="45" fillId="0" borderId="171" xfId="0" applyFont="1" applyFill="1" applyBorder="1" applyAlignment="1">
      <alignment horizontal="distributed" vertical="center"/>
    </xf>
    <xf numFmtId="0" fontId="0" fillId="0" borderId="171" xfId="0" applyBorder="1" applyAlignment="1">
      <alignment horizontal="distributed" vertical="center"/>
    </xf>
    <xf numFmtId="0" fontId="45" fillId="0" borderId="169" xfId="0" applyFont="1" applyFill="1" applyBorder="1" applyAlignment="1">
      <alignment horizontal="distributed" vertical="center"/>
    </xf>
    <xf numFmtId="0" fontId="0" fillId="0" borderId="169" xfId="0" applyBorder="1" applyAlignment="1">
      <alignment horizontal="distributed" vertical="center"/>
    </xf>
    <xf numFmtId="0" fontId="45" fillId="0" borderId="15" xfId="0" applyFont="1" applyFill="1" applyBorder="1" applyAlignment="1">
      <alignment horizontal="distributed" vertical="center"/>
    </xf>
    <xf numFmtId="0" fontId="0" fillId="0" borderId="15" xfId="0" applyBorder="1" applyAlignment="1">
      <alignment horizontal="distributed" vertical="center"/>
    </xf>
    <xf numFmtId="0" fontId="31" fillId="0" borderId="167" xfId="0" applyFont="1" applyBorder="1" applyAlignment="1">
      <alignment horizontal="right" vertical="center" wrapText="1" shrinkToFit="1"/>
    </xf>
    <xf numFmtId="0" fontId="34" fillId="0" borderId="283" xfId="0" applyFont="1" applyBorder="1" applyAlignment="1">
      <alignment horizontal="right" vertical="center" wrapText="1"/>
    </xf>
    <xf numFmtId="0" fontId="34" fillId="0" borderId="273" xfId="0" applyFont="1" applyBorder="1" applyAlignment="1">
      <alignment horizontal="right" vertical="center" wrapText="1"/>
    </xf>
    <xf numFmtId="0" fontId="0" fillId="0" borderId="15" xfId="0" applyFill="1" applyBorder="1" applyAlignment="1">
      <alignment horizontal="distributed" vertical="center"/>
    </xf>
    <xf numFmtId="0" fontId="20" fillId="0" borderId="212" xfId="0" applyFont="1" applyBorder="1" applyAlignment="1">
      <alignment vertical="center" textRotation="255"/>
    </xf>
    <xf numFmtId="0" fontId="0" fillId="0" borderId="89" xfId="0" applyBorder="1" applyAlignment="1">
      <alignment vertical="center" textRotation="255"/>
    </xf>
    <xf numFmtId="0" fontId="68" fillId="0" borderId="115" xfId="0" applyFont="1" applyBorder="1" applyAlignment="1">
      <alignment horizontal="right" vertical="center" wrapText="1" shrinkToFit="1"/>
    </xf>
    <xf numFmtId="0" fontId="6" fillId="0" borderId="142" xfId="0" applyFont="1" applyBorder="1" applyAlignment="1">
      <alignment horizontal="right" vertical="center" wrapText="1" shrinkToFit="1"/>
    </xf>
    <xf numFmtId="0" fontId="6" fillId="0" borderId="140" xfId="0" applyFont="1" applyBorder="1" applyAlignment="1">
      <alignment horizontal="right" vertical="center" wrapText="1" shrinkToFit="1"/>
    </xf>
    <xf numFmtId="0" fontId="68" fillId="0" borderId="167" xfId="0" applyFont="1" applyBorder="1" applyAlignment="1">
      <alignment horizontal="right" vertical="center" wrapText="1" shrinkToFit="1"/>
    </xf>
    <xf numFmtId="0" fontId="6" fillId="0" borderId="283" xfId="0" applyFont="1" applyBorder="1" applyAlignment="1">
      <alignment horizontal="right" vertical="center" wrapText="1"/>
    </xf>
    <xf numFmtId="0" fontId="6" fillId="0" borderId="273" xfId="0" applyFont="1" applyBorder="1" applyAlignment="1">
      <alignment horizontal="right" vertical="center" wrapText="1"/>
    </xf>
    <xf numFmtId="0" fontId="5" fillId="15" borderId="313" xfId="4" applyFont="1" applyFill="1" applyBorder="1" applyAlignment="1">
      <alignment horizontal="center" vertical="center" wrapText="1" shrinkToFit="1"/>
    </xf>
    <xf numFmtId="0" fontId="5" fillId="0" borderId="313" xfId="0" applyFont="1" applyBorder="1" applyAlignment="1">
      <alignment horizontal="center" vertical="center" shrinkToFit="1"/>
    </xf>
    <xf numFmtId="0" fontId="5" fillId="0" borderId="277" xfId="0" applyFont="1" applyBorder="1" applyAlignment="1">
      <alignment horizontal="center" vertical="center" shrinkToFit="1"/>
    </xf>
    <xf numFmtId="0" fontId="5" fillId="0" borderId="290" xfId="0" applyFont="1" applyBorder="1" applyAlignment="1">
      <alignment horizontal="center" vertical="center" shrinkToFit="1"/>
    </xf>
    <xf numFmtId="0" fontId="5" fillId="0" borderId="292" xfId="0" applyFont="1" applyBorder="1" applyAlignment="1">
      <alignment horizontal="center" vertical="center" shrinkToFit="1"/>
    </xf>
    <xf numFmtId="0" fontId="5" fillId="0" borderId="305" xfId="0" applyFont="1" applyBorder="1" applyAlignment="1">
      <alignment horizontal="center" vertical="center"/>
    </xf>
    <xf numFmtId="0" fontId="31" fillId="17" borderId="212" xfId="0" applyFont="1" applyFill="1" applyBorder="1" applyAlignment="1">
      <alignment horizontal="center" wrapText="1"/>
    </xf>
    <xf numFmtId="0" fontId="34" fillId="0" borderId="89" xfId="0" applyFont="1" applyBorder="1" applyAlignment="1">
      <alignment horizontal="center" wrapText="1"/>
    </xf>
    <xf numFmtId="0" fontId="7" fillId="17" borderId="87" xfId="0" applyFont="1" applyFill="1" applyBorder="1" applyAlignment="1">
      <alignment horizontal="right" shrinkToFit="1"/>
    </xf>
    <xf numFmtId="0" fontId="0" fillId="0" borderId="87" xfId="0" applyFont="1" applyBorder="1" applyAlignment="1">
      <alignment shrinkToFit="1"/>
    </xf>
    <xf numFmtId="0" fontId="0" fillId="0" borderId="198" xfId="0" applyFont="1" applyBorder="1" applyAlignment="1">
      <alignment shrinkToFit="1"/>
    </xf>
    <xf numFmtId="0" fontId="7" fillId="17" borderId="210" xfId="0" applyFont="1" applyFill="1" applyBorder="1" applyAlignment="1">
      <alignment horizontal="center" vertical="center" textRotation="255"/>
    </xf>
    <xf numFmtId="0" fontId="0" fillId="0" borderId="209" xfId="0" applyBorder="1" applyAlignment="1">
      <alignment horizontal="center" vertical="center" textRotation="255"/>
    </xf>
    <xf numFmtId="0" fontId="0" fillId="0" borderId="198" xfId="0" applyBorder="1" applyAlignment="1">
      <alignment horizontal="center" vertical="center" textRotation="255"/>
    </xf>
    <xf numFmtId="0" fontId="11" fillId="0" borderId="160" xfId="0" applyFont="1" applyBorder="1" applyAlignment="1" applyProtection="1">
      <alignment horizontal="center" vertical="center"/>
    </xf>
    <xf numFmtId="0" fontId="16" fillId="0" borderId="340" xfId="0" applyFont="1" applyBorder="1" applyAlignment="1" applyProtection="1">
      <alignment horizontal="center" vertical="center"/>
    </xf>
    <xf numFmtId="0" fontId="16" fillId="0" borderId="338" xfId="0" applyFont="1" applyBorder="1" applyAlignment="1" applyProtection="1">
      <alignment horizontal="center" vertical="center"/>
    </xf>
    <xf numFmtId="0" fontId="16" fillId="0" borderId="341" xfId="0" applyFont="1" applyBorder="1" applyAlignment="1" applyProtection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181" fontId="27" fillId="0" borderId="159" xfId="0" applyNumberFormat="1" applyFont="1" applyBorder="1" applyAlignment="1" applyProtection="1">
      <alignment horizontal="left" vertical="center" wrapText="1"/>
      <protection locked="0"/>
    </xf>
    <xf numFmtId="181" fontId="27" fillId="0" borderId="39" xfId="0" applyNumberFormat="1" applyFont="1" applyBorder="1" applyAlignment="1" applyProtection="1">
      <alignment horizontal="left" vertical="center" wrapText="1"/>
      <protection locked="0"/>
    </xf>
    <xf numFmtId="181" fontId="27" fillId="0" borderId="40" xfId="0" applyNumberFormat="1" applyFont="1" applyBorder="1" applyAlignment="1" applyProtection="1">
      <alignment horizontal="left" vertical="center" wrapText="1"/>
      <protection locked="0"/>
    </xf>
    <xf numFmtId="181" fontId="27" fillId="0" borderId="159" xfId="0" applyNumberFormat="1" applyFont="1" applyBorder="1" applyAlignment="1" applyProtection="1">
      <alignment horizontal="center" vertical="center" wrapText="1"/>
      <protection locked="0"/>
    </xf>
    <xf numFmtId="181" fontId="27" fillId="0" borderId="39" xfId="0" applyNumberFormat="1" applyFont="1" applyBorder="1" applyAlignment="1" applyProtection="1">
      <alignment horizontal="center" vertical="center" wrapText="1"/>
      <protection locked="0"/>
    </xf>
    <xf numFmtId="181" fontId="27" fillId="0" borderId="40" xfId="0" applyNumberFormat="1" applyFont="1" applyBorder="1" applyAlignment="1" applyProtection="1">
      <alignment horizontal="center" vertical="center" wrapText="1"/>
      <protection locked="0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123" xfId="0" applyFont="1" applyBorder="1" applyAlignment="1">
      <alignment horizontal="center" vertical="center"/>
    </xf>
    <xf numFmtId="0" fontId="16" fillId="0" borderId="161" xfId="0" applyFont="1" applyBorder="1" applyAlignment="1" applyProtection="1">
      <alignment horizontal="center" vertical="center"/>
    </xf>
    <xf numFmtId="0" fontId="16" fillId="0" borderId="65" xfId="0" applyFont="1" applyBorder="1" applyAlignment="1" applyProtection="1">
      <alignment horizontal="center" vertical="center"/>
    </xf>
    <xf numFmtId="0" fontId="16" fillId="0" borderId="66" xfId="0" applyFont="1" applyBorder="1" applyAlignment="1" applyProtection="1">
      <alignment horizontal="center" vertical="center"/>
    </xf>
    <xf numFmtId="179" fontId="20" fillId="0" borderId="164" xfId="0" applyNumberFormat="1" applyFont="1" applyBorder="1" applyAlignment="1">
      <alignment horizontal="center" vertical="center" shrinkToFit="1"/>
    </xf>
    <xf numFmtId="179" fontId="20" fillId="0" borderId="165" xfId="0" applyNumberFormat="1" applyFont="1" applyBorder="1" applyAlignment="1">
      <alignment horizontal="center" vertical="center" shrinkToFit="1"/>
    </xf>
    <xf numFmtId="0" fontId="24" fillId="0" borderId="0" xfId="0" applyFont="1" applyAlignment="1" applyProtection="1">
      <alignment horizontal="center" vertical="center"/>
      <protection locked="0"/>
    </xf>
    <xf numFmtId="179" fontId="20" fillId="0" borderId="326" xfId="0" applyNumberFormat="1" applyFont="1" applyBorder="1" applyAlignment="1" applyProtection="1">
      <alignment horizontal="center" vertical="center" shrinkToFit="1"/>
      <protection locked="0"/>
    </xf>
    <xf numFmtId="179" fontId="20" fillId="0" borderId="327" xfId="0" applyNumberFormat="1" applyFont="1" applyBorder="1" applyAlignment="1" applyProtection="1">
      <alignment horizontal="center" vertical="center" shrinkToFit="1"/>
      <protection locked="0"/>
    </xf>
    <xf numFmtId="179" fontId="20" fillId="0" borderId="328" xfId="0" applyNumberFormat="1" applyFont="1" applyBorder="1" applyAlignment="1" applyProtection="1">
      <alignment horizontal="center" vertical="center" shrinkToFit="1"/>
      <protection locked="0"/>
    </xf>
    <xf numFmtId="179" fontId="20" fillId="0" borderId="329" xfId="0" applyNumberFormat="1" applyFont="1" applyBorder="1" applyAlignment="1" applyProtection="1">
      <alignment horizontal="center" vertical="center" shrinkToFit="1"/>
      <protection locked="0"/>
    </xf>
    <xf numFmtId="0" fontId="24" fillId="0" borderId="268" xfId="0" applyFont="1" applyBorder="1" applyAlignment="1" applyProtection="1">
      <alignment horizontal="center" vertical="center"/>
      <protection locked="0"/>
    </xf>
    <xf numFmtId="0" fontId="24" fillId="8" borderId="268" xfId="0" applyFont="1" applyFill="1" applyBorder="1" applyAlignment="1" applyProtection="1">
      <alignment vertical="center" shrinkToFit="1"/>
      <protection locked="0"/>
    </xf>
    <xf numFmtId="0" fontId="20" fillId="0" borderId="124" xfId="0" applyFont="1" applyBorder="1" applyAlignment="1">
      <alignment horizontal="center" vertical="center" shrinkToFit="1"/>
    </xf>
    <xf numFmtId="9" fontId="20" fillId="9" borderId="162" xfId="0" applyNumberFormat="1" applyFont="1" applyFill="1" applyBorder="1" applyAlignment="1" applyProtection="1">
      <alignment horizontal="center" vertical="center" shrinkToFit="1"/>
      <protection locked="0"/>
    </xf>
    <xf numFmtId="9" fontId="0" fillId="9" borderId="313" xfId="0" applyNumberFormat="1" applyFill="1" applyBorder="1" applyAlignment="1">
      <alignment horizontal="center" vertical="center" shrinkToFit="1"/>
    </xf>
    <xf numFmtId="0" fontId="20" fillId="0" borderId="164" xfId="0" applyFont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178" fontId="20" fillId="0" borderId="163" xfId="0" applyNumberFormat="1" applyFont="1" applyBorder="1" applyAlignment="1" applyProtection="1">
      <alignment horizontal="left" vertical="center" shrinkToFit="1"/>
      <protection locked="0"/>
    </xf>
    <xf numFmtId="178" fontId="20" fillId="0" borderId="127" xfId="0" applyNumberFormat="1" applyFont="1" applyBorder="1" applyAlignment="1" applyProtection="1">
      <alignment horizontal="left" vertical="center" shrinkToFit="1"/>
      <protection locked="0"/>
    </xf>
    <xf numFmtId="178" fontId="20" fillId="0" borderId="145" xfId="0" applyNumberFormat="1" applyFont="1" applyBorder="1" applyAlignment="1" applyProtection="1">
      <alignment horizontal="left" vertical="center" shrinkToFit="1"/>
      <protection locked="0"/>
    </xf>
    <xf numFmtId="0" fontId="26" fillId="0" borderId="170" xfId="0" applyFont="1" applyBorder="1" applyAlignment="1">
      <alignment horizontal="center" vertical="center" shrinkToFit="1"/>
    </xf>
    <xf numFmtId="0" fontId="26" fillId="0" borderId="171" xfId="0" applyFont="1" applyBorder="1" applyAlignment="1">
      <alignment horizontal="center" vertical="center" shrinkToFit="1"/>
    </xf>
    <xf numFmtId="0" fontId="26" fillId="0" borderId="90" xfId="0" applyFont="1" applyBorder="1" applyAlignment="1">
      <alignment horizontal="center" vertical="center" shrinkToFit="1"/>
    </xf>
    <xf numFmtId="0" fontId="26" fillId="0" borderId="170" xfId="0" applyFont="1" applyBorder="1" applyAlignment="1">
      <alignment horizontal="center" shrinkToFit="1"/>
    </xf>
    <xf numFmtId="0" fontId="26" fillId="0" borderId="171" xfId="0" applyFont="1" applyBorder="1" applyAlignment="1">
      <alignment horizontal="center" shrinkToFit="1"/>
    </xf>
    <xf numFmtId="0" fontId="0" fillId="0" borderId="171" xfId="0" applyBorder="1" applyAlignment="1">
      <alignment horizontal="center" shrinkToFit="1"/>
    </xf>
    <xf numFmtId="0" fontId="0" fillId="0" borderId="90" xfId="0" applyBorder="1" applyAlignment="1">
      <alignment horizontal="center" shrinkToFit="1"/>
    </xf>
    <xf numFmtId="0" fontId="0" fillId="0" borderId="171" xfId="0" applyBorder="1" applyAlignment="1">
      <alignment shrinkToFit="1"/>
    </xf>
    <xf numFmtId="0" fontId="0" fillId="0" borderId="90" xfId="0" applyBorder="1" applyAlignment="1">
      <alignment shrinkToFit="1"/>
    </xf>
    <xf numFmtId="0" fontId="26" fillId="10" borderId="167" xfId="0" applyFont="1" applyFill="1" applyBorder="1" applyAlignment="1">
      <alignment horizontal="center" vertical="center"/>
    </xf>
    <xf numFmtId="0" fontId="26" fillId="10" borderId="141" xfId="0" applyFont="1" applyFill="1" applyBorder="1" applyAlignment="1">
      <alignment horizontal="center" vertical="center"/>
    </xf>
    <xf numFmtId="0" fontId="26" fillId="10" borderId="97" xfId="0" applyFont="1" applyFill="1" applyBorder="1" applyAlignment="1">
      <alignment horizontal="center" vertical="center"/>
    </xf>
    <xf numFmtId="0" fontId="26" fillId="10" borderId="167" xfId="0" applyFont="1" applyFill="1" applyBorder="1" applyAlignment="1">
      <alignment horizontal="center" vertical="center" shrinkToFit="1"/>
    </xf>
    <xf numFmtId="0" fontId="26" fillId="10" borderId="141" xfId="0" applyFont="1" applyFill="1" applyBorder="1" applyAlignment="1">
      <alignment horizontal="center" vertical="center" shrinkToFit="1"/>
    </xf>
    <xf numFmtId="0" fontId="26" fillId="10" borderId="97" xfId="0" applyFont="1" applyFill="1" applyBorder="1" applyAlignment="1">
      <alignment horizontal="center" vertical="center" shrinkToFit="1"/>
    </xf>
    <xf numFmtId="0" fontId="26" fillId="10" borderId="168" xfId="0" applyFont="1" applyFill="1" applyBorder="1" applyAlignment="1">
      <alignment horizontal="center" vertical="center" shrinkToFit="1"/>
    </xf>
    <xf numFmtId="0" fontId="26" fillId="10" borderId="169" xfId="0" applyFont="1" applyFill="1" applyBorder="1" applyAlignment="1">
      <alignment horizontal="center" vertical="center" shrinkToFit="1"/>
    </xf>
    <xf numFmtId="0" fontId="26" fillId="10" borderId="92" xfId="0" applyFont="1" applyFill="1" applyBorder="1" applyAlignment="1">
      <alignment horizontal="center" vertical="center" shrinkToFit="1"/>
    </xf>
    <xf numFmtId="0" fontId="26" fillId="10" borderId="115" xfId="0" applyFont="1" applyFill="1" applyBorder="1" applyAlignment="1">
      <alignment horizontal="center" vertical="center"/>
    </xf>
    <xf numFmtId="0" fontId="26" fillId="10" borderId="142" xfId="0" applyFont="1" applyFill="1" applyBorder="1" applyAlignment="1">
      <alignment horizontal="center" vertical="center"/>
    </xf>
    <xf numFmtId="0" fontId="26" fillId="10" borderId="91" xfId="0" applyFont="1" applyFill="1" applyBorder="1" applyAlignment="1">
      <alignment horizontal="center" vertical="center"/>
    </xf>
    <xf numFmtId="0" fontId="26" fillId="10" borderId="115" xfId="0" applyFont="1" applyFill="1" applyBorder="1" applyAlignment="1">
      <alignment horizontal="center" vertical="center" shrinkToFit="1"/>
    </xf>
    <xf numFmtId="0" fontId="26" fillId="10" borderId="142" xfId="0" applyFont="1" applyFill="1" applyBorder="1" applyAlignment="1">
      <alignment horizontal="center" vertical="center" shrinkToFit="1"/>
    </xf>
    <xf numFmtId="0" fontId="26" fillId="10" borderId="91" xfId="0" applyFont="1" applyFill="1" applyBorder="1" applyAlignment="1">
      <alignment horizontal="center" vertical="center" shrinkToFit="1"/>
    </xf>
    <xf numFmtId="187" fontId="7" fillId="0" borderId="52" xfId="0" applyNumberFormat="1" applyFont="1" applyBorder="1" applyAlignment="1">
      <alignment horizontal="center" vertical="center" shrinkToFit="1"/>
    </xf>
    <xf numFmtId="187" fontId="7" fillId="0" borderId="140" xfId="0" applyNumberFormat="1" applyFont="1" applyBorder="1" applyAlignment="1">
      <alignment horizontal="center" vertical="center" shrinkToFit="1"/>
    </xf>
    <xf numFmtId="177" fontId="7" fillId="0" borderId="52" xfId="0" applyNumberFormat="1" applyFont="1" applyBorder="1" applyAlignment="1">
      <alignment horizontal="center" vertical="center"/>
    </xf>
    <xf numFmtId="177" fontId="7" fillId="0" borderId="140" xfId="0" applyNumberFormat="1" applyFont="1" applyBorder="1" applyAlignment="1">
      <alignment horizontal="center" vertical="center"/>
    </xf>
    <xf numFmtId="187" fontId="7" fillId="0" borderId="188" xfId="0" applyNumberFormat="1" applyFont="1" applyBorder="1" applyAlignment="1">
      <alignment horizontal="center" vertical="center" shrinkToFit="1"/>
    </xf>
    <xf numFmtId="187" fontId="7" fillId="0" borderId="128" xfId="0" applyNumberFormat="1" applyFont="1" applyBorder="1" applyAlignment="1">
      <alignment horizontal="center" vertical="center" shrinkToFit="1"/>
    </xf>
    <xf numFmtId="177" fontId="7" fillId="0" borderId="188" xfId="0" applyNumberFormat="1" applyFont="1" applyBorder="1" applyAlignment="1">
      <alignment horizontal="center" vertical="center"/>
    </xf>
    <xf numFmtId="177" fontId="7" fillId="0" borderId="128" xfId="0" applyNumberFormat="1" applyFont="1" applyBorder="1" applyAlignment="1">
      <alignment horizontal="center" vertical="center"/>
    </xf>
    <xf numFmtId="0" fontId="0" fillId="0" borderId="355" xfId="0" applyBorder="1" applyAlignment="1">
      <alignment horizontal="center" vertical="center"/>
    </xf>
    <xf numFmtId="0" fontId="0" fillId="0" borderId="356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283" xfId="0" applyBorder="1" applyAlignment="1">
      <alignment horizontal="center" vertical="center"/>
    </xf>
    <xf numFmtId="0" fontId="0" fillId="0" borderId="358" xfId="0" applyBorder="1" applyAlignment="1">
      <alignment horizontal="center" vertical="center"/>
    </xf>
    <xf numFmtId="0" fontId="7" fillId="0" borderId="96" xfId="0" applyFont="1" applyBorder="1" applyAlignment="1">
      <alignment horizontal="center"/>
    </xf>
    <xf numFmtId="0" fontId="7" fillId="0" borderId="357" xfId="0" applyFont="1" applyBorder="1" applyAlignment="1">
      <alignment horizontal="center"/>
    </xf>
    <xf numFmtId="0" fontId="31" fillId="0" borderId="52" xfId="0" applyFont="1" applyBorder="1" applyAlignment="1">
      <alignment horizontal="right" vertical="top"/>
    </xf>
    <xf numFmtId="0" fontId="31" fillId="0" borderId="140" xfId="0" applyFont="1" applyBorder="1" applyAlignment="1">
      <alignment horizontal="right" vertical="top"/>
    </xf>
    <xf numFmtId="0" fontId="7" fillId="0" borderId="52" xfId="0" applyFont="1" applyBorder="1" applyAlignment="1">
      <alignment horizontal="right" vertical="top"/>
    </xf>
    <xf numFmtId="0" fontId="7" fillId="0" borderId="140" xfId="0" applyFont="1" applyBorder="1" applyAlignment="1">
      <alignment horizontal="right" vertical="top"/>
    </xf>
    <xf numFmtId="0" fontId="7" fillId="0" borderId="352" xfId="0" applyFont="1" applyBorder="1" applyAlignment="1">
      <alignment horizontal="center"/>
    </xf>
    <xf numFmtId="0" fontId="7" fillId="0" borderId="357" xfId="0" applyFont="1" applyBorder="1" applyAlignment="1">
      <alignment horizontal="center" vertical="center"/>
    </xf>
    <xf numFmtId="0" fontId="31" fillId="0" borderId="96" xfId="0" applyFont="1" applyBorder="1" applyAlignment="1">
      <alignment horizontal="right" vertical="top"/>
    </xf>
    <xf numFmtId="0" fontId="31" fillId="0" borderId="357" xfId="0" applyFont="1" applyBorder="1" applyAlignment="1">
      <alignment horizontal="right" vertical="top"/>
    </xf>
    <xf numFmtId="0" fontId="7" fillId="0" borderId="363" xfId="0" applyFont="1" applyBorder="1" applyAlignment="1">
      <alignment horizontal="center" vertical="center"/>
    </xf>
    <xf numFmtId="9" fontId="0" fillId="9" borderId="139" xfId="0" applyNumberFormat="1" applyFill="1" applyBorder="1" applyAlignment="1">
      <alignment horizontal="center" vertical="center" shrinkToFit="1"/>
    </xf>
    <xf numFmtId="179" fontId="20" fillId="0" borderId="112" xfId="0" applyNumberFormat="1" applyFont="1" applyBorder="1" applyAlignment="1" applyProtection="1">
      <alignment horizontal="center" vertical="center" shrinkToFit="1"/>
      <protection locked="0"/>
    </xf>
    <xf numFmtId="179" fontId="20" fillId="0" borderId="46" xfId="0" applyNumberFormat="1" applyFont="1" applyBorder="1" applyAlignment="1" applyProtection="1">
      <alignment horizontal="center" vertical="center" shrinkToFit="1"/>
      <protection locked="0"/>
    </xf>
    <xf numFmtId="179" fontId="20" fillId="0" borderId="164" xfId="0" applyNumberFormat="1" applyFont="1" applyBorder="1" applyAlignment="1" applyProtection="1">
      <alignment horizontal="center" vertical="center" shrinkToFit="1"/>
      <protection locked="0"/>
    </xf>
    <xf numFmtId="179" fontId="20" fillId="0" borderId="166" xfId="0" applyNumberFormat="1" applyFont="1" applyBorder="1" applyAlignment="1" applyProtection="1">
      <alignment horizontal="center" vertical="center" shrinkToFit="1"/>
      <protection locked="0"/>
    </xf>
    <xf numFmtId="0" fontId="24" fillId="0" borderId="154" xfId="0" applyFont="1" applyBorder="1" applyAlignment="1" applyProtection="1">
      <alignment horizontal="center" vertical="center"/>
      <protection locked="0"/>
    </xf>
    <xf numFmtId="0" fontId="24" fillId="8" borderId="154" xfId="0" applyFont="1" applyFill="1" applyBorder="1" applyAlignment="1" applyProtection="1">
      <alignment vertical="center" shrinkToFit="1"/>
      <protection locked="0"/>
    </xf>
  </cellXfs>
  <cellStyles count="10">
    <cellStyle name="パーセント" xfId="9" builtinId="5"/>
    <cellStyle name="パーセント 2" xfId="2" xr:uid="{00000000-0005-0000-0000-000001000000}"/>
    <cellStyle name="ハイパーリンク" xfId="8" builtinId="8"/>
    <cellStyle name="桁区切り" xfId="1" builtinId="6"/>
    <cellStyle name="桁区切り 2" xfId="3" xr:uid="{00000000-0005-0000-0000-000004000000}"/>
    <cellStyle name="標準" xfId="0" builtinId="0"/>
    <cellStyle name="標準 2" xfId="4" xr:uid="{00000000-0005-0000-0000-000006000000}"/>
    <cellStyle name="標準 3" xfId="7" xr:uid="{00000000-0005-0000-0000-000007000000}"/>
    <cellStyle name="標準 4 2" xfId="6" xr:uid="{00000000-0005-0000-0000-000008000000}"/>
    <cellStyle name="標準 7" xfId="5" xr:uid="{00000000-0005-0000-0000-000009000000}"/>
  </cellStyles>
  <dxfs count="15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FFCCFF"/>
      <color rgb="FFFFCC99"/>
      <color rgb="FFCCFFCC"/>
      <color rgb="FF66FFFF"/>
      <color rgb="FFFF66FF"/>
      <color rgb="FF99CCFF"/>
      <color rgb="FFCC9900"/>
      <color rgb="FFC0C0C0"/>
      <color rgb="FFFF99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863600</xdr:colOff>
          <xdr:row>13</xdr:row>
          <xdr:rowOff>0</xdr:rowOff>
        </xdr:from>
        <xdr:to>
          <xdr:col>22</xdr:col>
          <xdr:colOff>38100</xdr:colOff>
          <xdr:row>14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既存明細転記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7584" y="49873148"/>
          <a:ext cx="3171031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21167</xdr:colOff>
      <xdr:row>11</xdr:row>
      <xdr:rowOff>42333</xdr:rowOff>
    </xdr:from>
    <xdr:to>
      <xdr:col>2</xdr:col>
      <xdr:colOff>1428751</xdr:colOff>
      <xdr:row>13</xdr:row>
      <xdr:rowOff>319569</xdr:rowOff>
    </xdr:to>
    <xdr:sp macro="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1167" y="2127250"/>
          <a:ext cx="1862667" cy="827569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0</xdr:col>
      <xdr:colOff>0</xdr:colOff>
      <xdr:row>95</xdr:row>
      <xdr:rowOff>105679</xdr:rowOff>
    </xdr:from>
    <xdr:to>
      <xdr:col>4</xdr:col>
      <xdr:colOff>376518</xdr:colOff>
      <xdr:row>103</xdr:row>
      <xdr:rowOff>84666</xdr:rowOff>
    </xdr:to>
    <xdr:sp macro="" textlink="">
      <xdr:nvSpPr>
        <xdr:cNvPr id="11" name="角丸四角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17822179"/>
          <a:ext cx="2969435" cy="133365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2</xdr:row>
          <xdr:rowOff>12700</xdr:rowOff>
        </xdr:from>
        <xdr:to>
          <xdr:col>13</xdr:col>
          <xdr:colOff>1778000</xdr:colOff>
          <xdr:row>6</xdr:row>
          <xdr:rowOff>63500</xdr:rowOff>
        </xdr:to>
        <xdr:sp macro="" textlink="">
          <xdr:nvSpPr>
            <xdr:cNvPr id="24972" name="Button 396" hidden="1">
              <a:extLst>
                <a:ext uri="{63B3BB69-23CF-44E3-9099-C40C66FF867C}">
                  <a14:compatExt spid="_x0000_s24972"/>
                </a:ext>
                <a:ext uri="{FF2B5EF4-FFF2-40B4-BE49-F238E27FC236}">
                  <a16:creationId xmlns:a16="http://schemas.microsoft.com/office/drawing/2014/main" id="{00000000-0008-0000-0200-00008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Meiryo UI" charset="-128"/>
                  <a:ea typeface="Meiryo UI" charset="-128"/>
                </a:rPr>
                <a:t>変更諸経費表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Meiryo UI" charset="-128"/>
                  <a:ea typeface="Meiryo UI" charset="-128"/>
                </a:rPr>
                <a:t>入力フォームを起動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95250</xdr:colOff>
      <xdr:row>3</xdr:row>
      <xdr:rowOff>275167</xdr:rowOff>
    </xdr:from>
    <xdr:to>
      <xdr:col>9</xdr:col>
      <xdr:colOff>435428</xdr:colOff>
      <xdr:row>29</xdr:row>
      <xdr:rowOff>14318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212667" y="994834"/>
          <a:ext cx="340178" cy="48085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ctr"/>
          <a:r>
            <a:rPr kumimoji="1" lang="ja-JP" altLang="en-US" sz="1100"/>
            <a:t>この列はシステム上必要な列なので、削除しないで下さい。</a:t>
          </a:r>
        </a:p>
      </xdr:txBody>
    </xdr:sp>
    <xdr:clientData/>
  </xdr:twoCellAnchor>
  <xdr:twoCellAnchor>
    <xdr:from>
      <xdr:col>13</xdr:col>
      <xdr:colOff>254001</xdr:colOff>
      <xdr:row>9</xdr:row>
      <xdr:rowOff>0</xdr:rowOff>
    </xdr:from>
    <xdr:to>
      <xdr:col>13</xdr:col>
      <xdr:colOff>1576918</xdr:colOff>
      <xdr:row>14</xdr:row>
      <xdr:rowOff>123032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5409334" y="1915583"/>
          <a:ext cx="1322917" cy="1393032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状態コード</a:t>
          </a:r>
          <a:endParaRPr kumimoji="1" lang="en-US" altLang="ja-JP" sz="1100"/>
        </a:p>
        <a:p>
          <a:r>
            <a:rPr kumimoji="1" lang="en-US" altLang="ja-JP" sz="1100"/>
            <a:t>0</a:t>
          </a:r>
          <a:r>
            <a:rPr kumimoji="1" lang="ja-JP" altLang="en-US" sz="1100"/>
            <a:t>：初期状態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：</a:t>
          </a:r>
          <a:r>
            <a:rPr kumimoji="1" lang="en-US" altLang="ja-JP" sz="1100"/>
            <a:t>STEP1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：</a:t>
          </a:r>
          <a:r>
            <a:rPr kumimoji="1" lang="en-US" altLang="ja-JP" sz="1100"/>
            <a:t>STEP2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3</a:t>
          </a:r>
          <a:r>
            <a:rPr kumimoji="1" lang="ja-JP" altLang="en-US" sz="1100"/>
            <a:t>：</a:t>
          </a:r>
          <a:r>
            <a:rPr kumimoji="1" lang="en-US" altLang="ja-JP" sz="1100"/>
            <a:t>STEP3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4</a:t>
          </a:r>
          <a:r>
            <a:rPr kumimoji="1" lang="ja-JP" altLang="en-US" sz="1100"/>
            <a:t>：</a:t>
          </a:r>
          <a:r>
            <a:rPr kumimoji="1" lang="en-US" altLang="ja-JP" sz="1100"/>
            <a:t>STEP4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5</a:t>
          </a:r>
          <a:r>
            <a:rPr kumimoji="1" lang="ja-JP" altLang="en-US" sz="1100"/>
            <a:t>：完了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97304</xdr:colOff>
      <xdr:row>9</xdr:row>
      <xdr:rowOff>6771</xdr:rowOff>
    </xdr:from>
    <xdr:to>
      <xdr:col>4</xdr:col>
      <xdr:colOff>11578</xdr:colOff>
      <xdr:row>13</xdr:row>
      <xdr:rowOff>351319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7304" y="1864146"/>
          <a:ext cx="2486024" cy="1225611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0</xdr:col>
      <xdr:colOff>273846</xdr:colOff>
      <xdr:row>306</xdr:row>
      <xdr:rowOff>69307</xdr:rowOff>
    </xdr:from>
    <xdr:to>
      <xdr:col>4</xdr:col>
      <xdr:colOff>250032</xdr:colOff>
      <xdr:row>307</xdr:row>
      <xdr:rowOff>250032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73846" y="48968276"/>
          <a:ext cx="2547936" cy="5617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2</xdr:col>
      <xdr:colOff>16388</xdr:colOff>
      <xdr:row>93</xdr:row>
      <xdr:rowOff>44822</xdr:rowOff>
    </xdr:from>
    <xdr:to>
      <xdr:col>5</xdr:col>
      <xdr:colOff>738187</xdr:colOff>
      <xdr:row>101</xdr:row>
      <xdr:rowOff>107155</xdr:rowOff>
    </xdr:to>
    <xdr:sp macro="" textlink="">
      <xdr:nvSpPr>
        <xdr:cNvPr id="7" name="角丸四角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87888" y="17666072"/>
          <a:ext cx="3257830" cy="139583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marL="0" indent="0"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前回</a:t>
          </a:r>
          <a:r>
            <a:rPr kumimoji="1" lang="ja-JP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諸経費表シートより</a:t>
          </a:r>
        </a:p>
        <a:p>
          <a:pPr marL="0" indent="0" algn="l"/>
          <a:r>
            <a:rPr kumimoji="1" lang="ja-JP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)</a:t>
          </a:r>
          <a:endParaRPr kumimoji="1" lang="ja-JP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+mn-lt"/>
            <a:ea typeface="+mn-ea"/>
            <a:cs typeface="+mn-cs"/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152400</xdr:rowOff>
        </xdr:from>
        <xdr:to>
          <xdr:col>13</xdr:col>
          <xdr:colOff>1790700</xdr:colOff>
          <xdr:row>6</xdr:row>
          <xdr:rowOff>25400</xdr:rowOff>
        </xdr:to>
        <xdr:sp macro="" textlink="">
          <xdr:nvSpPr>
            <xdr:cNvPr id="99351" name="Button 23" hidden="1">
              <a:extLst>
                <a:ext uri="{63B3BB69-23CF-44E3-9099-C40C66FF867C}">
                  <a14:compatExt spid="_x0000_s99351"/>
                </a:ext>
                <a:ext uri="{FF2B5EF4-FFF2-40B4-BE49-F238E27FC236}">
                  <a16:creationId xmlns:a16="http://schemas.microsoft.com/office/drawing/2014/main" id="{00000000-0008-0000-0400-00001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Meiryo UI" charset="-128"/>
                  <a:ea typeface="Meiryo UI" charset="-128"/>
                </a:rPr>
                <a:t>第2回以降変更諸経費表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Meiryo UI" charset="-128"/>
                  <a:ea typeface="Meiryo UI" charset="-128"/>
                </a:rPr>
                <a:t>入力フォームを起動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119062</xdr:colOff>
      <xdr:row>4</xdr:row>
      <xdr:rowOff>0</xdr:rowOff>
    </xdr:from>
    <xdr:to>
      <xdr:col>9</xdr:col>
      <xdr:colOff>459240</xdr:colOff>
      <xdr:row>29</xdr:row>
      <xdr:rowOff>46067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643812" y="1012031"/>
          <a:ext cx="340178" cy="48085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ctr"/>
          <a:r>
            <a:rPr kumimoji="1" lang="ja-JP" altLang="en-US" sz="1100"/>
            <a:t>この列はシステム上必要な列なので、削除しないで下さい。</a:t>
          </a:r>
        </a:p>
      </xdr:txBody>
    </xdr:sp>
    <xdr:clientData/>
  </xdr:twoCellAnchor>
  <xdr:twoCellAnchor>
    <xdr:from>
      <xdr:col>13</xdr:col>
      <xdr:colOff>392906</xdr:colOff>
      <xdr:row>9</xdr:row>
      <xdr:rowOff>23813</xdr:rowOff>
    </xdr:from>
    <xdr:to>
      <xdr:col>13</xdr:col>
      <xdr:colOff>1715823</xdr:colOff>
      <xdr:row>14</xdr:row>
      <xdr:rowOff>154782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5061406" y="1940719"/>
          <a:ext cx="1322917" cy="1393032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状態コード</a:t>
          </a:r>
          <a:endParaRPr kumimoji="1" lang="en-US" altLang="ja-JP" sz="1100"/>
        </a:p>
        <a:p>
          <a:r>
            <a:rPr kumimoji="1" lang="en-US" altLang="ja-JP" sz="1100"/>
            <a:t>0</a:t>
          </a:r>
          <a:r>
            <a:rPr kumimoji="1" lang="ja-JP" altLang="en-US" sz="1100"/>
            <a:t>：初期状態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：</a:t>
          </a:r>
          <a:r>
            <a:rPr kumimoji="1" lang="en-US" altLang="ja-JP" sz="1100"/>
            <a:t>STEP1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：</a:t>
          </a:r>
          <a:r>
            <a:rPr kumimoji="1" lang="en-US" altLang="ja-JP" sz="1100"/>
            <a:t>STEP2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3</a:t>
          </a:r>
          <a:r>
            <a:rPr kumimoji="1" lang="ja-JP" altLang="en-US" sz="1100"/>
            <a:t>：</a:t>
          </a:r>
          <a:r>
            <a:rPr kumimoji="1" lang="en-US" altLang="ja-JP" sz="1100"/>
            <a:t>STEP3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4</a:t>
          </a:r>
          <a:r>
            <a:rPr kumimoji="1" lang="ja-JP" altLang="en-US" sz="1100"/>
            <a:t>：</a:t>
          </a:r>
          <a:r>
            <a:rPr kumimoji="1" lang="en-US" altLang="ja-JP" sz="1100"/>
            <a:t>STEP4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5</a:t>
          </a:r>
          <a:r>
            <a:rPr kumimoji="1" lang="ja-JP" altLang="en-US" sz="1100"/>
            <a:t>：完了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11" name="角丸四角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12" name="角丸四角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15" name="角丸四角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16" name="角丸四角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18" name="角丸四角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19" name="角丸四角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21" name="角丸四角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22" name="角丸四角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24" name="角丸四角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25" name="角丸四角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27" name="角丸四角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28" name="角丸四角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30" name="角丸四角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31" name="角丸四角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33" name="角丸四角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137584</xdr:colOff>
      <xdr:row>310</xdr:row>
      <xdr:rowOff>15065</xdr:rowOff>
    </xdr:from>
    <xdr:to>
      <xdr:col>5</xdr:col>
      <xdr:colOff>387615</xdr:colOff>
      <xdr:row>314</xdr:row>
      <xdr:rowOff>116416</xdr:rowOff>
    </xdr:to>
    <xdr:sp macro="" textlink="">
      <xdr:nvSpPr>
        <xdr:cNvPr id="34" name="角丸四角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37584" y="50449940"/>
          <a:ext cx="2967566" cy="8633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89</xdr:row>
      <xdr:rowOff>76574</xdr:rowOff>
    </xdr:from>
    <xdr:to>
      <xdr:col>4</xdr:col>
      <xdr:colOff>376518</xdr:colOff>
      <xdr:row>94</xdr:row>
      <xdr:rowOff>137583</xdr:rowOff>
    </xdr:to>
    <xdr:sp macro="" textlink="">
      <xdr:nvSpPr>
        <xdr:cNvPr id="36" name="角丸四角形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0" y="16611974"/>
          <a:ext cx="2967318" cy="133735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(</a:t>
          </a: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元諸経費表シートより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リンク</a:t>
          </a:r>
          <a:r>
            <a:rPr kumimoji="1" lang="en-US" altLang="ja-JP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)</a:t>
          </a: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317500</xdr:colOff>
          <xdr:row>1</xdr:row>
          <xdr:rowOff>152400</xdr:rowOff>
        </xdr:from>
        <xdr:to>
          <xdr:col>12</xdr:col>
          <xdr:colOff>1955800</xdr:colOff>
          <xdr:row>5</xdr:row>
          <xdr:rowOff>152400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6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FF"/>
                  </a:solidFill>
                  <a:latin typeface="Meiryo UI" charset="-128"/>
                  <a:ea typeface="Meiryo UI" charset="-128"/>
                </a:rPr>
                <a:t>資産クラス分割表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FF"/>
                  </a:solidFill>
                  <a:latin typeface="Meiryo UI" charset="-128"/>
                  <a:ea typeface="Meiryo UI" charset="-128"/>
                </a:rPr>
                <a:t>入力フォームを起動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130968</xdr:colOff>
      <xdr:row>0</xdr:row>
      <xdr:rowOff>500063</xdr:rowOff>
    </xdr:from>
    <xdr:to>
      <xdr:col>9</xdr:col>
      <xdr:colOff>471146</xdr:colOff>
      <xdr:row>29</xdr:row>
      <xdr:rowOff>129411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751218" y="500063"/>
          <a:ext cx="340178" cy="48085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ctr"/>
          <a:r>
            <a:rPr kumimoji="1" lang="ja-JP" altLang="en-US" sz="1100"/>
            <a:t>この列はシステム上必要な列なので、削除しないで下さい。</a:t>
          </a:r>
        </a:p>
      </xdr:txBody>
    </xdr:sp>
    <xdr:clientData/>
  </xdr:twoCellAnchor>
  <xdr:twoCellAnchor>
    <xdr:from>
      <xdr:col>12</xdr:col>
      <xdr:colOff>369094</xdr:colOff>
      <xdr:row>8</xdr:row>
      <xdr:rowOff>142874</xdr:rowOff>
    </xdr:from>
    <xdr:to>
      <xdr:col>12</xdr:col>
      <xdr:colOff>1692011</xdr:colOff>
      <xdr:row>14</xdr:row>
      <xdr:rowOff>142874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3680282" y="1654968"/>
          <a:ext cx="1322917" cy="10001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状態コード</a:t>
          </a:r>
          <a:endParaRPr kumimoji="1" lang="en-US" altLang="ja-JP" sz="1100"/>
        </a:p>
        <a:p>
          <a:r>
            <a:rPr kumimoji="1" lang="en-US" altLang="ja-JP" sz="1100"/>
            <a:t>0</a:t>
          </a:r>
          <a:r>
            <a:rPr kumimoji="1" lang="ja-JP" altLang="en-US" sz="1100"/>
            <a:t>：初期状態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：</a:t>
          </a:r>
          <a:r>
            <a:rPr kumimoji="1" lang="en-US" altLang="ja-JP" sz="1100"/>
            <a:t>STEP1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：</a:t>
          </a:r>
          <a:r>
            <a:rPr kumimoji="1" lang="en-US" altLang="ja-JP" sz="1100"/>
            <a:t>STEP2</a:t>
          </a:r>
          <a:r>
            <a:rPr kumimoji="1" lang="ja-JP" altLang="en-US" sz="1100"/>
            <a:t>完了</a:t>
          </a:r>
          <a:endParaRPr kumimoji="1" lang="en-US" altLang="ja-JP" sz="1100"/>
        </a:p>
        <a:p>
          <a:r>
            <a:rPr kumimoji="1" lang="en-US" altLang="ja-JP" sz="1100"/>
            <a:t>3</a:t>
          </a:r>
          <a:r>
            <a:rPr kumimoji="1" lang="ja-JP" altLang="en-US" sz="1100"/>
            <a:t>：完了</a:t>
          </a:r>
          <a:endParaRPr kumimoji="1" lang="en-US" altLang="ja-JP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962025</xdr:colOff>
      <xdr:row>0</xdr:row>
      <xdr:rowOff>85725</xdr:rowOff>
    </xdr:from>
    <xdr:to>
      <xdr:col>4</xdr:col>
      <xdr:colOff>1647825</xdr:colOff>
      <xdr:row>1</xdr:row>
      <xdr:rowOff>238125</xdr:rowOff>
    </xdr:to>
    <xdr:sp macro="" textlink="">
      <xdr:nvSpPr>
        <xdr:cNvPr id="2261" name="Text Box 213">
          <a:extLst>
            <a:ext uri="{FF2B5EF4-FFF2-40B4-BE49-F238E27FC236}">
              <a16:creationId xmlns:a16="http://schemas.microsoft.com/office/drawing/2014/main" id="{00000000-0008-0000-0700-0000D5080000}"/>
            </a:ext>
          </a:extLst>
        </xdr:cNvPr>
        <xdr:cNvSpPr txBox="1">
          <a:spLocks noChangeArrowheads="1"/>
        </xdr:cNvSpPr>
      </xdr:nvSpPr>
      <xdr:spPr bwMode="auto">
        <a:xfrm>
          <a:off x="2019300" y="85725"/>
          <a:ext cx="2867025" cy="476250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123825</xdr:rowOff>
    </xdr:from>
    <xdr:to>
      <xdr:col>4</xdr:col>
      <xdr:colOff>1333500</xdr:colOff>
      <xdr:row>3</xdr:row>
      <xdr:rowOff>219075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0800-0000032C0000}"/>
            </a:ext>
          </a:extLst>
        </xdr:cNvPr>
        <xdr:cNvSpPr txBox="1">
          <a:spLocks noChangeArrowheads="1"/>
        </xdr:cNvSpPr>
      </xdr:nvSpPr>
      <xdr:spPr bwMode="auto">
        <a:xfrm>
          <a:off x="714375" y="0"/>
          <a:ext cx="3857625" cy="54292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  <xdr:twoCellAnchor>
    <xdr:from>
      <xdr:col>2</xdr:col>
      <xdr:colOff>314325</xdr:colOff>
      <xdr:row>23</xdr:row>
      <xdr:rowOff>123825</xdr:rowOff>
    </xdr:from>
    <xdr:to>
      <xdr:col>4</xdr:col>
      <xdr:colOff>1333500</xdr:colOff>
      <xdr:row>26</xdr:row>
      <xdr:rowOff>219075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720725" y="0"/>
          <a:ext cx="3863975" cy="54927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00000000-0008-0000-0900-00000124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" name="Text Box 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" name="Text Box 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" name="Text Box 1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" name="Text Box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" name="Text Box 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" name="Text Box 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" name="Text Box 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" name="Text Box 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" name="Text Box 1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" name="Text Box 1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" name="Text Box 1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" name="Text Box 1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" name="Text Box 1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" name="Text Box 1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" name="Text Box 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" name="Text Box 1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" name="Text Box 1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" name="Text Box 1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" name="Text Box 1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" name="Text Box 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" name="Text Box 1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" name="Text Box 1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" name="Text Box 1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" name="Text Box 1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" name="Text Box 1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" name="Text Box 1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" name="Text Box 1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" name="Text Box 1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" name="Text Box 1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" name="Text Box 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" name="Text Box 1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" name="Text Box 1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" name="Text Box 1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" name="Text Box 1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" name="Text Box 1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" name="Text Box 1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" name="Text Box 1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" name="Text Box 1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" name="Text Box 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" name="Text Box 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" name="Text Box 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" name="Text Box 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" name="Text Box 5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" name="Text Box 6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" name="Text Box 1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" name="Text Box 2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" name="Text Box 5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" name="Text Box 6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" name="Text Box 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" name="Text Box 5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" name="Text Box 6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" name="Text Box 2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" name="Text Box 5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" name="Text Box 6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" name="Text Box 1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" name="Text Box 2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" name="Text Box 5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" name="Text Box 6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" name="Text Box 1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" name="Text Box 2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" name="Text Box 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" name="Text Box 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" name="Text Box 1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" name="Text Box 2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" name="Text Box 5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" name="Text Box 6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" name="Text Box 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" name="Text Box 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" name="Text Box 5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" name="Text Box 6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" name="Text Box 1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" name="Text Box 2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" name="Text Box 5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" name="Text Box 6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" name="Text Box 1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" name="Text Box 2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" name="Text Box 5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" name="Text Box 6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" name="Text Box 1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" name="Text Box 2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" name="Text Box 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" name="Text Box 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8" name="Text Box 1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9" name="Text Box 2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0" name="Text Box 5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1" name="Text Box 6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2" name="Text Box 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3" name="Text Box 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4" name="Text Box 5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5" name="Text Box 6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6" name="Text Box 1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7" name="Text Box 2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8" name="Text Box 5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69" name="Text Box 6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0" name="Text Box 1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1" name="Text Box 2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2" name="Text Box 5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3" name="Text Box 6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4" name="Text Box 1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5" name="Text Box 2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6" name="Text Box 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7" name="Text Box 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8" name="Text Box 1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79" name="Text Box 2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0" name="Text Box 5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1" name="Text Box 6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2" name="Text Box 1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3" name="Text Box 2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4" name="Text Box 5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5" name="Text Box 6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6" name="Text Box 1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7" name="Text Box 2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8" name="Text Box 5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89" name="Text Box 6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0" name="Text Box 1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1" name="Text Box 2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2" name="Text Box 5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3" name="Text Box 6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4" name="Text Box 1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5" name="Text Box 2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6" name="Text Box 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7" name="Text Box 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8" name="Text Box 1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9" name="Text Box 2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0" name="Text Box 5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1" name="Text Box 6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2" name="Text Box 1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3" name="Text Box 2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4" name="Text Box 5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5" name="Text Box 6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6" name="Text Box 1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7" name="Text Box 2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8" name="Text Box 5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09" name="Text Box 6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0" name="Text Box 1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1" name="Text Box 2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2" name="Text Box 5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3" name="Text Box 6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4" name="Text Box 1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5" name="Text Box 2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6" name="Text Box 5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7" name="Text Box 6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8" name="Text Box 1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19" name="Text Box 2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0" name="Text Box 5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1" name="Text Box 6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2" name="Text Box 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3" name="Text Box 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4" name="Text Box 5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5" name="Text Box 6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6" name="Text Box 1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7" name="Text Box 2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8" name="Text Box 5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29" name="Text Box 6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0" name="Text Box 1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1" name="Text Box 2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2" name="Text Box 5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3" name="Text Box 6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4" name="Text Box 1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5" name="Text Box 2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6" name="Text Box 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7" name="Text Box 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8" name="Text Box 1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39" name="Text Box 2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0" name="Text Box 5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1" name="Text Box 6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2" name="Text Box 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3" name="Text Box 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4" name="Text Box 5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5" name="Text Box 6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6" name="Text Box 1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7" name="Text Box 2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8" name="Text Box 5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9" name="Text Box 6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0" name="Text Box 1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1" name="Text Box 2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2" name="Text Box 5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3" name="Text Box 6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4" name="Text Box 1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5" name="Text Box 2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6" name="Text Box 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7" name="Text Box 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8" name="Text Box 1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9" name="Text Box 2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0" name="Text Box 5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1" name="Text Box 6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2" name="Text Box 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3" name="Text Box 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4" name="Text Box 5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5" name="Text Box 6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6" name="Text Box 1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7" name="Text Box 2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8" name="Text Box 5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9" name="Text Box 6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0" name="Text Box 1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1" name="Text Box 2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2" name="Text Box 5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3" name="Text Box 6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4" name="Text Box 1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5" name="Text Box 2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6" name="Text Box 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7" name="Text Box 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8" name="Text Box 1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9" name="Text Box 2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0" name="Text Box 5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1" name="Text Box 6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2" name="Text Box 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3" name="Text Box 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4" name="Text Box 5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5" name="Text Box 6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6" name="Text Box 1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7" name="Text Box 2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8" name="Text Box 5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89" name="Text Box 6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0" name="Text Box 1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1" name="Text Box 2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2" name="Text Box 5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3" name="Text Box 6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4" name="Text Box 1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5" name="Text Box 2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6" name="Text Box 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7" name="Text Box 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8" name="Text Box 1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99" name="Text Box 2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0" name="Text Box 5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1" name="Text Box 6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2" name="Text Box 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3" name="Text Box 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4" name="Text Box 5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5" name="Text Box 6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6" name="Text Box 1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7" name="Text Box 2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8" name="Text Box 5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09" name="Text Box 6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0" name="Text Box 1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1" name="Text Box 2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2" name="Text Box 5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3" name="Text Box 6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4" name="Text Box 1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5" name="Text Box 2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6" name="Text Box 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7" name="Text Box 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8" name="Text Box 1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19" name="Text Box 2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0" name="Text Box 5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1" name="Text Box 6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2" name="Text Box 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3" name="Text Box 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4" name="Text Box 5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5" name="Text Box 6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6" name="Text Box 1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7" name="Text Box 2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8" name="Text Box 5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29" name="Text Box 6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0" name="Text Box 1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1" name="Text Box 2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2" name="Text Box 5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3" name="Text Box 6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4" name="Text Box 1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5" name="Text Box 2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6" name="Text Box 5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7" name="Text Box 6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8" name="Text Box 1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39" name="Text Box 2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0" name="Text Box 5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1" name="Text Box 6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2" name="Text Box 1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3" name="Text Box 2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4" name="Text Box 5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5" name="Text Box 6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6" name="Text Box 1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7" name="Text Box 2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8" name="Text Box 5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49" name="Text Box 6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0" name="Text Box 1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1" name="Text Box 2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2" name="Text Box 5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3" name="Text Box 6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4" name="Text Box 1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5" name="Text Box 2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6" name="Text Box 5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7" name="Text Box 6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8" name="Text Box 1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59" name="Text Box 2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0" name="Text Box 5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1" name="Text Box 6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2" name="Text Box 1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3" name="Text Box 2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4" name="Text Box 5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5" name="Text Box 6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6" name="Text Box 1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7" name="Text Box 2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8" name="Text Box 5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69" name="Text Box 6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0" name="Text Box 1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1" name="Text Box 2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2" name="Text Box 5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3" name="Text Box 6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4" name="Text Box 1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5" name="Text Box 2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6" name="Text Box 5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7" name="Text Box 6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8" name="Text Box 1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79" name="Text Box 2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0" name="Text Box 5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1" name="Text Box 6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2" name="Text Box 1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3" name="Text Box 2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4" name="Text Box 5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5" name="Text Box 6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6" name="Text Box 1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7" name="Text Box 2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8" name="Text Box 5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89" name="Text Box 6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0" name="Text Box 1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1" name="Text Box 2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2" name="Text Box 5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3" name="Text Box 6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4" name="Text Box 1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5" name="Text Box 2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6" name="Text Box 5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7" name="Text Box 6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8" name="Text Box 1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299" name="Text Box 2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0" name="Text Box 5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1" name="Text Box 6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2" name="Text Box 1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3" name="Text Box 2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4" name="Text Box 5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5" name="Text Box 6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6" name="Text Box 1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7" name="Text Box 2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8" name="Text Box 5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09" name="Text Box 6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0" name="Text Box 1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1" name="Text Box 2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2" name="Text Box 5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3" name="Text Box 6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4" name="Text Box 1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5" name="Text Box 2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6" name="Text Box 5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7" name="Text Box 6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8" name="Text Box 1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19" name="Text Box 2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0" name="Text Box 5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1" name="Text Box 6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2" name="Text Box 1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3" name="Text Box 2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4" name="Text Box 5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5" name="Text Box 6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6" name="Text Box 1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7" name="Text Box 2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8" name="Text Box 5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29" name="Text Box 6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0" name="Text Box 1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1" name="Text Box 2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2" name="Text Box 5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3" name="Text Box 6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4" name="Text Box 1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5" name="Text Box 2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6" name="Text Box 5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7" name="Text Box 6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8" name="Text Box 1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39" name="Text Box 2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0" name="Text Box 5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1" name="Text Box 6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2" name="Text Box 1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3" name="Text Box 2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4" name="Text Box 5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5" name="Text Box 6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6" name="Text Box 1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7" name="Text Box 2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8" name="Text Box 5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49" name="Text Box 6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0" name="Text Box 1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1" name="Text Box 2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2" name="Text Box 5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3" name="Text Box 6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4" name="Text Box 1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5" name="Text Box 2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6" name="Text Box 5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7" name="Text Box 6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8" name="Text Box 1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59" name="Text Box 2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0" name="Text Box 5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1" name="Text Box 6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2" name="Text Box 1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3" name="Text Box 2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4" name="Text Box 5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5" name="Text Box 6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6" name="Text Box 1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7" name="Text Box 2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8" name="Text Box 5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69" name="Text Box 6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0" name="Text Box 1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1" name="Text Box 2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2" name="Text Box 5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3" name="Text Box 6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4" name="Text Box 1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5" name="Text Box 2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6" name="Text Box 5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7" name="Text Box 6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8" name="Text Box 1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79" name="Text Box 2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0" name="Text Box 5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1" name="Text Box 6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2" name="Text Box 1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3" name="Text Box 2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4" name="Text Box 5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5" name="Text Box 6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6" name="Text Box 1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7" name="Text Box 2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8" name="Text Box 5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89" name="Text Box 6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0" name="Text Box 1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1" name="Text Box 2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2" name="Text Box 5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3" name="Text Box 6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4" name="Text Box 1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5" name="Text Box 2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6" name="Text Box 5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7" name="Text Box 6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8" name="Text Box 1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399" name="Text Box 2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0" name="Text Box 5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1" name="Text Box 6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2" name="Text Box 1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3" name="Text Box 2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4" name="Text Box 5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5" name="Text Box 6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6" name="Text Box 1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7" name="Text Box 2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8" name="Text Box 5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09" name="Text Box 6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0" name="Text Box 1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1" name="Text Box 2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2" name="Text Box 5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3" name="Text Box 6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4" name="Text Box 1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5" name="Text Box 2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6" name="Text Box 5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7" name="Text Box 6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8" name="Text Box 1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19" name="Text Box 2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0" name="Text Box 5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1" name="Text Box 6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2" name="Text Box 1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3" name="Text Box 2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4" name="Text Box 5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5" name="Text Box 6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6" name="Text Box 1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7" name="Text Box 2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8" name="Text Box 5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29" name="Text Box 6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0" name="Text Box 1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1" name="Text Box 2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2" name="Text Box 5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3" name="Text Box 6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4" name="Text Box 1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5" name="Text Box 2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6" name="Text Box 5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7" name="Text Box 6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8" name="Text Box 1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39" name="Text Box 2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0" name="Text Box 5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1" name="Text Box 6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2" name="Text Box 1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3" name="Text Box 2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4" name="Text Box 5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5" name="Text Box 6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6" name="Text Box 1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7" name="Text Box 2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8" name="Text Box 5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49" name="Text Box 6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0" name="Text Box 1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1" name="Text Box 2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2" name="Text Box 5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3" name="Text Box 6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4" name="Text Box 1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5" name="Text Box 2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6" name="Text Box 5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7" name="Text Box 6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8" name="Text Box 1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59" name="Text Box 2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0" name="Text Box 5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1" name="Text Box 6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2" name="Text Box 1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3" name="Text Box 2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4" name="Text Box 5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5" name="Text Box 6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6" name="Text Box 1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7" name="Text Box 2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8" name="Text Box 5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69" name="Text Box 6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0" name="Text Box 1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1" name="Text Box 2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2" name="Text Box 5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3" name="Text Box 6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4" name="Text Box 1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5" name="Text Box 2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6" name="Text Box 5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7" name="Text Box 6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8" name="Text Box 1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79" name="Text Box 2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0" name="Text Box 5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1" name="Text Box 6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2" name="Text Box 1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3" name="Text Box 2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4" name="Text Box 5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5" name="Text Box 6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6" name="Text Box 1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7" name="Text Box 2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8" name="Text Box 5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89" name="Text Box 6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0" name="Text Box 1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1" name="Text Box 2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2" name="Text Box 5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3" name="Text Box 6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4" name="Text Box 1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5" name="Text Box 2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6" name="Text Box 5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7" name="Text Box 6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8" name="Text Box 1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499" name="Text Box 2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0" name="Text Box 5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1" name="Text Box 6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2" name="Text Box 1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3" name="Text Box 2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4" name="Text Box 5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5" name="Text Box 6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6" name="Text Box 1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7" name="Text Box 2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8" name="Text Box 5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09" name="Text Box 6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0" name="Text Box 1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1" name="Text Box 2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2" name="Text Box 5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3" name="Text Box 6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4" name="Text Box 1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5" name="Text Box 2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6" name="Text Box 5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7" name="Text Box 6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8" name="Text Box 1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19" name="Text Box 2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0" name="Text Box 5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1" name="Text Box 6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2" name="Text Box 1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3" name="Text Box 2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4" name="Text Box 5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5" name="Text Box 6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6" name="Text Box 1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7" name="Text Box 2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8" name="Text Box 5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29" name="Text Box 6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0" name="Text Box 1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1" name="Text Box 2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2" name="Text Box 5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3" name="Text Box 6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4" name="Text Box 1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5" name="Text Box 2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6" name="Text Box 5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7" name="Text Box 6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8" name="Text Box 1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39" name="Text Box 2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0" name="Text Box 5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1" name="Text Box 6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2" name="Text Box 1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3" name="Text Box 2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4" name="Text Box 5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5" name="Text Box 6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6" name="Text Box 1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7" name="Text Box 2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8" name="Text Box 5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49" name="Text Box 6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0" name="Text Box 1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1" name="Text Box 2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2" name="Text Box 5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3" name="Text Box 6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4" name="Text Box 1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5" name="Text Box 2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6" name="Text Box 5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7" name="Text Box 6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8" name="Text Box 1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59" name="Text Box 2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0" name="Text Box 5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1" name="Text Box 6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2" name="Text Box 1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3" name="Text Box 2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4" name="Text Box 5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5" name="Text Box 6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6" name="Text Box 1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7" name="Text Box 2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8" name="Text Box 5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69" name="Text Box 6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0" name="Text Box 1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1" name="Text Box 2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2" name="Text Box 5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3" name="Text Box 6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4" name="Text Box 1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5" name="Text Box 2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6" name="Text Box 5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7" name="Text Box 6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8" name="Text Box 1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79" name="Text Box 2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80" name="Text Box 5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81" name="Text Box 6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82" name="Text Box 1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83" name="Text Box 2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84" name="Text Box 5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585" name="Text Box 6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7</xdr:col>
      <xdr:colOff>0</xdr:colOff>
      <xdr:row>27</xdr:row>
      <xdr:rowOff>47625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1266825" y="3381375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752475</xdr:colOff>
      <xdr:row>11</xdr:row>
      <xdr:rowOff>0</xdr:rowOff>
    </xdr:from>
    <xdr:to>
      <xdr:col>5</xdr:col>
      <xdr:colOff>828675</xdr:colOff>
      <xdr:row>12</xdr:row>
      <xdr:rowOff>57150</xdr:rowOff>
    </xdr:to>
    <xdr:sp macro="" textlink="">
      <xdr:nvSpPr>
        <xdr:cNvPr id="13335" name="Text Box 1">
          <a:extLst>
            <a:ext uri="{FF2B5EF4-FFF2-40B4-BE49-F238E27FC236}">
              <a16:creationId xmlns:a16="http://schemas.microsoft.com/office/drawing/2014/main" id="{00000000-0008-0000-0C00-000017340000}"/>
            </a:ext>
          </a:extLst>
        </xdr:cNvPr>
        <xdr:cNvSpPr txBox="1">
          <a:spLocks noChangeArrowheads="1"/>
        </xdr:cNvSpPr>
      </xdr:nvSpPr>
      <xdr:spPr bwMode="auto">
        <a:xfrm>
          <a:off x="4333875" y="1676400"/>
          <a:ext cx="7620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838200</xdr:colOff>
      <xdr:row>3</xdr:row>
      <xdr:rowOff>28575</xdr:rowOff>
    </xdr:from>
    <xdr:to>
      <xdr:col>9</xdr:col>
      <xdr:colOff>9525</xdr:colOff>
      <xdr:row>8</xdr:row>
      <xdr:rowOff>28575</xdr:rowOff>
    </xdr:to>
    <xdr:sp macro="" textlink="">
      <xdr:nvSpPr>
        <xdr:cNvPr id="13314" name="Text Box 2">
          <a:extLst>
            <a:ext uri="{FF2B5EF4-FFF2-40B4-BE49-F238E27FC236}">
              <a16:creationId xmlns:a16="http://schemas.microsoft.com/office/drawing/2014/main" id="{00000000-0008-0000-0C00-000002340000}"/>
            </a:ext>
          </a:extLst>
        </xdr:cNvPr>
        <xdr:cNvSpPr txBox="1">
          <a:spLocks noChangeArrowheads="1"/>
        </xdr:cNvSpPr>
      </xdr:nvSpPr>
      <xdr:spPr bwMode="auto">
        <a:xfrm>
          <a:off x="4419600" y="485775"/>
          <a:ext cx="2038350" cy="76200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コード番号は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100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以上。</a:t>
          </a:r>
        </a:p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～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99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は代価（複合）で使用するため、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入力しても削除されます。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9</xdr:col>
      <xdr:colOff>342900</xdr:colOff>
      <xdr:row>11</xdr:row>
      <xdr:rowOff>57150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057400" y="1028700"/>
          <a:ext cx="4457700" cy="9144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専業表諸経費表は</a:t>
          </a:r>
          <a:r>
            <a:rPr kumimoji="1" lang="en-US" altLang="ja-JP" sz="1100"/>
            <a:t>2020</a:t>
          </a:r>
          <a:r>
            <a:rPr kumimoji="1" lang="ja-JP" altLang="en-US" sz="1100"/>
            <a:t>年度に廃止しました。</a:t>
          </a:r>
          <a:endParaRPr kumimoji="1" lang="en-US" altLang="ja-JP" sz="1100"/>
        </a:p>
        <a:p>
          <a:r>
            <a:rPr kumimoji="1" lang="ja-JP" altLang="en-US" sz="1100"/>
            <a:t>このシートを削除するとマクロエラーが発生しますので、</a:t>
          </a:r>
          <a:endParaRPr kumimoji="1" lang="en-US" altLang="ja-JP" sz="1100"/>
        </a:p>
        <a:p>
          <a:r>
            <a:rPr kumimoji="1" lang="ja-JP" altLang="en-US" sz="1100"/>
            <a:t>シートは削除せず残しておいてください。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7</xdr:col>
      <xdr:colOff>332961</xdr:colOff>
      <xdr:row>9</xdr:row>
      <xdr:rowOff>44726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87457" y="695739"/>
          <a:ext cx="4457700" cy="9144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専業表諸経費表は</a:t>
          </a:r>
          <a:r>
            <a:rPr kumimoji="1" lang="en-US" altLang="ja-JP" sz="1100"/>
            <a:t>2020</a:t>
          </a:r>
          <a:r>
            <a:rPr kumimoji="1" lang="ja-JP" altLang="en-US" sz="1100"/>
            <a:t>年度に廃止しました。</a:t>
          </a:r>
          <a:endParaRPr kumimoji="1" lang="en-US" altLang="ja-JP" sz="1100"/>
        </a:p>
        <a:p>
          <a:r>
            <a:rPr kumimoji="1" lang="ja-JP" altLang="en-US" sz="1100"/>
            <a:t>このシートを削除するとマクロエラーが発生しますので、</a:t>
          </a:r>
          <a:endParaRPr kumimoji="1" lang="en-US" altLang="ja-JP" sz="1100"/>
        </a:p>
        <a:p>
          <a:r>
            <a:rPr kumimoji="1" lang="ja-JP" altLang="en-US" sz="1100"/>
            <a:t>シートは削除せず残しておいてください。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7" name="Text Box 1">
          <a:extLst>
            <a:ext uri="{FF2B5EF4-FFF2-40B4-BE49-F238E27FC236}">
              <a16:creationId xmlns:a16="http://schemas.microsoft.com/office/drawing/2014/main" id="{00000000-0008-0000-0F00-000001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0F00-000002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1" name="Text Box 5">
          <a:extLst>
            <a:ext uri="{FF2B5EF4-FFF2-40B4-BE49-F238E27FC236}">
              <a16:creationId xmlns:a16="http://schemas.microsoft.com/office/drawing/2014/main" id="{00000000-0008-0000-0F00-000005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2" name="Text Box 6">
          <a:extLst>
            <a:ext uri="{FF2B5EF4-FFF2-40B4-BE49-F238E27FC236}">
              <a16:creationId xmlns:a16="http://schemas.microsoft.com/office/drawing/2014/main" id="{00000000-0008-0000-0F00-000006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//svfile92/k1_eizen$/&#24314;&#31689;&#12464;&#12523;&#12540;&#12503;&#20849;&#26377;/&#65296;&#65304;&#65289;&#20104;&#31639;&#12289;&#36039;&#37329;&#35336;&#30011;&#12289;&#38263;&#26399;&#35336;&#30011;&#12289;&#31309;&#31639;&#38306;&#36899;/&#65301;&#65294;&#31309;&#31639;&#36039;&#26009;/&#27161;&#28310;&#21336;&#20385;/&#27161;&#28310;&#21336;&#20385;2020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1"/>
  <sheetViews>
    <sheetView tabSelected="1" view="pageBreakPreview" topLeftCell="A25" zoomScale="80" zoomScaleNormal="80" zoomScaleSheetLayoutView="80" workbookViewId="0">
      <selection activeCell="Q31" sqref="Q31"/>
    </sheetView>
  </sheetViews>
  <sheetFormatPr baseColWidth="10" defaultColWidth="6.6640625" defaultRowHeight="26.25" customHeight="1"/>
  <cols>
    <col min="1" max="2" width="2.6640625" style="6" customWidth="1"/>
    <col min="3" max="3" width="6.6640625" style="1" customWidth="1"/>
    <col min="4" max="4" width="21.6640625" style="1" customWidth="1"/>
    <col min="5" max="5" width="21.6640625" style="2" customWidth="1"/>
    <col min="6" max="6" width="7.1640625" style="1" customWidth="1"/>
    <col min="7" max="7" width="7.1640625" style="3" customWidth="1"/>
    <col min="8" max="8" width="5.6640625" style="4" customWidth="1"/>
    <col min="9" max="9" width="9.1640625" style="4" customWidth="1"/>
    <col min="10" max="12" width="11.6640625" style="1" customWidth="1"/>
    <col min="13" max="13" width="2" style="1" customWidth="1"/>
    <col min="14" max="14" width="10.33203125" style="1" customWidth="1"/>
    <col min="15" max="15" width="11.6640625" style="1" customWidth="1"/>
    <col min="16" max="16" width="6.6640625" style="1" customWidth="1"/>
    <col min="17" max="17" width="9.33203125" style="1" customWidth="1"/>
    <col min="18" max="18" width="13.6640625" style="1" customWidth="1"/>
    <col min="19" max="19" width="19.83203125" style="1" customWidth="1"/>
    <col min="20" max="20" width="7.6640625" style="1" customWidth="1"/>
    <col min="21" max="22" width="11.6640625" style="1" customWidth="1"/>
    <col min="23" max="23" width="16.6640625" style="1" customWidth="1"/>
    <col min="24" max="24" width="17.83203125" style="1" customWidth="1"/>
    <col min="25" max="16384" width="6.6640625" style="1"/>
  </cols>
  <sheetData>
    <row r="1" spans="1:25" ht="13.5" customHeight="1">
      <c r="J1" s="216"/>
      <c r="K1" s="216"/>
      <c r="L1" s="2124" t="s">
        <v>320</v>
      </c>
      <c r="M1" s="2124"/>
      <c r="N1" s="2124"/>
      <c r="O1" s="2124"/>
    </row>
    <row r="2" spans="1:25" ht="13.5" customHeight="1">
      <c r="A2" s="8"/>
      <c r="B2" s="8"/>
      <c r="C2" s="2133"/>
      <c r="D2" s="2133"/>
      <c r="E2" s="18"/>
      <c r="F2" s="18"/>
      <c r="G2" s="18"/>
      <c r="H2" s="18"/>
      <c r="I2" s="18"/>
      <c r="J2" s="216"/>
      <c r="K2" s="216"/>
      <c r="L2" s="2125" t="s">
        <v>3145</v>
      </c>
      <c r="M2" s="2126"/>
      <c r="N2" s="2136" t="s">
        <v>3147</v>
      </c>
      <c r="O2" s="2136"/>
    </row>
    <row r="3" spans="1:25" ht="13.5" customHeight="1">
      <c r="A3" s="9"/>
      <c r="B3" s="9"/>
      <c r="C3" s="2133"/>
      <c r="D3" s="2133"/>
      <c r="E3" s="10"/>
      <c r="F3" s="11"/>
      <c r="G3" s="11"/>
      <c r="J3" s="216"/>
      <c r="K3" s="216"/>
      <c r="L3" s="2134" t="s">
        <v>3146</v>
      </c>
      <c r="M3" s="2135"/>
      <c r="N3" s="2127" t="s">
        <v>3148</v>
      </c>
      <c r="O3" s="2127"/>
      <c r="W3" s="1085"/>
      <c r="X3" s="1085"/>
      <c r="Y3" s="1085"/>
    </row>
    <row r="4" spans="1:25" ht="13.5" customHeight="1">
      <c r="A4" s="12"/>
      <c r="B4" s="12"/>
      <c r="C4" s="13"/>
      <c r="D4" s="14"/>
      <c r="E4" s="15"/>
      <c r="F4" s="14"/>
      <c r="G4" s="11"/>
      <c r="J4" s="216"/>
      <c r="K4" s="216"/>
      <c r="L4" s="2095" t="s">
        <v>2157</v>
      </c>
      <c r="M4" s="2095"/>
      <c r="N4" s="2127"/>
      <c r="O4" s="2127"/>
      <c r="W4" s="1085"/>
      <c r="X4" s="1085"/>
      <c r="Y4" s="1085"/>
    </row>
    <row r="5" spans="1:25" ht="13.5" customHeight="1">
      <c r="A5" s="12"/>
      <c r="B5" s="12"/>
      <c r="C5" s="16"/>
      <c r="D5" s="14"/>
      <c r="E5" s="15"/>
      <c r="F5" s="14"/>
      <c r="G5" s="11"/>
      <c r="H5" s="17"/>
      <c r="I5" s="17"/>
      <c r="J5" s="216"/>
      <c r="K5" s="216"/>
      <c r="L5" s="2095" t="s">
        <v>319</v>
      </c>
      <c r="M5" s="2095"/>
      <c r="N5" s="2127"/>
      <c r="O5" s="2127"/>
      <c r="Q5" s="571" t="s">
        <v>40</v>
      </c>
      <c r="R5" s="571"/>
      <c r="S5" s="572" t="s">
        <v>321</v>
      </c>
      <c r="U5" s="137" t="s">
        <v>101</v>
      </c>
      <c r="V5" s="137"/>
      <c r="W5" s="1703" t="str">
        <f>+VLOOKUP(N6,入力規則マスタ!O:P,2,0)</f>
        <v>標準単価金額無2020.xls</v>
      </c>
      <c r="X5" s="1085"/>
      <c r="Y5" s="1085"/>
    </row>
    <row r="6" spans="1:25" ht="13.5" customHeight="1">
      <c r="A6" s="12"/>
      <c r="B6" s="12"/>
      <c r="C6" s="16"/>
      <c r="D6" s="14"/>
      <c r="E6" s="15"/>
      <c r="F6" s="14"/>
      <c r="G6" s="11"/>
      <c r="H6" s="17"/>
      <c r="I6" s="17"/>
      <c r="J6" s="216"/>
      <c r="K6" s="216"/>
      <c r="L6" s="2095" t="s">
        <v>316</v>
      </c>
      <c r="M6" s="2095"/>
      <c r="N6" s="2129" t="s">
        <v>2936</v>
      </c>
      <c r="O6" s="2129"/>
      <c r="Q6" s="571" t="s">
        <v>41</v>
      </c>
      <c r="R6" s="571"/>
      <c r="S6" s="573" t="s">
        <v>78</v>
      </c>
      <c r="U6" s="137" t="s">
        <v>41</v>
      </c>
      <c r="V6" s="137"/>
      <c r="W6" s="1704" t="s">
        <v>2883</v>
      </c>
      <c r="X6" s="1085"/>
      <c r="Y6" s="1085"/>
    </row>
    <row r="7" spans="1:25" ht="13.5" customHeight="1">
      <c r="A7" s="12"/>
      <c r="B7" s="12"/>
      <c r="C7" s="16"/>
      <c r="D7" s="14"/>
      <c r="E7" s="15"/>
      <c r="F7" s="14"/>
      <c r="G7" s="11"/>
      <c r="H7" s="17"/>
      <c r="I7" s="17"/>
      <c r="J7" s="216"/>
      <c r="K7" s="216"/>
      <c r="L7" s="2095" t="s">
        <v>317</v>
      </c>
      <c r="M7" s="2095"/>
      <c r="N7" s="2128" t="s">
        <v>3149</v>
      </c>
      <c r="O7" s="2128"/>
      <c r="Q7" s="138"/>
      <c r="R7" s="138"/>
      <c r="S7" s="138"/>
      <c r="W7" s="1085"/>
      <c r="X7" s="1085"/>
      <c r="Y7" s="1085"/>
    </row>
    <row r="8" spans="1:25" ht="13.5" customHeight="1">
      <c r="A8" s="12"/>
      <c r="B8" s="12"/>
      <c r="C8" s="16"/>
      <c r="D8" s="14"/>
      <c r="E8" s="15"/>
      <c r="F8" s="14"/>
      <c r="G8" s="11"/>
      <c r="H8" s="17"/>
      <c r="I8" s="17"/>
      <c r="J8" s="216"/>
      <c r="K8" s="216"/>
      <c r="L8" s="2095" t="s">
        <v>318</v>
      </c>
      <c r="M8" s="2095"/>
      <c r="N8" s="2093">
        <v>2021</v>
      </c>
      <c r="O8" s="2091" t="s">
        <v>3150</v>
      </c>
      <c r="Q8" s="139" t="s">
        <v>50</v>
      </c>
      <c r="U8" s="137" t="s">
        <v>112</v>
      </c>
      <c r="V8" s="137"/>
      <c r="W8" s="1703" t="s">
        <v>2366</v>
      </c>
      <c r="X8" s="1085"/>
      <c r="Y8" s="1085"/>
    </row>
    <row r="9" spans="1:25" ht="13.5" customHeight="1">
      <c r="A9" s="12"/>
      <c r="B9" s="12"/>
      <c r="C9" s="16"/>
      <c r="D9" s="14"/>
      <c r="E9" s="15"/>
      <c r="F9" s="14"/>
      <c r="G9" s="11"/>
      <c r="H9" s="17"/>
      <c r="I9" s="17"/>
      <c r="J9" s="216"/>
      <c r="K9" s="216"/>
      <c r="L9" s="2095"/>
      <c r="M9" s="2095"/>
      <c r="N9" s="2094"/>
      <c r="O9" s="2092"/>
      <c r="S9" s="1702">
        <v>1</v>
      </c>
      <c r="U9" s="137" t="s">
        <v>113</v>
      </c>
      <c r="V9" s="137"/>
      <c r="W9" s="1704" t="s">
        <v>2880</v>
      </c>
      <c r="X9" s="1085"/>
      <c r="Y9" s="1085"/>
    </row>
    <row r="10" spans="1:25" ht="13.5" customHeight="1" thickBot="1">
      <c r="A10" s="12"/>
      <c r="B10" s="12"/>
      <c r="C10" s="16"/>
      <c r="D10" s="14"/>
      <c r="E10" s="15"/>
      <c r="F10" s="14"/>
      <c r="G10" s="11"/>
      <c r="H10" s="17"/>
      <c r="I10" s="17"/>
      <c r="J10" s="14"/>
      <c r="K10" s="14"/>
      <c r="L10" s="2095" t="s">
        <v>3116</v>
      </c>
      <c r="M10" s="2095"/>
      <c r="N10" s="1754" t="s">
        <v>3139</v>
      </c>
      <c r="O10" s="1754">
        <v>1</v>
      </c>
      <c r="W10" s="1085"/>
      <c r="X10" s="1085"/>
      <c r="Y10" s="1085"/>
    </row>
    <row r="11" spans="1:25" ht="24.75" customHeight="1" thickTop="1" thickBot="1">
      <c r="A11" s="12"/>
      <c r="B11" s="12"/>
      <c r="C11" s="16"/>
      <c r="R11" s="1699" t="s">
        <v>3094</v>
      </c>
      <c r="S11" s="1700"/>
      <c r="T11" s="1700"/>
      <c r="U11" s="1700"/>
      <c r="V11" s="1234"/>
      <c r="W11" s="1085"/>
      <c r="X11" s="1705" t="s">
        <v>3065</v>
      </c>
      <c r="Y11" s="1085"/>
    </row>
    <row r="12" spans="1:25" s="1072" customFormat="1" ht="24.75" customHeight="1" thickTop="1" thickBot="1">
      <c r="A12" s="1070"/>
      <c r="B12" s="1070"/>
      <c r="C12" s="1071"/>
      <c r="D12" s="2115" t="s">
        <v>3144</v>
      </c>
      <c r="E12" s="2115"/>
      <c r="F12" s="2115"/>
      <c r="G12" s="2115"/>
      <c r="H12" s="2115"/>
      <c r="I12" s="2115"/>
      <c r="J12" s="2115"/>
      <c r="K12" s="2115"/>
      <c r="L12" s="2115"/>
      <c r="M12" s="2115"/>
      <c r="N12" s="2115"/>
      <c r="P12" s="1233"/>
      <c r="Q12" s="1085"/>
      <c r="R12" s="2130" t="s">
        <v>3141</v>
      </c>
      <c r="S12" s="2131"/>
      <c r="T12" s="2131"/>
      <c r="U12" s="2132"/>
      <c r="V12" s="1698"/>
      <c r="W12" s="1706" t="s">
        <v>3066</v>
      </c>
      <c r="X12" s="1707" t="s">
        <v>2161</v>
      </c>
      <c r="Y12" s="1233"/>
    </row>
    <row r="13" spans="1:25" s="1072" customFormat="1" ht="37.5" customHeight="1">
      <c r="A13" s="1070"/>
      <c r="B13" s="1070"/>
      <c r="C13" s="1068"/>
      <c r="D13" s="1068"/>
      <c r="E13" s="1068"/>
      <c r="F13" s="1068"/>
      <c r="G13" s="1068"/>
      <c r="H13" s="1068"/>
      <c r="I13" s="1068"/>
      <c r="J13" s="1068"/>
      <c r="K13" s="1068"/>
      <c r="L13" s="1068"/>
      <c r="M13" s="1068"/>
      <c r="N13" s="1068"/>
      <c r="O13" s="1068"/>
      <c r="R13" s="1699" t="s">
        <v>3095</v>
      </c>
      <c r="S13" s="1700"/>
      <c r="T13" s="1700"/>
      <c r="U13" s="1700"/>
      <c r="W13" s="1233"/>
      <c r="X13" s="1233"/>
      <c r="Y13" s="1233"/>
    </row>
    <row r="14" spans="1:25" s="1072" customFormat="1" ht="29.25" customHeight="1">
      <c r="A14" s="1070"/>
      <c r="B14" s="1070"/>
      <c r="C14" s="1071"/>
      <c r="D14" s="1073"/>
      <c r="E14" s="2096" t="str">
        <f>IF(N10="設計変更","第"&amp;O10&amp;"回設計変更工事費内訳書",IF(N10="指定契約","工事費内訳書",""))</f>
        <v>第1回設計変更工事費内訳書</v>
      </c>
      <c r="F14" s="2097"/>
      <c r="G14" s="2097"/>
      <c r="H14" s="2097"/>
      <c r="I14" s="2097"/>
      <c r="J14" s="2097"/>
      <c r="K14" s="2097"/>
      <c r="L14" s="1073"/>
      <c r="R14" s="1700"/>
      <c r="S14" s="1700"/>
      <c r="T14" s="1700"/>
      <c r="U14" s="1701" t="s">
        <v>3096</v>
      </c>
      <c r="W14" s="1233" t="s">
        <v>2974</v>
      </c>
      <c r="X14" s="1233"/>
      <c r="Y14" s="1233"/>
    </row>
    <row r="15" spans="1:25" ht="30" customHeight="1">
      <c r="A15" s="12"/>
      <c r="B15" s="12"/>
      <c r="C15" s="16"/>
      <c r="D15" s="14"/>
      <c r="E15" s="15"/>
      <c r="F15" s="14"/>
      <c r="G15" s="11"/>
      <c r="H15" s="17"/>
      <c r="I15" s="17"/>
      <c r="J15" s="14"/>
      <c r="K15" s="14"/>
      <c r="L15" s="14"/>
      <c r="W15" s="1085"/>
      <c r="X15" s="1085"/>
      <c r="Y15" s="1085"/>
    </row>
    <row r="16" spans="1:25" ht="30" customHeight="1">
      <c r="A16" s="12"/>
      <c r="B16" s="12"/>
      <c r="C16" s="16"/>
      <c r="D16" s="14"/>
      <c r="E16" s="15"/>
      <c r="F16" s="14"/>
      <c r="G16" s="11"/>
      <c r="H16" s="17"/>
      <c r="I16" s="17"/>
      <c r="J16" s="14"/>
      <c r="K16" s="14"/>
      <c r="L16" s="14"/>
    </row>
    <row r="17" spans="1:26" ht="18" customHeight="1">
      <c r="A17" s="12"/>
      <c r="B17" s="12"/>
      <c r="C17" s="16"/>
      <c r="D17" s="14"/>
      <c r="E17" s="15"/>
      <c r="F17" s="14"/>
      <c r="G17" s="11"/>
      <c r="H17" s="17"/>
      <c r="I17" s="17"/>
      <c r="J17" s="14"/>
      <c r="K17" s="14"/>
      <c r="L17" s="2107" t="s">
        <v>312</v>
      </c>
      <c r="M17" s="2108"/>
      <c r="N17" s="2108"/>
      <c r="O17" s="2109"/>
    </row>
    <row r="18" spans="1:26" ht="18" customHeight="1">
      <c r="A18" s="12"/>
      <c r="B18" s="12"/>
      <c r="C18" s="16"/>
      <c r="D18" s="14"/>
      <c r="E18" s="15"/>
      <c r="F18" s="14"/>
      <c r="G18" s="11"/>
      <c r="H18" s="17"/>
      <c r="L18" s="2107" t="s">
        <v>313</v>
      </c>
      <c r="M18" s="2108"/>
      <c r="N18" s="2109"/>
      <c r="O18" s="2110" t="s">
        <v>3089</v>
      </c>
    </row>
    <row r="19" spans="1:26" ht="18" customHeight="1">
      <c r="A19" s="12"/>
      <c r="B19" s="12"/>
      <c r="C19" s="16"/>
      <c r="D19" s="14"/>
      <c r="E19" s="15"/>
      <c r="F19" s="14"/>
      <c r="G19" s="11"/>
      <c r="H19" s="17"/>
      <c r="L19" s="1688" t="s">
        <v>314</v>
      </c>
      <c r="M19" s="2112" t="s">
        <v>315</v>
      </c>
      <c r="N19" s="2113"/>
      <c r="O19" s="2111"/>
    </row>
    <row r="20" spans="1:26" ht="20.25" customHeight="1">
      <c r="A20" s="12"/>
      <c r="B20" s="12"/>
      <c r="C20" s="16"/>
      <c r="D20" s="14"/>
      <c r="E20" s="15"/>
      <c r="F20" s="14"/>
      <c r="G20" s="11"/>
      <c r="H20" s="17"/>
      <c r="I20" s="17"/>
      <c r="J20" s="14"/>
      <c r="K20" s="14"/>
      <c r="L20" s="2110" t="s">
        <v>3090</v>
      </c>
      <c r="M20" s="2098" t="s">
        <v>3073</v>
      </c>
      <c r="N20" s="2099"/>
      <c r="O20" s="2104" t="s">
        <v>3091</v>
      </c>
    </row>
    <row r="21" spans="1:26" ht="19.5" customHeight="1">
      <c r="A21" s="12"/>
      <c r="B21" s="12"/>
      <c r="C21" s="16"/>
      <c r="D21" s="14"/>
      <c r="E21" s="15"/>
      <c r="F21" s="14"/>
      <c r="G21" s="11"/>
      <c r="H21" s="17"/>
      <c r="I21" s="17"/>
      <c r="J21" s="460"/>
      <c r="K21" s="461"/>
      <c r="L21" s="2114"/>
      <c r="M21" s="2100"/>
      <c r="N21" s="2101"/>
      <c r="O21" s="2105"/>
    </row>
    <row r="22" spans="1:26" ht="20.25" customHeight="1" thickBot="1">
      <c r="A22" s="12"/>
      <c r="B22" s="12"/>
      <c r="C22" s="16"/>
      <c r="D22" s="14"/>
      <c r="E22" s="15"/>
      <c r="F22" s="14"/>
      <c r="G22" s="11"/>
      <c r="H22" s="17"/>
      <c r="I22" s="17"/>
      <c r="J22" s="14"/>
      <c r="K22" s="14"/>
      <c r="L22" s="2111"/>
      <c r="M22" s="2102"/>
      <c r="N22" s="2103"/>
      <c r="O22" s="2106"/>
    </row>
    <row r="23" spans="1:26" ht="20.25" customHeight="1" thickBot="1">
      <c r="A23" s="12"/>
      <c r="B23" s="12"/>
      <c r="C23" s="16"/>
      <c r="D23" s="14"/>
      <c r="E23" s="15"/>
      <c r="F23" s="50"/>
      <c r="G23" s="11"/>
      <c r="H23" s="17"/>
      <c r="I23" s="17"/>
      <c r="L23" s="459"/>
      <c r="M23" s="459"/>
      <c r="N23" s="459"/>
      <c r="O23" s="459"/>
      <c r="S23" s="1691"/>
      <c r="T23" s="1692" t="s">
        <v>2909</v>
      </c>
      <c r="U23" s="1693"/>
      <c r="V23" s="1588" t="s">
        <v>3072</v>
      </c>
    </row>
    <row r="24" spans="1:26" ht="20.25" customHeight="1" thickBot="1">
      <c r="B24" s="1"/>
      <c r="E24" s="15"/>
      <c r="F24" s="50">
        <v>0</v>
      </c>
      <c r="H24" s="17"/>
      <c r="I24" s="1"/>
      <c r="J24" s="19"/>
      <c r="K24" s="14"/>
      <c r="L24" s="14"/>
      <c r="S24" s="1694"/>
      <c r="T24" s="1692" t="s">
        <v>2910</v>
      </c>
      <c r="U24" s="1693"/>
      <c r="V24" s="1588" t="s">
        <v>3072</v>
      </c>
    </row>
    <row r="25" spans="1:26" ht="20.25" customHeight="1" thickBot="1">
      <c r="B25" s="14" t="s">
        <v>255</v>
      </c>
      <c r="E25" s="15"/>
      <c r="F25" s="50"/>
      <c r="H25" s="327">
        <f>work!H18</f>
        <v>7</v>
      </c>
      <c r="I25" s="1690">
        <v>3</v>
      </c>
      <c r="J25" s="328">
        <f>work!H16</f>
        <v>1</v>
      </c>
      <c r="K25" s="14"/>
      <c r="L25" s="14"/>
      <c r="S25" s="1695"/>
      <c r="T25" s="1696" t="s">
        <v>3070</v>
      </c>
      <c r="U25" s="1697" t="s">
        <v>3069</v>
      </c>
      <c r="V25" s="1588" t="s">
        <v>3071</v>
      </c>
    </row>
    <row r="26" spans="1:26" ht="26.25" customHeight="1" thickBot="1">
      <c r="A26"/>
      <c r="B26"/>
      <c r="C26"/>
      <c r="D26" s="1589"/>
      <c r="E26" s="1791" t="s">
        <v>3137</v>
      </c>
      <c r="F26"/>
      <c r="G26"/>
      <c r="H26"/>
      <c r="I26"/>
      <c r="J26" s="1589"/>
      <c r="K26" s="1589"/>
      <c r="L26" s="1590" t="s">
        <v>241</v>
      </c>
      <c r="M26" s="1590"/>
      <c r="N26" s="302"/>
      <c r="O26" s="303"/>
      <c r="Z26" s="1755"/>
    </row>
    <row r="27" spans="1:26" ht="21" customHeight="1">
      <c r="A27" s="2118" t="s">
        <v>242</v>
      </c>
      <c r="B27" s="2119" t="s">
        <v>9</v>
      </c>
      <c r="C27" s="2120" t="s">
        <v>243</v>
      </c>
      <c r="D27" s="2121"/>
      <c r="E27" s="2116" t="s">
        <v>19</v>
      </c>
      <c r="F27" s="2083" t="s">
        <v>244</v>
      </c>
      <c r="G27" s="2084"/>
      <c r="H27" s="2116" t="s">
        <v>21</v>
      </c>
      <c r="I27" s="2116" t="s">
        <v>245</v>
      </c>
      <c r="J27" s="2083" t="s">
        <v>246</v>
      </c>
      <c r="K27" s="2084"/>
      <c r="L27" s="2075" t="s">
        <v>247</v>
      </c>
      <c r="M27" s="2085" t="s">
        <v>248</v>
      </c>
      <c r="N27" s="2086"/>
      <c r="O27" s="2087"/>
    </row>
    <row r="28" spans="1:26" ht="21" customHeight="1">
      <c r="A28" s="2118"/>
      <c r="B28" s="2119"/>
      <c r="C28" s="2122"/>
      <c r="D28" s="2123"/>
      <c r="E28" s="2117"/>
      <c r="F28" s="304" t="s">
        <v>249</v>
      </c>
      <c r="G28" s="1591" t="s">
        <v>250</v>
      </c>
      <c r="H28" s="2117"/>
      <c r="I28" s="2117"/>
      <c r="J28" s="1591" t="s">
        <v>251</v>
      </c>
      <c r="K28" s="304" t="s">
        <v>252</v>
      </c>
      <c r="L28" s="215" t="s">
        <v>253</v>
      </c>
      <c r="M28" s="2088"/>
      <c r="N28" s="2089"/>
      <c r="O28" s="2090"/>
      <c r="Z28" s="1755"/>
    </row>
    <row r="29" spans="1:26" ht="25" customHeight="1">
      <c r="A29" s="305"/>
      <c r="B29" s="305"/>
      <c r="C29" s="2076"/>
      <c r="D29" s="306"/>
      <c r="E29" s="307"/>
      <c r="F29" s="1761"/>
      <c r="G29" s="308"/>
      <c r="H29" s="309"/>
      <c r="I29" s="310"/>
      <c r="J29" s="1605"/>
      <c r="K29" s="1605"/>
      <c r="L29" s="1605"/>
      <c r="M29" s="1762"/>
      <c r="N29" s="311"/>
      <c r="O29" s="312"/>
      <c r="Z29" s="1755"/>
    </row>
    <row r="30" spans="1:26" ht="25" customHeight="1">
      <c r="A30" s="313"/>
      <c r="B30" s="313"/>
      <c r="C30" s="314"/>
      <c r="D30" s="1769" t="s">
        <v>3151</v>
      </c>
      <c r="E30" s="2077"/>
      <c r="F30" s="315" t="str">
        <f>IF(L30="","",IF(L30&lt;0,"",1))</f>
        <v/>
      </c>
      <c r="G30" s="316" t="str">
        <f>IF(L30="","",IF(L30&lt;0,1,""))</f>
        <v/>
      </c>
      <c r="H30" s="317"/>
      <c r="I30" s="318"/>
      <c r="J30" s="318"/>
      <c r="K30" s="318"/>
      <c r="L30" s="318"/>
      <c r="M30" s="1404"/>
      <c r="N30" s="319"/>
      <c r="O30" s="320" t="s">
        <v>3179</v>
      </c>
      <c r="Z30" s="1755"/>
    </row>
    <row r="31" spans="1:26" ht="25" customHeight="1">
      <c r="A31" s="313"/>
      <c r="B31" s="313"/>
      <c r="C31" s="314"/>
      <c r="D31" s="1769" t="s">
        <v>3152</v>
      </c>
      <c r="E31" s="2077" t="s">
        <v>3153</v>
      </c>
      <c r="F31" s="315">
        <f t="shared" ref="F31:F32" si="0">IF(L31="","",IF(L31&lt;0,"",1))</f>
        <v>1</v>
      </c>
      <c r="G31" s="1613"/>
      <c r="H31" s="317" t="s">
        <v>2143</v>
      </c>
      <c r="I31" s="1597"/>
      <c r="J31" s="1599">
        <v>8000000</v>
      </c>
      <c r="K31" s="318">
        <f t="shared" ref="K31:K35" si="1">+J31+L31</f>
        <v>8000000</v>
      </c>
      <c r="L31" s="1599">
        <v>0</v>
      </c>
      <c r="M31" s="1404" t="s">
        <v>254</v>
      </c>
      <c r="N31" s="1404"/>
      <c r="O31" s="1406" t="s">
        <v>3168</v>
      </c>
      <c r="Z31" s="1755"/>
    </row>
    <row r="32" spans="1:26" ht="25" customHeight="1">
      <c r="A32" s="313"/>
      <c r="B32" s="313"/>
      <c r="C32" s="314"/>
      <c r="D32" s="1769" t="s">
        <v>3154</v>
      </c>
      <c r="E32" s="2077" t="s">
        <v>3153</v>
      </c>
      <c r="F32" s="315">
        <f t="shared" si="0"/>
        <v>1</v>
      </c>
      <c r="G32" s="1613"/>
      <c r="H32" s="317" t="s">
        <v>2143</v>
      </c>
      <c r="I32" s="1597"/>
      <c r="J32" s="1599">
        <v>8000000</v>
      </c>
      <c r="K32" s="318">
        <f t="shared" si="1"/>
        <v>8000000</v>
      </c>
      <c r="L32" s="1599">
        <v>0</v>
      </c>
      <c r="M32" s="1404" t="s">
        <v>254</v>
      </c>
      <c r="N32" s="1600"/>
      <c r="O32" s="1601" t="s">
        <v>3169</v>
      </c>
      <c r="Z32" s="1755"/>
    </row>
    <row r="33" spans="1:26" ht="25" customHeight="1">
      <c r="A33" s="313"/>
      <c r="B33" s="313"/>
      <c r="C33" s="314"/>
      <c r="D33" s="1769" t="s">
        <v>3155</v>
      </c>
      <c r="E33" s="2077"/>
      <c r="F33" s="1612"/>
      <c r="G33" s="1613"/>
      <c r="H33" s="1614"/>
      <c r="I33" s="1597"/>
      <c r="J33" s="318">
        <f>SUM(J31:J32)</f>
        <v>16000000</v>
      </c>
      <c r="K33" s="318">
        <f t="shared" si="1"/>
        <v>16000000</v>
      </c>
      <c r="L33" s="1599">
        <v>0</v>
      </c>
      <c r="M33" s="1600"/>
      <c r="N33" s="1600"/>
      <c r="O33" s="1602"/>
      <c r="Z33" s="1755"/>
    </row>
    <row r="34" spans="1:26" ht="25" customHeight="1">
      <c r="A34" s="313"/>
      <c r="B34" s="313"/>
      <c r="C34" s="314"/>
      <c r="D34" s="1769" t="s">
        <v>3156</v>
      </c>
      <c r="E34" s="2077"/>
      <c r="F34" s="315">
        <f t="shared" ref="F34" si="2">IF(L34="","",IF(L34&lt;0,"",1))</f>
        <v>1</v>
      </c>
      <c r="G34" s="1613"/>
      <c r="H34" s="317" t="s">
        <v>2143</v>
      </c>
      <c r="I34" s="1597"/>
      <c r="J34" s="1598">
        <f>+J33*0.1</f>
        <v>1600000</v>
      </c>
      <c r="K34" s="318">
        <f t="shared" si="1"/>
        <v>1600000</v>
      </c>
      <c r="L34" s="1598">
        <f>+L33*0.1</f>
        <v>0</v>
      </c>
      <c r="M34" s="1600"/>
      <c r="N34" s="1600"/>
      <c r="O34" s="1602"/>
      <c r="Z34" s="1755"/>
    </row>
    <row r="35" spans="1:26" ht="25" customHeight="1">
      <c r="A35" s="313"/>
      <c r="B35" s="313"/>
      <c r="C35" s="314"/>
      <c r="D35" s="1770" t="s">
        <v>3157</v>
      </c>
      <c r="E35" s="2077"/>
      <c r="F35" s="1612"/>
      <c r="G35" s="1613"/>
      <c r="H35" s="1614"/>
      <c r="I35" s="318"/>
      <c r="J35" s="318">
        <f>+J33+J34</f>
        <v>17600000</v>
      </c>
      <c r="K35" s="318">
        <f t="shared" si="1"/>
        <v>17600000</v>
      </c>
      <c r="L35" s="318">
        <f>+L33+L34</f>
        <v>0</v>
      </c>
      <c r="M35" s="1404"/>
      <c r="N35" s="1600"/>
      <c r="O35" s="1602"/>
      <c r="Z35" s="1755"/>
    </row>
    <row r="36" spans="1:26" ht="25" customHeight="1">
      <c r="A36" s="313"/>
      <c r="B36" s="313"/>
      <c r="C36" s="314"/>
      <c r="D36" s="1770"/>
      <c r="E36" s="2077"/>
      <c r="F36" s="1612"/>
      <c r="G36" s="1613"/>
      <c r="H36" s="1614"/>
      <c r="I36" s="318"/>
      <c r="J36" s="318"/>
      <c r="K36" s="318"/>
      <c r="L36" s="318"/>
      <c r="M36" s="1404"/>
      <c r="N36" s="1404"/>
      <c r="O36" s="1406"/>
      <c r="Z36" s="1755"/>
    </row>
    <row r="37" spans="1:26" ht="25" customHeight="1">
      <c r="A37" s="313"/>
      <c r="B37" s="313"/>
      <c r="C37" s="314"/>
      <c r="D37" s="1770" t="s">
        <v>3158</v>
      </c>
      <c r="E37" s="2077"/>
      <c r="F37" s="1612"/>
      <c r="G37" s="1613"/>
      <c r="H37" s="1614"/>
      <c r="I37" s="318"/>
      <c r="J37" s="318"/>
      <c r="K37" s="318"/>
      <c r="L37" s="1599"/>
      <c r="M37" s="1404"/>
      <c r="N37" s="1404"/>
      <c r="O37" s="1406" t="s">
        <v>3179</v>
      </c>
      <c r="Z37" s="1755"/>
    </row>
    <row r="38" spans="1:26" ht="25" customHeight="1">
      <c r="A38" s="313"/>
      <c r="B38" s="313"/>
      <c r="C38" s="314"/>
      <c r="D38" s="1771" t="s">
        <v>3159</v>
      </c>
      <c r="E38" s="2077" t="s">
        <v>3153</v>
      </c>
      <c r="F38" s="315" t="str">
        <f t="shared" ref="F38:F39" si="3">IF(L38="","",IF(L38&lt;0,"",1))</f>
        <v/>
      </c>
      <c r="G38" s="316">
        <f>IF(L38="","",IF(L38&lt;0,1,""))</f>
        <v>1</v>
      </c>
      <c r="H38" s="317" t="s">
        <v>2143</v>
      </c>
      <c r="I38" s="318"/>
      <c r="J38" s="318">
        <v>4000000</v>
      </c>
      <c r="K38" s="318">
        <f t="shared" ref="K38:K42" si="4">+J38+L38</f>
        <v>3000000</v>
      </c>
      <c r="L38" s="1599">
        <v>-1000000</v>
      </c>
      <c r="M38" s="1404" t="s">
        <v>254</v>
      </c>
      <c r="N38" s="1404"/>
      <c r="O38" s="1406" t="s">
        <v>3170</v>
      </c>
      <c r="Z38" s="1755"/>
    </row>
    <row r="39" spans="1:26" ht="25" customHeight="1">
      <c r="A39" s="313"/>
      <c r="B39" s="313"/>
      <c r="C39" s="314"/>
      <c r="D39" s="1769" t="s">
        <v>3160</v>
      </c>
      <c r="E39" s="2077" t="s">
        <v>3153</v>
      </c>
      <c r="F39" s="315">
        <f t="shared" si="3"/>
        <v>1</v>
      </c>
      <c r="G39" s="1613"/>
      <c r="H39" s="317" t="s">
        <v>2143</v>
      </c>
      <c r="I39" s="318"/>
      <c r="J39" s="318">
        <v>4000000</v>
      </c>
      <c r="K39" s="318">
        <f t="shared" si="4"/>
        <v>5500000</v>
      </c>
      <c r="L39" s="1599">
        <v>1500000</v>
      </c>
      <c r="M39" s="1404" t="s">
        <v>254</v>
      </c>
      <c r="N39" s="319"/>
      <c r="O39" s="320" t="s">
        <v>3171</v>
      </c>
      <c r="Z39" s="1755"/>
    </row>
    <row r="40" spans="1:26" ht="25" customHeight="1">
      <c r="A40" s="313"/>
      <c r="B40" s="313"/>
      <c r="C40" s="314"/>
      <c r="D40" s="1769" t="s">
        <v>3155</v>
      </c>
      <c r="E40" s="2077"/>
      <c r="F40" s="315"/>
      <c r="G40" s="316"/>
      <c r="H40" s="317"/>
      <c r="I40" s="318"/>
      <c r="J40" s="318">
        <f>SUM(J38:J39)</f>
        <v>8000000</v>
      </c>
      <c r="K40" s="318">
        <f t="shared" si="4"/>
        <v>8500000</v>
      </c>
      <c r="L40" s="318">
        <f>SUM(L38:L39)</f>
        <v>500000</v>
      </c>
      <c r="M40" s="1404"/>
      <c r="N40" s="319"/>
      <c r="O40" s="320"/>
      <c r="Z40" s="1755"/>
    </row>
    <row r="41" spans="1:26" ht="25" customHeight="1">
      <c r="A41" s="313"/>
      <c r="B41" s="313"/>
      <c r="C41" s="314"/>
      <c r="D41" s="1769" t="s">
        <v>3156</v>
      </c>
      <c r="E41" s="2077"/>
      <c r="F41" s="315">
        <f t="shared" ref="F41" si="5">IF(L41="","",IF(L41&lt;0,"",1))</f>
        <v>1</v>
      </c>
      <c r="G41" s="1613"/>
      <c r="H41" s="317" t="s">
        <v>2143</v>
      </c>
      <c r="I41" s="318"/>
      <c r="J41" s="1598">
        <f>+J40*0.1</f>
        <v>800000</v>
      </c>
      <c r="K41" s="318">
        <f t="shared" si="4"/>
        <v>850000</v>
      </c>
      <c r="L41" s="1598">
        <f>+L40*0.1</f>
        <v>50000</v>
      </c>
      <c r="M41" s="1404"/>
      <c r="N41" s="319"/>
      <c r="O41" s="320"/>
      <c r="Z41" s="1755"/>
    </row>
    <row r="42" spans="1:26" ht="25" customHeight="1">
      <c r="A42" s="313"/>
      <c r="B42" s="313"/>
      <c r="C42" s="314"/>
      <c r="D42" s="1769" t="s">
        <v>3157</v>
      </c>
      <c r="E42" s="2077"/>
      <c r="F42" s="315"/>
      <c r="G42" s="316"/>
      <c r="H42" s="317"/>
      <c r="I42" s="318"/>
      <c r="J42" s="318">
        <f>+J40+J41</f>
        <v>8800000</v>
      </c>
      <c r="K42" s="318">
        <f t="shared" si="4"/>
        <v>9350000</v>
      </c>
      <c r="L42" s="318">
        <f>+L40+L41</f>
        <v>550000</v>
      </c>
      <c r="M42" s="1404"/>
      <c r="N42" s="319"/>
      <c r="O42" s="320"/>
      <c r="Z42" s="1755"/>
    </row>
    <row r="43" spans="1:26" ht="25" customHeight="1">
      <c r="A43" s="313"/>
      <c r="B43" s="313"/>
      <c r="C43" s="314"/>
      <c r="D43" s="1689"/>
      <c r="E43" s="307"/>
      <c r="F43" s="315"/>
      <c r="G43" s="316"/>
      <c r="H43" s="317"/>
      <c r="I43" s="318"/>
      <c r="J43" s="318"/>
      <c r="K43" s="318"/>
      <c r="L43" s="318"/>
      <c r="M43" s="319"/>
      <c r="N43" s="319"/>
      <c r="O43" s="320"/>
      <c r="Z43" s="1755"/>
    </row>
    <row r="44" spans="1:26" ht="25" customHeight="1">
      <c r="A44" s="313"/>
      <c r="B44" s="313"/>
      <c r="C44" s="314"/>
      <c r="D44" s="1689"/>
      <c r="E44" s="307"/>
      <c r="F44" s="315"/>
      <c r="G44" s="316"/>
      <c r="H44" s="317"/>
      <c r="I44" s="318"/>
      <c r="J44" s="318"/>
      <c r="K44" s="318"/>
      <c r="L44" s="318"/>
      <c r="M44" s="319"/>
      <c r="N44" s="319"/>
      <c r="O44" s="320"/>
      <c r="Z44" s="1755"/>
    </row>
    <row r="45" spans="1:26" ht="25" customHeight="1">
      <c r="A45" s="313"/>
      <c r="B45" s="313"/>
      <c r="C45" s="314"/>
      <c r="D45" s="1689"/>
      <c r="E45" s="307"/>
      <c r="F45" s="315"/>
      <c r="G45" s="316"/>
      <c r="H45" s="317"/>
      <c r="I45" s="318"/>
      <c r="J45" s="318"/>
      <c r="K45" s="318"/>
      <c r="L45" s="318"/>
      <c r="M45" s="319"/>
      <c r="N45" s="319"/>
      <c r="O45" s="320"/>
      <c r="Z45" s="1755"/>
    </row>
    <row r="46" spans="1:26" ht="25" customHeight="1">
      <c r="A46" s="313"/>
      <c r="B46" s="313"/>
      <c r="C46" s="314"/>
      <c r="D46" s="1689"/>
      <c r="E46" s="307"/>
      <c r="F46" s="1404"/>
      <c r="G46" s="318"/>
      <c r="H46" s="317"/>
      <c r="I46" s="318"/>
      <c r="J46" s="318"/>
      <c r="K46" s="1405"/>
      <c r="L46" s="318"/>
      <c r="M46" s="1404"/>
      <c r="N46" s="1404"/>
      <c r="O46" s="1406"/>
      <c r="Z46" s="1755"/>
    </row>
    <row r="47" spans="1:26" ht="25" customHeight="1" thickBot="1">
      <c r="A47" s="313"/>
      <c r="B47" s="313"/>
      <c r="C47" s="321"/>
      <c r="D47" s="1767"/>
      <c r="E47" s="322"/>
      <c r="F47" s="323"/>
      <c r="G47" s="324"/>
      <c r="H47" s="325"/>
      <c r="I47" s="324"/>
      <c r="J47" s="324"/>
      <c r="K47" s="1407"/>
      <c r="L47" s="324"/>
      <c r="M47" s="323"/>
      <c r="N47" s="323"/>
      <c r="O47" s="326"/>
      <c r="Z47" s="1755"/>
    </row>
    <row r="48" spans="1:26" ht="14.25" customHeight="1">
      <c r="A48"/>
      <c r="B48"/>
      <c r="C48"/>
      <c r="D48"/>
      <c r="E48" s="34" t="s">
        <v>84</v>
      </c>
      <c r="F48" s="91">
        <f>F25+1</f>
        <v>1</v>
      </c>
      <c r="G48" s="35" t="s">
        <v>48</v>
      </c>
      <c r="H48" s="4">
        <f>H25</f>
        <v>7</v>
      </c>
      <c r="I48"/>
      <c r="J48"/>
      <c r="K48"/>
      <c r="L48"/>
      <c r="M48"/>
      <c r="N48"/>
      <c r="O48"/>
      <c r="P48" s="40" t="str">
        <f>IF(A50="","EOL","")</f>
        <v/>
      </c>
      <c r="Q48" s="1">
        <f>+F48</f>
        <v>1</v>
      </c>
      <c r="Z48" s="1755"/>
    </row>
    <row r="49" spans="1:26" ht="26.25" customHeight="1" thickBot="1">
      <c r="A49"/>
      <c r="B49"/>
      <c r="C49"/>
      <c r="D49" s="1589"/>
      <c r="E49" s="1791" t="s">
        <v>3137</v>
      </c>
      <c r="F49"/>
      <c r="G49"/>
      <c r="H49"/>
      <c r="I49"/>
      <c r="J49" s="1589"/>
      <c r="K49" s="1589"/>
      <c r="L49" s="1590" t="s">
        <v>241</v>
      </c>
      <c r="M49" s="1590"/>
      <c r="N49" s="302"/>
      <c r="O49" s="303"/>
      <c r="Z49" s="1755"/>
    </row>
    <row r="50" spans="1:26" ht="21" customHeight="1">
      <c r="A50" s="2118" t="s">
        <v>242</v>
      </c>
      <c r="B50" s="2119" t="s">
        <v>9</v>
      </c>
      <c r="C50" s="2120" t="s">
        <v>243</v>
      </c>
      <c r="D50" s="2121"/>
      <c r="E50" s="2116" t="s">
        <v>19</v>
      </c>
      <c r="F50" s="2083" t="s">
        <v>244</v>
      </c>
      <c r="G50" s="2084"/>
      <c r="H50" s="2116" t="s">
        <v>21</v>
      </c>
      <c r="I50" s="2116" t="s">
        <v>245</v>
      </c>
      <c r="J50" s="2083" t="s">
        <v>246</v>
      </c>
      <c r="K50" s="2084"/>
      <c r="L50" s="2075" t="s">
        <v>247</v>
      </c>
      <c r="M50" s="2085" t="s">
        <v>248</v>
      </c>
      <c r="N50" s="2086"/>
      <c r="O50" s="2087"/>
    </row>
    <row r="51" spans="1:26" ht="21" customHeight="1">
      <c r="A51" s="2118"/>
      <c r="B51" s="2119"/>
      <c r="C51" s="2122"/>
      <c r="D51" s="2123"/>
      <c r="E51" s="2117"/>
      <c r="F51" s="304" t="s">
        <v>249</v>
      </c>
      <c r="G51" s="1591" t="s">
        <v>250</v>
      </c>
      <c r="H51" s="2117"/>
      <c r="I51" s="2117"/>
      <c r="J51" s="1591" t="s">
        <v>251</v>
      </c>
      <c r="K51" s="304" t="s">
        <v>252</v>
      </c>
      <c r="L51" s="215" t="s">
        <v>253</v>
      </c>
      <c r="M51" s="2088"/>
      <c r="N51" s="2089"/>
      <c r="O51" s="2090"/>
      <c r="Z51" s="1755"/>
    </row>
    <row r="52" spans="1:26" ht="25" customHeight="1">
      <c r="A52" s="305"/>
      <c r="B52" s="305"/>
      <c r="C52" s="2076"/>
      <c r="D52" s="306"/>
      <c r="E52" s="307"/>
      <c r="F52" s="1761"/>
      <c r="G52" s="308"/>
      <c r="H52" s="309"/>
      <c r="I52" s="310"/>
      <c r="J52" s="1605"/>
      <c r="K52" s="1605"/>
      <c r="L52" s="1605"/>
      <c r="M52" s="1762"/>
      <c r="N52" s="311"/>
      <c r="O52" s="312"/>
      <c r="Z52" s="1755"/>
    </row>
    <row r="53" spans="1:26" ht="25" customHeight="1">
      <c r="A53" s="313"/>
      <c r="B53" s="313"/>
      <c r="C53" s="314"/>
      <c r="D53" s="2078" t="s">
        <v>3161</v>
      </c>
      <c r="E53" s="95"/>
      <c r="F53" s="1609"/>
      <c r="G53" s="1610"/>
      <c r="H53" s="1611"/>
      <c r="I53" s="318"/>
      <c r="J53" s="318"/>
      <c r="K53" s="318"/>
      <c r="L53" s="318"/>
      <c r="M53" s="1404"/>
      <c r="N53" s="319"/>
      <c r="O53" s="320" t="s">
        <v>3179</v>
      </c>
      <c r="Z53" s="1755"/>
    </row>
    <row r="54" spans="1:26" ht="25" customHeight="1">
      <c r="A54" s="313"/>
      <c r="B54" s="313"/>
      <c r="C54" s="314"/>
      <c r="D54" s="2079" t="s">
        <v>3162</v>
      </c>
      <c r="E54" s="95" t="s">
        <v>3163</v>
      </c>
      <c r="F54" s="315" t="str">
        <f t="shared" ref="F54:F55" si="6">IF(L54="","",IF(L54&lt;0,"",1))</f>
        <v/>
      </c>
      <c r="G54" s="316">
        <f t="shared" ref="G54:G55" si="7">IF(L54="","",IF(L54&lt;0,1,""))</f>
        <v>1</v>
      </c>
      <c r="H54" s="317" t="s">
        <v>2143</v>
      </c>
      <c r="I54" s="318"/>
      <c r="J54" s="318">
        <v>2222000</v>
      </c>
      <c r="K54" s="318">
        <f t="shared" ref="K54:K55" si="8">+J54+L54</f>
        <v>0</v>
      </c>
      <c r="L54" s="2080">
        <v>-2222000</v>
      </c>
      <c r="M54" s="1404" t="s">
        <v>254</v>
      </c>
      <c r="N54" s="1600"/>
      <c r="O54" s="1406" t="s">
        <v>3172</v>
      </c>
      <c r="Z54" s="1755"/>
    </row>
    <row r="55" spans="1:26" ht="25" customHeight="1">
      <c r="A55" s="313"/>
      <c r="B55" s="313"/>
      <c r="C55" s="314"/>
      <c r="D55" s="2079" t="s">
        <v>3164</v>
      </c>
      <c r="E55" s="95" t="s">
        <v>3163</v>
      </c>
      <c r="F55" s="315">
        <f t="shared" si="6"/>
        <v>1</v>
      </c>
      <c r="G55" s="316" t="str">
        <f t="shared" si="7"/>
        <v/>
      </c>
      <c r="H55" s="317" t="s">
        <v>2143</v>
      </c>
      <c r="I55" s="1597"/>
      <c r="J55" s="318">
        <v>2222000</v>
      </c>
      <c r="K55" s="318">
        <f t="shared" si="8"/>
        <v>2222000</v>
      </c>
      <c r="L55" s="2081">
        <v>0</v>
      </c>
      <c r="M55" s="1404" t="s">
        <v>254</v>
      </c>
      <c r="N55" s="1600"/>
      <c r="O55" s="1601" t="s">
        <v>3173</v>
      </c>
      <c r="Z55" s="1755"/>
    </row>
    <row r="56" spans="1:26" ht="25" customHeight="1">
      <c r="A56" s="313"/>
      <c r="B56" s="313"/>
      <c r="C56" s="314"/>
      <c r="D56" s="2079" t="s">
        <v>3155</v>
      </c>
      <c r="E56" s="95"/>
      <c r="F56" s="315"/>
      <c r="G56" s="1613"/>
      <c r="H56" s="317"/>
      <c r="I56" s="1597"/>
      <c r="J56" s="318">
        <f>SUM(J54:J55)</f>
        <v>4444000</v>
      </c>
      <c r="K56" s="318">
        <f t="shared" ref="K56:K58" si="9">+J56+L56</f>
        <v>2222000</v>
      </c>
      <c r="L56" s="2080">
        <f>SUM(L54:L55)</f>
        <v>-2222000</v>
      </c>
      <c r="M56" s="1404"/>
      <c r="N56" s="1600"/>
      <c r="O56" s="1602"/>
      <c r="Z56" s="1755"/>
    </row>
    <row r="57" spans="1:26" ht="25" customHeight="1">
      <c r="A57" s="313"/>
      <c r="B57" s="313"/>
      <c r="C57" s="314"/>
      <c r="D57" s="2079" t="s">
        <v>3156</v>
      </c>
      <c r="E57" s="95"/>
      <c r="F57" s="315" t="str">
        <f t="shared" ref="F57" si="10">IF(L57="","",IF(L57&lt;0,"",1))</f>
        <v/>
      </c>
      <c r="G57" s="316">
        <f t="shared" ref="G57" si="11">IF(L57="","",IF(L57&lt;0,1,""))</f>
        <v>1</v>
      </c>
      <c r="H57" s="317" t="s">
        <v>2143</v>
      </c>
      <c r="I57" s="1597"/>
      <c r="J57" s="1598">
        <f>+J56*0.1</f>
        <v>444400</v>
      </c>
      <c r="K57" s="318">
        <f t="shared" si="9"/>
        <v>222200</v>
      </c>
      <c r="L57" s="2082">
        <f>+L56*0.1</f>
        <v>-222200</v>
      </c>
      <c r="M57" s="1600"/>
      <c r="N57" s="1600"/>
      <c r="O57" s="1602"/>
      <c r="Z57" s="1755"/>
    </row>
    <row r="58" spans="1:26" ht="25" customHeight="1">
      <c r="A58" s="313"/>
      <c r="B58" s="313"/>
      <c r="C58" s="314"/>
      <c r="D58" s="2079" t="s">
        <v>3157</v>
      </c>
      <c r="E58" s="2077"/>
      <c r="F58" s="1612"/>
      <c r="G58" s="1613"/>
      <c r="H58" s="1614"/>
      <c r="I58" s="1597"/>
      <c r="J58" s="318">
        <f>+J56+J57</f>
        <v>4888400</v>
      </c>
      <c r="K58" s="318">
        <f t="shared" si="9"/>
        <v>2444200</v>
      </c>
      <c r="L58" s="2080">
        <f>+L56+L57</f>
        <v>-2444200</v>
      </c>
      <c r="M58" s="1600"/>
      <c r="N58" s="1600"/>
      <c r="O58" s="1602"/>
      <c r="Z58" s="1755"/>
    </row>
    <row r="59" spans="1:26" ht="25" customHeight="1">
      <c r="A59" s="313"/>
      <c r="B59" s="313"/>
      <c r="C59" s="314"/>
      <c r="D59" s="1770"/>
      <c r="E59" s="2077"/>
      <c r="F59" s="1612"/>
      <c r="G59" s="1613"/>
      <c r="H59" s="1614"/>
      <c r="I59" s="318"/>
      <c r="J59" s="318"/>
      <c r="K59" s="318"/>
      <c r="L59" s="318"/>
      <c r="M59" s="1404"/>
      <c r="N59" s="1404"/>
      <c r="O59" s="1406"/>
      <c r="Z59" s="1755"/>
    </row>
    <row r="60" spans="1:26" ht="25" customHeight="1">
      <c r="A60" s="313"/>
      <c r="B60" s="313"/>
      <c r="C60" s="314"/>
      <c r="D60" s="2079" t="s">
        <v>3165</v>
      </c>
      <c r="E60" s="95"/>
      <c r="F60" s="1612"/>
      <c r="G60" s="1613"/>
      <c r="H60" s="1614"/>
      <c r="I60" s="318"/>
      <c r="J60" s="318"/>
      <c r="K60" s="318"/>
      <c r="L60" s="1599"/>
      <c r="M60" s="1404"/>
      <c r="N60" s="1404"/>
      <c r="O60" s="1406" t="s">
        <v>3179</v>
      </c>
      <c r="Z60" s="1755"/>
    </row>
    <row r="61" spans="1:26" ht="25" customHeight="1">
      <c r="A61" s="313"/>
      <c r="B61" s="313"/>
      <c r="C61" s="314"/>
      <c r="D61" s="2079" t="s">
        <v>3152</v>
      </c>
      <c r="E61" s="95" t="s">
        <v>3163</v>
      </c>
      <c r="F61" s="315">
        <f t="shared" ref="F61:F62" si="12">IF(L61="","",IF(L61&lt;0,"",1))</f>
        <v>1</v>
      </c>
      <c r="G61" s="316" t="str">
        <f t="shared" ref="G61:G62" si="13">IF(L61="","",IF(L61&lt;0,1,""))</f>
        <v/>
      </c>
      <c r="H61" s="317" t="s">
        <v>2143</v>
      </c>
      <c r="I61" s="318"/>
      <c r="J61" s="318">
        <v>2222000</v>
      </c>
      <c r="K61" s="318">
        <f t="shared" ref="K61:K65" si="14">+J61+L61</f>
        <v>2222000</v>
      </c>
      <c r="L61" s="1599">
        <v>0</v>
      </c>
      <c r="M61" s="1404" t="s">
        <v>254</v>
      </c>
      <c r="N61" s="1404"/>
      <c r="O61" s="1406" t="s">
        <v>3174</v>
      </c>
      <c r="Z61" s="1755"/>
    </row>
    <row r="62" spans="1:26" ht="25" customHeight="1">
      <c r="A62" s="313"/>
      <c r="B62" s="313"/>
      <c r="C62" s="314"/>
      <c r="D62" s="2079" t="s">
        <v>3154</v>
      </c>
      <c r="E62" s="95" t="s">
        <v>3163</v>
      </c>
      <c r="F62" s="315">
        <f t="shared" si="12"/>
        <v>1</v>
      </c>
      <c r="G62" s="316" t="str">
        <f t="shared" si="13"/>
        <v/>
      </c>
      <c r="H62" s="317" t="s">
        <v>2143</v>
      </c>
      <c r="I62" s="318"/>
      <c r="J62" s="318">
        <v>2222000</v>
      </c>
      <c r="K62" s="318">
        <f t="shared" si="14"/>
        <v>2222000</v>
      </c>
      <c r="L62" s="1599">
        <v>0</v>
      </c>
      <c r="M62" s="1404" t="s">
        <v>254</v>
      </c>
      <c r="N62" s="319"/>
      <c r="O62" s="320" t="s">
        <v>3175</v>
      </c>
      <c r="Z62" s="1755"/>
    </row>
    <row r="63" spans="1:26" ht="25" customHeight="1">
      <c r="A63" s="313"/>
      <c r="B63" s="313"/>
      <c r="C63" s="314"/>
      <c r="D63" s="2079" t="s">
        <v>3155</v>
      </c>
      <c r="E63" s="95"/>
      <c r="F63" s="315"/>
      <c r="G63" s="316"/>
      <c r="H63" s="317"/>
      <c r="I63" s="318"/>
      <c r="J63" s="318">
        <f>SUM(J61:J62)</f>
        <v>4444000</v>
      </c>
      <c r="K63" s="318">
        <f t="shared" si="14"/>
        <v>4444000</v>
      </c>
      <c r="L63" s="1599">
        <v>0</v>
      </c>
      <c r="M63" s="1404"/>
      <c r="N63" s="319"/>
      <c r="O63" s="320"/>
      <c r="Z63" s="1755"/>
    </row>
    <row r="64" spans="1:26" ht="25" customHeight="1">
      <c r="A64" s="313"/>
      <c r="B64" s="313"/>
      <c r="C64" s="314"/>
      <c r="D64" s="2079" t="s">
        <v>3156</v>
      </c>
      <c r="E64" s="95"/>
      <c r="F64" s="315">
        <f t="shared" ref="F64" si="15">IF(L64="","",IF(L64&lt;0,"",1))</f>
        <v>1</v>
      </c>
      <c r="G64" s="316" t="str">
        <f t="shared" ref="G64" si="16">IF(L64="","",IF(L64&lt;0,1,""))</f>
        <v/>
      </c>
      <c r="H64" s="317" t="s">
        <v>2143</v>
      </c>
      <c r="I64" s="318"/>
      <c r="J64" s="1598">
        <f>+J63*0.1</f>
        <v>444400</v>
      </c>
      <c r="K64" s="318">
        <f t="shared" si="14"/>
        <v>444400</v>
      </c>
      <c r="L64" s="1598">
        <f>+L63*0.1</f>
        <v>0</v>
      </c>
      <c r="M64" s="1404"/>
      <c r="N64" s="319"/>
      <c r="O64" s="320"/>
      <c r="Z64" s="1755"/>
    </row>
    <row r="65" spans="1:26" ht="25" customHeight="1">
      <c r="A65" s="313"/>
      <c r="B65" s="313"/>
      <c r="C65" s="314"/>
      <c r="D65" s="2079" t="s">
        <v>3157</v>
      </c>
      <c r="E65" s="95"/>
      <c r="F65" s="315"/>
      <c r="G65" s="316"/>
      <c r="H65" s="317"/>
      <c r="I65" s="318"/>
      <c r="J65" s="318">
        <f>+J63+J64</f>
        <v>4888400</v>
      </c>
      <c r="K65" s="318">
        <f t="shared" si="14"/>
        <v>4888400</v>
      </c>
      <c r="L65" s="318">
        <f>+L63+L64</f>
        <v>0</v>
      </c>
      <c r="M65" s="1404"/>
      <c r="N65" s="319"/>
      <c r="O65" s="320"/>
      <c r="Z65" s="1755"/>
    </row>
    <row r="66" spans="1:26" ht="25" customHeight="1">
      <c r="A66" s="313"/>
      <c r="B66" s="313"/>
      <c r="C66" s="314"/>
      <c r="D66" s="1689"/>
      <c r="E66" s="307"/>
      <c r="F66" s="315"/>
      <c r="G66" s="316"/>
      <c r="H66" s="317"/>
      <c r="I66" s="318"/>
      <c r="J66" s="318"/>
      <c r="K66" s="318"/>
      <c r="L66" s="318"/>
      <c r="M66" s="319"/>
      <c r="N66" s="319"/>
      <c r="O66" s="320"/>
      <c r="Z66" s="1755"/>
    </row>
    <row r="67" spans="1:26" ht="25" customHeight="1">
      <c r="A67" s="313"/>
      <c r="B67" s="313"/>
      <c r="C67" s="314"/>
      <c r="D67" s="1689"/>
      <c r="E67" s="307"/>
      <c r="F67" s="315"/>
      <c r="G67" s="316"/>
      <c r="H67" s="317"/>
      <c r="I67" s="318"/>
      <c r="J67" s="318"/>
      <c r="K67" s="318"/>
      <c r="L67" s="318"/>
      <c r="M67" s="319"/>
      <c r="N67" s="319"/>
      <c r="O67" s="320"/>
      <c r="Z67" s="1755"/>
    </row>
    <row r="68" spans="1:26" ht="25" customHeight="1">
      <c r="A68" s="313"/>
      <c r="B68" s="313"/>
      <c r="C68" s="314"/>
      <c r="D68" s="1689"/>
      <c r="E68" s="307"/>
      <c r="F68" s="315"/>
      <c r="G68" s="316"/>
      <c r="H68" s="317"/>
      <c r="I68" s="318"/>
      <c r="J68" s="318"/>
      <c r="K68" s="318"/>
      <c r="L68" s="318"/>
      <c r="M68" s="319"/>
      <c r="N68" s="319"/>
      <c r="O68" s="320"/>
      <c r="Z68" s="1755"/>
    </row>
    <row r="69" spans="1:26" ht="25" customHeight="1">
      <c r="A69" s="313"/>
      <c r="B69" s="313"/>
      <c r="C69" s="314"/>
      <c r="D69" s="1689"/>
      <c r="E69" s="307"/>
      <c r="F69" s="1404"/>
      <c r="G69" s="318"/>
      <c r="H69" s="317"/>
      <c r="I69" s="318"/>
      <c r="J69" s="318"/>
      <c r="K69" s="1405"/>
      <c r="L69" s="318"/>
      <c r="M69" s="1404"/>
      <c r="N69" s="1404"/>
      <c r="O69" s="1406"/>
      <c r="Z69" s="1755"/>
    </row>
    <row r="70" spans="1:26" ht="25" customHeight="1" thickBot="1">
      <c r="A70" s="313"/>
      <c r="B70" s="313"/>
      <c r="C70" s="321"/>
      <c r="D70" s="1767"/>
      <c r="E70" s="322"/>
      <c r="F70" s="323"/>
      <c r="G70" s="324"/>
      <c r="H70" s="325"/>
      <c r="I70" s="324"/>
      <c r="J70" s="324"/>
      <c r="K70" s="1407"/>
      <c r="L70" s="324"/>
      <c r="M70" s="323"/>
      <c r="N70" s="323"/>
      <c r="O70" s="326"/>
      <c r="Z70" s="1755"/>
    </row>
    <row r="71" spans="1:26" ht="14.25" customHeight="1">
      <c r="A71"/>
      <c r="B71"/>
      <c r="C71"/>
      <c r="D71"/>
      <c r="E71" s="34" t="s">
        <v>84</v>
      </c>
      <c r="F71" s="91">
        <f>F48+1</f>
        <v>2</v>
      </c>
      <c r="G71" s="35" t="s">
        <v>48</v>
      </c>
      <c r="H71" s="4">
        <f>H25</f>
        <v>7</v>
      </c>
      <c r="I71"/>
      <c r="J71"/>
      <c r="K71"/>
      <c r="L71"/>
      <c r="M71"/>
      <c r="N71"/>
      <c r="O71"/>
      <c r="P71" s="40" t="str">
        <f>IF(A73="","EOL","")</f>
        <v/>
      </c>
      <c r="Q71" s="1">
        <f>+F71</f>
        <v>2</v>
      </c>
      <c r="Z71" s="1755"/>
    </row>
    <row r="72" spans="1:26" ht="26.25" customHeight="1" thickBot="1">
      <c r="A72"/>
      <c r="B72"/>
      <c r="C72"/>
      <c r="D72" s="1589"/>
      <c r="E72" s="1791" t="s">
        <v>3137</v>
      </c>
      <c r="F72"/>
      <c r="G72"/>
      <c r="H72"/>
      <c r="I72"/>
      <c r="J72" s="1589"/>
      <c r="K72" s="1589"/>
      <c r="L72" s="1590" t="s">
        <v>241</v>
      </c>
      <c r="M72" s="1590"/>
      <c r="N72" s="302"/>
      <c r="O72" s="303"/>
      <c r="Z72" s="1755"/>
    </row>
    <row r="73" spans="1:26" ht="21" customHeight="1">
      <c r="A73" s="2118" t="s">
        <v>242</v>
      </c>
      <c r="B73" s="2119" t="s">
        <v>9</v>
      </c>
      <c r="C73" s="2120" t="s">
        <v>243</v>
      </c>
      <c r="D73" s="2121"/>
      <c r="E73" s="2116" t="s">
        <v>19</v>
      </c>
      <c r="F73" s="2083" t="s">
        <v>244</v>
      </c>
      <c r="G73" s="2084"/>
      <c r="H73" s="2116" t="s">
        <v>21</v>
      </c>
      <c r="I73" s="2116" t="s">
        <v>245</v>
      </c>
      <c r="J73" s="2083" t="s">
        <v>246</v>
      </c>
      <c r="K73" s="2084"/>
      <c r="L73" s="2066" t="s">
        <v>247</v>
      </c>
      <c r="M73" s="2085" t="s">
        <v>248</v>
      </c>
      <c r="N73" s="2086"/>
      <c r="O73" s="2087"/>
    </row>
    <row r="74" spans="1:26" ht="21" customHeight="1">
      <c r="A74" s="2118"/>
      <c r="B74" s="2119"/>
      <c r="C74" s="2122"/>
      <c r="D74" s="2123"/>
      <c r="E74" s="2117"/>
      <c r="F74" s="304" t="s">
        <v>249</v>
      </c>
      <c r="G74" s="1591" t="s">
        <v>250</v>
      </c>
      <c r="H74" s="2117"/>
      <c r="I74" s="2117"/>
      <c r="J74" s="1591" t="s">
        <v>251</v>
      </c>
      <c r="K74" s="304" t="s">
        <v>252</v>
      </c>
      <c r="L74" s="215" t="s">
        <v>253</v>
      </c>
      <c r="M74" s="2088"/>
      <c r="N74" s="2089"/>
      <c r="O74" s="2090"/>
      <c r="Z74" s="1755"/>
    </row>
    <row r="75" spans="1:26" ht="25" customHeight="1">
      <c r="A75" s="305"/>
      <c r="B75" s="305"/>
      <c r="C75" s="2076" t="s">
        <v>3143</v>
      </c>
      <c r="D75" s="306"/>
      <c r="E75" s="307"/>
      <c r="F75" s="1761"/>
      <c r="G75" s="308"/>
      <c r="H75" s="309"/>
      <c r="I75" s="310" t="s">
        <v>11</v>
      </c>
      <c r="J75" s="1605" t="s">
        <v>11</v>
      </c>
      <c r="K75" s="1605" t="s">
        <v>11</v>
      </c>
      <c r="L75" s="1605" t="s">
        <v>11</v>
      </c>
      <c r="M75" s="1762"/>
      <c r="N75" s="311"/>
      <c r="O75" s="312"/>
      <c r="Z75" s="1755"/>
    </row>
    <row r="76" spans="1:26" ht="25" customHeight="1">
      <c r="A76" s="313"/>
      <c r="B76" s="313"/>
      <c r="C76" s="314"/>
      <c r="D76" s="306"/>
      <c r="E76" s="1592"/>
      <c r="F76" s="1609"/>
      <c r="G76" s="1610"/>
      <c r="H76" s="1611"/>
      <c r="I76" s="318"/>
      <c r="J76" s="318"/>
      <c r="K76" s="318"/>
      <c r="L76" s="318"/>
      <c r="M76" s="1404"/>
      <c r="N76" s="319"/>
      <c r="O76" s="320"/>
      <c r="Z76" s="1755"/>
    </row>
    <row r="77" spans="1:26" ht="25" customHeight="1">
      <c r="A77" s="313"/>
      <c r="B77" s="313"/>
      <c r="C77" s="314"/>
      <c r="D77" s="2078" t="s">
        <v>3166</v>
      </c>
      <c r="E77" s="95"/>
      <c r="F77" s="315"/>
      <c r="G77" s="316"/>
      <c r="H77" s="317"/>
      <c r="I77" s="318"/>
      <c r="J77" s="318"/>
      <c r="K77" s="318"/>
      <c r="L77" s="318"/>
      <c r="M77" s="1404"/>
      <c r="N77" s="1404"/>
      <c r="O77" s="1406" t="s">
        <v>3179</v>
      </c>
      <c r="Z77" s="1755"/>
    </row>
    <row r="78" spans="1:26" ht="25" customHeight="1">
      <c r="A78" s="313"/>
      <c r="B78" s="313"/>
      <c r="C78" s="314"/>
      <c r="D78" s="2079" t="s">
        <v>3159</v>
      </c>
      <c r="E78" s="95" t="s">
        <v>3163</v>
      </c>
      <c r="F78" s="315">
        <f t="shared" ref="F78:F80" si="17">IF(L78="","",IF(L78&lt;0,"",1))</f>
        <v>1</v>
      </c>
      <c r="G78" s="316" t="str">
        <f t="shared" ref="G78:G80" si="18">IF(L78="","",IF(L78&lt;0,1,""))</f>
        <v/>
      </c>
      <c r="H78" s="317" t="s">
        <v>2143</v>
      </c>
      <c r="I78" s="1597"/>
      <c r="J78" s="1599">
        <v>3556000</v>
      </c>
      <c r="K78" s="318">
        <f t="shared" ref="K78:K83" si="19">+J78+L78</f>
        <v>3556000</v>
      </c>
      <c r="L78" s="1599">
        <v>0</v>
      </c>
      <c r="M78" s="1404"/>
      <c r="N78" s="1600"/>
      <c r="O78" s="1601" t="s">
        <v>3176</v>
      </c>
      <c r="Z78" s="1755"/>
    </row>
    <row r="79" spans="1:26" ht="25" customHeight="1">
      <c r="A79" s="313"/>
      <c r="B79" s="313"/>
      <c r="C79" s="314"/>
      <c r="D79" s="2079" t="s">
        <v>3160</v>
      </c>
      <c r="E79" s="95" t="s">
        <v>3163</v>
      </c>
      <c r="F79" s="315">
        <f t="shared" si="17"/>
        <v>1</v>
      </c>
      <c r="G79" s="316" t="str">
        <f t="shared" si="18"/>
        <v/>
      </c>
      <c r="H79" s="317" t="s">
        <v>2143</v>
      </c>
      <c r="I79" s="1597"/>
      <c r="J79" s="1599">
        <v>3556000</v>
      </c>
      <c r="K79" s="318">
        <f t="shared" si="19"/>
        <v>4556000</v>
      </c>
      <c r="L79" s="1599">
        <v>1000000</v>
      </c>
      <c r="M79" s="1404"/>
      <c r="N79" s="1600"/>
      <c r="O79" s="1602" t="s">
        <v>3177</v>
      </c>
      <c r="Z79" s="1755"/>
    </row>
    <row r="80" spans="1:26" ht="25" customHeight="1">
      <c r="A80" s="313"/>
      <c r="B80" s="313"/>
      <c r="C80" s="314"/>
      <c r="D80" s="2079" t="s">
        <v>3167</v>
      </c>
      <c r="E80" s="95" t="s">
        <v>3163</v>
      </c>
      <c r="F80" s="315">
        <f t="shared" si="17"/>
        <v>1</v>
      </c>
      <c r="G80" s="316" t="str">
        <f t="shared" si="18"/>
        <v/>
      </c>
      <c r="H80" s="317" t="s">
        <v>2143</v>
      </c>
      <c r="I80" s="1597"/>
      <c r="J80" s="318">
        <v>0</v>
      </c>
      <c r="K80" s="318">
        <f t="shared" si="19"/>
        <v>3000000</v>
      </c>
      <c r="L80" s="1599">
        <v>3000000</v>
      </c>
      <c r="M80" s="1600"/>
      <c r="N80" s="1600"/>
      <c r="O80" s="1602" t="s">
        <v>3178</v>
      </c>
      <c r="Z80" s="1755"/>
    </row>
    <row r="81" spans="1:26" ht="25" customHeight="1">
      <c r="A81" s="313"/>
      <c r="B81" s="313"/>
      <c r="C81" s="314"/>
      <c r="D81" s="2079" t="s">
        <v>3155</v>
      </c>
      <c r="E81" s="95"/>
      <c r="F81" s="1612"/>
      <c r="G81" s="1613"/>
      <c r="H81" s="1614"/>
      <c r="I81" s="1597"/>
      <c r="J81" s="318">
        <f>SUM(J78:J80)</f>
        <v>7112000</v>
      </c>
      <c r="K81" s="318">
        <f t="shared" si="19"/>
        <v>11112000</v>
      </c>
      <c r="L81" s="318">
        <f>SUM(L78:L80)</f>
        <v>4000000</v>
      </c>
      <c r="M81" s="1600"/>
      <c r="N81" s="1600"/>
      <c r="O81" s="1602"/>
      <c r="Z81" s="1755"/>
    </row>
    <row r="82" spans="1:26" ht="25" customHeight="1">
      <c r="A82" s="313"/>
      <c r="B82" s="313"/>
      <c r="C82" s="314"/>
      <c r="D82" s="2079" t="s">
        <v>3156</v>
      </c>
      <c r="E82" s="95"/>
      <c r="F82" s="1612"/>
      <c r="G82" s="1613"/>
      <c r="H82" s="1614"/>
      <c r="I82" s="318"/>
      <c r="J82" s="1598">
        <f>+J81*0.1</f>
        <v>711200</v>
      </c>
      <c r="K82" s="318">
        <f t="shared" si="19"/>
        <v>1111200</v>
      </c>
      <c r="L82" s="1598">
        <f>+L81*0.1</f>
        <v>400000</v>
      </c>
      <c r="M82" s="1404"/>
      <c r="N82" s="1404"/>
      <c r="O82" s="1406"/>
      <c r="Z82" s="1755"/>
    </row>
    <row r="83" spans="1:26" ht="25" customHeight="1">
      <c r="A83" s="313"/>
      <c r="B83" s="313"/>
      <c r="C83" s="314"/>
      <c r="D83" s="2079" t="s">
        <v>3157</v>
      </c>
      <c r="E83" s="95"/>
      <c r="F83" s="1612"/>
      <c r="G83" s="1613"/>
      <c r="H83" s="1614"/>
      <c r="I83" s="318"/>
      <c r="J83" s="318">
        <f>+J81+J82</f>
        <v>7823200</v>
      </c>
      <c r="K83" s="318">
        <f t="shared" si="19"/>
        <v>12223200</v>
      </c>
      <c r="L83" s="318">
        <f>+L81+L82</f>
        <v>4400000</v>
      </c>
      <c r="M83" s="1404"/>
      <c r="N83" s="1404"/>
      <c r="O83" s="1406"/>
      <c r="Z83" s="1755"/>
    </row>
    <row r="84" spans="1:26" ht="25" customHeight="1">
      <c r="A84" s="313"/>
      <c r="B84" s="313"/>
      <c r="C84" s="314"/>
      <c r="D84" s="1606"/>
      <c r="E84" s="1607"/>
      <c r="F84" s="1612"/>
      <c r="G84" s="1613"/>
      <c r="H84" s="1614"/>
      <c r="I84" s="318"/>
      <c r="J84" s="318"/>
      <c r="K84" s="318"/>
      <c r="L84" s="1599"/>
      <c r="M84" s="1404"/>
      <c r="N84" s="1404"/>
      <c r="O84" s="1406"/>
      <c r="Z84" s="1755"/>
    </row>
    <row r="85" spans="1:26" ht="25" customHeight="1">
      <c r="A85" s="313"/>
      <c r="B85" s="313"/>
      <c r="C85" s="314"/>
      <c r="D85" s="1606"/>
      <c r="E85" s="1607"/>
      <c r="F85" s="1594"/>
      <c r="G85" s="1595"/>
      <c r="H85" s="1596"/>
      <c r="I85" s="318"/>
      <c r="J85" s="318"/>
      <c r="K85" s="318"/>
      <c r="L85" s="318"/>
      <c r="M85" s="1404"/>
      <c r="N85" s="319"/>
      <c r="O85" s="320"/>
      <c r="Z85" s="1755"/>
    </row>
    <row r="86" spans="1:26" ht="25" customHeight="1">
      <c r="A86" s="313"/>
      <c r="B86" s="313"/>
      <c r="C86" s="314"/>
      <c r="D86" s="306"/>
      <c r="E86" s="307"/>
      <c r="F86" s="315"/>
      <c r="G86" s="316"/>
      <c r="H86" s="317"/>
      <c r="I86" s="318"/>
      <c r="J86" s="318"/>
      <c r="K86" s="318"/>
      <c r="L86" s="318"/>
      <c r="M86" s="1404"/>
      <c r="N86" s="319"/>
      <c r="O86" s="320"/>
      <c r="Z86" s="1755"/>
    </row>
    <row r="87" spans="1:26" ht="25" customHeight="1">
      <c r="A87" s="313"/>
      <c r="B87" s="313"/>
      <c r="C87" s="314"/>
      <c r="D87" s="306"/>
      <c r="E87" s="307"/>
      <c r="F87" s="315"/>
      <c r="G87" s="316"/>
      <c r="H87" s="317"/>
      <c r="I87" s="318"/>
      <c r="J87" s="318"/>
      <c r="K87" s="318"/>
      <c r="L87" s="318"/>
      <c r="M87" s="1404"/>
      <c r="N87" s="319"/>
      <c r="O87" s="320"/>
      <c r="Z87" s="1755"/>
    </row>
    <row r="88" spans="1:26" ht="25" customHeight="1">
      <c r="A88" s="313"/>
      <c r="B88" s="313"/>
      <c r="C88" s="314"/>
      <c r="D88" s="1608"/>
      <c r="E88" s="307"/>
      <c r="F88" s="315"/>
      <c r="G88" s="316"/>
      <c r="H88" s="317"/>
      <c r="I88" s="318"/>
      <c r="J88" s="318"/>
      <c r="K88" s="318"/>
      <c r="L88" s="318"/>
      <c r="M88" s="1404"/>
      <c r="N88" s="319"/>
      <c r="O88" s="320"/>
      <c r="Z88" s="1755"/>
    </row>
    <row r="89" spans="1:26" ht="25" customHeight="1">
      <c r="A89" s="313"/>
      <c r="B89" s="313"/>
      <c r="C89" s="314"/>
      <c r="D89" s="1689" t="s">
        <v>3092</v>
      </c>
      <c r="E89" s="307"/>
      <c r="F89" s="315"/>
      <c r="G89" s="316"/>
      <c r="H89" s="317"/>
      <c r="I89" s="318"/>
      <c r="J89" s="318">
        <f>+J81+J63+J56+J40+J33</f>
        <v>40000000</v>
      </c>
      <c r="K89" s="318">
        <f t="shared" ref="K89" si="20">+J89+L89</f>
        <v>42278000</v>
      </c>
      <c r="L89" s="318">
        <f>+L81+L63+L56+L40+L33</f>
        <v>2278000</v>
      </c>
      <c r="M89" s="319"/>
      <c r="N89" s="319"/>
      <c r="O89" s="320"/>
      <c r="Z89" s="1755"/>
    </row>
    <row r="90" spans="1:26" ht="25" customHeight="1">
      <c r="A90" s="313"/>
      <c r="B90" s="313"/>
      <c r="C90" s="314"/>
      <c r="D90" s="1689"/>
      <c r="E90" s="307"/>
      <c r="F90" s="315"/>
      <c r="G90" s="316"/>
      <c r="H90" s="317"/>
      <c r="I90" s="318"/>
      <c r="J90" s="318"/>
      <c r="K90" s="318"/>
      <c r="L90" s="318"/>
      <c r="M90" s="319"/>
      <c r="N90" s="319"/>
      <c r="O90" s="320"/>
      <c r="Z90" s="1755"/>
    </row>
    <row r="91" spans="1:26" ht="25" customHeight="1">
      <c r="A91" s="313"/>
      <c r="B91" s="313"/>
      <c r="C91" s="314"/>
      <c r="D91" s="1689" t="s">
        <v>3093</v>
      </c>
      <c r="E91" s="307"/>
      <c r="F91" s="315">
        <f>IF(L91="","",IF(L91&lt;0,"",1))</f>
        <v>1</v>
      </c>
      <c r="G91" s="316" t="str">
        <f>IF(L91="","",IF(L91&lt;0,1,""))</f>
        <v/>
      </c>
      <c r="H91" s="317" t="str">
        <f>IF(L91="","","式")</f>
        <v>式</v>
      </c>
      <c r="I91" s="318"/>
      <c r="J91" s="318">
        <f>J89*0.1</f>
        <v>4000000</v>
      </c>
      <c r="K91" s="318">
        <f>K89*0.1</f>
        <v>4227800</v>
      </c>
      <c r="L91" s="318">
        <f>+L89*0.1</f>
        <v>227800</v>
      </c>
      <c r="M91" s="319"/>
      <c r="N91" s="319"/>
      <c r="O91" s="320"/>
      <c r="Z91" s="1755"/>
    </row>
    <row r="92" spans="1:26" ht="25" customHeight="1">
      <c r="A92" s="313"/>
      <c r="B92" s="313"/>
      <c r="C92" s="314"/>
      <c r="D92" s="1689"/>
      <c r="E92" s="307"/>
      <c r="F92" s="1404"/>
      <c r="G92" s="318"/>
      <c r="H92" s="317"/>
      <c r="I92" s="318"/>
      <c r="J92" s="318"/>
      <c r="K92" s="1405"/>
      <c r="L92" s="318"/>
      <c r="M92" s="1404"/>
      <c r="N92" s="1404"/>
      <c r="O92" s="1406"/>
      <c r="Z92" s="1755"/>
    </row>
    <row r="93" spans="1:26" ht="25" customHeight="1" thickBot="1">
      <c r="A93" s="313"/>
      <c r="B93" s="313"/>
      <c r="C93" s="321"/>
      <c r="D93" s="1767" t="s">
        <v>2990</v>
      </c>
      <c r="E93" s="322"/>
      <c r="F93" s="323"/>
      <c r="G93" s="324"/>
      <c r="H93" s="325"/>
      <c r="I93" s="324"/>
      <c r="J93" s="324">
        <f>J89+J91</f>
        <v>44000000</v>
      </c>
      <c r="K93" s="1407">
        <f>K89+K91</f>
        <v>46505800</v>
      </c>
      <c r="L93" s="324">
        <f>+L91+L89</f>
        <v>2505800</v>
      </c>
      <c r="M93" s="323"/>
      <c r="N93" s="323"/>
      <c r="O93" s="326"/>
      <c r="Z93" s="1755"/>
    </row>
    <row r="94" spans="1:26" ht="14.25" customHeight="1">
      <c r="A94"/>
      <c r="B94"/>
      <c r="C94"/>
      <c r="D94"/>
      <c r="E94" s="34" t="s">
        <v>84</v>
      </c>
      <c r="F94" s="91">
        <f>F71+1</f>
        <v>3</v>
      </c>
      <c r="G94" s="35" t="s">
        <v>48</v>
      </c>
      <c r="H94" s="4">
        <f>H25</f>
        <v>7</v>
      </c>
      <c r="I94"/>
      <c r="J94"/>
      <c r="K94"/>
      <c r="L94"/>
      <c r="M94"/>
      <c r="N94"/>
      <c r="O94"/>
      <c r="P94" s="40" t="str">
        <f>IF(A96="","EOL","")</f>
        <v>EOL</v>
      </c>
      <c r="Q94" s="1">
        <f>+F94</f>
        <v>3</v>
      </c>
      <c r="Z94" s="1755"/>
    </row>
    <row r="95" spans="1:26" customFormat="1" ht="26.25" customHeight="1"/>
    <row r="96" spans="1:26" customFormat="1" ht="21" customHeight="1"/>
    <row r="97" customFormat="1" ht="21" customHeight="1"/>
    <row r="98" customFormat="1" ht="25" customHeight="1"/>
    <row r="99" customFormat="1" ht="25" customHeight="1"/>
    <row r="100" customFormat="1" ht="25" customHeight="1"/>
    <row r="101" customFormat="1" ht="25" customHeight="1"/>
    <row r="102" customFormat="1" ht="25" customHeight="1"/>
    <row r="103" customFormat="1" ht="25" customHeight="1"/>
    <row r="104" customFormat="1" ht="25" customHeight="1"/>
    <row r="105" customFormat="1" ht="25" customHeight="1"/>
    <row r="106" customFormat="1" ht="25" customHeight="1"/>
    <row r="107" customFormat="1" ht="25" customHeight="1"/>
    <row r="108" customFormat="1" ht="25" customHeight="1"/>
    <row r="109" customFormat="1" ht="25" customHeight="1"/>
    <row r="110" customFormat="1" ht="25" customHeight="1"/>
    <row r="111" customFormat="1" ht="25" customHeight="1"/>
    <row r="112" customFormat="1" ht="25" customHeight="1"/>
    <row r="113" customFormat="1" ht="25" customHeight="1"/>
    <row r="114" customFormat="1" ht="25" customHeight="1"/>
    <row r="115" customFormat="1" ht="25" customHeight="1"/>
    <row r="116" customFormat="1" ht="25" customHeight="1"/>
    <row r="117" customFormat="1" ht="14"/>
    <row r="118" customFormat="1" ht="26.25" customHeight="1"/>
    <row r="119" customFormat="1" ht="21" customHeight="1"/>
    <row r="120" customFormat="1" ht="21" customHeight="1"/>
    <row r="121" customFormat="1" ht="25" customHeight="1"/>
    <row r="122" customFormat="1" ht="25" customHeight="1"/>
    <row r="123" customFormat="1" ht="25" customHeight="1"/>
    <row r="124" customFormat="1" ht="25" customHeight="1"/>
    <row r="125" customFormat="1" ht="25" customHeight="1"/>
    <row r="126" customFormat="1" ht="25" customHeight="1"/>
    <row r="127" customFormat="1" ht="25" customHeight="1"/>
    <row r="128" customFormat="1" ht="25" customHeight="1"/>
    <row r="129" customFormat="1" ht="25" customHeight="1"/>
    <row r="130" customFormat="1" ht="25" customHeight="1"/>
    <row r="131" customFormat="1" ht="25" customHeight="1"/>
    <row r="132" customFormat="1" ht="25" customHeight="1"/>
    <row r="133" customFormat="1" ht="25" customHeight="1"/>
    <row r="134" customFormat="1" ht="25" customHeight="1"/>
    <row r="135" customFormat="1" ht="25" customHeight="1"/>
    <row r="136" customFormat="1" ht="25" customHeight="1"/>
    <row r="137" customFormat="1" ht="25" customHeight="1"/>
    <row r="138" customFormat="1" ht="25" customHeight="1"/>
    <row r="139" customFormat="1" ht="25" customHeight="1"/>
    <row r="140" customFormat="1" ht="14"/>
    <row r="141" customFormat="1" ht="26.25" customHeight="1"/>
    <row r="142" customFormat="1" ht="21" customHeight="1"/>
    <row r="143" customFormat="1" ht="21" customHeight="1"/>
    <row r="144" customFormat="1" ht="25" customHeight="1"/>
    <row r="145" customFormat="1" ht="25" customHeight="1"/>
    <row r="146" customFormat="1" ht="25" customHeight="1"/>
    <row r="147" customFormat="1" ht="25" customHeight="1"/>
    <row r="148" customFormat="1" ht="25" customHeight="1"/>
    <row r="149" customFormat="1" ht="25" customHeight="1"/>
    <row r="150" customFormat="1" ht="25" customHeight="1"/>
    <row r="151" customFormat="1" ht="25" customHeight="1"/>
    <row r="152" customFormat="1" ht="25" customHeight="1"/>
    <row r="153" customFormat="1" ht="25" customHeight="1"/>
    <row r="154" customFormat="1" ht="25" customHeight="1"/>
    <row r="155" customFormat="1" ht="25" customHeight="1"/>
    <row r="156" customFormat="1" ht="25" customHeight="1"/>
    <row r="157" customFormat="1" ht="25" customHeight="1"/>
    <row r="158" customFormat="1" ht="25" customHeight="1"/>
    <row r="159" customFormat="1" ht="25" customHeight="1"/>
    <row r="160" customFormat="1" ht="25" customHeight="1"/>
    <row r="161" customFormat="1" ht="25" customHeight="1"/>
    <row r="162" customFormat="1" ht="25" customHeight="1"/>
    <row r="163" customFormat="1" ht="14"/>
    <row r="164" customFormat="1" ht="26.25" customHeight="1"/>
    <row r="165" customFormat="1" ht="21" customHeight="1"/>
    <row r="166" customFormat="1" ht="21" customHeight="1"/>
    <row r="167" customFormat="1" ht="25" customHeight="1"/>
    <row r="168" customFormat="1" ht="25" customHeight="1"/>
    <row r="169" customFormat="1" ht="25" customHeight="1"/>
    <row r="170" customFormat="1" ht="25" customHeight="1"/>
    <row r="171" customFormat="1" ht="25" customHeight="1"/>
    <row r="172" customFormat="1" ht="25" customHeight="1"/>
    <row r="173" customFormat="1" ht="25" customHeight="1"/>
    <row r="174" customFormat="1" ht="25" customHeight="1"/>
    <row r="175" customFormat="1" ht="25" customHeight="1"/>
    <row r="176" customFormat="1" ht="25" customHeight="1"/>
    <row r="177" customFormat="1" ht="25" customHeight="1"/>
    <row r="178" customFormat="1" ht="25" customHeight="1"/>
    <row r="179" customFormat="1" ht="25" customHeight="1"/>
    <row r="180" customFormat="1" ht="25" customHeight="1"/>
    <row r="181" customFormat="1" ht="25" customHeight="1"/>
    <row r="182" customFormat="1" ht="25" customHeight="1"/>
    <row r="183" customFormat="1" ht="25" customHeight="1"/>
    <row r="184" customFormat="1" ht="25" customHeight="1"/>
    <row r="185" customFormat="1" ht="25" customHeight="1"/>
    <row r="186" customFormat="1" ht="14"/>
    <row r="187" customFormat="1" ht="26.25" customHeight="1"/>
    <row r="188" customFormat="1" ht="21" customHeight="1"/>
    <row r="189" customFormat="1" ht="21" customHeight="1"/>
    <row r="190" customFormat="1" ht="25" customHeight="1"/>
    <row r="191" customFormat="1" ht="25" customHeight="1"/>
    <row r="192" customFormat="1" ht="25" customHeight="1"/>
    <row r="193" customFormat="1" ht="25" customHeight="1"/>
    <row r="194" customFormat="1" ht="25" customHeight="1"/>
    <row r="195" customFormat="1" ht="25" customHeight="1"/>
    <row r="196" customFormat="1" ht="25" customHeight="1"/>
    <row r="197" customFormat="1" ht="25" customHeight="1"/>
    <row r="198" customFormat="1" ht="25" customHeight="1"/>
    <row r="199" customFormat="1" ht="25" customHeight="1"/>
    <row r="200" customFormat="1" ht="25" customHeight="1"/>
    <row r="201" customFormat="1" ht="25" customHeight="1"/>
    <row r="202" customFormat="1" ht="25" customHeight="1"/>
    <row r="203" customFormat="1" ht="25" customHeight="1"/>
    <row r="204" customFormat="1" ht="25" customHeight="1"/>
    <row r="205" customFormat="1" ht="25" customHeight="1"/>
    <row r="206" customFormat="1" ht="25" customHeight="1"/>
    <row r="207" customFormat="1" ht="25" customHeight="1"/>
    <row r="208" customFormat="1" ht="25" customHeight="1"/>
    <row r="209" customFormat="1" ht="14"/>
    <row r="232" spans="6:8" ht="26.25" customHeight="1">
      <c r="F232" s="91">
        <f>F209+1</f>
        <v>1</v>
      </c>
      <c r="H232" s="4">
        <f>H25</f>
        <v>7</v>
      </c>
    </row>
    <row r="255" spans="6:8" ht="26.25" customHeight="1">
      <c r="F255" s="91">
        <f>F232+1</f>
        <v>2</v>
      </c>
      <c r="H255" s="4">
        <f>H25</f>
        <v>7</v>
      </c>
    </row>
    <row r="278" spans="6:8" ht="26.25" customHeight="1">
      <c r="F278" s="91">
        <f>F255+1</f>
        <v>3</v>
      </c>
      <c r="H278" s="4">
        <f>H25</f>
        <v>7</v>
      </c>
    </row>
    <row r="301" spans="6:6" ht="26.25" customHeight="1">
      <c r="F301" s="1">
        <f>F278+1</f>
        <v>4</v>
      </c>
    </row>
  </sheetData>
  <mergeCells count="56">
    <mergeCell ref="A50:A51"/>
    <mergeCell ref="B50:B51"/>
    <mergeCell ref="C50:D51"/>
    <mergeCell ref="A27:A28"/>
    <mergeCell ref="B27:B28"/>
    <mergeCell ref="C27:D28"/>
    <mergeCell ref="E27:E28"/>
    <mergeCell ref="F27:G27"/>
    <mergeCell ref="E50:E51"/>
    <mergeCell ref="F50:G50"/>
    <mergeCell ref="R12:U12"/>
    <mergeCell ref="C2:D2"/>
    <mergeCell ref="C3:D3"/>
    <mergeCell ref="L3:M3"/>
    <mergeCell ref="L4:M4"/>
    <mergeCell ref="N2:O2"/>
    <mergeCell ref="H50:H51"/>
    <mergeCell ref="I50:I51"/>
    <mergeCell ref="J50:K50"/>
    <mergeCell ref="M50:O51"/>
    <mergeCell ref="H27:H28"/>
    <mergeCell ref="I27:I28"/>
    <mergeCell ref="J27:K27"/>
    <mergeCell ref="M27:O28"/>
    <mergeCell ref="L1:O1"/>
    <mergeCell ref="L2:M2"/>
    <mergeCell ref="L7:M7"/>
    <mergeCell ref="N3:O3"/>
    <mergeCell ref="N4:O4"/>
    <mergeCell ref="N7:O7"/>
    <mergeCell ref="N5:O5"/>
    <mergeCell ref="L5:M5"/>
    <mergeCell ref="N6:O6"/>
    <mergeCell ref="L6:M6"/>
    <mergeCell ref="I73:I74"/>
    <mergeCell ref="A73:A74"/>
    <mergeCell ref="B73:B74"/>
    <mergeCell ref="C73:D74"/>
    <mergeCell ref="E73:E74"/>
    <mergeCell ref="H73:H74"/>
    <mergeCell ref="J73:K73"/>
    <mergeCell ref="M73:O74"/>
    <mergeCell ref="O8:O9"/>
    <mergeCell ref="N8:N9"/>
    <mergeCell ref="L8:M9"/>
    <mergeCell ref="E14:K14"/>
    <mergeCell ref="M20:N22"/>
    <mergeCell ref="O20:O22"/>
    <mergeCell ref="L17:O17"/>
    <mergeCell ref="L18:N18"/>
    <mergeCell ref="O18:O19"/>
    <mergeCell ref="M19:N19"/>
    <mergeCell ref="L20:L22"/>
    <mergeCell ref="D12:N12"/>
    <mergeCell ref="L10:M10"/>
    <mergeCell ref="F73:G73"/>
  </mergeCells>
  <phoneticPr fontId="6"/>
  <dataValidations count="3">
    <dataValidation type="list" allowBlank="1" showInputMessage="1" showErrorMessage="1" sqref="V12" xr:uid="{00000000-0002-0000-0000-000000000000}">
      <formula1>"初回,２回目以降"</formula1>
    </dataValidation>
    <dataValidation type="list" allowBlank="1" showInputMessage="1" showErrorMessage="1" sqref="N6:O6" xr:uid="{00000000-0002-0000-0000-000001000000}">
      <formula1>OFFSET(INDIRECT("入力規則マスタ!$O$3"),0,0,COUNTA(INDIRECT("入力規則マスタ!$O:$O"))-1,1)</formula1>
    </dataValidation>
    <dataValidation type="list" allowBlank="1" showInputMessage="1" showErrorMessage="1" sqref="N10" xr:uid="{00000000-0002-0000-0000-000002000000}">
      <formula1>"設計変更,指定契約"</formula1>
    </dataValidation>
  </dataValidations>
  <hyperlinks>
    <hyperlink ref="W6" r:id="rId1" xr:uid="{00000000-0004-0000-0000-000000000000}"/>
  </hyperlinks>
  <printOptions horizontalCentered="1" verticalCentered="1"/>
  <pageMargins left="0.196850393700787" right="0.196850393700787" top="0.78740157480314998" bottom="0.196850393700787" header="0.511811023622047" footer="0.511811023622047"/>
  <pageSetup paperSize="9" orientation="landscape" horizontalDpi="300" verticalDpi="300" r:id="rId2"/>
  <headerFooter alignWithMargins="0"/>
  <rowBreaks count="2" manualBreakCount="2">
    <brk id="71" max="16383" man="1"/>
    <brk id="94" max="16383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ファイル間転記">
                <anchor moveWithCells="1" sizeWithCells="1">
                  <from>
                    <xdr:col>20</xdr:col>
                    <xdr:colOff>863600</xdr:colOff>
                    <xdr:row>13</xdr:row>
                    <xdr:rowOff>0</xdr:rowOff>
                  </from>
                  <to>
                    <xdr:col>22</xdr:col>
                    <xdr:colOff>38100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B1687"/>
  <sheetViews>
    <sheetView topLeftCell="A427" workbookViewId="0">
      <selection activeCell="A440" sqref="A440"/>
    </sheetView>
  </sheetViews>
  <sheetFormatPr baseColWidth="10" defaultColWidth="8.83203125" defaultRowHeight="14"/>
  <cols>
    <col min="1" max="1" width="9.5" bestFit="1" customWidth="1"/>
    <col min="2" max="2" width="93.83203125" bestFit="1" customWidth="1"/>
  </cols>
  <sheetData>
    <row r="1" spans="1:2">
      <c r="A1" t="s">
        <v>2075</v>
      </c>
      <c r="B1" t="s">
        <v>2076</v>
      </c>
    </row>
    <row r="2" spans="1:2">
      <c r="A2" s="543">
        <v>10100101</v>
      </c>
      <c r="B2" t="s">
        <v>415</v>
      </c>
    </row>
    <row r="3" spans="1:2">
      <c r="A3" s="543">
        <v>10100201</v>
      </c>
      <c r="B3" t="s">
        <v>416</v>
      </c>
    </row>
    <row r="4" spans="1:2">
      <c r="A4" s="543">
        <v>10100301</v>
      </c>
      <c r="B4" t="s">
        <v>417</v>
      </c>
    </row>
    <row r="5" spans="1:2">
      <c r="A5" s="543">
        <v>10100401</v>
      </c>
      <c r="B5" t="s">
        <v>418</v>
      </c>
    </row>
    <row r="6" spans="1:2">
      <c r="A6" s="543">
        <v>10100501</v>
      </c>
      <c r="B6" t="s">
        <v>419</v>
      </c>
    </row>
    <row r="7" spans="1:2">
      <c r="A7" s="543">
        <v>10100601</v>
      </c>
      <c r="B7" t="s">
        <v>420</v>
      </c>
    </row>
    <row r="8" spans="1:2">
      <c r="A8" s="543">
        <v>10199901</v>
      </c>
      <c r="B8" t="s">
        <v>421</v>
      </c>
    </row>
    <row r="9" spans="1:2">
      <c r="A9" s="543">
        <v>10500701</v>
      </c>
      <c r="B9" t="s">
        <v>422</v>
      </c>
    </row>
    <row r="10" spans="1:2">
      <c r="A10" s="543">
        <v>10500702</v>
      </c>
      <c r="B10" t="s">
        <v>423</v>
      </c>
    </row>
    <row r="11" spans="1:2">
      <c r="A11" s="543">
        <v>10500703</v>
      </c>
      <c r="B11" t="s">
        <v>424</v>
      </c>
    </row>
    <row r="12" spans="1:2">
      <c r="A12" s="543">
        <v>10500704</v>
      </c>
      <c r="B12" t="s">
        <v>425</v>
      </c>
    </row>
    <row r="13" spans="1:2">
      <c r="A13" s="543">
        <v>10500705</v>
      </c>
      <c r="B13" t="s">
        <v>426</v>
      </c>
    </row>
    <row r="14" spans="1:2">
      <c r="A14" s="543">
        <v>10500706</v>
      </c>
      <c r="B14" t="s">
        <v>427</v>
      </c>
    </row>
    <row r="15" spans="1:2">
      <c r="A15" s="543">
        <v>10500707</v>
      </c>
      <c r="B15" t="s">
        <v>428</v>
      </c>
    </row>
    <row r="16" spans="1:2">
      <c r="A16" s="543">
        <v>10500708</v>
      </c>
      <c r="B16" t="s">
        <v>429</v>
      </c>
    </row>
    <row r="17" spans="1:2">
      <c r="A17" s="543">
        <v>10500709</v>
      </c>
      <c r="B17" t="s">
        <v>430</v>
      </c>
    </row>
    <row r="18" spans="1:2">
      <c r="A18" s="543">
        <v>10500801</v>
      </c>
      <c r="B18" t="s">
        <v>447</v>
      </c>
    </row>
    <row r="19" spans="1:2">
      <c r="A19" s="543">
        <v>10500802</v>
      </c>
      <c r="B19" t="s">
        <v>448</v>
      </c>
    </row>
    <row r="20" spans="1:2">
      <c r="A20" s="543">
        <v>10500803</v>
      </c>
      <c r="B20" t="s">
        <v>449</v>
      </c>
    </row>
    <row r="21" spans="1:2">
      <c r="A21" s="543">
        <v>10500804</v>
      </c>
      <c r="B21" t="s">
        <v>450</v>
      </c>
    </row>
    <row r="22" spans="1:2">
      <c r="A22" s="543">
        <v>10500805</v>
      </c>
      <c r="B22" t="s">
        <v>451</v>
      </c>
    </row>
    <row r="23" spans="1:2">
      <c r="A23" s="543">
        <v>10500806</v>
      </c>
      <c r="B23" t="s">
        <v>452</v>
      </c>
    </row>
    <row r="24" spans="1:2">
      <c r="A24" s="543">
        <v>10500807</v>
      </c>
      <c r="B24" t="s">
        <v>453</v>
      </c>
    </row>
    <row r="25" spans="1:2">
      <c r="A25">
        <v>10500808</v>
      </c>
      <c r="B25" t="s">
        <v>454</v>
      </c>
    </row>
    <row r="26" spans="1:2">
      <c r="A26">
        <v>10500809</v>
      </c>
      <c r="B26" t="s">
        <v>455</v>
      </c>
    </row>
    <row r="27" spans="1:2">
      <c r="A27" s="543">
        <v>10500901</v>
      </c>
      <c r="B27" t="s">
        <v>472</v>
      </c>
    </row>
    <row r="28" spans="1:2">
      <c r="A28" s="543">
        <v>10500902</v>
      </c>
      <c r="B28" t="s">
        <v>473</v>
      </c>
    </row>
    <row r="29" spans="1:2">
      <c r="A29" s="543">
        <v>10500903</v>
      </c>
      <c r="B29" t="s">
        <v>474</v>
      </c>
    </row>
    <row r="30" spans="1:2">
      <c r="A30" s="543">
        <v>10500904</v>
      </c>
      <c r="B30" t="s">
        <v>475</v>
      </c>
    </row>
    <row r="31" spans="1:2">
      <c r="A31" s="543">
        <v>10500905</v>
      </c>
      <c r="B31" t="s">
        <v>476</v>
      </c>
    </row>
    <row r="32" spans="1:2">
      <c r="A32" s="543">
        <v>10500906</v>
      </c>
      <c r="B32" t="s">
        <v>477</v>
      </c>
    </row>
    <row r="33" spans="1:2">
      <c r="A33" s="543">
        <v>10500907</v>
      </c>
      <c r="B33" t="s">
        <v>478</v>
      </c>
    </row>
    <row r="34" spans="1:2">
      <c r="A34" s="543">
        <v>10500908</v>
      </c>
      <c r="B34" t="s">
        <v>479</v>
      </c>
    </row>
    <row r="35" spans="1:2">
      <c r="A35">
        <v>10500909</v>
      </c>
      <c r="B35" t="s">
        <v>480</v>
      </c>
    </row>
    <row r="36" spans="1:2">
      <c r="A36">
        <v>10501001</v>
      </c>
      <c r="B36" t="s">
        <v>497</v>
      </c>
    </row>
    <row r="37" spans="1:2">
      <c r="A37">
        <v>10501002</v>
      </c>
      <c r="B37" t="s">
        <v>498</v>
      </c>
    </row>
    <row r="38" spans="1:2">
      <c r="A38">
        <v>10501003</v>
      </c>
      <c r="B38" t="s">
        <v>499</v>
      </c>
    </row>
    <row r="39" spans="1:2">
      <c r="A39">
        <v>10501004</v>
      </c>
      <c r="B39" t="s">
        <v>500</v>
      </c>
    </row>
    <row r="40" spans="1:2">
      <c r="A40">
        <v>10501005</v>
      </c>
      <c r="B40" t="s">
        <v>501</v>
      </c>
    </row>
    <row r="41" spans="1:2">
      <c r="A41">
        <v>10501006</v>
      </c>
      <c r="B41" t="s">
        <v>502</v>
      </c>
    </row>
    <row r="42" spans="1:2">
      <c r="A42">
        <v>10501007</v>
      </c>
      <c r="B42" t="s">
        <v>503</v>
      </c>
    </row>
    <row r="43" spans="1:2">
      <c r="A43">
        <v>10501008</v>
      </c>
      <c r="B43" t="s">
        <v>504</v>
      </c>
    </row>
    <row r="44" spans="1:2">
      <c r="A44">
        <v>10501009</v>
      </c>
      <c r="B44" t="s">
        <v>505</v>
      </c>
    </row>
    <row r="45" spans="1:2">
      <c r="A45" s="543">
        <v>10501101</v>
      </c>
      <c r="B45" t="s">
        <v>522</v>
      </c>
    </row>
    <row r="46" spans="1:2">
      <c r="A46" s="543">
        <v>10501102</v>
      </c>
      <c r="B46" t="s">
        <v>523</v>
      </c>
    </row>
    <row r="47" spans="1:2">
      <c r="A47" s="543">
        <v>10501103</v>
      </c>
      <c r="B47" t="s">
        <v>524</v>
      </c>
    </row>
    <row r="48" spans="1:2">
      <c r="A48" s="543">
        <v>10501104</v>
      </c>
      <c r="B48" t="s">
        <v>525</v>
      </c>
    </row>
    <row r="49" spans="1:2">
      <c r="A49" s="543">
        <v>10501105</v>
      </c>
      <c r="B49" t="s">
        <v>526</v>
      </c>
    </row>
    <row r="50" spans="1:2">
      <c r="A50" s="543">
        <v>10501106</v>
      </c>
      <c r="B50" t="s">
        <v>527</v>
      </c>
    </row>
    <row r="51" spans="1:2">
      <c r="A51" s="543">
        <v>10501107</v>
      </c>
      <c r="B51" t="s">
        <v>528</v>
      </c>
    </row>
    <row r="52" spans="1:2">
      <c r="A52">
        <v>10501108</v>
      </c>
      <c r="B52" t="s">
        <v>529</v>
      </c>
    </row>
    <row r="53" spans="1:2">
      <c r="A53">
        <v>10501109</v>
      </c>
      <c r="B53" t="s">
        <v>530</v>
      </c>
    </row>
    <row r="54" spans="1:2">
      <c r="A54">
        <v>10501201</v>
      </c>
      <c r="B54" t="s">
        <v>547</v>
      </c>
    </row>
    <row r="55" spans="1:2">
      <c r="A55">
        <v>10501202</v>
      </c>
      <c r="B55" t="s">
        <v>548</v>
      </c>
    </row>
    <row r="56" spans="1:2">
      <c r="A56">
        <v>10501203</v>
      </c>
      <c r="B56" t="s">
        <v>549</v>
      </c>
    </row>
    <row r="57" spans="1:2">
      <c r="A57">
        <v>10501204</v>
      </c>
      <c r="B57" t="s">
        <v>550</v>
      </c>
    </row>
    <row r="58" spans="1:2">
      <c r="A58">
        <v>10501205</v>
      </c>
      <c r="B58" t="s">
        <v>551</v>
      </c>
    </row>
    <row r="59" spans="1:2">
      <c r="A59">
        <v>10501206</v>
      </c>
      <c r="B59" t="s">
        <v>552</v>
      </c>
    </row>
    <row r="60" spans="1:2">
      <c r="A60">
        <v>10501207</v>
      </c>
      <c r="B60" t="s">
        <v>553</v>
      </c>
    </row>
    <row r="61" spans="1:2">
      <c r="A61">
        <v>10501208</v>
      </c>
      <c r="B61" t="s">
        <v>554</v>
      </c>
    </row>
    <row r="62" spans="1:2">
      <c r="A62">
        <v>10501209</v>
      </c>
      <c r="B62" t="s">
        <v>555</v>
      </c>
    </row>
    <row r="63" spans="1:2">
      <c r="A63">
        <v>10501301</v>
      </c>
      <c r="B63" t="s">
        <v>572</v>
      </c>
    </row>
    <row r="64" spans="1:2">
      <c r="A64">
        <v>10501302</v>
      </c>
      <c r="B64" t="s">
        <v>573</v>
      </c>
    </row>
    <row r="65" spans="1:2">
      <c r="A65">
        <v>10501303</v>
      </c>
      <c r="B65" t="s">
        <v>574</v>
      </c>
    </row>
    <row r="66" spans="1:2">
      <c r="A66">
        <v>10501304</v>
      </c>
      <c r="B66" t="s">
        <v>575</v>
      </c>
    </row>
    <row r="67" spans="1:2">
      <c r="A67">
        <v>10501305</v>
      </c>
      <c r="B67" t="s">
        <v>576</v>
      </c>
    </row>
    <row r="68" spans="1:2">
      <c r="A68">
        <v>10501306</v>
      </c>
      <c r="B68" t="s">
        <v>577</v>
      </c>
    </row>
    <row r="69" spans="1:2">
      <c r="A69">
        <v>10501307</v>
      </c>
      <c r="B69" t="s">
        <v>578</v>
      </c>
    </row>
    <row r="70" spans="1:2">
      <c r="A70">
        <v>10501308</v>
      </c>
      <c r="B70" t="s">
        <v>579</v>
      </c>
    </row>
    <row r="71" spans="1:2">
      <c r="A71">
        <v>10501309</v>
      </c>
      <c r="B71" t="s">
        <v>580</v>
      </c>
    </row>
    <row r="72" spans="1:2">
      <c r="A72">
        <v>10599901</v>
      </c>
      <c r="B72" t="s">
        <v>597</v>
      </c>
    </row>
    <row r="73" spans="1:2">
      <c r="A73">
        <v>10599902</v>
      </c>
      <c r="B73" t="s">
        <v>598</v>
      </c>
    </row>
    <row r="74" spans="1:2">
      <c r="A74">
        <v>10599903</v>
      </c>
      <c r="B74" t="s">
        <v>599</v>
      </c>
    </row>
    <row r="75" spans="1:2">
      <c r="A75">
        <v>10599904</v>
      </c>
      <c r="B75" t="s">
        <v>600</v>
      </c>
    </row>
    <row r="76" spans="1:2">
      <c r="A76">
        <v>10599905</v>
      </c>
      <c r="B76" t="s">
        <v>601</v>
      </c>
    </row>
    <row r="77" spans="1:2">
      <c r="A77">
        <v>10599906</v>
      </c>
      <c r="B77" t="s">
        <v>602</v>
      </c>
    </row>
    <row r="78" spans="1:2">
      <c r="A78">
        <v>10599907</v>
      </c>
      <c r="B78" t="s">
        <v>603</v>
      </c>
    </row>
    <row r="79" spans="1:2">
      <c r="A79">
        <v>10599908</v>
      </c>
      <c r="B79" t="s">
        <v>604</v>
      </c>
    </row>
    <row r="80" spans="1:2">
      <c r="A80">
        <v>10599909</v>
      </c>
      <c r="B80" t="s">
        <v>605</v>
      </c>
    </row>
    <row r="81" spans="1:2">
      <c r="A81">
        <v>10599910</v>
      </c>
      <c r="B81" t="s">
        <v>606</v>
      </c>
    </row>
    <row r="82" spans="1:2">
      <c r="A82">
        <v>10599911</v>
      </c>
      <c r="B82" t="s">
        <v>607</v>
      </c>
    </row>
    <row r="83" spans="1:2">
      <c r="A83">
        <v>10599912</v>
      </c>
      <c r="B83" t="s">
        <v>608</v>
      </c>
    </row>
    <row r="84" spans="1:2">
      <c r="A84">
        <v>10599913</v>
      </c>
      <c r="B84" t="s">
        <v>609</v>
      </c>
    </row>
    <row r="85" spans="1:2">
      <c r="A85">
        <v>10599914</v>
      </c>
      <c r="B85" t="s">
        <v>610</v>
      </c>
    </row>
    <row r="86" spans="1:2">
      <c r="A86">
        <v>10599915</v>
      </c>
      <c r="B86" t="s">
        <v>611</v>
      </c>
    </row>
    <row r="87" spans="1:2">
      <c r="A87">
        <v>10599916</v>
      </c>
      <c r="B87" t="s">
        <v>612</v>
      </c>
    </row>
    <row r="88" spans="1:2">
      <c r="A88">
        <v>10599917</v>
      </c>
      <c r="B88" t="s">
        <v>613</v>
      </c>
    </row>
    <row r="89" spans="1:2">
      <c r="A89">
        <v>10599918</v>
      </c>
      <c r="B89" t="s">
        <v>614</v>
      </c>
    </row>
    <row r="90" spans="1:2">
      <c r="A90">
        <v>10599919</v>
      </c>
      <c r="B90" t="s">
        <v>615</v>
      </c>
    </row>
    <row r="91" spans="1:2">
      <c r="A91">
        <v>10599920</v>
      </c>
      <c r="B91" t="s">
        <v>616</v>
      </c>
    </row>
    <row r="92" spans="1:2">
      <c r="A92">
        <v>10599921</v>
      </c>
      <c r="B92" t="s">
        <v>617</v>
      </c>
    </row>
    <row r="93" spans="1:2">
      <c r="A93">
        <v>10599922</v>
      </c>
      <c r="B93" t="s">
        <v>618</v>
      </c>
    </row>
    <row r="94" spans="1:2">
      <c r="A94">
        <v>10599923</v>
      </c>
      <c r="B94" t="s">
        <v>619</v>
      </c>
    </row>
    <row r="95" spans="1:2">
      <c r="A95">
        <v>10599924</v>
      </c>
      <c r="B95" t="s">
        <v>620</v>
      </c>
    </row>
    <row r="96" spans="1:2">
      <c r="A96">
        <v>10599925</v>
      </c>
      <c r="B96" t="s">
        <v>621</v>
      </c>
    </row>
    <row r="97" spans="1:2">
      <c r="A97">
        <v>10599926</v>
      </c>
      <c r="B97" t="s">
        <v>622</v>
      </c>
    </row>
    <row r="98" spans="1:2">
      <c r="A98">
        <v>10599927</v>
      </c>
      <c r="B98" t="s">
        <v>623</v>
      </c>
    </row>
    <row r="99" spans="1:2">
      <c r="A99">
        <v>10500710</v>
      </c>
      <c r="B99" t="s">
        <v>431</v>
      </c>
    </row>
    <row r="100" spans="1:2">
      <c r="A100">
        <v>10500711</v>
      </c>
      <c r="B100" t="s">
        <v>432</v>
      </c>
    </row>
    <row r="101" spans="1:2">
      <c r="A101">
        <v>10500712</v>
      </c>
      <c r="B101" t="s">
        <v>433</v>
      </c>
    </row>
    <row r="102" spans="1:2">
      <c r="A102">
        <v>10500713</v>
      </c>
      <c r="B102" t="s">
        <v>434</v>
      </c>
    </row>
    <row r="103" spans="1:2">
      <c r="A103">
        <v>10500714</v>
      </c>
      <c r="B103" t="s">
        <v>435</v>
      </c>
    </row>
    <row r="104" spans="1:2">
      <c r="A104">
        <v>10500715</v>
      </c>
      <c r="B104" t="s">
        <v>436</v>
      </c>
    </row>
    <row r="105" spans="1:2">
      <c r="A105">
        <v>10500716</v>
      </c>
      <c r="B105" t="s">
        <v>437</v>
      </c>
    </row>
    <row r="106" spans="1:2">
      <c r="A106">
        <v>10500717</v>
      </c>
      <c r="B106" t="s">
        <v>438</v>
      </c>
    </row>
    <row r="107" spans="1:2">
      <c r="A107">
        <v>10500718</v>
      </c>
      <c r="B107" t="s">
        <v>439</v>
      </c>
    </row>
    <row r="108" spans="1:2">
      <c r="A108">
        <v>10500719</v>
      </c>
      <c r="B108" t="s">
        <v>440</v>
      </c>
    </row>
    <row r="109" spans="1:2">
      <c r="A109">
        <v>10500720</v>
      </c>
      <c r="B109" t="s">
        <v>441</v>
      </c>
    </row>
    <row r="110" spans="1:2">
      <c r="A110">
        <v>10500721</v>
      </c>
      <c r="B110" t="s">
        <v>442</v>
      </c>
    </row>
    <row r="111" spans="1:2">
      <c r="A111">
        <v>10500722</v>
      </c>
      <c r="B111" t="s">
        <v>443</v>
      </c>
    </row>
    <row r="112" spans="1:2">
      <c r="A112">
        <v>10500723</v>
      </c>
      <c r="B112" t="s">
        <v>444</v>
      </c>
    </row>
    <row r="113" spans="1:2">
      <c r="A113">
        <v>10500724</v>
      </c>
      <c r="B113" t="s">
        <v>445</v>
      </c>
    </row>
    <row r="114" spans="1:2">
      <c r="A114">
        <v>10500725</v>
      </c>
      <c r="B114" t="s">
        <v>446</v>
      </c>
    </row>
    <row r="115" spans="1:2">
      <c r="A115">
        <v>10500810</v>
      </c>
      <c r="B115" t="s">
        <v>456</v>
      </c>
    </row>
    <row r="116" spans="1:2">
      <c r="A116">
        <v>10500811</v>
      </c>
      <c r="B116" t="s">
        <v>457</v>
      </c>
    </row>
    <row r="117" spans="1:2">
      <c r="A117">
        <v>10500812</v>
      </c>
      <c r="B117" t="s">
        <v>458</v>
      </c>
    </row>
    <row r="118" spans="1:2">
      <c r="A118">
        <v>10500813</v>
      </c>
      <c r="B118" t="s">
        <v>459</v>
      </c>
    </row>
    <row r="119" spans="1:2">
      <c r="A119">
        <v>10500814</v>
      </c>
      <c r="B119" t="s">
        <v>460</v>
      </c>
    </row>
    <row r="120" spans="1:2">
      <c r="A120">
        <v>10500815</v>
      </c>
      <c r="B120" t="s">
        <v>461</v>
      </c>
    </row>
    <row r="121" spans="1:2">
      <c r="A121">
        <v>10500816</v>
      </c>
      <c r="B121" t="s">
        <v>462</v>
      </c>
    </row>
    <row r="122" spans="1:2">
      <c r="A122">
        <v>10500817</v>
      </c>
      <c r="B122" t="s">
        <v>463</v>
      </c>
    </row>
    <row r="123" spans="1:2">
      <c r="A123">
        <v>10500818</v>
      </c>
      <c r="B123" t="s">
        <v>464</v>
      </c>
    </row>
    <row r="124" spans="1:2">
      <c r="A124">
        <v>10500819</v>
      </c>
      <c r="B124" t="s">
        <v>465</v>
      </c>
    </row>
    <row r="125" spans="1:2">
      <c r="A125">
        <v>10500820</v>
      </c>
      <c r="B125" t="s">
        <v>466</v>
      </c>
    </row>
    <row r="126" spans="1:2">
      <c r="A126">
        <v>10500821</v>
      </c>
      <c r="B126" t="s">
        <v>467</v>
      </c>
    </row>
    <row r="127" spans="1:2">
      <c r="A127">
        <v>10500822</v>
      </c>
      <c r="B127" t="s">
        <v>468</v>
      </c>
    </row>
    <row r="128" spans="1:2">
      <c r="A128">
        <v>10500823</v>
      </c>
      <c r="B128" t="s">
        <v>469</v>
      </c>
    </row>
    <row r="129" spans="1:2">
      <c r="A129">
        <v>10500824</v>
      </c>
      <c r="B129" t="s">
        <v>470</v>
      </c>
    </row>
    <row r="130" spans="1:2">
      <c r="A130">
        <v>10500825</v>
      </c>
      <c r="B130" t="s">
        <v>471</v>
      </c>
    </row>
    <row r="131" spans="1:2">
      <c r="A131">
        <v>10500910</v>
      </c>
      <c r="B131" t="s">
        <v>481</v>
      </c>
    </row>
    <row r="132" spans="1:2">
      <c r="A132">
        <v>10500911</v>
      </c>
      <c r="B132" t="s">
        <v>482</v>
      </c>
    </row>
    <row r="133" spans="1:2">
      <c r="A133">
        <v>10500912</v>
      </c>
      <c r="B133" t="s">
        <v>483</v>
      </c>
    </row>
    <row r="134" spans="1:2">
      <c r="A134">
        <v>10500913</v>
      </c>
      <c r="B134" t="s">
        <v>484</v>
      </c>
    </row>
    <row r="135" spans="1:2">
      <c r="A135">
        <v>10500914</v>
      </c>
      <c r="B135" t="s">
        <v>485</v>
      </c>
    </row>
    <row r="136" spans="1:2">
      <c r="A136">
        <v>10500915</v>
      </c>
      <c r="B136" t="s">
        <v>486</v>
      </c>
    </row>
    <row r="137" spans="1:2">
      <c r="A137">
        <v>10500916</v>
      </c>
      <c r="B137" t="s">
        <v>487</v>
      </c>
    </row>
    <row r="138" spans="1:2">
      <c r="A138">
        <v>10500917</v>
      </c>
      <c r="B138" t="s">
        <v>488</v>
      </c>
    </row>
    <row r="139" spans="1:2">
      <c r="A139">
        <v>10500918</v>
      </c>
      <c r="B139" t="s">
        <v>489</v>
      </c>
    </row>
    <row r="140" spans="1:2">
      <c r="A140">
        <v>10500919</v>
      </c>
      <c r="B140" t="s">
        <v>490</v>
      </c>
    </row>
    <row r="141" spans="1:2">
      <c r="A141">
        <v>10500920</v>
      </c>
      <c r="B141" t="s">
        <v>491</v>
      </c>
    </row>
    <row r="142" spans="1:2">
      <c r="A142">
        <v>10500921</v>
      </c>
      <c r="B142" t="s">
        <v>492</v>
      </c>
    </row>
    <row r="143" spans="1:2">
      <c r="A143">
        <v>10500922</v>
      </c>
      <c r="B143" t="s">
        <v>493</v>
      </c>
    </row>
    <row r="144" spans="1:2">
      <c r="A144">
        <v>10500923</v>
      </c>
      <c r="B144" t="s">
        <v>494</v>
      </c>
    </row>
    <row r="145" spans="1:2">
      <c r="A145">
        <v>10500924</v>
      </c>
      <c r="B145" t="s">
        <v>495</v>
      </c>
    </row>
    <row r="146" spans="1:2">
      <c r="A146">
        <v>10500925</v>
      </c>
      <c r="B146" t="s">
        <v>496</v>
      </c>
    </row>
    <row r="147" spans="1:2">
      <c r="A147">
        <v>10501010</v>
      </c>
      <c r="B147" t="s">
        <v>506</v>
      </c>
    </row>
    <row r="148" spans="1:2">
      <c r="A148">
        <v>10501011</v>
      </c>
      <c r="B148" t="s">
        <v>507</v>
      </c>
    </row>
    <row r="149" spans="1:2">
      <c r="A149">
        <v>10501012</v>
      </c>
      <c r="B149" t="s">
        <v>508</v>
      </c>
    </row>
    <row r="150" spans="1:2">
      <c r="A150">
        <v>10501013</v>
      </c>
      <c r="B150" t="s">
        <v>509</v>
      </c>
    </row>
    <row r="151" spans="1:2">
      <c r="A151">
        <v>10501014</v>
      </c>
      <c r="B151" t="s">
        <v>510</v>
      </c>
    </row>
    <row r="152" spans="1:2">
      <c r="A152">
        <v>10501015</v>
      </c>
      <c r="B152" t="s">
        <v>511</v>
      </c>
    </row>
    <row r="153" spans="1:2">
      <c r="A153">
        <v>10501016</v>
      </c>
      <c r="B153" t="s">
        <v>512</v>
      </c>
    </row>
    <row r="154" spans="1:2">
      <c r="A154">
        <v>10501017</v>
      </c>
      <c r="B154" t="s">
        <v>513</v>
      </c>
    </row>
    <row r="155" spans="1:2">
      <c r="A155">
        <v>10501018</v>
      </c>
      <c r="B155" t="s">
        <v>514</v>
      </c>
    </row>
    <row r="156" spans="1:2">
      <c r="A156">
        <v>10501019</v>
      </c>
      <c r="B156" t="s">
        <v>515</v>
      </c>
    </row>
    <row r="157" spans="1:2">
      <c r="A157">
        <v>10501020</v>
      </c>
      <c r="B157" t="s">
        <v>516</v>
      </c>
    </row>
    <row r="158" spans="1:2">
      <c r="A158">
        <v>10501021</v>
      </c>
      <c r="B158" t="s">
        <v>517</v>
      </c>
    </row>
    <row r="159" spans="1:2">
      <c r="A159">
        <v>10501022</v>
      </c>
      <c r="B159" t="s">
        <v>518</v>
      </c>
    </row>
    <row r="160" spans="1:2">
      <c r="A160">
        <v>10501023</v>
      </c>
      <c r="B160" t="s">
        <v>519</v>
      </c>
    </row>
    <row r="161" spans="1:2">
      <c r="A161">
        <v>10501024</v>
      </c>
      <c r="B161" t="s">
        <v>520</v>
      </c>
    </row>
    <row r="162" spans="1:2">
      <c r="A162">
        <v>10501025</v>
      </c>
      <c r="B162" t="s">
        <v>521</v>
      </c>
    </row>
    <row r="163" spans="1:2">
      <c r="A163">
        <v>10501110</v>
      </c>
      <c r="B163" t="s">
        <v>531</v>
      </c>
    </row>
    <row r="164" spans="1:2">
      <c r="A164">
        <v>10501111</v>
      </c>
      <c r="B164" t="s">
        <v>532</v>
      </c>
    </row>
    <row r="165" spans="1:2">
      <c r="A165">
        <v>10501112</v>
      </c>
      <c r="B165" t="s">
        <v>533</v>
      </c>
    </row>
    <row r="166" spans="1:2">
      <c r="A166">
        <v>10501113</v>
      </c>
      <c r="B166" t="s">
        <v>534</v>
      </c>
    </row>
    <row r="167" spans="1:2">
      <c r="A167">
        <v>10501114</v>
      </c>
      <c r="B167" t="s">
        <v>535</v>
      </c>
    </row>
    <row r="168" spans="1:2">
      <c r="A168">
        <v>10501115</v>
      </c>
      <c r="B168" t="s">
        <v>536</v>
      </c>
    </row>
    <row r="169" spans="1:2">
      <c r="A169">
        <v>10501116</v>
      </c>
      <c r="B169" t="s">
        <v>537</v>
      </c>
    </row>
    <row r="170" spans="1:2">
      <c r="A170">
        <v>10501117</v>
      </c>
      <c r="B170" t="s">
        <v>538</v>
      </c>
    </row>
    <row r="171" spans="1:2">
      <c r="A171">
        <v>10501118</v>
      </c>
      <c r="B171" t="s">
        <v>539</v>
      </c>
    </row>
    <row r="172" spans="1:2">
      <c r="A172">
        <v>10501119</v>
      </c>
      <c r="B172" t="s">
        <v>540</v>
      </c>
    </row>
    <row r="173" spans="1:2">
      <c r="A173">
        <v>10501120</v>
      </c>
      <c r="B173" t="s">
        <v>541</v>
      </c>
    </row>
    <row r="174" spans="1:2">
      <c r="A174">
        <v>10501121</v>
      </c>
      <c r="B174" t="s">
        <v>542</v>
      </c>
    </row>
    <row r="175" spans="1:2">
      <c r="A175">
        <v>10501122</v>
      </c>
      <c r="B175" t="s">
        <v>543</v>
      </c>
    </row>
    <row r="176" spans="1:2">
      <c r="A176">
        <v>10501123</v>
      </c>
      <c r="B176" t="s">
        <v>544</v>
      </c>
    </row>
    <row r="177" spans="1:2">
      <c r="A177">
        <v>10501124</v>
      </c>
      <c r="B177" t="s">
        <v>545</v>
      </c>
    </row>
    <row r="178" spans="1:2">
      <c r="A178">
        <v>10501125</v>
      </c>
      <c r="B178" t="s">
        <v>546</v>
      </c>
    </row>
    <row r="179" spans="1:2">
      <c r="A179">
        <v>10501210</v>
      </c>
      <c r="B179" t="s">
        <v>556</v>
      </c>
    </row>
    <row r="180" spans="1:2">
      <c r="A180">
        <v>10501211</v>
      </c>
      <c r="B180" t="s">
        <v>557</v>
      </c>
    </row>
    <row r="181" spans="1:2">
      <c r="A181">
        <v>10501212</v>
      </c>
      <c r="B181" t="s">
        <v>558</v>
      </c>
    </row>
    <row r="182" spans="1:2">
      <c r="A182">
        <v>10501213</v>
      </c>
      <c r="B182" t="s">
        <v>559</v>
      </c>
    </row>
    <row r="183" spans="1:2">
      <c r="A183">
        <v>10501214</v>
      </c>
      <c r="B183" t="s">
        <v>560</v>
      </c>
    </row>
    <row r="184" spans="1:2">
      <c r="A184">
        <v>10501215</v>
      </c>
      <c r="B184" t="s">
        <v>561</v>
      </c>
    </row>
    <row r="185" spans="1:2">
      <c r="A185">
        <v>10501216</v>
      </c>
      <c r="B185" t="s">
        <v>562</v>
      </c>
    </row>
    <row r="186" spans="1:2">
      <c r="A186">
        <v>10501217</v>
      </c>
      <c r="B186" t="s">
        <v>563</v>
      </c>
    </row>
    <row r="187" spans="1:2">
      <c r="A187">
        <v>10501218</v>
      </c>
      <c r="B187" t="s">
        <v>564</v>
      </c>
    </row>
    <row r="188" spans="1:2">
      <c r="A188">
        <v>10501219</v>
      </c>
      <c r="B188" t="s">
        <v>565</v>
      </c>
    </row>
    <row r="189" spans="1:2">
      <c r="A189">
        <v>10501220</v>
      </c>
      <c r="B189" t="s">
        <v>566</v>
      </c>
    </row>
    <row r="190" spans="1:2">
      <c r="A190">
        <v>10501221</v>
      </c>
      <c r="B190" t="s">
        <v>567</v>
      </c>
    </row>
    <row r="191" spans="1:2">
      <c r="A191">
        <v>10501222</v>
      </c>
      <c r="B191" t="s">
        <v>568</v>
      </c>
    </row>
    <row r="192" spans="1:2">
      <c r="A192">
        <v>10501223</v>
      </c>
      <c r="B192" t="s">
        <v>569</v>
      </c>
    </row>
    <row r="193" spans="1:2">
      <c r="A193">
        <v>10501224</v>
      </c>
      <c r="B193" t="s">
        <v>570</v>
      </c>
    </row>
    <row r="194" spans="1:2">
      <c r="A194">
        <v>10501225</v>
      </c>
      <c r="B194" t="s">
        <v>571</v>
      </c>
    </row>
    <row r="195" spans="1:2">
      <c r="A195">
        <v>10501310</v>
      </c>
      <c r="B195" t="s">
        <v>581</v>
      </c>
    </row>
    <row r="196" spans="1:2">
      <c r="A196">
        <v>10501311</v>
      </c>
      <c r="B196" t="s">
        <v>582</v>
      </c>
    </row>
    <row r="197" spans="1:2">
      <c r="A197">
        <v>10501312</v>
      </c>
      <c r="B197" t="s">
        <v>583</v>
      </c>
    </row>
    <row r="198" spans="1:2">
      <c r="A198">
        <v>10501313</v>
      </c>
      <c r="B198" t="s">
        <v>584</v>
      </c>
    </row>
    <row r="199" spans="1:2">
      <c r="A199">
        <v>10501314</v>
      </c>
      <c r="B199" t="s">
        <v>585</v>
      </c>
    </row>
    <row r="200" spans="1:2">
      <c r="A200">
        <v>10501315</v>
      </c>
      <c r="B200" t="s">
        <v>586</v>
      </c>
    </row>
    <row r="201" spans="1:2">
      <c r="A201">
        <v>10501316</v>
      </c>
      <c r="B201" t="s">
        <v>587</v>
      </c>
    </row>
    <row r="202" spans="1:2">
      <c r="A202">
        <v>10501317</v>
      </c>
      <c r="B202" t="s">
        <v>588</v>
      </c>
    </row>
    <row r="203" spans="1:2">
      <c r="A203">
        <v>10501318</v>
      </c>
      <c r="B203" t="s">
        <v>589</v>
      </c>
    </row>
    <row r="204" spans="1:2">
      <c r="A204">
        <v>10501319</v>
      </c>
      <c r="B204" t="s">
        <v>590</v>
      </c>
    </row>
    <row r="205" spans="1:2">
      <c r="A205">
        <v>10501320</v>
      </c>
      <c r="B205" t="s">
        <v>591</v>
      </c>
    </row>
    <row r="206" spans="1:2">
      <c r="A206">
        <v>10501321</v>
      </c>
      <c r="B206" t="s">
        <v>592</v>
      </c>
    </row>
    <row r="207" spans="1:2">
      <c r="A207">
        <v>10501322</v>
      </c>
      <c r="B207" t="s">
        <v>593</v>
      </c>
    </row>
    <row r="208" spans="1:2">
      <c r="A208">
        <v>10501323</v>
      </c>
      <c r="B208" t="s">
        <v>594</v>
      </c>
    </row>
    <row r="209" spans="1:2">
      <c r="A209">
        <v>10501324</v>
      </c>
      <c r="B209" t="s">
        <v>595</v>
      </c>
    </row>
    <row r="210" spans="1:2">
      <c r="A210">
        <v>10501325</v>
      </c>
      <c r="B210" t="s">
        <v>596</v>
      </c>
    </row>
    <row r="211" spans="1:2">
      <c r="A211">
        <v>10599928</v>
      </c>
      <c r="B211" t="s">
        <v>624</v>
      </c>
    </row>
    <row r="212" spans="1:2">
      <c r="A212">
        <v>10599929</v>
      </c>
      <c r="B212" t="s">
        <v>625</v>
      </c>
    </row>
    <row r="213" spans="1:2">
      <c r="A213">
        <v>10599930</v>
      </c>
      <c r="B213" t="s">
        <v>626</v>
      </c>
    </row>
    <row r="214" spans="1:2">
      <c r="A214">
        <v>10599931</v>
      </c>
      <c r="B214" t="s">
        <v>627</v>
      </c>
    </row>
    <row r="215" spans="1:2">
      <c r="A215">
        <v>10599932</v>
      </c>
      <c r="B215" t="s">
        <v>628</v>
      </c>
    </row>
    <row r="216" spans="1:2">
      <c r="A216">
        <v>10599933</v>
      </c>
      <c r="B216" t="s">
        <v>629</v>
      </c>
    </row>
    <row r="217" spans="1:2">
      <c r="A217">
        <v>10599934</v>
      </c>
      <c r="B217" t="s">
        <v>630</v>
      </c>
    </row>
    <row r="218" spans="1:2">
      <c r="A218">
        <v>10599935</v>
      </c>
      <c r="B218" t="s">
        <v>631</v>
      </c>
    </row>
    <row r="219" spans="1:2">
      <c r="A219">
        <v>10599936</v>
      </c>
      <c r="B219" t="s">
        <v>632</v>
      </c>
    </row>
    <row r="220" spans="1:2">
      <c r="A220">
        <v>10599937</v>
      </c>
      <c r="B220" t="s">
        <v>633</v>
      </c>
    </row>
    <row r="221" spans="1:2">
      <c r="A221">
        <v>10599938</v>
      </c>
      <c r="B221" t="s">
        <v>634</v>
      </c>
    </row>
    <row r="222" spans="1:2">
      <c r="A222">
        <v>10599939</v>
      </c>
      <c r="B222" t="s">
        <v>635</v>
      </c>
    </row>
    <row r="223" spans="1:2">
      <c r="A223">
        <v>10599940</v>
      </c>
      <c r="B223" t="s">
        <v>636</v>
      </c>
    </row>
    <row r="224" spans="1:2">
      <c r="A224">
        <v>10599941</v>
      </c>
      <c r="B224" t="s">
        <v>637</v>
      </c>
    </row>
    <row r="225" spans="1:2">
      <c r="A225">
        <v>10599942</v>
      </c>
      <c r="B225" t="s">
        <v>638</v>
      </c>
    </row>
    <row r="226" spans="1:2">
      <c r="A226">
        <v>10599943</v>
      </c>
      <c r="B226" t="s">
        <v>639</v>
      </c>
    </row>
    <row r="227" spans="1:2">
      <c r="A227">
        <v>11001401</v>
      </c>
      <c r="B227" t="s">
        <v>640</v>
      </c>
    </row>
    <row r="228" spans="1:2">
      <c r="A228">
        <v>11001402</v>
      </c>
      <c r="B228" t="s">
        <v>641</v>
      </c>
    </row>
    <row r="229" spans="1:2">
      <c r="A229">
        <v>11001403</v>
      </c>
      <c r="B229" t="s">
        <v>642</v>
      </c>
    </row>
    <row r="230" spans="1:2">
      <c r="A230">
        <v>11001404</v>
      </c>
      <c r="B230" t="s">
        <v>643</v>
      </c>
    </row>
    <row r="231" spans="1:2">
      <c r="A231">
        <v>11001405</v>
      </c>
      <c r="B231" t="s">
        <v>644</v>
      </c>
    </row>
    <row r="232" spans="1:2">
      <c r="A232">
        <v>11001406</v>
      </c>
      <c r="B232" t="s">
        <v>645</v>
      </c>
    </row>
    <row r="233" spans="1:2">
      <c r="A233">
        <v>11001407</v>
      </c>
      <c r="B233" t="s">
        <v>646</v>
      </c>
    </row>
    <row r="234" spans="1:2">
      <c r="A234">
        <v>11001408</v>
      </c>
      <c r="B234" t="s">
        <v>647</v>
      </c>
    </row>
    <row r="235" spans="1:2">
      <c r="A235">
        <v>11001501</v>
      </c>
      <c r="B235" t="s">
        <v>648</v>
      </c>
    </row>
    <row r="236" spans="1:2">
      <c r="A236">
        <v>11001502</v>
      </c>
      <c r="B236" t="s">
        <v>649</v>
      </c>
    </row>
    <row r="237" spans="1:2">
      <c r="A237">
        <v>11001503</v>
      </c>
      <c r="B237" t="s">
        <v>650</v>
      </c>
    </row>
    <row r="238" spans="1:2">
      <c r="A238">
        <v>11001504</v>
      </c>
      <c r="B238" t="s">
        <v>651</v>
      </c>
    </row>
    <row r="239" spans="1:2">
      <c r="A239">
        <v>11001601</v>
      </c>
      <c r="B239" t="s">
        <v>652</v>
      </c>
    </row>
    <row r="240" spans="1:2">
      <c r="A240">
        <v>11001602</v>
      </c>
      <c r="B240" t="s">
        <v>653</v>
      </c>
    </row>
    <row r="241" spans="1:2">
      <c r="A241">
        <v>11001603</v>
      </c>
      <c r="B241" t="s">
        <v>2077</v>
      </c>
    </row>
    <row r="242" spans="1:2">
      <c r="A242">
        <v>11001701</v>
      </c>
      <c r="B242" t="s">
        <v>654</v>
      </c>
    </row>
    <row r="243" spans="1:2">
      <c r="A243">
        <v>11001702</v>
      </c>
      <c r="B243" t="s">
        <v>2078</v>
      </c>
    </row>
    <row r="244" spans="1:2">
      <c r="A244">
        <v>11001703</v>
      </c>
      <c r="B244" t="s">
        <v>2079</v>
      </c>
    </row>
    <row r="245" spans="1:2">
      <c r="A245">
        <v>11001801</v>
      </c>
      <c r="B245" t="s">
        <v>655</v>
      </c>
    </row>
    <row r="246" spans="1:2">
      <c r="A246">
        <v>11001802</v>
      </c>
      <c r="B246" t="s">
        <v>2080</v>
      </c>
    </row>
    <row r="247" spans="1:2">
      <c r="A247">
        <v>11001901</v>
      </c>
      <c r="B247" t="s">
        <v>656</v>
      </c>
    </row>
    <row r="248" spans="1:2">
      <c r="A248">
        <v>11002001</v>
      </c>
      <c r="B248" t="s">
        <v>657</v>
      </c>
    </row>
    <row r="249" spans="1:2">
      <c r="A249">
        <v>11002002</v>
      </c>
      <c r="B249" t="s">
        <v>658</v>
      </c>
    </row>
    <row r="250" spans="1:2">
      <c r="A250">
        <v>11002101</v>
      </c>
      <c r="B250" t="s">
        <v>2081</v>
      </c>
    </row>
    <row r="251" spans="1:2">
      <c r="A251">
        <v>11002102</v>
      </c>
      <c r="B251" t="s">
        <v>2082</v>
      </c>
    </row>
    <row r="252" spans="1:2">
      <c r="A252">
        <v>11002103</v>
      </c>
      <c r="B252" t="s">
        <v>2083</v>
      </c>
    </row>
    <row r="253" spans="1:2">
      <c r="A253">
        <v>11007701</v>
      </c>
      <c r="B253" t="s">
        <v>690</v>
      </c>
    </row>
    <row r="254" spans="1:2">
      <c r="A254">
        <v>11007801</v>
      </c>
      <c r="B254" t="s">
        <v>691</v>
      </c>
    </row>
    <row r="255" spans="1:2">
      <c r="A255">
        <v>11007901</v>
      </c>
      <c r="B255" t="s">
        <v>692</v>
      </c>
    </row>
    <row r="256" spans="1:2">
      <c r="A256">
        <v>11002201</v>
      </c>
      <c r="B256" t="s">
        <v>659</v>
      </c>
    </row>
    <row r="257" spans="1:2">
      <c r="A257">
        <v>11002301</v>
      </c>
      <c r="B257" t="s">
        <v>660</v>
      </c>
    </row>
    <row r="258" spans="1:2">
      <c r="A258">
        <v>11002401</v>
      </c>
      <c r="B258" t="s">
        <v>2084</v>
      </c>
    </row>
    <row r="259" spans="1:2">
      <c r="A259">
        <v>11002501</v>
      </c>
      <c r="B259" t="s">
        <v>661</v>
      </c>
    </row>
    <row r="260" spans="1:2">
      <c r="A260">
        <v>11002601</v>
      </c>
      <c r="B260" t="s">
        <v>662</v>
      </c>
    </row>
    <row r="261" spans="1:2">
      <c r="A261">
        <v>11002701</v>
      </c>
      <c r="B261" t="s">
        <v>663</v>
      </c>
    </row>
    <row r="262" spans="1:2">
      <c r="A262">
        <v>11002801</v>
      </c>
      <c r="B262" t="s">
        <v>664</v>
      </c>
    </row>
    <row r="263" spans="1:2">
      <c r="A263">
        <v>11002901</v>
      </c>
      <c r="B263" t="s">
        <v>665</v>
      </c>
    </row>
    <row r="264" spans="1:2">
      <c r="A264">
        <v>11003001</v>
      </c>
      <c r="B264" t="s">
        <v>666</v>
      </c>
    </row>
    <row r="265" spans="1:2">
      <c r="A265">
        <v>11003101</v>
      </c>
      <c r="B265" t="s">
        <v>667</v>
      </c>
    </row>
    <row r="266" spans="1:2">
      <c r="A266">
        <v>11003201</v>
      </c>
      <c r="B266" t="s">
        <v>668</v>
      </c>
    </row>
    <row r="267" spans="1:2">
      <c r="A267">
        <v>11003301</v>
      </c>
      <c r="B267" t="s">
        <v>669</v>
      </c>
    </row>
    <row r="268" spans="1:2">
      <c r="A268">
        <v>11003401</v>
      </c>
      <c r="B268" t="s">
        <v>670</v>
      </c>
    </row>
    <row r="269" spans="1:2">
      <c r="A269">
        <v>11003501</v>
      </c>
      <c r="B269" t="s">
        <v>671</v>
      </c>
    </row>
    <row r="270" spans="1:2">
      <c r="A270">
        <v>11003601</v>
      </c>
      <c r="B270" t="s">
        <v>672</v>
      </c>
    </row>
    <row r="271" spans="1:2">
      <c r="A271">
        <v>11003701</v>
      </c>
      <c r="B271" t="s">
        <v>673</v>
      </c>
    </row>
    <row r="272" spans="1:2">
      <c r="A272">
        <v>11003801</v>
      </c>
      <c r="B272" t="s">
        <v>674</v>
      </c>
    </row>
    <row r="273" spans="1:2">
      <c r="A273">
        <v>11003901</v>
      </c>
      <c r="B273" t="s">
        <v>675</v>
      </c>
    </row>
    <row r="274" spans="1:2">
      <c r="A274">
        <v>11004001</v>
      </c>
      <c r="B274" t="s">
        <v>676</v>
      </c>
    </row>
    <row r="275" spans="1:2">
      <c r="A275">
        <v>11004101</v>
      </c>
      <c r="B275" t="s">
        <v>677</v>
      </c>
    </row>
    <row r="276" spans="1:2">
      <c r="A276">
        <v>11004201</v>
      </c>
      <c r="B276" t="s">
        <v>678</v>
      </c>
    </row>
    <row r="277" spans="1:2">
      <c r="A277">
        <v>11004301</v>
      </c>
      <c r="B277" t="s">
        <v>679</v>
      </c>
    </row>
    <row r="278" spans="1:2">
      <c r="A278">
        <v>11004401</v>
      </c>
      <c r="B278" t="s">
        <v>680</v>
      </c>
    </row>
    <row r="279" spans="1:2">
      <c r="A279">
        <v>11004501</v>
      </c>
      <c r="B279" t="s">
        <v>681</v>
      </c>
    </row>
    <row r="280" spans="1:2">
      <c r="A280">
        <v>11004601</v>
      </c>
      <c r="B280" t="s">
        <v>682</v>
      </c>
    </row>
    <row r="281" spans="1:2">
      <c r="A281">
        <v>11004701</v>
      </c>
      <c r="B281" t="s">
        <v>683</v>
      </c>
    </row>
    <row r="282" spans="1:2">
      <c r="A282">
        <v>11004801</v>
      </c>
      <c r="B282" t="s">
        <v>684</v>
      </c>
    </row>
    <row r="283" spans="1:2">
      <c r="A283">
        <v>11004802</v>
      </c>
      <c r="B283" t="s">
        <v>685</v>
      </c>
    </row>
    <row r="284" spans="1:2">
      <c r="A284">
        <v>11004803</v>
      </c>
      <c r="B284" t="s">
        <v>686</v>
      </c>
    </row>
    <row r="285" spans="1:2">
      <c r="A285">
        <v>11004804</v>
      </c>
      <c r="B285" t="s">
        <v>687</v>
      </c>
    </row>
    <row r="286" spans="1:2">
      <c r="A286">
        <v>11004901</v>
      </c>
      <c r="B286" t="s">
        <v>688</v>
      </c>
    </row>
    <row r="287" spans="1:2">
      <c r="A287">
        <v>11005001</v>
      </c>
      <c r="B287" t="s">
        <v>689</v>
      </c>
    </row>
    <row r="288" spans="1:2">
      <c r="A288">
        <v>11099901</v>
      </c>
      <c r="B288" t="s">
        <v>693</v>
      </c>
    </row>
    <row r="289" spans="1:2">
      <c r="A289">
        <v>11004901</v>
      </c>
      <c r="B289" t="s">
        <v>2085</v>
      </c>
    </row>
    <row r="290" spans="1:2">
      <c r="A290">
        <v>11004902</v>
      </c>
      <c r="B290" t="s">
        <v>2086</v>
      </c>
    </row>
    <row r="291" spans="1:2">
      <c r="A291">
        <v>11004903</v>
      </c>
      <c r="B291" t="s">
        <v>2087</v>
      </c>
    </row>
    <row r="292" spans="1:2">
      <c r="A292">
        <v>11004904</v>
      </c>
      <c r="B292" t="s">
        <v>2088</v>
      </c>
    </row>
    <row r="293" spans="1:2">
      <c r="A293">
        <v>11004905</v>
      </c>
      <c r="B293" t="s">
        <v>2089</v>
      </c>
    </row>
    <row r="294" spans="1:2">
      <c r="A294">
        <v>11004906</v>
      </c>
      <c r="B294" t="s">
        <v>2090</v>
      </c>
    </row>
    <row r="295" spans="1:2">
      <c r="A295">
        <v>11004907</v>
      </c>
      <c r="B295" t="s">
        <v>2091</v>
      </c>
    </row>
    <row r="296" spans="1:2">
      <c r="A296">
        <v>11004908</v>
      </c>
      <c r="B296" t="s">
        <v>2092</v>
      </c>
    </row>
    <row r="297" spans="1:2">
      <c r="A297">
        <v>11004909</v>
      </c>
      <c r="B297" t="s">
        <v>2093</v>
      </c>
    </row>
    <row r="298" spans="1:2">
      <c r="A298">
        <v>11004910</v>
      </c>
      <c r="B298" t="s">
        <v>2094</v>
      </c>
    </row>
    <row r="299" spans="1:2">
      <c r="A299">
        <v>11004911</v>
      </c>
      <c r="B299" t="s">
        <v>2095</v>
      </c>
    </row>
    <row r="300" spans="1:2">
      <c r="A300">
        <v>11005001</v>
      </c>
      <c r="B300" t="s">
        <v>2096</v>
      </c>
    </row>
    <row r="301" spans="1:2">
      <c r="A301">
        <v>11005002</v>
      </c>
      <c r="B301" t="s">
        <v>2097</v>
      </c>
    </row>
    <row r="302" spans="1:2">
      <c r="A302">
        <v>11005003</v>
      </c>
      <c r="B302" t="s">
        <v>2098</v>
      </c>
    </row>
    <row r="303" spans="1:2">
      <c r="A303">
        <v>11005004</v>
      </c>
      <c r="B303" t="s">
        <v>2099</v>
      </c>
    </row>
    <row r="304" spans="1:2">
      <c r="A304">
        <v>11005005</v>
      </c>
      <c r="B304" t="s">
        <v>2100</v>
      </c>
    </row>
    <row r="305" spans="1:2">
      <c r="A305">
        <v>11005006</v>
      </c>
      <c r="B305" t="s">
        <v>2101</v>
      </c>
    </row>
    <row r="306" spans="1:2">
      <c r="A306">
        <v>11005007</v>
      </c>
      <c r="B306" t="s">
        <v>2102</v>
      </c>
    </row>
    <row r="307" spans="1:2">
      <c r="A307">
        <v>11005008</v>
      </c>
      <c r="B307" t="s">
        <v>2103</v>
      </c>
    </row>
    <row r="308" spans="1:2">
      <c r="A308">
        <v>11005009</v>
      </c>
      <c r="B308" t="s">
        <v>2104</v>
      </c>
    </row>
    <row r="309" spans="1:2">
      <c r="A309">
        <v>11005010</v>
      </c>
      <c r="B309" t="s">
        <v>2105</v>
      </c>
    </row>
    <row r="310" spans="1:2">
      <c r="A310">
        <v>11005011</v>
      </c>
      <c r="B310" t="s">
        <v>2106</v>
      </c>
    </row>
    <row r="311" spans="1:2">
      <c r="A311">
        <v>11099901</v>
      </c>
      <c r="B311" t="s">
        <v>2107</v>
      </c>
    </row>
    <row r="312" spans="1:2">
      <c r="A312">
        <v>11099902</v>
      </c>
      <c r="B312" t="s">
        <v>2108</v>
      </c>
    </row>
    <row r="313" spans="1:2">
      <c r="A313">
        <v>11099903</v>
      </c>
      <c r="B313" t="s">
        <v>2109</v>
      </c>
    </row>
    <row r="314" spans="1:2">
      <c r="A314">
        <v>11099904</v>
      </c>
      <c r="B314" t="s">
        <v>2110</v>
      </c>
    </row>
    <row r="315" spans="1:2">
      <c r="A315">
        <v>11099905</v>
      </c>
      <c r="B315" t="s">
        <v>2111</v>
      </c>
    </row>
    <row r="316" spans="1:2">
      <c r="A316">
        <v>11099912</v>
      </c>
      <c r="B316" t="s">
        <v>2112</v>
      </c>
    </row>
    <row r="317" spans="1:2">
      <c r="A317">
        <v>11099906</v>
      </c>
      <c r="B317" t="s">
        <v>2113</v>
      </c>
    </row>
    <row r="318" spans="1:2">
      <c r="A318">
        <v>11099907</v>
      </c>
      <c r="B318" t="s">
        <v>2114</v>
      </c>
    </row>
    <row r="319" spans="1:2">
      <c r="A319">
        <v>11099908</v>
      </c>
      <c r="B319" t="s">
        <v>2115</v>
      </c>
    </row>
    <row r="320" spans="1:2">
      <c r="A320">
        <v>11099909</v>
      </c>
      <c r="B320" t="s">
        <v>2116</v>
      </c>
    </row>
    <row r="321" spans="1:2">
      <c r="A321">
        <v>11099913</v>
      </c>
      <c r="B321" t="s">
        <v>2117</v>
      </c>
    </row>
    <row r="322" spans="1:2">
      <c r="A322">
        <v>11099914</v>
      </c>
      <c r="B322" t="s">
        <v>2118</v>
      </c>
    </row>
    <row r="323" spans="1:2">
      <c r="A323">
        <v>11099915</v>
      </c>
      <c r="B323" t="s">
        <v>2119</v>
      </c>
    </row>
    <row r="324" spans="1:2">
      <c r="A324">
        <v>11099910</v>
      </c>
      <c r="B324" t="s">
        <v>2120</v>
      </c>
    </row>
    <row r="325" spans="1:2">
      <c r="A325">
        <v>11099911</v>
      </c>
      <c r="B325" t="s">
        <v>2121</v>
      </c>
    </row>
    <row r="326" spans="1:2">
      <c r="A326">
        <v>11099916</v>
      </c>
      <c r="B326" t="s">
        <v>2122</v>
      </c>
    </row>
    <row r="327" spans="1:2">
      <c r="A327">
        <v>11099917</v>
      </c>
      <c r="B327" t="s">
        <v>2123</v>
      </c>
    </row>
    <row r="328" spans="1:2">
      <c r="A328">
        <v>11099918</v>
      </c>
      <c r="B328" t="s">
        <v>2124</v>
      </c>
    </row>
    <row r="329" spans="1:2">
      <c r="A329">
        <v>11505101</v>
      </c>
      <c r="B329" t="s">
        <v>694</v>
      </c>
    </row>
    <row r="330" spans="1:2">
      <c r="A330">
        <v>11505201</v>
      </c>
      <c r="B330" t="s">
        <v>695</v>
      </c>
    </row>
    <row r="331" spans="1:2">
      <c r="A331">
        <v>11505301</v>
      </c>
      <c r="B331" t="s">
        <v>696</v>
      </c>
    </row>
    <row r="332" spans="1:2">
      <c r="A332">
        <v>11505401</v>
      </c>
      <c r="B332" t="s">
        <v>697</v>
      </c>
    </row>
    <row r="333" spans="1:2">
      <c r="A333">
        <v>11508001</v>
      </c>
      <c r="B333" t="s">
        <v>2125</v>
      </c>
    </row>
    <row r="334" spans="1:2">
      <c r="A334">
        <v>12005501</v>
      </c>
      <c r="B334" t="s">
        <v>698</v>
      </c>
    </row>
    <row r="335" spans="1:2">
      <c r="A335">
        <v>12005601</v>
      </c>
      <c r="B335" t="s">
        <v>699</v>
      </c>
    </row>
    <row r="336" spans="1:2">
      <c r="A336">
        <v>12005602</v>
      </c>
      <c r="B336" t="s">
        <v>700</v>
      </c>
    </row>
    <row r="337" spans="1:2">
      <c r="A337">
        <v>12005603</v>
      </c>
      <c r="B337" t="s">
        <v>701</v>
      </c>
    </row>
    <row r="338" spans="1:2">
      <c r="A338">
        <v>12005604</v>
      </c>
      <c r="B338" t="s">
        <v>702</v>
      </c>
    </row>
    <row r="339" spans="1:2">
      <c r="A339">
        <v>12005701</v>
      </c>
      <c r="B339" t="s">
        <v>703</v>
      </c>
    </row>
    <row r="340" spans="1:2">
      <c r="A340">
        <v>12005702</v>
      </c>
      <c r="B340" t="s">
        <v>704</v>
      </c>
    </row>
    <row r="341" spans="1:2">
      <c r="A341">
        <v>12005703</v>
      </c>
      <c r="B341" t="s">
        <v>705</v>
      </c>
    </row>
    <row r="342" spans="1:2">
      <c r="A342">
        <v>12005801</v>
      </c>
      <c r="B342" t="s">
        <v>706</v>
      </c>
    </row>
    <row r="343" spans="1:2">
      <c r="A343">
        <v>12099901</v>
      </c>
      <c r="B343" t="s">
        <v>707</v>
      </c>
    </row>
    <row r="344" spans="1:2">
      <c r="A344">
        <v>12099902</v>
      </c>
      <c r="B344" t="s">
        <v>708</v>
      </c>
    </row>
    <row r="345" spans="1:2">
      <c r="A345">
        <v>12505901</v>
      </c>
      <c r="B345" t="s">
        <v>709</v>
      </c>
    </row>
    <row r="346" spans="1:2">
      <c r="A346">
        <v>12505902</v>
      </c>
      <c r="B346" t="s">
        <v>710</v>
      </c>
    </row>
    <row r="347" spans="1:2">
      <c r="A347">
        <v>12505903</v>
      </c>
      <c r="B347" t="s">
        <v>711</v>
      </c>
    </row>
    <row r="348" spans="1:2">
      <c r="A348">
        <v>12505904</v>
      </c>
      <c r="B348" t="s">
        <v>712</v>
      </c>
    </row>
    <row r="349" spans="1:2">
      <c r="A349">
        <v>12505905</v>
      </c>
      <c r="B349" t="s">
        <v>713</v>
      </c>
    </row>
    <row r="350" spans="1:2">
      <c r="A350">
        <v>12505906</v>
      </c>
      <c r="B350" t="s">
        <v>714</v>
      </c>
    </row>
    <row r="351" spans="1:2">
      <c r="A351">
        <v>12505907</v>
      </c>
      <c r="B351" t="s">
        <v>715</v>
      </c>
    </row>
    <row r="352" spans="1:2">
      <c r="A352">
        <v>12505908</v>
      </c>
      <c r="B352" t="s">
        <v>716</v>
      </c>
    </row>
    <row r="353" spans="1:2">
      <c r="A353">
        <v>12505909</v>
      </c>
      <c r="B353" t="s">
        <v>717</v>
      </c>
    </row>
    <row r="354" spans="1:2">
      <c r="A354">
        <v>12505910</v>
      </c>
      <c r="B354" t="s">
        <v>718</v>
      </c>
    </row>
    <row r="355" spans="1:2">
      <c r="A355">
        <v>12505911</v>
      </c>
      <c r="B355" t="s">
        <v>719</v>
      </c>
    </row>
    <row r="356" spans="1:2">
      <c r="A356">
        <v>12505912</v>
      </c>
      <c r="B356" t="s">
        <v>720</v>
      </c>
    </row>
    <row r="357" spans="1:2">
      <c r="A357">
        <v>12505913</v>
      </c>
      <c r="B357" t="s">
        <v>721</v>
      </c>
    </row>
    <row r="358" spans="1:2">
      <c r="A358">
        <v>12505914</v>
      </c>
      <c r="B358" t="s">
        <v>722</v>
      </c>
    </row>
    <row r="359" spans="1:2">
      <c r="A359">
        <v>12505915</v>
      </c>
      <c r="B359" t="s">
        <v>723</v>
      </c>
    </row>
    <row r="360" spans="1:2">
      <c r="A360">
        <v>12505916</v>
      </c>
      <c r="B360" t="s">
        <v>724</v>
      </c>
    </row>
    <row r="361" spans="1:2">
      <c r="A361">
        <v>12505917</v>
      </c>
      <c r="B361" t="s">
        <v>725</v>
      </c>
    </row>
    <row r="362" spans="1:2">
      <c r="A362">
        <v>12505918</v>
      </c>
      <c r="B362" t="s">
        <v>726</v>
      </c>
    </row>
    <row r="363" spans="1:2">
      <c r="A363">
        <v>12505919</v>
      </c>
      <c r="B363" t="s">
        <v>727</v>
      </c>
    </row>
    <row r="364" spans="1:2">
      <c r="A364">
        <v>12505920</v>
      </c>
      <c r="B364" t="s">
        <v>728</v>
      </c>
    </row>
    <row r="365" spans="1:2">
      <c r="A365">
        <v>12505921</v>
      </c>
      <c r="B365" t="s">
        <v>729</v>
      </c>
    </row>
    <row r="366" spans="1:2">
      <c r="A366">
        <v>12505922</v>
      </c>
      <c r="B366" t="s">
        <v>730</v>
      </c>
    </row>
    <row r="367" spans="1:2">
      <c r="A367">
        <v>12505923</v>
      </c>
      <c r="B367" t="s">
        <v>731</v>
      </c>
    </row>
    <row r="368" spans="1:2">
      <c r="A368">
        <v>12505924</v>
      </c>
      <c r="B368" t="s">
        <v>732</v>
      </c>
    </row>
    <row r="369" spans="1:2">
      <c r="A369">
        <v>12505925</v>
      </c>
      <c r="B369" t="s">
        <v>733</v>
      </c>
    </row>
    <row r="370" spans="1:2">
      <c r="A370">
        <v>12505926</v>
      </c>
      <c r="B370" t="s">
        <v>734</v>
      </c>
    </row>
    <row r="371" spans="1:2">
      <c r="A371">
        <v>12505927</v>
      </c>
      <c r="B371" t="s">
        <v>735</v>
      </c>
    </row>
    <row r="372" spans="1:2">
      <c r="A372">
        <v>12505928</v>
      </c>
      <c r="B372" t="s">
        <v>736</v>
      </c>
    </row>
    <row r="373" spans="1:2">
      <c r="A373">
        <v>12505929</v>
      </c>
      <c r="B373" t="s">
        <v>737</v>
      </c>
    </row>
    <row r="374" spans="1:2">
      <c r="A374">
        <v>12505930</v>
      </c>
      <c r="B374" t="s">
        <v>738</v>
      </c>
    </row>
    <row r="375" spans="1:2">
      <c r="A375">
        <v>12505931</v>
      </c>
      <c r="B375" t="s">
        <v>739</v>
      </c>
    </row>
    <row r="376" spans="1:2">
      <c r="A376">
        <v>12505932</v>
      </c>
      <c r="B376" t="s">
        <v>740</v>
      </c>
    </row>
    <row r="377" spans="1:2">
      <c r="A377">
        <v>12505933</v>
      </c>
      <c r="B377" t="s">
        <v>741</v>
      </c>
    </row>
    <row r="378" spans="1:2">
      <c r="A378">
        <v>12505934</v>
      </c>
      <c r="B378" t="s">
        <v>742</v>
      </c>
    </row>
    <row r="379" spans="1:2">
      <c r="A379">
        <v>12505935</v>
      </c>
      <c r="B379" t="s">
        <v>743</v>
      </c>
    </row>
    <row r="380" spans="1:2">
      <c r="A380">
        <v>12505936</v>
      </c>
      <c r="B380" t="s">
        <v>744</v>
      </c>
    </row>
    <row r="381" spans="1:2">
      <c r="A381">
        <v>12505937</v>
      </c>
      <c r="B381" t="s">
        <v>745</v>
      </c>
    </row>
    <row r="382" spans="1:2">
      <c r="A382">
        <v>12505938</v>
      </c>
      <c r="B382" t="s">
        <v>746</v>
      </c>
    </row>
    <row r="383" spans="1:2">
      <c r="A383">
        <v>12505939</v>
      </c>
      <c r="B383" t="s">
        <v>747</v>
      </c>
    </row>
    <row r="384" spans="1:2">
      <c r="A384">
        <v>12505940</v>
      </c>
      <c r="B384" t="s">
        <v>748</v>
      </c>
    </row>
    <row r="385" spans="1:2">
      <c r="A385">
        <v>12505941</v>
      </c>
      <c r="B385" t="s">
        <v>749</v>
      </c>
    </row>
    <row r="386" spans="1:2">
      <c r="A386">
        <v>12505942</v>
      </c>
      <c r="B386" t="s">
        <v>750</v>
      </c>
    </row>
    <row r="387" spans="1:2">
      <c r="A387">
        <v>12505943</v>
      </c>
      <c r="B387" t="s">
        <v>751</v>
      </c>
    </row>
    <row r="388" spans="1:2">
      <c r="A388">
        <v>12505944</v>
      </c>
      <c r="B388" t="s">
        <v>752</v>
      </c>
    </row>
    <row r="389" spans="1:2">
      <c r="A389">
        <v>12505945</v>
      </c>
      <c r="B389" t="s">
        <v>753</v>
      </c>
    </row>
    <row r="390" spans="1:2">
      <c r="A390">
        <v>12505946</v>
      </c>
      <c r="B390" t="s">
        <v>754</v>
      </c>
    </row>
    <row r="391" spans="1:2">
      <c r="A391">
        <v>12505947</v>
      </c>
      <c r="B391" t="s">
        <v>755</v>
      </c>
    </row>
    <row r="392" spans="1:2">
      <c r="A392">
        <v>12505948</v>
      </c>
      <c r="B392" t="s">
        <v>756</v>
      </c>
    </row>
    <row r="393" spans="1:2">
      <c r="A393">
        <v>12505949</v>
      </c>
      <c r="B393" t="s">
        <v>757</v>
      </c>
    </row>
    <row r="394" spans="1:2">
      <c r="A394">
        <v>12505950</v>
      </c>
      <c r="B394" t="s">
        <v>758</v>
      </c>
    </row>
    <row r="395" spans="1:2">
      <c r="A395">
        <v>12505951</v>
      </c>
      <c r="B395" t="s">
        <v>759</v>
      </c>
    </row>
    <row r="396" spans="1:2">
      <c r="A396">
        <v>12505952</v>
      </c>
      <c r="B396" t="s">
        <v>760</v>
      </c>
    </row>
    <row r="397" spans="1:2">
      <c r="A397">
        <v>12505953</v>
      </c>
      <c r="B397" t="s">
        <v>761</v>
      </c>
    </row>
    <row r="398" spans="1:2">
      <c r="A398">
        <v>12505954</v>
      </c>
      <c r="B398" t="s">
        <v>762</v>
      </c>
    </row>
    <row r="399" spans="1:2">
      <c r="A399">
        <v>12505955</v>
      </c>
      <c r="B399" t="s">
        <v>763</v>
      </c>
    </row>
    <row r="400" spans="1:2">
      <c r="A400">
        <v>12505956</v>
      </c>
      <c r="B400" t="s">
        <v>764</v>
      </c>
    </row>
    <row r="401" spans="1:2">
      <c r="A401">
        <v>12505957</v>
      </c>
      <c r="B401" t="s">
        <v>765</v>
      </c>
    </row>
    <row r="402" spans="1:2">
      <c r="A402">
        <v>12505958</v>
      </c>
      <c r="B402" t="s">
        <v>766</v>
      </c>
    </row>
    <row r="403" spans="1:2">
      <c r="A403">
        <v>12505959</v>
      </c>
      <c r="B403" t="s">
        <v>767</v>
      </c>
    </row>
    <row r="404" spans="1:2">
      <c r="A404">
        <v>12505960</v>
      </c>
      <c r="B404" t="s">
        <v>768</v>
      </c>
    </row>
    <row r="405" spans="1:2">
      <c r="A405">
        <v>12505961</v>
      </c>
      <c r="B405" t="s">
        <v>769</v>
      </c>
    </row>
    <row r="406" spans="1:2">
      <c r="A406">
        <v>12505962</v>
      </c>
      <c r="B406" t="s">
        <v>770</v>
      </c>
    </row>
    <row r="407" spans="1:2">
      <c r="A407">
        <v>12505963</v>
      </c>
      <c r="B407" t="s">
        <v>771</v>
      </c>
    </row>
    <row r="408" spans="1:2">
      <c r="A408">
        <v>12505964</v>
      </c>
      <c r="B408" t="s">
        <v>772</v>
      </c>
    </row>
    <row r="409" spans="1:2">
      <c r="A409">
        <v>12505965</v>
      </c>
      <c r="B409" t="s">
        <v>773</v>
      </c>
    </row>
    <row r="410" spans="1:2">
      <c r="A410">
        <v>12505966</v>
      </c>
      <c r="B410" t="s">
        <v>774</v>
      </c>
    </row>
    <row r="411" spans="1:2">
      <c r="A411">
        <v>12505967</v>
      </c>
      <c r="B411" t="s">
        <v>775</v>
      </c>
    </row>
    <row r="412" spans="1:2">
      <c r="A412">
        <v>12505968</v>
      </c>
      <c r="B412" t="s">
        <v>776</v>
      </c>
    </row>
    <row r="413" spans="1:2">
      <c r="A413">
        <v>12505969</v>
      </c>
      <c r="B413" t="s">
        <v>777</v>
      </c>
    </row>
    <row r="414" spans="1:2">
      <c r="A414">
        <v>12505970</v>
      </c>
      <c r="B414" t="s">
        <v>778</v>
      </c>
    </row>
    <row r="415" spans="1:2">
      <c r="A415">
        <v>12505971</v>
      </c>
      <c r="B415" t="s">
        <v>779</v>
      </c>
    </row>
    <row r="416" spans="1:2">
      <c r="A416">
        <v>12505972</v>
      </c>
      <c r="B416" t="s">
        <v>780</v>
      </c>
    </row>
    <row r="417" spans="1:2">
      <c r="A417">
        <v>12505973</v>
      </c>
      <c r="B417" t="s">
        <v>781</v>
      </c>
    </row>
    <row r="418" spans="1:2">
      <c r="A418">
        <v>12505974</v>
      </c>
      <c r="B418" t="s">
        <v>782</v>
      </c>
    </row>
    <row r="419" spans="1:2">
      <c r="A419">
        <v>12505975</v>
      </c>
      <c r="B419" t="s">
        <v>783</v>
      </c>
    </row>
    <row r="420" spans="1:2">
      <c r="A420">
        <v>12505976</v>
      </c>
      <c r="B420" t="s">
        <v>784</v>
      </c>
    </row>
    <row r="421" spans="1:2">
      <c r="A421">
        <v>12505977</v>
      </c>
      <c r="B421" t="s">
        <v>785</v>
      </c>
    </row>
    <row r="422" spans="1:2">
      <c r="A422">
        <v>12505978</v>
      </c>
      <c r="B422" t="s">
        <v>786</v>
      </c>
    </row>
    <row r="423" spans="1:2">
      <c r="A423">
        <v>12505979</v>
      </c>
      <c r="B423" t="s">
        <v>787</v>
      </c>
    </row>
    <row r="424" spans="1:2">
      <c r="A424">
        <v>12505980</v>
      </c>
      <c r="B424" t="s">
        <v>788</v>
      </c>
    </row>
    <row r="425" spans="1:2">
      <c r="A425">
        <v>12505981</v>
      </c>
      <c r="B425" t="s">
        <v>789</v>
      </c>
    </row>
    <row r="426" spans="1:2">
      <c r="A426">
        <v>12505982</v>
      </c>
      <c r="B426" t="s">
        <v>790</v>
      </c>
    </row>
    <row r="427" spans="1:2">
      <c r="A427">
        <v>12505983</v>
      </c>
      <c r="B427" t="s">
        <v>791</v>
      </c>
    </row>
    <row r="428" spans="1:2">
      <c r="A428">
        <v>12505984</v>
      </c>
      <c r="B428" t="s">
        <v>792</v>
      </c>
    </row>
    <row r="429" spans="1:2">
      <c r="A429">
        <v>12505985</v>
      </c>
      <c r="B429" t="s">
        <v>793</v>
      </c>
    </row>
    <row r="430" spans="1:2">
      <c r="A430">
        <v>12505986</v>
      </c>
      <c r="B430" t="s">
        <v>794</v>
      </c>
    </row>
    <row r="431" spans="1:2">
      <c r="A431">
        <v>12505987</v>
      </c>
      <c r="B431" t="s">
        <v>795</v>
      </c>
    </row>
    <row r="432" spans="1:2">
      <c r="A432">
        <v>12505988</v>
      </c>
      <c r="B432" t="s">
        <v>796</v>
      </c>
    </row>
    <row r="433" spans="1:2">
      <c r="A433">
        <v>12505989</v>
      </c>
      <c r="B433" t="s">
        <v>797</v>
      </c>
    </row>
    <row r="434" spans="1:2">
      <c r="A434">
        <v>12505990</v>
      </c>
      <c r="B434" t="s">
        <v>798</v>
      </c>
    </row>
    <row r="435" spans="1:2">
      <c r="A435">
        <v>12505991</v>
      </c>
      <c r="B435" t="s">
        <v>799</v>
      </c>
    </row>
    <row r="436" spans="1:2">
      <c r="A436">
        <v>12505992</v>
      </c>
      <c r="B436" t="s">
        <v>2126</v>
      </c>
    </row>
    <row r="437" spans="1:2">
      <c r="A437">
        <v>12505993</v>
      </c>
      <c r="B437" t="s">
        <v>2127</v>
      </c>
    </row>
    <row r="438" spans="1:2">
      <c r="A438">
        <v>12505994</v>
      </c>
      <c r="B438" t="s">
        <v>2128</v>
      </c>
    </row>
    <row r="439" spans="1:2">
      <c r="A439">
        <v>12506001</v>
      </c>
      <c r="B439" t="s">
        <v>800</v>
      </c>
    </row>
    <row r="440" spans="1:2">
      <c r="A440">
        <v>12506002</v>
      </c>
      <c r="B440" t="s">
        <v>801</v>
      </c>
    </row>
    <row r="441" spans="1:2">
      <c r="A441">
        <v>12506003</v>
      </c>
      <c r="B441" t="s">
        <v>802</v>
      </c>
    </row>
    <row r="442" spans="1:2">
      <c r="A442">
        <v>12506004</v>
      </c>
      <c r="B442" t="s">
        <v>803</v>
      </c>
    </row>
    <row r="443" spans="1:2">
      <c r="A443">
        <v>12506005</v>
      </c>
      <c r="B443" t="s">
        <v>804</v>
      </c>
    </row>
    <row r="444" spans="1:2">
      <c r="A444">
        <v>12506006</v>
      </c>
      <c r="B444" t="s">
        <v>805</v>
      </c>
    </row>
    <row r="445" spans="1:2">
      <c r="A445">
        <v>12506007</v>
      </c>
      <c r="B445" t="s">
        <v>806</v>
      </c>
    </row>
    <row r="446" spans="1:2">
      <c r="A446">
        <v>12506008</v>
      </c>
      <c r="B446" t="s">
        <v>807</v>
      </c>
    </row>
    <row r="447" spans="1:2">
      <c r="A447">
        <v>12506009</v>
      </c>
      <c r="B447" t="s">
        <v>808</v>
      </c>
    </row>
    <row r="448" spans="1:2">
      <c r="A448">
        <v>12506010</v>
      </c>
      <c r="B448" t="s">
        <v>809</v>
      </c>
    </row>
    <row r="449" spans="1:2">
      <c r="A449">
        <v>12506011</v>
      </c>
      <c r="B449" t="s">
        <v>810</v>
      </c>
    </row>
    <row r="450" spans="1:2">
      <c r="A450">
        <v>12506012</v>
      </c>
      <c r="B450" t="s">
        <v>811</v>
      </c>
    </row>
    <row r="451" spans="1:2">
      <c r="A451">
        <v>12506013</v>
      </c>
      <c r="B451" t="s">
        <v>812</v>
      </c>
    </row>
    <row r="452" spans="1:2">
      <c r="A452">
        <v>12506014</v>
      </c>
      <c r="B452" t="s">
        <v>813</v>
      </c>
    </row>
    <row r="453" spans="1:2">
      <c r="A453">
        <v>12506015</v>
      </c>
      <c r="B453" t="s">
        <v>2129</v>
      </c>
    </row>
    <row r="454" spans="1:2">
      <c r="A454">
        <v>13006101</v>
      </c>
      <c r="B454" t="s">
        <v>814</v>
      </c>
    </row>
    <row r="455" spans="1:2">
      <c r="A455">
        <v>13006102</v>
      </c>
      <c r="B455" t="s">
        <v>815</v>
      </c>
    </row>
    <row r="456" spans="1:2">
      <c r="A456">
        <v>13006103</v>
      </c>
      <c r="B456" t="s">
        <v>816</v>
      </c>
    </row>
    <row r="457" spans="1:2">
      <c r="A457">
        <v>13006104</v>
      </c>
      <c r="B457" t="s">
        <v>817</v>
      </c>
    </row>
    <row r="458" spans="1:2">
      <c r="A458">
        <v>13006105</v>
      </c>
      <c r="B458" t="s">
        <v>818</v>
      </c>
    </row>
    <row r="459" spans="1:2">
      <c r="A459">
        <v>13006106</v>
      </c>
      <c r="B459" t="s">
        <v>819</v>
      </c>
    </row>
    <row r="460" spans="1:2">
      <c r="A460">
        <v>13506201</v>
      </c>
      <c r="B460" t="s">
        <v>820</v>
      </c>
    </row>
    <row r="461" spans="1:2">
      <c r="A461">
        <v>14006301</v>
      </c>
      <c r="B461" t="s">
        <v>821</v>
      </c>
    </row>
    <row r="462" spans="1:2">
      <c r="A462">
        <v>14006401</v>
      </c>
      <c r="B462" t="s">
        <v>822</v>
      </c>
    </row>
    <row r="463" spans="1:2">
      <c r="A463">
        <v>14006501</v>
      </c>
      <c r="B463" t="s">
        <v>823</v>
      </c>
    </row>
    <row r="464" spans="1:2">
      <c r="A464">
        <v>14006601</v>
      </c>
      <c r="B464" t="s">
        <v>824</v>
      </c>
    </row>
    <row r="465" spans="1:2">
      <c r="A465">
        <v>14006701</v>
      </c>
      <c r="B465" t="s">
        <v>825</v>
      </c>
    </row>
    <row r="466" spans="1:2">
      <c r="A466">
        <v>14006801</v>
      </c>
      <c r="B466" t="s">
        <v>826</v>
      </c>
    </row>
    <row r="467" spans="1:2">
      <c r="A467">
        <v>14099901</v>
      </c>
      <c r="B467" t="s">
        <v>827</v>
      </c>
    </row>
    <row r="468" spans="1:2">
      <c r="A468">
        <v>14506901</v>
      </c>
      <c r="B468" t="s">
        <v>828</v>
      </c>
    </row>
    <row r="469" spans="1:2">
      <c r="A469">
        <v>14506902</v>
      </c>
      <c r="B469" t="s">
        <v>829</v>
      </c>
    </row>
    <row r="470" spans="1:2">
      <c r="A470">
        <v>14506903</v>
      </c>
      <c r="B470" t="s">
        <v>830</v>
      </c>
    </row>
    <row r="471" spans="1:2">
      <c r="A471">
        <v>14506904</v>
      </c>
      <c r="B471" t="s">
        <v>831</v>
      </c>
    </row>
    <row r="472" spans="1:2">
      <c r="A472">
        <v>14506905</v>
      </c>
      <c r="B472" t="s">
        <v>832</v>
      </c>
    </row>
    <row r="473" spans="1:2">
      <c r="A473">
        <v>14506906</v>
      </c>
      <c r="B473" t="s">
        <v>833</v>
      </c>
    </row>
    <row r="474" spans="1:2">
      <c r="A474">
        <v>14506907</v>
      </c>
      <c r="B474" t="s">
        <v>834</v>
      </c>
    </row>
    <row r="475" spans="1:2">
      <c r="A475">
        <v>14506908</v>
      </c>
      <c r="B475" t="s">
        <v>835</v>
      </c>
    </row>
    <row r="476" spans="1:2">
      <c r="A476">
        <v>14506909</v>
      </c>
      <c r="B476" t="s">
        <v>836</v>
      </c>
    </row>
    <row r="477" spans="1:2">
      <c r="A477">
        <v>14507001</v>
      </c>
      <c r="B477" t="s">
        <v>853</v>
      </c>
    </row>
    <row r="478" spans="1:2">
      <c r="A478">
        <v>14507002</v>
      </c>
      <c r="B478" t="s">
        <v>854</v>
      </c>
    </row>
    <row r="479" spans="1:2">
      <c r="A479">
        <v>14507003</v>
      </c>
      <c r="B479" t="s">
        <v>855</v>
      </c>
    </row>
    <row r="480" spans="1:2">
      <c r="A480">
        <v>14507004</v>
      </c>
      <c r="B480" t="s">
        <v>856</v>
      </c>
    </row>
    <row r="481" spans="1:2">
      <c r="A481">
        <v>14507005</v>
      </c>
      <c r="B481" t="s">
        <v>857</v>
      </c>
    </row>
    <row r="482" spans="1:2">
      <c r="A482">
        <v>14507006</v>
      </c>
      <c r="B482" t="s">
        <v>858</v>
      </c>
    </row>
    <row r="483" spans="1:2">
      <c r="A483">
        <v>14507007</v>
      </c>
      <c r="B483" t="s">
        <v>859</v>
      </c>
    </row>
    <row r="484" spans="1:2">
      <c r="A484">
        <v>14507008</v>
      </c>
      <c r="B484" t="s">
        <v>860</v>
      </c>
    </row>
    <row r="485" spans="1:2">
      <c r="A485">
        <v>14507009</v>
      </c>
      <c r="B485" t="s">
        <v>861</v>
      </c>
    </row>
    <row r="486" spans="1:2">
      <c r="A486">
        <v>14507101</v>
      </c>
      <c r="B486" t="s">
        <v>878</v>
      </c>
    </row>
    <row r="487" spans="1:2">
      <c r="A487">
        <v>14507102</v>
      </c>
      <c r="B487" t="s">
        <v>879</v>
      </c>
    </row>
    <row r="488" spans="1:2">
      <c r="A488">
        <v>14507103</v>
      </c>
      <c r="B488" t="s">
        <v>880</v>
      </c>
    </row>
    <row r="489" spans="1:2">
      <c r="A489">
        <v>14507104</v>
      </c>
      <c r="B489" t="s">
        <v>881</v>
      </c>
    </row>
    <row r="490" spans="1:2">
      <c r="A490">
        <v>14507105</v>
      </c>
      <c r="B490" t="s">
        <v>882</v>
      </c>
    </row>
    <row r="491" spans="1:2">
      <c r="A491">
        <v>14507106</v>
      </c>
      <c r="B491" t="s">
        <v>883</v>
      </c>
    </row>
    <row r="492" spans="1:2">
      <c r="A492">
        <v>14507107</v>
      </c>
      <c r="B492" t="s">
        <v>884</v>
      </c>
    </row>
    <row r="493" spans="1:2">
      <c r="A493">
        <v>14507108</v>
      </c>
      <c r="B493" t="s">
        <v>885</v>
      </c>
    </row>
    <row r="494" spans="1:2">
      <c r="A494">
        <v>14507109</v>
      </c>
      <c r="B494" t="s">
        <v>886</v>
      </c>
    </row>
    <row r="495" spans="1:2">
      <c r="A495">
        <v>14507201</v>
      </c>
      <c r="B495" t="s">
        <v>903</v>
      </c>
    </row>
    <row r="496" spans="1:2">
      <c r="A496">
        <v>14507202</v>
      </c>
      <c r="B496" t="s">
        <v>904</v>
      </c>
    </row>
    <row r="497" spans="1:2">
      <c r="A497">
        <v>14507203</v>
      </c>
      <c r="B497" t="s">
        <v>905</v>
      </c>
    </row>
    <row r="498" spans="1:2">
      <c r="A498">
        <v>14507204</v>
      </c>
      <c r="B498" t="s">
        <v>906</v>
      </c>
    </row>
    <row r="499" spans="1:2">
      <c r="A499">
        <v>14507205</v>
      </c>
      <c r="B499" t="s">
        <v>907</v>
      </c>
    </row>
    <row r="500" spans="1:2">
      <c r="A500">
        <v>14507206</v>
      </c>
      <c r="B500" t="s">
        <v>908</v>
      </c>
    </row>
    <row r="501" spans="1:2">
      <c r="A501">
        <v>14507207</v>
      </c>
      <c r="B501" t="s">
        <v>909</v>
      </c>
    </row>
    <row r="502" spans="1:2">
      <c r="A502">
        <v>14507208</v>
      </c>
      <c r="B502" t="s">
        <v>910</v>
      </c>
    </row>
    <row r="503" spans="1:2">
      <c r="A503">
        <v>14507209</v>
      </c>
      <c r="B503" t="s">
        <v>911</v>
      </c>
    </row>
    <row r="504" spans="1:2">
      <c r="A504">
        <v>14507301</v>
      </c>
      <c r="B504" t="s">
        <v>928</v>
      </c>
    </row>
    <row r="505" spans="1:2">
      <c r="A505">
        <v>14507302</v>
      </c>
      <c r="B505" t="s">
        <v>929</v>
      </c>
    </row>
    <row r="506" spans="1:2">
      <c r="A506">
        <v>14507303</v>
      </c>
      <c r="B506" t="s">
        <v>930</v>
      </c>
    </row>
    <row r="507" spans="1:2">
      <c r="A507">
        <v>14507304</v>
      </c>
      <c r="B507" t="s">
        <v>931</v>
      </c>
    </row>
    <row r="508" spans="1:2">
      <c r="A508">
        <v>14507305</v>
      </c>
      <c r="B508" t="s">
        <v>932</v>
      </c>
    </row>
    <row r="509" spans="1:2">
      <c r="A509">
        <v>14507306</v>
      </c>
      <c r="B509" t="s">
        <v>933</v>
      </c>
    </row>
    <row r="510" spans="1:2">
      <c r="A510">
        <v>14507307</v>
      </c>
      <c r="B510" t="s">
        <v>934</v>
      </c>
    </row>
    <row r="511" spans="1:2">
      <c r="A511">
        <v>14507308</v>
      </c>
      <c r="B511" t="s">
        <v>935</v>
      </c>
    </row>
    <row r="512" spans="1:2">
      <c r="A512">
        <v>14507309</v>
      </c>
      <c r="B512" t="s">
        <v>936</v>
      </c>
    </row>
    <row r="513" spans="1:2">
      <c r="A513">
        <v>14507401</v>
      </c>
      <c r="B513" t="s">
        <v>953</v>
      </c>
    </row>
    <row r="514" spans="1:2">
      <c r="A514">
        <v>14507402</v>
      </c>
      <c r="B514" t="s">
        <v>954</v>
      </c>
    </row>
    <row r="515" spans="1:2">
      <c r="A515">
        <v>14507403</v>
      </c>
      <c r="B515" t="s">
        <v>955</v>
      </c>
    </row>
    <row r="516" spans="1:2">
      <c r="A516">
        <v>14507404</v>
      </c>
      <c r="B516" t="s">
        <v>956</v>
      </c>
    </row>
    <row r="517" spans="1:2">
      <c r="A517">
        <v>14507405</v>
      </c>
      <c r="B517" t="s">
        <v>957</v>
      </c>
    </row>
    <row r="518" spans="1:2">
      <c r="A518">
        <v>14507406</v>
      </c>
      <c r="B518" t="s">
        <v>958</v>
      </c>
    </row>
    <row r="519" spans="1:2">
      <c r="A519">
        <v>14507407</v>
      </c>
      <c r="B519" t="s">
        <v>959</v>
      </c>
    </row>
    <row r="520" spans="1:2">
      <c r="A520">
        <v>14507408</v>
      </c>
      <c r="B520" t="s">
        <v>960</v>
      </c>
    </row>
    <row r="521" spans="1:2">
      <c r="A521">
        <v>14507409</v>
      </c>
      <c r="B521" t="s">
        <v>961</v>
      </c>
    </row>
    <row r="522" spans="1:2">
      <c r="A522">
        <v>14507501</v>
      </c>
      <c r="B522" t="s">
        <v>978</v>
      </c>
    </row>
    <row r="523" spans="1:2">
      <c r="A523">
        <v>14507502</v>
      </c>
      <c r="B523" t="s">
        <v>979</v>
      </c>
    </row>
    <row r="524" spans="1:2">
      <c r="A524">
        <v>14507503</v>
      </c>
      <c r="B524" t="s">
        <v>980</v>
      </c>
    </row>
    <row r="525" spans="1:2">
      <c r="A525">
        <v>14507504</v>
      </c>
      <c r="B525" t="s">
        <v>981</v>
      </c>
    </row>
    <row r="526" spans="1:2">
      <c r="A526">
        <v>14507505</v>
      </c>
      <c r="B526" t="s">
        <v>982</v>
      </c>
    </row>
    <row r="527" spans="1:2">
      <c r="A527">
        <v>14507506</v>
      </c>
      <c r="B527" t="s">
        <v>983</v>
      </c>
    </row>
    <row r="528" spans="1:2">
      <c r="A528">
        <v>14507507</v>
      </c>
      <c r="B528" t="s">
        <v>984</v>
      </c>
    </row>
    <row r="529" spans="1:2">
      <c r="A529">
        <v>14507508</v>
      </c>
      <c r="B529" t="s">
        <v>2130</v>
      </c>
    </row>
    <row r="530" spans="1:2">
      <c r="A530">
        <v>14507509</v>
      </c>
      <c r="B530" t="s">
        <v>985</v>
      </c>
    </row>
    <row r="531" spans="1:2">
      <c r="A531">
        <v>14599901</v>
      </c>
      <c r="B531" t="s">
        <v>1002</v>
      </c>
    </row>
    <row r="532" spans="1:2">
      <c r="A532">
        <v>14599902</v>
      </c>
      <c r="B532" t="s">
        <v>1003</v>
      </c>
    </row>
    <row r="533" spans="1:2">
      <c r="A533">
        <v>14599903</v>
      </c>
      <c r="B533" t="s">
        <v>1004</v>
      </c>
    </row>
    <row r="534" spans="1:2">
      <c r="A534">
        <v>14599904</v>
      </c>
      <c r="B534" t="s">
        <v>1005</v>
      </c>
    </row>
    <row r="535" spans="1:2">
      <c r="A535">
        <v>14599905</v>
      </c>
      <c r="B535" t="s">
        <v>1006</v>
      </c>
    </row>
    <row r="536" spans="1:2">
      <c r="A536">
        <v>14599906</v>
      </c>
      <c r="B536" t="s">
        <v>1007</v>
      </c>
    </row>
    <row r="537" spans="1:2">
      <c r="A537">
        <v>14599907</v>
      </c>
      <c r="B537" t="s">
        <v>1008</v>
      </c>
    </row>
    <row r="538" spans="1:2">
      <c r="A538">
        <v>14599908</v>
      </c>
      <c r="B538" t="s">
        <v>1009</v>
      </c>
    </row>
    <row r="539" spans="1:2">
      <c r="A539">
        <v>14599909</v>
      </c>
      <c r="B539" t="s">
        <v>1010</v>
      </c>
    </row>
    <row r="540" spans="1:2">
      <c r="A540">
        <v>14599910</v>
      </c>
      <c r="B540" t="s">
        <v>1011</v>
      </c>
    </row>
    <row r="541" spans="1:2">
      <c r="A541">
        <v>14599911</v>
      </c>
      <c r="B541" t="s">
        <v>1012</v>
      </c>
    </row>
    <row r="542" spans="1:2">
      <c r="A542">
        <v>14599912</v>
      </c>
      <c r="B542" t="s">
        <v>1013</v>
      </c>
    </row>
    <row r="543" spans="1:2">
      <c r="A543">
        <v>14599913</v>
      </c>
      <c r="B543" t="s">
        <v>1014</v>
      </c>
    </row>
    <row r="544" spans="1:2">
      <c r="A544">
        <v>14599914</v>
      </c>
      <c r="B544" t="s">
        <v>1015</v>
      </c>
    </row>
    <row r="545" spans="1:2">
      <c r="A545">
        <v>14599915</v>
      </c>
      <c r="B545" t="s">
        <v>1016</v>
      </c>
    </row>
    <row r="546" spans="1:2">
      <c r="A546">
        <v>14599916</v>
      </c>
      <c r="B546" t="s">
        <v>1017</v>
      </c>
    </row>
    <row r="547" spans="1:2">
      <c r="A547">
        <v>14599917</v>
      </c>
      <c r="B547" t="s">
        <v>1018</v>
      </c>
    </row>
    <row r="548" spans="1:2">
      <c r="A548">
        <v>14599918</v>
      </c>
      <c r="B548" t="s">
        <v>1019</v>
      </c>
    </row>
    <row r="549" spans="1:2">
      <c r="A549">
        <v>14599919</v>
      </c>
      <c r="B549" t="s">
        <v>1020</v>
      </c>
    </row>
    <row r="550" spans="1:2">
      <c r="A550">
        <v>14599920</v>
      </c>
      <c r="B550" t="s">
        <v>1021</v>
      </c>
    </row>
    <row r="551" spans="1:2">
      <c r="A551">
        <v>14599921</v>
      </c>
      <c r="B551" t="s">
        <v>1022</v>
      </c>
    </row>
    <row r="552" spans="1:2">
      <c r="A552">
        <v>14599922</v>
      </c>
      <c r="B552" t="s">
        <v>1023</v>
      </c>
    </row>
    <row r="553" spans="1:2">
      <c r="A553">
        <v>14599923</v>
      </c>
      <c r="B553" t="s">
        <v>1024</v>
      </c>
    </row>
    <row r="554" spans="1:2">
      <c r="A554">
        <v>14599924</v>
      </c>
      <c r="B554" t="s">
        <v>1025</v>
      </c>
    </row>
    <row r="555" spans="1:2">
      <c r="A555">
        <v>14599925</v>
      </c>
      <c r="B555" t="s">
        <v>1026</v>
      </c>
    </row>
    <row r="556" spans="1:2">
      <c r="A556">
        <v>14599926</v>
      </c>
      <c r="B556" t="s">
        <v>1027</v>
      </c>
    </row>
    <row r="557" spans="1:2">
      <c r="A557">
        <v>14599927</v>
      </c>
      <c r="B557" t="s">
        <v>1028</v>
      </c>
    </row>
    <row r="558" spans="1:2">
      <c r="A558">
        <v>14506910</v>
      </c>
      <c r="B558" t="s">
        <v>837</v>
      </c>
    </row>
    <row r="559" spans="1:2">
      <c r="A559">
        <v>14506911</v>
      </c>
      <c r="B559" t="s">
        <v>838</v>
      </c>
    </row>
    <row r="560" spans="1:2">
      <c r="A560">
        <v>14506912</v>
      </c>
      <c r="B560" t="s">
        <v>839</v>
      </c>
    </row>
    <row r="561" spans="1:2">
      <c r="A561">
        <v>14506913</v>
      </c>
      <c r="B561" t="s">
        <v>840</v>
      </c>
    </row>
    <row r="562" spans="1:2">
      <c r="A562">
        <v>14506914</v>
      </c>
      <c r="B562" t="s">
        <v>841</v>
      </c>
    </row>
    <row r="563" spans="1:2">
      <c r="A563">
        <v>14506915</v>
      </c>
      <c r="B563" t="s">
        <v>842</v>
      </c>
    </row>
    <row r="564" spans="1:2">
      <c r="A564">
        <v>14506916</v>
      </c>
      <c r="B564" t="s">
        <v>843</v>
      </c>
    </row>
    <row r="565" spans="1:2">
      <c r="A565">
        <v>14506917</v>
      </c>
      <c r="B565" t="s">
        <v>844</v>
      </c>
    </row>
    <row r="566" spans="1:2">
      <c r="A566">
        <v>14506918</v>
      </c>
      <c r="B566" t="s">
        <v>845</v>
      </c>
    </row>
    <row r="567" spans="1:2">
      <c r="A567">
        <v>14506919</v>
      </c>
      <c r="B567" t="s">
        <v>846</v>
      </c>
    </row>
    <row r="568" spans="1:2">
      <c r="A568">
        <v>14506920</v>
      </c>
      <c r="B568" t="s">
        <v>847</v>
      </c>
    </row>
    <row r="569" spans="1:2">
      <c r="A569">
        <v>14506921</v>
      </c>
      <c r="B569" t="s">
        <v>848</v>
      </c>
    </row>
    <row r="570" spans="1:2">
      <c r="A570">
        <v>14506922</v>
      </c>
      <c r="B570" t="s">
        <v>849</v>
      </c>
    </row>
    <row r="571" spans="1:2">
      <c r="A571">
        <v>14506923</v>
      </c>
      <c r="B571" t="s">
        <v>850</v>
      </c>
    </row>
    <row r="572" spans="1:2">
      <c r="A572">
        <v>14506924</v>
      </c>
      <c r="B572" t="s">
        <v>851</v>
      </c>
    </row>
    <row r="573" spans="1:2">
      <c r="A573">
        <v>14506925</v>
      </c>
      <c r="B573" t="s">
        <v>852</v>
      </c>
    </row>
    <row r="574" spans="1:2">
      <c r="A574">
        <v>14507010</v>
      </c>
      <c r="B574" t="s">
        <v>862</v>
      </c>
    </row>
    <row r="575" spans="1:2">
      <c r="A575">
        <v>14507011</v>
      </c>
      <c r="B575" t="s">
        <v>863</v>
      </c>
    </row>
    <row r="576" spans="1:2">
      <c r="A576">
        <v>14507012</v>
      </c>
      <c r="B576" t="s">
        <v>864</v>
      </c>
    </row>
    <row r="577" spans="1:2">
      <c r="A577">
        <v>14507013</v>
      </c>
      <c r="B577" t="s">
        <v>865</v>
      </c>
    </row>
    <row r="578" spans="1:2">
      <c r="A578">
        <v>14507014</v>
      </c>
      <c r="B578" t="s">
        <v>866</v>
      </c>
    </row>
    <row r="579" spans="1:2">
      <c r="A579">
        <v>14507015</v>
      </c>
      <c r="B579" t="s">
        <v>867</v>
      </c>
    </row>
    <row r="580" spans="1:2">
      <c r="A580">
        <v>14507016</v>
      </c>
      <c r="B580" t="s">
        <v>868</v>
      </c>
    </row>
    <row r="581" spans="1:2">
      <c r="A581">
        <v>14507017</v>
      </c>
      <c r="B581" t="s">
        <v>869</v>
      </c>
    </row>
    <row r="582" spans="1:2">
      <c r="A582">
        <v>14507018</v>
      </c>
      <c r="B582" t="s">
        <v>870</v>
      </c>
    </row>
    <row r="583" spans="1:2">
      <c r="A583">
        <v>14507019</v>
      </c>
      <c r="B583" t="s">
        <v>871</v>
      </c>
    </row>
    <row r="584" spans="1:2">
      <c r="A584">
        <v>14507020</v>
      </c>
      <c r="B584" t="s">
        <v>872</v>
      </c>
    </row>
    <row r="585" spans="1:2">
      <c r="A585">
        <v>14507021</v>
      </c>
      <c r="B585" t="s">
        <v>873</v>
      </c>
    </row>
    <row r="586" spans="1:2">
      <c r="A586">
        <v>14507022</v>
      </c>
      <c r="B586" t="s">
        <v>874</v>
      </c>
    </row>
    <row r="587" spans="1:2">
      <c r="A587">
        <v>14507023</v>
      </c>
      <c r="B587" t="s">
        <v>875</v>
      </c>
    </row>
    <row r="588" spans="1:2">
      <c r="A588">
        <v>14507024</v>
      </c>
      <c r="B588" t="s">
        <v>876</v>
      </c>
    </row>
    <row r="589" spans="1:2">
      <c r="A589">
        <v>14507025</v>
      </c>
      <c r="B589" t="s">
        <v>877</v>
      </c>
    </row>
    <row r="590" spans="1:2">
      <c r="A590">
        <v>14507110</v>
      </c>
      <c r="B590" t="s">
        <v>887</v>
      </c>
    </row>
    <row r="591" spans="1:2">
      <c r="A591">
        <v>14507111</v>
      </c>
      <c r="B591" t="s">
        <v>888</v>
      </c>
    </row>
    <row r="592" spans="1:2">
      <c r="A592">
        <v>14507112</v>
      </c>
      <c r="B592" t="s">
        <v>889</v>
      </c>
    </row>
    <row r="593" spans="1:2">
      <c r="A593">
        <v>14507113</v>
      </c>
      <c r="B593" t="s">
        <v>890</v>
      </c>
    </row>
    <row r="594" spans="1:2">
      <c r="A594">
        <v>14507114</v>
      </c>
      <c r="B594" t="s">
        <v>891</v>
      </c>
    </row>
    <row r="595" spans="1:2">
      <c r="A595">
        <v>14507115</v>
      </c>
      <c r="B595" t="s">
        <v>892</v>
      </c>
    </row>
    <row r="596" spans="1:2">
      <c r="A596">
        <v>14507116</v>
      </c>
      <c r="B596" t="s">
        <v>893</v>
      </c>
    </row>
    <row r="597" spans="1:2">
      <c r="A597">
        <v>14507117</v>
      </c>
      <c r="B597" t="s">
        <v>894</v>
      </c>
    </row>
    <row r="598" spans="1:2">
      <c r="A598">
        <v>14507118</v>
      </c>
      <c r="B598" t="s">
        <v>895</v>
      </c>
    </row>
    <row r="599" spans="1:2">
      <c r="A599">
        <v>14507119</v>
      </c>
      <c r="B599" t="s">
        <v>896</v>
      </c>
    </row>
    <row r="600" spans="1:2">
      <c r="A600">
        <v>14507120</v>
      </c>
      <c r="B600" t="s">
        <v>897</v>
      </c>
    </row>
    <row r="601" spans="1:2">
      <c r="A601">
        <v>14507121</v>
      </c>
      <c r="B601" t="s">
        <v>898</v>
      </c>
    </row>
    <row r="602" spans="1:2">
      <c r="A602">
        <v>14507122</v>
      </c>
      <c r="B602" t="s">
        <v>899</v>
      </c>
    </row>
    <row r="603" spans="1:2">
      <c r="A603">
        <v>14507123</v>
      </c>
      <c r="B603" t="s">
        <v>900</v>
      </c>
    </row>
    <row r="604" spans="1:2">
      <c r="A604">
        <v>14507124</v>
      </c>
      <c r="B604" t="s">
        <v>901</v>
      </c>
    </row>
    <row r="605" spans="1:2">
      <c r="A605">
        <v>14507125</v>
      </c>
      <c r="B605" t="s">
        <v>902</v>
      </c>
    </row>
    <row r="606" spans="1:2">
      <c r="A606">
        <v>14507210</v>
      </c>
      <c r="B606" t="s">
        <v>912</v>
      </c>
    </row>
    <row r="607" spans="1:2">
      <c r="A607">
        <v>14507211</v>
      </c>
      <c r="B607" t="s">
        <v>913</v>
      </c>
    </row>
    <row r="608" spans="1:2">
      <c r="A608">
        <v>14507212</v>
      </c>
      <c r="B608" t="s">
        <v>914</v>
      </c>
    </row>
    <row r="609" spans="1:2">
      <c r="A609">
        <v>14507213</v>
      </c>
      <c r="B609" t="s">
        <v>915</v>
      </c>
    </row>
    <row r="610" spans="1:2">
      <c r="A610">
        <v>14507214</v>
      </c>
      <c r="B610" t="s">
        <v>916</v>
      </c>
    </row>
    <row r="611" spans="1:2">
      <c r="A611">
        <v>14507215</v>
      </c>
      <c r="B611" t="s">
        <v>917</v>
      </c>
    </row>
    <row r="612" spans="1:2">
      <c r="A612">
        <v>14507216</v>
      </c>
      <c r="B612" t="s">
        <v>918</v>
      </c>
    </row>
    <row r="613" spans="1:2">
      <c r="A613">
        <v>14507217</v>
      </c>
      <c r="B613" t="s">
        <v>919</v>
      </c>
    </row>
    <row r="614" spans="1:2">
      <c r="A614">
        <v>14507218</v>
      </c>
      <c r="B614" t="s">
        <v>920</v>
      </c>
    </row>
    <row r="615" spans="1:2">
      <c r="A615">
        <v>14507219</v>
      </c>
      <c r="B615" t="s">
        <v>921</v>
      </c>
    </row>
    <row r="616" spans="1:2">
      <c r="A616">
        <v>14507220</v>
      </c>
      <c r="B616" t="s">
        <v>922</v>
      </c>
    </row>
    <row r="617" spans="1:2">
      <c r="A617">
        <v>14507221</v>
      </c>
      <c r="B617" t="s">
        <v>923</v>
      </c>
    </row>
    <row r="618" spans="1:2">
      <c r="A618">
        <v>14507222</v>
      </c>
      <c r="B618" t="s">
        <v>924</v>
      </c>
    </row>
    <row r="619" spans="1:2">
      <c r="A619">
        <v>14507223</v>
      </c>
      <c r="B619" t="s">
        <v>925</v>
      </c>
    </row>
    <row r="620" spans="1:2">
      <c r="A620">
        <v>14507224</v>
      </c>
      <c r="B620" t="s">
        <v>926</v>
      </c>
    </row>
    <row r="621" spans="1:2">
      <c r="A621">
        <v>14507225</v>
      </c>
      <c r="B621" t="s">
        <v>927</v>
      </c>
    </row>
    <row r="622" spans="1:2">
      <c r="A622">
        <v>14507310</v>
      </c>
      <c r="B622" t="s">
        <v>937</v>
      </c>
    </row>
    <row r="623" spans="1:2">
      <c r="A623">
        <v>14507311</v>
      </c>
      <c r="B623" t="s">
        <v>938</v>
      </c>
    </row>
    <row r="624" spans="1:2">
      <c r="A624">
        <v>14507312</v>
      </c>
      <c r="B624" t="s">
        <v>939</v>
      </c>
    </row>
    <row r="625" spans="1:2">
      <c r="A625">
        <v>14507313</v>
      </c>
      <c r="B625" t="s">
        <v>940</v>
      </c>
    </row>
    <row r="626" spans="1:2">
      <c r="A626">
        <v>14507314</v>
      </c>
      <c r="B626" t="s">
        <v>941</v>
      </c>
    </row>
    <row r="627" spans="1:2">
      <c r="A627">
        <v>14507315</v>
      </c>
      <c r="B627" t="s">
        <v>942</v>
      </c>
    </row>
    <row r="628" spans="1:2">
      <c r="A628">
        <v>14507316</v>
      </c>
      <c r="B628" t="s">
        <v>943</v>
      </c>
    </row>
    <row r="629" spans="1:2">
      <c r="A629">
        <v>14507317</v>
      </c>
      <c r="B629" t="s">
        <v>944</v>
      </c>
    </row>
    <row r="630" spans="1:2">
      <c r="A630">
        <v>14507318</v>
      </c>
      <c r="B630" t="s">
        <v>945</v>
      </c>
    </row>
    <row r="631" spans="1:2">
      <c r="A631">
        <v>14507319</v>
      </c>
      <c r="B631" t="s">
        <v>946</v>
      </c>
    </row>
    <row r="632" spans="1:2">
      <c r="A632">
        <v>14507320</v>
      </c>
      <c r="B632" t="s">
        <v>947</v>
      </c>
    </row>
    <row r="633" spans="1:2">
      <c r="A633">
        <v>14507321</v>
      </c>
      <c r="B633" t="s">
        <v>948</v>
      </c>
    </row>
    <row r="634" spans="1:2">
      <c r="A634">
        <v>14507322</v>
      </c>
      <c r="B634" t="s">
        <v>949</v>
      </c>
    </row>
    <row r="635" spans="1:2">
      <c r="A635">
        <v>14507323</v>
      </c>
      <c r="B635" t="s">
        <v>950</v>
      </c>
    </row>
    <row r="636" spans="1:2">
      <c r="A636">
        <v>14507324</v>
      </c>
      <c r="B636" t="s">
        <v>951</v>
      </c>
    </row>
    <row r="637" spans="1:2">
      <c r="A637">
        <v>14507325</v>
      </c>
      <c r="B637" t="s">
        <v>952</v>
      </c>
    </row>
    <row r="638" spans="1:2">
      <c r="A638">
        <v>14507410</v>
      </c>
      <c r="B638" t="s">
        <v>962</v>
      </c>
    </row>
    <row r="639" spans="1:2">
      <c r="A639">
        <v>14507411</v>
      </c>
      <c r="B639" t="s">
        <v>963</v>
      </c>
    </row>
    <row r="640" spans="1:2">
      <c r="A640">
        <v>14507412</v>
      </c>
      <c r="B640" t="s">
        <v>964</v>
      </c>
    </row>
    <row r="641" spans="1:2">
      <c r="A641">
        <v>14507413</v>
      </c>
      <c r="B641" t="s">
        <v>965</v>
      </c>
    </row>
    <row r="642" spans="1:2">
      <c r="A642">
        <v>14507414</v>
      </c>
      <c r="B642" t="s">
        <v>966</v>
      </c>
    </row>
    <row r="643" spans="1:2">
      <c r="A643">
        <v>14507415</v>
      </c>
      <c r="B643" t="s">
        <v>967</v>
      </c>
    </row>
    <row r="644" spans="1:2">
      <c r="A644">
        <v>14507416</v>
      </c>
      <c r="B644" t="s">
        <v>968</v>
      </c>
    </row>
    <row r="645" spans="1:2">
      <c r="A645">
        <v>14507417</v>
      </c>
      <c r="B645" t="s">
        <v>969</v>
      </c>
    </row>
    <row r="646" spans="1:2">
      <c r="A646">
        <v>14507418</v>
      </c>
      <c r="B646" t="s">
        <v>970</v>
      </c>
    </row>
    <row r="647" spans="1:2">
      <c r="A647">
        <v>14507419</v>
      </c>
      <c r="B647" t="s">
        <v>971</v>
      </c>
    </row>
    <row r="648" spans="1:2">
      <c r="A648">
        <v>14507420</v>
      </c>
      <c r="B648" t="s">
        <v>972</v>
      </c>
    </row>
    <row r="649" spans="1:2">
      <c r="A649">
        <v>14507421</v>
      </c>
      <c r="B649" t="s">
        <v>973</v>
      </c>
    </row>
    <row r="650" spans="1:2">
      <c r="A650">
        <v>14507422</v>
      </c>
      <c r="B650" t="s">
        <v>974</v>
      </c>
    </row>
    <row r="651" spans="1:2">
      <c r="A651">
        <v>14507423</v>
      </c>
      <c r="B651" t="s">
        <v>975</v>
      </c>
    </row>
    <row r="652" spans="1:2">
      <c r="A652">
        <v>14507424</v>
      </c>
      <c r="B652" t="s">
        <v>976</v>
      </c>
    </row>
    <row r="653" spans="1:2">
      <c r="A653">
        <v>14507425</v>
      </c>
      <c r="B653" t="s">
        <v>977</v>
      </c>
    </row>
    <row r="654" spans="1:2">
      <c r="A654">
        <v>14507510</v>
      </c>
      <c r="B654" t="s">
        <v>986</v>
      </c>
    </row>
    <row r="655" spans="1:2">
      <c r="A655">
        <v>14507511</v>
      </c>
      <c r="B655" t="s">
        <v>987</v>
      </c>
    </row>
    <row r="656" spans="1:2">
      <c r="A656">
        <v>14507512</v>
      </c>
      <c r="B656" t="s">
        <v>988</v>
      </c>
    </row>
    <row r="657" spans="1:2">
      <c r="A657">
        <v>14507513</v>
      </c>
      <c r="B657" t="s">
        <v>989</v>
      </c>
    </row>
    <row r="658" spans="1:2">
      <c r="A658">
        <v>14507514</v>
      </c>
      <c r="B658" t="s">
        <v>990</v>
      </c>
    </row>
    <row r="659" spans="1:2">
      <c r="A659">
        <v>14507515</v>
      </c>
      <c r="B659" t="s">
        <v>991</v>
      </c>
    </row>
    <row r="660" spans="1:2">
      <c r="A660">
        <v>14507516</v>
      </c>
      <c r="B660" t="s">
        <v>992</v>
      </c>
    </row>
    <row r="661" spans="1:2">
      <c r="A661">
        <v>14507517</v>
      </c>
      <c r="B661" t="s">
        <v>993</v>
      </c>
    </row>
    <row r="662" spans="1:2">
      <c r="A662">
        <v>14507518</v>
      </c>
      <c r="B662" t="s">
        <v>994</v>
      </c>
    </row>
    <row r="663" spans="1:2">
      <c r="A663">
        <v>14507519</v>
      </c>
      <c r="B663" t="s">
        <v>995</v>
      </c>
    </row>
    <row r="664" spans="1:2">
      <c r="A664">
        <v>14507520</v>
      </c>
      <c r="B664" t="s">
        <v>996</v>
      </c>
    </row>
    <row r="665" spans="1:2">
      <c r="A665">
        <v>14507521</v>
      </c>
      <c r="B665" t="s">
        <v>997</v>
      </c>
    </row>
    <row r="666" spans="1:2">
      <c r="A666">
        <v>14507522</v>
      </c>
      <c r="B666" t="s">
        <v>998</v>
      </c>
    </row>
    <row r="667" spans="1:2">
      <c r="A667">
        <v>14507523</v>
      </c>
      <c r="B667" t="s">
        <v>999</v>
      </c>
    </row>
    <row r="668" spans="1:2">
      <c r="A668">
        <v>14507524</v>
      </c>
      <c r="B668" t="s">
        <v>1000</v>
      </c>
    </row>
    <row r="669" spans="1:2">
      <c r="A669">
        <v>14507525</v>
      </c>
      <c r="B669" t="s">
        <v>1001</v>
      </c>
    </row>
    <row r="670" spans="1:2">
      <c r="A670">
        <v>14599928</v>
      </c>
      <c r="B670" t="s">
        <v>1029</v>
      </c>
    </row>
    <row r="671" spans="1:2">
      <c r="A671">
        <v>14599929</v>
      </c>
      <c r="B671" t="s">
        <v>1030</v>
      </c>
    </row>
    <row r="672" spans="1:2">
      <c r="A672">
        <v>14599930</v>
      </c>
      <c r="B672" t="s">
        <v>1031</v>
      </c>
    </row>
    <row r="673" spans="1:2">
      <c r="A673">
        <v>14599931</v>
      </c>
      <c r="B673" t="s">
        <v>1032</v>
      </c>
    </row>
    <row r="674" spans="1:2">
      <c r="A674">
        <v>14599932</v>
      </c>
      <c r="B674" t="s">
        <v>1033</v>
      </c>
    </row>
    <row r="675" spans="1:2">
      <c r="A675">
        <v>14599933</v>
      </c>
      <c r="B675" t="s">
        <v>1034</v>
      </c>
    </row>
    <row r="676" spans="1:2">
      <c r="A676">
        <v>14599934</v>
      </c>
      <c r="B676" t="s">
        <v>1035</v>
      </c>
    </row>
    <row r="677" spans="1:2">
      <c r="A677">
        <v>14599935</v>
      </c>
      <c r="B677" t="s">
        <v>1036</v>
      </c>
    </row>
    <row r="678" spans="1:2">
      <c r="A678">
        <v>14599936</v>
      </c>
      <c r="B678" t="s">
        <v>1037</v>
      </c>
    </row>
    <row r="679" spans="1:2">
      <c r="A679">
        <v>14599937</v>
      </c>
      <c r="B679" t="s">
        <v>1038</v>
      </c>
    </row>
    <row r="680" spans="1:2">
      <c r="A680">
        <v>14599938</v>
      </c>
      <c r="B680" t="s">
        <v>1039</v>
      </c>
    </row>
    <row r="681" spans="1:2">
      <c r="A681">
        <v>14599939</v>
      </c>
      <c r="B681" t="s">
        <v>1040</v>
      </c>
    </row>
    <row r="682" spans="1:2">
      <c r="A682">
        <v>14599940</v>
      </c>
      <c r="B682" t="s">
        <v>1041</v>
      </c>
    </row>
    <row r="683" spans="1:2">
      <c r="A683">
        <v>14599941</v>
      </c>
      <c r="B683" t="s">
        <v>1042</v>
      </c>
    </row>
    <row r="684" spans="1:2">
      <c r="A684">
        <v>14599942</v>
      </c>
      <c r="B684" t="s">
        <v>1043</v>
      </c>
    </row>
    <row r="685" spans="1:2">
      <c r="A685">
        <v>14599943</v>
      </c>
      <c r="B685" t="s">
        <v>1044</v>
      </c>
    </row>
    <row r="686" spans="1:2">
      <c r="A686">
        <v>15007601</v>
      </c>
      <c r="B686" t="s">
        <v>1045</v>
      </c>
    </row>
    <row r="687" spans="1:2">
      <c r="A687" t="s">
        <v>1862</v>
      </c>
      <c r="B687" t="s">
        <v>1863</v>
      </c>
    </row>
    <row r="688" spans="1:2">
      <c r="A688" t="s">
        <v>1864</v>
      </c>
      <c r="B688" t="s">
        <v>1865</v>
      </c>
    </row>
    <row r="689" spans="1:2">
      <c r="A689" t="s">
        <v>1866</v>
      </c>
      <c r="B689" t="s">
        <v>1867</v>
      </c>
    </row>
    <row r="690" spans="1:2">
      <c r="A690" t="s">
        <v>1868</v>
      </c>
      <c r="B690" t="s">
        <v>1869</v>
      </c>
    </row>
    <row r="691" spans="1:2">
      <c r="A691" t="s">
        <v>1870</v>
      </c>
      <c r="B691" t="s">
        <v>1871</v>
      </c>
    </row>
    <row r="692" spans="1:2">
      <c r="A692" t="s">
        <v>1872</v>
      </c>
      <c r="B692" t="s">
        <v>1873</v>
      </c>
    </row>
    <row r="693" spans="1:2">
      <c r="A693" t="s">
        <v>1874</v>
      </c>
      <c r="B693" t="s">
        <v>1875</v>
      </c>
    </row>
    <row r="694" spans="1:2">
      <c r="A694" t="s">
        <v>1876</v>
      </c>
      <c r="B694" t="s">
        <v>1877</v>
      </c>
    </row>
    <row r="695" spans="1:2">
      <c r="A695" t="s">
        <v>1878</v>
      </c>
      <c r="B695" t="s">
        <v>1879</v>
      </c>
    </row>
    <row r="696" spans="1:2">
      <c r="A696" t="s">
        <v>1880</v>
      </c>
      <c r="B696" t="s">
        <v>1881</v>
      </c>
    </row>
    <row r="697" spans="1:2">
      <c r="A697" t="s">
        <v>1882</v>
      </c>
      <c r="B697" t="s">
        <v>1883</v>
      </c>
    </row>
    <row r="698" spans="1:2">
      <c r="A698" t="s">
        <v>1884</v>
      </c>
      <c r="B698" t="s">
        <v>1885</v>
      </c>
    </row>
    <row r="699" spans="1:2">
      <c r="A699" t="s">
        <v>1886</v>
      </c>
      <c r="B699" t="s">
        <v>1887</v>
      </c>
    </row>
    <row r="700" spans="1:2">
      <c r="A700" t="s">
        <v>1888</v>
      </c>
      <c r="B700" t="s">
        <v>1889</v>
      </c>
    </row>
    <row r="701" spans="1:2">
      <c r="A701" t="s">
        <v>1890</v>
      </c>
      <c r="B701" t="s">
        <v>1891</v>
      </c>
    </row>
    <row r="702" spans="1:2">
      <c r="A702" t="s">
        <v>1892</v>
      </c>
      <c r="B702" t="s">
        <v>1893</v>
      </c>
    </row>
    <row r="703" spans="1:2">
      <c r="A703" t="s">
        <v>1894</v>
      </c>
      <c r="B703" t="s">
        <v>1895</v>
      </c>
    </row>
    <row r="704" spans="1:2">
      <c r="A704" t="s">
        <v>1896</v>
      </c>
      <c r="B704" t="s">
        <v>1897</v>
      </c>
    </row>
    <row r="705" spans="1:2">
      <c r="A705">
        <v>20100101</v>
      </c>
      <c r="B705" t="s">
        <v>1046</v>
      </c>
    </row>
    <row r="706" spans="1:2">
      <c r="A706">
        <v>20100201</v>
      </c>
      <c r="B706" t="s">
        <v>1047</v>
      </c>
    </row>
    <row r="707" spans="1:2">
      <c r="A707">
        <v>20199901</v>
      </c>
      <c r="B707" t="s">
        <v>1048</v>
      </c>
    </row>
    <row r="708" spans="1:2">
      <c r="A708">
        <v>20500301</v>
      </c>
      <c r="B708" t="s">
        <v>1049</v>
      </c>
    </row>
    <row r="709" spans="1:2">
      <c r="A709">
        <v>20500302</v>
      </c>
      <c r="B709" t="s">
        <v>1050</v>
      </c>
    </row>
    <row r="710" spans="1:2">
      <c r="A710">
        <v>20500303</v>
      </c>
      <c r="B710" t="s">
        <v>1051</v>
      </c>
    </row>
    <row r="711" spans="1:2">
      <c r="A711">
        <v>20500304</v>
      </c>
      <c r="B711" t="s">
        <v>1052</v>
      </c>
    </row>
    <row r="712" spans="1:2">
      <c r="A712">
        <v>20500305</v>
      </c>
      <c r="B712" t="s">
        <v>1053</v>
      </c>
    </row>
    <row r="713" spans="1:2">
      <c r="A713">
        <v>20500306</v>
      </c>
      <c r="B713" t="s">
        <v>1054</v>
      </c>
    </row>
    <row r="714" spans="1:2">
      <c r="A714">
        <v>20500307</v>
      </c>
      <c r="B714" t="s">
        <v>1053</v>
      </c>
    </row>
    <row r="715" spans="1:2">
      <c r="A715">
        <v>20500308</v>
      </c>
      <c r="B715" t="s">
        <v>1055</v>
      </c>
    </row>
    <row r="716" spans="1:2">
      <c r="A716">
        <v>20500309</v>
      </c>
      <c r="B716" t="s">
        <v>1056</v>
      </c>
    </row>
    <row r="717" spans="1:2">
      <c r="A717">
        <v>20500401</v>
      </c>
      <c r="B717" t="s">
        <v>1065</v>
      </c>
    </row>
    <row r="718" spans="1:2">
      <c r="A718">
        <v>20500402</v>
      </c>
      <c r="B718" t="s">
        <v>1066</v>
      </c>
    </row>
    <row r="719" spans="1:2">
      <c r="A719">
        <v>20500403</v>
      </c>
      <c r="B719" t="s">
        <v>1067</v>
      </c>
    </row>
    <row r="720" spans="1:2">
      <c r="A720">
        <v>20500404</v>
      </c>
      <c r="B720" t="s">
        <v>1068</v>
      </c>
    </row>
    <row r="721" spans="1:2">
      <c r="A721">
        <v>20500405</v>
      </c>
      <c r="B721" t="s">
        <v>1069</v>
      </c>
    </row>
    <row r="722" spans="1:2">
      <c r="A722">
        <v>20500406</v>
      </c>
      <c r="B722" t="s">
        <v>1070</v>
      </c>
    </row>
    <row r="723" spans="1:2">
      <c r="A723">
        <v>20500407</v>
      </c>
      <c r="B723" t="s">
        <v>1071</v>
      </c>
    </row>
    <row r="724" spans="1:2">
      <c r="A724">
        <v>20500408</v>
      </c>
      <c r="B724" t="s">
        <v>1072</v>
      </c>
    </row>
    <row r="725" spans="1:2">
      <c r="A725">
        <v>20500409</v>
      </c>
      <c r="B725" t="s">
        <v>1073</v>
      </c>
    </row>
    <row r="726" spans="1:2">
      <c r="A726">
        <v>20599901</v>
      </c>
      <c r="B726" t="s">
        <v>1082</v>
      </c>
    </row>
    <row r="727" spans="1:2">
      <c r="A727">
        <v>20599902</v>
      </c>
      <c r="B727" t="s">
        <v>1083</v>
      </c>
    </row>
    <row r="728" spans="1:2">
      <c r="A728">
        <v>20599903</v>
      </c>
      <c r="B728" t="s">
        <v>1084</v>
      </c>
    </row>
    <row r="729" spans="1:2">
      <c r="A729">
        <v>20599904</v>
      </c>
      <c r="B729" t="s">
        <v>1085</v>
      </c>
    </row>
    <row r="730" spans="1:2">
      <c r="A730">
        <v>20599905</v>
      </c>
      <c r="B730" t="s">
        <v>1086</v>
      </c>
    </row>
    <row r="731" spans="1:2">
      <c r="A731">
        <v>20599906</v>
      </c>
      <c r="B731" t="s">
        <v>1087</v>
      </c>
    </row>
    <row r="732" spans="1:2">
      <c r="A732">
        <v>20599907</v>
      </c>
      <c r="B732" t="s">
        <v>1088</v>
      </c>
    </row>
    <row r="733" spans="1:2">
      <c r="A733">
        <v>20599908</v>
      </c>
      <c r="B733" t="s">
        <v>1089</v>
      </c>
    </row>
    <row r="734" spans="1:2">
      <c r="A734">
        <v>20599909</v>
      </c>
      <c r="B734" t="s">
        <v>1090</v>
      </c>
    </row>
    <row r="735" spans="1:2">
      <c r="A735">
        <v>20599910</v>
      </c>
      <c r="B735" t="s">
        <v>1091</v>
      </c>
    </row>
    <row r="736" spans="1:2">
      <c r="A736">
        <v>20599911</v>
      </c>
      <c r="B736" t="s">
        <v>1092</v>
      </c>
    </row>
    <row r="737" spans="1:2">
      <c r="A737">
        <v>20599912</v>
      </c>
      <c r="B737" t="s">
        <v>1093</v>
      </c>
    </row>
    <row r="738" spans="1:2">
      <c r="A738">
        <v>20599913</v>
      </c>
      <c r="B738" t="s">
        <v>1094</v>
      </c>
    </row>
    <row r="739" spans="1:2">
      <c r="A739">
        <v>20599914</v>
      </c>
      <c r="B739" t="s">
        <v>1095</v>
      </c>
    </row>
    <row r="740" spans="1:2">
      <c r="A740">
        <v>20599915</v>
      </c>
      <c r="B740" t="s">
        <v>1096</v>
      </c>
    </row>
    <row r="741" spans="1:2">
      <c r="A741">
        <v>20599916</v>
      </c>
      <c r="B741" t="s">
        <v>1097</v>
      </c>
    </row>
    <row r="742" spans="1:2">
      <c r="A742">
        <v>20599917</v>
      </c>
      <c r="B742" t="s">
        <v>1098</v>
      </c>
    </row>
    <row r="743" spans="1:2">
      <c r="A743">
        <v>20599918</v>
      </c>
      <c r="B743" t="s">
        <v>1099</v>
      </c>
    </row>
    <row r="744" spans="1:2">
      <c r="A744">
        <v>20599919</v>
      </c>
      <c r="B744" t="s">
        <v>1100</v>
      </c>
    </row>
    <row r="745" spans="1:2">
      <c r="A745">
        <v>20599920</v>
      </c>
      <c r="B745" t="s">
        <v>1101</v>
      </c>
    </row>
    <row r="746" spans="1:2">
      <c r="A746">
        <v>20599921</v>
      </c>
      <c r="B746" t="s">
        <v>1102</v>
      </c>
    </row>
    <row r="747" spans="1:2">
      <c r="A747">
        <v>20599922</v>
      </c>
      <c r="B747" t="s">
        <v>1103</v>
      </c>
    </row>
    <row r="748" spans="1:2">
      <c r="A748">
        <v>20599923</v>
      </c>
      <c r="B748" t="s">
        <v>1104</v>
      </c>
    </row>
    <row r="749" spans="1:2">
      <c r="A749">
        <v>20599924</v>
      </c>
      <c r="B749" t="s">
        <v>1105</v>
      </c>
    </row>
    <row r="750" spans="1:2">
      <c r="A750">
        <v>20599925</v>
      </c>
      <c r="B750" t="s">
        <v>1106</v>
      </c>
    </row>
    <row r="751" spans="1:2">
      <c r="A751">
        <v>20599926</v>
      </c>
      <c r="B751" t="s">
        <v>1107</v>
      </c>
    </row>
    <row r="752" spans="1:2">
      <c r="A752">
        <v>20599927</v>
      </c>
      <c r="B752" t="s">
        <v>1108</v>
      </c>
    </row>
    <row r="753" spans="1:2">
      <c r="A753">
        <v>20500310</v>
      </c>
      <c r="B753" t="s">
        <v>1057</v>
      </c>
    </row>
    <row r="754" spans="1:2">
      <c r="A754">
        <v>20500311</v>
      </c>
      <c r="B754" t="s">
        <v>1058</v>
      </c>
    </row>
    <row r="755" spans="1:2">
      <c r="A755">
        <v>20500312</v>
      </c>
      <c r="B755" t="s">
        <v>1059</v>
      </c>
    </row>
    <row r="756" spans="1:2">
      <c r="A756">
        <v>20500313</v>
      </c>
      <c r="B756" t="s">
        <v>1060</v>
      </c>
    </row>
    <row r="757" spans="1:2">
      <c r="A757">
        <v>20500314</v>
      </c>
      <c r="B757" t="s">
        <v>1061</v>
      </c>
    </row>
    <row r="758" spans="1:2">
      <c r="A758">
        <v>20500315</v>
      </c>
      <c r="B758" t="s">
        <v>1062</v>
      </c>
    </row>
    <row r="759" spans="1:2">
      <c r="A759">
        <v>20500316</v>
      </c>
      <c r="B759" t="s">
        <v>1063</v>
      </c>
    </row>
    <row r="760" spans="1:2">
      <c r="A760">
        <v>20500317</v>
      </c>
      <c r="B760" t="s">
        <v>1064</v>
      </c>
    </row>
    <row r="761" spans="1:2">
      <c r="A761">
        <v>20500410</v>
      </c>
      <c r="B761" t="s">
        <v>1074</v>
      </c>
    </row>
    <row r="762" spans="1:2">
      <c r="A762">
        <v>20500411</v>
      </c>
      <c r="B762" t="s">
        <v>1075</v>
      </c>
    </row>
    <row r="763" spans="1:2">
      <c r="A763">
        <v>20500412</v>
      </c>
      <c r="B763" t="s">
        <v>1076</v>
      </c>
    </row>
    <row r="764" spans="1:2">
      <c r="A764">
        <v>20500413</v>
      </c>
      <c r="B764" t="s">
        <v>1077</v>
      </c>
    </row>
    <row r="765" spans="1:2">
      <c r="A765">
        <v>20500414</v>
      </c>
      <c r="B765" t="s">
        <v>1078</v>
      </c>
    </row>
    <row r="766" spans="1:2">
      <c r="A766">
        <v>20500415</v>
      </c>
      <c r="B766" t="s">
        <v>1079</v>
      </c>
    </row>
    <row r="767" spans="1:2">
      <c r="A767">
        <v>20500416</v>
      </c>
      <c r="B767" t="s">
        <v>1080</v>
      </c>
    </row>
    <row r="768" spans="1:2">
      <c r="A768">
        <v>20500417</v>
      </c>
      <c r="B768" t="s">
        <v>1081</v>
      </c>
    </row>
    <row r="769" spans="1:2">
      <c r="A769">
        <v>20599928</v>
      </c>
      <c r="B769" t="s">
        <v>1109</v>
      </c>
    </row>
    <row r="770" spans="1:2">
      <c r="A770">
        <v>20599929</v>
      </c>
      <c r="B770" t="s">
        <v>1110</v>
      </c>
    </row>
    <row r="771" spans="1:2">
      <c r="A771">
        <v>20599930</v>
      </c>
      <c r="B771" t="s">
        <v>1111</v>
      </c>
    </row>
    <row r="772" spans="1:2">
      <c r="A772">
        <v>20599931</v>
      </c>
      <c r="B772" t="s">
        <v>1112</v>
      </c>
    </row>
    <row r="773" spans="1:2">
      <c r="A773">
        <v>20599932</v>
      </c>
      <c r="B773" t="s">
        <v>1113</v>
      </c>
    </row>
    <row r="774" spans="1:2">
      <c r="A774">
        <v>20599933</v>
      </c>
      <c r="B774" t="s">
        <v>1114</v>
      </c>
    </row>
    <row r="775" spans="1:2">
      <c r="A775">
        <v>20599934</v>
      </c>
      <c r="B775" t="s">
        <v>1115</v>
      </c>
    </row>
    <row r="776" spans="1:2">
      <c r="A776">
        <v>20599935</v>
      </c>
      <c r="B776" t="s">
        <v>1116</v>
      </c>
    </row>
    <row r="777" spans="1:2">
      <c r="A777">
        <v>21000501</v>
      </c>
      <c r="B777" t="s">
        <v>1117</v>
      </c>
    </row>
    <row r="778" spans="1:2">
      <c r="A778">
        <v>21000502</v>
      </c>
      <c r="B778" t="s">
        <v>1118</v>
      </c>
    </row>
    <row r="779" spans="1:2">
      <c r="A779">
        <v>21000503</v>
      </c>
      <c r="B779" t="s">
        <v>1119</v>
      </c>
    </row>
    <row r="780" spans="1:2">
      <c r="A780">
        <v>21000504</v>
      </c>
      <c r="B780" t="s">
        <v>1120</v>
      </c>
    </row>
    <row r="781" spans="1:2">
      <c r="A781">
        <v>21000505</v>
      </c>
      <c r="B781" t="s">
        <v>1121</v>
      </c>
    </row>
    <row r="782" spans="1:2">
      <c r="A782">
        <v>21000506</v>
      </c>
      <c r="B782" t="s">
        <v>1122</v>
      </c>
    </row>
    <row r="783" spans="1:2">
      <c r="A783">
        <v>21000507</v>
      </c>
      <c r="B783" t="s">
        <v>1123</v>
      </c>
    </row>
    <row r="784" spans="1:2">
      <c r="A784">
        <v>21000508</v>
      </c>
      <c r="B784" t="s">
        <v>1124</v>
      </c>
    </row>
    <row r="785" spans="1:2">
      <c r="A785">
        <v>21000509</v>
      </c>
      <c r="B785" t="s">
        <v>1125</v>
      </c>
    </row>
    <row r="786" spans="1:2">
      <c r="A786">
        <v>21000510</v>
      </c>
      <c r="B786" t="s">
        <v>1126</v>
      </c>
    </row>
    <row r="787" spans="1:2">
      <c r="A787">
        <v>21000511</v>
      </c>
      <c r="B787" t="s">
        <v>1127</v>
      </c>
    </row>
    <row r="788" spans="1:2">
      <c r="A788">
        <v>21000512</v>
      </c>
      <c r="B788" t="s">
        <v>1128</v>
      </c>
    </row>
    <row r="789" spans="1:2">
      <c r="A789">
        <v>21000513</v>
      </c>
      <c r="B789" t="s">
        <v>1129</v>
      </c>
    </row>
    <row r="790" spans="1:2">
      <c r="A790">
        <v>21000514</v>
      </c>
      <c r="B790" t="s">
        <v>1130</v>
      </c>
    </row>
    <row r="791" spans="1:2">
      <c r="A791">
        <v>21000515</v>
      </c>
      <c r="B791" t="s">
        <v>1131</v>
      </c>
    </row>
    <row r="792" spans="1:2">
      <c r="A792">
        <v>21000516</v>
      </c>
      <c r="B792" t="s">
        <v>1132</v>
      </c>
    </row>
    <row r="793" spans="1:2">
      <c r="A793">
        <v>21000517</v>
      </c>
      <c r="B793" t="s">
        <v>1133</v>
      </c>
    </row>
    <row r="794" spans="1:2">
      <c r="A794">
        <v>21000518</v>
      </c>
      <c r="B794" t="s">
        <v>1134</v>
      </c>
    </row>
    <row r="795" spans="1:2">
      <c r="A795">
        <v>21000519</v>
      </c>
      <c r="B795" t="s">
        <v>1135</v>
      </c>
    </row>
    <row r="796" spans="1:2">
      <c r="A796">
        <v>21000520</v>
      </c>
      <c r="B796" t="s">
        <v>1136</v>
      </c>
    </row>
    <row r="797" spans="1:2">
      <c r="A797">
        <v>21000521</v>
      </c>
      <c r="B797" t="s">
        <v>1137</v>
      </c>
    </row>
    <row r="798" spans="1:2">
      <c r="A798">
        <v>21000522</v>
      </c>
      <c r="B798" t="s">
        <v>1138</v>
      </c>
    </row>
    <row r="799" spans="1:2">
      <c r="A799">
        <v>21000523</v>
      </c>
      <c r="B799" t="s">
        <v>1139</v>
      </c>
    </row>
    <row r="800" spans="1:2">
      <c r="A800">
        <v>21000524</v>
      </c>
      <c r="B800" t="s">
        <v>1140</v>
      </c>
    </row>
    <row r="801" spans="1:2">
      <c r="A801">
        <v>21000525</v>
      </c>
      <c r="B801" t="s">
        <v>1141</v>
      </c>
    </row>
    <row r="802" spans="1:2">
      <c r="A802">
        <v>21000526</v>
      </c>
      <c r="B802" t="s">
        <v>1142</v>
      </c>
    </row>
    <row r="803" spans="1:2">
      <c r="A803">
        <v>21000527</v>
      </c>
      <c r="B803" t="s">
        <v>1143</v>
      </c>
    </row>
    <row r="804" spans="1:2">
      <c r="A804">
        <v>21000528</v>
      </c>
      <c r="B804" t="s">
        <v>1144</v>
      </c>
    </row>
    <row r="805" spans="1:2">
      <c r="A805">
        <v>21000529</v>
      </c>
      <c r="B805" t="s">
        <v>1145</v>
      </c>
    </row>
    <row r="806" spans="1:2">
      <c r="A806">
        <v>21000530</v>
      </c>
      <c r="B806" t="s">
        <v>1146</v>
      </c>
    </row>
    <row r="807" spans="1:2">
      <c r="A807">
        <v>21000531</v>
      </c>
      <c r="B807" t="s">
        <v>1147</v>
      </c>
    </row>
    <row r="808" spans="1:2">
      <c r="A808">
        <v>21000532</v>
      </c>
      <c r="B808" t="s">
        <v>1148</v>
      </c>
    </row>
    <row r="809" spans="1:2">
      <c r="A809">
        <v>22000601</v>
      </c>
      <c r="B809" t="s">
        <v>1149</v>
      </c>
    </row>
    <row r="810" spans="1:2">
      <c r="A810">
        <v>22000602</v>
      </c>
      <c r="B810" t="s">
        <v>1150</v>
      </c>
    </row>
    <row r="811" spans="1:2">
      <c r="A811">
        <v>22000603</v>
      </c>
      <c r="B811" t="s">
        <v>1151</v>
      </c>
    </row>
    <row r="812" spans="1:2">
      <c r="A812">
        <v>22000604</v>
      </c>
      <c r="B812" t="s">
        <v>1152</v>
      </c>
    </row>
    <row r="813" spans="1:2">
      <c r="A813">
        <v>22000605</v>
      </c>
      <c r="B813" t="s">
        <v>1153</v>
      </c>
    </row>
    <row r="814" spans="1:2">
      <c r="A814">
        <v>22000606</v>
      </c>
      <c r="B814" t="s">
        <v>1154</v>
      </c>
    </row>
    <row r="815" spans="1:2">
      <c r="A815">
        <v>22000607</v>
      </c>
      <c r="B815" t="s">
        <v>1155</v>
      </c>
    </row>
    <row r="816" spans="1:2">
      <c r="A816">
        <v>22000608</v>
      </c>
      <c r="B816" t="s">
        <v>1156</v>
      </c>
    </row>
    <row r="817" spans="1:2">
      <c r="A817">
        <v>22000609</v>
      </c>
      <c r="B817" t="s">
        <v>1157</v>
      </c>
    </row>
    <row r="818" spans="1:2">
      <c r="A818">
        <v>22000610</v>
      </c>
      <c r="B818" t="s">
        <v>1158</v>
      </c>
    </row>
    <row r="819" spans="1:2">
      <c r="A819">
        <v>22000611</v>
      </c>
      <c r="B819" t="s">
        <v>1159</v>
      </c>
    </row>
    <row r="820" spans="1:2">
      <c r="A820">
        <v>22000612</v>
      </c>
      <c r="B820" t="s">
        <v>1160</v>
      </c>
    </row>
    <row r="821" spans="1:2">
      <c r="A821">
        <v>22000613</v>
      </c>
      <c r="B821" t="s">
        <v>1161</v>
      </c>
    </row>
    <row r="822" spans="1:2">
      <c r="A822">
        <v>22000614</v>
      </c>
      <c r="B822" t="s">
        <v>1162</v>
      </c>
    </row>
    <row r="823" spans="1:2">
      <c r="A823">
        <v>22000615</v>
      </c>
      <c r="B823" t="s">
        <v>1163</v>
      </c>
    </row>
    <row r="824" spans="1:2">
      <c r="A824">
        <v>22000616</v>
      </c>
      <c r="B824" t="s">
        <v>1164</v>
      </c>
    </row>
    <row r="825" spans="1:2">
      <c r="A825">
        <v>22000617</v>
      </c>
      <c r="B825" t="s">
        <v>1165</v>
      </c>
    </row>
    <row r="826" spans="1:2">
      <c r="A826">
        <v>22500701</v>
      </c>
      <c r="B826" t="s">
        <v>1166</v>
      </c>
    </row>
    <row r="827" spans="1:2">
      <c r="A827">
        <v>22500702</v>
      </c>
      <c r="B827" t="s">
        <v>1167</v>
      </c>
    </row>
    <row r="828" spans="1:2">
      <c r="A828">
        <v>22500703</v>
      </c>
      <c r="B828" t="s">
        <v>1168</v>
      </c>
    </row>
    <row r="829" spans="1:2">
      <c r="A829">
        <v>22500704</v>
      </c>
      <c r="B829" t="s">
        <v>1169</v>
      </c>
    </row>
    <row r="830" spans="1:2">
      <c r="A830">
        <v>22500705</v>
      </c>
      <c r="B830" t="s">
        <v>1170</v>
      </c>
    </row>
    <row r="831" spans="1:2">
      <c r="A831">
        <v>22500706</v>
      </c>
      <c r="B831" t="s">
        <v>1171</v>
      </c>
    </row>
    <row r="832" spans="1:2">
      <c r="A832">
        <v>22500707</v>
      </c>
      <c r="B832" t="s">
        <v>1172</v>
      </c>
    </row>
    <row r="833" spans="1:2">
      <c r="A833">
        <v>22500708</v>
      </c>
      <c r="B833" t="s">
        <v>1173</v>
      </c>
    </row>
    <row r="834" spans="1:2">
      <c r="A834">
        <v>22500709</v>
      </c>
      <c r="B834" t="s">
        <v>1174</v>
      </c>
    </row>
    <row r="835" spans="1:2">
      <c r="A835">
        <v>22500710</v>
      </c>
      <c r="B835" t="s">
        <v>1167</v>
      </c>
    </row>
    <row r="836" spans="1:2">
      <c r="A836">
        <v>22500711</v>
      </c>
      <c r="B836" t="s">
        <v>1175</v>
      </c>
    </row>
    <row r="837" spans="1:2">
      <c r="A837">
        <v>22500712</v>
      </c>
      <c r="B837" t="s">
        <v>1176</v>
      </c>
    </row>
    <row r="838" spans="1:2">
      <c r="A838">
        <v>22500713</v>
      </c>
      <c r="B838" t="s">
        <v>1168</v>
      </c>
    </row>
    <row r="839" spans="1:2">
      <c r="A839">
        <v>22500714</v>
      </c>
      <c r="B839" t="s">
        <v>1169</v>
      </c>
    </row>
    <row r="840" spans="1:2">
      <c r="A840">
        <v>22500715</v>
      </c>
      <c r="B840" t="s">
        <v>1170</v>
      </c>
    </row>
    <row r="841" spans="1:2">
      <c r="A841">
        <v>22500716</v>
      </c>
      <c r="B841" t="s">
        <v>1171</v>
      </c>
    </row>
    <row r="842" spans="1:2">
      <c r="A842">
        <v>22500801</v>
      </c>
      <c r="B842" t="s">
        <v>1177</v>
      </c>
    </row>
    <row r="843" spans="1:2">
      <c r="A843">
        <v>22500802</v>
      </c>
      <c r="B843" t="s">
        <v>1178</v>
      </c>
    </row>
    <row r="844" spans="1:2">
      <c r="A844">
        <v>22500803</v>
      </c>
      <c r="B844" t="s">
        <v>1179</v>
      </c>
    </row>
    <row r="845" spans="1:2">
      <c r="A845">
        <v>22500804</v>
      </c>
      <c r="B845" t="s">
        <v>1180</v>
      </c>
    </row>
    <row r="846" spans="1:2">
      <c r="A846">
        <v>22500805</v>
      </c>
      <c r="B846" t="s">
        <v>1181</v>
      </c>
    </row>
    <row r="847" spans="1:2">
      <c r="A847">
        <v>22500806</v>
      </c>
      <c r="B847" t="s">
        <v>1182</v>
      </c>
    </row>
    <row r="848" spans="1:2">
      <c r="A848">
        <v>23000901</v>
      </c>
      <c r="B848" t="s">
        <v>1183</v>
      </c>
    </row>
    <row r="849" spans="1:2">
      <c r="A849">
        <v>23000902</v>
      </c>
      <c r="B849" t="s">
        <v>1184</v>
      </c>
    </row>
    <row r="850" spans="1:2">
      <c r="A850">
        <v>23000903</v>
      </c>
      <c r="B850" t="s">
        <v>1185</v>
      </c>
    </row>
    <row r="851" spans="1:2">
      <c r="A851">
        <v>23000904</v>
      </c>
      <c r="B851" t="s">
        <v>1186</v>
      </c>
    </row>
    <row r="852" spans="1:2">
      <c r="A852">
        <v>23000905</v>
      </c>
      <c r="B852" t="s">
        <v>1187</v>
      </c>
    </row>
    <row r="853" spans="1:2">
      <c r="A853">
        <v>23000906</v>
      </c>
      <c r="B853" t="s">
        <v>1188</v>
      </c>
    </row>
    <row r="854" spans="1:2">
      <c r="A854">
        <v>29901001</v>
      </c>
      <c r="B854" t="s">
        <v>1189</v>
      </c>
    </row>
    <row r="855" spans="1:2">
      <c r="A855" t="s">
        <v>1898</v>
      </c>
      <c r="B855" t="s">
        <v>1899</v>
      </c>
    </row>
    <row r="856" spans="1:2">
      <c r="A856" t="s">
        <v>1900</v>
      </c>
      <c r="B856" t="s">
        <v>1901</v>
      </c>
    </row>
    <row r="857" spans="1:2">
      <c r="A857" t="s">
        <v>1902</v>
      </c>
      <c r="B857" t="s">
        <v>1903</v>
      </c>
    </row>
    <row r="858" spans="1:2">
      <c r="A858" t="s">
        <v>1904</v>
      </c>
      <c r="B858" t="s">
        <v>1905</v>
      </c>
    </row>
    <row r="859" spans="1:2">
      <c r="A859" t="s">
        <v>1906</v>
      </c>
      <c r="B859" t="s">
        <v>1907</v>
      </c>
    </row>
    <row r="860" spans="1:2">
      <c r="A860" t="s">
        <v>1908</v>
      </c>
      <c r="B860" t="s">
        <v>1909</v>
      </c>
    </row>
    <row r="861" spans="1:2">
      <c r="A861" t="s">
        <v>1910</v>
      </c>
      <c r="B861" t="s">
        <v>1911</v>
      </c>
    </row>
    <row r="862" spans="1:2">
      <c r="A862" t="s">
        <v>1912</v>
      </c>
      <c r="B862" t="s">
        <v>1913</v>
      </c>
    </row>
    <row r="863" spans="1:2">
      <c r="A863" t="s">
        <v>1914</v>
      </c>
      <c r="B863" t="s">
        <v>1915</v>
      </c>
    </row>
    <row r="864" spans="1:2">
      <c r="A864" t="s">
        <v>1916</v>
      </c>
      <c r="B864" t="s">
        <v>1917</v>
      </c>
    </row>
    <row r="865" spans="1:2">
      <c r="A865" t="s">
        <v>1918</v>
      </c>
      <c r="B865" t="s">
        <v>1919</v>
      </c>
    </row>
    <row r="866" spans="1:2">
      <c r="A866" t="s">
        <v>1920</v>
      </c>
      <c r="B866" t="s">
        <v>1921</v>
      </c>
    </row>
    <row r="867" spans="1:2">
      <c r="A867" t="s">
        <v>1922</v>
      </c>
      <c r="B867" t="s">
        <v>1923</v>
      </c>
    </row>
    <row r="868" spans="1:2">
      <c r="A868" t="s">
        <v>1924</v>
      </c>
      <c r="B868" t="s">
        <v>1925</v>
      </c>
    </row>
    <row r="869" spans="1:2">
      <c r="A869" t="s">
        <v>1926</v>
      </c>
      <c r="B869" t="s">
        <v>1927</v>
      </c>
    </row>
    <row r="870" spans="1:2">
      <c r="A870" t="s">
        <v>1928</v>
      </c>
      <c r="B870" t="s">
        <v>1929</v>
      </c>
    </row>
    <row r="871" spans="1:2">
      <c r="A871" t="s">
        <v>1930</v>
      </c>
      <c r="B871" t="s">
        <v>1931</v>
      </c>
    </row>
    <row r="872" spans="1:2">
      <c r="A872" t="s">
        <v>1932</v>
      </c>
      <c r="B872" t="s">
        <v>1933</v>
      </c>
    </row>
    <row r="873" spans="1:2">
      <c r="A873">
        <v>30100101</v>
      </c>
      <c r="B873" t="s">
        <v>1190</v>
      </c>
    </row>
    <row r="874" spans="1:2">
      <c r="A874">
        <v>30100201</v>
      </c>
      <c r="B874" t="s">
        <v>1191</v>
      </c>
    </row>
    <row r="875" spans="1:2">
      <c r="A875">
        <v>30199901</v>
      </c>
      <c r="B875" t="s">
        <v>1192</v>
      </c>
    </row>
    <row r="876" spans="1:2">
      <c r="A876">
        <v>30500301</v>
      </c>
      <c r="B876" t="s">
        <v>1193</v>
      </c>
    </row>
    <row r="877" spans="1:2">
      <c r="A877">
        <v>30500302</v>
      </c>
      <c r="B877" t="s">
        <v>1194</v>
      </c>
    </row>
    <row r="878" spans="1:2">
      <c r="A878">
        <v>30500303</v>
      </c>
      <c r="B878" t="s">
        <v>1195</v>
      </c>
    </row>
    <row r="879" spans="1:2">
      <c r="A879">
        <v>30500304</v>
      </c>
      <c r="B879" t="s">
        <v>1196</v>
      </c>
    </row>
    <row r="880" spans="1:2">
      <c r="A880">
        <v>30500305</v>
      </c>
      <c r="B880" t="s">
        <v>1197</v>
      </c>
    </row>
    <row r="881" spans="1:2">
      <c r="A881">
        <v>30500306</v>
      </c>
      <c r="B881" t="s">
        <v>1198</v>
      </c>
    </row>
    <row r="882" spans="1:2">
      <c r="A882">
        <v>30500307</v>
      </c>
      <c r="B882" t="s">
        <v>1197</v>
      </c>
    </row>
    <row r="883" spans="1:2">
      <c r="A883">
        <v>30500308</v>
      </c>
      <c r="B883" t="s">
        <v>1199</v>
      </c>
    </row>
    <row r="884" spans="1:2">
      <c r="A884">
        <v>30500309</v>
      </c>
      <c r="B884" t="s">
        <v>1200</v>
      </c>
    </row>
    <row r="885" spans="1:2">
      <c r="A885">
        <v>30500401</v>
      </c>
      <c r="B885" t="s">
        <v>1209</v>
      </c>
    </row>
    <row r="886" spans="1:2">
      <c r="A886">
        <v>30500402</v>
      </c>
      <c r="B886" t="s">
        <v>1210</v>
      </c>
    </row>
    <row r="887" spans="1:2">
      <c r="A887">
        <v>30500403</v>
      </c>
      <c r="B887" t="s">
        <v>1211</v>
      </c>
    </row>
    <row r="888" spans="1:2">
      <c r="A888">
        <v>30500404</v>
      </c>
      <c r="B888" t="s">
        <v>1212</v>
      </c>
    </row>
    <row r="889" spans="1:2">
      <c r="A889">
        <v>30500405</v>
      </c>
      <c r="B889" t="s">
        <v>1213</v>
      </c>
    </row>
    <row r="890" spans="1:2">
      <c r="A890">
        <v>30500406</v>
      </c>
      <c r="B890" t="s">
        <v>1214</v>
      </c>
    </row>
    <row r="891" spans="1:2">
      <c r="A891">
        <v>30500407</v>
      </c>
      <c r="B891" t="s">
        <v>1215</v>
      </c>
    </row>
    <row r="892" spans="1:2">
      <c r="A892">
        <v>30500408</v>
      </c>
      <c r="B892" t="s">
        <v>1216</v>
      </c>
    </row>
    <row r="893" spans="1:2">
      <c r="A893">
        <v>30500409</v>
      </c>
      <c r="B893" t="s">
        <v>1217</v>
      </c>
    </row>
    <row r="894" spans="1:2">
      <c r="A894">
        <v>30599901</v>
      </c>
      <c r="B894" t="s">
        <v>1226</v>
      </c>
    </row>
    <row r="895" spans="1:2">
      <c r="A895">
        <v>30599902</v>
      </c>
      <c r="B895" t="s">
        <v>1227</v>
      </c>
    </row>
    <row r="896" spans="1:2">
      <c r="A896">
        <v>30599903</v>
      </c>
      <c r="B896" t="s">
        <v>1228</v>
      </c>
    </row>
    <row r="897" spans="1:2">
      <c r="A897">
        <v>30599904</v>
      </c>
      <c r="B897" t="s">
        <v>1229</v>
      </c>
    </row>
    <row r="898" spans="1:2">
      <c r="A898">
        <v>30599905</v>
      </c>
      <c r="B898" t="s">
        <v>1230</v>
      </c>
    </row>
    <row r="899" spans="1:2">
      <c r="A899">
        <v>30599906</v>
      </c>
      <c r="B899" t="s">
        <v>1231</v>
      </c>
    </row>
    <row r="900" spans="1:2">
      <c r="A900">
        <v>30599907</v>
      </c>
      <c r="B900" t="s">
        <v>1232</v>
      </c>
    </row>
    <row r="901" spans="1:2">
      <c r="A901">
        <v>30599908</v>
      </c>
      <c r="B901" t="s">
        <v>1233</v>
      </c>
    </row>
    <row r="902" spans="1:2">
      <c r="A902">
        <v>30599909</v>
      </c>
      <c r="B902" t="s">
        <v>1234</v>
      </c>
    </row>
    <row r="903" spans="1:2">
      <c r="A903">
        <v>30599910</v>
      </c>
      <c r="B903" t="s">
        <v>1235</v>
      </c>
    </row>
    <row r="904" spans="1:2">
      <c r="A904">
        <v>30599911</v>
      </c>
      <c r="B904" t="s">
        <v>1236</v>
      </c>
    </row>
    <row r="905" spans="1:2">
      <c r="A905">
        <v>30599912</v>
      </c>
      <c r="B905" t="s">
        <v>1237</v>
      </c>
    </row>
    <row r="906" spans="1:2">
      <c r="A906">
        <v>30599913</v>
      </c>
      <c r="B906" t="s">
        <v>1238</v>
      </c>
    </row>
    <row r="907" spans="1:2">
      <c r="A907">
        <v>30599914</v>
      </c>
      <c r="B907" t="s">
        <v>1239</v>
      </c>
    </row>
    <row r="908" spans="1:2">
      <c r="A908">
        <v>30599915</v>
      </c>
      <c r="B908" t="s">
        <v>1240</v>
      </c>
    </row>
    <row r="909" spans="1:2">
      <c r="A909">
        <v>30599916</v>
      </c>
      <c r="B909" t="s">
        <v>1241</v>
      </c>
    </row>
    <row r="910" spans="1:2">
      <c r="A910">
        <v>30599917</v>
      </c>
      <c r="B910" t="s">
        <v>1242</v>
      </c>
    </row>
    <row r="911" spans="1:2">
      <c r="A911">
        <v>30599918</v>
      </c>
      <c r="B911" t="s">
        <v>1243</v>
      </c>
    </row>
    <row r="912" spans="1:2">
      <c r="A912">
        <v>30599919</v>
      </c>
      <c r="B912" t="s">
        <v>1244</v>
      </c>
    </row>
    <row r="913" spans="1:2">
      <c r="A913">
        <v>30599920</v>
      </c>
      <c r="B913" t="s">
        <v>1245</v>
      </c>
    </row>
    <row r="914" spans="1:2">
      <c r="A914">
        <v>30599921</v>
      </c>
      <c r="B914" t="s">
        <v>1246</v>
      </c>
    </row>
    <row r="915" spans="1:2">
      <c r="A915">
        <v>30599922</v>
      </c>
      <c r="B915" t="s">
        <v>1247</v>
      </c>
    </row>
    <row r="916" spans="1:2">
      <c r="A916">
        <v>30599923</v>
      </c>
      <c r="B916" t="s">
        <v>1248</v>
      </c>
    </row>
    <row r="917" spans="1:2">
      <c r="A917">
        <v>30599924</v>
      </c>
      <c r="B917" t="s">
        <v>1249</v>
      </c>
    </row>
    <row r="918" spans="1:2">
      <c r="A918">
        <v>30599925</v>
      </c>
      <c r="B918" t="s">
        <v>1250</v>
      </c>
    </row>
    <row r="919" spans="1:2">
      <c r="A919">
        <v>30599926</v>
      </c>
      <c r="B919" t="s">
        <v>1251</v>
      </c>
    </row>
    <row r="920" spans="1:2">
      <c r="A920">
        <v>30599927</v>
      </c>
      <c r="B920" t="s">
        <v>1252</v>
      </c>
    </row>
    <row r="921" spans="1:2">
      <c r="A921">
        <v>30500310</v>
      </c>
      <c r="B921" t="s">
        <v>1201</v>
      </c>
    </row>
    <row r="922" spans="1:2">
      <c r="A922">
        <v>30500311</v>
      </c>
      <c r="B922" t="s">
        <v>1202</v>
      </c>
    </row>
    <row r="923" spans="1:2">
      <c r="A923">
        <v>30500312</v>
      </c>
      <c r="B923" t="s">
        <v>1203</v>
      </c>
    </row>
    <row r="924" spans="1:2">
      <c r="A924">
        <v>30500313</v>
      </c>
      <c r="B924" t="s">
        <v>1204</v>
      </c>
    </row>
    <row r="925" spans="1:2">
      <c r="A925">
        <v>30500314</v>
      </c>
      <c r="B925" t="s">
        <v>1205</v>
      </c>
    </row>
    <row r="926" spans="1:2">
      <c r="A926">
        <v>30500315</v>
      </c>
      <c r="B926" t="s">
        <v>1206</v>
      </c>
    </row>
    <row r="927" spans="1:2">
      <c r="A927">
        <v>30500316</v>
      </c>
      <c r="B927" t="s">
        <v>1207</v>
      </c>
    </row>
    <row r="928" spans="1:2">
      <c r="A928">
        <v>30500317</v>
      </c>
      <c r="B928" t="s">
        <v>1208</v>
      </c>
    </row>
    <row r="929" spans="1:2">
      <c r="A929">
        <v>30500410</v>
      </c>
      <c r="B929" t="s">
        <v>1218</v>
      </c>
    </row>
    <row r="930" spans="1:2">
      <c r="A930">
        <v>30500411</v>
      </c>
      <c r="B930" t="s">
        <v>1219</v>
      </c>
    </row>
    <row r="931" spans="1:2">
      <c r="A931">
        <v>30500412</v>
      </c>
      <c r="B931" t="s">
        <v>1220</v>
      </c>
    </row>
    <row r="932" spans="1:2">
      <c r="A932">
        <v>30500413</v>
      </c>
      <c r="B932" t="s">
        <v>1221</v>
      </c>
    </row>
    <row r="933" spans="1:2">
      <c r="A933">
        <v>30500414</v>
      </c>
      <c r="B933" t="s">
        <v>1222</v>
      </c>
    </row>
    <row r="934" spans="1:2">
      <c r="A934">
        <v>30500415</v>
      </c>
      <c r="B934" t="s">
        <v>1223</v>
      </c>
    </row>
    <row r="935" spans="1:2">
      <c r="A935">
        <v>30500416</v>
      </c>
      <c r="B935" t="s">
        <v>1224</v>
      </c>
    </row>
    <row r="936" spans="1:2">
      <c r="A936">
        <v>30500417</v>
      </c>
      <c r="B936" t="s">
        <v>1225</v>
      </c>
    </row>
    <row r="937" spans="1:2">
      <c r="A937">
        <v>30599928</v>
      </c>
      <c r="B937" t="s">
        <v>1253</v>
      </c>
    </row>
    <row r="938" spans="1:2">
      <c r="A938">
        <v>30599929</v>
      </c>
      <c r="B938" t="s">
        <v>1254</v>
      </c>
    </row>
    <row r="939" spans="1:2">
      <c r="A939">
        <v>30599930</v>
      </c>
      <c r="B939" t="s">
        <v>1255</v>
      </c>
    </row>
    <row r="940" spans="1:2">
      <c r="A940">
        <v>30599931</v>
      </c>
      <c r="B940" t="s">
        <v>1256</v>
      </c>
    </row>
    <row r="941" spans="1:2">
      <c r="A941">
        <v>30599932</v>
      </c>
      <c r="B941" t="s">
        <v>1257</v>
      </c>
    </row>
    <row r="942" spans="1:2">
      <c r="A942">
        <v>30599933</v>
      </c>
      <c r="B942" t="s">
        <v>1258</v>
      </c>
    </row>
    <row r="943" spans="1:2">
      <c r="A943">
        <v>30599934</v>
      </c>
      <c r="B943" t="s">
        <v>1259</v>
      </c>
    </row>
    <row r="944" spans="1:2">
      <c r="A944">
        <v>30599935</v>
      </c>
      <c r="B944" t="s">
        <v>1260</v>
      </c>
    </row>
    <row r="945" spans="1:2">
      <c r="A945">
        <v>31000501</v>
      </c>
      <c r="B945" t="s">
        <v>1261</v>
      </c>
    </row>
    <row r="946" spans="1:2">
      <c r="A946">
        <v>31000502</v>
      </c>
      <c r="B946" t="s">
        <v>1262</v>
      </c>
    </row>
    <row r="947" spans="1:2">
      <c r="A947">
        <v>31000503</v>
      </c>
      <c r="B947" t="s">
        <v>1263</v>
      </c>
    </row>
    <row r="948" spans="1:2">
      <c r="A948">
        <v>31000504</v>
      </c>
      <c r="B948" t="s">
        <v>1264</v>
      </c>
    </row>
    <row r="949" spans="1:2">
      <c r="A949">
        <v>31000505</v>
      </c>
      <c r="B949" t="s">
        <v>1265</v>
      </c>
    </row>
    <row r="950" spans="1:2">
      <c r="A950">
        <v>31000506</v>
      </c>
      <c r="B950" t="s">
        <v>1266</v>
      </c>
    </row>
    <row r="951" spans="1:2">
      <c r="A951">
        <v>31000507</v>
      </c>
      <c r="B951" t="s">
        <v>1267</v>
      </c>
    </row>
    <row r="952" spans="1:2">
      <c r="A952">
        <v>31000508</v>
      </c>
      <c r="B952" t="s">
        <v>1268</v>
      </c>
    </row>
    <row r="953" spans="1:2">
      <c r="A953">
        <v>31000509</v>
      </c>
      <c r="B953" t="s">
        <v>1269</v>
      </c>
    </row>
    <row r="954" spans="1:2">
      <c r="A954">
        <v>31000510</v>
      </c>
      <c r="B954" t="s">
        <v>1270</v>
      </c>
    </row>
    <row r="955" spans="1:2">
      <c r="A955">
        <v>31000511</v>
      </c>
      <c r="B955" t="s">
        <v>1271</v>
      </c>
    </row>
    <row r="956" spans="1:2">
      <c r="A956">
        <v>31000512</v>
      </c>
      <c r="B956" t="s">
        <v>1272</v>
      </c>
    </row>
    <row r="957" spans="1:2">
      <c r="A957">
        <v>31000513</v>
      </c>
      <c r="B957" t="s">
        <v>1273</v>
      </c>
    </row>
    <row r="958" spans="1:2">
      <c r="A958">
        <v>31000514</v>
      </c>
      <c r="B958" t="s">
        <v>1274</v>
      </c>
    </row>
    <row r="959" spans="1:2">
      <c r="A959">
        <v>31000515</v>
      </c>
      <c r="B959" t="s">
        <v>1275</v>
      </c>
    </row>
    <row r="960" spans="1:2">
      <c r="A960">
        <v>31000516</v>
      </c>
      <c r="B960" t="s">
        <v>1276</v>
      </c>
    </row>
    <row r="961" spans="1:2">
      <c r="A961">
        <v>31000517</v>
      </c>
      <c r="B961" t="s">
        <v>1277</v>
      </c>
    </row>
    <row r="962" spans="1:2">
      <c r="A962">
        <v>31000518</v>
      </c>
      <c r="B962" t="s">
        <v>1278</v>
      </c>
    </row>
    <row r="963" spans="1:2">
      <c r="A963">
        <v>31000519</v>
      </c>
      <c r="B963" t="s">
        <v>1279</v>
      </c>
    </row>
    <row r="964" spans="1:2">
      <c r="A964">
        <v>31000520</v>
      </c>
      <c r="B964" t="s">
        <v>1280</v>
      </c>
    </row>
    <row r="965" spans="1:2">
      <c r="A965">
        <v>31000521</v>
      </c>
      <c r="B965" t="s">
        <v>1281</v>
      </c>
    </row>
    <row r="966" spans="1:2">
      <c r="A966">
        <v>31000522</v>
      </c>
      <c r="B966" t="s">
        <v>1282</v>
      </c>
    </row>
    <row r="967" spans="1:2">
      <c r="A967">
        <v>31000523</v>
      </c>
      <c r="B967" t="s">
        <v>1283</v>
      </c>
    </row>
    <row r="968" spans="1:2">
      <c r="A968">
        <v>31000524</v>
      </c>
      <c r="B968" t="s">
        <v>1284</v>
      </c>
    </row>
    <row r="969" spans="1:2">
      <c r="A969">
        <v>31000525</v>
      </c>
      <c r="B969" t="s">
        <v>1285</v>
      </c>
    </row>
    <row r="970" spans="1:2">
      <c r="A970">
        <v>31000526</v>
      </c>
      <c r="B970" t="s">
        <v>1286</v>
      </c>
    </row>
    <row r="971" spans="1:2">
      <c r="A971">
        <v>31000527</v>
      </c>
      <c r="B971" t="s">
        <v>1287</v>
      </c>
    </row>
    <row r="972" spans="1:2">
      <c r="A972">
        <v>31000528</v>
      </c>
      <c r="B972" t="s">
        <v>1288</v>
      </c>
    </row>
    <row r="973" spans="1:2">
      <c r="A973">
        <v>31000529</v>
      </c>
      <c r="B973" t="s">
        <v>1289</v>
      </c>
    </row>
    <row r="974" spans="1:2">
      <c r="A974">
        <v>31000530</v>
      </c>
      <c r="B974" t="s">
        <v>1290</v>
      </c>
    </row>
    <row r="975" spans="1:2">
      <c r="A975">
        <v>31000531</v>
      </c>
      <c r="B975" t="s">
        <v>1291</v>
      </c>
    </row>
    <row r="976" spans="1:2">
      <c r="A976">
        <v>31000532</v>
      </c>
      <c r="B976" t="s">
        <v>1292</v>
      </c>
    </row>
    <row r="977" spans="1:2">
      <c r="A977">
        <v>32000601</v>
      </c>
      <c r="B977" t="s">
        <v>1293</v>
      </c>
    </row>
    <row r="978" spans="1:2">
      <c r="A978">
        <v>32000602</v>
      </c>
      <c r="B978" t="s">
        <v>1294</v>
      </c>
    </row>
    <row r="979" spans="1:2">
      <c r="A979">
        <v>32000603</v>
      </c>
      <c r="B979" t="s">
        <v>1295</v>
      </c>
    </row>
    <row r="980" spans="1:2">
      <c r="A980">
        <v>32000604</v>
      </c>
      <c r="B980" t="s">
        <v>1296</v>
      </c>
    </row>
    <row r="981" spans="1:2">
      <c r="A981">
        <v>32000605</v>
      </c>
      <c r="B981" t="s">
        <v>1297</v>
      </c>
    </row>
    <row r="982" spans="1:2">
      <c r="A982">
        <v>32000606</v>
      </c>
      <c r="B982" t="s">
        <v>1298</v>
      </c>
    </row>
    <row r="983" spans="1:2">
      <c r="A983">
        <v>32000607</v>
      </c>
      <c r="B983" t="s">
        <v>1299</v>
      </c>
    </row>
    <row r="984" spans="1:2">
      <c r="A984">
        <v>32000608</v>
      </c>
      <c r="B984" t="s">
        <v>1300</v>
      </c>
    </row>
    <row r="985" spans="1:2">
      <c r="A985">
        <v>32000609</v>
      </c>
      <c r="B985" t="s">
        <v>1301</v>
      </c>
    </row>
    <row r="986" spans="1:2">
      <c r="A986">
        <v>32000610</v>
      </c>
      <c r="B986" t="s">
        <v>1302</v>
      </c>
    </row>
    <row r="987" spans="1:2">
      <c r="A987">
        <v>32000611</v>
      </c>
      <c r="B987" t="s">
        <v>1303</v>
      </c>
    </row>
    <row r="988" spans="1:2">
      <c r="A988">
        <v>32000612</v>
      </c>
      <c r="B988" t="s">
        <v>1304</v>
      </c>
    </row>
    <row r="989" spans="1:2">
      <c r="A989">
        <v>32000613</v>
      </c>
      <c r="B989" t="s">
        <v>1305</v>
      </c>
    </row>
    <row r="990" spans="1:2">
      <c r="A990">
        <v>32000614</v>
      </c>
      <c r="B990" t="s">
        <v>1306</v>
      </c>
    </row>
    <row r="991" spans="1:2">
      <c r="A991">
        <v>32000615</v>
      </c>
      <c r="B991" t="s">
        <v>1307</v>
      </c>
    </row>
    <row r="992" spans="1:2">
      <c r="A992">
        <v>32000616</v>
      </c>
      <c r="B992" t="s">
        <v>1308</v>
      </c>
    </row>
    <row r="993" spans="1:2">
      <c r="A993">
        <v>32000617</v>
      </c>
      <c r="B993" t="s">
        <v>1309</v>
      </c>
    </row>
    <row r="994" spans="1:2">
      <c r="A994">
        <v>32500701</v>
      </c>
      <c r="B994" t="s">
        <v>1310</v>
      </c>
    </row>
    <row r="995" spans="1:2">
      <c r="A995">
        <v>32500702</v>
      </c>
      <c r="B995" t="s">
        <v>1311</v>
      </c>
    </row>
    <row r="996" spans="1:2">
      <c r="A996">
        <v>32500703</v>
      </c>
      <c r="B996" t="s">
        <v>1312</v>
      </c>
    </row>
    <row r="997" spans="1:2">
      <c r="A997">
        <v>32500704</v>
      </c>
      <c r="B997" t="s">
        <v>1313</v>
      </c>
    </row>
    <row r="998" spans="1:2">
      <c r="A998">
        <v>32500705</v>
      </c>
      <c r="B998" t="s">
        <v>1314</v>
      </c>
    </row>
    <row r="999" spans="1:2">
      <c r="A999">
        <v>32500706</v>
      </c>
      <c r="B999" t="s">
        <v>1315</v>
      </c>
    </row>
    <row r="1000" spans="1:2">
      <c r="A1000">
        <v>32500707</v>
      </c>
      <c r="B1000" t="s">
        <v>1316</v>
      </c>
    </row>
    <row r="1001" spans="1:2">
      <c r="A1001">
        <v>32500708</v>
      </c>
      <c r="B1001" t="s">
        <v>1317</v>
      </c>
    </row>
    <row r="1002" spans="1:2">
      <c r="A1002">
        <v>32500709</v>
      </c>
      <c r="B1002" t="s">
        <v>1318</v>
      </c>
    </row>
    <row r="1003" spans="1:2">
      <c r="A1003">
        <v>32500710</v>
      </c>
      <c r="B1003" t="s">
        <v>1311</v>
      </c>
    </row>
    <row r="1004" spans="1:2">
      <c r="A1004">
        <v>32500711</v>
      </c>
      <c r="B1004" t="s">
        <v>1319</v>
      </c>
    </row>
    <row r="1005" spans="1:2">
      <c r="A1005">
        <v>32500712</v>
      </c>
      <c r="B1005" t="s">
        <v>1320</v>
      </c>
    </row>
    <row r="1006" spans="1:2">
      <c r="A1006">
        <v>32500713</v>
      </c>
      <c r="B1006" t="s">
        <v>1312</v>
      </c>
    </row>
    <row r="1007" spans="1:2">
      <c r="A1007">
        <v>32500714</v>
      </c>
      <c r="B1007" t="s">
        <v>1313</v>
      </c>
    </row>
    <row r="1008" spans="1:2">
      <c r="A1008">
        <v>32500715</v>
      </c>
      <c r="B1008" t="s">
        <v>1314</v>
      </c>
    </row>
    <row r="1009" spans="1:2">
      <c r="A1009">
        <v>32500716</v>
      </c>
      <c r="B1009" t="s">
        <v>1315</v>
      </c>
    </row>
    <row r="1010" spans="1:2">
      <c r="A1010">
        <v>32500801</v>
      </c>
      <c r="B1010" t="s">
        <v>1321</v>
      </c>
    </row>
    <row r="1011" spans="1:2">
      <c r="A1011">
        <v>32500802</v>
      </c>
      <c r="B1011" t="s">
        <v>1322</v>
      </c>
    </row>
    <row r="1012" spans="1:2">
      <c r="A1012">
        <v>32500803</v>
      </c>
      <c r="B1012" t="s">
        <v>1323</v>
      </c>
    </row>
    <row r="1013" spans="1:2">
      <c r="A1013">
        <v>32500804</v>
      </c>
      <c r="B1013" t="s">
        <v>1324</v>
      </c>
    </row>
    <row r="1014" spans="1:2">
      <c r="A1014">
        <v>32500805</v>
      </c>
      <c r="B1014" t="s">
        <v>1325</v>
      </c>
    </row>
    <row r="1015" spans="1:2">
      <c r="A1015">
        <v>32500806</v>
      </c>
      <c r="B1015" t="s">
        <v>1326</v>
      </c>
    </row>
    <row r="1016" spans="1:2">
      <c r="A1016">
        <v>33000901</v>
      </c>
      <c r="B1016" t="s">
        <v>1327</v>
      </c>
    </row>
    <row r="1017" spans="1:2">
      <c r="A1017">
        <v>33000902</v>
      </c>
      <c r="B1017" t="s">
        <v>1328</v>
      </c>
    </row>
    <row r="1018" spans="1:2">
      <c r="A1018">
        <v>33000903</v>
      </c>
      <c r="B1018" t="s">
        <v>1329</v>
      </c>
    </row>
    <row r="1019" spans="1:2">
      <c r="A1019">
        <v>33000904</v>
      </c>
      <c r="B1019" t="s">
        <v>1330</v>
      </c>
    </row>
    <row r="1020" spans="1:2">
      <c r="A1020">
        <v>33000905</v>
      </c>
      <c r="B1020" t="s">
        <v>1331</v>
      </c>
    </row>
    <row r="1021" spans="1:2">
      <c r="A1021">
        <v>33000906</v>
      </c>
      <c r="B1021" t="s">
        <v>1332</v>
      </c>
    </row>
    <row r="1022" spans="1:2">
      <c r="A1022">
        <v>39901001</v>
      </c>
      <c r="B1022" t="s">
        <v>1333</v>
      </c>
    </row>
    <row r="1023" spans="1:2">
      <c r="A1023" t="s">
        <v>1934</v>
      </c>
      <c r="B1023" t="s">
        <v>1935</v>
      </c>
    </row>
    <row r="1024" spans="1:2">
      <c r="A1024" t="s">
        <v>1936</v>
      </c>
      <c r="B1024" t="s">
        <v>1937</v>
      </c>
    </row>
    <row r="1025" spans="1:2">
      <c r="A1025" t="s">
        <v>1938</v>
      </c>
      <c r="B1025" t="s">
        <v>1939</v>
      </c>
    </row>
    <row r="1026" spans="1:2">
      <c r="A1026" t="s">
        <v>1940</v>
      </c>
      <c r="B1026" t="s">
        <v>1941</v>
      </c>
    </row>
    <row r="1027" spans="1:2">
      <c r="A1027" t="s">
        <v>1942</v>
      </c>
      <c r="B1027" t="s">
        <v>1943</v>
      </c>
    </row>
    <row r="1028" spans="1:2">
      <c r="A1028" t="s">
        <v>1944</v>
      </c>
      <c r="B1028" t="s">
        <v>1945</v>
      </c>
    </row>
    <row r="1029" spans="1:2">
      <c r="A1029" t="s">
        <v>1946</v>
      </c>
      <c r="B1029" t="s">
        <v>1947</v>
      </c>
    </row>
    <row r="1030" spans="1:2">
      <c r="A1030" t="s">
        <v>1948</v>
      </c>
      <c r="B1030" t="s">
        <v>1949</v>
      </c>
    </row>
    <row r="1031" spans="1:2">
      <c r="A1031" t="s">
        <v>1950</v>
      </c>
      <c r="B1031" t="s">
        <v>1951</v>
      </c>
    </row>
    <row r="1032" spans="1:2">
      <c r="A1032" t="s">
        <v>1952</v>
      </c>
      <c r="B1032" t="s">
        <v>1953</v>
      </c>
    </row>
    <row r="1033" spans="1:2">
      <c r="A1033" t="s">
        <v>1954</v>
      </c>
      <c r="B1033" t="s">
        <v>1955</v>
      </c>
    </row>
    <row r="1034" spans="1:2">
      <c r="A1034" t="s">
        <v>1956</v>
      </c>
      <c r="B1034" t="s">
        <v>1957</v>
      </c>
    </row>
    <row r="1035" spans="1:2">
      <c r="A1035" t="s">
        <v>1958</v>
      </c>
      <c r="B1035" t="s">
        <v>1959</v>
      </c>
    </row>
    <row r="1036" spans="1:2">
      <c r="A1036" t="s">
        <v>1960</v>
      </c>
      <c r="B1036" t="s">
        <v>1961</v>
      </c>
    </row>
    <row r="1037" spans="1:2">
      <c r="A1037" t="s">
        <v>1962</v>
      </c>
      <c r="B1037" t="s">
        <v>1963</v>
      </c>
    </row>
    <row r="1038" spans="1:2">
      <c r="A1038" t="s">
        <v>1964</v>
      </c>
      <c r="B1038" t="s">
        <v>1965</v>
      </c>
    </row>
    <row r="1039" spans="1:2">
      <c r="A1039" t="s">
        <v>1966</v>
      </c>
      <c r="B1039" t="s">
        <v>1967</v>
      </c>
    </row>
    <row r="1040" spans="1:2">
      <c r="A1040" t="s">
        <v>1968</v>
      </c>
      <c r="B1040" t="s">
        <v>1969</v>
      </c>
    </row>
    <row r="1041" spans="1:2">
      <c r="A1041">
        <v>40100101</v>
      </c>
      <c r="B1041" t="s">
        <v>1334</v>
      </c>
    </row>
    <row r="1042" spans="1:2">
      <c r="A1042">
        <v>40100201</v>
      </c>
      <c r="B1042" t="s">
        <v>1335</v>
      </c>
    </row>
    <row r="1043" spans="1:2">
      <c r="A1043">
        <v>40199901</v>
      </c>
      <c r="B1043" t="s">
        <v>1336</v>
      </c>
    </row>
    <row r="1044" spans="1:2">
      <c r="A1044">
        <v>40500301</v>
      </c>
      <c r="B1044" t="s">
        <v>1337</v>
      </c>
    </row>
    <row r="1045" spans="1:2">
      <c r="A1045">
        <v>40500302</v>
      </c>
      <c r="B1045" t="s">
        <v>1338</v>
      </c>
    </row>
    <row r="1046" spans="1:2">
      <c r="A1046">
        <v>40500303</v>
      </c>
      <c r="B1046" t="s">
        <v>1339</v>
      </c>
    </row>
    <row r="1047" spans="1:2">
      <c r="A1047">
        <v>40500304</v>
      </c>
      <c r="B1047" t="s">
        <v>1340</v>
      </c>
    </row>
    <row r="1048" spans="1:2">
      <c r="A1048">
        <v>40500305</v>
      </c>
      <c r="B1048" t="s">
        <v>1341</v>
      </c>
    </row>
    <row r="1049" spans="1:2">
      <c r="A1049">
        <v>40500306</v>
      </c>
      <c r="B1049" t="s">
        <v>1342</v>
      </c>
    </row>
    <row r="1050" spans="1:2">
      <c r="A1050">
        <v>40500307</v>
      </c>
      <c r="B1050" t="s">
        <v>1341</v>
      </c>
    </row>
    <row r="1051" spans="1:2">
      <c r="A1051">
        <v>40500308</v>
      </c>
      <c r="B1051" t="s">
        <v>1343</v>
      </c>
    </row>
    <row r="1052" spans="1:2">
      <c r="A1052">
        <v>40500309</v>
      </c>
      <c r="B1052" t="s">
        <v>1344</v>
      </c>
    </row>
    <row r="1053" spans="1:2">
      <c r="A1053">
        <v>40500401</v>
      </c>
      <c r="B1053" t="s">
        <v>1353</v>
      </c>
    </row>
    <row r="1054" spans="1:2">
      <c r="A1054">
        <v>40500402</v>
      </c>
      <c r="B1054" t="s">
        <v>1354</v>
      </c>
    </row>
    <row r="1055" spans="1:2">
      <c r="A1055">
        <v>40500403</v>
      </c>
      <c r="B1055" t="s">
        <v>1355</v>
      </c>
    </row>
    <row r="1056" spans="1:2">
      <c r="A1056">
        <v>40500404</v>
      </c>
      <c r="B1056" t="s">
        <v>1356</v>
      </c>
    </row>
    <row r="1057" spans="1:2">
      <c r="A1057">
        <v>40500405</v>
      </c>
      <c r="B1057" t="s">
        <v>1357</v>
      </c>
    </row>
    <row r="1058" spans="1:2">
      <c r="A1058">
        <v>40500406</v>
      </c>
      <c r="B1058" t="s">
        <v>1358</v>
      </c>
    </row>
    <row r="1059" spans="1:2">
      <c r="A1059">
        <v>40500407</v>
      </c>
      <c r="B1059" t="s">
        <v>1359</v>
      </c>
    </row>
    <row r="1060" spans="1:2">
      <c r="A1060">
        <v>40500408</v>
      </c>
      <c r="B1060" t="s">
        <v>1360</v>
      </c>
    </row>
    <row r="1061" spans="1:2">
      <c r="A1061">
        <v>40500409</v>
      </c>
      <c r="B1061" t="s">
        <v>1361</v>
      </c>
    </row>
    <row r="1062" spans="1:2">
      <c r="A1062">
        <v>40599901</v>
      </c>
      <c r="B1062" t="s">
        <v>1370</v>
      </c>
    </row>
    <row r="1063" spans="1:2">
      <c r="A1063">
        <v>40599902</v>
      </c>
      <c r="B1063" t="s">
        <v>1371</v>
      </c>
    </row>
    <row r="1064" spans="1:2">
      <c r="A1064">
        <v>40599903</v>
      </c>
      <c r="B1064" t="s">
        <v>1372</v>
      </c>
    </row>
    <row r="1065" spans="1:2">
      <c r="A1065">
        <v>40599904</v>
      </c>
      <c r="B1065" t="s">
        <v>1373</v>
      </c>
    </row>
    <row r="1066" spans="1:2">
      <c r="A1066">
        <v>40599905</v>
      </c>
      <c r="B1066" t="s">
        <v>1374</v>
      </c>
    </row>
    <row r="1067" spans="1:2">
      <c r="A1067">
        <v>40599906</v>
      </c>
      <c r="B1067" t="s">
        <v>1375</v>
      </c>
    </row>
    <row r="1068" spans="1:2">
      <c r="A1068">
        <v>40599907</v>
      </c>
      <c r="B1068" t="s">
        <v>1376</v>
      </c>
    </row>
    <row r="1069" spans="1:2">
      <c r="A1069">
        <v>40599908</v>
      </c>
      <c r="B1069" t="s">
        <v>1377</v>
      </c>
    </row>
    <row r="1070" spans="1:2">
      <c r="A1070">
        <v>40599909</v>
      </c>
      <c r="B1070" t="s">
        <v>1378</v>
      </c>
    </row>
    <row r="1071" spans="1:2">
      <c r="A1071">
        <v>40599910</v>
      </c>
      <c r="B1071" t="s">
        <v>1379</v>
      </c>
    </row>
    <row r="1072" spans="1:2">
      <c r="A1072">
        <v>40599911</v>
      </c>
      <c r="B1072" t="s">
        <v>1380</v>
      </c>
    </row>
    <row r="1073" spans="1:2">
      <c r="A1073">
        <v>40599912</v>
      </c>
      <c r="B1073" t="s">
        <v>1381</v>
      </c>
    </row>
    <row r="1074" spans="1:2">
      <c r="A1074">
        <v>40599913</v>
      </c>
      <c r="B1074" t="s">
        <v>1382</v>
      </c>
    </row>
    <row r="1075" spans="1:2">
      <c r="A1075">
        <v>40599914</v>
      </c>
      <c r="B1075" t="s">
        <v>1383</v>
      </c>
    </row>
    <row r="1076" spans="1:2">
      <c r="A1076">
        <v>40599915</v>
      </c>
      <c r="B1076" t="s">
        <v>1384</v>
      </c>
    </row>
    <row r="1077" spans="1:2">
      <c r="A1077">
        <v>40599916</v>
      </c>
      <c r="B1077" t="s">
        <v>1385</v>
      </c>
    </row>
    <row r="1078" spans="1:2">
      <c r="A1078">
        <v>40599917</v>
      </c>
      <c r="B1078" t="s">
        <v>1386</v>
      </c>
    </row>
    <row r="1079" spans="1:2">
      <c r="A1079">
        <v>40599918</v>
      </c>
      <c r="B1079" t="s">
        <v>1387</v>
      </c>
    </row>
    <row r="1080" spans="1:2">
      <c r="A1080">
        <v>40599919</v>
      </c>
      <c r="B1080" t="s">
        <v>1388</v>
      </c>
    </row>
    <row r="1081" spans="1:2">
      <c r="A1081">
        <v>40599920</v>
      </c>
      <c r="B1081" t="s">
        <v>1389</v>
      </c>
    </row>
    <row r="1082" spans="1:2">
      <c r="A1082">
        <v>40599921</v>
      </c>
      <c r="B1082" t="s">
        <v>1390</v>
      </c>
    </row>
    <row r="1083" spans="1:2">
      <c r="A1083">
        <v>40599922</v>
      </c>
      <c r="B1083" t="s">
        <v>1391</v>
      </c>
    </row>
    <row r="1084" spans="1:2">
      <c r="A1084">
        <v>40599923</v>
      </c>
      <c r="B1084" t="s">
        <v>1392</v>
      </c>
    </row>
    <row r="1085" spans="1:2">
      <c r="A1085">
        <v>40599924</v>
      </c>
      <c r="B1085" t="s">
        <v>1393</v>
      </c>
    </row>
    <row r="1086" spans="1:2">
      <c r="A1086">
        <v>40599925</v>
      </c>
      <c r="B1086" t="s">
        <v>1394</v>
      </c>
    </row>
    <row r="1087" spans="1:2">
      <c r="A1087">
        <v>40599926</v>
      </c>
      <c r="B1087" t="s">
        <v>1395</v>
      </c>
    </row>
    <row r="1088" spans="1:2">
      <c r="A1088">
        <v>40599927</v>
      </c>
      <c r="B1088" t="s">
        <v>1396</v>
      </c>
    </row>
    <row r="1089" spans="1:2">
      <c r="A1089">
        <v>40500310</v>
      </c>
      <c r="B1089" t="s">
        <v>1345</v>
      </c>
    </row>
    <row r="1090" spans="1:2">
      <c r="A1090">
        <v>40500311</v>
      </c>
      <c r="B1090" t="s">
        <v>1346</v>
      </c>
    </row>
    <row r="1091" spans="1:2">
      <c r="A1091">
        <v>40500312</v>
      </c>
      <c r="B1091" t="s">
        <v>1347</v>
      </c>
    </row>
    <row r="1092" spans="1:2">
      <c r="A1092">
        <v>40500313</v>
      </c>
      <c r="B1092" t="s">
        <v>1348</v>
      </c>
    </row>
    <row r="1093" spans="1:2">
      <c r="A1093">
        <v>40500314</v>
      </c>
      <c r="B1093" t="s">
        <v>1349</v>
      </c>
    </row>
    <row r="1094" spans="1:2">
      <c r="A1094">
        <v>40500315</v>
      </c>
      <c r="B1094" t="s">
        <v>1350</v>
      </c>
    </row>
    <row r="1095" spans="1:2">
      <c r="A1095">
        <v>40500316</v>
      </c>
      <c r="B1095" t="s">
        <v>1351</v>
      </c>
    </row>
    <row r="1096" spans="1:2">
      <c r="A1096">
        <v>40500317</v>
      </c>
      <c r="B1096" t="s">
        <v>1352</v>
      </c>
    </row>
    <row r="1097" spans="1:2">
      <c r="A1097">
        <v>40500410</v>
      </c>
      <c r="B1097" t="s">
        <v>1362</v>
      </c>
    </row>
    <row r="1098" spans="1:2">
      <c r="A1098">
        <v>40500411</v>
      </c>
      <c r="B1098" t="s">
        <v>1363</v>
      </c>
    </row>
    <row r="1099" spans="1:2">
      <c r="A1099">
        <v>40500412</v>
      </c>
      <c r="B1099" t="s">
        <v>1364</v>
      </c>
    </row>
    <row r="1100" spans="1:2">
      <c r="A1100">
        <v>40500413</v>
      </c>
      <c r="B1100" t="s">
        <v>1365</v>
      </c>
    </row>
    <row r="1101" spans="1:2">
      <c r="A1101">
        <v>40500414</v>
      </c>
      <c r="B1101" t="s">
        <v>1366</v>
      </c>
    </row>
    <row r="1102" spans="1:2">
      <c r="A1102">
        <v>40500415</v>
      </c>
      <c r="B1102" t="s">
        <v>1367</v>
      </c>
    </row>
    <row r="1103" spans="1:2">
      <c r="A1103">
        <v>40500416</v>
      </c>
      <c r="B1103" t="s">
        <v>1368</v>
      </c>
    </row>
    <row r="1104" spans="1:2">
      <c r="A1104">
        <v>40500417</v>
      </c>
      <c r="B1104" t="s">
        <v>1369</v>
      </c>
    </row>
    <row r="1105" spans="1:2">
      <c r="A1105">
        <v>40599928</v>
      </c>
      <c r="B1105" t="s">
        <v>1397</v>
      </c>
    </row>
    <row r="1106" spans="1:2">
      <c r="A1106">
        <v>40599929</v>
      </c>
      <c r="B1106" t="s">
        <v>1398</v>
      </c>
    </row>
    <row r="1107" spans="1:2">
      <c r="A1107">
        <v>40599930</v>
      </c>
      <c r="B1107" t="s">
        <v>1399</v>
      </c>
    </row>
    <row r="1108" spans="1:2">
      <c r="A1108">
        <v>40599931</v>
      </c>
      <c r="B1108" t="s">
        <v>1400</v>
      </c>
    </row>
    <row r="1109" spans="1:2">
      <c r="A1109">
        <v>40599932</v>
      </c>
      <c r="B1109" t="s">
        <v>1401</v>
      </c>
    </row>
    <row r="1110" spans="1:2">
      <c r="A1110">
        <v>40599933</v>
      </c>
      <c r="B1110" t="s">
        <v>1402</v>
      </c>
    </row>
    <row r="1111" spans="1:2">
      <c r="A1111">
        <v>40599934</v>
      </c>
      <c r="B1111" t="s">
        <v>1403</v>
      </c>
    </row>
    <row r="1112" spans="1:2">
      <c r="A1112">
        <v>40599935</v>
      </c>
      <c r="B1112" t="s">
        <v>1404</v>
      </c>
    </row>
    <row r="1113" spans="1:2">
      <c r="A1113">
        <v>41000501</v>
      </c>
      <c r="B1113" t="s">
        <v>1405</v>
      </c>
    </row>
    <row r="1114" spans="1:2">
      <c r="A1114">
        <v>41000502</v>
      </c>
      <c r="B1114" t="s">
        <v>1406</v>
      </c>
    </row>
    <row r="1115" spans="1:2">
      <c r="A1115">
        <v>41000503</v>
      </c>
      <c r="B1115" t="s">
        <v>1407</v>
      </c>
    </row>
    <row r="1116" spans="1:2">
      <c r="A1116">
        <v>41000504</v>
      </c>
      <c r="B1116" t="s">
        <v>1408</v>
      </c>
    </row>
    <row r="1117" spans="1:2">
      <c r="A1117">
        <v>41000505</v>
      </c>
      <c r="B1117" t="s">
        <v>1409</v>
      </c>
    </row>
    <row r="1118" spans="1:2">
      <c r="A1118">
        <v>41000506</v>
      </c>
      <c r="B1118" t="s">
        <v>1410</v>
      </c>
    </row>
    <row r="1119" spans="1:2">
      <c r="A1119">
        <v>41000507</v>
      </c>
      <c r="B1119" t="s">
        <v>1411</v>
      </c>
    </row>
    <row r="1120" spans="1:2">
      <c r="A1120">
        <v>41000508</v>
      </c>
      <c r="B1120" t="s">
        <v>1412</v>
      </c>
    </row>
    <row r="1121" spans="1:2">
      <c r="A1121">
        <v>41000509</v>
      </c>
      <c r="B1121" t="s">
        <v>1413</v>
      </c>
    </row>
    <row r="1122" spans="1:2">
      <c r="A1122">
        <v>41000510</v>
      </c>
      <c r="B1122" t="s">
        <v>1414</v>
      </c>
    </row>
    <row r="1123" spans="1:2">
      <c r="A1123">
        <v>41000511</v>
      </c>
      <c r="B1123" t="s">
        <v>1415</v>
      </c>
    </row>
    <row r="1124" spans="1:2">
      <c r="A1124">
        <v>41000512</v>
      </c>
      <c r="B1124" t="s">
        <v>1416</v>
      </c>
    </row>
    <row r="1125" spans="1:2">
      <c r="A1125">
        <v>41000513</v>
      </c>
      <c r="B1125" t="s">
        <v>1417</v>
      </c>
    </row>
    <row r="1126" spans="1:2">
      <c r="A1126">
        <v>41000514</v>
      </c>
      <c r="B1126" t="s">
        <v>1418</v>
      </c>
    </row>
    <row r="1127" spans="1:2">
      <c r="A1127">
        <v>41000515</v>
      </c>
      <c r="B1127" t="s">
        <v>1419</v>
      </c>
    </row>
    <row r="1128" spans="1:2">
      <c r="A1128">
        <v>41000516</v>
      </c>
      <c r="B1128" t="s">
        <v>1420</v>
      </c>
    </row>
    <row r="1129" spans="1:2">
      <c r="A1129">
        <v>41000517</v>
      </c>
      <c r="B1129" t="s">
        <v>1421</v>
      </c>
    </row>
    <row r="1130" spans="1:2">
      <c r="A1130">
        <v>41000518</v>
      </c>
      <c r="B1130" t="s">
        <v>1422</v>
      </c>
    </row>
    <row r="1131" spans="1:2">
      <c r="A1131">
        <v>41000519</v>
      </c>
      <c r="B1131" t="s">
        <v>1423</v>
      </c>
    </row>
    <row r="1132" spans="1:2">
      <c r="A1132">
        <v>41000520</v>
      </c>
      <c r="B1132" t="s">
        <v>1424</v>
      </c>
    </row>
    <row r="1133" spans="1:2">
      <c r="A1133">
        <v>41000521</v>
      </c>
      <c r="B1133" t="s">
        <v>1425</v>
      </c>
    </row>
    <row r="1134" spans="1:2">
      <c r="A1134">
        <v>41000522</v>
      </c>
      <c r="B1134" t="s">
        <v>1426</v>
      </c>
    </row>
    <row r="1135" spans="1:2">
      <c r="A1135">
        <v>41000523</v>
      </c>
      <c r="B1135" t="s">
        <v>1427</v>
      </c>
    </row>
    <row r="1136" spans="1:2">
      <c r="A1136">
        <v>41000524</v>
      </c>
      <c r="B1136" t="s">
        <v>1428</v>
      </c>
    </row>
    <row r="1137" spans="1:2">
      <c r="A1137">
        <v>41000525</v>
      </c>
      <c r="B1137" t="s">
        <v>1429</v>
      </c>
    </row>
    <row r="1138" spans="1:2">
      <c r="A1138">
        <v>41000526</v>
      </c>
      <c r="B1138" t="s">
        <v>1430</v>
      </c>
    </row>
    <row r="1139" spans="1:2">
      <c r="A1139">
        <v>41000527</v>
      </c>
      <c r="B1139" t="s">
        <v>1431</v>
      </c>
    </row>
    <row r="1140" spans="1:2">
      <c r="A1140">
        <v>41000528</v>
      </c>
      <c r="B1140" t="s">
        <v>1432</v>
      </c>
    </row>
    <row r="1141" spans="1:2">
      <c r="A1141">
        <v>41000529</v>
      </c>
      <c r="B1141" t="s">
        <v>1433</v>
      </c>
    </row>
    <row r="1142" spans="1:2">
      <c r="A1142">
        <v>41000530</v>
      </c>
      <c r="B1142" t="s">
        <v>1434</v>
      </c>
    </row>
    <row r="1143" spans="1:2">
      <c r="A1143">
        <v>41000531</v>
      </c>
      <c r="B1143" t="s">
        <v>1435</v>
      </c>
    </row>
    <row r="1144" spans="1:2">
      <c r="A1144">
        <v>41000532</v>
      </c>
      <c r="B1144" t="s">
        <v>1436</v>
      </c>
    </row>
    <row r="1145" spans="1:2">
      <c r="A1145">
        <v>42000601</v>
      </c>
      <c r="B1145" t="s">
        <v>1437</v>
      </c>
    </row>
    <row r="1146" spans="1:2">
      <c r="A1146">
        <v>42000602</v>
      </c>
      <c r="B1146" t="s">
        <v>1438</v>
      </c>
    </row>
    <row r="1147" spans="1:2">
      <c r="A1147">
        <v>42000603</v>
      </c>
      <c r="B1147" t="s">
        <v>1439</v>
      </c>
    </row>
    <row r="1148" spans="1:2">
      <c r="A1148">
        <v>42000604</v>
      </c>
      <c r="B1148" t="s">
        <v>1440</v>
      </c>
    </row>
    <row r="1149" spans="1:2">
      <c r="A1149">
        <v>42000605</v>
      </c>
      <c r="B1149" t="s">
        <v>1441</v>
      </c>
    </row>
    <row r="1150" spans="1:2">
      <c r="A1150">
        <v>42000606</v>
      </c>
      <c r="B1150" t="s">
        <v>1442</v>
      </c>
    </row>
    <row r="1151" spans="1:2">
      <c r="A1151">
        <v>42000607</v>
      </c>
      <c r="B1151" t="s">
        <v>1443</v>
      </c>
    </row>
    <row r="1152" spans="1:2">
      <c r="A1152">
        <v>42000608</v>
      </c>
      <c r="B1152" t="s">
        <v>1444</v>
      </c>
    </row>
    <row r="1153" spans="1:2">
      <c r="A1153">
        <v>42000609</v>
      </c>
      <c r="B1153" t="s">
        <v>1445</v>
      </c>
    </row>
    <row r="1154" spans="1:2">
      <c r="A1154">
        <v>42000610</v>
      </c>
      <c r="B1154" t="s">
        <v>1446</v>
      </c>
    </row>
    <row r="1155" spans="1:2">
      <c r="A1155">
        <v>42000611</v>
      </c>
      <c r="B1155" t="s">
        <v>1447</v>
      </c>
    </row>
    <row r="1156" spans="1:2">
      <c r="A1156">
        <v>42000612</v>
      </c>
      <c r="B1156" t="s">
        <v>1448</v>
      </c>
    </row>
    <row r="1157" spans="1:2">
      <c r="A1157">
        <v>42000613</v>
      </c>
      <c r="B1157" t="s">
        <v>1449</v>
      </c>
    </row>
    <row r="1158" spans="1:2">
      <c r="A1158">
        <v>42000614</v>
      </c>
      <c r="B1158" t="s">
        <v>1450</v>
      </c>
    </row>
    <row r="1159" spans="1:2">
      <c r="A1159">
        <v>42000615</v>
      </c>
      <c r="B1159" t="s">
        <v>1451</v>
      </c>
    </row>
    <row r="1160" spans="1:2">
      <c r="A1160">
        <v>42000616</v>
      </c>
      <c r="B1160" t="s">
        <v>1452</v>
      </c>
    </row>
    <row r="1161" spans="1:2">
      <c r="A1161">
        <v>42000617</v>
      </c>
      <c r="B1161" t="s">
        <v>1453</v>
      </c>
    </row>
    <row r="1162" spans="1:2">
      <c r="A1162">
        <v>42500701</v>
      </c>
      <c r="B1162" t="s">
        <v>1454</v>
      </c>
    </row>
    <row r="1163" spans="1:2">
      <c r="A1163">
        <v>42500702</v>
      </c>
      <c r="B1163" t="s">
        <v>1455</v>
      </c>
    </row>
    <row r="1164" spans="1:2">
      <c r="A1164">
        <v>42500703</v>
      </c>
      <c r="B1164" t="s">
        <v>1456</v>
      </c>
    </row>
    <row r="1165" spans="1:2">
      <c r="A1165">
        <v>42500704</v>
      </c>
      <c r="B1165" t="s">
        <v>1457</v>
      </c>
    </row>
    <row r="1166" spans="1:2">
      <c r="A1166">
        <v>42500705</v>
      </c>
      <c r="B1166" t="s">
        <v>1458</v>
      </c>
    </row>
    <row r="1167" spans="1:2">
      <c r="A1167">
        <v>42500706</v>
      </c>
      <c r="B1167" t="s">
        <v>1459</v>
      </c>
    </row>
    <row r="1168" spans="1:2">
      <c r="A1168">
        <v>42500707</v>
      </c>
      <c r="B1168" t="s">
        <v>1460</v>
      </c>
    </row>
    <row r="1169" spans="1:2">
      <c r="A1169">
        <v>42500708</v>
      </c>
      <c r="B1169" t="s">
        <v>1461</v>
      </c>
    </row>
    <row r="1170" spans="1:2">
      <c r="A1170">
        <v>42500709</v>
      </c>
      <c r="B1170" t="s">
        <v>1462</v>
      </c>
    </row>
    <row r="1171" spans="1:2">
      <c r="A1171">
        <v>42500710</v>
      </c>
      <c r="B1171" t="s">
        <v>1455</v>
      </c>
    </row>
    <row r="1172" spans="1:2">
      <c r="A1172">
        <v>42500711</v>
      </c>
      <c r="B1172" t="s">
        <v>1463</v>
      </c>
    </row>
    <row r="1173" spans="1:2">
      <c r="A1173">
        <v>42500712</v>
      </c>
      <c r="B1173" t="s">
        <v>1464</v>
      </c>
    </row>
    <row r="1174" spans="1:2">
      <c r="A1174">
        <v>42500713</v>
      </c>
      <c r="B1174" t="s">
        <v>1456</v>
      </c>
    </row>
    <row r="1175" spans="1:2">
      <c r="A1175">
        <v>42500714</v>
      </c>
      <c r="B1175" t="s">
        <v>1457</v>
      </c>
    </row>
    <row r="1176" spans="1:2">
      <c r="A1176">
        <v>42500715</v>
      </c>
      <c r="B1176" t="s">
        <v>1458</v>
      </c>
    </row>
    <row r="1177" spans="1:2">
      <c r="A1177">
        <v>42500716</v>
      </c>
      <c r="B1177" t="s">
        <v>1459</v>
      </c>
    </row>
    <row r="1178" spans="1:2">
      <c r="A1178">
        <v>42500801</v>
      </c>
      <c r="B1178" t="s">
        <v>1465</v>
      </c>
    </row>
    <row r="1179" spans="1:2">
      <c r="A1179">
        <v>42500802</v>
      </c>
      <c r="B1179" t="s">
        <v>1466</v>
      </c>
    </row>
    <row r="1180" spans="1:2">
      <c r="A1180">
        <v>42500803</v>
      </c>
      <c r="B1180" t="s">
        <v>1467</v>
      </c>
    </row>
    <row r="1181" spans="1:2">
      <c r="A1181">
        <v>42500804</v>
      </c>
      <c r="B1181" t="s">
        <v>1468</v>
      </c>
    </row>
    <row r="1182" spans="1:2">
      <c r="A1182">
        <v>42500805</v>
      </c>
      <c r="B1182" t="s">
        <v>1469</v>
      </c>
    </row>
    <row r="1183" spans="1:2">
      <c r="A1183">
        <v>42500806</v>
      </c>
      <c r="B1183" t="s">
        <v>1470</v>
      </c>
    </row>
    <row r="1184" spans="1:2">
      <c r="A1184">
        <v>43000901</v>
      </c>
      <c r="B1184" t="s">
        <v>1471</v>
      </c>
    </row>
    <row r="1185" spans="1:2">
      <c r="A1185">
        <v>43000902</v>
      </c>
      <c r="B1185" t="s">
        <v>1472</v>
      </c>
    </row>
    <row r="1186" spans="1:2">
      <c r="A1186">
        <v>43000903</v>
      </c>
      <c r="B1186" t="s">
        <v>1473</v>
      </c>
    </row>
    <row r="1187" spans="1:2">
      <c r="A1187">
        <v>43000904</v>
      </c>
      <c r="B1187" t="s">
        <v>1474</v>
      </c>
    </row>
    <row r="1188" spans="1:2">
      <c r="A1188">
        <v>43000905</v>
      </c>
      <c r="B1188" t="s">
        <v>1475</v>
      </c>
    </row>
    <row r="1189" spans="1:2">
      <c r="A1189">
        <v>43000906</v>
      </c>
      <c r="B1189" t="s">
        <v>1476</v>
      </c>
    </row>
    <row r="1190" spans="1:2">
      <c r="A1190">
        <v>49901001</v>
      </c>
      <c r="B1190" t="s">
        <v>1477</v>
      </c>
    </row>
    <row r="1191" spans="1:2">
      <c r="A1191" t="s">
        <v>1970</v>
      </c>
      <c r="B1191" t="s">
        <v>1971</v>
      </c>
    </row>
    <row r="1192" spans="1:2">
      <c r="A1192" t="s">
        <v>1972</v>
      </c>
      <c r="B1192" t="s">
        <v>1973</v>
      </c>
    </row>
    <row r="1193" spans="1:2">
      <c r="A1193" t="s">
        <v>1974</v>
      </c>
      <c r="B1193" t="s">
        <v>1975</v>
      </c>
    </row>
    <row r="1194" spans="1:2">
      <c r="A1194" t="s">
        <v>1976</v>
      </c>
      <c r="B1194" t="s">
        <v>1977</v>
      </c>
    </row>
    <row r="1195" spans="1:2">
      <c r="A1195" t="s">
        <v>1978</v>
      </c>
      <c r="B1195" t="s">
        <v>1979</v>
      </c>
    </row>
    <row r="1196" spans="1:2">
      <c r="A1196" t="s">
        <v>1980</v>
      </c>
      <c r="B1196" t="s">
        <v>1981</v>
      </c>
    </row>
    <row r="1197" spans="1:2">
      <c r="A1197" t="s">
        <v>1982</v>
      </c>
      <c r="B1197" t="s">
        <v>1983</v>
      </c>
    </row>
    <row r="1198" spans="1:2">
      <c r="A1198" t="s">
        <v>1984</v>
      </c>
      <c r="B1198" t="s">
        <v>1985</v>
      </c>
    </row>
    <row r="1199" spans="1:2">
      <c r="A1199" t="s">
        <v>1986</v>
      </c>
      <c r="B1199" t="s">
        <v>1987</v>
      </c>
    </row>
    <row r="1200" spans="1:2">
      <c r="A1200" t="s">
        <v>1988</v>
      </c>
      <c r="B1200" t="s">
        <v>1989</v>
      </c>
    </row>
    <row r="1201" spans="1:2">
      <c r="A1201" t="s">
        <v>1990</v>
      </c>
      <c r="B1201" t="s">
        <v>1991</v>
      </c>
    </row>
    <row r="1202" spans="1:2">
      <c r="A1202" t="s">
        <v>1992</v>
      </c>
      <c r="B1202" t="s">
        <v>1993</v>
      </c>
    </row>
    <row r="1203" spans="1:2">
      <c r="A1203" t="s">
        <v>1994</v>
      </c>
      <c r="B1203" t="s">
        <v>1995</v>
      </c>
    </row>
    <row r="1204" spans="1:2">
      <c r="A1204" t="s">
        <v>1996</v>
      </c>
      <c r="B1204" t="s">
        <v>1997</v>
      </c>
    </row>
    <row r="1205" spans="1:2">
      <c r="A1205" t="s">
        <v>1998</v>
      </c>
      <c r="B1205" t="s">
        <v>1999</v>
      </c>
    </row>
    <row r="1206" spans="1:2">
      <c r="A1206" t="s">
        <v>2000</v>
      </c>
      <c r="B1206" t="s">
        <v>2001</v>
      </c>
    </row>
    <row r="1207" spans="1:2">
      <c r="A1207" t="s">
        <v>2002</v>
      </c>
      <c r="B1207" t="s">
        <v>2003</v>
      </c>
    </row>
    <row r="1208" spans="1:2">
      <c r="A1208" t="s">
        <v>2004</v>
      </c>
      <c r="B1208" t="s">
        <v>2005</v>
      </c>
    </row>
    <row r="1209" spans="1:2">
      <c r="A1209">
        <v>50100101</v>
      </c>
      <c r="B1209" t="s">
        <v>1478</v>
      </c>
    </row>
    <row r="1210" spans="1:2">
      <c r="A1210">
        <v>50100201</v>
      </c>
      <c r="B1210" t="s">
        <v>1479</v>
      </c>
    </row>
    <row r="1211" spans="1:2">
      <c r="A1211">
        <v>50199901</v>
      </c>
      <c r="B1211" t="s">
        <v>1480</v>
      </c>
    </row>
    <row r="1212" spans="1:2">
      <c r="A1212">
        <v>50500301</v>
      </c>
      <c r="B1212" t="s">
        <v>1481</v>
      </c>
    </row>
    <row r="1213" spans="1:2">
      <c r="A1213">
        <v>50500302</v>
      </c>
      <c r="B1213" t="s">
        <v>1482</v>
      </c>
    </row>
    <row r="1214" spans="1:2">
      <c r="A1214">
        <v>50500303</v>
      </c>
      <c r="B1214" t="s">
        <v>1483</v>
      </c>
    </row>
    <row r="1215" spans="1:2">
      <c r="A1215">
        <v>50500304</v>
      </c>
      <c r="B1215" t="s">
        <v>1484</v>
      </c>
    </row>
    <row r="1216" spans="1:2">
      <c r="A1216">
        <v>50500305</v>
      </c>
      <c r="B1216" t="s">
        <v>1485</v>
      </c>
    </row>
    <row r="1217" spans="1:2">
      <c r="A1217">
        <v>50500306</v>
      </c>
      <c r="B1217" t="s">
        <v>1486</v>
      </c>
    </row>
    <row r="1218" spans="1:2">
      <c r="A1218">
        <v>50500307</v>
      </c>
      <c r="B1218" t="s">
        <v>1485</v>
      </c>
    </row>
    <row r="1219" spans="1:2">
      <c r="A1219">
        <v>50500308</v>
      </c>
      <c r="B1219" t="s">
        <v>1487</v>
      </c>
    </row>
    <row r="1220" spans="1:2">
      <c r="A1220">
        <v>50500309</v>
      </c>
      <c r="B1220" t="s">
        <v>1488</v>
      </c>
    </row>
    <row r="1221" spans="1:2">
      <c r="A1221">
        <v>50500401</v>
      </c>
      <c r="B1221" t="s">
        <v>1497</v>
      </c>
    </row>
    <row r="1222" spans="1:2">
      <c r="A1222">
        <v>50500402</v>
      </c>
      <c r="B1222" t="s">
        <v>1498</v>
      </c>
    </row>
    <row r="1223" spans="1:2">
      <c r="A1223">
        <v>50500403</v>
      </c>
      <c r="B1223" t="s">
        <v>1499</v>
      </c>
    </row>
    <row r="1224" spans="1:2">
      <c r="A1224">
        <v>50500404</v>
      </c>
      <c r="B1224" t="s">
        <v>1500</v>
      </c>
    </row>
    <row r="1225" spans="1:2">
      <c r="A1225">
        <v>50500405</v>
      </c>
      <c r="B1225" t="s">
        <v>1501</v>
      </c>
    </row>
    <row r="1226" spans="1:2">
      <c r="A1226">
        <v>50500406</v>
      </c>
      <c r="B1226" t="s">
        <v>1502</v>
      </c>
    </row>
    <row r="1227" spans="1:2">
      <c r="A1227">
        <v>50500407</v>
      </c>
      <c r="B1227" t="s">
        <v>1503</v>
      </c>
    </row>
    <row r="1228" spans="1:2">
      <c r="A1228">
        <v>50500408</v>
      </c>
      <c r="B1228" t="s">
        <v>1504</v>
      </c>
    </row>
    <row r="1229" spans="1:2">
      <c r="A1229">
        <v>50500409</v>
      </c>
      <c r="B1229" t="s">
        <v>1505</v>
      </c>
    </row>
    <row r="1230" spans="1:2">
      <c r="A1230">
        <v>50599901</v>
      </c>
      <c r="B1230" t="s">
        <v>1514</v>
      </c>
    </row>
    <row r="1231" spans="1:2">
      <c r="A1231">
        <v>50599902</v>
      </c>
      <c r="B1231" t="s">
        <v>1515</v>
      </c>
    </row>
    <row r="1232" spans="1:2">
      <c r="A1232">
        <v>50599903</v>
      </c>
      <c r="B1232" t="s">
        <v>1516</v>
      </c>
    </row>
    <row r="1233" spans="1:2">
      <c r="A1233">
        <v>50599904</v>
      </c>
      <c r="B1233" t="s">
        <v>1517</v>
      </c>
    </row>
    <row r="1234" spans="1:2">
      <c r="A1234">
        <v>50599905</v>
      </c>
      <c r="B1234" t="s">
        <v>1518</v>
      </c>
    </row>
    <row r="1235" spans="1:2">
      <c r="A1235">
        <v>50599906</v>
      </c>
      <c r="B1235" t="s">
        <v>1519</v>
      </c>
    </row>
    <row r="1236" spans="1:2">
      <c r="A1236">
        <v>50599907</v>
      </c>
      <c r="B1236" t="s">
        <v>1520</v>
      </c>
    </row>
    <row r="1237" spans="1:2">
      <c r="A1237">
        <v>50599908</v>
      </c>
      <c r="B1237" t="s">
        <v>1521</v>
      </c>
    </row>
    <row r="1238" spans="1:2">
      <c r="A1238">
        <v>50599909</v>
      </c>
      <c r="B1238" t="s">
        <v>1522</v>
      </c>
    </row>
    <row r="1239" spans="1:2">
      <c r="A1239">
        <v>50599910</v>
      </c>
      <c r="B1239" t="s">
        <v>1523</v>
      </c>
    </row>
    <row r="1240" spans="1:2">
      <c r="A1240">
        <v>50599911</v>
      </c>
      <c r="B1240" t="s">
        <v>1524</v>
      </c>
    </row>
    <row r="1241" spans="1:2">
      <c r="A1241">
        <v>50599912</v>
      </c>
      <c r="B1241" t="s">
        <v>1525</v>
      </c>
    </row>
    <row r="1242" spans="1:2">
      <c r="A1242">
        <v>50599913</v>
      </c>
      <c r="B1242" t="s">
        <v>1526</v>
      </c>
    </row>
    <row r="1243" spans="1:2">
      <c r="A1243">
        <v>50599914</v>
      </c>
      <c r="B1243" t="s">
        <v>1527</v>
      </c>
    </row>
    <row r="1244" spans="1:2">
      <c r="A1244">
        <v>50599915</v>
      </c>
      <c r="B1244" t="s">
        <v>1528</v>
      </c>
    </row>
    <row r="1245" spans="1:2">
      <c r="A1245">
        <v>50599916</v>
      </c>
      <c r="B1245" t="s">
        <v>1529</v>
      </c>
    </row>
    <row r="1246" spans="1:2">
      <c r="A1246">
        <v>50599917</v>
      </c>
      <c r="B1246" t="s">
        <v>1530</v>
      </c>
    </row>
    <row r="1247" spans="1:2">
      <c r="A1247">
        <v>50599918</v>
      </c>
      <c r="B1247" t="s">
        <v>1531</v>
      </c>
    </row>
    <row r="1248" spans="1:2">
      <c r="A1248">
        <v>50599919</v>
      </c>
      <c r="B1248" t="s">
        <v>1532</v>
      </c>
    </row>
    <row r="1249" spans="1:2">
      <c r="A1249">
        <v>50599920</v>
      </c>
      <c r="B1249" t="s">
        <v>1533</v>
      </c>
    </row>
    <row r="1250" spans="1:2">
      <c r="A1250">
        <v>50599921</v>
      </c>
      <c r="B1250" t="s">
        <v>1534</v>
      </c>
    </row>
    <row r="1251" spans="1:2">
      <c r="A1251">
        <v>50599922</v>
      </c>
      <c r="B1251" t="s">
        <v>1535</v>
      </c>
    </row>
    <row r="1252" spans="1:2">
      <c r="A1252">
        <v>50599923</v>
      </c>
      <c r="B1252" t="s">
        <v>1536</v>
      </c>
    </row>
    <row r="1253" spans="1:2">
      <c r="A1253">
        <v>50599924</v>
      </c>
      <c r="B1253" t="s">
        <v>1537</v>
      </c>
    </row>
    <row r="1254" spans="1:2">
      <c r="A1254">
        <v>50599925</v>
      </c>
      <c r="B1254" t="s">
        <v>1538</v>
      </c>
    </row>
    <row r="1255" spans="1:2">
      <c r="A1255">
        <v>50599926</v>
      </c>
      <c r="B1255" t="s">
        <v>1539</v>
      </c>
    </row>
    <row r="1256" spans="1:2">
      <c r="A1256">
        <v>50599927</v>
      </c>
      <c r="B1256" t="s">
        <v>1540</v>
      </c>
    </row>
    <row r="1257" spans="1:2">
      <c r="A1257">
        <v>50500310</v>
      </c>
      <c r="B1257" t="s">
        <v>1489</v>
      </c>
    </row>
    <row r="1258" spans="1:2">
      <c r="A1258">
        <v>50500311</v>
      </c>
      <c r="B1258" t="s">
        <v>1490</v>
      </c>
    </row>
    <row r="1259" spans="1:2">
      <c r="A1259">
        <v>50500312</v>
      </c>
      <c r="B1259" t="s">
        <v>1491</v>
      </c>
    </row>
    <row r="1260" spans="1:2">
      <c r="A1260">
        <v>50500313</v>
      </c>
      <c r="B1260" t="s">
        <v>1492</v>
      </c>
    </row>
    <row r="1261" spans="1:2">
      <c r="A1261">
        <v>50500314</v>
      </c>
      <c r="B1261" t="s">
        <v>1493</v>
      </c>
    </row>
    <row r="1262" spans="1:2">
      <c r="A1262">
        <v>50500315</v>
      </c>
      <c r="B1262" t="s">
        <v>1494</v>
      </c>
    </row>
    <row r="1263" spans="1:2">
      <c r="A1263">
        <v>50500316</v>
      </c>
      <c r="B1263" t="s">
        <v>1495</v>
      </c>
    </row>
    <row r="1264" spans="1:2">
      <c r="A1264">
        <v>50500317</v>
      </c>
      <c r="B1264" t="s">
        <v>1496</v>
      </c>
    </row>
    <row r="1265" spans="1:2">
      <c r="A1265">
        <v>50500410</v>
      </c>
      <c r="B1265" t="s">
        <v>1506</v>
      </c>
    </row>
    <row r="1266" spans="1:2">
      <c r="A1266">
        <v>50500411</v>
      </c>
      <c r="B1266" t="s">
        <v>1507</v>
      </c>
    </row>
    <row r="1267" spans="1:2">
      <c r="A1267">
        <v>50500412</v>
      </c>
      <c r="B1267" t="s">
        <v>1508</v>
      </c>
    </row>
    <row r="1268" spans="1:2">
      <c r="A1268">
        <v>50500413</v>
      </c>
      <c r="B1268" t="s">
        <v>1509</v>
      </c>
    </row>
    <row r="1269" spans="1:2">
      <c r="A1269">
        <v>50500414</v>
      </c>
      <c r="B1269" t="s">
        <v>1510</v>
      </c>
    </row>
    <row r="1270" spans="1:2">
      <c r="A1270">
        <v>50500415</v>
      </c>
      <c r="B1270" t="s">
        <v>1511</v>
      </c>
    </row>
    <row r="1271" spans="1:2">
      <c r="A1271">
        <v>50500416</v>
      </c>
      <c r="B1271" t="s">
        <v>1512</v>
      </c>
    </row>
    <row r="1272" spans="1:2">
      <c r="A1272">
        <v>50500417</v>
      </c>
      <c r="B1272" t="s">
        <v>1513</v>
      </c>
    </row>
    <row r="1273" spans="1:2">
      <c r="A1273">
        <v>50599928</v>
      </c>
      <c r="B1273" t="s">
        <v>1541</v>
      </c>
    </row>
    <row r="1274" spans="1:2">
      <c r="A1274">
        <v>50599929</v>
      </c>
      <c r="B1274" t="s">
        <v>1542</v>
      </c>
    </row>
    <row r="1275" spans="1:2">
      <c r="A1275">
        <v>50599930</v>
      </c>
      <c r="B1275" t="s">
        <v>1543</v>
      </c>
    </row>
    <row r="1276" spans="1:2">
      <c r="A1276">
        <v>50599931</v>
      </c>
      <c r="B1276" t="s">
        <v>1544</v>
      </c>
    </row>
    <row r="1277" spans="1:2">
      <c r="A1277">
        <v>50599932</v>
      </c>
      <c r="B1277" t="s">
        <v>1545</v>
      </c>
    </row>
    <row r="1278" spans="1:2">
      <c r="A1278">
        <v>50599933</v>
      </c>
      <c r="B1278" t="s">
        <v>1546</v>
      </c>
    </row>
    <row r="1279" spans="1:2">
      <c r="A1279">
        <v>50599934</v>
      </c>
      <c r="B1279" t="s">
        <v>1547</v>
      </c>
    </row>
    <row r="1280" spans="1:2">
      <c r="A1280">
        <v>50599935</v>
      </c>
      <c r="B1280" t="s">
        <v>1548</v>
      </c>
    </row>
    <row r="1281" spans="1:2">
      <c r="A1281">
        <v>51000501</v>
      </c>
      <c r="B1281" t="s">
        <v>1549</v>
      </c>
    </row>
    <row r="1282" spans="1:2">
      <c r="A1282">
        <v>51000502</v>
      </c>
      <c r="B1282" t="s">
        <v>1550</v>
      </c>
    </row>
    <row r="1283" spans="1:2">
      <c r="A1283">
        <v>51000503</v>
      </c>
      <c r="B1283" t="s">
        <v>1551</v>
      </c>
    </row>
    <row r="1284" spans="1:2">
      <c r="A1284">
        <v>51000504</v>
      </c>
      <c r="B1284" t="s">
        <v>1552</v>
      </c>
    </row>
    <row r="1285" spans="1:2">
      <c r="A1285">
        <v>51000505</v>
      </c>
      <c r="B1285" t="s">
        <v>1553</v>
      </c>
    </row>
    <row r="1286" spans="1:2">
      <c r="A1286">
        <v>51000506</v>
      </c>
      <c r="B1286" t="s">
        <v>1554</v>
      </c>
    </row>
    <row r="1287" spans="1:2">
      <c r="A1287">
        <v>51000507</v>
      </c>
      <c r="B1287" t="s">
        <v>1555</v>
      </c>
    </row>
    <row r="1288" spans="1:2">
      <c r="A1288">
        <v>51000508</v>
      </c>
      <c r="B1288" t="s">
        <v>1556</v>
      </c>
    </row>
    <row r="1289" spans="1:2">
      <c r="A1289">
        <v>51000509</v>
      </c>
      <c r="B1289" t="s">
        <v>1557</v>
      </c>
    </row>
    <row r="1290" spans="1:2">
      <c r="A1290">
        <v>51000510</v>
      </c>
      <c r="B1290" t="s">
        <v>1558</v>
      </c>
    </row>
    <row r="1291" spans="1:2">
      <c r="A1291">
        <v>51000511</v>
      </c>
      <c r="B1291" t="s">
        <v>1559</v>
      </c>
    </row>
    <row r="1292" spans="1:2">
      <c r="A1292">
        <v>51000512</v>
      </c>
      <c r="B1292" t="s">
        <v>1560</v>
      </c>
    </row>
    <row r="1293" spans="1:2">
      <c r="A1293">
        <v>51000513</v>
      </c>
      <c r="B1293" t="s">
        <v>1561</v>
      </c>
    </row>
    <row r="1294" spans="1:2">
      <c r="A1294">
        <v>51000514</v>
      </c>
      <c r="B1294" t="s">
        <v>1562</v>
      </c>
    </row>
    <row r="1295" spans="1:2">
      <c r="A1295">
        <v>51000515</v>
      </c>
      <c r="B1295" t="s">
        <v>1563</v>
      </c>
    </row>
    <row r="1296" spans="1:2">
      <c r="A1296">
        <v>51000516</v>
      </c>
      <c r="B1296" t="s">
        <v>1564</v>
      </c>
    </row>
    <row r="1297" spans="1:2">
      <c r="A1297">
        <v>51000517</v>
      </c>
      <c r="B1297" t="s">
        <v>1565</v>
      </c>
    </row>
    <row r="1298" spans="1:2">
      <c r="A1298">
        <v>51000518</v>
      </c>
      <c r="B1298" t="s">
        <v>1566</v>
      </c>
    </row>
    <row r="1299" spans="1:2">
      <c r="A1299">
        <v>51000519</v>
      </c>
      <c r="B1299" t="s">
        <v>1567</v>
      </c>
    </row>
    <row r="1300" spans="1:2">
      <c r="A1300">
        <v>51000520</v>
      </c>
      <c r="B1300" t="s">
        <v>1568</v>
      </c>
    </row>
    <row r="1301" spans="1:2">
      <c r="A1301">
        <v>51000521</v>
      </c>
      <c r="B1301" t="s">
        <v>1569</v>
      </c>
    </row>
    <row r="1302" spans="1:2">
      <c r="A1302">
        <v>51000522</v>
      </c>
      <c r="B1302" t="s">
        <v>1570</v>
      </c>
    </row>
    <row r="1303" spans="1:2">
      <c r="A1303">
        <v>51000523</v>
      </c>
      <c r="B1303" t="s">
        <v>1571</v>
      </c>
    </row>
    <row r="1304" spans="1:2">
      <c r="A1304">
        <v>51000524</v>
      </c>
      <c r="B1304" t="s">
        <v>1572</v>
      </c>
    </row>
    <row r="1305" spans="1:2">
      <c r="A1305">
        <v>51000525</v>
      </c>
      <c r="B1305" t="s">
        <v>1573</v>
      </c>
    </row>
    <row r="1306" spans="1:2">
      <c r="A1306">
        <v>51000526</v>
      </c>
      <c r="B1306" t="s">
        <v>1574</v>
      </c>
    </row>
    <row r="1307" spans="1:2">
      <c r="A1307">
        <v>51000527</v>
      </c>
      <c r="B1307" t="s">
        <v>1575</v>
      </c>
    </row>
    <row r="1308" spans="1:2">
      <c r="A1308">
        <v>51000528</v>
      </c>
      <c r="B1308" t="s">
        <v>1576</v>
      </c>
    </row>
    <row r="1309" spans="1:2">
      <c r="A1309">
        <v>51000529</v>
      </c>
      <c r="B1309" t="s">
        <v>1577</v>
      </c>
    </row>
    <row r="1310" spans="1:2">
      <c r="A1310">
        <v>51000530</v>
      </c>
      <c r="B1310" t="s">
        <v>1578</v>
      </c>
    </row>
    <row r="1311" spans="1:2">
      <c r="A1311">
        <v>51000531</v>
      </c>
      <c r="B1311" t="s">
        <v>1579</v>
      </c>
    </row>
    <row r="1312" spans="1:2">
      <c r="A1312">
        <v>51000532</v>
      </c>
      <c r="B1312" t="s">
        <v>1580</v>
      </c>
    </row>
    <row r="1313" spans="1:2">
      <c r="A1313">
        <v>52000601</v>
      </c>
      <c r="B1313" t="s">
        <v>1581</v>
      </c>
    </row>
    <row r="1314" spans="1:2">
      <c r="A1314">
        <v>52000602</v>
      </c>
      <c r="B1314" t="s">
        <v>1582</v>
      </c>
    </row>
    <row r="1315" spans="1:2">
      <c r="A1315">
        <v>52000603</v>
      </c>
      <c r="B1315" t="s">
        <v>1583</v>
      </c>
    </row>
    <row r="1316" spans="1:2">
      <c r="A1316">
        <v>52000604</v>
      </c>
      <c r="B1316" t="s">
        <v>1584</v>
      </c>
    </row>
    <row r="1317" spans="1:2">
      <c r="A1317">
        <v>52000605</v>
      </c>
      <c r="B1317" t="s">
        <v>1585</v>
      </c>
    </row>
    <row r="1318" spans="1:2">
      <c r="A1318">
        <v>52000606</v>
      </c>
      <c r="B1318" t="s">
        <v>1586</v>
      </c>
    </row>
    <row r="1319" spans="1:2">
      <c r="A1319">
        <v>52000607</v>
      </c>
      <c r="B1319" t="s">
        <v>1587</v>
      </c>
    </row>
    <row r="1320" spans="1:2">
      <c r="A1320">
        <v>52000608</v>
      </c>
      <c r="B1320" t="s">
        <v>1588</v>
      </c>
    </row>
    <row r="1321" spans="1:2">
      <c r="A1321">
        <v>52000609</v>
      </c>
      <c r="B1321" t="s">
        <v>1589</v>
      </c>
    </row>
    <row r="1322" spans="1:2">
      <c r="A1322">
        <v>52000610</v>
      </c>
      <c r="B1322" t="s">
        <v>1590</v>
      </c>
    </row>
    <row r="1323" spans="1:2">
      <c r="A1323">
        <v>52000611</v>
      </c>
      <c r="B1323" t="s">
        <v>1591</v>
      </c>
    </row>
    <row r="1324" spans="1:2">
      <c r="A1324">
        <v>52000612</v>
      </c>
      <c r="B1324" t="s">
        <v>1592</v>
      </c>
    </row>
    <row r="1325" spans="1:2">
      <c r="A1325">
        <v>52000613</v>
      </c>
      <c r="B1325" t="s">
        <v>1593</v>
      </c>
    </row>
    <row r="1326" spans="1:2">
      <c r="A1326">
        <v>52000614</v>
      </c>
      <c r="B1326" t="s">
        <v>1594</v>
      </c>
    </row>
    <row r="1327" spans="1:2">
      <c r="A1327">
        <v>52000615</v>
      </c>
      <c r="B1327" t="s">
        <v>1595</v>
      </c>
    </row>
    <row r="1328" spans="1:2">
      <c r="A1328">
        <v>52000616</v>
      </c>
      <c r="B1328" t="s">
        <v>1596</v>
      </c>
    </row>
    <row r="1329" spans="1:2">
      <c r="A1329">
        <v>52000617</v>
      </c>
      <c r="B1329" t="s">
        <v>1597</v>
      </c>
    </row>
    <row r="1330" spans="1:2">
      <c r="A1330">
        <v>52500701</v>
      </c>
      <c r="B1330" t="s">
        <v>1598</v>
      </c>
    </row>
    <row r="1331" spans="1:2">
      <c r="A1331">
        <v>52500702</v>
      </c>
      <c r="B1331" t="s">
        <v>1599</v>
      </c>
    </row>
    <row r="1332" spans="1:2">
      <c r="A1332">
        <v>52500703</v>
      </c>
      <c r="B1332" t="s">
        <v>1600</v>
      </c>
    </row>
    <row r="1333" spans="1:2">
      <c r="A1333">
        <v>52500704</v>
      </c>
      <c r="B1333" t="s">
        <v>1601</v>
      </c>
    </row>
    <row r="1334" spans="1:2">
      <c r="A1334">
        <v>52500705</v>
      </c>
      <c r="B1334" t="s">
        <v>1602</v>
      </c>
    </row>
    <row r="1335" spans="1:2">
      <c r="A1335">
        <v>52500706</v>
      </c>
      <c r="B1335" t="s">
        <v>1603</v>
      </c>
    </row>
    <row r="1336" spans="1:2">
      <c r="A1336">
        <v>52500707</v>
      </c>
      <c r="B1336" t="s">
        <v>1604</v>
      </c>
    </row>
    <row r="1337" spans="1:2">
      <c r="A1337">
        <v>52500708</v>
      </c>
      <c r="B1337" t="s">
        <v>1605</v>
      </c>
    </row>
    <row r="1338" spans="1:2">
      <c r="A1338">
        <v>52500709</v>
      </c>
      <c r="B1338" t="s">
        <v>1606</v>
      </c>
    </row>
    <row r="1339" spans="1:2">
      <c r="A1339">
        <v>52500710</v>
      </c>
      <c r="B1339" t="s">
        <v>1599</v>
      </c>
    </row>
    <row r="1340" spans="1:2">
      <c r="A1340">
        <v>52500711</v>
      </c>
      <c r="B1340" t="s">
        <v>1607</v>
      </c>
    </row>
    <row r="1341" spans="1:2">
      <c r="A1341">
        <v>52500712</v>
      </c>
      <c r="B1341" t="s">
        <v>1608</v>
      </c>
    </row>
    <row r="1342" spans="1:2">
      <c r="A1342">
        <v>52500713</v>
      </c>
      <c r="B1342" t="s">
        <v>1600</v>
      </c>
    </row>
    <row r="1343" spans="1:2">
      <c r="A1343">
        <v>52500714</v>
      </c>
      <c r="B1343" t="s">
        <v>1601</v>
      </c>
    </row>
    <row r="1344" spans="1:2">
      <c r="A1344">
        <v>52500715</v>
      </c>
      <c r="B1344" t="s">
        <v>1602</v>
      </c>
    </row>
    <row r="1345" spans="1:2">
      <c r="A1345">
        <v>52500716</v>
      </c>
      <c r="B1345" t="s">
        <v>1603</v>
      </c>
    </row>
    <row r="1346" spans="1:2">
      <c r="A1346">
        <v>52500801</v>
      </c>
      <c r="B1346" t="s">
        <v>1609</v>
      </c>
    </row>
    <row r="1347" spans="1:2">
      <c r="A1347">
        <v>52500802</v>
      </c>
      <c r="B1347" t="s">
        <v>1610</v>
      </c>
    </row>
    <row r="1348" spans="1:2">
      <c r="A1348">
        <v>52500803</v>
      </c>
      <c r="B1348" t="s">
        <v>1611</v>
      </c>
    </row>
    <row r="1349" spans="1:2">
      <c r="A1349">
        <v>52500804</v>
      </c>
      <c r="B1349" t="s">
        <v>1612</v>
      </c>
    </row>
    <row r="1350" spans="1:2">
      <c r="A1350">
        <v>52500805</v>
      </c>
      <c r="B1350" t="s">
        <v>1613</v>
      </c>
    </row>
    <row r="1351" spans="1:2">
      <c r="A1351">
        <v>52500806</v>
      </c>
      <c r="B1351" t="s">
        <v>1614</v>
      </c>
    </row>
    <row r="1352" spans="1:2">
      <c r="A1352">
        <v>53000901</v>
      </c>
      <c r="B1352" t="s">
        <v>1615</v>
      </c>
    </row>
    <row r="1353" spans="1:2">
      <c r="A1353">
        <v>53000902</v>
      </c>
      <c r="B1353" t="s">
        <v>1616</v>
      </c>
    </row>
    <row r="1354" spans="1:2">
      <c r="A1354">
        <v>53000903</v>
      </c>
      <c r="B1354" t="s">
        <v>1617</v>
      </c>
    </row>
    <row r="1355" spans="1:2">
      <c r="A1355">
        <v>53000904</v>
      </c>
      <c r="B1355" t="s">
        <v>1618</v>
      </c>
    </row>
    <row r="1356" spans="1:2">
      <c r="A1356">
        <v>53000905</v>
      </c>
      <c r="B1356" t="s">
        <v>1619</v>
      </c>
    </row>
    <row r="1357" spans="1:2">
      <c r="A1357">
        <v>53000906</v>
      </c>
      <c r="B1357" t="s">
        <v>1620</v>
      </c>
    </row>
    <row r="1358" spans="1:2">
      <c r="A1358">
        <v>59901001</v>
      </c>
      <c r="B1358" t="s">
        <v>1621</v>
      </c>
    </row>
    <row r="1359" spans="1:2">
      <c r="A1359" t="s">
        <v>2006</v>
      </c>
      <c r="B1359" t="s">
        <v>2007</v>
      </c>
    </row>
    <row r="1360" spans="1:2">
      <c r="A1360" t="s">
        <v>2008</v>
      </c>
      <c r="B1360" t="s">
        <v>2009</v>
      </c>
    </row>
    <row r="1361" spans="1:2">
      <c r="A1361" t="s">
        <v>2010</v>
      </c>
      <c r="B1361" t="s">
        <v>2011</v>
      </c>
    </row>
    <row r="1362" spans="1:2">
      <c r="A1362" t="s">
        <v>2012</v>
      </c>
      <c r="B1362" t="s">
        <v>2013</v>
      </c>
    </row>
    <row r="1363" spans="1:2">
      <c r="A1363" t="s">
        <v>2014</v>
      </c>
      <c r="B1363" t="s">
        <v>2015</v>
      </c>
    </row>
    <row r="1364" spans="1:2">
      <c r="A1364" t="s">
        <v>2016</v>
      </c>
      <c r="B1364" t="s">
        <v>2017</v>
      </c>
    </row>
    <row r="1365" spans="1:2">
      <c r="A1365" t="s">
        <v>2018</v>
      </c>
      <c r="B1365" t="s">
        <v>2019</v>
      </c>
    </row>
    <row r="1366" spans="1:2">
      <c r="A1366" t="s">
        <v>2020</v>
      </c>
      <c r="B1366" t="s">
        <v>2021</v>
      </c>
    </row>
    <row r="1367" spans="1:2">
      <c r="A1367" t="s">
        <v>2022</v>
      </c>
      <c r="B1367" t="s">
        <v>2023</v>
      </c>
    </row>
    <row r="1368" spans="1:2">
      <c r="A1368" t="s">
        <v>2024</v>
      </c>
      <c r="B1368" t="s">
        <v>2025</v>
      </c>
    </row>
    <row r="1369" spans="1:2">
      <c r="A1369" t="s">
        <v>2026</v>
      </c>
      <c r="B1369" t="s">
        <v>2027</v>
      </c>
    </row>
    <row r="1370" spans="1:2">
      <c r="A1370" t="s">
        <v>2028</v>
      </c>
      <c r="B1370" t="s">
        <v>2029</v>
      </c>
    </row>
    <row r="1371" spans="1:2">
      <c r="A1371" t="s">
        <v>2030</v>
      </c>
      <c r="B1371" t="s">
        <v>2031</v>
      </c>
    </row>
    <row r="1372" spans="1:2">
      <c r="A1372" t="s">
        <v>2032</v>
      </c>
      <c r="B1372" t="s">
        <v>2033</v>
      </c>
    </row>
    <row r="1373" spans="1:2">
      <c r="A1373" t="s">
        <v>2034</v>
      </c>
      <c r="B1373" t="s">
        <v>2035</v>
      </c>
    </row>
    <row r="1374" spans="1:2">
      <c r="A1374" t="s">
        <v>2036</v>
      </c>
      <c r="B1374" t="s">
        <v>2037</v>
      </c>
    </row>
    <row r="1375" spans="1:2">
      <c r="A1375" t="s">
        <v>2038</v>
      </c>
      <c r="B1375" t="s">
        <v>2039</v>
      </c>
    </row>
    <row r="1376" spans="1:2">
      <c r="A1376" t="s">
        <v>2040</v>
      </c>
      <c r="B1376" t="s">
        <v>2041</v>
      </c>
    </row>
    <row r="1377" spans="1:2">
      <c r="A1377">
        <v>60000001</v>
      </c>
      <c r="B1377" t="s">
        <v>1622</v>
      </c>
    </row>
    <row r="1378" spans="1:2">
      <c r="A1378">
        <v>70100101</v>
      </c>
      <c r="B1378" t="s">
        <v>1623</v>
      </c>
    </row>
    <row r="1379" spans="1:2">
      <c r="A1379">
        <v>70100201</v>
      </c>
      <c r="B1379" t="s">
        <v>1624</v>
      </c>
    </row>
    <row r="1380" spans="1:2">
      <c r="A1380">
        <v>70100301</v>
      </c>
      <c r="B1380" t="s">
        <v>1625</v>
      </c>
    </row>
    <row r="1381" spans="1:2">
      <c r="A1381">
        <v>70500101</v>
      </c>
      <c r="B1381" t="s">
        <v>1626</v>
      </c>
    </row>
    <row r="1382" spans="1:2">
      <c r="A1382">
        <v>70500201</v>
      </c>
      <c r="B1382" t="s">
        <v>1627</v>
      </c>
    </row>
    <row r="1383" spans="1:2">
      <c r="A1383">
        <v>70500301</v>
      </c>
      <c r="B1383" t="s">
        <v>2131</v>
      </c>
    </row>
    <row r="1384" spans="1:2">
      <c r="A1384">
        <v>71000101</v>
      </c>
      <c r="B1384" t="s">
        <v>1628</v>
      </c>
    </row>
    <row r="1385" spans="1:2">
      <c r="A1385">
        <v>71000201</v>
      </c>
      <c r="B1385" t="s">
        <v>1629</v>
      </c>
    </row>
    <row r="1386" spans="1:2">
      <c r="A1386">
        <v>71000301</v>
      </c>
      <c r="B1386" t="s">
        <v>1630</v>
      </c>
    </row>
    <row r="1387" spans="1:2">
      <c r="A1387">
        <v>71500101</v>
      </c>
      <c r="B1387" t="s">
        <v>1631</v>
      </c>
    </row>
    <row r="1388" spans="1:2">
      <c r="A1388">
        <v>71500201</v>
      </c>
      <c r="B1388" t="s">
        <v>1632</v>
      </c>
    </row>
    <row r="1389" spans="1:2">
      <c r="A1389">
        <v>71500301</v>
      </c>
      <c r="B1389" t="s">
        <v>1633</v>
      </c>
    </row>
    <row r="1390" spans="1:2">
      <c r="A1390">
        <v>72000101</v>
      </c>
      <c r="B1390" t="s">
        <v>1634</v>
      </c>
    </row>
    <row r="1391" spans="1:2">
      <c r="A1391">
        <v>72000201</v>
      </c>
      <c r="B1391" t="s">
        <v>1635</v>
      </c>
    </row>
    <row r="1392" spans="1:2">
      <c r="A1392">
        <v>72000301</v>
      </c>
      <c r="B1392" t="s">
        <v>1636</v>
      </c>
    </row>
    <row r="1393" spans="1:2">
      <c r="A1393">
        <v>72500101</v>
      </c>
      <c r="B1393" t="s">
        <v>2132</v>
      </c>
    </row>
    <row r="1394" spans="1:2">
      <c r="A1394">
        <v>72500201</v>
      </c>
      <c r="B1394" t="s">
        <v>2133</v>
      </c>
    </row>
    <row r="1395" spans="1:2">
      <c r="A1395">
        <v>72500301</v>
      </c>
      <c r="B1395" t="s">
        <v>1637</v>
      </c>
    </row>
    <row r="1396" spans="1:2">
      <c r="A1396">
        <v>90100401</v>
      </c>
      <c r="B1396" t="s">
        <v>1638</v>
      </c>
    </row>
    <row r="1397" spans="1:2">
      <c r="A1397">
        <v>90100501</v>
      </c>
      <c r="B1397" t="s">
        <v>1639</v>
      </c>
    </row>
    <row r="1398" spans="1:2">
      <c r="A1398">
        <v>90100601</v>
      </c>
      <c r="B1398" t="s">
        <v>1640</v>
      </c>
    </row>
    <row r="1399" spans="1:2">
      <c r="A1399">
        <v>90199901</v>
      </c>
      <c r="B1399" t="s">
        <v>1641</v>
      </c>
    </row>
    <row r="1400" spans="1:2">
      <c r="A1400">
        <v>90501001</v>
      </c>
      <c r="B1400" t="s">
        <v>1642</v>
      </c>
    </row>
    <row r="1401" spans="1:2">
      <c r="A1401">
        <v>90501002</v>
      </c>
      <c r="B1401" t="s">
        <v>1643</v>
      </c>
    </row>
    <row r="1402" spans="1:2">
      <c r="A1402">
        <v>90501003</v>
      </c>
      <c r="B1402" t="s">
        <v>1644</v>
      </c>
    </row>
    <row r="1403" spans="1:2">
      <c r="A1403">
        <v>90501004</v>
      </c>
      <c r="B1403" t="s">
        <v>1645</v>
      </c>
    </row>
    <row r="1404" spans="1:2">
      <c r="A1404">
        <v>90501005</v>
      </c>
      <c r="B1404" t="s">
        <v>1646</v>
      </c>
    </row>
    <row r="1405" spans="1:2">
      <c r="A1405">
        <v>90501006</v>
      </c>
      <c r="B1405" t="s">
        <v>1647</v>
      </c>
    </row>
    <row r="1406" spans="1:2">
      <c r="A1406">
        <v>90501007</v>
      </c>
      <c r="B1406" t="s">
        <v>1648</v>
      </c>
    </row>
    <row r="1407" spans="1:2">
      <c r="A1407">
        <v>90501008</v>
      </c>
      <c r="B1407" t="s">
        <v>1649</v>
      </c>
    </row>
    <row r="1408" spans="1:2">
      <c r="A1408">
        <v>90501009</v>
      </c>
      <c r="B1408" t="s">
        <v>1650</v>
      </c>
    </row>
    <row r="1409" spans="1:2">
      <c r="A1409">
        <v>90501101</v>
      </c>
      <c r="B1409" t="s">
        <v>1667</v>
      </c>
    </row>
    <row r="1410" spans="1:2">
      <c r="A1410">
        <v>90501102</v>
      </c>
      <c r="B1410" t="s">
        <v>1668</v>
      </c>
    </row>
    <row r="1411" spans="1:2">
      <c r="A1411">
        <v>90501103</v>
      </c>
      <c r="B1411" t="s">
        <v>1669</v>
      </c>
    </row>
    <row r="1412" spans="1:2">
      <c r="A1412">
        <v>90501104</v>
      </c>
      <c r="B1412" t="s">
        <v>1670</v>
      </c>
    </row>
    <row r="1413" spans="1:2">
      <c r="A1413">
        <v>90501105</v>
      </c>
      <c r="B1413" t="s">
        <v>1671</v>
      </c>
    </row>
    <row r="1414" spans="1:2">
      <c r="A1414">
        <v>90501106</v>
      </c>
      <c r="B1414" t="s">
        <v>1672</v>
      </c>
    </row>
    <row r="1415" spans="1:2">
      <c r="A1415">
        <v>90501107</v>
      </c>
      <c r="B1415" t="s">
        <v>1673</v>
      </c>
    </row>
    <row r="1416" spans="1:2">
      <c r="A1416">
        <v>90501108</v>
      </c>
      <c r="B1416" t="s">
        <v>1674</v>
      </c>
    </row>
    <row r="1417" spans="1:2">
      <c r="A1417">
        <v>90501109</v>
      </c>
      <c r="B1417" t="s">
        <v>1675</v>
      </c>
    </row>
    <row r="1418" spans="1:2">
      <c r="A1418">
        <v>90501201</v>
      </c>
      <c r="B1418" t="s">
        <v>1677</v>
      </c>
    </row>
    <row r="1419" spans="1:2">
      <c r="A1419">
        <v>90501202</v>
      </c>
      <c r="B1419" t="s">
        <v>1678</v>
      </c>
    </row>
    <row r="1420" spans="1:2">
      <c r="A1420">
        <v>90501203</v>
      </c>
      <c r="B1420" t="s">
        <v>1679</v>
      </c>
    </row>
    <row r="1421" spans="1:2">
      <c r="A1421">
        <v>90501204</v>
      </c>
      <c r="B1421" t="s">
        <v>1680</v>
      </c>
    </row>
    <row r="1422" spans="1:2">
      <c r="A1422">
        <v>90501205</v>
      </c>
      <c r="B1422" t="s">
        <v>1681</v>
      </c>
    </row>
    <row r="1423" spans="1:2">
      <c r="A1423">
        <v>90501206</v>
      </c>
      <c r="B1423" t="s">
        <v>1682</v>
      </c>
    </row>
    <row r="1424" spans="1:2">
      <c r="A1424">
        <v>90501207</v>
      </c>
      <c r="B1424" t="s">
        <v>1683</v>
      </c>
    </row>
    <row r="1425" spans="1:2">
      <c r="A1425">
        <v>90501208</v>
      </c>
      <c r="B1425" t="s">
        <v>1684</v>
      </c>
    </row>
    <row r="1426" spans="1:2">
      <c r="A1426">
        <v>90501209</v>
      </c>
      <c r="B1426" t="s">
        <v>1685</v>
      </c>
    </row>
    <row r="1427" spans="1:2">
      <c r="A1427">
        <v>90501301</v>
      </c>
      <c r="B1427" t="s">
        <v>1686</v>
      </c>
    </row>
    <row r="1428" spans="1:2">
      <c r="A1428">
        <v>90501302</v>
      </c>
      <c r="B1428" t="s">
        <v>1687</v>
      </c>
    </row>
    <row r="1429" spans="1:2">
      <c r="A1429">
        <v>90501303</v>
      </c>
      <c r="B1429" t="s">
        <v>1688</v>
      </c>
    </row>
    <row r="1430" spans="1:2">
      <c r="A1430">
        <v>90501304</v>
      </c>
      <c r="B1430" t="s">
        <v>1689</v>
      </c>
    </row>
    <row r="1431" spans="1:2">
      <c r="A1431">
        <v>90501305</v>
      </c>
      <c r="B1431" t="s">
        <v>1690</v>
      </c>
    </row>
    <row r="1432" spans="1:2">
      <c r="A1432">
        <v>90501306</v>
      </c>
      <c r="B1432" t="s">
        <v>1691</v>
      </c>
    </row>
    <row r="1433" spans="1:2">
      <c r="A1433">
        <v>90501307</v>
      </c>
      <c r="B1433" t="s">
        <v>1692</v>
      </c>
    </row>
    <row r="1434" spans="1:2">
      <c r="A1434">
        <v>90501308</v>
      </c>
      <c r="B1434" t="s">
        <v>1693</v>
      </c>
    </row>
    <row r="1435" spans="1:2">
      <c r="A1435">
        <v>90501309</v>
      </c>
      <c r="B1435" t="s">
        <v>1694</v>
      </c>
    </row>
    <row r="1436" spans="1:2">
      <c r="A1436">
        <v>90599901</v>
      </c>
      <c r="B1436" t="s">
        <v>1696</v>
      </c>
    </row>
    <row r="1437" spans="1:2">
      <c r="A1437">
        <v>90599902</v>
      </c>
      <c r="B1437" t="s">
        <v>1697</v>
      </c>
    </row>
    <row r="1438" spans="1:2">
      <c r="A1438">
        <v>90599903</v>
      </c>
      <c r="B1438" t="s">
        <v>1698</v>
      </c>
    </row>
    <row r="1439" spans="1:2">
      <c r="A1439">
        <v>90599904</v>
      </c>
      <c r="B1439" t="s">
        <v>1699</v>
      </c>
    </row>
    <row r="1440" spans="1:2">
      <c r="A1440">
        <v>90599905</v>
      </c>
      <c r="B1440" t="s">
        <v>1700</v>
      </c>
    </row>
    <row r="1441" spans="1:2">
      <c r="A1441">
        <v>90599906</v>
      </c>
      <c r="B1441" t="s">
        <v>1701</v>
      </c>
    </row>
    <row r="1442" spans="1:2">
      <c r="A1442">
        <v>90599907</v>
      </c>
      <c r="B1442" t="s">
        <v>1702</v>
      </c>
    </row>
    <row r="1443" spans="1:2">
      <c r="A1443">
        <v>90599908</v>
      </c>
      <c r="B1443" t="s">
        <v>1703</v>
      </c>
    </row>
    <row r="1444" spans="1:2">
      <c r="A1444">
        <v>90599909</v>
      </c>
      <c r="B1444" t="s">
        <v>1704</v>
      </c>
    </row>
    <row r="1445" spans="1:2">
      <c r="A1445">
        <v>90599910</v>
      </c>
      <c r="B1445" t="s">
        <v>1705</v>
      </c>
    </row>
    <row r="1446" spans="1:2">
      <c r="A1446">
        <v>90599911</v>
      </c>
      <c r="B1446" t="s">
        <v>1706</v>
      </c>
    </row>
    <row r="1447" spans="1:2">
      <c r="A1447">
        <v>90599912</v>
      </c>
      <c r="B1447" t="s">
        <v>1707</v>
      </c>
    </row>
    <row r="1448" spans="1:2">
      <c r="A1448">
        <v>90599913</v>
      </c>
      <c r="B1448" t="s">
        <v>1708</v>
      </c>
    </row>
    <row r="1449" spans="1:2">
      <c r="A1449">
        <v>90599914</v>
      </c>
      <c r="B1449" t="s">
        <v>1709</v>
      </c>
    </row>
    <row r="1450" spans="1:2">
      <c r="A1450">
        <v>90599915</v>
      </c>
      <c r="B1450" t="s">
        <v>1710</v>
      </c>
    </row>
    <row r="1451" spans="1:2">
      <c r="A1451">
        <v>90599916</v>
      </c>
      <c r="B1451" t="s">
        <v>1711</v>
      </c>
    </row>
    <row r="1452" spans="1:2">
      <c r="A1452">
        <v>90599917</v>
      </c>
      <c r="B1452" t="s">
        <v>1712</v>
      </c>
    </row>
    <row r="1453" spans="1:2">
      <c r="A1453">
        <v>90599918</v>
      </c>
      <c r="B1453" t="s">
        <v>1713</v>
      </c>
    </row>
    <row r="1454" spans="1:2">
      <c r="A1454">
        <v>90599919</v>
      </c>
      <c r="B1454" t="s">
        <v>1714</v>
      </c>
    </row>
    <row r="1455" spans="1:2">
      <c r="A1455">
        <v>90599920</v>
      </c>
      <c r="B1455" t="s">
        <v>1715</v>
      </c>
    </row>
    <row r="1456" spans="1:2">
      <c r="A1456">
        <v>90599921</v>
      </c>
      <c r="B1456" t="s">
        <v>1716</v>
      </c>
    </row>
    <row r="1457" spans="1:2">
      <c r="A1457">
        <v>90599922</v>
      </c>
      <c r="B1457" t="s">
        <v>1717</v>
      </c>
    </row>
    <row r="1458" spans="1:2">
      <c r="A1458">
        <v>90599923</v>
      </c>
      <c r="B1458" t="s">
        <v>1718</v>
      </c>
    </row>
    <row r="1459" spans="1:2">
      <c r="A1459">
        <v>90599924</v>
      </c>
      <c r="B1459" t="s">
        <v>1719</v>
      </c>
    </row>
    <row r="1460" spans="1:2">
      <c r="A1460">
        <v>90599925</v>
      </c>
      <c r="B1460" t="s">
        <v>1720</v>
      </c>
    </row>
    <row r="1461" spans="1:2">
      <c r="A1461">
        <v>90599926</v>
      </c>
      <c r="B1461" t="s">
        <v>1721</v>
      </c>
    </row>
    <row r="1462" spans="1:2">
      <c r="A1462">
        <v>90599927</v>
      </c>
      <c r="B1462" t="s">
        <v>1722</v>
      </c>
    </row>
    <row r="1463" spans="1:2">
      <c r="A1463">
        <v>90501010</v>
      </c>
      <c r="B1463" t="s">
        <v>1651</v>
      </c>
    </row>
    <row r="1464" spans="1:2">
      <c r="A1464">
        <v>90501011</v>
      </c>
      <c r="B1464" t="s">
        <v>1652</v>
      </c>
    </row>
    <row r="1465" spans="1:2">
      <c r="A1465">
        <v>90501012</v>
      </c>
      <c r="B1465" t="s">
        <v>1653</v>
      </c>
    </row>
    <row r="1466" spans="1:2">
      <c r="A1466">
        <v>90501013</v>
      </c>
      <c r="B1466" t="s">
        <v>1654</v>
      </c>
    </row>
    <row r="1467" spans="1:2">
      <c r="A1467">
        <v>90501014</v>
      </c>
      <c r="B1467" t="s">
        <v>1655</v>
      </c>
    </row>
    <row r="1468" spans="1:2">
      <c r="A1468">
        <v>90501015</v>
      </c>
      <c r="B1468" t="s">
        <v>1656</v>
      </c>
    </row>
    <row r="1469" spans="1:2">
      <c r="A1469">
        <v>90501016</v>
      </c>
      <c r="B1469" t="s">
        <v>1657</v>
      </c>
    </row>
    <row r="1470" spans="1:2">
      <c r="A1470">
        <v>90501017</v>
      </c>
      <c r="B1470" t="s">
        <v>1658</v>
      </c>
    </row>
    <row r="1471" spans="1:2">
      <c r="A1471">
        <v>90501018</v>
      </c>
      <c r="B1471" t="s">
        <v>1659</v>
      </c>
    </row>
    <row r="1472" spans="1:2">
      <c r="A1472">
        <v>90501019</v>
      </c>
      <c r="B1472" t="s">
        <v>1660</v>
      </c>
    </row>
    <row r="1473" spans="1:2">
      <c r="A1473">
        <v>90501020</v>
      </c>
      <c r="B1473" t="s">
        <v>1661</v>
      </c>
    </row>
    <row r="1474" spans="1:2">
      <c r="A1474">
        <v>90501021</v>
      </c>
      <c r="B1474" t="s">
        <v>1662</v>
      </c>
    </row>
    <row r="1475" spans="1:2">
      <c r="A1475">
        <v>90501022</v>
      </c>
      <c r="B1475" t="s">
        <v>1663</v>
      </c>
    </row>
    <row r="1476" spans="1:2">
      <c r="A1476">
        <v>90501023</v>
      </c>
      <c r="B1476" t="s">
        <v>1664</v>
      </c>
    </row>
    <row r="1477" spans="1:2">
      <c r="A1477">
        <v>90501024</v>
      </c>
      <c r="B1477" t="s">
        <v>1665</v>
      </c>
    </row>
    <row r="1478" spans="1:2">
      <c r="A1478">
        <v>90501025</v>
      </c>
      <c r="B1478" t="s">
        <v>1666</v>
      </c>
    </row>
    <row r="1479" spans="1:2">
      <c r="A1479">
        <v>90501110</v>
      </c>
      <c r="B1479" t="s">
        <v>1651</v>
      </c>
    </row>
    <row r="1480" spans="1:2">
      <c r="A1480">
        <v>90501111</v>
      </c>
      <c r="B1480" t="s">
        <v>1652</v>
      </c>
    </row>
    <row r="1481" spans="1:2">
      <c r="A1481">
        <v>90501112</v>
      </c>
      <c r="B1481" t="s">
        <v>1653</v>
      </c>
    </row>
    <row r="1482" spans="1:2">
      <c r="A1482">
        <v>90501113</v>
      </c>
      <c r="B1482" t="s">
        <v>1676</v>
      </c>
    </row>
    <row r="1483" spans="1:2">
      <c r="A1483">
        <v>90501114</v>
      </c>
      <c r="B1483" t="s">
        <v>1655</v>
      </c>
    </row>
    <row r="1484" spans="1:2">
      <c r="A1484">
        <v>90501115</v>
      </c>
      <c r="B1484" t="s">
        <v>1656</v>
      </c>
    </row>
    <row r="1485" spans="1:2">
      <c r="A1485">
        <v>90501116</v>
      </c>
      <c r="B1485" t="s">
        <v>1657</v>
      </c>
    </row>
    <row r="1486" spans="1:2">
      <c r="A1486">
        <v>90501117</v>
      </c>
      <c r="B1486" t="s">
        <v>1658</v>
      </c>
    </row>
    <row r="1487" spans="1:2">
      <c r="A1487">
        <v>90501118</v>
      </c>
      <c r="B1487" t="s">
        <v>1659</v>
      </c>
    </row>
    <row r="1488" spans="1:2">
      <c r="A1488">
        <v>90501119</v>
      </c>
      <c r="B1488" t="s">
        <v>1660</v>
      </c>
    </row>
    <row r="1489" spans="1:2">
      <c r="A1489">
        <v>90501120</v>
      </c>
      <c r="B1489" t="s">
        <v>1661</v>
      </c>
    </row>
    <row r="1490" spans="1:2">
      <c r="A1490">
        <v>90501121</v>
      </c>
      <c r="B1490" t="s">
        <v>1662</v>
      </c>
    </row>
    <row r="1491" spans="1:2">
      <c r="A1491">
        <v>90501122</v>
      </c>
      <c r="B1491" t="s">
        <v>1663</v>
      </c>
    </row>
    <row r="1492" spans="1:2">
      <c r="A1492">
        <v>90501123</v>
      </c>
      <c r="B1492" t="s">
        <v>1664</v>
      </c>
    </row>
    <row r="1493" spans="1:2">
      <c r="A1493">
        <v>90501124</v>
      </c>
      <c r="B1493" t="s">
        <v>1665</v>
      </c>
    </row>
    <row r="1494" spans="1:2">
      <c r="A1494">
        <v>90501125</v>
      </c>
      <c r="B1494" t="s">
        <v>1666</v>
      </c>
    </row>
    <row r="1495" spans="1:2">
      <c r="A1495">
        <v>90501210</v>
      </c>
      <c r="B1495" t="s">
        <v>1651</v>
      </c>
    </row>
    <row r="1496" spans="1:2">
      <c r="A1496">
        <v>90501211</v>
      </c>
      <c r="B1496" t="s">
        <v>1652</v>
      </c>
    </row>
    <row r="1497" spans="1:2">
      <c r="A1497">
        <v>90501212</v>
      </c>
      <c r="B1497" t="s">
        <v>1653</v>
      </c>
    </row>
    <row r="1498" spans="1:2">
      <c r="A1498">
        <v>90501213</v>
      </c>
      <c r="B1498" t="s">
        <v>1676</v>
      </c>
    </row>
    <row r="1499" spans="1:2">
      <c r="A1499">
        <v>90501214</v>
      </c>
      <c r="B1499" t="s">
        <v>1655</v>
      </c>
    </row>
    <row r="1500" spans="1:2">
      <c r="A1500">
        <v>90501215</v>
      </c>
      <c r="B1500" t="s">
        <v>1656</v>
      </c>
    </row>
    <row r="1501" spans="1:2">
      <c r="A1501">
        <v>90501216</v>
      </c>
      <c r="B1501" t="s">
        <v>1657</v>
      </c>
    </row>
    <row r="1502" spans="1:2">
      <c r="A1502">
        <v>90501217</v>
      </c>
      <c r="B1502" t="s">
        <v>1658</v>
      </c>
    </row>
    <row r="1503" spans="1:2">
      <c r="A1503">
        <v>90501218</v>
      </c>
      <c r="B1503" t="s">
        <v>1659</v>
      </c>
    </row>
    <row r="1504" spans="1:2">
      <c r="A1504">
        <v>90501219</v>
      </c>
      <c r="B1504" t="s">
        <v>1660</v>
      </c>
    </row>
    <row r="1505" spans="1:2">
      <c r="A1505">
        <v>90501220</v>
      </c>
      <c r="B1505" t="s">
        <v>1661</v>
      </c>
    </row>
    <row r="1506" spans="1:2">
      <c r="A1506">
        <v>90501221</v>
      </c>
      <c r="B1506" t="s">
        <v>1662</v>
      </c>
    </row>
    <row r="1507" spans="1:2">
      <c r="A1507">
        <v>90501222</v>
      </c>
      <c r="B1507" t="s">
        <v>1663</v>
      </c>
    </row>
    <row r="1508" spans="1:2">
      <c r="A1508">
        <v>90501223</v>
      </c>
      <c r="B1508" t="s">
        <v>1664</v>
      </c>
    </row>
    <row r="1509" spans="1:2">
      <c r="A1509">
        <v>90501224</v>
      </c>
      <c r="B1509" t="s">
        <v>1665</v>
      </c>
    </row>
    <row r="1510" spans="1:2">
      <c r="A1510">
        <v>90501225</v>
      </c>
      <c r="B1510" t="s">
        <v>1666</v>
      </c>
    </row>
    <row r="1511" spans="1:2">
      <c r="A1511">
        <v>90501310</v>
      </c>
      <c r="B1511" t="s">
        <v>1651</v>
      </c>
    </row>
    <row r="1512" spans="1:2">
      <c r="A1512">
        <v>90501311</v>
      </c>
      <c r="B1512" t="s">
        <v>1652</v>
      </c>
    </row>
    <row r="1513" spans="1:2">
      <c r="A1513">
        <v>90501312</v>
      </c>
      <c r="B1513" t="s">
        <v>1653</v>
      </c>
    </row>
    <row r="1514" spans="1:2">
      <c r="A1514">
        <v>90501313</v>
      </c>
      <c r="B1514" t="s">
        <v>1695</v>
      </c>
    </row>
    <row r="1515" spans="1:2">
      <c r="A1515">
        <v>90501314</v>
      </c>
      <c r="B1515" t="s">
        <v>1655</v>
      </c>
    </row>
    <row r="1516" spans="1:2">
      <c r="A1516">
        <v>90501315</v>
      </c>
      <c r="B1516" t="s">
        <v>1656</v>
      </c>
    </row>
    <row r="1517" spans="1:2">
      <c r="A1517">
        <v>90501316</v>
      </c>
      <c r="B1517" t="s">
        <v>1657</v>
      </c>
    </row>
    <row r="1518" spans="1:2">
      <c r="A1518">
        <v>90501317</v>
      </c>
      <c r="B1518" t="s">
        <v>1658</v>
      </c>
    </row>
    <row r="1519" spans="1:2">
      <c r="A1519">
        <v>90501318</v>
      </c>
      <c r="B1519" t="s">
        <v>1659</v>
      </c>
    </row>
    <row r="1520" spans="1:2">
      <c r="A1520">
        <v>90501319</v>
      </c>
      <c r="B1520" t="s">
        <v>1660</v>
      </c>
    </row>
    <row r="1521" spans="1:2">
      <c r="A1521">
        <v>90501320</v>
      </c>
      <c r="B1521" t="s">
        <v>1661</v>
      </c>
    </row>
    <row r="1522" spans="1:2">
      <c r="A1522">
        <v>90501321</v>
      </c>
      <c r="B1522" t="s">
        <v>1662</v>
      </c>
    </row>
    <row r="1523" spans="1:2">
      <c r="A1523">
        <v>90501322</v>
      </c>
      <c r="B1523" t="s">
        <v>1663</v>
      </c>
    </row>
    <row r="1524" spans="1:2">
      <c r="A1524">
        <v>90501323</v>
      </c>
      <c r="B1524" t="s">
        <v>1664</v>
      </c>
    </row>
    <row r="1525" spans="1:2">
      <c r="A1525">
        <v>90501324</v>
      </c>
      <c r="B1525" t="s">
        <v>1665</v>
      </c>
    </row>
    <row r="1526" spans="1:2">
      <c r="A1526">
        <v>90501325</v>
      </c>
      <c r="B1526" t="s">
        <v>1666</v>
      </c>
    </row>
    <row r="1527" spans="1:2">
      <c r="A1527">
        <v>90599928</v>
      </c>
      <c r="B1527" t="s">
        <v>2134</v>
      </c>
    </row>
    <row r="1528" spans="1:2">
      <c r="A1528">
        <v>90599929</v>
      </c>
      <c r="B1528" t="s">
        <v>1723</v>
      </c>
    </row>
    <row r="1529" spans="1:2">
      <c r="A1529">
        <v>90599930</v>
      </c>
      <c r="B1529" t="s">
        <v>1724</v>
      </c>
    </row>
    <row r="1530" spans="1:2">
      <c r="A1530">
        <v>90599931</v>
      </c>
      <c r="B1530" t="s">
        <v>1725</v>
      </c>
    </row>
    <row r="1531" spans="1:2">
      <c r="A1531">
        <v>90599932</v>
      </c>
      <c r="B1531" t="s">
        <v>1726</v>
      </c>
    </row>
    <row r="1532" spans="1:2">
      <c r="A1532">
        <v>90599933</v>
      </c>
      <c r="B1532" t="s">
        <v>1727</v>
      </c>
    </row>
    <row r="1533" spans="1:2">
      <c r="A1533">
        <v>90599934</v>
      </c>
      <c r="B1533" t="s">
        <v>1728</v>
      </c>
    </row>
    <row r="1534" spans="1:2">
      <c r="A1534">
        <v>90599935</v>
      </c>
      <c r="B1534" t="s">
        <v>1729</v>
      </c>
    </row>
    <row r="1535" spans="1:2">
      <c r="A1535">
        <v>90599936</v>
      </c>
      <c r="B1535" t="s">
        <v>1730</v>
      </c>
    </row>
    <row r="1536" spans="1:2">
      <c r="A1536">
        <v>90599937</v>
      </c>
      <c r="B1536" t="s">
        <v>1731</v>
      </c>
    </row>
    <row r="1537" spans="1:2">
      <c r="A1537">
        <v>90599938</v>
      </c>
      <c r="B1537" t="s">
        <v>1732</v>
      </c>
    </row>
    <row r="1538" spans="1:2">
      <c r="A1538">
        <v>90599939</v>
      </c>
      <c r="B1538" t="s">
        <v>1733</v>
      </c>
    </row>
    <row r="1539" spans="1:2">
      <c r="A1539">
        <v>90599940</v>
      </c>
      <c r="B1539" t="s">
        <v>1734</v>
      </c>
    </row>
    <row r="1540" spans="1:2">
      <c r="A1540">
        <v>90599941</v>
      </c>
      <c r="B1540" t="s">
        <v>1735</v>
      </c>
    </row>
    <row r="1541" spans="1:2">
      <c r="A1541">
        <v>90599942</v>
      </c>
      <c r="B1541" t="s">
        <v>1736</v>
      </c>
    </row>
    <row r="1542" spans="1:2">
      <c r="A1542">
        <v>90599943</v>
      </c>
      <c r="B1542" t="s">
        <v>1737</v>
      </c>
    </row>
    <row r="1543" spans="1:2">
      <c r="A1543">
        <v>91002501</v>
      </c>
      <c r="B1543" t="s">
        <v>1738</v>
      </c>
    </row>
    <row r="1544" spans="1:2">
      <c r="A1544">
        <v>91002601</v>
      </c>
      <c r="B1544" t="s">
        <v>1739</v>
      </c>
    </row>
    <row r="1545" spans="1:2">
      <c r="A1545">
        <v>91002701</v>
      </c>
      <c r="B1545" t="s">
        <v>1740</v>
      </c>
    </row>
    <row r="1546" spans="1:2">
      <c r="A1546">
        <v>91002801</v>
      </c>
      <c r="B1546" t="s">
        <v>1741</v>
      </c>
    </row>
    <row r="1547" spans="1:2">
      <c r="A1547">
        <v>91002901</v>
      </c>
      <c r="B1547" t="s">
        <v>1742</v>
      </c>
    </row>
    <row r="1548" spans="1:2">
      <c r="A1548">
        <v>91004101</v>
      </c>
      <c r="B1548" t="s">
        <v>1743</v>
      </c>
    </row>
    <row r="1549" spans="1:2">
      <c r="A1549">
        <v>91004601</v>
      </c>
      <c r="B1549" t="s">
        <v>1744</v>
      </c>
    </row>
    <row r="1550" spans="1:2">
      <c r="A1550">
        <v>91004803</v>
      </c>
      <c r="B1550" t="s">
        <v>1745</v>
      </c>
    </row>
    <row r="1551" spans="1:2">
      <c r="A1551">
        <v>91004804</v>
      </c>
      <c r="B1551" t="s">
        <v>1746</v>
      </c>
    </row>
    <row r="1552" spans="1:2">
      <c r="A1552">
        <v>92005601</v>
      </c>
      <c r="B1552" t="s">
        <v>1747</v>
      </c>
    </row>
    <row r="1553" spans="1:2">
      <c r="A1553">
        <v>92099901</v>
      </c>
      <c r="B1553" t="s">
        <v>1748</v>
      </c>
    </row>
    <row r="1554" spans="1:2">
      <c r="A1554">
        <v>92099902</v>
      </c>
      <c r="B1554" t="s">
        <v>1749</v>
      </c>
    </row>
    <row r="1555" spans="1:2">
      <c r="A1555">
        <v>92505901</v>
      </c>
      <c r="B1555" t="s">
        <v>1750</v>
      </c>
    </row>
    <row r="1556" spans="1:2">
      <c r="A1556">
        <v>92505902</v>
      </c>
      <c r="B1556" t="s">
        <v>1751</v>
      </c>
    </row>
    <row r="1557" spans="1:2">
      <c r="A1557">
        <v>92505903</v>
      </c>
      <c r="B1557" t="s">
        <v>1752</v>
      </c>
    </row>
    <row r="1558" spans="1:2">
      <c r="A1558">
        <v>92505904</v>
      </c>
      <c r="B1558" t="s">
        <v>1753</v>
      </c>
    </row>
    <row r="1559" spans="1:2">
      <c r="A1559">
        <v>92505905</v>
      </c>
      <c r="B1559" t="s">
        <v>1754</v>
      </c>
    </row>
    <row r="1560" spans="1:2">
      <c r="A1560">
        <v>92505906</v>
      </c>
      <c r="B1560" t="s">
        <v>1755</v>
      </c>
    </row>
    <row r="1561" spans="1:2">
      <c r="A1561">
        <v>92505907</v>
      </c>
      <c r="B1561" t="s">
        <v>1756</v>
      </c>
    </row>
    <row r="1562" spans="1:2">
      <c r="A1562">
        <v>92505908</v>
      </c>
      <c r="B1562" t="s">
        <v>1757</v>
      </c>
    </row>
    <row r="1563" spans="1:2">
      <c r="A1563">
        <v>92505909</v>
      </c>
      <c r="B1563" t="s">
        <v>1758</v>
      </c>
    </row>
    <row r="1564" spans="1:2">
      <c r="A1564">
        <v>92505910</v>
      </c>
      <c r="B1564" t="s">
        <v>1759</v>
      </c>
    </row>
    <row r="1565" spans="1:2">
      <c r="A1565">
        <v>92505911</v>
      </c>
      <c r="B1565" t="s">
        <v>1760</v>
      </c>
    </row>
    <row r="1566" spans="1:2">
      <c r="A1566">
        <v>92505912</v>
      </c>
      <c r="B1566" t="s">
        <v>1761</v>
      </c>
    </row>
    <row r="1567" spans="1:2">
      <c r="A1567">
        <v>92505913</v>
      </c>
      <c r="B1567" t="s">
        <v>1762</v>
      </c>
    </row>
    <row r="1568" spans="1:2">
      <c r="A1568">
        <v>92505914</v>
      </c>
      <c r="B1568" t="s">
        <v>1763</v>
      </c>
    </row>
    <row r="1569" spans="1:2">
      <c r="A1569">
        <v>92505915</v>
      </c>
      <c r="B1569" t="s">
        <v>1764</v>
      </c>
    </row>
    <row r="1570" spans="1:2">
      <c r="A1570">
        <v>92505916</v>
      </c>
      <c r="B1570" t="s">
        <v>1765</v>
      </c>
    </row>
    <row r="1571" spans="1:2">
      <c r="A1571">
        <v>92505917</v>
      </c>
      <c r="B1571" t="s">
        <v>1766</v>
      </c>
    </row>
    <row r="1572" spans="1:2">
      <c r="A1572">
        <v>92505918</v>
      </c>
      <c r="B1572" t="s">
        <v>1767</v>
      </c>
    </row>
    <row r="1573" spans="1:2">
      <c r="A1573">
        <v>92505919</v>
      </c>
      <c r="B1573" t="s">
        <v>1768</v>
      </c>
    </row>
    <row r="1574" spans="1:2">
      <c r="A1574">
        <v>92505920</v>
      </c>
      <c r="B1574" t="s">
        <v>1769</v>
      </c>
    </row>
    <row r="1575" spans="1:2">
      <c r="A1575">
        <v>92505921</v>
      </c>
      <c r="B1575" t="s">
        <v>1770</v>
      </c>
    </row>
    <row r="1576" spans="1:2">
      <c r="A1576">
        <v>92505922</v>
      </c>
      <c r="B1576" t="s">
        <v>1771</v>
      </c>
    </row>
    <row r="1577" spans="1:2">
      <c r="A1577">
        <v>92505923</v>
      </c>
      <c r="B1577" t="s">
        <v>1772</v>
      </c>
    </row>
    <row r="1578" spans="1:2">
      <c r="A1578">
        <v>92505924</v>
      </c>
      <c r="B1578" t="s">
        <v>1773</v>
      </c>
    </row>
    <row r="1579" spans="1:2">
      <c r="A1579">
        <v>92505925</v>
      </c>
      <c r="B1579" t="s">
        <v>1774</v>
      </c>
    </row>
    <row r="1580" spans="1:2">
      <c r="A1580">
        <v>92505926</v>
      </c>
      <c r="B1580" t="s">
        <v>1775</v>
      </c>
    </row>
    <row r="1581" spans="1:2">
      <c r="A1581">
        <v>92505927</v>
      </c>
      <c r="B1581" t="s">
        <v>1776</v>
      </c>
    </row>
    <row r="1582" spans="1:2">
      <c r="A1582">
        <v>92505928</v>
      </c>
      <c r="B1582" t="s">
        <v>1777</v>
      </c>
    </row>
    <row r="1583" spans="1:2">
      <c r="A1583">
        <v>92505929</v>
      </c>
      <c r="B1583" t="s">
        <v>1778</v>
      </c>
    </row>
    <row r="1584" spans="1:2">
      <c r="A1584">
        <v>92505930</v>
      </c>
      <c r="B1584" t="s">
        <v>1779</v>
      </c>
    </row>
    <row r="1585" spans="1:2">
      <c r="A1585">
        <v>92505931</v>
      </c>
      <c r="B1585" t="s">
        <v>1780</v>
      </c>
    </row>
    <row r="1586" spans="1:2">
      <c r="A1586">
        <v>92505932</v>
      </c>
      <c r="B1586" t="s">
        <v>1781</v>
      </c>
    </row>
    <row r="1587" spans="1:2">
      <c r="A1587">
        <v>92505933</v>
      </c>
      <c r="B1587" t="s">
        <v>1782</v>
      </c>
    </row>
    <row r="1588" spans="1:2">
      <c r="A1588">
        <v>92505934</v>
      </c>
      <c r="B1588" t="s">
        <v>1783</v>
      </c>
    </row>
    <row r="1589" spans="1:2">
      <c r="A1589">
        <v>92505935</v>
      </c>
      <c r="B1589" t="s">
        <v>1784</v>
      </c>
    </row>
    <row r="1590" spans="1:2">
      <c r="A1590">
        <v>92505936</v>
      </c>
      <c r="B1590" t="s">
        <v>1785</v>
      </c>
    </row>
    <row r="1591" spans="1:2">
      <c r="A1591">
        <v>92505937</v>
      </c>
      <c r="B1591" t="s">
        <v>1786</v>
      </c>
    </row>
    <row r="1592" spans="1:2">
      <c r="A1592">
        <v>92505938</v>
      </c>
      <c r="B1592" t="s">
        <v>1787</v>
      </c>
    </row>
    <row r="1593" spans="1:2">
      <c r="A1593">
        <v>92505939</v>
      </c>
      <c r="B1593" t="s">
        <v>1788</v>
      </c>
    </row>
    <row r="1594" spans="1:2">
      <c r="A1594">
        <v>92505940</v>
      </c>
      <c r="B1594" t="s">
        <v>1789</v>
      </c>
    </row>
    <row r="1595" spans="1:2">
      <c r="A1595">
        <v>92505941</v>
      </c>
      <c r="B1595" t="s">
        <v>1790</v>
      </c>
    </row>
    <row r="1596" spans="1:2">
      <c r="A1596">
        <v>92505942</v>
      </c>
      <c r="B1596" t="s">
        <v>1791</v>
      </c>
    </row>
    <row r="1597" spans="1:2">
      <c r="A1597">
        <v>92505943</v>
      </c>
      <c r="B1597" t="s">
        <v>1792</v>
      </c>
    </row>
    <row r="1598" spans="1:2">
      <c r="A1598">
        <v>92505944</v>
      </c>
      <c r="B1598" t="s">
        <v>1793</v>
      </c>
    </row>
    <row r="1599" spans="1:2">
      <c r="A1599">
        <v>92505945</v>
      </c>
      <c r="B1599" t="s">
        <v>1794</v>
      </c>
    </row>
    <row r="1600" spans="1:2">
      <c r="A1600">
        <v>92505946</v>
      </c>
      <c r="B1600" t="s">
        <v>1795</v>
      </c>
    </row>
    <row r="1601" spans="1:2">
      <c r="A1601">
        <v>92505947</v>
      </c>
      <c r="B1601" t="s">
        <v>1796</v>
      </c>
    </row>
    <row r="1602" spans="1:2">
      <c r="A1602">
        <v>92505948</v>
      </c>
      <c r="B1602" t="s">
        <v>1797</v>
      </c>
    </row>
    <row r="1603" spans="1:2">
      <c r="A1603">
        <v>92505949</v>
      </c>
      <c r="B1603" t="s">
        <v>1798</v>
      </c>
    </row>
    <row r="1604" spans="1:2">
      <c r="A1604">
        <v>92505950</v>
      </c>
      <c r="B1604" t="s">
        <v>1799</v>
      </c>
    </row>
    <row r="1605" spans="1:2">
      <c r="A1605">
        <v>92505951</v>
      </c>
      <c r="B1605" t="s">
        <v>1800</v>
      </c>
    </row>
    <row r="1606" spans="1:2">
      <c r="A1606">
        <v>92505952</v>
      </c>
      <c r="B1606" t="s">
        <v>1801</v>
      </c>
    </row>
    <row r="1607" spans="1:2">
      <c r="A1607">
        <v>92505953</v>
      </c>
      <c r="B1607" t="s">
        <v>1802</v>
      </c>
    </row>
    <row r="1608" spans="1:2">
      <c r="A1608">
        <v>92505954</v>
      </c>
      <c r="B1608" t="s">
        <v>1803</v>
      </c>
    </row>
    <row r="1609" spans="1:2">
      <c r="A1609">
        <v>92505955</v>
      </c>
      <c r="B1609" t="s">
        <v>1804</v>
      </c>
    </row>
    <row r="1610" spans="1:2">
      <c r="A1610">
        <v>92505956</v>
      </c>
      <c r="B1610" t="s">
        <v>1805</v>
      </c>
    </row>
    <row r="1611" spans="1:2">
      <c r="A1611">
        <v>92505957</v>
      </c>
      <c r="B1611" t="s">
        <v>1806</v>
      </c>
    </row>
    <row r="1612" spans="1:2">
      <c r="A1612">
        <v>92505958</v>
      </c>
      <c r="B1612" t="s">
        <v>1807</v>
      </c>
    </row>
    <row r="1613" spans="1:2">
      <c r="A1613">
        <v>92505959</v>
      </c>
      <c r="B1613" t="s">
        <v>1808</v>
      </c>
    </row>
    <row r="1614" spans="1:2">
      <c r="A1614">
        <v>92505960</v>
      </c>
      <c r="B1614" t="s">
        <v>1809</v>
      </c>
    </row>
    <row r="1615" spans="1:2">
      <c r="A1615">
        <v>92505961</v>
      </c>
      <c r="B1615" t="s">
        <v>1810</v>
      </c>
    </row>
    <row r="1616" spans="1:2">
      <c r="A1616">
        <v>92505962</v>
      </c>
      <c r="B1616" t="s">
        <v>1811</v>
      </c>
    </row>
    <row r="1617" spans="1:2">
      <c r="A1617">
        <v>92505963</v>
      </c>
      <c r="B1617" t="s">
        <v>1812</v>
      </c>
    </row>
    <row r="1618" spans="1:2">
      <c r="A1618">
        <v>92505964</v>
      </c>
      <c r="B1618" t="s">
        <v>1813</v>
      </c>
    </row>
    <row r="1619" spans="1:2">
      <c r="A1619">
        <v>92505965</v>
      </c>
      <c r="B1619" t="s">
        <v>1814</v>
      </c>
    </row>
    <row r="1620" spans="1:2">
      <c r="A1620">
        <v>92505966</v>
      </c>
      <c r="B1620" t="s">
        <v>1815</v>
      </c>
    </row>
    <row r="1621" spans="1:2">
      <c r="A1621">
        <v>92505967</v>
      </c>
      <c r="B1621" t="s">
        <v>1816</v>
      </c>
    </row>
    <row r="1622" spans="1:2">
      <c r="A1622">
        <v>92505968</v>
      </c>
      <c r="B1622" t="s">
        <v>1817</v>
      </c>
    </row>
    <row r="1623" spans="1:2">
      <c r="A1623">
        <v>92505969</v>
      </c>
      <c r="B1623" t="s">
        <v>1818</v>
      </c>
    </row>
    <row r="1624" spans="1:2">
      <c r="A1624">
        <v>92505970</v>
      </c>
      <c r="B1624" t="s">
        <v>1819</v>
      </c>
    </row>
    <row r="1625" spans="1:2">
      <c r="A1625">
        <v>92505971</v>
      </c>
      <c r="B1625" t="s">
        <v>1820</v>
      </c>
    </row>
    <row r="1626" spans="1:2">
      <c r="A1626">
        <v>92505972</v>
      </c>
      <c r="B1626" t="s">
        <v>1821</v>
      </c>
    </row>
    <row r="1627" spans="1:2">
      <c r="A1627">
        <v>92505973</v>
      </c>
      <c r="B1627" t="s">
        <v>1822</v>
      </c>
    </row>
    <row r="1628" spans="1:2">
      <c r="A1628">
        <v>92505974</v>
      </c>
      <c r="B1628" t="s">
        <v>1823</v>
      </c>
    </row>
    <row r="1629" spans="1:2">
      <c r="A1629">
        <v>92505975</v>
      </c>
      <c r="B1629" t="s">
        <v>1824</v>
      </c>
    </row>
    <row r="1630" spans="1:2">
      <c r="A1630">
        <v>92505976</v>
      </c>
      <c r="B1630" t="s">
        <v>1825</v>
      </c>
    </row>
    <row r="1631" spans="1:2">
      <c r="A1631">
        <v>92505977</v>
      </c>
      <c r="B1631" t="s">
        <v>1826</v>
      </c>
    </row>
    <row r="1632" spans="1:2">
      <c r="A1632">
        <v>92505978</v>
      </c>
      <c r="B1632" t="s">
        <v>1827</v>
      </c>
    </row>
    <row r="1633" spans="1:2">
      <c r="A1633">
        <v>92505979</v>
      </c>
      <c r="B1633" t="s">
        <v>1828</v>
      </c>
    </row>
    <row r="1634" spans="1:2">
      <c r="A1634">
        <v>92505980</v>
      </c>
      <c r="B1634" t="s">
        <v>1829</v>
      </c>
    </row>
    <row r="1635" spans="1:2">
      <c r="A1635">
        <v>92505981</v>
      </c>
      <c r="B1635" t="s">
        <v>1830</v>
      </c>
    </row>
    <row r="1636" spans="1:2">
      <c r="A1636">
        <v>92505982</v>
      </c>
      <c r="B1636" t="s">
        <v>1831</v>
      </c>
    </row>
    <row r="1637" spans="1:2">
      <c r="A1637">
        <v>92505983</v>
      </c>
      <c r="B1637" t="s">
        <v>1832</v>
      </c>
    </row>
    <row r="1638" spans="1:2">
      <c r="A1638">
        <v>92505984</v>
      </c>
      <c r="B1638" t="s">
        <v>1833</v>
      </c>
    </row>
    <row r="1639" spans="1:2">
      <c r="A1639">
        <v>92505985</v>
      </c>
      <c r="B1639" t="s">
        <v>1834</v>
      </c>
    </row>
    <row r="1640" spans="1:2">
      <c r="A1640">
        <v>92505986</v>
      </c>
      <c r="B1640" t="s">
        <v>1835</v>
      </c>
    </row>
    <row r="1641" spans="1:2">
      <c r="A1641">
        <v>92505987</v>
      </c>
      <c r="B1641" t="s">
        <v>1836</v>
      </c>
    </row>
    <row r="1642" spans="1:2">
      <c r="A1642">
        <v>92505988</v>
      </c>
      <c r="B1642" t="s">
        <v>1837</v>
      </c>
    </row>
    <row r="1643" spans="1:2">
      <c r="A1643">
        <v>92505989</v>
      </c>
      <c r="B1643" t="s">
        <v>1838</v>
      </c>
    </row>
    <row r="1644" spans="1:2">
      <c r="A1644">
        <v>92505990</v>
      </c>
      <c r="B1644" t="s">
        <v>1839</v>
      </c>
    </row>
    <row r="1645" spans="1:2">
      <c r="A1645">
        <v>92505991</v>
      </c>
      <c r="B1645" t="s">
        <v>1840</v>
      </c>
    </row>
    <row r="1646" spans="1:2">
      <c r="A1646">
        <v>92505992</v>
      </c>
      <c r="B1646" t="s">
        <v>2135</v>
      </c>
    </row>
    <row r="1647" spans="1:2">
      <c r="A1647">
        <v>92505993</v>
      </c>
      <c r="B1647" t="s">
        <v>2136</v>
      </c>
    </row>
    <row r="1648" spans="1:2">
      <c r="A1648">
        <v>92505994</v>
      </c>
      <c r="B1648" t="s">
        <v>2137</v>
      </c>
    </row>
    <row r="1649" spans="1:2">
      <c r="A1649">
        <v>92506001</v>
      </c>
      <c r="B1649" t="s">
        <v>1841</v>
      </c>
    </row>
    <row r="1650" spans="1:2">
      <c r="A1650">
        <v>92506002</v>
      </c>
      <c r="B1650" t="s">
        <v>1842</v>
      </c>
    </row>
    <row r="1651" spans="1:2">
      <c r="A1651">
        <v>92506003</v>
      </c>
      <c r="B1651" t="s">
        <v>1843</v>
      </c>
    </row>
    <row r="1652" spans="1:2">
      <c r="A1652">
        <v>92506004</v>
      </c>
      <c r="B1652" t="s">
        <v>1844</v>
      </c>
    </row>
    <row r="1653" spans="1:2">
      <c r="A1653">
        <v>92506005</v>
      </c>
      <c r="B1653" t="s">
        <v>1845</v>
      </c>
    </row>
    <row r="1654" spans="1:2">
      <c r="A1654">
        <v>92506006</v>
      </c>
      <c r="B1654" t="s">
        <v>1846</v>
      </c>
    </row>
    <row r="1655" spans="1:2">
      <c r="A1655">
        <v>92506007</v>
      </c>
      <c r="B1655" t="s">
        <v>1847</v>
      </c>
    </row>
    <row r="1656" spans="1:2">
      <c r="A1656">
        <v>92506008</v>
      </c>
      <c r="B1656" t="s">
        <v>1848</v>
      </c>
    </row>
    <row r="1657" spans="1:2">
      <c r="A1657">
        <v>92506009</v>
      </c>
      <c r="B1657" t="s">
        <v>1849</v>
      </c>
    </row>
    <row r="1658" spans="1:2">
      <c r="A1658">
        <v>92506010</v>
      </c>
      <c r="B1658" t="s">
        <v>1850</v>
      </c>
    </row>
    <row r="1659" spans="1:2">
      <c r="A1659">
        <v>92506011</v>
      </c>
      <c r="B1659" t="s">
        <v>1851</v>
      </c>
    </row>
    <row r="1660" spans="1:2">
      <c r="A1660">
        <v>92506012</v>
      </c>
      <c r="B1660" t="s">
        <v>1852</v>
      </c>
    </row>
    <row r="1661" spans="1:2">
      <c r="A1661">
        <v>92506013</v>
      </c>
      <c r="B1661" t="s">
        <v>1853</v>
      </c>
    </row>
    <row r="1662" spans="1:2">
      <c r="A1662">
        <v>92506014</v>
      </c>
      <c r="B1662" t="s">
        <v>1854</v>
      </c>
    </row>
    <row r="1663" spans="1:2">
      <c r="A1663">
        <v>93006101</v>
      </c>
      <c r="B1663" t="s">
        <v>1855</v>
      </c>
    </row>
    <row r="1664" spans="1:2">
      <c r="A1664">
        <v>93006102</v>
      </c>
      <c r="B1664" t="s">
        <v>1856</v>
      </c>
    </row>
    <row r="1665" spans="1:2">
      <c r="A1665">
        <v>93006103</v>
      </c>
      <c r="B1665" t="s">
        <v>1857</v>
      </c>
    </row>
    <row r="1666" spans="1:2">
      <c r="A1666">
        <v>93006104</v>
      </c>
      <c r="B1666" t="s">
        <v>1858</v>
      </c>
    </row>
    <row r="1667" spans="1:2">
      <c r="A1667">
        <v>93006105</v>
      </c>
      <c r="B1667" t="s">
        <v>1859</v>
      </c>
    </row>
    <row r="1668" spans="1:2">
      <c r="A1668">
        <v>93006106</v>
      </c>
      <c r="B1668" t="s">
        <v>1860</v>
      </c>
    </row>
    <row r="1669" spans="1:2">
      <c r="A1669">
        <v>99906201</v>
      </c>
      <c r="B1669" t="s">
        <v>1861</v>
      </c>
    </row>
    <row r="1670" spans="1:2">
      <c r="A1670" t="s">
        <v>2042</v>
      </c>
      <c r="B1670" t="s">
        <v>2043</v>
      </c>
    </row>
    <row r="1671" spans="1:2">
      <c r="A1671" t="s">
        <v>2044</v>
      </c>
      <c r="B1671" t="s">
        <v>2138</v>
      </c>
    </row>
    <row r="1672" spans="1:2">
      <c r="A1672" t="s">
        <v>2045</v>
      </c>
      <c r="B1672" t="s">
        <v>2139</v>
      </c>
    </row>
    <row r="1673" spans="1:2">
      <c r="A1673" t="s">
        <v>2046</v>
      </c>
      <c r="B1673" t="s">
        <v>2140</v>
      </c>
    </row>
    <row r="1674" spans="1:2">
      <c r="A1674" t="s">
        <v>2047</v>
      </c>
      <c r="B1674" t="s">
        <v>2048</v>
      </c>
    </row>
    <row r="1675" spans="1:2">
      <c r="A1675" t="s">
        <v>2049</v>
      </c>
      <c r="B1675" t="s">
        <v>2050</v>
      </c>
    </row>
    <row r="1676" spans="1:2">
      <c r="A1676" t="s">
        <v>2051</v>
      </c>
      <c r="B1676" t="s">
        <v>2052</v>
      </c>
    </row>
    <row r="1677" spans="1:2">
      <c r="A1677" t="s">
        <v>2053</v>
      </c>
      <c r="B1677" t="s">
        <v>2054</v>
      </c>
    </row>
    <row r="1678" spans="1:2">
      <c r="A1678" t="s">
        <v>2055</v>
      </c>
      <c r="B1678" t="s">
        <v>2056</v>
      </c>
    </row>
    <row r="1679" spans="1:2">
      <c r="A1679" t="s">
        <v>2057</v>
      </c>
      <c r="B1679" t="s">
        <v>2058</v>
      </c>
    </row>
    <row r="1680" spans="1:2">
      <c r="A1680" t="s">
        <v>2059</v>
      </c>
      <c r="B1680" t="s">
        <v>2060</v>
      </c>
    </row>
    <row r="1681" spans="1:2">
      <c r="A1681" t="s">
        <v>2061</v>
      </c>
      <c r="B1681" t="s">
        <v>2062</v>
      </c>
    </row>
    <row r="1682" spans="1:2">
      <c r="A1682" t="s">
        <v>2063</v>
      </c>
      <c r="B1682" t="s">
        <v>2064</v>
      </c>
    </row>
    <row r="1683" spans="1:2">
      <c r="A1683" t="s">
        <v>2065</v>
      </c>
      <c r="B1683" t="s">
        <v>2066</v>
      </c>
    </row>
    <row r="1684" spans="1:2">
      <c r="A1684" t="s">
        <v>2067</v>
      </c>
      <c r="B1684" t="s">
        <v>2068</v>
      </c>
    </row>
    <row r="1685" spans="1:2">
      <c r="A1685" t="s">
        <v>2069</v>
      </c>
      <c r="B1685" t="s">
        <v>2070</v>
      </c>
    </row>
    <row r="1686" spans="1:2">
      <c r="A1686" t="s">
        <v>2071</v>
      </c>
      <c r="B1686" t="s">
        <v>2072</v>
      </c>
    </row>
    <row r="1687" spans="1:2">
      <c r="A1687" t="s">
        <v>2073</v>
      </c>
      <c r="B1687" t="s">
        <v>2074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513"/>
  <sheetViews>
    <sheetView view="pageBreakPreview" zoomScale="80" zoomScaleNormal="80" zoomScaleSheetLayoutView="80" workbookViewId="0"/>
  </sheetViews>
  <sheetFormatPr baseColWidth="10" defaultColWidth="9" defaultRowHeight="13.5" customHeight="1"/>
  <cols>
    <col min="1" max="1" width="5" style="897" customWidth="1"/>
    <col min="2" max="2" width="3.5" style="897" customWidth="1"/>
    <col min="3" max="3" width="21.5" style="897" customWidth="1"/>
    <col min="4" max="4" width="4" style="897" customWidth="1"/>
    <col min="5" max="5" width="6.6640625" style="897" customWidth="1"/>
    <col min="6" max="6" width="14.33203125" style="898" customWidth="1"/>
    <col min="7" max="7" width="14.33203125" style="897" customWidth="1"/>
    <col min="8" max="9" width="14.33203125" style="898" customWidth="1"/>
    <col min="10" max="10" width="9" style="897"/>
    <col min="11" max="11" width="35.6640625" style="897" customWidth="1"/>
    <col min="12" max="12" width="13.33203125" style="607" customWidth="1"/>
    <col min="13" max="13" width="34.33203125" style="607" bestFit="1" customWidth="1"/>
    <col min="14" max="14" width="27.6640625" style="607" customWidth="1"/>
    <col min="15" max="16384" width="9" style="897"/>
  </cols>
  <sheetData>
    <row r="1" spans="1:14" s="578" customFormat="1" ht="27.75" customHeight="1" thickTop="1" thickBot="1">
      <c r="A1" s="647"/>
      <c r="B1" s="1146"/>
      <c r="C1" s="575"/>
      <c r="D1" s="1739"/>
      <c r="E1" s="1740" t="s">
        <v>2162</v>
      </c>
      <c r="F1" s="1741"/>
      <c r="G1" s="1113">
        <f>元諸経費表!F1</f>
        <v>0</v>
      </c>
      <c r="H1" s="1090"/>
      <c r="I1" s="1090"/>
      <c r="J1" s="880" t="s">
        <v>2163</v>
      </c>
      <c r="K1" s="1115" t="s">
        <v>3142</v>
      </c>
      <c r="L1" s="647"/>
      <c r="M1" s="2187" t="s">
        <v>2985</v>
      </c>
      <c r="N1" s="2188"/>
    </row>
    <row r="2" spans="1:14" s="578" customFormat="1" ht="16" thickTop="1">
      <c r="A2" s="647">
        <f ca="1">+MATCH("FixColumn",4:4,0)</f>
        <v>10</v>
      </c>
      <c r="B2" s="574"/>
      <c r="E2" s="576"/>
      <c r="F2" s="1184"/>
      <c r="G2" s="1173" t="s">
        <v>2745</v>
      </c>
      <c r="H2" s="1174"/>
      <c r="I2" s="1174"/>
      <c r="J2" s="1174"/>
      <c r="K2" s="1250" t="s">
        <v>2885</v>
      </c>
      <c r="L2" s="622"/>
      <c r="M2" s="1735"/>
      <c r="N2" s="1732"/>
    </row>
    <row r="3" spans="1:14" s="578" customFormat="1" ht="16" thickBot="1">
      <c r="A3" s="574">
        <f>元諸経費表!A2+A1</f>
        <v>0</v>
      </c>
      <c r="B3" s="1187"/>
      <c r="C3" s="1712" t="s">
        <v>3097</v>
      </c>
      <c r="D3" s="2065" t="str">
        <f>IF(表紙!$N$10="指定契約","有り","無し")</f>
        <v>無し</v>
      </c>
      <c r="E3" s="1185"/>
      <c r="F3" s="1091" t="str">
        <f t="shared" ref="F3" si="0">IF(F2&gt;0,CONCATENATE("工事",F2),"")</f>
        <v/>
      </c>
      <c r="G3" s="1092" t="s">
        <v>2368</v>
      </c>
      <c r="H3" s="1091" t="str">
        <f>IF(H2&gt;0,CONCATENATE("工事",H2),"")</f>
        <v/>
      </c>
      <c r="I3" s="1091" t="str">
        <f t="shared" ref="I3" si="1">IF(I2&gt;0,CONCATENATE("工事",I2),"")</f>
        <v/>
      </c>
      <c r="J3" s="579" t="s">
        <v>241</v>
      </c>
      <c r="K3" s="578" t="s">
        <v>3100</v>
      </c>
      <c r="L3" s="647"/>
      <c r="M3" s="1735" t="s">
        <v>2986</v>
      </c>
      <c r="N3" s="1732"/>
    </row>
    <row r="4" spans="1:14" s="578" customFormat="1" ht="22.5" customHeight="1" thickBot="1">
      <c r="A4" s="1114"/>
      <c r="B4" s="1188"/>
      <c r="C4" s="2063" t="str">
        <f>CONCATENATE("諸経費表　",表紙!E14,"回変更")</f>
        <v>諸経費表　第1回設計変更工事費内訳書回変更</v>
      </c>
      <c r="D4" s="647"/>
      <c r="E4" s="2064" t="s">
        <v>2164</v>
      </c>
      <c r="F4" s="1364" t="str">
        <f t="shared" ref="F4:I4" ca="1" si="2">IF(F2="",F89,INDIRECT(F3&amp;"!ｃ2"))</f>
        <v>-</v>
      </c>
      <c r="G4" s="1186"/>
      <c r="H4" s="1364">
        <f t="shared" ca="1" si="2"/>
        <v>0</v>
      </c>
      <c r="I4" s="1364">
        <f t="shared" ca="1" si="2"/>
        <v>0</v>
      </c>
      <c r="J4" s="1728" t="s">
        <v>2881</v>
      </c>
      <c r="K4" s="647" t="s">
        <v>2903</v>
      </c>
      <c r="L4" s="647"/>
      <c r="M4" s="1736" t="s">
        <v>2987</v>
      </c>
      <c r="N4" s="1732"/>
    </row>
    <row r="5" spans="1:14" s="578" customFormat="1" ht="16.5" customHeight="1">
      <c r="A5" s="1213" t="s">
        <v>2367</v>
      </c>
      <c r="B5" s="1214"/>
      <c r="C5" s="581"/>
      <c r="D5" s="1215"/>
      <c r="E5" s="1216"/>
      <c r="F5" s="1388" t="s">
        <v>2879</v>
      </c>
      <c r="G5" s="1239" t="s">
        <v>2369</v>
      </c>
      <c r="H5" s="1100" t="str">
        <f>H88</f>
        <v>工事1</v>
      </c>
      <c r="I5" s="1100" t="str">
        <f t="shared" ref="I5" si="3">I88</f>
        <v>工事2</v>
      </c>
      <c r="J5" s="1004"/>
      <c r="L5" s="647"/>
      <c r="M5" s="1736" t="s">
        <v>2988</v>
      </c>
      <c r="N5" s="1732"/>
    </row>
    <row r="6" spans="1:14" s="578" customFormat="1" ht="13.5" customHeight="1">
      <c r="A6" s="580"/>
      <c r="B6" s="2192" t="s">
        <v>2166</v>
      </c>
      <c r="C6" s="2193"/>
      <c r="D6" s="2193"/>
      <c r="E6" s="582"/>
      <c r="F6" s="585">
        <f t="shared" ref="F6:F7" ca="1" si="4">F82</f>
        <v>0</v>
      </c>
      <c r="G6" s="583">
        <f ca="1">SUM(H6:J6)</f>
        <v>0</v>
      </c>
      <c r="H6" s="584">
        <f ca="1">H82</f>
        <v>0</v>
      </c>
      <c r="I6" s="585">
        <f t="shared" ref="I6:I7" ca="1" si="5">I82</f>
        <v>0</v>
      </c>
      <c r="J6" s="1004"/>
      <c r="L6" s="647"/>
      <c r="M6" s="1736"/>
      <c r="N6" s="1732"/>
    </row>
    <row r="7" spans="1:14" s="578" customFormat="1" ht="13.5" customHeight="1" thickBot="1">
      <c r="A7" s="586"/>
      <c r="B7" s="2194" t="s">
        <v>2167</v>
      </c>
      <c r="C7" s="2195"/>
      <c r="D7" s="2195"/>
      <c r="E7" s="1175"/>
      <c r="F7" s="589">
        <f t="shared" ca="1" si="4"/>
        <v>0</v>
      </c>
      <c r="G7" s="587">
        <f ca="1">SUM(H7:J7)</f>
        <v>0</v>
      </c>
      <c r="H7" s="588">
        <f ca="1">H83</f>
        <v>0</v>
      </c>
      <c r="I7" s="589">
        <f t="shared" ca="1" si="5"/>
        <v>0</v>
      </c>
      <c r="J7" s="1004"/>
      <c r="L7" s="647"/>
      <c r="M7" s="1737" t="s">
        <v>3101</v>
      </c>
      <c r="N7" s="1734"/>
    </row>
    <row r="8" spans="1:14" s="578" customFormat="1" ht="13.5" customHeight="1" thickTop="1" thickBot="1">
      <c r="A8" s="590"/>
      <c r="B8" s="2196" t="s">
        <v>229</v>
      </c>
      <c r="C8" s="2197"/>
      <c r="D8" s="2197"/>
      <c r="E8" s="591"/>
      <c r="F8" s="594">
        <f t="shared" ref="F8" ca="1" si="6">F81</f>
        <v>0</v>
      </c>
      <c r="G8" s="592">
        <f ca="1">SUM(H8:J8)</f>
        <v>0</v>
      </c>
      <c r="H8" s="593">
        <f t="shared" ref="H8:I8" ca="1" si="7">H81</f>
        <v>0</v>
      </c>
      <c r="I8" s="594">
        <f t="shared" ca="1" si="7"/>
        <v>0</v>
      </c>
      <c r="J8" s="1004"/>
      <c r="L8" s="647"/>
      <c r="M8" s="1738" t="s">
        <v>2984</v>
      </c>
      <c r="N8" s="1734">
        <v>0</v>
      </c>
    </row>
    <row r="9" spans="1:14" s="578" customFormat="1" ht="15" thickTop="1">
      <c r="A9" s="586"/>
      <c r="B9" s="2196" t="s">
        <v>2861</v>
      </c>
      <c r="C9" s="2201"/>
      <c r="D9" s="2201"/>
      <c r="E9" s="1144"/>
      <c r="F9" s="1584">
        <v>0</v>
      </c>
      <c r="G9" s="1585">
        <f>SUM(H9:J9)</f>
        <v>0</v>
      </c>
      <c r="H9" s="1794"/>
      <c r="I9" s="1794"/>
      <c r="J9" s="1145"/>
      <c r="K9" s="647" t="s">
        <v>2899</v>
      </c>
      <c r="L9" s="647"/>
      <c r="M9" s="647"/>
      <c r="N9" s="647"/>
    </row>
    <row r="10" spans="1:14" s="602" customFormat="1" ht="13.5" customHeight="1">
      <c r="A10" s="595"/>
      <c r="B10" s="596"/>
      <c r="C10" s="597" t="s">
        <v>2168</v>
      </c>
      <c r="D10" s="598"/>
      <c r="E10" s="599"/>
      <c r="F10" s="601">
        <f ca="1">IF(F3="",F86,IFERROR(INDIRECT(F3&amp;"!L6"),""))</f>
        <v>0</v>
      </c>
      <c r="G10" s="1241" t="s">
        <v>2907</v>
      </c>
      <c r="H10" s="601">
        <f ca="1">IF(H3="",H86,IFERROR(INDIRECT(H3&amp;"!L6"),""))</f>
        <v>0</v>
      </c>
      <c r="I10" s="601">
        <f t="shared" ref="I10" ca="1" si="8">IF(I3="",I86,IFERROR(INDIRECT(I3&amp;"!L6"),""))</f>
        <v>0</v>
      </c>
      <c r="J10" s="1005"/>
    </row>
    <row r="11" spans="1:14" s="602" customFormat="1" ht="13.5" customHeight="1">
      <c r="A11" s="994"/>
      <c r="B11" s="995"/>
      <c r="C11" s="1176" t="s">
        <v>2169</v>
      </c>
      <c r="D11" s="1177"/>
      <c r="E11" s="603"/>
      <c r="F11" s="1099"/>
      <c r="G11" s="1242" t="s">
        <v>2906</v>
      </c>
      <c r="H11" s="1099" t="str">
        <f>IF(H87="","",H87)</f>
        <v>改修</v>
      </c>
      <c r="I11" s="1099" t="str">
        <f t="shared" ref="I11" si="9">IF(I87="","",I87)</f>
        <v>改修</v>
      </c>
      <c r="J11" s="916"/>
      <c r="K11" s="1191" t="s">
        <v>2886</v>
      </c>
      <c r="L11" s="1192"/>
      <c r="M11" s="1192"/>
      <c r="N11" s="1192"/>
    </row>
    <row r="12" spans="1:14" s="607" customFormat="1" ht="13.5" customHeight="1">
      <c r="A12" s="994"/>
      <c r="B12" s="995"/>
      <c r="C12" s="995"/>
      <c r="D12" s="995"/>
      <c r="E12" s="995" t="s">
        <v>2905</v>
      </c>
      <c r="F12" s="1248"/>
      <c r="G12" s="1252"/>
      <c r="H12" s="1248" t="str">
        <f>H90</f>
        <v>積上げ・率処理併用</v>
      </c>
      <c r="I12" s="1249" t="str">
        <f t="shared" ref="I12:I14" si="10">I90</f>
        <v>積上げ・率処理併用</v>
      </c>
      <c r="J12" s="915"/>
      <c r="K12" s="1191" t="s">
        <v>2886</v>
      </c>
      <c r="L12" s="1192"/>
      <c r="M12" s="1192"/>
      <c r="N12" s="1192"/>
    </row>
    <row r="13" spans="1:14" s="607" customFormat="1" ht="24" customHeight="1">
      <c r="A13" s="2198" t="s">
        <v>2748</v>
      </c>
      <c r="B13" s="2199"/>
      <c r="C13" s="2199"/>
      <c r="D13" s="2199"/>
      <c r="E13" s="2200"/>
      <c r="F13" s="1098"/>
      <c r="G13" s="1046"/>
      <c r="H13" s="1096" t="str">
        <f>H91</f>
        <v>駅施設</v>
      </c>
      <c r="I13" s="1096" t="str">
        <f t="shared" si="10"/>
        <v>駅施設</v>
      </c>
      <c r="J13" s="915"/>
      <c r="K13" s="1191" t="s">
        <v>2886</v>
      </c>
      <c r="L13" s="1192"/>
      <c r="M13" s="1192"/>
      <c r="N13" s="1192"/>
    </row>
    <row r="14" spans="1:14" s="607" customFormat="1" ht="24" customHeight="1">
      <c r="A14" s="2198" t="s">
        <v>3102</v>
      </c>
      <c r="B14" s="2199"/>
      <c r="C14" s="2199"/>
      <c r="D14" s="2199"/>
      <c r="E14" s="2200"/>
      <c r="F14" s="1097"/>
      <c r="G14" s="1032"/>
      <c r="H14" s="1097" t="str">
        <f>H92</f>
        <v>無し</v>
      </c>
      <c r="I14" s="1097" t="str">
        <f t="shared" si="10"/>
        <v>無し</v>
      </c>
      <c r="J14" s="915"/>
      <c r="K14" s="1191" t="s">
        <v>2886</v>
      </c>
      <c r="L14" s="1192"/>
      <c r="M14" s="1192"/>
      <c r="N14" s="1192"/>
    </row>
    <row r="15" spans="1:14" s="607" customFormat="1" ht="13.5" customHeight="1">
      <c r="A15" s="595"/>
      <c r="B15" s="608" t="s">
        <v>2173</v>
      </c>
      <c r="C15" s="609"/>
      <c r="D15" s="609"/>
      <c r="E15" s="610"/>
      <c r="F15" s="612">
        <f ca="1">+F16+F17</f>
        <v>0</v>
      </c>
      <c r="G15" s="611">
        <f t="shared" ref="G15:G21" ca="1" si="11">SUM(H15:J15)</f>
        <v>0</v>
      </c>
      <c r="H15" s="612">
        <f ca="1">+H16+H17</f>
        <v>0</v>
      </c>
      <c r="I15" s="612">
        <f t="shared" ref="I15" ca="1" si="12">+I16+I17</f>
        <v>0</v>
      </c>
      <c r="J15" s="915"/>
    </row>
    <row r="16" spans="1:14" s="607" customFormat="1" ht="13.5" customHeight="1">
      <c r="A16" s="994"/>
      <c r="B16" s="995"/>
      <c r="C16" s="538" t="s">
        <v>2174</v>
      </c>
      <c r="D16" s="539"/>
      <c r="E16" s="599"/>
      <c r="F16" s="725">
        <f ca="1">IF(F$2&gt;0,SUMIF(INDIRECT(F$3&amp;"!$M:$M"),$K16,INDIRECT(F$3&amp;"!$i:$i")),0)</f>
        <v>0</v>
      </c>
      <c r="G16" s="613">
        <f t="shared" ca="1" si="11"/>
        <v>0</v>
      </c>
      <c r="H16" s="725">
        <f ca="1">IF(H$2&gt;0,SUMIF(INDIRECT(H$3&amp;"!$M:$M"),$K16,INDIRECT(H$3&amp;"!$i:$i")),0)</f>
        <v>0</v>
      </c>
      <c r="I16" s="725">
        <f ca="1">IF(I$2&gt;0,SUMIF(INDIRECT(I$3&amp;"!$M:$M"),$K16,INDIRECT(I$3&amp;"!$i:$i")),0)</f>
        <v>0</v>
      </c>
      <c r="J16" s="915"/>
      <c r="K16" s="607" t="s">
        <v>2390</v>
      </c>
    </row>
    <row r="17" spans="1:14" s="607" customFormat="1" ht="14">
      <c r="A17" s="994"/>
      <c r="B17" s="995"/>
      <c r="C17" s="540" t="s">
        <v>2175</v>
      </c>
      <c r="D17" s="540"/>
      <c r="E17" s="614"/>
      <c r="F17" s="616">
        <f ca="1">F23+F24</f>
        <v>0</v>
      </c>
      <c r="G17" s="615">
        <f t="shared" ca="1" si="11"/>
        <v>0</v>
      </c>
      <c r="H17" s="616">
        <f ca="1">H23+H24</f>
        <v>0</v>
      </c>
      <c r="I17" s="616">
        <f t="shared" ref="I17" ca="1" si="13">I23+I24</f>
        <v>0</v>
      </c>
      <c r="J17" s="915"/>
    </row>
    <row r="18" spans="1:14" s="607" customFormat="1" ht="13.5" customHeight="1">
      <c r="A18" s="994"/>
      <c r="B18" s="995"/>
      <c r="C18" s="617" t="s">
        <v>2176</v>
      </c>
      <c r="D18" s="540"/>
      <c r="E18" s="614"/>
      <c r="F18" s="616">
        <f t="shared" ref="F18" ca="1" si="14">F392-F176</f>
        <v>0</v>
      </c>
      <c r="G18" s="615">
        <f t="shared" ca="1" si="11"/>
        <v>0</v>
      </c>
      <c r="H18" s="616">
        <f t="shared" ref="H18:I18" ca="1" si="15">H392-H176</f>
        <v>0</v>
      </c>
      <c r="I18" s="616">
        <f t="shared" ca="1" si="15"/>
        <v>0</v>
      </c>
      <c r="J18" s="915"/>
      <c r="K18" s="1137"/>
      <c r="L18" s="1137"/>
      <c r="M18" s="1137"/>
      <c r="N18" s="1137"/>
    </row>
    <row r="19" spans="1:14" s="607" customFormat="1" ht="13.5" customHeight="1">
      <c r="A19" s="994"/>
      <c r="B19" s="995"/>
      <c r="C19" s="617" t="s">
        <v>2177</v>
      </c>
      <c r="D19" s="540"/>
      <c r="E19" s="614"/>
      <c r="F19" s="616">
        <f ca="1">IF(AND(F16=0,F10=F86,F14="無し"),F18,0)</f>
        <v>0</v>
      </c>
      <c r="G19" s="615">
        <f t="shared" ca="1" si="11"/>
        <v>0</v>
      </c>
      <c r="H19" s="616">
        <f t="shared" ref="H19:I19" ca="1" si="16">IF(AND(H16=0,H10=H86,H14="無し"),H18,0)</f>
        <v>0</v>
      </c>
      <c r="I19" s="616">
        <f t="shared" ca="1" si="16"/>
        <v>0</v>
      </c>
      <c r="J19" s="1006"/>
      <c r="K19" s="1138"/>
      <c r="L19" s="1137"/>
      <c r="M19" s="1137"/>
      <c r="N19" s="1137"/>
    </row>
    <row r="20" spans="1:14" s="607" customFormat="1" ht="13.5" customHeight="1">
      <c r="A20" s="994"/>
      <c r="B20" s="995"/>
      <c r="C20" s="617" t="s">
        <v>2178</v>
      </c>
      <c r="D20" s="540"/>
      <c r="E20" s="614"/>
      <c r="F20" s="616">
        <f t="shared" ref="F20" ca="1" si="17">F16-F45</f>
        <v>0</v>
      </c>
      <c r="G20" s="615">
        <f t="shared" ca="1" si="11"/>
        <v>0</v>
      </c>
      <c r="H20" s="616">
        <f ca="1">H16-H45</f>
        <v>0</v>
      </c>
      <c r="I20" s="616">
        <f t="shared" ref="I20" ca="1" si="18">I16-I45</f>
        <v>0</v>
      </c>
      <c r="J20" s="1006"/>
    </row>
    <row r="21" spans="1:14" s="607" customFormat="1" ht="13.5" customHeight="1">
      <c r="A21" s="994"/>
      <c r="B21" s="995"/>
      <c r="C21" s="617" t="s">
        <v>2179</v>
      </c>
      <c r="D21" s="540"/>
      <c r="E21" s="614"/>
      <c r="F21" s="616">
        <f ca="1">IF($G$19=0,0,(IF(F19=0,INT(F20/$G20*$G19),0)))</f>
        <v>0</v>
      </c>
      <c r="G21" s="615">
        <f t="shared" ca="1" si="11"/>
        <v>0</v>
      </c>
      <c r="H21" s="616">
        <f t="shared" ref="H21:I21" ca="1" si="19">IF($G$19=0,0,(IF(H19=0,INT(H20/$G20*$G19),0)))</f>
        <v>0</v>
      </c>
      <c r="I21" s="616">
        <f t="shared" ca="1" si="19"/>
        <v>0</v>
      </c>
      <c r="J21" s="1006"/>
      <c r="K21" s="618"/>
      <c r="L21" s="618"/>
      <c r="M21" s="618"/>
      <c r="N21" s="618"/>
    </row>
    <row r="22" spans="1:14" s="607" customFormat="1" ht="13.5" customHeight="1">
      <c r="A22" s="994"/>
      <c r="B22" s="995"/>
      <c r="C22" s="996" t="s">
        <v>2180</v>
      </c>
      <c r="D22" s="540"/>
      <c r="E22" s="614"/>
      <c r="F22" s="1244">
        <f ca="1">IF($G22=0,0,IF(F21=0,0,IF(SUM(E22:$H22)=0,$G22,0)))</f>
        <v>0</v>
      </c>
      <c r="G22" s="615">
        <f ca="1">G19-G21</f>
        <v>0</v>
      </c>
      <c r="H22" s="619">
        <f ca="1">IF($G22=0,0,IF(H21=0,0,$G22))</f>
        <v>0</v>
      </c>
      <c r="I22" s="619">
        <f ca="1">IF($G22=0,0,IF(I21=0,0,IF(SUM($H22:H22)=0,$G22,0)))</f>
        <v>0</v>
      </c>
      <c r="J22" s="1007"/>
      <c r="K22" s="620"/>
      <c r="L22" s="620"/>
      <c r="M22" s="620"/>
      <c r="N22" s="620"/>
    </row>
    <row r="23" spans="1:14" s="607" customFormat="1" ht="13.5" customHeight="1">
      <c r="A23" s="994"/>
      <c r="B23" s="995"/>
      <c r="C23" s="617" t="s">
        <v>2181</v>
      </c>
      <c r="D23" s="540"/>
      <c r="E23" s="614"/>
      <c r="F23" s="1244">
        <f ca="1">IF(F45=0,IF(F16=0,IF(F10=F86,0,F18+F21+F22),F18+F21+F22),0)</f>
        <v>0</v>
      </c>
      <c r="G23" s="615">
        <f ca="1">SUM(H23:J23)</f>
        <v>0</v>
      </c>
      <c r="H23" s="1244">
        <f ca="1">IF(H45=0,IF(AND(H16=0,H10=H86,H14="無し"),0,H18+H21+H22))</f>
        <v>0</v>
      </c>
      <c r="I23" s="1244">
        <f t="shared" ref="I23" ca="1" si="20">IF(I45=0,IF(I16=0,IF(I10=I86,0,I18+I21+I22),I18+I21+I22),0)</f>
        <v>0</v>
      </c>
      <c r="J23" s="1007"/>
      <c r="K23" s="620"/>
      <c r="L23" s="620"/>
      <c r="M23" s="620"/>
      <c r="N23" s="620"/>
    </row>
    <row r="24" spans="1:14" s="607" customFormat="1" ht="14">
      <c r="A24" s="994"/>
      <c r="B24" s="995"/>
      <c r="C24" s="617" t="s">
        <v>2182</v>
      </c>
      <c r="D24" s="540"/>
      <c r="E24" s="614"/>
      <c r="F24" s="616">
        <f ca="1">IF(F$2&gt;0,SUMIF(INDIRECT(F$3&amp;"!$M:$M"),$K24,INDIRECT(F$3&amp;"!$i:$i")),0)</f>
        <v>0</v>
      </c>
      <c r="G24" s="615">
        <f ca="1">SUM(H24:J24)</f>
        <v>0</v>
      </c>
      <c r="H24" s="616">
        <f t="shared" ref="H24:I26" ca="1" si="21">IF(H$2&gt;0,SUMIF(INDIRECT(H$3&amp;"!$M:$M"),$K24,INDIRECT(H$3&amp;"!$i:$i")),0)</f>
        <v>0</v>
      </c>
      <c r="I24" s="616">
        <f t="shared" ca="1" si="21"/>
        <v>0</v>
      </c>
      <c r="J24" s="915"/>
      <c r="K24" s="607" t="s">
        <v>2391</v>
      </c>
    </row>
    <row r="25" spans="1:14" s="607" customFormat="1" ht="13.5" customHeight="1">
      <c r="A25" s="994"/>
      <c r="B25" s="995"/>
      <c r="C25" s="621" t="s">
        <v>2183</v>
      </c>
      <c r="D25" s="540"/>
      <c r="E25" s="614"/>
      <c r="F25" s="616">
        <f ca="1">IF(F$2&gt;0,SUMIF(INDIRECT(F$3&amp;"!$M:$M"),$K25,INDIRECT(F$3&amp;"!$i:$i")),0)</f>
        <v>0</v>
      </c>
      <c r="G25" s="615">
        <f ca="1">SUM(H25:J25)</f>
        <v>0</v>
      </c>
      <c r="H25" s="616">
        <f t="shared" ca="1" si="21"/>
        <v>0</v>
      </c>
      <c r="I25" s="616">
        <f t="shared" ca="1" si="21"/>
        <v>0</v>
      </c>
      <c r="J25" s="915"/>
      <c r="K25" s="607" t="s">
        <v>2392</v>
      </c>
    </row>
    <row r="26" spans="1:14" s="607" customFormat="1" ht="14">
      <c r="A26" s="994"/>
      <c r="B26" s="995"/>
      <c r="C26" s="622" t="s">
        <v>2184</v>
      </c>
      <c r="D26" s="623"/>
      <c r="E26" s="624"/>
      <c r="F26" s="724">
        <f ca="1">IF(F$2&gt;0,SUMIF(INDIRECT(F$3&amp;"!$M:$M"),$K26,INDIRECT(F$3&amp;"!$i:$i")),0)</f>
        <v>0</v>
      </c>
      <c r="G26" s="625">
        <f ca="1">SUM(H26:J26)</f>
        <v>0</v>
      </c>
      <c r="H26" s="724">
        <f t="shared" ca="1" si="21"/>
        <v>0</v>
      </c>
      <c r="I26" s="724">
        <f t="shared" ca="1" si="21"/>
        <v>0</v>
      </c>
      <c r="J26" s="915"/>
      <c r="K26" s="607" t="s">
        <v>2393</v>
      </c>
    </row>
    <row r="27" spans="1:14" s="607" customFormat="1" ht="13.5" customHeight="1">
      <c r="A27" s="626" t="s">
        <v>2185</v>
      </c>
      <c r="B27" s="627"/>
      <c r="C27" s="628"/>
      <c r="D27" s="628"/>
      <c r="E27" s="629"/>
      <c r="F27" s="631"/>
      <c r="G27" s="630"/>
      <c r="H27" s="631"/>
      <c r="I27" s="631"/>
      <c r="J27" s="915"/>
    </row>
    <row r="28" spans="1:14" s="607" customFormat="1" ht="14">
      <c r="A28" s="967"/>
      <c r="B28" s="1156"/>
      <c r="C28" s="539" t="s">
        <v>2187</v>
      </c>
      <c r="D28" s="539"/>
      <c r="E28" s="600"/>
      <c r="F28" s="725">
        <f>IF(F11="新営",F16-SUM(F30:F41)-F45-F44,0)</f>
        <v>0</v>
      </c>
      <c r="G28" s="613">
        <f t="shared" ref="G28:G34" si="22">SUM(H28:J28)</f>
        <v>0</v>
      </c>
      <c r="H28" s="725">
        <f t="shared" ref="H28:I28" si="23">IF(H11="新営",H16-SUM(H30:H41)-H45-H44,0)</f>
        <v>0</v>
      </c>
      <c r="I28" s="725">
        <f t="shared" si="23"/>
        <v>0</v>
      </c>
      <c r="J28" s="915"/>
    </row>
    <row r="29" spans="1:14" s="607" customFormat="1" ht="16">
      <c r="A29" s="967"/>
      <c r="B29" s="1158" t="s">
        <v>3103</v>
      </c>
      <c r="C29" s="541" t="s">
        <v>2188</v>
      </c>
      <c r="D29" s="541"/>
      <c r="E29" s="614"/>
      <c r="F29" s="616">
        <f>IF(F11="改修",F16-SUM(F30:F41)-F45-F44,0)</f>
        <v>0</v>
      </c>
      <c r="G29" s="615">
        <f t="shared" ca="1" si="22"/>
        <v>0</v>
      </c>
      <c r="H29" s="616">
        <f ca="1">IF(H11="改修",H16-SUM(H30:H41)-H45-H44,0)</f>
        <v>0</v>
      </c>
      <c r="I29" s="616">
        <f t="shared" ref="I29" ca="1" si="24">IF(I11="改修",I16-SUM(I30:I41)-I45-I44,0)</f>
        <v>0</v>
      </c>
      <c r="J29" s="915"/>
    </row>
    <row r="30" spans="1:14" s="607" customFormat="1" ht="16">
      <c r="A30" s="967"/>
      <c r="B30" s="1158" t="s">
        <v>3105</v>
      </c>
      <c r="C30" s="632" t="s">
        <v>2189</v>
      </c>
      <c r="D30" s="541"/>
      <c r="E30" s="614"/>
      <c r="F30" s="616">
        <f ca="1">IF(F$2&gt;0,SUMIF(INDIRECT(F$3&amp;"!$M:$M"),$K30,INDIRECT(F$3&amp;"!$i:$i")),0)</f>
        <v>0</v>
      </c>
      <c r="G30" s="615">
        <f t="shared" ca="1" si="22"/>
        <v>0</v>
      </c>
      <c r="H30" s="616">
        <f t="shared" ref="H30:I34" ca="1" si="25">IF(H$2&gt;0,SUMIF(INDIRECT(H$3&amp;"!$M:$M"),$K30,INDIRECT(H$3&amp;"!$i:$i")),0)</f>
        <v>0</v>
      </c>
      <c r="I30" s="616">
        <f t="shared" ca="1" si="25"/>
        <v>0</v>
      </c>
      <c r="J30" s="915"/>
      <c r="K30" s="607" t="s">
        <v>2394</v>
      </c>
    </row>
    <row r="31" spans="1:14" s="607" customFormat="1" ht="14">
      <c r="A31" s="967"/>
      <c r="B31" s="1159"/>
      <c r="C31" s="632" t="s">
        <v>2190</v>
      </c>
      <c r="D31" s="541"/>
      <c r="E31" s="614"/>
      <c r="F31" s="616">
        <f ca="1">IF(F$2&gt;0,SUMIF(INDIRECT(F$3&amp;"!$M:$M"),$K31,INDIRECT(F$3&amp;"!$i:$i")),0)</f>
        <v>0</v>
      </c>
      <c r="G31" s="615">
        <f t="shared" ca="1" si="22"/>
        <v>0</v>
      </c>
      <c r="H31" s="616">
        <f t="shared" ca="1" si="25"/>
        <v>0</v>
      </c>
      <c r="I31" s="616">
        <f t="shared" ca="1" si="25"/>
        <v>0</v>
      </c>
      <c r="J31" s="915"/>
      <c r="K31" s="607" t="s">
        <v>2395</v>
      </c>
    </row>
    <row r="32" spans="1:14" s="607" customFormat="1" ht="13.5" customHeight="1">
      <c r="A32" s="967"/>
      <c r="B32" s="1157"/>
      <c r="C32" s="540" t="s">
        <v>2192</v>
      </c>
      <c r="D32" s="541"/>
      <c r="E32" s="614"/>
      <c r="F32" s="616">
        <f ca="1">IF(F$2&gt;0,SUMIF(INDIRECT(F$3&amp;"!$M:$M"),$K32,INDIRECT(F$3&amp;"!$i:$i")),0)</f>
        <v>0</v>
      </c>
      <c r="G32" s="615">
        <f t="shared" ca="1" si="22"/>
        <v>0</v>
      </c>
      <c r="H32" s="616">
        <f t="shared" ca="1" si="25"/>
        <v>0</v>
      </c>
      <c r="I32" s="616">
        <f t="shared" ca="1" si="25"/>
        <v>0</v>
      </c>
      <c r="J32" s="915"/>
      <c r="K32" s="607" t="s">
        <v>2396</v>
      </c>
    </row>
    <row r="33" spans="1:14" s="607" customFormat="1" ht="16">
      <c r="A33" s="967"/>
      <c r="B33" s="1158" t="s">
        <v>3107</v>
      </c>
      <c r="C33" s="540" t="s">
        <v>2193</v>
      </c>
      <c r="D33" s="541"/>
      <c r="E33" s="614"/>
      <c r="F33" s="616">
        <f ca="1">IF(F$2&gt;0,SUMIF(INDIRECT(F$3&amp;"!$M:$M"),$K33,INDIRECT(F$3&amp;"!$i:$i")),0)</f>
        <v>0</v>
      </c>
      <c r="G33" s="615">
        <f t="shared" ca="1" si="22"/>
        <v>0</v>
      </c>
      <c r="H33" s="616">
        <f t="shared" ca="1" si="25"/>
        <v>0</v>
      </c>
      <c r="I33" s="616">
        <f t="shared" ca="1" si="25"/>
        <v>0</v>
      </c>
      <c r="J33" s="915"/>
      <c r="K33" s="607" t="s">
        <v>2397</v>
      </c>
    </row>
    <row r="34" spans="1:14" s="607" customFormat="1" ht="16">
      <c r="A34" s="967"/>
      <c r="B34" s="1158" t="s">
        <v>3108</v>
      </c>
      <c r="C34" s="541" t="s">
        <v>2194</v>
      </c>
      <c r="D34" s="541"/>
      <c r="E34" s="614"/>
      <c r="F34" s="616">
        <f ca="1">IF(F$2&gt;0,SUMIF(INDIRECT(F$3&amp;"!$M:$M"),$K34,INDIRECT(F$3&amp;"!$i:$i")),0)</f>
        <v>0</v>
      </c>
      <c r="G34" s="615">
        <f t="shared" ca="1" si="22"/>
        <v>0</v>
      </c>
      <c r="H34" s="616">
        <f t="shared" ca="1" si="25"/>
        <v>0</v>
      </c>
      <c r="I34" s="616">
        <f t="shared" ca="1" si="25"/>
        <v>0</v>
      </c>
      <c r="J34" s="915"/>
      <c r="K34" s="607" t="s">
        <v>2398</v>
      </c>
    </row>
    <row r="35" spans="1:14" s="607" customFormat="1" ht="13.5" customHeight="1">
      <c r="A35" s="967"/>
      <c r="B35" s="1158" t="s">
        <v>3109</v>
      </c>
      <c r="C35" s="541" t="s">
        <v>2195</v>
      </c>
      <c r="D35" s="541"/>
      <c r="E35" s="614"/>
      <c r="F35" s="616"/>
      <c r="G35" s="615"/>
      <c r="H35" s="616"/>
      <c r="I35" s="616"/>
      <c r="J35" s="915"/>
    </row>
    <row r="36" spans="1:14" s="607" customFormat="1" ht="16">
      <c r="A36" s="967"/>
      <c r="B36" s="1158" t="s">
        <v>3110</v>
      </c>
      <c r="C36" s="541" t="s">
        <v>2196</v>
      </c>
      <c r="D36" s="541"/>
      <c r="E36" s="614"/>
      <c r="F36" s="616"/>
      <c r="G36" s="615"/>
      <c r="H36" s="616"/>
      <c r="I36" s="616"/>
      <c r="J36" s="915"/>
    </row>
    <row r="37" spans="1:14" s="607" customFormat="1" ht="16">
      <c r="A37" s="967"/>
      <c r="B37" s="1158" t="s">
        <v>3111</v>
      </c>
      <c r="C37" s="541" t="s">
        <v>2197</v>
      </c>
      <c r="D37" s="541"/>
      <c r="E37" s="614"/>
      <c r="F37" s="616">
        <f ca="1">IF(F$2&gt;0,SUMIF(INDIRECT(F$3&amp;"!$M:$M"),$K37,INDIRECT(F$3&amp;"!$i:$i")),0)</f>
        <v>0</v>
      </c>
      <c r="G37" s="615">
        <f t="shared" ref="G37:G47" ca="1" si="26">SUM(H37:J37)</f>
        <v>0</v>
      </c>
      <c r="H37" s="616">
        <f ca="1">IF(H$2&gt;0,SUMIF(INDIRECT(H$3&amp;"!$M:$M"),$K37,INDIRECT(H$3&amp;"!$i:$i")),0)</f>
        <v>0</v>
      </c>
      <c r="I37" s="616">
        <f ca="1">IF(I$2&gt;0,SUMIF(INDIRECT(I$3&amp;"!$M:$M"),$K37,INDIRECT(I$3&amp;"!$i:$i")),0)</f>
        <v>0</v>
      </c>
      <c r="J37" s="915"/>
      <c r="K37" s="607" t="s">
        <v>2399</v>
      </c>
    </row>
    <row r="38" spans="1:14" s="607" customFormat="1" ht="14">
      <c r="A38" s="967"/>
      <c r="B38" s="1158"/>
      <c r="C38" s="633" t="s">
        <v>2198</v>
      </c>
      <c r="D38" s="541"/>
      <c r="E38" s="614"/>
      <c r="F38" s="1382"/>
      <c r="G38" s="615">
        <f t="shared" si="26"/>
        <v>0</v>
      </c>
      <c r="H38" s="1382"/>
      <c r="I38" s="1382"/>
      <c r="J38" s="915"/>
      <c r="K38" s="1383" t="s">
        <v>2904</v>
      </c>
    </row>
    <row r="39" spans="1:14" s="607" customFormat="1" ht="14">
      <c r="A39" s="967"/>
      <c r="B39" s="1158"/>
      <c r="C39" s="634" t="s">
        <v>2199</v>
      </c>
      <c r="D39" s="541"/>
      <c r="E39" s="614"/>
      <c r="F39" s="1382"/>
      <c r="G39" s="615">
        <f t="shared" si="26"/>
        <v>0</v>
      </c>
      <c r="H39" s="1382"/>
      <c r="I39" s="1382"/>
      <c r="J39" s="915"/>
      <c r="K39" s="1383" t="s">
        <v>2904</v>
      </c>
    </row>
    <row r="40" spans="1:14" s="607" customFormat="1" ht="14">
      <c r="A40" s="967"/>
      <c r="B40" s="1159"/>
      <c r="C40" s="541" t="s">
        <v>2200</v>
      </c>
      <c r="D40" s="541"/>
      <c r="E40" s="614"/>
      <c r="F40" s="616">
        <f ca="1">IF(F$2&gt;0,SUMIF(INDIRECT(F$3&amp;"!$M:$M"),$K40,INDIRECT(F$3&amp;"!$i:$i")),0)</f>
        <v>0</v>
      </c>
      <c r="G40" s="615">
        <f t="shared" ca="1" si="26"/>
        <v>0</v>
      </c>
      <c r="H40" s="616">
        <f ca="1">IF(H$2&gt;0,SUMIF(INDIRECT(H$3&amp;"!$M:$M"),$K40,INDIRECT(H$3&amp;"!$i:$i")),0)</f>
        <v>0</v>
      </c>
      <c r="I40" s="616">
        <f ca="1">IF(I$2&gt;0,SUMIF(INDIRECT(I$3&amp;"!$M:$M"),$K40,INDIRECT(I$3&amp;"!$i:$i")),0)</f>
        <v>0</v>
      </c>
      <c r="J40" s="915"/>
      <c r="K40" s="607" t="s">
        <v>2400</v>
      </c>
    </row>
    <row r="41" spans="1:14" s="607" customFormat="1" ht="14">
      <c r="A41" s="967"/>
      <c r="B41" s="1157"/>
      <c r="C41" s="632" t="s">
        <v>2202</v>
      </c>
      <c r="D41" s="541"/>
      <c r="E41" s="614"/>
      <c r="F41" s="616">
        <f ca="1">IF(F$2&gt;0,SUMIF(INDIRECT(F$3&amp;"!$M:$M"),$K41,INDIRECT(F$3&amp;"!$i:$i")),0)</f>
        <v>0</v>
      </c>
      <c r="G41" s="615">
        <f t="shared" ca="1" si="26"/>
        <v>0</v>
      </c>
      <c r="H41" s="616">
        <f ca="1">IF(H$2&gt;0,SUMIF(INDIRECT(H$3&amp;"!$M:$M"),$K41,INDIRECT(H$3&amp;"!$i:$i")),0)</f>
        <v>0</v>
      </c>
      <c r="I41" s="616">
        <f ca="1">IF(I$2&gt;0,SUMIF(INDIRECT(I$3&amp;"!$M:$M"),$K41,INDIRECT(I$3&amp;"!$i:$i")),0)</f>
        <v>0</v>
      </c>
      <c r="J41" s="915"/>
      <c r="K41" s="607" t="s">
        <v>2401</v>
      </c>
    </row>
    <row r="42" spans="1:14" s="607" customFormat="1" ht="16">
      <c r="A42" s="967"/>
      <c r="B42" s="1158" t="s">
        <v>3112</v>
      </c>
      <c r="C42" s="632" t="s">
        <v>2203</v>
      </c>
      <c r="D42" s="541"/>
      <c r="E42" s="614"/>
      <c r="F42" s="616">
        <f t="shared" ref="F42" ca="1" si="27">+F26</f>
        <v>0</v>
      </c>
      <c r="G42" s="615">
        <f t="shared" ca="1" si="26"/>
        <v>0</v>
      </c>
      <c r="H42" s="616">
        <f t="shared" ref="H42:I42" ca="1" si="28">+H26</f>
        <v>0</v>
      </c>
      <c r="I42" s="616">
        <f t="shared" ca="1" si="28"/>
        <v>0</v>
      </c>
      <c r="J42" s="915"/>
    </row>
    <row r="43" spans="1:14" s="607" customFormat="1" ht="14">
      <c r="A43" s="967"/>
      <c r="B43" s="1158"/>
      <c r="C43" s="541" t="s">
        <v>2204</v>
      </c>
      <c r="D43" s="541"/>
      <c r="E43" s="614"/>
      <c r="F43" s="616">
        <f t="shared" ref="F43" ca="1" si="29">+F25</f>
        <v>0</v>
      </c>
      <c r="G43" s="615">
        <f t="shared" ca="1" si="26"/>
        <v>0</v>
      </c>
      <c r="H43" s="616">
        <f t="shared" ref="H43:I43" ca="1" si="30">+H25</f>
        <v>0</v>
      </c>
      <c r="I43" s="616">
        <f t="shared" ca="1" si="30"/>
        <v>0</v>
      </c>
      <c r="J43" s="915"/>
    </row>
    <row r="44" spans="1:14" s="607" customFormat="1" ht="14">
      <c r="A44" s="967"/>
      <c r="B44" s="1158"/>
      <c r="C44" s="541" t="s">
        <v>2205</v>
      </c>
      <c r="D44" s="541"/>
      <c r="E44" s="614"/>
      <c r="F44" s="616">
        <f ca="1">IF(F$2&gt;0,SUMIF(INDIRECT(F$3&amp;"!$M:$M"),$K44,INDIRECT(F$3&amp;"!$i:$i")),0)</f>
        <v>0</v>
      </c>
      <c r="G44" s="615">
        <f t="shared" ca="1" si="26"/>
        <v>0</v>
      </c>
      <c r="H44" s="616">
        <f ca="1">IF(H$2&gt;0,SUMIF(INDIRECT(H$3&amp;"!$M:$M"),$K44,INDIRECT(H$3&amp;"!$i:$i")),0)</f>
        <v>0</v>
      </c>
      <c r="I44" s="616">
        <f ca="1">IF(I$2&gt;0,SUMIF(INDIRECT(I$3&amp;"!$M:$M"),$K44,INDIRECT(I$3&amp;"!$i:$i")),0)</f>
        <v>0</v>
      </c>
      <c r="J44" s="915"/>
      <c r="K44" s="607" t="s">
        <v>2402</v>
      </c>
    </row>
    <row r="45" spans="1:14" s="607" customFormat="1" ht="13.5" customHeight="1">
      <c r="A45" s="967"/>
      <c r="B45" s="1240"/>
      <c r="C45" s="1178" t="s">
        <v>2206</v>
      </c>
      <c r="D45" s="1178"/>
      <c r="E45" s="635"/>
      <c r="F45" s="1244">
        <f ca="1">IFERROR(IF(INDIRECT(F$3&amp;"!＄N＄1")="附帯工事明細",F$16,0),0)</f>
        <v>0</v>
      </c>
      <c r="G45" s="615">
        <f t="shared" ca="1" si="26"/>
        <v>0</v>
      </c>
      <c r="H45" s="1244">
        <f t="shared" ref="H45:I45" ca="1" si="31">IFERROR(IF(INDIRECT(H$3&amp;"!＄N＄1")="附帯工事明細",H$16,0),0)</f>
        <v>0</v>
      </c>
      <c r="I45" s="1244">
        <f t="shared" ca="1" si="31"/>
        <v>0</v>
      </c>
      <c r="J45" s="915"/>
      <c r="K45" s="1235" t="s">
        <v>2902</v>
      </c>
      <c r="L45" s="1193"/>
      <c r="M45" s="1193"/>
      <c r="N45" s="1193"/>
    </row>
    <row r="46" spans="1:14" s="607" customFormat="1" ht="16">
      <c r="A46" s="967"/>
      <c r="B46" s="1240" t="s">
        <v>3113</v>
      </c>
      <c r="C46" s="1178" t="s">
        <v>2207</v>
      </c>
      <c r="D46" s="1178"/>
      <c r="E46" s="635"/>
      <c r="F46" s="1244">
        <f ca="1">IFERROR(IF(INDIRECT(F$3&amp;"!＄N＄1")="附帯工事明細",F$24,0),0)</f>
        <v>0</v>
      </c>
      <c r="G46" s="615">
        <f t="shared" ca="1" si="26"/>
        <v>0</v>
      </c>
      <c r="H46" s="1244">
        <f t="shared" ref="H46:I46" ca="1" si="32">IFERROR(IF(INDIRECT(H$3&amp;"!＄N＄1")="附帯工事明細",H$24,0),0)</f>
        <v>0</v>
      </c>
      <c r="I46" s="1244">
        <f t="shared" ca="1" si="32"/>
        <v>0</v>
      </c>
      <c r="J46" s="915"/>
      <c r="K46" s="1235" t="s">
        <v>2902</v>
      </c>
      <c r="L46" s="1193"/>
      <c r="M46" s="1193"/>
      <c r="N46" s="1193"/>
    </row>
    <row r="47" spans="1:14" s="607" customFormat="1" ht="14">
      <c r="A47" s="968"/>
      <c r="B47" s="1160"/>
      <c r="C47" s="636" t="s">
        <v>2208</v>
      </c>
      <c r="D47" s="636"/>
      <c r="E47" s="637"/>
      <c r="F47" s="723">
        <f ca="1">IF(F$2&gt;0,SUMIF(INDIRECT(F$3&amp;"!$M:$M"),$K47,INDIRECT(F$3&amp;"!$i:$i")),0)</f>
        <v>0</v>
      </c>
      <c r="G47" s="638">
        <f t="shared" ca="1" si="26"/>
        <v>0</v>
      </c>
      <c r="H47" s="723">
        <f ca="1">IF(H$2&gt;0,SUMIF(INDIRECT(H$3&amp;"!$M:$M"),$K47,INDIRECT(H$3&amp;"!$i:$i")),0)</f>
        <v>0</v>
      </c>
      <c r="I47" s="723">
        <f ca="1">IF(I$2&gt;0,SUMIF(INDIRECT(I$3&amp;"!$M:$M"),$K47,INDIRECT(I$3&amp;"!$i:$i")),0)</f>
        <v>0</v>
      </c>
      <c r="J47" s="915"/>
      <c r="K47" s="607" t="s">
        <v>2403</v>
      </c>
    </row>
    <row r="48" spans="1:14" s="578" customFormat="1" ht="13.5" customHeight="1">
      <c r="A48" s="1366" t="s">
        <v>2209</v>
      </c>
      <c r="B48" s="960"/>
      <c r="C48" s="961"/>
      <c r="D48" s="639"/>
      <c r="E48" s="640"/>
      <c r="F48" s="642"/>
      <c r="G48" s="641"/>
      <c r="H48" s="642"/>
      <c r="I48" s="642"/>
      <c r="J48" s="1004"/>
      <c r="K48" s="647"/>
      <c r="L48" s="647"/>
      <c r="M48" s="647"/>
      <c r="N48" s="647"/>
    </row>
    <row r="49" spans="1:14" s="647" customFormat="1" ht="14">
      <c r="A49" s="962"/>
      <c r="B49" s="963"/>
      <c r="C49" s="643" t="s">
        <v>2187</v>
      </c>
      <c r="D49" s="644"/>
      <c r="E49" s="645"/>
      <c r="F49" s="646">
        <f t="shared" ref="F49" ca="1" si="33">+F416-F200</f>
        <v>0</v>
      </c>
      <c r="G49" s="646">
        <f ca="1">+G416-G200</f>
        <v>0</v>
      </c>
      <c r="H49" s="646">
        <f t="shared" ref="H49:I49" ca="1" si="34">+H416-H200</f>
        <v>0</v>
      </c>
      <c r="I49" s="646">
        <f t="shared" ca="1" si="34"/>
        <v>0</v>
      </c>
      <c r="J49" s="1008"/>
    </row>
    <row r="50" spans="1:14" s="647" customFormat="1" ht="15">
      <c r="A50" s="962"/>
      <c r="B50" s="964" t="s">
        <v>3104</v>
      </c>
      <c r="C50" s="648" t="s">
        <v>2188</v>
      </c>
      <c r="D50" s="644"/>
      <c r="E50" s="645"/>
      <c r="F50" s="646">
        <f t="shared" ref="F50:I55" si="35">F418-F202</f>
        <v>0</v>
      </c>
      <c r="G50" s="646">
        <f t="shared" ca="1" si="35"/>
        <v>0</v>
      </c>
      <c r="H50" s="646">
        <f t="shared" ca="1" si="35"/>
        <v>0</v>
      </c>
      <c r="I50" s="646">
        <f t="shared" ca="1" si="35"/>
        <v>0</v>
      </c>
      <c r="J50" s="1008"/>
    </row>
    <row r="51" spans="1:14" s="647" customFormat="1" ht="15">
      <c r="A51" s="962"/>
      <c r="B51" s="964" t="s">
        <v>3106</v>
      </c>
      <c r="C51" s="648" t="s">
        <v>2210</v>
      </c>
      <c r="D51" s="644"/>
      <c r="E51" s="649"/>
      <c r="F51" s="646">
        <f t="shared" ca="1" si="35"/>
        <v>0</v>
      </c>
      <c r="G51" s="646">
        <f t="shared" ca="1" si="35"/>
        <v>0</v>
      </c>
      <c r="H51" s="646">
        <f t="shared" ca="1" si="35"/>
        <v>0</v>
      </c>
      <c r="I51" s="646">
        <f t="shared" ca="1" si="35"/>
        <v>0</v>
      </c>
      <c r="J51" s="1008"/>
    </row>
    <row r="52" spans="1:14" s="647" customFormat="1" ht="14">
      <c r="A52" s="962"/>
      <c r="B52" s="965"/>
      <c r="C52" s="648" t="s">
        <v>2211</v>
      </c>
      <c r="D52" s="644"/>
      <c r="E52" s="649"/>
      <c r="F52" s="646">
        <f t="shared" ca="1" si="35"/>
        <v>0</v>
      </c>
      <c r="G52" s="646">
        <f t="shared" ca="1" si="35"/>
        <v>0</v>
      </c>
      <c r="H52" s="646">
        <f t="shared" ca="1" si="35"/>
        <v>0</v>
      </c>
      <c r="I52" s="646">
        <f t="shared" ca="1" si="35"/>
        <v>0</v>
      </c>
      <c r="J52" s="1008"/>
    </row>
    <row r="53" spans="1:14" s="647" customFormat="1" ht="14">
      <c r="A53" s="962"/>
      <c r="B53" s="966"/>
      <c r="C53" s="648" t="s">
        <v>2213</v>
      </c>
      <c r="D53" s="644">
        <v>1</v>
      </c>
      <c r="E53" s="649">
        <v>0.02</v>
      </c>
      <c r="F53" s="646">
        <f t="shared" ca="1" si="35"/>
        <v>0</v>
      </c>
      <c r="G53" s="646">
        <f t="shared" ca="1" si="35"/>
        <v>0</v>
      </c>
      <c r="H53" s="646">
        <f t="shared" ca="1" si="35"/>
        <v>0</v>
      </c>
      <c r="I53" s="646">
        <f t="shared" ca="1" si="35"/>
        <v>0</v>
      </c>
      <c r="J53" s="1008"/>
    </row>
    <row r="54" spans="1:14" s="647" customFormat="1" ht="15">
      <c r="A54" s="962"/>
      <c r="B54" s="964" t="s">
        <v>3107</v>
      </c>
      <c r="C54" s="648" t="s">
        <v>2193</v>
      </c>
      <c r="D54" s="644">
        <v>1</v>
      </c>
      <c r="E54" s="649">
        <v>0.02</v>
      </c>
      <c r="F54" s="646">
        <f t="shared" ca="1" si="35"/>
        <v>0</v>
      </c>
      <c r="G54" s="646">
        <f t="shared" ca="1" si="35"/>
        <v>0</v>
      </c>
      <c r="H54" s="646">
        <f t="shared" ca="1" si="35"/>
        <v>0</v>
      </c>
      <c r="I54" s="646">
        <f t="shared" ca="1" si="35"/>
        <v>0</v>
      </c>
      <c r="J54" s="1008"/>
    </row>
    <row r="55" spans="1:14" s="647" customFormat="1" ht="15">
      <c r="A55" s="962"/>
      <c r="B55" s="964" t="s">
        <v>3108</v>
      </c>
      <c r="C55" s="648" t="s">
        <v>2194</v>
      </c>
      <c r="D55" s="644">
        <v>1</v>
      </c>
      <c r="E55" s="649">
        <v>0.02</v>
      </c>
      <c r="F55" s="646">
        <f t="shared" ca="1" si="35"/>
        <v>0</v>
      </c>
      <c r="G55" s="646">
        <f t="shared" ca="1" si="35"/>
        <v>0</v>
      </c>
      <c r="H55" s="646">
        <f t="shared" ca="1" si="35"/>
        <v>0</v>
      </c>
      <c r="I55" s="646">
        <f t="shared" ca="1" si="35"/>
        <v>0</v>
      </c>
      <c r="J55" s="1008"/>
    </row>
    <row r="56" spans="1:14" s="647" customFormat="1" ht="15">
      <c r="A56" s="962"/>
      <c r="B56" s="964" t="s">
        <v>3109</v>
      </c>
      <c r="C56" s="648" t="s">
        <v>2197</v>
      </c>
      <c r="D56" s="644">
        <v>1</v>
      </c>
      <c r="E56" s="649">
        <v>0.02</v>
      </c>
      <c r="F56" s="646">
        <f t="shared" ref="F56" ca="1" si="36">F426-F210</f>
        <v>0</v>
      </c>
      <c r="G56" s="646">
        <f ca="1">G426-G210</f>
        <v>0</v>
      </c>
      <c r="H56" s="646">
        <f t="shared" ref="H56:I56" ca="1" si="37">H426-H210</f>
        <v>0</v>
      </c>
      <c r="I56" s="646">
        <f t="shared" ca="1" si="37"/>
        <v>0</v>
      </c>
      <c r="J56" s="1008"/>
    </row>
    <row r="57" spans="1:14" s="647" customFormat="1" ht="15">
      <c r="A57" s="962"/>
      <c r="B57" s="964" t="s">
        <v>3110</v>
      </c>
      <c r="C57" s="650" t="s">
        <v>2214</v>
      </c>
      <c r="D57" s="644"/>
      <c r="E57" s="649"/>
      <c r="F57" s="619"/>
      <c r="G57" s="646"/>
      <c r="H57" s="619"/>
      <c r="I57" s="619"/>
      <c r="J57" s="1008"/>
    </row>
    <row r="58" spans="1:14" s="647" customFormat="1" ht="15">
      <c r="A58" s="962"/>
      <c r="B58" s="964" t="s">
        <v>3111</v>
      </c>
      <c r="C58" s="650" t="s">
        <v>2215</v>
      </c>
      <c r="D58" s="644"/>
      <c r="E58" s="649"/>
      <c r="F58" s="619"/>
      <c r="G58" s="646"/>
      <c r="H58" s="619"/>
      <c r="I58" s="619"/>
      <c r="J58" s="1008"/>
    </row>
    <row r="59" spans="1:14" s="647" customFormat="1" ht="14">
      <c r="A59" s="962"/>
      <c r="B59" s="965"/>
      <c r="C59" s="648" t="s">
        <v>2200</v>
      </c>
      <c r="D59" s="644">
        <v>1</v>
      </c>
      <c r="E59" s="649">
        <v>0.02</v>
      </c>
      <c r="F59" s="646">
        <f t="shared" ref="F59" ca="1" si="38">F429-F213</f>
        <v>0</v>
      </c>
      <c r="G59" s="646">
        <f ca="1">G429-G213</f>
        <v>0</v>
      </c>
      <c r="H59" s="646">
        <f t="shared" ref="H59:I59" ca="1" si="39">H429-H213</f>
        <v>0</v>
      </c>
      <c r="I59" s="646">
        <f t="shared" ca="1" si="39"/>
        <v>0</v>
      </c>
      <c r="J59" s="1008"/>
    </row>
    <row r="60" spans="1:14" s="647" customFormat="1" ht="14">
      <c r="A60" s="962"/>
      <c r="B60" s="651" t="s">
        <v>2216</v>
      </c>
      <c r="C60" s="652" t="s">
        <v>2217</v>
      </c>
      <c r="D60" s="644">
        <v>1</v>
      </c>
      <c r="E60" s="649">
        <v>0</v>
      </c>
      <c r="F60" s="646">
        <f t="shared" ref="F60" ca="1" si="40">F432-F216</f>
        <v>0</v>
      </c>
      <c r="G60" s="646">
        <f ca="1">G432-G216</f>
        <v>0</v>
      </c>
      <c r="H60" s="646">
        <f t="shared" ref="H60:I60" ca="1" si="41">H432-H216</f>
        <v>0</v>
      </c>
      <c r="I60" s="646">
        <f t="shared" ca="1" si="41"/>
        <v>0</v>
      </c>
      <c r="J60" s="1008"/>
    </row>
    <row r="61" spans="1:14" s="647" customFormat="1" ht="14">
      <c r="A61" s="962"/>
      <c r="B61" s="1253" t="s">
        <v>2218</v>
      </c>
      <c r="C61" s="1254" t="s">
        <v>2219</v>
      </c>
      <c r="D61" s="644"/>
      <c r="E61" s="649"/>
      <c r="F61" s="619">
        <f ca="1">IFERROR(IF(INDIRECT(F$3&amp;"!＄N＄1")="附帯工事明細",INDIRECT(F$3&amp;"!＄I＄20"),0),0)</f>
        <v>0</v>
      </c>
      <c r="G61" s="646">
        <f ca="1">SUM(H61:J61)</f>
        <v>0</v>
      </c>
      <c r="H61" s="619">
        <f t="shared" ref="H61:I61" ca="1" si="42">IFERROR(IF(INDIRECT(H$3&amp;"!＄N＄1")="附帯工事明細",INDIRECT(H$3&amp;"!＄I＄20"),0),0)</f>
        <v>0</v>
      </c>
      <c r="I61" s="619">
        <f t="shared" ca="1" si="42"/>
        <v>0</v>
      </c>
      <c r="J61" s="1008"/>
      <c r="K61" s="1193" t="s">
        <v>2901</v>
      </c>
      <c r="L61" s="1193"/>
      <c r="M61" s="1193"/>
      <c r="N61" s="1193"/>
    </row>
    <row r="62" spans="1:14" s="578" customFormat="1" ht="14" hidden="1">
      <c r="A62" s="962"/>
      <c r="B62" s="1255" t="s">
        <v>2220</v>
      </c>
      <c r="C62" s="1256" t="s">
        <v>2221</v>
      </c>
      <c r="D62" s="653"/>
      <c r="E62" s="654"/>
      <c r="F62" s="656"/>
      <c r="G62" s="655"/>
      <c r="H62" s="656"/>
      <c r="I62" s="656"/>
      <c r="J62" s="1004"/>
      <c r="K62" s="647"/>
      <c r="L62" s="647"/>
      <c r="M62" s="647"/>
      <c r="N62" s="647"/>
    </row>
    <row r="63" spans="1:14" s="578" customFormat="1" ht="14" hidden="1">
      <c r="A63" s="1102"/>
      <c r="B63" s="1103" t="s">
        <v>2222</v>
      </c>
      <c r="C63" s="1104"/>
      <c r="D63" s="658"/>
      <c r="E63" s="659"/>
      <c r="F63" s="661">
        <f ca="1">SUM(F49:F62)</f>
        <v>0</v>
      </c>
      <c r="G63" s="660">
        <f ca="1">SUM(H63:J63)</f>
        <v>0</v>
      </c>
      <c r="H63" s="661">
        <f ca="1">SUM(H49:H62)</f>
        <v>0</v>
      </c>
      <c r="I63" s="661">
        <f t="shared" ref="I63" ca="1" si="43">SUM(I49:I62)</f>
        <v>0</v>
      </c>
      <c r="J63" s="1004"/>
      <c r="K63" s="647"/>
      <c r="L63" s="647"/>
      <c r="M63" s="647"/>
      <c r="N63" s="647"/>
    </row>
    <row r="64" spans="1:14" s="578" customFormat="1" ht="14" hidden="1">
      <c r="A64" s="1102"/>
      <c r="B64" s="1103" t="s">
        <v>2223</v>
      </c>
      <c r="C64" s="1104"/>
      <c r="D64" s="658"/>
      <c r="E64" s="659"/>
      <c r="F64" s="661">
        <f ca="1">IF(F61=0,IF(F16+F24=0,IF(F10=F86,F63,0),0),0)</f>
        <v>0</v>
      </c>
      <c r="G64" s="660">
        <f ca="1">SUM(H64:J64)</f>
        <v>0</v>
      </c>
      <c r="H64" s="661">
        <f t="shared" ref="H64:I64" ca="1" si="44">IF(H61=0,IF(H16+H24=0,IF(H10=H86,H63,0),0),0)</f>
        <v>0</v>
      </c>
      <c r="I64" s="661">
        <f t="shared" ca="1" si="44"/>
        <v>0</v>
      </c>
      <c r="J64" s="1004"/>
      <c r="K64" s="647"/>
      <c r="L64" s="647"/>
      <c r="M64" s="647"/>
      <c r="N64" s="647"/>
    </row>
    <row r="65" spans="1:14" s="578" customFormat="1" ht="13.5" hidden="1" customHeight="1">
      <c r="A65" s="1102"/>
      <c r="B65" s="1103" t="s">
        <v>2224</v>
      </c>
      <c r="C65" s="1104"/>
      <c r="D65" s="658"/>
      <c r="E65" s="659"/>
      <c r="F65" s="1101">
        <f t="shared" ref="F65" ca="1" si="45">F15-(F45+F46)</f>
        <v>0</v>
      </c>
      <c r="G65" s="660">
        <f ca="1">SUM(H65:J65)</f>
        <v>0</v>
      </c>
      <c r="H65" s="1101">
        <f t="shared" ref="H65:I65" ca="1" si="46">H15-(H45+H46)</f>
        <v>0</v>
      </c>
      <c r="I65" s="1101">
        <f t="shared" ca="1" si="46"/>
        <v>0</v>
      </c>
      <c r="J65" s="1004"/>
      <c r="K65" s="647"/>
      <c r="L65" s="647"/>
      <c r="M65" s="647"/>
      <c r="N65" s="647"/>
    </row>
    <row r="66" spans="1:14" s="578" customFormat="1" ht="14">
      <c r="A66" s="1102"/>
      <c r="B66" s="1103" t="s">
        <v>2225</v>
      </c>
      <c r="C66" s="1104"/>
      <c r="D66" s="658"/>
      <c r="E66" s="659"/>
      <c r="F66" s="661">
        <f ca="1">IF($G$64=0,0,(IF(F64=0,INT(F65/$G65*$G64),0)))</f>
        <v>0</v>
      </c>
      <c r="G66" s="660">
        <f ca="1">SUM(H66:J66)</f>
        <v>0</v>
      </c>
      <c r="H66" s="661">
        <f ca="1">IF($G$64=0,0,(IF(H64=0,INT(H65/$G65*$G64),0)))</f>
        <v>0</v>
      </c>
      <c r="I66" s="661">
        <f t="shared" ref="I66" ca="1" si="47">IF($G$64=0,0,(IF(I64=0,INT(I65/$G65*$G64),0)))</f>
        <v>0</v>
      </c>
      <c r="J66" s="1004"/>
      <c r="K66" s="647"/>
      <c r="L66" s="647"/>
      <c r="M66" s="647"/>
      <c r="N66" s="647"/>
    </row>
    <row r="67" spans="1:14" s="578" customFormat="1" ht="14">
      <c r="A67" s="1102"/>
      <c r="B67" s="1103" t="s">
        <v>2226</v>
      </c>
      <c r="C67" s="1104"/>
      <c r="D67" s="658"/>
      <c r="E67" s="659"/>
      <c r="F67" s="661">
        <f ca="1">IF($G67=0,0,IF(F66=0,0,IF(SUM(E67:$H67)=0,$G67,0)))</f>
        <v>0</v>
      </c>
      <c r="G67" s="660">
        <f ca="1">G64-G66</f>
        <v>0</v>
      </c>
      <c r="H67" s="661">
        <f ca="1">IF($G67=0,0,IF(H66=0,0,$G67))</f>
        <v>0</v>
      </c>
      <c r="I67" s="661">
        <f ca="1">IF($G67=0,0,IF(I66=0,0,IF(SUM($H67:H67)=0,$G67,0)))</f>
        <v>0</v>
      </c>
      <c r="J67" s="1004"/>
      <c r="K67" s="647"/>
      <c r="L67" s="647"/>
      <c r="M67" s="647"/>
      <c r="N67" s="647"/>
    </row>
    <row r="68" spans="1:14" s="578" customFormat="1" ht="13.5" customHeight="1">
      <c r="A68" s="657"/>
      <c r="B68" s="1257" t="s">
        <v>2227</v>
      </c>
      <c r="C68" s="1258"/>
      <c r="D68" s="662"/>
      <c r="E68" s="663"/>
      <c r="F68" s="664">
        <f ca="1">IF(F61=0,IF(F16+F24=0,IF(F10=F86,0,F63+F66+F67),F63+F66+F67),F61)</f>
        <v>0</v>
      </c>
      <c r="G68" s="660">
        <f ca="1">SUM(H68:J68)</f>
        <v>0</v>
      </c>
      <c r="H68" s="664">
        <f t="shared" ref="H68:I68" ca="1" si="48">IF(H61=0,IF(H16+H24=0,IF(H10=H86,0,H63+H66+H67),H63+H66+H67),H61)</f>
        <v>0</v>
      </c>
      <c r="I68" s="664">
        <f t="shared" ca="1" si="48"/>
        <v>0</v>
      </c>
      <c r="J68" s="1004"/>
      <c r="K68" s="647"/>
      <c r="L68" s="647"/>
      <c r="M68" s="647"/>
      <c r="N68" s="647"/>
    </row>
    <row r="69" spans="1:14" s="578" customFormat="1" ht="14">
      <c r="A69" s="665" t="s">
        <v>2228</v>
      </c>
      <c r="B69" s="666"/>
      <c r="C69" s="666"/>
      <c r="D69" s="667"/>
      <c r="E69" s="668" t="s">
        <v>2229</v>
      </c>
      <c r="F69" s="670">
        <f t="shared" ref="F69" ca="1" si="49">F15-F47+F68</f>
        <v>0</v>
      </c>
      <c r="G69" s="669">
        <f ca="1">SUM(H69:J69)</f>
        <v>0</v>
      </c>
      <c r="H69" s="670">
        <f t="shared" ref="H69:I69" ca="1" si="50">H15-H47+H68</f>
        <v>0</v>
      </c>
      <c r="I69" s="670">
        <f t="shared" ca="1" si="50"/>
        <v>0</v>
      </c>
      <c r="J69" s="1004"/>
      <c r="K69" s="647"/>
      <c r="L69" s="647"/>
      <c r="M69" s="647"/>
      <c r="N69" s="647"/>
    </row>
    <row r="70" spans="1:14" s="647" customFormat="1" ht="14">
      <c r="A70" s="1245"/>
      <c r="B70" s="1259" t="s">
        <v>2230</v>
      </c>
      <c r="C70" s="1260"/>
      <c r="D70" s="672"/>
      <c r="E70" s="673"/>
      <c r="F70" s="1246">
        <f ca="1">IFERROR(IF(INDIRECT(F$3&amp;"!＄N＄2")="土木工事",INDIRECT(F$3&amp;"!＄I＄21"),0),0)</f>
        <v>0</v>
      </c>
      <c r="G70" s="1247">
        <f ca="1">SUM(H70:J70)</f>
        <v>0</v>
      </c>
      <c r="H70" s="1246">
        <f t="shared" ref="H70:I70" ca="1" si="51">IFERROR(IF(INDIRECT(H$3&amp;"!＄N＄2")="土木工事",INDIRECT(H$3&amp;"!＄I＄21"),0),0)</f>
        <v>0</v>
      </c>
      <c r="I70" s="1246">
        <f t="shared" ca="1" si="51"/>
        <v>0</v>
      </c>
      <c r="J70" s="1008"/>
      <c r="K70" s="1193" t="s">
        <v>2900</v>
      </c>
      <c r="L70" s="1193"/>
      <c r="M70" s="1193"/>
      <c r="N70" s="1193"/>
    </row>
    <row r="71" spans="1:14" s="578" customFormat="1" ht="13.5" customHeight="1">
      <c r="A71" s="671"/>
      <c r="B71" s="674" t="s">
        <v>2231</v>
      </c>
      <c r="C71" s="675"/>
      <c r="D71" s="676"/>
      <c r="E71" s="677"/>
      <c r="F71" s="678">
        <f t="shared" ref="F71" ca="1" si="52">+F465-F250</f>
        <v>0</v>
      </c>
      <c r="G71" s="678">
        <f ca="1">+G465-G250</f>
        <v>0</v>
      </c>
      <c r="H71" s="678">
        <f ca="1">+H465-H250</f>
        <v>0</v>
      </c>
      <c r="I71" s="678">
        <f t="shared" ref="I71" ca="1" si="53">+I465-I250</f>
        <v>0</v>
      </c>
      <c r="J71" s="1004"/>
      <c r="K71" s="647"/>
      <c r="L71" s="647"/>
      <c r="M71" s="647"/>
      <c r="N71" s="647"/>
    </row>
    <row r="72" spans="1:14" s="578" customFormat="1" ht="13.5" customHeight="1">
      <c r="A72" s="1102"/>
      <c r="B72" s="1103" t="s">
        <v>2223</v>
      </c>
      <c r="C72" s="1104"/>
      <c r="D72" s="658"/>
      <c r="E72" s="659"/>
      <c r="F72" s="661">
        <f t="shared" ref="F72" ca="1" si="54">IF(F69=0,F71,0)</f>
        <v>0</v>
      </c>
      <c r="G72" s="660">
        <f ca="1">SUM(H72:J72)</f>
        <v>0</v>
      </c>
      <c r="H72" s="661">
        <f ca="1">IF(H69=0,H71,0)</f>
        <v>0</v>
      </c>
      <c r="I72" s="661">
        <f t="shared" ref="I72" ca="1" si="55">IF(I69=0,I71,0)</f>
        <v>0</v>
      </c>
      <c r="J72" s="1004"/>
      <c r="K72" s="647"/>
      <c r="L72" s="647"/>
      <c r="M72" s="647"/>
      <c r="N72" s="647"/>
    </row>
    <row r="73" spans="1:14" s="578" customFormat="1" ht="13.5" customHeight="1">
      <c r="A73" s="1102"/>
      <c r="B73" s="1103" t="s">
        <v>2232</v>
      </c>
      <c r="C73" s="1104"/>
      <c r="D73" s="658"/>
      <c r="E73" s="659"/>
      <c r="F73" s="661">
        <f ca="1">IF(F70=0,F69,F69-(F45+F46+F61))</f>
        <v>0</v>
      </c>
      <c r="G73" s="660">
        <f ca="1">SUM(H73:J73)</f>
        <v>0</v>
      </c>
      <c r="H73" s="661">
        <f t="shared" ref="H73:I73" ca="1" si="56">IF(H70=0,H69,H69-(H45+H46+H61))</f>
        <v>0</v>
      </c>
      <c r="I73" s="661">
        <f t="shared" ca="1" si="56"/>
        <v>0</v>
      </c>
      <c r="J73" s="1004"/>
      <c r="K73" s="647"/>
      <c r="L73" s="647"/>
      <c r="M73" s="647"/>
      <c r="N73" s="647"/>
    </row>
    <row r="74" spans="1:14" s="578" customFormat="1" ht="13.5" customHeight="1">
      <c r="A74" s="1102"/>
      <c r="B74" s="1103" t="s">
        <v>2233</v>
      </c>
      <c r="C74" s="1104"/>
      <c r="D74" s="658"/>
      <c r="E74" s="659"/>
      <c r="F74" s="661">
        <f ca="1">IF($G$73=0,0,(INT(F73/$G73*$G72)))</f>
        <v>0</v>
      </c>
      <c r="G74" s="660">
        <f ca="1">SUM(H74:J74)</f>
        <v>0</v>
      </c>
      <c r="H74" s="661">
        <f ca="1">IF($G$73=0,0,(INT(H73/$G73*$G72)))</f>
        <v>0</v>
      </c>
      <c r="I74" s="661">
        <f t="shared" ref="I74" ca="1" si="57">IF($G$73=0,0,(INT(I73/$G73*$G72)))</f>
        <v>0</v>
      </c>
      <c r="J74" s="1004"/>
      <c r="K74" s="647"/>
      <c r="L74" s="647"/>
      <c r="M74" s="647"/>
      <c r="N74" s="647"/>
    </row>
    <row r="75" spans="1:14" s="578" customFormat="1" ht="13.5" customHeight="1">
      <c r="A75" s="1102"/>
      <c r="B75" s="1103" t="s">
        <v>2234</v>
      </c>
      <c r="C75" s="1104"/>
      <c r="D75" s="658"/>
      <c r="E75" s="659"/>
      <c r="F75" s="661">
        <f ca="1">IF($G75=0,0,IF(F74=0,0,IF(SUM(E75:$H75)=0,$G75,0)))</f>
        <v>0</v>
      </c>
      <c r="G75" s="660">
        <f ca="1">G72-G74</f>
        <v>0</v>
      </c>
      <c r="H75" s="661">
        <f ca="1">IF($G75=0,0,IF(H74=0,0,$G75))</f>
        <v>0</v>
      </c>
      <c r="I75" s="661">
        <f ca="1">IF($G75=0,0,IF(I74=0,0,IF(SUM($H75:H75)=0,$G75,0)))</f>
        <v>0</v>
      </c>
      <c r="J75" s="1004"/>
      <c r="K75" s="647"/>
      <c r="L75" s="647"/>
      <c r="M75" s="647"/>
      <c r="N75" s="647"/>
    </row>
    <row r="76" spans="1:14" s="578" customFormat="1" ht="13.5" customHeight="1">
      <c r="A76" s="671"/>
      <c r="B76" s="1267" t="s">
        <v>2235</v>
      </c>
      <c r="C76" s="679"/>
      <c r="D76" s="680"/>
      <c r="E76" s="681"/>
      <c r="F76" s="664">
        <f t="shared" ref="F76" ca="1" si="58">IF(F69=0,0,F71+F74+F75)</f>
        <v>0</v>
      </c>
      <c r="G76" s="660">
        <f t="shared" ref="G76:G83" ca="1" si="59">SUM(H76:J76)</f>
        <v>0</v>
      </c>
      <c r="H76" s="664">
        <f ca="1">IF(H69=0,0,H71+H74+H75)</f>
        <v>0</v>
      </c>
      <c r="I76" s="664">
        <f t="shared" ref="I76" ca="1" si="60">IF(I69=0,0,I71+I74+I75)</f>
        <v>0</v>
      </c>
      <c r="J76" s="1004"/>
      <c r="K76" s="647"/>
      <c r="L76" s="647"/>
      <c r="M76" s="647"/>
      <c r="N76" s="647"/>
    </row>
    <row r="77" spans="1:14" s="578" customFormat="1" ht="13.5" customHeight="1" thickBot="1">
      <c r="A77" s="682" t="s">
        <v>2236</v>
      </c>
      <c r="B77" s="683"/>
      <c r="C77" s="684"/>
      <c r="D77" s="685"/>
      <c r="E77" s="686"/>
      <c r="F77" s="688">
        <f t="shared" ref="F77" ca="1" si="61">+F15+F68+F76</f>
        <v>0</v>
      </c>
      <c r="G77" s="687">
        <f t="shared" ca="1" si="59"/>
        <v>0</v>
      </c>
      <c r="H77" s="688">
        <f ca="1">+H15+H68+H76</f>
        <v>0</v>
      </c>
      <c r="I77" s="688">
        <f t="shared" ref="I77" ca="1" si="62">+I15+I68+I76</f>
        <v>0</v>
      </c>
      <c r="J77" s="1004"/>
      <c r="K77" s="647"/>
      <c r="L77" s="647"/>
      <c r="M77" s="647"/>
      <c r="N77" s="647"/>
    </row>
    <row r="78" spans="1:14" s="578" customFormat="1" ht="13.5" customHeight="1" thickTop="1">
      <c r="A78" s="689" t="s">
        <v>333</v>
      </c>
      <c r="B78" s="690"/>
      <c r="C78" s="690"/>
      <c r="D78" s="690"/>
      <c r="E78" s="691" t="s">
        <v>2237</v>
      </c>
      <c r="F78" s="693">
        <f t="shared" ref="F78" ca="1" si="63">IF(F77&lt;0,ROUNDUP(F77,-3),ROUNDDOWN(F77,-3))</f>
        <v>0</v>
      </c>
      <c r="G78" s="692">
        <f t="shared" ca="1" si="59"/>
        <v>0</v>
      </c>
      <c r="H78" s="693">
        <f ca="1">IF(H77&lt;0,ROUNDUP(H77,-3),ROUNDDOWN(H77,-3))</f>
        <v>0</v>
      </c>
      <c r="I78" s="693">
        <f t="shared" ref="I78" ca="1" si="64">IF(I77&lt;0,ROUNDUP(I77,-3),ROUNDDOWN(I77,-3))</f>
        <v>0</v>
      </c>
      <c r="J78" s="1004"/>
      <c r="K78" s="647"/>
      <c r="L78" s="647"/>
      <c r="M78" s="647"/>
      <c r="N78" s="647"/>
    </row>
    <row r="79" spans="1:14" s="578" customFormat="1" ht="13.5" customHeight="1">
      <c r="A79" s="694"/>
      <c r="B79" s="969" t="s">
        <v>3114</v>
      </c>
      <c r="C79" s="695" t="s">
        <v>2239</v>
      </c>
      <c r="D79" s="695"/>
      <c r="E79" s="695"/>
      <c r="F79" s="697">
        <f t="shared" ref="F79" ca="1" si="65">+F15</f>
        <v>0</v>
      </c>
      <c r="G79" s="696">
        <f t="shared" ca="1" si="59"/>
        <v>0</v>
      </c>
      <c r="H79" s="697">
        <f t="shared" ref="H79:I79" ca="1" si="66">+H15</f>
        <v>0</v>
      </c>
      <c r="I79" s="697">
        <f t="shared" ca="1" si="66"/>
        <v>0</v>
      </c>
      <c r="J79" s="1004"/>
      <c r="K79" s="647"/>
      <c r="L79" s="647"/>
      <c r="M79" s="647"/>
      <c r="N79" s="647"/>
    </row>
    <row r="80" spans="1:14" s="578" customFormat="1" ht="13.5" customHeight="1" thickBot="1">
      <c r="A80" s="698"/>
      <c r="B80" s="970" t="s">
        <v>3115</v>
      </c>
      <c r="C80" s="699" t="s">
        <v>2240</v>
      </c>
      <c r="D80" s="699"/>
      <c r="E80" s="699"/>
      <c r="F80" s="701">
        <f t="shared" ref="F80" ca="1" si="67">+F78-F79</f>
        <v>0</v>
      </c>
      <c r="G80" s="700">
        <f t="shared" ca="1" si="59"/>
        <v>0</v>
      </c>
      <c r="H80" s="701">
        <f ca="1">+H78-H79</f>
        <v>0</v>
      </c>
      <c r="I80" s="701">
        <f t="shared" ref="I80" ca="1" si="68">+I78-I79</f>
        <v>0</v>
      </c>
      <c r="J80" s="1004"/>
      <c r="K80" s="647"/>
      <c r="L80" s="647"/>
      <c r="M80" s="647"/>
      <c r="N80" s="647"/>
    </row>
    <row r="81" spans="1:14" s="578" customFormat="1" ht="13.5" customHeight="1" thickTop="1">
      <c r="A81" s="689" t="s">
        <v>2241</v>
      </c>
      <c r="B81" s="690"/>
      <c r="C81" s="690"/>
      <c r="D81" s="690"/>
      <c r="E81" s="691" t="s">
        <v>2237</v>
      </c>
      <c r="F81" s="693">
        <f t="shared" ref="F81" ca="1" si="69">IF(F77&lt;0,ROUNDUP(F77*$G$4,-3),ROUNDDOWN(F77*$G$4,-3))</f>
        <v>0</v>
      </c>
      <c r="G81" s="692">
        <f t="shared" ca="1" si="59"/>
        <v>0</v>
      </c>
      <c r="H81" s="693">
        <f ca="1">IF(H77&lt;0,ROUNDUP(H77*$G$4,-3),ROUNDDOWN(H77*$G$4,-3))</f>
        <v>0</v>
      </c>
      <c r="I81" s="693">
        <f t="shared" ref="I81" ca="1" si="70">IF(I77&lt;0,ROUNDUP(I77*$G$4,-3),ROUNDDOWN(I77*$G$4,-3))</f>
        <v>0</v>
      </c>
      <c r="J81" s="1004"/>
      <c r="K81" s="647"/>
      <c r="L81" s="647"/>
      <c r="M81" s="647"/>
      <c r="N81" s="647"/>
    </row>
    <row r="82" spans="1:14" s="578" customFormat="1" ht="13.5" customHeight="1">
      <c r="A82" s="694"/>
      <c r="B82" s="1747" t="s">
        <v>3114</v>
      </c>
      <c r="C82" s="695" t="s">
        <v>2239</v>
      </c>
      <c r="D82" s="695"/>
      <c r="E82" s="695"/>
      <c r="F82" s="697">
        <f t="shared" ref="F82" ca="1" si="71">IF(F79&lt;0,ROUNDDOWN(F79*$G$4,0),ROUNDUP(F79*$G$4,0))</f>
        <v>0</v>
      </c>
      <c r="G82" s="696">
        <f t="shared" ca="1" si="59"/>
        <v>0</v>
      </c>
      <c r="H82" s="697">
        <f ca="1">IF(H79&lt;0,ROUNDDOWN(H79*$G$4,0),ROUNDUP(H79*$G$4,0))</f>
        <v>0</v>
      </c>
      <c r="I82" s="697">
        <f t="shared" ref="I82" ca="1" si="72">IF(I79&lt;0,ROUNDDOWN(I79*$G$4,0),ROUNDUP(I79*$G$4,0))</f>
        <v>0</v>
      </c>
      <c r="J82" s="1004"/>
      <c r="K82" s="647"/>
      <c r="L82" s="647"/>
      <c r="M82" s="647"/>
      <c r="N82" s="647"/>
    </row>
    <row r="83" spans="1:14" s="578" customFormat="1" ht="13.5" customHeight="1" thickBot="1">
      <c r="A83" s="698"/>
      <c r="B83" s="970" t="s">
        <v>3115</v>
      </c>
      <c r="C83" s="699" t="s">
        <v>2240</v>
      </c>
      <c r="D83" s="699"/>
      <c r="E83" s="699"/>
      <c r="F83" s="701">
        <f t="shared" ref="F83" ca="1" si="73">+F81-F82</f>
        <v>0</v>
      </c>
      <c r="G83" s="700">
        <f t="shared" ca="1" si="59"/>
        <v>0</v>
      </c>
      <c r="H83" s="701">
        <f t="shared" ref="H83:I83" ca="1" si="74">+H81-H82</f>
        <v>0</v>
      </c>
      <c r="I83" s="701">
        <f t="shared" ca="1" si="74"/>
        <v>0</v>
      </c>
      <c r="J83" s="1004"/>
      <c r="K83" s="647"/>
      <c r="L83" s="647"/>
      <c r="M83" s="647"/>
      <c r="N83" s="647"/>
    </row>
    <row r="84" spans="1:14" s="602" customFormat="1" ht="16" thickTop="1">
      <c r="A84" s="702"/>
      <c r="B84" s="702"/>
      <c r="C84" s="622"/>
      <c r="D84" s="622"/>
      <c r="E84" s="1116" t="s">
        <v>2162</v>
      </c>
      <c r="F84" s="708"/>
      <c r="G84" s="732">
        <f>+G1</f>
        <v>0</v>
      </c>
      <c r="H84" s="707"/>
      <c r="I84" s="708"/>
      <c r="J84" s="577" t="s">
        <v>2242</v>
      </c>
    </row>
    <row r="85" spans="1:14" s="607" customFormat="1" ht="13.5" customHeight="1">
      <c r="A85" s="709"/>
      <c r="B85" s="709"/>
      <c r="C85" s="1117" t="s">
        <v>3098</v>
      </c>
      <c r="D85" s="739"/>
      <c r="E85" s="622"/>
      <c r="F85" s="803"/>
      <c r="G85" s="1712" t="s">
        <v>3097</v>
      </c>
      <c r="H85" s="1713" t="str">
        <f>D3</f>
        <v>無し</v>
      </c>
      <c r="I85" s="1271"/>
    </row>
    <row r="86" spans="1:14" s="602" customFormat="1" ht="13.5" customHeight="1">
      <c r="A86" s="595"/>
      <c r="B86" s="596"/>
      <c r="C86" s="597" t="s">
        <v>2168</v>
      </c>
      <c r="D86" s="598"/>
      <c r="E86" s="812"/>
      <c r="F86" s="601"/>
      <c r="G86" s="600" t="s">
        <v>2243</v>
      </c>
      <c r="H86" s="601">
        <f>元諸経費表!G5</f>
        <v>0</v>
      </c>
      <c r="I86" s="601">
        <f>元諸経費表!H5</f>
        <v>0</v>
      </c>
      <c r="J86" s="916"/>
    </row>
    <row r="87" spans="1:14" s="602" customFormat="1" ht="13.5" customHeight="1">
      <c r="A87" s="994"/>
      <c r="B87" s="995"/>
      <c r="C87" s="1176" t="s">
        <v>2169</v>
      </c>
      <c r="D87" s="1177"/>
      <c r="E87" s="1033"/>
      <c r="F87" s="605"/>
      <c r="G87" s="604" t="s">
        <v>2244</v>
      </c>
      <c r="H87" s="605" t="str">
        <f>元諸経費表!G6</f>
        <v>改修</v>
      </c>
      <c r="I87" s="605" t="str">
        <f>元諸経費表!H6</f>
        <v>改修</v>
      </c>
      <c r="J87" s="916"/>
    </row>
    <row r="88" spans="1:14" s="607" customFormat="1" ht="13.5" customHeight="1">
      <c r="A88" s="994"/>
      <c r="B88" s="995"/>
      <c r="C88" s="995" t="s">
        <v>2245</v>
      </c>
      <c r="D88" s="995"/>
      <c r="E88" s="1105" t="str">
        <f>元諸経費表!E7</f>
        <v>有り</v>
      </c>
      <c r="F88" s="1106" t="s">
        <v>2898</v>
      </c>
      <c r="G88" s="714" t="s">
        <v>2165</v>
      </c>
      <c r="H88" s="1106" t="str">
        <f>元諸経費表!G7</f>
        <v>工事1</v>
      </c>
      <c r="I88" s="1106" t="str">
        <f>元諸経費表!H7</f>
        <v>工事2</v>
      </c>
      <c r="J88" s="915"/>
    </row>
    <row r="89" spans="1:14" s="607" customFormat="1" ht="13.5" customHeight="1">
      <c r="A89" s="994"/>
      <c r="B89" s="995"/>
      <c r="C89" s="995" t="s">
        <v>2247</v>
      </c>
      <c r="D89" s="995"/>
      <c r="E89" s="1107" t="str">
        <f>元諸経費表!E8</f>
        <v>有り</v>
      </c>
      <c r="F89" s="716" t="s">
        <v>2747</v>
      </c>
      <c r="G89" s="715" t="s">
        <v>2248</v>
      </c>
      <c r="H89" s="716">
        <f>元諸経費表!G8</f>
        <v>0</v>
      </c>
      <c r="I89" s="716">
        <f>元諸経費表!H8</f>
        <v>0</v>
      </c>
      <c r="J89" s="915"/>
    </row>
    <row r="90" spans="1:14" s="607" customFormat="1" ht="13.5" customHeight="1">
      <c r="B90" s="959"/>
      <c r="C90" s="959"/>
      <c r="D90" s="959"/>
      <c r="F90" s="1108"/>
      <c r="G90" s="994" t="s">
        <v>2170</v>
      </c>
      <c r="H90" s="1108" t="str">
        <f>元諸経費表!G9</f>
        <v>積上げ・率処理併用</v>
      </c>
      <c r="I90" s="1108" t="str">
        <f>元諸経費表!H9</f>
        <v>積上げ・率処理併用</v>
      </c>
      <c r="J90" s="915"/>
    </row>
    <row r="91" spans="1:14" s="607" customFormat="1" ht="24.75" customHeight="1">
      <c r="A91" s="2189" t="s">
        <v>2171</v>
      </c>
      <c r="B91" s="2190"/>
      <c r="C91" s="2190"/>
      <c r="D91" s="2190"/>
      <c r="E91" s="2191"/>
      <c r="F91" s="1094"/>
      <c r="G91" s="1109"/>
      <c r="H91" s="1094" t="str">
        <f>元諸経費表!G10</f>
        <v>駅施設</v>
      </c>
      <c r="I91" s="1094" t="str">
        <f>元諸経費表!H10</f>
        <v>駅施設</v>
      </c>
      <c r="J91" s="915"/>
    </row>
    <row r="92" spans="1:14" s="607" customFormat="1" ht="30" customHeight="1">
      <c r="A92" s="2189" t="s">
        <v>2172</v>
      </c>
      <c r="B92" s="2190"/>
      <c r="C92" s="2190"/>
      <c r="D92" s="2190"/>
      <c r="E92" s="2191"/>
      <c r="F92" s="1095"/>
      <c r="G92" s="1110"/>
      <c r="H92" s="1095" t="str">
        <f>元諸経費表!G11</f>
        <v>無し</v>
      </c>
      <c r="I92" s="1095" t="str">
        <f>元諸経費表!H11</f>
        <v>無し</v>
      </c>
      <c r="J92" s="915"/>
    </row>
    <row r="93" spans="1:14" s="607" customFormat="1" ht="13.5" customHeight="1">
      <c r="A93" s="595"/>
      <c r="B93" s="608" t="s">
        <v>2173</v>
      </c>
      <c r="C93" s="609"/>
      <c r="D93" s="609"/>
      <c r="E93" s="1034"/>
      <c r="F93" s="612"/>
      <c r="G93" s="611">
        <f>SUM(H93:J93)</f>
        <v>0</v>
      </c>
      <c r="H93" s="612">
        <f>+H94+H98</f>
        <v>0</v>
      </c>
      <c r="I93" s="612">
        <f t="shared" ref="I93" si="75">+I94+I98</f>
        <v>0</v>
      </c>
      <c r="J93" s="915"/>
    </row>
    <row r="94" spans="1:14" s="607" customFormat="1" ht="13.5" customHeight="1">
      <c r="A94" s="994"/>
      <c r="B94" s="995"/>
      <c r="C94" s="538" t="s">
        <v>2174</v>
      </c>
      <c r="D94" s="539"/>
      <c r="E94" s="812"/>
      <c r="F94" s="725"/>
      <c r="G94" s="613">
        <f>SUM(H94:J94)</f>
        <v>0</v>
      </c>
      <c r="H94" s="725">
        <f>元諸経費表!G13</f>
        <v>0</v>
      </c>
      <c r="I94" s="725">
        <f>元諸経費表!H13</f>
        <v>0</v>
      </c>
      <c r="J94" s="915"/>
    </row>
    <row r="95" spans="1:14" s="607" customFormat="1" ht="13.5" customHeight="1">
      <c r="A95" s="994"/>
      <c r="B95" s="995"/>
      <c r="C95" s="717"/>
      <c r="D95" s="717"/>
      <c r="E95" s="1035"/>
      <c r="F95" s="616"/>
      <c r="G95" s="615" t="s">
        <v>2252</v>
      </c>
      <c r="H95" s="616">
        <f>SUM(H187:H196)</f>
        <v>0</v>
      </c>
      <c r="I95" s="616">
        <f t="shared" ref="I95" si="76">SUM(I187:I196)</f>
        <v>0</v>
      </c>
      <c r="J95" s="915"/>
    </row>
    <row r="96" spans="1:14" s="607" customFormat="1" ht="13.5" customHeight="1">
      <c r="A96" s="994"/>
      <c r="B96" s="995"/>
      <c r="C96" s="717"/>
      <c r="D96" s="717"/>
      <c r="E96" s="1035"/>
      <c r="F96" s="616"/>
      <c r="G96" s="615" t="s">
        <v>2253</v>
      </c>
      <c r="H96" s="616">
        <f>SUM(H234:H236)</f>
        <v>0</v>
      </c>
      <c r="I96" s="616">
        <f t="shared" ref="I96" si="77">SUM(I234:I236)</f>
        <v>0</v>
      </c>
      <c r="J96" s="915"/>
    </row>
    <row r="97" spans="1:10" s="607" customFormat="1" ht="13.5" customHeight="1">
      <c r="A97" s="994"/>
      <c r="B97" s="995"/>
      <c r="C97" s="717"/>
      <c r="D97" s="717"/>
      <c r="E97" s="1035"/>
      <c r="F97" s="616"/>
      <c r="G97" s="718" t="s">
        <v>2254</v>
      </c>
      <c r="H97" s="616">
        <f>+H136</f>
        <v>0</v>
      </c>
      <c r="I97" s="616">
        <f t="shared" ref="I97" si="78">+I136</f>
        <v>0</v>
      </c>
      <c r="J97" s="915"/>
    </row>
    <row r="98" spans="1:10" s="607" customFormat="1" ht="13.5" customHeight="1">
      <c r="A98" s="994"/>
      <c r="B98" s="995"/>
      <c r="C98" s="540" t="s">
        <v>2175</v>
      </c>
      <c r="D98" s="540"/>
      <c r="E98" s="1035"/>
      <c r="F98" s="616"/>
      <c r="G98" s="615">
        <f t="shared" ref="G98:G115" si="79">SUM(H98:J98)</f>
        <v>0</v>
      </c>
      <c r="H98" s="616">
        <f>H99+H100</f>
        <v>0</v>
      </c>
      <c r="I98" s="616">
        <f t="shared" ref="I98" si="80">I99+I100</f>
        <v>0</v>
      </c>
      <c r="J98" s="915"/>
    </row>
    <row r="99" spans="1:10" s="607" customFormat="1" ht="13.5" customHeight="1">
      <c r="A99" s="994"/>
      <c r="B99" s="995"/>
      <c r="C99" s="617" t="s">
        <v>2176</v>
      </c>
      <c r="D99" s="540"/>
      <c r="E99" s="1035"/>
      <c r="F99" s="616"/>
      <c r="G99" s="615">
        <f t="shared" si="79"/>
        <v>0</v>
      </c>
      <c r="H99" s="616">
        <f t="shared" ref="H99:I99" si="81">IF(H90="積上げ",0,H176)</f>
        <v>0</v>
      </c>
      <c r="I99" s="616">
        <f t="shared" si="81"/>
        <v>0</v>
      </c>
      <c r="J99" s="915"/>
    </row>
    <row r="100" spans="1:10" s="607" customFormat="1" ht="13.5" customHeight="1">
      <c r="A100" s="994"/>
      <c r="B100" s="995"/>
      <c r="C100" s="617" t="s">
        <v>2182</v>
      </c>
      <c r="D100" s="540"/>
      <c r="E100" s="1035"/>
      <c r="F100" s="616"/>
      <c r="G100" s="615">
        <f t="shared" si="79"/>
        <v>0</v>
      </c>
      <c r="H100" s="616">
        <f>元諸経費表!G19</f>
        <v>0</v>
      </c>
      <c r="I100" s="616">
        <f>元諸経費表!H19</f>
        <v>0</v>
      </c>
      <c r="J100" s="915"/>
    </row>
    <row r="101" spans="1:10" s="607" customFormat="1" ht="13.5" customHeight="1">
      <c r="A101" s="994"/>
      <c r="B101" s="995"/>
      <c r="C101" s="621" t="s">
        <v>2183</v>
      </c>
      <c r="D101" s="540"/>
      <c r="E101" s="1035"/>
      <c r="F101" s="616"/>
      <c r="G101" s="615">
        <f t="shared" si="79"/>
        <v>0</v>
      </c>
      <c r="H101" s="616">
        <f>元諸経費表!G20</f>
        <v>0</v>
      </c>
      <c r="I101" s="616">
        <f>元諸経費表!H20</f>
        <v>0</v>
      </c>
      <c r="J101" s="915"/>
    </row>
    <row r="102" spans="1:10" s="607" customFormat="1" ht="13.5" customHeight="1">
      <c r="A102" s="994"/>
      <c r="B102" s="995"/>
      <c r="C102" s="622" t="s">
        <v>2184</v>
      </c>
      <c r="D102" s="623"/>
      <c r="E102" s="1036"/>
      <c r="F102" s="724"/>
      <c r="G102" s="625">
        <f t="shared" si="79"/>
        <v>0</v>
      </c>
      <c r="H102" s="724">
        <f>元諸経費表!G21</f>
        <v>0</v>
      </c>
      <c r="I102" s="724">
        <f>元諸経費表!H21</f>
        <v>0</v>
      </c>
      <c r="J102" s="915"/>
    </row>
    <row r="103" spans="1:10" s="607" customFormat="1" ht="13.5" customHeight="1">
      <c r="A103" s="719"/>
      <c r="B103" s="720"/>
      <c r="C103" s="721" t="s">
        <v>2255</v>
      </c>
      <c r="D103" s="722"/>
      <c r="E103" s="1037"/>
      <c r="F103" s="723"/>
      <c r="G103" s="638">
        <f t="shared" si="79"/>
        <v>0</v>
      </c>
      <c r="H103" s="723">
        <f>+H137</f>
        <v>0</v>
      </c>
      <c r="I103" s="723">
        <f t="shared" ref="I103" si="82">+I137</f>
        <v>0</v>
      </c>
      <c r="J103" s="915"/>
    </row>
    <row r="104" spans="1:10" s="607" customFormat="1" ht="13.5" customHeight="1">
      <c r="A104" s="994"/>
      <c r="B104" s="623" t="s">
        <v>2256</v>
      </c>
      <c r="C104" s="623"/>
      <c r="D104" s="623"/>
      <c r="E104" s="1036"/>
      <c r="F104" s="724"/>
      <c r="G104" s="625">
        <f t="shared" si="79"/>
        <v>0</v>
      </c>
      <c r="H104" s="724">
        <f>H105+H110</f>
        <v>0</v>
      </c>
      <c r="I104" s="724">
        <f t="shared" ref="I104" si="83">I105+I110</f>
        <v>0</v>
      </c>
      <c r="J104" s="915"/>
    </row>
    <row r="105" spans="1:10" s="607" customFormat="1" ht="13.5" customHeight="1">
      <c r="A105" s="994"/>
      <c r="B105" s="995"/>
      <c r="C105" s="538" t="s">
        <v>2257</v>
      </c>
      <c r="D105" s="538"/>
      <c r="E105" s="1038"/>
      <c r="F105" s="725"/>
      <c r="G105" s="613">
        <f t="shared" si="79"/>
        <v>0</v>
      </c>
      <c r="H105" s="725">
        <f>H106+H109</f>
        <v>0</v>
      </c>
      <c r="I105" s="725">
        <f t="shared" ref="I105" si="84">I106+I109</f>
        <v>0</v>
      </c>
      <c r="J105" s="915"/>
    </row>
    <row r="106" spans="1:10" s="607" customFormat="1" ht="13.5" customHeight="1">
      <c r="A106" s="994"/>
      <c r="B106" s="995"/>
      <c r="C106" s="1179" t="s">
        <v>2258</v>
      </c>
      <c r="D106" s="1179"/>
      <c r="E106" s="1039"/>
      <c r="F106" s="726"/>
      <c r="G106" s="615">
        <f t="shared" si="79"/>
        <v>0</v>
      </c>
      <c r="H106" s="726">
        <f>SUM(H107:H108)-H109</f>
        <v>0</v>
      </c>
      <c r="I106" s="726">
        <f t="shared" ref="I106" si="85">SUM(I107:I108)-I109</f>
        <v>0</v>
      </c>
      <c r="J106" s="915"/>
    </row>
    <row r="107" spans="1:10" s="607" customFormat="1" ht="13.5" customHeight="1">
      <c r="A107" s="994"/>
      <c r="B107" s="995"/>
      <c r="C107" s="727" t="s">
        <v>2259</v>
      </c>
      <c r="D107" s="727"/>
      <c r="E107" s="1035"/>
      <c r="F107" s="616"/>
      <c r="G107" s="615">
        <f t="shared" si="79"/>
        <v>0</v>
      </c>
      <c r="H107" s="616">
        <f>SUM(H202:H204)+H200</f>
        <v>0</v>
      </c>
      <c r="I107" s="616">
        <f t="shared" ref="I107" si="86">SUM(I202:I204)+I200</f>
        <v>0</v>
      </c>
      <c r="J107" s="915"/>
    </row>
    <row r="108" spans="1:10" s="607" customFormat="1" ht="13.5" customHeight="1">
      <c r="A108" s="994"/>
      <c r="B108" s="995"/>
      <c r="C108" s="727" t="s">
        <v>2260</v>
      </c>
      <c r="D108" s="727"/>
      <c r="E108" s="1035"/>
      <c r="F108" s="616"/>
      <c r="G108" s="615">
        <f t="shared" si="79"/>
        <v>0</v>
      </c>
      <c r="H108" s="616">
        <f>SUM(H205:H216)</f>
        <v>0</v>
      </c>
      <c r="I108" s="616">
        <f t="shared" ref="I108" si="87">SUM(I205:I216)</f>
        <v>0</v>
      </c>
      <c r="J108" s="915"/>
    </row>
    <row r="109" spans="1:10" s="607" customFormat="1" ht="13.5" customHeight="1">
      <c r="A109" s="994"/>
      <c r="B109" s="995"/>
      <c r="C109" s="727" t="s">
        <v>2261</v>
      </c>
      <c r="D109" s="727"/>
      <c r="E109" s="1035"/>
      <c r="F109" s="616"/>
      <c r="G109" s="615">
        <f t="shared" si="79"/>
        <v>0</v>
      </c>
      <c r="H109" s="616">
        <f>+H214</f>
        <v>0</v>
      </c>
      <c r="I109" s="616">
        <f t="shared" ref="I109" si="88">+I214</f>
        <v>0</v>
      </c>
      <c r="J109" s="915"/>
    </row>
    <row r="110" spans="1:10" s="607" customFormat="1" ht="13.5" customHeight="1">
      <c r="A110" s="994"/>
      <c r="B110" s="995"/>
      <c r="C110" s="540" t="s">
        <v>2262</v>
      </c>
      <c r="D110" s="540"/>
      <c r="E110" s="1035"/>
      <c r="F110" s="616"/>
      <c r="G110" s="615">
        <f t="shared" si="79"/>
        <v>0</v>
      </c>
      <c r="H110" s="616">
        <f>SUM(H111:H114)</f>
        <v>0</v>
      </c>
      <c r="I110" s="616">
        <f t="shared" ref="I110" si="89">SUM(I111:I114)</f>
        <v>0</v>
      </c>
      <c r="J110" s="915"/>
    </row>
    <row r="111" spans="1:10" s="607" customFormat="1" ht="13.5" customHeight="1">
      <c r="A111" s="994"/>
      <c r="B111" s="995"/>
      <c r="C111" s="727" t="s">
        <v>2259</v>
      </c>
      <c r="D111" s="727"/>
      <c r="E111" s="1035"/>
      <c r="F111" s="616"/>
      <c r="G111" s="1064">
        <f t="shared" si="79"/>
        <v>0</v>
      </c>
      <c r="H111" s="616">
        <f>IF(H239=0,0,+H239-H256)</f>
        <v>0</v>
      </c>
      <c r="I111" s="616">
        <f t="shared" ref="I111" si="90">IF(I239=0,0,+I239-I256)</f>
        <v>0</v>
      </c>
      <c r="J111" s="915"/>
    </row>
    <row r="112" spans="1:10" s="607" customFormat="1" ht="13.5" customHeight="1">
      <c r="A112" s="994"/>
      <c r="B112" s="995"/>
      <c r="C112" s="727" t="s">
        <v>2263</v>
      </c>
      <c r="D112" s="727"/>
      <c r="E112" s="1035"/>
      <c r="F112" s="616"/>
      <c r="G112" s="615">
        <f t="shared" si="79"/>
        <v>0</v>
      </c>
      <c r="H112" s="616">
        <f>+H240+H241</f>
        <v>0</v>
      </c>
      <c r="I112" s="616">
        <f t="shared" ref="I112" si="91">+I240+I241</f>
        <v>0</v>
      </c>
      <c r="J112" s="915"/>
    </row>
    <row r="113" spans="1:10" s="607" customFormat="1" ht="13.5" customHeight="1">
      <c r="A113" s="994"/>
      <c r="B113" s="995"/>
      <c r="C113" s="727" t="s">
        <v>2264</v>
      </c>
      <c r="D113" s="727"/>
      <c r="E113" s="1035"/>
      <c r="F113" s="616"/>
      <c r="G113" s="615">
        <f t="shared" si="79"/>
        <v>0</v>
      </c>
      <c r="H113" s="616">
        <f>SUM(H242:H246)</f>
        <v>0</v>
      </c>
      <c r="I113" s="616">
        <f t="shared" ref="I113" si="92">SUM(I242:I246)</f>
        <v>0</v>
      </c>
      <c r="J113" s="915"/>
    </row>
    <row r="114" spans="1:10" s="607" customFormat="1" ht="13.5" customHeight="1">
      <c r="A114" s="994"/>
      <c r="B114" s="995"/>
      <c r="C114" s="623" t="s">
        <v>2265</v>
      </c>
      <c r="D114" s="995"/>
      <c r="E114" s="1036"/>
      <c r="F114" s="724"/>
      <c r="G114" s="625">
        <f t="shared" si="79"/>
        <v>0</v>
      </c>
      <c r="H114" s="724">
        <f>IF(H247=0,0,+H247-H256)</f>
        <v>0</v>
      </c>
      <c r="I114" s="724">
        <f t="shared" ref="I114" si="93">IF(I247=0,0,+I247-I256)</f>
        <v>0</v>
      </c>
      <c r="J114" s="915"/>
    </row>
    <row r="115" spans="1:10" s="607" customFormat="1" ht="13.5" customHeight="1">
      <c r="A115" s="729"/>
      <c r="B115" s="609" t="s">
        <v>2266</v>
      </c>
      <c r="C115" s="609"/>
      <c r="D115" s="609"/>
      <c r="E115" s="1040"/>
      <c r="F115" s="612"/>
      <c r="G115" s="611">
        <f t="shared" si="79"/>
        <v>0</v>
      </c>
      <c r="H115" s="612">
        <f>H93+H104</f>
        <v>0</v>
      </c>
      <c r="I115" s="612">
        <f t="shared" ref="I115" si="94">I93+I104</f>
        <v>0</v>
      </c>
      <c r="J115" s="915"/>
    </row>
    <row r="116" spans="1:10" s="607" customFormat="1" ht="15" customHeight="1">
      <c r="A116" s="731"/>
      <c r="B116" s="995"/>
      <c r="C116" s="732" t="s">
        <v>2267</v>
      </c>
      <c r="D116" s="732"/>
      <c r="E116" s="733"/>
      <c r="F116" s="1044"/>
      <c r="G116" s="1045"/>
      <c r="H116" s="734" t="s">
        <v>2268</v>
      </c>
      <c r="I116" s="735"/>
      <c r="J116" s="915"/>
    </row>
    <row r="117" spans="1:10" s="607" customFormat="1" ht="15" customHeight="1">
      <c r="A117" s="595"/>
      <c r="B117" s="596"/>
      <c r="C117" s="596"/>
      <c r="D117" s="596"/>
      <c r="E117" s="1041"/>
      <c r="F117" s="738"/>
      <c r="G117" s="737" t="s">
        <v>2165</v>
      </c>
      <c r="H117" s="738" t="str">
        <f t="shared" ref="H117:I117" si="95">+H88</f>
        <v>工事1</v>
      </c>
      <c r="I117" s="738" t="str">
        <f t="shared" si="95"/>
        <v>工事2</v>
      </c>
      <c r="J117" s="915"/>
    </row>
    <row r="118" spans="1:10" s="607" customFormat="1" ht="15" customHeight="1">
      <c r="A118" s="626" t="s">
        <v>2185</v>
      </c>
      <c r="B118" s="627"/>
      <c r="C118" s="628"/>
      <c r="D118" s="628"/>
      <c r="E118" s="1042"/>
      <c r="F118" s="631"/>
      <c r="G118" s="630"/>
      <c r="H118" s="631"/>
      <c r="I118" s="631"/>
      <c r="J118" s="915"/>
    </row>
    <row r="119" spans="1:10" s="607" customFormat="1" ht="15" customHeight="1">
      <c r="A119" s="967"/>
      <c r="B119" s="2158" t="s">
        <v>2186</v>
      </c>
      <c r="C119" s="539" t="s">
        <v>2187</v>
      </c>
      <c r="D119" s="539"/>
      <c r="E119" s="1038"/>
      <c r="F119" s="725"/>
      <c r="G119" s="613">
        <f t="shared" ref="G119:G138" si="96">SUM(H119:J119)</f>
        <v>0</v>
      </c>
      <c r="H119" s="725">
        <f t="shared" ref="H119:I119" si="97">IF(H87="新営",H94-SUM(H121:H132)-H136-H135,0)</f>
        <v>0</v>
      </c>
      <c r="I119" s="725">
        <f t="shared" si="97"/>
        <v>0</v>
      </c>
      <c r="J119" s="915"/>
    </row>
    <row r="120" spans="1:10" s="607" customFormat="1" ht="14.25" customHeight="1">
      <c r="A120" s="967"/>
      <c r="B120" s="2173"/>
      <c r="C120" s="541" t="s">
        <v>2188</v>
      </c>
      <c r="D120" s="541"/>
      <c r="E120" s="1035"/>
      <c r="F120" s="616"/>
      <c r="G120" s="615">
        <f t="shared" si="96"/>
        <v>0</v>
      </c>
      <c r="H120" s="616">
        <f t="shared" ref="H120:I120" si="98">IF(H87="改修",H94-SUM(H121:H132)-H136-H135,0)</f>
        <v>0</v>
      </c>
      <c r="I120" s="616">
        <f t="shared" si="98"/>
        <v>0</v>
      </c>
      <c r="J120" s="915"/>
    </row>
    <row r="121" spans="1:10" s="607" customFormat="1" ht="15" customHeight="1">
      <c r="A121" s="967"/>
      <c r="B121" s="2173"/>
      <c r="C121" s="632" t="s">
        <v>2189</v>
      </c>
      <c r="D121" s="541"/>
      <c r="E121" s="1035"/>
      <c r="F121" s="616"/>
      <c r="G121" s="615">
        <f t="shared" si="96"/>
        <v>0</v>
      </c>
      <c r="H121" s="616">
        <f>元諸経費表!G40</f>
        <v>0</v>
      </c>
      <c r="I121" s="616">
        <f>元諸経費表!H40</f>
        <v>0</v>
      </c>
      <c r="J121" s="915"/>
    </row>
    <row r="122" spans="1:10" s="607" customFormat="1" ht="15" customHeight="1">
      <c r="A122" s="967"/>
      <c r="B122" s="2174"/>
      <c r="C122" s="632" t="s">
        <v>2190</v>
      </c>
      <c r="D122" s="541"/>
      <c r="E122" s="1035"/>
      <c r="F122" s="616"/>
      <c r="G122" s="615">
        <f t="shared" si="96"/>
        <v>0</v>
      </c>
      <c r="H122" s="616">
        <f>元諸経費表!G41</f>
        <v>0</v>
      </c>
      <c r="I122" s="616">
        <f>元諸経費表!H41</f>
        <v>0</v>
      </c>
      <c r="J122" s="915"/>
    </row>
    <row r="123" spans="1:10" s="607" customFormat="1" ht="15" customHeight="1">
      <c r="A123" s="967"/>
      <c r="B123" s="2137" t="s">
        <v>2191</v>
      </c>
      <c r="C123" s="540" t="s">
        <v>2192</v>
      </c>
      <c r="D123" s="541"/>
      <c r="E123" s="1035"/>
      <c r="F123" s="616"/>
      <c r="G123" s="615">
        <f t="shared" si="96"/>
        <v>0</v>
      </c>
      <c r="H123" s="616">
        <f>元諸経費表!G42</f>
        <v>0</v>
      </c>
      <c r="I123" s="616">
        <f>元諸経費表!H42</f>
        <v>0</v>
      </c>
      <c r="J123" s="915"/>
    </row>
    <row r="124" spans="1:10" s="607" customFormat="1" ht="15" customHeight="1">
      <c r="A124" s="967"/>
      <c r="B124" s="2173"/>
      <c r="C124" s="540" t="s">
        <v>2193</v>
      </c>
      <c r="D124" s="541"/>
      <c r="E124" s="1035"/>
      <c r="F124" s="616"/>
      <c r="G124" s="615">
        <f t="shared" si="96"/>
        <v>0</v>
      </c>
      <c r="H124" s="616">
        <f>元諸経費表!G43</f>
        <v>0</v>
      </c>
      <c r="I124" s="616">
        <f>元諸経費表!H43</f>
        <v>0</v>
      </c>
      <c r="J124" s="915"/>
    </row>
    <row r="125" spans="1:10" s="607" customFormat="1" ht="15" customHeight="1">
      <c r="A125" s="967"/>
      <c r="B125" s="2173"/>
      <c r="C125" s="541" t="s">
        <v>2194</v>
      </c>
      <c r="D125" s="541"/>
      <c r="E125" s="1035"/>
      <c r="F125" s="616"/>
      <c r="G125" s="615">
        <f t="shared" si="96"/>
        <v>0</v>
      </c>
      <c r="H125" s="616">
        <f>元諸経費表!G44</f>
        <v>0</v>
      </c>
      <c r="I125" s="616">
        <f>元諸経費表!H44</f>
        <v>0</v>
      </c>
      <c r="J125" s="915"/>
    </row>
    <row r="126" spans="1:10" s="607" customFormat="1" ht="15" customHeight="1">
      <c r="A126" s="967"/>
      <c r="B126" s="2173"/>
      <c r="C126" s="541" t="s">
        <v>2195</v>
      </c>
      <c r="D126" s="541"/>
      <c r="E126" s="1035"/>
      <c r="F126" s="616"/>
      <c r="G126" s="1065">
        <f t="shared" si="96"/>
        <v>0</v>
      </c>
      <c r="H126" s="616">
        <f>元諸経費表!G45</f>
        <v>0</v>
      </c>
      <c r="I126" s="616">
        <f>元諸経費表!H45</f>
        <v>0</v>
      </c>
      <c r="J126" s="915"/>
    </row>
    <row r="127" spans="1:10" s="607" customFormat="1" ht="15" customHeight="1">
      <c r="A127" s="967"/>
      <c r="B127" s="2173"/>
      <c r="C127" s="541" t="s">
        <v>2196</v>
      </c>
      <c r="D127" s="541"/>
      <c r="E127" s="1035"/>
      <c r="F127" s="616"/>
      <c r="G127" s="615">
        <f t="shared" si="96"/>
        <v>0</v>
      </c>
      <c r="H127" s="616">
        <f>元諸経費表!G46</f>
        <v>0</v>
      </c>
      <c r="I127" s="616">
        <f>元諸経費表!H46</f>
        <v>0</v>
      </c>
      <c r="J127" s="915"/>
    </row>
    <row r="128" spans="1:10" s="607" customFormat="1" ht="15" customHeight="1">
      <c r="A128" s="967"/>
      <c r="B128" s="2173"/>
      <c r="C128" s="541" t="s">
        <v>2197</v>
      </c>
      <c r="D128" s="541"/>
      <c r="E128" s="1035"/>
      <c r="F128" s="616"/>
      <c r="G128" s="615">
        <f t="shared" si="96"/>
        <v>0</v>
      </c>
      <c r="H128" s="616">
        <f>元諸経費表!G47</f>
        <v>0</v>
      </c>
      <c r="I128" s="616">
        <f>元諸経費表!H47</f>
        <v>0</v>
      </c>
      <c r="J128" s="915"/>
    </row>
    <row r="129" spans="1:10" s="607" customFormat="1" ht="15" customHeight="1">
      <c r="A129" s="967"/>
      <c r="B129" s="2173"/>
      <c r="C129" s="633" t="s">
        <v>2198</v>
      </c>
      <c r="D129" s="541"/>
      <c r="E129" s="1035"/>
      <c r="F129" s="616"/>
      <c r="G129" s="615">
        <f t="shared" si="96"/>
        <v>0</v>
      </c>
      <c r="H129" s="616">
        <f>元諸経費表!G48</f>
        <v>0</v>
      </c>
      <c r="I129" s="616">
        <f>元諸経費表!H48</f>
        <v>0</v>
      </c>
      <c r="J129" s="915"/>
    </row>
    <row r="130" spans="1:10" s="607" customFormat="1" ht="15" customHeight="1">
      <c r="A130" s="967"/>
      <c r="B130" s="2173"/>
      <c r="C130" s="634" t="s">
        <v>2199</v>
      </c>
      <c r="D130" s="541"/>
      <c r="E130" s="1035"/>
      <c r="F130" s="616"/>
      <c r="G130" s="615">
        <f t="shared" si="96"/>
        <v>0</v>
      </c>
      <c r="H130" s="616">
        <f>元諸経費表!G49</f>
        <v>0</v>
      </c>
      <c r="I130" s="616">
        <f>元諸経費表!H49</f>
        <v>0</v>
      </c>
      <c r="J130" s="915"/>
    </row>
    <row r="131" spans="1:10" s="607" customFormat="1" ht="15" customHeight="1">
      <c r="A131" s="967"/>
      <c r="B131" s="2174"/>
      <c r="C131" s="541" t="s">
        <v>2200</v>
      </c>
      <c r="D131" s="541"/>
      <c r="E131" s="1035"/>
      <c r="F131" s="616"/>
      <c r="G131" s="615">
        <f t="shared" si="96"/>
        <v>0</v>
      </c>
      <c r="H131" s="616">
        <f>元諸経費表!G50</f>
        <v>0</v>
      </c>
      <c r="I131" s="616">
        <f>元諸経費表!H50</f>
        <v>0</v>
      </c>
      <c r="J131" s="915"/>
    </row>
    <row r="132" spans="1:10" s="607" customFormat="1" ht="15" customHeight="1">
      <c r="A132" s="967"/>
      <c r="B132" s="2137" t="s">
        <v>2201</v>
      </c>
      <c r="C132" s="632" t="s">
        <v>2202</v>
      </c>
      <c r="D132" s="541"/>
      <c r="E132" s="1035"/>
      <c r="F132" s="616"/>
      <c r="G132" s="615">
        <f t="shared" si="96"/>
        <v>0</v>
      </c>
      <c r="H132" s="616">
        <f>元諸経費表!G51</f>
        <v>0</v>
      </c>
      <c r="I132" s="616">
        <f>元諸経費表!H51</f>
        <v>0</v>
      </c>
      <c r="J132" s="915"/>
    </row>
    <row r="133" spans="1:10" s="607" customFormat="1" ht="15" customHeight="1">
      <c r="A133" s="967"/>
      <c r="B133" s="2173"/>
      <c r="C133" s="632" t="s">
        <v>2203</v>
      </c>
      <c r="D133" s="541"/>
      <c r="E133" s="1035"/>
      <c r="F133" s="616"/>
      <c r="G133" s="615">
        <f t="shared" si="96"/>
        <v>0</v>
      </c>
      <c r="H133" s="616">
        <f t="shared" ref="H133:I133" si="99">+H102</f>
        <v>0</v>
      </c>
      <c r="I133" s="616">
        <f t="shared" si="99"/>
        <v>0</v>
      </c>
      <c r="J133" s="915"/>
    </row>
    <row r="134" spans="1:10" s="607" customFormat="1" ht="15" customHeight="1">
      <c r="A134" s="967"/>
      <c r="B134" s="2173"/>
      <c r="C134" s="541" t="s">
        <v>2204</v>
      </c>
      <c r="D134" s="541"/>
      <c r="E134" s="1035"/>
      <c r="F134" s="616"/>
      <c r="G134" s="615">
        <f t="shared" si="96"/>
        <v>0</v>
      </c>
      <c r="H134" s="616">
        <f>+H101</f>
        <v>0</v>
      </c>
      <c r="I134" s="616">
        <f t="shared" ref="I134" si="100">+I101</f>
        <v>0</v>
      </c>
      <c r="J134" s="915"/>
    </row>
    <row r="135" spans="1:10" s="607" customFormat="1" ht="15" customHeight="1">
      <c r="A135" s="967"/>
      <c r="B135" s="2173"/>
      <c r="C135" s="541" t="s">
        <v>2205</v>
      </c>
      <c r="D135" s="541"/>
      <c r="E135" s="1035"/>
      <c r="F135" s="616"/>
      <c r="G135" s="615">
        <f t="shared" si="96"/>
        <v>0</v>
      </c>
      <c r="H135" s="616">
        <f>元諸経費表!G54</f>
        <v>0</v>
      </c>
      <c r="I135" s="616">
        <f>元諸経費表!H54</f>
        <v>0</v>
      </c>
      <c r="J135" s="915"/>
    </row>
    <row r="136" spans="1:10" s="607" customFormat="1" ht="15" customHeight="1">
      <c r="A136" s="967"/>
      <c r="B136" s="2173"/>
      <c r="C136" s="1178" t="s">
        <v>2206</v>
      </c>
      <c r="D136" s="1178"/>
      <c r="E136" s="1043"/>
      <c r="F136" s="619"/>
      <c r="G136" s="615">
        <f t="shared" si="96"/>
        <v>0</v>
      </c>
      <c r="H136" s="619">
        <f>元諸経費表!G55</f>
        <v>0</v>
      </c>
      <c r="I136" s="619">
        <f>元諸経費表!H55</f>
        <v>0</v>
      </c>
      <c r="J136" s="915"/>
    </row>
    <row r="137" spans="1:10" s="607" customFormat="1" ht="15" customHeight="1">
      <c r="A137" s="967"/>
      <c r="B137" s="2173"/>
      <c r="C137" s="1178" t="s">
        <v>2207</v>
      </c>
      <c r="D137" s="1178"/>
      <c r="E137" s="1043"/>
      <c r="F137" s="619"/>
      <c r="G137" s="615">
        <f t="shared" si="96"/>
        <v>0</v>
      </c>
      <c r="H137" s="619">
        <f>元諸経費表!G56</f>
        <v>0</v>
      </c>
      <c r="I137" s="619">
        <f>元諸経費表!H56</f>
        <v>0</v>
      </c>
      <c r="J137" s="915"/>
    </row>
    <row r="138" spans="1:10" s="607" customFormat="1" ht="15" customHeight="1">
      <c r="A138" s="968"/>
      <c r="B138" s="2175"/>
      <c r="C138" s="636" t="s">
        <v>2208</v>
      </c>
      <c r="D138" s="636"/>
      <c r="E138" s="1037"/>
      <c r="F138" s="723"/>
      <c r="G138" s="638">
        <f t="shared" si="96"/>
        <v>0</v>
      </c>
      <c r="H138" s="723">
        <f>元諸経費表!G57</f>
        <v>0</v>
      </c>
      <c r="I138" s="723">
        <f>元諸経費表!H57</f>
        <v>0</v>
      </c>
      <c r="J138" s="915"/>
    </row>
    <row r="139" spans="1:10" s="607" customFormat="1" ht="15" hidden="1" customHeight="1">
      <c r="A139" s="995"/>
      <c r="B139" s="995"/>
      <c r="C139" s="739" t="s">
        <v>2269</v>
      </c>
      <c r="D139" s="739"/>
      <c r="E139" s="622"/>
      <c r="F139" s="713"/>
      <c r="G139" s="711"/>
      <c r="H139" s="713"/>
      <c r="I139" s="713"/>
      <c r="J139" s="740" t="s">
        <v>2270</v>
      </c>
    </row>
    <row r="140" spans="1:10" s="607" customFormat="1" ht="15" hidden="1" customHeight="1">
      <c r="A140" s="995"/>
      <c r="B140" s="995"/>
      <c r="C140" s="627" t="s">
        <v>2271</v>
      </c>
      <c r="D140" s="627"/>
      <c r="E140" s="622"/>
      <c r="F140" s="713"/>
      <c r="G140" s="711"/>
      <c r="H140" s="713"/>
      <c r="I140" s="713"/>
    </row>
    <row r="141" spans="1:10" s="607" customFormat="1" ht="15" hidden="1" customHeight="1">
      <c r="A141" s="595"/>
      <c r="B141" s="596"/>
      <c r="C141" s="596"/>
      <c r="D141" s="2168" t="s">
        <v>2272</v>
      </c>
      <c r="E141" s="2168" t="s">
        <v>2273</v>
      </c>
      <c r="F141" s="745" t="s">
        <v>2898</v>
      </c>
      <c r="G141" s="737" t="s">
        <v>2165</v>
      </c>
      <c r="H141" s="738" t="str">
        <f t="shared" ref="H141:I141" si="101">+H88</f>
        <v>工事1</v>
      </c>
      <c r="I141" s="738" t="str">
        <f t="shared" si="101"/>
        <v>工事2</v>
      </c>
      <c r="J141" s="915"/>
    </row>
    <row r="142" spans="1:10" s="607" customFormat="1" ht="15" hidden="1" customHeight="1">
      <c r="A142" s="2170" t="s">
        <v>2274</v>
      </c>
      <c r="B142" s="2171"/>
      <c r="C142" s="2172"/>
      <c r="D142" s="2169"/>
      <c r="E142" s="2169"/>
      <c r="F142" s="1010"/>
      <c r="G142" s="741"/>
      <c r="H142" s="742"/>
      <c r="I142" s="742"/>
      <c r="J142" s="915"/>
    </row>
    <row r="143" spans="1:10" s="607" customFormat="1" ht="15" hidden="1" customHeight="1">
      <c r="A143" s="972"/>
      <c r="B143" s="743" t="s">
        <v>2275</v>
      </c>
      <c r="C143" s="744"/>
      <c r="D143" s="745"/>
      <c r="E143" s="746"/>
      <c r="F143" s="1011"/>
      <c r="G143" s="747">
        <f t="shared" ref="G143:G157" si="102">SUM(H143:J143)</f>
        <v>0</v>
      </c>
      <c r="H143" s="748">
        <f>SUM(H119:H131)+H135</f>
        <v>0</v>
      </c>
      <c r="I143" s="748">
        <f t="shared" ref="I143" si="103">SUM(I119:I131)+I135</f>
        <v>0</v>
      </c>
      <c r="J143" s="915"/>
    </row>
    <row r="144" spans="1:10" s="607" customFormat="1" ht="15" hidden="1" customHeight="1">
      <c r="A144" s="973"/>
      <c r="B144" s="1157"/>
      <c r="C144" s="749" t="s">
        <v>2187</v>
      </c>
      <c r="D144" s="750">
        <v>1</v>
      </c>
      <c r="E144" s="751" t="s">
        <v>2276</v>
      </c>
      <c r="F144" s="1003"/>
      <c r="G144" s="615">
        <f t="shared" si="102"/>
        <v>0</v>
      </c>
      <c r="H144" s="616">
        <f t="shared" ref="H144:I144" si="104">IF(H90="積上げ",0,+H119)</f>
        <v>0</v>
      </c>
      <c r="I144" s="616">
        <f t="shared" si="104"/>
        <v>0</v>
      </c>
      <c r="J144" s="915"/>
    </row>
    <row r="145" spans="1:10" s="607" customFormat="1" ht="15" hidden="1" customHeight="1">
      <c r="A145" s="973"/>
      <c r="B145" s="1158" t="s">
        <v>3103</v>
      </c>
      <c r="C145" s="749" t="s">
        <v>2188</v>
      </c>
      <c r="D145" s="750">
        <v>1</v>
      </c>
      <c r="E145" s="751" t="s">
        <v>2276</v>
      </c>
      <c r="F145" s="1003"/>
      <c r="G145" s="615">
        <f t="shared" si="102"/>
        <v>0</v>
      </c>
      <c r="H145" s="616">
        <f t="shared" ref="H145:I145" si="105">IF(H90="積上げ",0,+H120)</f>
        <v>0</v>
      </c>
      <c r="I145" s="616">
        <f t="shared" si="105"/>
        <v>0</v>
      </c>
      <c r="J145" s="915"/>
    </row>
    <row r="146" spans="1:10" s="607" customFormat="1" ht="15" hidden="1" customHeight="1">
      <c r="A146" s="973"/>
      <c r="B146" s="1158" t="s">
        <v>3105</v>
      </c>
      <c r="C146" s="749" t="s">
        <v>2277</v>
      </c>
      <c r="D146" s="750">
        <v>0.9</v>
      </c>
      <c r="E146" s="751" t="s">
        <v>2276</v>
      </c>
      <c r="F146" s="1003"/>
      <c r="G146" s="615">
        <f t="shared" si="102"/>
        <v>0</v>
      </c>
      <c r="H146" s="616">
        <f t="shared" ref="H146:I146" si="106">IF(H90="積上げ",0,+H121)</f>
        <v>0</v>
      </c>
      <c r="I146" s="616">
        <f t="shared" si="106"/>
        <v>0</v>
      </c>
      <c r="J146" s="915"/>
    </row>
    <row r="147" spans="1:10" s="607" customFormat="1" ht="15" hidden="1" customHeight="1">
      <c r="A147" s="973"/>
      <c r="B147" s="1159"/>
      <c r="C147" s="749" t="s">
        <v>2278</v>
      </c>
      <c r="D147" s="750">
        <v>0.9</v>
      </c>
      <c r="E147" s="751" t="s">
        <v>2276</v>
      </c>
      <c r="F147" s="1003"/>
      <c r="G147" s="615">
        <f t="shared" si="102"/>
        <v>0</v>
      </c>
      <c r="H147" s="616">
        <f t="shared" ref="H147:I147" si="107">IF(H90="積上げ",0,+H122)</f>
        <v>0</v>
      </c>
      <c r="I147" s="616">
        <f t="shared" si="107"/>
        <v>0</v>
      </c>
      <c r="J147" s="915"/>
    </row>
    <row r="148" spans="1:10" s="607" customFormat="1" ht="15" hidden="1" customHeight="1">
      <c r="A148" s="973"/>
      <c r="B148" s="1157"/>
      <c r="C148" s="749" t="s">
        <v>2279</v>
      </c>
      <c r="D148" s="750">
        <v>1</v>
      </c>
      <c r="E148" s="752">
        <v>0.01</v>
      </c>
      <c r="F148" s="1003"/>
      <c r="G148" s="615">
        <f t="shared" si="102"/>
        <v>0</v>
      </c>
      <c r="H148" s="616">
        <f t="shared" ref="H148:I148" si="108">IF(H90="積上げ",0,+H123)</f>
        <v>0</v>
      </c>
      <c r="I148" s="616">
        <f t="shared" si="108"/>
        <v>0</v>
      </c>
      <c r="J148" s="915"/>
    </row>
    <row r="149" spans="1:10" s="607" customFormat="1" ht="15" hidden="1" customHeight="1">
      <c r="A149" s="973"/>
      <c r="B149" s="1158" t="s">
        <v>3107</v>
      </c>
      <c r="C149" s="749" t="s">
        <v>2280</v>
      </c>
      <c r="D149" s="750">
        <v>1</v>
      </c>
      <c r="E149" s="752">
        <v>0.01</v>
      </c>
      <c r="F149" s="1003"/>
      <c r="G149" s="615">
        <f t="shared" si="102"/>
        <v>0</v>
      </c>
      <c r="H149" s="616">
        <f t="shared" ref="H149:I149" si="109">IF(H90="積上げ",0,H124)</f>
        <v>0</v>
      </c>
      <c r="I149" s="616">
        <f t="shared" si="109"/>
        <v>0</v>
      </c>
      <c r="J149" s="915"/>
    </row>
    <row r="150" spans="1:10" s="607" customFormat="1" ht="15" hidden="1" customHeight="1">
      <c r="A150" s="973"/>
      <c r="B150" s="1158" t="s">
        <v>3108</v>
      </c>
      <c r="C150" s="749" t="s">
        <v>2194</v>
      </c>
      <c r="D150" s="750">
        <v>1</v>
      </c>
      <c r="E150" s="752">
        <v>0.01</v>
      </c>
      <c r="F150" s="1003"/>
      <c r="G150" s="615">
        <f t="shared" si="102"/>
        <v>0</v>
      </c>
      <c r="H150" s="616">
        <f t="shared" ref="H150:I150" si="110">IF(H90="積上げ",0,H125)</f>
        <v>0</v>
      </c>
      <c r="I150" s="616">
        <f t="shared" si="110"/>
        <v>0</v>
      </c>
      <c r="J150" s="915"/>
    </row>
    <row r="151" spans="1:10" s="607" customFormat="1" ht="14.25" hidden="1" customHeight="1">
      <c r="A151" s="973"/>
      <c r="B151" s="1158" t="s">
        <v>3109</v>
      </c>
      <c r="C151" s="749" t="s">
        <v>2195</v>
      </c>
      <c r="D151" s="750"/>
      <c r="E151" s="752"/>
      <c r="F151" s="1003"/>
      <c r="G151" s="615">
        <f t="shared" si="102"/>
        <v>0</v>
      </c>
      <c r="H151" s="616"/>
      <c r="I151" s="616"/>
      <c r="J151" s="915"/>
    </row>
    <row r="152" spans="1:10" s="607" customFormat="1" ht="14.25" hidden="1" customHeight="1">
      <c r="A152" s="973"/>
      <c r="B152" s="1158" t="s">
        <v>3110</v>
      </c>
      <c r="C152" s="749" t="s">
        <v>2196</v>
      </c>
      <c r="D152" s="750"/>
      <c r="E152" s="752"/>
      <c r="F152" s="1003"/>
      <c r="G152" s="615">
        <f t="shared" si="102"/>
        <v>0</v>
      </c>
      <c r="H152" s="616"/>
      <c r="I152" s="616"/>
      <c r="J152" s="915"/>
    </row>
    <row r="153" spans="1:10" s="607" customFormat="1" ht="15" hidden="1" customHeight="1">
      <c r="A153" s="973"/>
      <c r="B153" s="1158" t="s">
        <v>3111</v>
      </c>
      <c r="C153" s="749" t="s">
        <v>2197</v>
      </c>
      <c r="D153" s="750">
        <v>1</v>
      </c>
      <c r="E153" s="752">
        <v>0.01</v>
      </c>
      <c r="F153" s="1003"/>
      <c r="G153" s="615">
        <f t="shared" si="102"/>
        <v>0</v>
      </c>
      <c r="H153" s="616">
        <f t="shared" ref="H153:I153" si="111">IF(H90="積上げ",0,+H128)</f>
        <v>0</v>
      </c>
      <c r="I153" s="616">
        <f t="shared" si="111"/>
        <v>0</v>
      </c>
      <c r="J153" s="915"/>
    </row>
    <row r="154" spans="1:10" s="607" customFormat="1" ht="15" hidden="1" customHeight="1">
      <c r="A154" s="973"/>
      <c r="B154" s="1158"/>
      <c r="C154" s="753" t="s">
        <v>2198</v>
      </c>
      <c r="D154" s="750">
        <v>1</v>
      </c>
      <c r="E154" s="752">
        <v>0.01</v>
      </c>
      <c r="F154" s="1003"/>
      <c r="G154" s="615">
        <f t="shared" si="102"/>
        <v>0</v>
      </c>
      <c r="H154" s="616">
        <f t="shared" ref="H154:I154" si="112">IF(H90="積上げ",0,+H129)</f>
        <v>0</v>
      </c>
      <c r="I154" s="616">
        <f t="shared" si="112"/>
        <v>0</v>
      </c>
      <c r="J154" s="915"/>
    </row>
    <row r="155" spans="1:10" s="607" customFormat="1" ht="15" hidden="1" customHeight="1">
      <c r="A155" s="973"/>
      <c r="B155" s="1158"/>
      <c r="C155" s="753" t="s">
        <v>2199</v>
      </c>
      <c r="D155" s="750">
        <v>1</v>
      </c>
      <c r="E155" s="752">
        <v>0.01</v>
      </c>
      <c r="F155" s="1003"/>
      <c r="G155" s="615">
        <f t="shared" si="102"/>
        <v>0</v>
      </c>
      <c r="H155" s="616">
        <f t="shared" ref="H155:I155" si="113">IF(H90="積上げ",0,+H130)</f>
        <v>0</v>
      </c>
      <c r="I155" s="616">
        <f t="shared" si="113"/>
        <v>0</v>
      </c>
      <c r="J155" s="915"/>
    </row>
    <row r="156" spans="1:10" s="607" customFormat="1" ht="15" hidden="1" customHeight="1">
      <c r="A156" s="973"/>
      <c r="B156" s="1159"/>
      <c r="C156" s="749" t="s">
        <v>2200</v>
      </c>
      <c r="D156" s="750">
        <v>1</v>
      </c>
      <c r="E156" s="752">
        <v>0.01</v>
      </c>
      <c r="F156" s="1003"/>
      <c r="G156" s="615">
        <f t="shared" si="102"/>
        <v>0</v>
      </c>
      <c r="H156" s="616">
        <f t="shared" ref="H156:I156" si="114">IF(H90="積上げ",0,+H131)</f>
        <v>0</v>
      </c>
      <c r="I156" s="616">
        <f t="shared" si="114"/>
        <v>0</v>
      </c>
      <c r="J156" s="915"/>
    </row>
    <row r="157" spans="1:10" s="607" customFormat="1" ht="15" hidden="1" customHeight="1">
      <c r="A157" s="974"/>
      <c r="B157" s="754" t="s">
        <v>2281</v>
      </c>
      <c r="C157" s="775" t="s">
        <v>2282</v>
      </c>
      <c r="D157" s="755">
        <v>1</v>
      </c>
      <c r="E157" s="756">
        <v>0</v>
      </c>
      <c r="F157" s="1013"/>
      <c r="G157" s="638">
        <f t="shared" si="102"/>
        <v>0</v>
      </c>
      <c r="H157" s="723">
        <f t="shared" ref="H157:I157" si="115">IF(H90="積上げ",0,SUM(H135:H138)+H132)</f>
        <v>0</v>
      </c>
      <c r="I157" s="723">
        <f t="shared" si="115"/>
        <v>0</v>
      </c>
      <c r="J157" s="915"/>
    </row>
    <row r="158" spans="1:10" s="607" customFormat="1" ht="15" hidden="1" customHeight="1">
      <c r="A158" s="757"/>
      <c r="B158" s="758"/>
      <c r="C158" s="759"/>
      <c r="D158" s="975"/>
      <c r="E158" s="975"/>
      <c r="F158" s="1011"/>
      <c r="G158" s="747"/>
      <c r="H158" s="748"/>
      <c r="I158" s="748"/>
      <c r="J158" s="915"/>
    </row>
    <row r="159" spans="1:10" s="607" customFormat="1" ht="15" hidden="1" customHeight="1">
      <c r="A159" s="2170" t="s">
        <v>2283</v>
      </c>
      <c r="B159" s="2171"/>
      <c r="C159" s="2172"/>
      <c r="D159" s="976"/>
      <c r="E159" s="976"/>
      <c r="F159" s="1010"/>
      <c r="G159" s="741"/>
      <c r="H159" s="742"/>
      <c r="I159" s="742"/>
      <c r="J159" s="915"/>
    </row>
    <row r="160" spans="1:10" s="607" customFormat="1" ht="15" hidden="1" customHeight="1">
      <c r="A160" s="972"/>
      <c r="B160" s="2158" t="s">
        <v>2186</v>
      </c>
      <c r="C160" s="760" t="s">
        <v>2187</v>
      </c>
      <c r="D160" s="761"/>
      <c r="E160" s="762" t="s">
        <v>2276</v>
      </c>
      <c r="F160" s="1019"/>
      <c r="G160" s="763" t="s">
        <v>2284</v>
      </c>
      <c r="H160" s="764">
        <f t="shared" ref="H160:I160" si="116">IF(H144=0,0,IF(H92="有り",+H266/100,H267/100))</f>
        <v>0</v>
      </c>
      <c r="I160" s="764">
        <f t="shared" si="116"/>
        <v>0</v>
      </c>
      <c r="J160" s="915"/>
    </row>
    <row r="161" spans="1:10" s="607" customFormat="1" ht="15" hidden="1" customHeight="1">
      <c r="A161" s="973"/>
      <c r="B161" s="2173"/>
      <c r="C161" s="765"/>
      <c r="D161" s="766">
        <f>+D144</f>
        <v>1</v>
      </c>
      <c r="E161" s="767" t="s">
        <v>2276</v>
      </c>
      <c r="F161" s="1020"/>
      <c r="G161" s="718">
        <f>SUM(H161:J161)</f>
        <v>0</v>
      </c>
      <c r="H161" s="726">
        <f>ROUNDDOWN(H144*H160*$D161,0)</f>
        <v>0</v>
      </c>
      <c r="I161" s="726">
        <f t="shared" ref="I161" si="117">ROUNDDOWN(I144*I160*$D161,0)</f>
        <v>0</v>
      </c>
      <c r="J161" s="915"/>
    </row>
    <row r="162" spans="1:10" s="607" customFormat="1" ht="15" hidden="1" customHeight="1">
      <c r="A162" s="973"/>
      <c r="B162" s="2173"/>
      <c r="C162" s="768" t="s">
        <v>2188</v>
      </c>
      <c r="D162" s="1180"/>
      <c r="E162" s="767" t="s">
        <v>2276</v>
      </c>
      <c r="F162" s="1021"/>
      <c r="G162" s="769" t="s">
        <v>2284</v>
      </c>
      <c r="H162" s="770">
        <f t="shared" ref="H162:I162" si="118">IF(H145=0,0,IF(H92="有り",H275/100,+H276/100))</f>
        <v>0</v>
      </c>
      <c r="I162" s="770">
        <f t="shared" si="118"/>
        <v>0</v>
      </c>
      <c r="J162" s="915"/>
    </row>
    <row r="163" spans="1:10" s="607" customFormat="1" ht="15" hidden="1" customHeight="1">
      <c r="A163" s="973"/>
      <c r="B163" s="2173"/>
      <c r="C163" s="765"/>
      <c r="D163" s="771">
        <f t="shared" ref="D163:D168" si="119">+D145</f>
        <v>1</v>
      </c>
      <c r="E163" s="767" t="s">
        <v>2276</v>
      </c>
      <c r="F163" s="1020"/>
      <c r="G163" s="718">
        <f t="shared" ref="G163:G176" si="120">SUM(H163:J163)</f>
        <v>0</v>
      </c>
      <c r="H163" s="726">
        <f>ROUNDDOWN(H145*H162*$D163,0)</f>
        <v>0</v>
      </c>
      <c r="I163" s="726">
        <f t="shared" ref="I163" si="121">ROUNDDOWN(I145*I162*$D163,0)</f>
        <v>0</v>
      </c>
      <c r="J163" s="915"/>
    </row>
    <row r="164" spans="1:10" s="607" customFormat="1" ht="15" hidden="1" customHeight="1">
      <c r="A164" s="973"/>
      <c r="B164" s="2173"/>
      <c r="C164" s="749" t="s">
        <v>2210</v>
      </c>
      <c r="D164" s="772">
        <v>0.9</v>
      </c>
      <c r="E164" s="767" t="s">
        <v>2276</v>
      </c>
      <c r="F164" s="1020"/>
      <c r="G164" s="718">
        <f t="shared" si="120"/>
        <v>0</v>
      </c>
      <c r="H164" s="726">
        <f>ROUNDDOWN(H146*H160*$D164,0)</f>
        <v>0</v>
      </c>
      <c r="I164" s="726">
        <f t="shared" ref="I164" si="122">ROUNDDOWN(I146*I160*$D164,0)</f>
        <v>0</v>
      </c>
      <c r="J164" s="915"/>
    </row>
    <row r="165" spans="1:10" s="607" customFormat="1" ht="15" hidden="1" customHeight="1">
      <c r="A165" s="973"/>
      <c r="B165" s="2174"/>
      <c r="C165" s="749" t="s">
        <v>2211</v>
      </c>
      <c r="D165" s="772">
        <v>0.9</v>
      </c>
      <c r="E165" s="767" t="s">
        <v>2276</v>
      </c>
      <c r="F165" s="1020"/>
      <c r="G165" s="718">
        <f t="shared" si="120"/>
        <v>0</v>
      </c>
      <c r="H165" s="726">
        <f>ROUNDDOWN(H147*H162*$D165,0)</f>
        <v>0</v>
      </c>
      <c r="I165" s="726">
        <f t="shared" ref="I165" si="123">ROUNDDOWN(I147*I162*$D165,0)</f>
        <v>0</v>
      </c>
      <c r="J165" s="915"/>
    </row>
    <row r="166" spans="1:10" s="607" customFormat="1" ht="15" hidden="1" customHeight="1">
      <c r="A166" s="973"/>
      <c r="B166" s="2137" t="s">
        <v>2191</v>
      </c>
      <c r="C166" s="749" t="s">
        <v>2279</v>
      </c>
      <c r="D166" s="772">
        <f>+D148</f>
        <v>1</v>
      </c>
      <c r="E166" s="752">
        <f>+E148</f>
        <v>0.01</v>
      </c>
      <c r="F166" s="1020"/>
      <c r="G166" s="615">
        <f t="shared" si="120"/>
        <v>0</v>
      </c>
      <c r="H166" s="726">
        <f t="shared" ref="H166:I175" si="124">ROUNDDOWN(H148*$E166*$D166,0)</f>
        <v>0</v>
      </c>
      <c r="I166" s="726">
        <f t="shared" si="124"/>
        <v>0</v>
      </c>
      <c r="J166" s="915"/>
    </row>
    <row r="167" spans="1:10" s="607" customFormat="1" ht="15" hidden="1" customHeight="1">
      <c r="A167" s="973"/>
      <c r="B167" s="2173"/>
      <c r="C167" s="749" t="s">
        <v>2285</v>
      </c>
      <c r="D167" s="772">
        <f t="shared" si="119"/>
        <v>1</v>
      </c>
      <c r="E167" s="752">
        <f>+E149</f>
        <v>0.01</v>
      </c>
      <c r="F167" s="1020"/>
      <c r="G167" s="615">
        <f t="shared" si="120"/>
        <v>0</v>
      </c>
      <c r="H167" s="726">
        <f t="shared" si="124"/>
        <v>0</v>
      </c>
      <c r="I167" s="726">
        <f t="shared" si="124"/>
        <v>0</v>
      </c>
      <c r="J167" s="915"/>
    </row>
    <row r="168" spans="1:10" s="607" customFormat="1" ht="15" hidden="1" customHeight="1">
      <c r="A168" s="973"/>
      <c r="B168" s="2173"/>
      <c r="C168" s="749" t="s">
        <v>2194</v>
      </c>
      <c r="D168" s="772">
        <f t="shared" si="119"/>
        <v>1</v>
      </c>
      <c r="E168" s="752">
        <f>+E150</f>
        <v>0.01</v>
      </c>
      <c r="F168" s="1020"/>
      <c r="G168" s="615">
        <f t="shared" si="120"/>
        <v>0</v>
      </c>
      <c r="H168" s="726">
        <f t="shared" si="124"/>
        <v>0</v>
      </c>
      <c r="I168" s="726">
        <f t="shared" si="124"/>
        <v>0</v>
      </c>
      <c r="J168" s="915"/>
    </row>
    <row r="169" spans="1:10" s="607" customFormat="1" ht="15" hidden="1" customHeight="1">
      <c r="A169" s="973"/>
      <c r="B169" s="2173"/>
      <c r="C169" s="749" t="s">
        <v>2286</v>
      </c>
      <c r="D169" s="772"/>
      <c r="E169" s="752"/>
      <c r="F169" s="1020"/>
      <c r="G169" s="615">
        <f t="shared" si="120"/>
        <v>0</v>
      </c>
      <c r="H169" s="726"/>
      <c r="I169" s="726"/>
      <c r="J169" s="915"/>
    </row>
    <row r="170" spans="1:10" s="607" customFormat="1" ht="15" hidden="1" customHeight="1">
      <c r="A170" s="973"/>
      <c r="B170" s="2173"/>
      <c r="C170" s="773" t="s">
        <v>2196</v>
      </c>
      <c r="D170" s="772"/>
      <c r="E170" s="752"/>
      <c r="F170" s="1020"/>
      <c r="G170" s="615">
        <f t="shared" si="120"/>
        <v>0</v>
      </c>
      <c r="H170" s="726"/>
      <c r="I170" s="726"/>
      <c r="J170" s="915"/>
    </row>
    <row r="171" spans="1:10" s="607" customFormat="1" ht="15" hidden="1" customHeight="1">
      <c r="A171" s="973"/>
      <c r="B171" s="2173"/>
      <c r="C171" s="749" t="s">
        <v>2197</v>
      </c>
      <c r="D171" s="772">
        <f t="shared" ref="D171:E175" si="125">+D153</f>
        <v>1</v>
      </c>
      <c r="E171" s="752">
        <f t="shared" si="125"/>
        <v>0.01</v>
      </c>
      <c r="F171" s="1020"/>
      <c r="G171" s="615">
        <f t="shared" si="120"/>
        <v>0</v>
      </c>
      <c r="H171" s="726">
        <f t="shared" si="124"/>
        <v>0</v>
      </c>
      <c r="I171" s="726">
        <f t="shared" si="124"/>
        <v>0</v>
      </c>
      <c r="J171" s="915"/>
    </row>
    <row r="172" spans="1:10" s="607" customFormat="1" ht="15" hidden="1" customHeight="1">
      <c r="A172" s="973"/>
      <c r="B172" s="2173"/>
      <c r="C172" s="753" t="s">
        <v>2287</v>
      </c>
      <c r="D172" s="772">
        <f t="shared" si="125"/>
        <v>1</v>
      </c>
      <c r="E172" s="752">
        <f t="shared" si="125"/>
        <v>0.01</v>
      </c>
      <c r="F172" s="1020"/>
      <c r="G172" s="615">
        <f t="shared" si="120"/>
        <v>0</v>
      </c>
      <c r="H172" s="726">
        <f t="shared" si="124"/>
        <v>0</v>
      </c>
      <c r="I172" s="726">
        <f t="shared" si="124"/>
        <v>0</v>
      </c>
      <c r="J172" s="915"/>
    </row>
    <row r="173" spans="1:10" s="607" customFormat="1" ht="15" hidden="1" customHeight="1">
      <c r="A173" s="973"/>
      <c r="B173" s="2173"/>
      <c r="C173" s="753" t="s">
        <v>2288</v>
      </c>
      <c r="D173" s="772">
        <f t="shared" si="125"/>
        <v>1</v>
      </c>
      <c r="E173" s="752">
        <f t="shared" si="125"/>
        <v>0.01</v>
      </c>
      <c r="F173" s="1020"/>
      <c r="G173" s="615">
        <f t="shared" si="120"/>
        <v>0</v>
      </c>
      <c r="H173" s="726">
        <f t="shared" si="124"/>
        <v>0</v>
      </c>
      <c r="I173" s="726">
        <f t="shared" si="124"/>
        <v>0</v>
      </c>
      <c r="J173" s="915"/>
    </row>
    <row r="174" spans="1:10" s="607" customFormat="1" ht="15" hidden="1" customHeight="1">
      <c r="A174" s="973"/>
      <c r="B174" s="2174"/>
      <c r="C174" s="749" t="s">
        <v>2200</v>
      </c>
      <c r="D174" s="772">
        <f t="shared" si="125"/>
        <v>1</v>
      </c>
      <c r="E174" s="752">
        <f t="shared" si="125"/>
        <v>0.01</v>
      </c>
      <c r="F174" s="1020"/>
      <c r="G174" s="615">
        <f t="shared" si="120"/>
        <v>0</v>
      </c>
      <c r="H174" s="726">
        <f t="shared" si="124"/>
        <v>0</v>
      </c>
      <c r="I174" s="726">
        <f t="shared" si="124"/>
        <v>0</v>
      </c>
      <c r="J174" s="915"/>
    </row>
    <row r="175" spans="1:10" s="607" customFormat="1" ht="15" hidden="1" customHeight="1" thickBot="1">
      <c r="A175" s="977"/>
      <c r="B175" s="774" t="s">
        <v>2281</v>
      </c>
      <c r="C175" s="775" t="s">
        <v>2289</v>
      </c>
      <c r="D175" s="776">
        <f t="shared" si="125"/>
        <v>1</v>
      </c>
      <c r="E175" s="777">
        <f t="shared" si="125"/>
        <v>0</v>
      </c>
      <c r="F175" s="1020"/>
      <c r="G175" s="778">
        <f t="shared" si="120"/>
        <v>0</v>
      </c>
      <c r="H175" s="726">
        <f>ROUNDDOWN(H157*$E175*$D175,0)</f>
        <v>0</v>
      </c>
      <c r="I175" s="726">
        <f t="shared" si="124"/>
        <v>0</v>
      </c>
      <c r="J175" s="915"/>
    </row>
    <row r="176" spans="1:10" s="607" customFormat="1" ht="15" hidden="1" customHeight="1" thickTop="1">
      <c r="A176" s="779"/>
      <c r="B176" s="780"/>
      <c r="C176" s="781" t="s">
        <v>2290</v>
      </c>
      <c r="D176" s="782"/>
      <c r="E176" s="783"/>
      <c r="F176" s="1067"/>
      <c r="G176" s="784">
        <f t="shared" si="120"/>
        <v>0</v>
      </c>
      <c r="H176" s="785">
        <f>SUM(H163:H175)+H161</f>
        <v>0</v>
      </c>
      <c r="I176" s="785">
        <f t="shared" ref="I176" si="126">SUM(I163:I175)+I161</f>
        <v>0</v>
      </c>
      <c r="J176" s="915"/>
    </row>
    <row r="177" spans="1:10" s="607" customFormat="1" ht="15" hidden="1" customHeight="1">
      <c r="A177" s="995"/>
      <c r="B177" s="995"/>
      <c r="C177" s="623"/>
      <c r="D177" s="623"/>
      <c r="E177" s="995"/>
      <c r="F177" s="618"/>
      <c r="G177" s="786"/>
      <c r="H177" s="618"/>
      <c r="I177" s="618"/>
    </row>
    <row r="178" spans="1:10" s="607" customFormat="1" ht="15" customHeight="1">
      <c r="A178" s="995"/>
      <c r="B178" s="995"/>
      <c r="C178" s="739" t="s">
        <v>2291</v>
      </c>
      <c r="D178" s="739"/>
      <c r="E178" s="622"/>
      <c r="F178" s="713"/>
      <c r="G178" s="711"/>
      <c r="H178" s="713"/>
      <c r="I178" s="713"/>
      <c r="J178" s="740" t="s">
        <v>2292</v>
      </c>
    </row>
    <row r="179" spans="1:10" s="607" customFormat="1" ht="15" customHeight="1">
      <c r="A179" s="995"/>
      <c r="B179" s="995"/>
      <c r="C179" s="627" t="s">
        <v>2293</v>
      </c>
      <c r="D179" s="627"/>
      <c r="E179" s="622"/>
      <c r="F179" s="713"/>
      <c r="G179" s="711"/>
      <c r="H179" s="713"/>
      <c r="I179" s="713"/>
    </row>
    <row r="180" spans="1:10" s="607" customFormat="1" ht="15" customHeight="1">
      <c r="A180" s="595"/>
      <c r="B180" s="596"/>
      <c r="C180" s="596"/>
      <c r="D180" s="2168" t="s">
        <v>2272</v>
      </c>
      <c r="E180" s="2168" t="s">
        <v>2273</v>
      </c>
      <c r="F180" s="745" t="s">
        <v>2898</v>
      </c>
      <c r="G180" s="737" t="s">
        <v>2165</v>
      </c>
      <c r="H180" s="738" t="str">
        <f t="shared" ref="H180:I180" si="127">+H88</f>
        <v>工事1</v>
      </c>
      <c r="I180" s="738" t="str">
        <f t="shared" si="127"/>
        <v>工事2</v>
      </c>
      <c r="J180" s="915"/>
    </row>
    <row r="181" spans="1:10" s="607" customFormat="1" ht="15" customHeight="1">
      <c r="A181" s="2170" t="s">
        <v>2294</v>
      </c>
      <c r="B181" s="2171"/>
      <c r="C181" s="2172"/>
      <c r="D181" s="2169"/>
      <c r="E181" s="2169"/>
      <c r="F181" s="1010"/>
      <c r="G181" s="741"/>
      <c r="H181" s="742"/>
      <c r="I181" s="742"/>
      <c r="J181" s="915"/>
    </row>
    <row r="182" spans="1:10" s="607" customFormat="1" ht="15" customHeight="1">
      <c r="A182" s="972"/>
      <c r="B182" s="743" t="s">
        <v>2295</v>
      </c>
      <c r="C182" s="744"/>
      <c r="D182" s="745"/>
      <c r="E182" s="746"/>
      <c r="F182" s="1011"/>
      <c r="G182" s="747">
        <f t="shared" ref="G182:G196" si="128">SUM(H182:J182)</f>
        <v>0</v>
      </c>
      <c r="H182" s="748">
        <f t="shared" ref="H182:I182" si="129">+H93-H137-H136-H132-H133</f>
        <v>0</v>
      </c>
      <c r="I182" s="748">
        <f t="shared" si="129"/>
        <v>0</v>
      </c>
      <c r="J182" s="915"/>
    </row>
    <row r="183" spans="1:10" s="607" customFormat="1" ht="15" customHeight="1">
      <c r="A183" s="973"/>
      <c r="B183" s="2137" t="s">
        <v>2186</v>
      </c>
      <c r="C183" s="749" t="s">
        <v>2187</v>
      </c>
      <c r="D183" s="750">
        <v>1</v>
      </c>
      <c r="E183" s="751" t="s">
        <v>2276</v>
      </c>
      <c r="F183" s="1003"/>
      <c r="G183" s="615">
        <f t="shared" si="128"/>
        <v>0</v>
      </c>
      <c r="H183" s="616">
        <f t="shared" ref="H183:I183" si="130">IF(H119&gt;=H120,+H119+H161+H100-H101-H102-H137,H119+H161)</f>
        <v>0</v>
      </c>
      <c r="I183" s="616">
        <f t="shared" si="130"/>
        <v>0</v>
      </c>
      <c r="J183" s="915"/>
    </row>
    <row r="184" spans="1:10" s="607" customFormat="1" ht="15" customHeight="1">
      <c r="A184" s="973"/>
      <c r="B184" s="2139"/>
      <c r="C184" s="749" t="s">
        <v>2188</v>
      </c>
      <c r="D184" s="750">
        <v>1</v>
      </c>
      <c r="E184" s="751" t="s">
        <v>2276</v>
      </c>
      <c r="F184" s="1003"/>
      <c r="G184" s="615">
        <f t="shared" si="128"/>
        <v>0</v>
      </c>
      <c r="H184" s="616">
        <f t="shared" ref="H184:I184" si="131">IF(H119&gt;=H120,+H120+H163,H120+H163+H100-H101-H102-H137)</f>
        <v>0</v>
      </c>
      <c r="I184" s="616">
        <f t="shared" si="131"/>
        <v>0</v>
      </c>
      <c r="J184" s="915"/>
    </row>
    <row r="185" spans="1:10" s="607" customFormat="1" ht="15" customHeight="1">
      <c r="A185" s="973"/>
      <c r="B185" s="2139"/>
      <c r="C185" s="749" t="s">
        <v>2277</v>
      </c>
      <c r="D185" s="750">
        <v>1</v>
      </c>
      <c r="E185" s="751" t="s">
        <v>2276</v>
      </c>
      <c r="F185" s="1003"/>
      <c r="G185" s="615">
        <f t="shared" si="128"/>
        <v>0</v>
      </c>
      <c r="H185" s="616">
        <f t="shared" ref="H185:I189" si="132">+H121+H164</f>
        <v>0</v>
      </c>
      <c r="I185" s="616">
        <f t="shared" si="132"/>
        <v>0</v>
      </c>
      <c r="J185" s="915"/>
    </row>
    <row r="186" spans="1:10" s="607" customFormat="1" ht="15" customHeight="1">
      <c r="A186" s="973"/>
      <c r="B186" s="2138"/>
      <c r="C186" s="749" t="s">
        <v>2278</v>
      </c>
      <c r="D186" s="750">
        <v>1</v>
      </c>
      <c r="E186" s="751" t="s">
        <v>2276</v>
      </c>
      <c r="F186" s="1003"/>
      <c r="G186" s="615">
        <f t="shared" si="128"/>
        <v>0</v>
      </c>
      <c r="H186" s="616">
        <f t="shared" si="132"/>
        <v>0</v>
      </c>
      <c r="I186" s="616">
        <f t="shared" si="132"/>
        <v>0</v>
      </c>
      <c r="J186" s="915"/>
    </row>
    <row r="187" spans="1:10" s="607" customFormat="1" ht="15" customHeight="1">
      <c r="A187" s="973"/>
      <c r="B187" s="2137" t="s">
        <v>2191</v>
      </c>
      <c r="C187" s="749" t="s">
        <v>2279</v>
      </c>
      <c r="D187" s="750">
        <v>1</v>
      </c>
      <c r="E187" s="752">
        <v>0.02</v>
      </c>
      <c r="F187" s="1003"/>
      <c r="G187" s="615">
        <f t="shared" si="128"/>
        <v>0</v>
      </c>
      <c r="H187" s="616">
        <f t="shared" si="132"/>
        <v>0</v>
      </c>
      <c r="I187" s="616">
        <f t="shared" si="132"/>
        <v>0</v>
      </c>
      <c r="J187" s="915"/>
    </row>
    <row r="188" spans="1:10" s="607" customFormat="1" ht="15" customHeight="1">
      <c r="A188" s="973"/>
      <c r="B188" s="2139"/>
      <c r="C188" s="749" t="s">
        <v>2280</v>
      </c>
      <c r="D188" s="750">
        <v>1</v>
      </c>
      <c r="E188" s="752">
        <v>0.02</v>
      </c>
      <c r="F188" s="1003"/>
      <c r="G188" s="615">
        <f t="shared" si="128"/>
        <v>0</v>
      </c>
      <c r="H188" s="616">
        <f t="shared" si="132"/>
        <v>0</v>
      </c>
      <c r="I188" s="616">
        <f t="shared" si="132"/>
        <v>0</v>
      </c>
      <c r="J188" s="915"/>
    </row>
    <row r="189" spans="1:10" s="607" customFormat="1" ht="15" customHeight="1">
      <c r="A189" s="973"/>
      <c r="B189" s="2139"/>
      <c r="C189" s="749" t="s">
        <v>2194</v>
      </c>
      <c r="D189" s="750">
        <v>1</v>
      </c>
      <c r="E189" s="752">
        <v>0.02</v>
      </c>
      <c r="F189" s="1003"/>
      <c r="G189" s="615">
        <f t="shared" si="128"/>
        <v>0</v>
      </c>
      <c r="H189" s="616">
        <f t="shared" si="132"/>
        <v>0</v>
      </c>
      <c r="I189" s="616">
        <f t="shared" si="132"/>
        <v>0</v>
      </c>
      <c r="J189" s="915"/>
    </row>
    <row r="190" spans="1:10" s="607" customFormat="1" ht="15" customHeight="1">
      <c r="A190" s="973"/>
      <c r="B190" s="2139"/>
      <c r="C190" s="749" t="s">
        <v>2195</v>
      </c>
      <c r="D190" s="750"/>
      <c r="E190" s="752"/>
      <c r="F190" s="1003"/>
      <c r="G190" s="615">
        <f t="shared" si="128"/>
        <v>0</v>
      </c>
      <c r="H190" s="616"/>
      <c r="I190" s="616"/>
      <c r="J190" s="915"/>
    </row>
    <row r="191" spans="1:10" s="607" customFormat="1" ht="15" customHeight="1">
      <c r="A191" s="973"/>
      <c r="B191" s="2139"/>
      <c r="C191" s="749" t="s">
        <v>2196</v>
      </c>
      <c r="D191" s="750"/>
      <c r="E191" s="752"/>
      <c r="F191" s="1003"/>
      <c r="G191" s="615">
        <f t="shared" si="128"/>
        <v>0</v>
      </c>
      <c r="H191" s="616"/>
      <c r="I191" s="616"/>
      <c r="J191" s="915"/>
    </row>
    <row r="192" spans="1:10" s="607" customFormat="1" ht="15" customHeight="1">
      <c r="A192" s="973"/>
      <c r="B192" s="2139"/>
      <c r="C192" s="749" t="s">
        <v>2197</v>
      </c>
      <c r="D192" s="750">
        <v>1</v>
      </c>
      <c r="E192" s="752">
        <v>0.02</v>
      </c>
      <c r="F192" s="1003"/>
      <c r="G192" s="615">
        <f t="shared" si="128"/>
        <v>0</v>
      </c>
      <c r="H192" s="616">
        <f t="shared" ref="H192:I195" si="133">+H128+H171</f>
        <v>0</v>
      </c>
      <c r="I192" s="616">
        <f t="shared" si="133"/>
        <v>0</v>
      </c>
      <c r="J192" s="915"/>
    </row>
    <row r="193" spans="1:10" s="607" customFormat="1" ht="15" customHeight="1">
      <c r="A193" s="973"/>
      <c r="B193" s="2139"/>
      <c r="C193" s="753" t="s">
        <v>2198</v>
      </c>
      <c r="D193" s="750">
        <v>1</v>
      </c>
      <c r="E193" s="752">
        <v>0.02</v>
      </c>
      <c r="F193" s="1003"/>
      <c r="G193" s="615">
        <f t="shared" si="128"/>
        <v>0</v>
      </c>
      <c r="H193" s="616">
        <f t="shared" si="133"/>
        <v>0</v>
      </c>
      <c r="I193" s="616">
        <f t="shared" si="133"/>
        <v>0</v>
      </c>
      <c r="J193" s="915"/>
    </row>
    <row r="194" spans="1:10" s="607" customFormat="1" ht="14.25" customHeight="1">
      <c r="A194" s="973"/>
      <c r="B194" s="2139"/>
      <c r="C194" s="753" t="s">
        <v>2199</v>
      </c>
      <c r="D194" s="750">
        <v>1</v>
      </c>
      <c r="E194" s="752">
        <v>0.02</v>
      </c>
      <c r="F194" s="1003"/>
      <c r="G194" s="615">
        <f t="shared" si="128"/>
        <v>0</v>
      </c>
      <c r="H194" s="616">
        <f t="shared" si="133"/>
        <v>0</v>
      </c>
      <c r="I194" s="616">
        <f t="shared" si="133"/>
        <v>0</v>
      </c>
      <c r="J194" s="915"/>
    </row>
    <row r="195" spans="1:10" s="607" customFormat="1" ht="14.25" customHeight="1">
      <c r="A195" s="973"/>
      <c r="B195" s="2138"/>
      <c r="C195" s="749" t="s">
        <v>2200</v>
      </c>
      <c r="D195" s="750">
        <v>1</v>
      </c>
      <c r="E195" s="752">
        <v>0.02</v>
      </c>
      <c r="F195" s="1003"/>
      <c r="G195" s="615">
        <f t="shared" si="128"/>
        <v>0</v>
      </c>
      <c r="H195" s="616">
        <f t="shared" si="133"/>
        <v>0</v>
      </c>
      <c r="I195" s="616">
        <f t="shared" si="133"/>
        <v>0</v>
      </c>
      <c r="J195" s="915"/>
    </row>
    <row r="196" spans="1:10" s="607" customFormat="1" ht="14.25" customHeight="1">
      <c r="A196" s="974"/>
      <c r="B196" s="754" t="s">
        <v>2281</v>
      </c>
      <c r="C196" s="787" t="s">
        <v>2296</v>
      </c>
      <c r="D196" s="755">
        <v>1</v>
      </c>
      <c r="E196" s="756">
        <v>0</v>
      </c>
      <c r="F196" s="1013"/>
      <c r="G196" s="638">
        <f t="shared" si="128"/>
        <v>0</v>
      </c>
      <c r="H196" s="723">
        <f t="shared" ref="H196:I196" si="134">SUM(H132:H138)</f>
        <v>0</v>
      </c>
      <c r="I196" s="723">
        <f t="shared" si="134"/>
        <v>0</v>
      </c>
      <c r="J196" s="915"/>
    </row>
    <row r="197" spans="1:10" s="607" customFormat="1" ht="14.25" customHeight="1">
      <c r="A197" s="757"/>
      <c r="B197" s="758"/>
      <c r="C197" s="759"/>
      <c r="D197" s="975"/>
      <c r="E197" s="975"/>
      <c r="F197" s="1011"/>
      <c r="G197" s="747"/>
      <c r="H197" s="748"/>
      <c r="I197" s="748"/>
      <c r="J197" s="915"/>
    </row>
    <row r="198" spans="1:10" s="607" customFormat="1" ht="14.25" customHeight="1">
      <c r="A198" s="2170" t="s">
        <v>2297</v>
      </c>
      <c r="B198" s="2178"/>
      <c r="C198" s="2179"/>
      <c r="D198" s="976"/>
      <c r="E198" s="976"/>
      <c r="F198" s="1010"/>
      <c r="G198" s="741"/>
      <c r="H198" s="742"/>
      <c r="I198" s="742"/>
      <c r="J198" s="915"/>
    </row>
    <row r="199" spans="1:10" s="607" customFormat="1" ht="14.25" customHeight="1">
      <c r="A199" s="972"/>
      <c r="B199" s="2158" t="s">
        <v>2186</v>
      </c>
      <c r="C199" s="760" t="s">
        <v>2187</v>
      </c>
      <c r="D199" s="761"/>
      <c r="E199" s="762" t="s">
        <v>2276</v>
      </c>
      <c r="F199" s="1019"/>
      <c r="G199" s="763" t="s">
        <v>2284</v>
      </c>
      <c r="H199" s="764">
        <f>IF(H183=0,0,+H284/100)</f>
        <v>0</v>
      </c>
      <c r="I199" s="764">
        <f t="shared" ref="I199" si="135">IF(I183=0,0,+I284/100)</f>
        <v>0</v>
      </c>
      <c r="J199" s="915"/>
    </row>
    <row r="200" spans="1:10" s="607" customFormat="1" ht="14.25" customHeight="1">
      <c r="A200" s="973"/>
      <c r="B200" s="2139"/>
      <c r="C200" s="765"/>
      <c r="D200" s="766">
        <f>+D183</f>
        <v>1</v>
      </c>
      <c r="E200" s="767" t="s">
        <v>2276</v>
      </c>
      <c r="F200" s="1020"/>
      <c r="G200" s="726">
        <f>SUM(H200:J200)</f>
        <v>0</v>
      </c>
      <c r="H200" s="726">
        <f>ROUNDDOWN(H183*H199*$D200,0)</f>
        <v>0</v>
      </c>
      <c r="I200" s="726">
        <f t="shared" ref="I200" si="136">ROUNDDOWN(I183*I199*$D200,0)</f>
        <v>0</v>
      </c>
      <c r="J200" s="915"/>
    </row>
    <row r="201" spans="1:10" s="607" customFormat="1" ht="14.25" customHeight="1">
      <c r="A201" s="973"/>
      <c r="B201" s="2139"/>
      <c r="C201" s="768" t="s">
        <v>2188</v>
      </c>
      <c r="D201" s="1180"/>
      <c r="E201" s="767" t="s">
        <v>2276</v>
      </c>
      <c r="F201" s="1021"/>
      <c r="G201" s="769" t="s">
        <v>2284</v>
      </c>
      <c r="H201" s="788">
        <f>IF(H184=0,0,+H292/100)</f>
        <v>0</v>
      </c>
      <c r="I201" s="788">
        <f t="shared" ref="I201" si="137">IF(I184=0,0,+I292/100)</f>
        <v>0</v>
      </c>
      <c r="J201" s="915"/>
    </row>
    <row r="202" spans="1:10" s="607" customFormat="1" ht="14.25" customHeight="1">
      <c r="A202" s="973"/>
      <c r="B202" s="2139"/>
      <c r="C202" s="765"/>
      <c r="D202" s="771">
        <f t="shared" ref="D202:D207" si="138">+D184</f>
        <v>1</v>
      </c>
      <c r="E202" s="767" t="s">
        <v>2276</v>
      </c>
      <c r="F202" s="1020"/>
      <c r="G202" s="726">
        <f t="shared" ref="G202:G218" si="139">SUM(H202:J202)</f>
        <v>0</v>
      </c>
      <c r="H202" s="726">
        <f>ROUNDDOWN(H184*H201*$D202,0)</f>
        <v>0</v>
      </c>
      <c r="I202" s="726">
        <f t="shared" ref="I202" si="140">ROUNDDOWN(I184*I201*$D202,0)</f>
        <v>0</v>
      </c>
      <c r="J202" s="915"/>
    </row>
    <row r="203" spans="1:10" s="607" customFormat="1" ht="14.25" customHeight="1">
      <c r="A203" s="973"/>
      <c r="B203" s="2139"/>
      <c r="C203" s="749" t="s">
        <v>2210</v>
      </c>
      <c r="D203" s="772">
        <f t="shared" si="138"/>
        <v>1</v>
      </c>
      <c r="E203" s="767" t="s">
        <v>2276</v>
      </c>
      <c r="F203" s="1020"/>
      <c r="G203" s="718">
        <f t="shared" si="139"/>
        <v>0</v>
      </c>
      <c r="H203" s="726">
        <f t="shared" ref="H203:I203" si="141">ROUNDDOWN(H185*H199*$D203,0)</f>
        <v>0</v>
      </c>
      <c r="I203" s="726">
        <f t="shared" si="141"/>
        <v>0</v>
      </c>
      <c r="J203" s="915"/>
    </row>
    <row r="204" spans="1:10" s="607" customFormat="1" ht="14.25" customHeight="1">
      <c r="A204" s="973"/>
      <c r="B204" s="2138"/>
      <c r="C204" s="749" t="s">
        <v>2211</v>
      </c>
      <c r="D204" s="772">
        <f t="shared" si="138"/>
        <v>1</v>
      </c>
      <c r="E204" s="767" t="s">
        <v>2276</v>
      </c>
      <c r="F204" s="1020"/>
      <c r="G204" s="718">
        <f t="shared" si="139"/>
        <v>0</v>
      </c>
      <c r="H204" s="726">
        <f>ROUNDDOWN(H186*H201*$D204,0)</f>
        <v>0</v>
      </c>
      <c r="I204" s="726">
        <f t="shared" ref="I204" si="142">ROUNDDOWN(I186*I201*$D204,0)</f>
        <v>0</v>
      </c>
      <c r="J204" s="915"/>
    </row>
    <row r="205" spans="1:10" s="607" customFormat="1" ht="14.25" customHeight="1">
      <c r="A205" s="973"/>
      <c r="B205" s="2137" t="s">
        <v>2191</v>
      </c>
      <c r="C205" s="749" t="s">
        <v>2279</v>
      </c>
      <c r="D205" s="772">
        <f t="shared" si="138"/>
        <v>1</v>
      </c>
      <c r="E205" s="752">
        <f>+E187</f>
        <v>0.02</v>
      </c>
      <c r="F205" s="1020"/>
      <c r="G205" s="718">
        <f t="shared" si="139"/>
        <v>0</v>
      </c>
      <c r="H205" s="726">
        <f t="shared" ref="H205:I207" si="143">ROUNDDOWN(H187*$E205*$D205,0)</f>
        <v>0</v>
      </c>
      <c r="I205" s="726">
        <f t="shared" si="143"/>
        <v>0</v>
      </c>
      <c r="J205" s="915"/>
    </row>
    <row r="206" spans="1:10" s="607" customFormat="1" ht="14.25" customHeight="1">
      <c r="A206" s="973"/>
      <c r="B206" s="2139"/>
      <c r="C206" s="749" t="s">
        <v>2285</v>
      </c>
      <c r="D206" s="772">
        <f t="shared" si="138"/>
        <v>1</v>
      </c>
      <c r="E206" s="752">
        <f>+E188</f>
        <v>0.02</v>
      </c>
      <c r="F206" s="1020"/>
      <c r="G206" s="718">
        <f t="shared" si="139"/>
        <v>0</v>
      </c>
      <c r="H206" s="726">
        <f t="shared" si="143"/>
        <v>0</v>
      </c>
      <c r="I206" s="726">
        <f t="shared" si="143"/>
        <v>0</v>
      </c>
      <c r="J206" s="915"/>
    </row>
    <row r="207" spans="1:10" s="607" customFormat="1" ht="14.25" customHeight="1">
      <c r="A207" s="973"/>
      <c r="B207" s="2139"/>
      <c r="C207" s="749" t="s">
        <v>2194</v>
      </c>
      <c r="D207" s="772">
        <f t="shared" si="138"/>
        <v>1</v>
      </c>
      <c r="E207" s="752">
        <f>+E189</f>
        <v>0.02</v>
      </c>
      <c r="F207" s="1020"/>
      <c r="G207" s="718">
        <f t="shared" si="139"/>
        <v>0</v>
      </c>
      <c r="H207" s="726">
        <f>ROUNDDOWN(H189*$E207*$D207,0)</f>
        <v>0</v>
      </c>
      <c r="I207" s="726">
        <f t="shared" si="143"/>
        <v>0</v>
      </c>
      <c r="J207" s="915"/>
    </row>
    <row r="208" spans="1:10" s="607" customFormat="1" ht="14.25" customHeight="1">
      <c r="A208" s="973"/>
      <c r="B208" s="2139"/>
      <c r="C208" s="749" t="s">
        <v>2195</v>
      </c>
      <c r="D208" s="772"/>
      <c r="E208" s="752"/>
      <c r="F208" s="1020"/>
      <c r="G208" s="718">
        <f t="shared" si="139"/>
        <v>0</v>
      </c>
      <c r="H208" s="726"/>
      <c r="I208" s="726"/>
      <c r="J208" s="915"/>
    </row>
    <row r="209" spans="1:10" s="607" customFormat="1" ht="14.25" customHeight="1">
      <c r="A209" s="973"/>
      <c r="B209" s="2139"/>
      <c r="C209" s="773"/>
      <c r="D209" s="772"/>
      <c r="E209" s="752"/>
      <c r="F209" s="1020"/>
      <c r="G209" s="718">
        <f t="shared" si="139"/>
        <v>0</v>
      </c>
      <c r="H209" s="726"/>
      <c r="I209" s="726"/>
      <c r="J209" s="915"/>
    </row>
    <row r="210" spans="1:10" s="607" customFormat="1" ht="14.25" customHeight="1">
      <c r="A210" s="973"/>
      <c r="B210" s="2139"/>
      <c r="C210" s="749" t="s">
        <v>2197</v>
      </c>
      <c r="D210" s="772">
        <f t="shared" ref="D210:E213" si="144">+D192</f>
        <v>1</v>
      </c>
      <c r="E210" s="752">
        <f t="shared" si="144"/>
        <v>0.02</v>
      </c>
      <c r="F210" s="1020"/>
      <c r="G210" s="718">
        <f t="shared" si="139"/>
        <v>0</v>
      </c>
      <c r="H210" s="726">
        <f t="shared" ref="H210:I213" si="145">ROUNDDOWN(H192*$E210*$D210,0)</f>
        <v>0</v>
      </c>
      <c r="I210" s="726">
        <f t="shared" si="145"/>
        <v>0</v>
      </c>
      <c r="J210" s="915"/>
    </row>
    <row r="211" spans="1:10" s="607" customFormat="1" ht="14.25" customHeight="1">
      <c r="A211" s="973"/>
      <c r="B211" s="2139"/>
      <c r="C211" s="753" t="s">
        <v>2198</v>
      </c>
      <c r="D211" s="772">
        <f t="shared" si="144"/>
        <v>1</v>
      </c>
      <c r="E211" s="752">
        <f t="shared" si="144"/>
        <v>0.02</v>
      </c>
      <c r="F211" s="1020"/>
      <c r="G211" s="718">
        <f t="shared" si="139"/>
        <v>0</v>
      </c>
      <c r="H211" s="726">
        <f t="shared" si="145"/>
        <v>0</v>
      </c>
      <c r="I211" s="726">
        <f t="shared" si="145"/>
        <v>0</v>
      </c>
      <c r="J211" s="915"/>
    </row>
    <row r="212" spans="1:10" s="607" customFormat="1" ht="14.25" customHeight="1">
      <c r="A212" s="973"/>
      <c r="B212" s="2139"/>
      <c r="C212" s="753" t="s">
        <v>2199</v>
      </c>
      <c r="D212" s="772">
        <f t="shared" si="144"/>
        <v>1</v>
      </c>
      <c r="E212" s="752">
        <f t="shared" si="144"/>
        <v>0.02</v>
      </c>
      <c r="F212" s="1020"/>
      <c r="G212" s="718">
        <f t="shared" si="139"/>
        <v>0</v>
      </c>
      <c r="H212" s="726">
        <f t="shared" si="145"/>
        <v>0</v>
      </c>
      <c r="I212" s="726">
        <f t="shared" si="145"/>
        <v>0</v>
      </c>
      <c r="J212" s="915"/>
    </row>
    <row r="213" spans="1:10" s="607" customFormat="1" ht="14.25" customHeight="1">
      <c r="A213" s="973"/>
      <c r="B213" s="2138"/>
      <c r="C213" s="749" t="s">
        <v>2298</v>
      </c>
      <c r="D213" s="772">
        <f t="shared" si="144"/>
        <v>1</v>
      </c>
      <c r="E213" s="752">
        <f t="shared" si="144"/>
        <v>0.02</v>
      </c>
      <c r="F213" s="1020"/>
      <c r="G213" s="718">
        <f t="shared" si="139"/>
        <v>0</v>
      </c>
      <c r="H213" s="726">
        <f>ROUNDDOWN(H195*$E213*$D213,0)</f>
        <v>0</v>
      </c>
      <c r="I213" s="726">
        <f t="shared" si="145"/>
        <v>0</v>
      </c>
      <c r="J213" s="915"/>
    </row>
    <row r="214" spans="1:10" s="607" customFormat="1" ht="14.25" customHeight="1">
      <c r="A214" s="973"/>
      <c r="B214" s="2159" t="s">
        <v>2299</v>
      </c>
      <c r="C214" s="749" t="s">
        <v>2219</v>
      </c>
      <c r="D214" s="789"/>
      <c r="E214" s="790"/>
      <c r="F214" s="1003"/>
      <c r="G214" s="718">
        <f t="shared" si="139"/>
        <v>0</v>
      </c>
      <c r="H214" s="616">
        <f>元諸経費表!G133</f>
        <v>0</v>
      </c>
      <c r="I214" s="616">
        <f>元諸経費表!H133</f>
        <v>0</v>
      </c>
      <c r="J214" s="915"/>
    </row>
    <row r="215" spans="1:10" s="607" customFormat="1" ht="14.25" customHeight="1">
      <c r="A215" s="973"/>
      <c r="B215" s="2160"/>
      <c r="C215" s="791" t="s">
        <v>2300</v>
      </c>
      <c r="D215" s="789"/>
      <c r="E215" s="790"/>
      <c r="F215" s="1003"/>
      <c r="G215" s="718">
        <f t="shared" si="139"/>
        <v>0</v>
      </c>
      <c r="H215" s="616"/>
      <c r="I215" s="616"/>
      <c r="J215" s="915"/>
    </row>
    <row r="216" spans="1:10" s="607" customFormat="1" ht="13.5" customHeight="1" thickBot="1">
      <c r="A216" s="977"/>
      <c r="B216" s="792" t="s">
        <v>2281</v>
      </c>
      <c r="C216" s="787" t="s">
        <v>2296</v>
      </c>
      <c r="D216" s="789">
        <f>+D196</f>
        <v>1</v>
      </c>
      <c r="E216" s="790">
        <f>+E196</f>
        <v>0</v>
      </c>
      <c r="F216" s="1020"/>
      <c r="G216" s="718">
        <f t="shared" si="139"/>
        <v>0</v>
      </c>
      <c r="H216" s="726">
        <f>ROUNDDOWN(H196*$E216*$D216,0)</f>
        <v>0</v>
      </c>
      <c r="I216" s="726">
        <f t="shared" ref="I216" si="146">ROUNDDOWN(I196*$E216*$D216,0)</f>
        <v>0</v>
      </c>
      <c r="J216" s="915"/>
    </row>
    <row r="217" spans="1:10" s="607" customFormat="1" ht="13.5" customHeight="1" thickTop="1">
      <c r="A217" s="793"/>
      <c r="B217" s="794"/>
      <c r="C217" s="795" t="s">
        <v>2301</v>
      </c>
      <c r="D217" s="796"/>
      <c r="E217" s="797"/>
      <c r="F217" s="1022"/>
      <c r="G217" s="798">
        <f t="shared" si="139"/>
        <v>0</v>
      </c>
      <c r="H217" s="799">
        <f t="shared" ref="H217:I217" si="147">SUM(H202:H216)+H200</f>
        <v>0</v>
      </c>
      <c r="I217" s="799">
        <f t="shared" si="147"/>
        <v>0</v>
      </c>
      <c r="J217" s="915"/>
    </row>
    <row r="218" spans="1:10" s="607" customFormat="1" ht="13.5" customHeight="1">
      <c r="A218" s="800"/>
      <c r="B218" s="801"/>
      <c r="C218" s="722" t="s">
        <v>2302</v>
      </c>
      <c r="D218" s="802"/>
      <c r="E218" s="637"/>
      <c r="F218" s="1013"/>
      <c r="G218" s="638">
        <f t="shared" si="139"/>
        <v>0</v>
      </c>
      <c r="H218" s="723">
        <f t="shared" ref="H218:I218" si="148">+H93+H217</f>
        <v>0</v>
      </c>
      <c r="I218" s="723">
        <f t="shared" si="148"/>
        <v>0</v>
      </c>
      <c r="J218" s="915"/>
    </row>
    <row r="219" spans="1:10" s="607" customFormat="1" ht="13.5" customHeight="1">
      <c r="A219" s="995"/>
      <c r="B219" s="995"/>
      <c r="C219" s="623"/>
      <c r="D219" s="623"/>
      <c r="E219" s="995"/>
      <c r="F219" s="618"/>
      <c r="G219" s="786"/>
      <c r="H219" s="618"/>
      <c r="I219" s="618"/>
    </row>
    <row r="220" spans="1:10" s="607" customFormat="1" ht="13.5" customHeight="1">
      <c r="A220" s="995"/>
      <c r="B220" s="995"/>
      <c r="C220" s="739" t="s">
        <v>2303</v>
      </c>
      <c r="D220" s="739"/>
      <c r="E220" s="622"/>
      <c r="F220" s="713"/>
      <c r="G220" s="711"/>
      <c r="H220" s="740"/>
      <c r="I220" s="713"/>
      <c r="J220" s="740" t="s">
        <v>2304</v>
      </c>
    </row>
    <row r="221" spans="1:10" s="607" customFormat="1" ht="13.5" customHeight="1">
      <c r="A221" s="720"/>
      <c r="B221" s="720"/>
      <c r="C221" s="720"/>
      <c r="D221" s="720"/>
      <c r="E221" s="720"/>
      <c r="F221" s="803"/>
      <c r="G221" s="709"/>
      <c r="H221" s="803"/>
      <c r="I221" s="803"/>
    </row>
    <row r="222" spans="1:10" s="607" customFormat="1" ht="13.5" customHeight="1">
      <c r="A222" s="978"/>
      <c r="B222" s="979"/>
      <c r="C222" s="980"/>
      <c r="D222" s="804"/>
      <c r="E222" s="736" t="s">
        <v>2305</v>
      </c>
      <c r="F222" s="1106" t="s">
        <v>2898</v>
      </c>
      <c r="G222" s="737" t="s">
        <v>2165</v>
      </c>
      <c r="H222" s="738" t="str">
        <f t="shared" ref="H222:I222" si="149">+H88</f>
        <v>工事1</v>
      </c>
      <c r="I222" s="738" t="str">
        <f t="shared" si="149"/>
        <v>工事2</v>
      </c>
      <c r="J222" s="915"/>
    </row>
    <row r="223" spans="1:10" s="607" customFormat="1" ht="13.5" customHeight="1" thickBot="1">
      <c r="A223" s="981"/>
      <c r="B223" s="982"/>
      <c r="C223" s="983"/>
      <c r="D223" s="805"/>
      <c r="E223" s="806"/>
      <c r="F223" s="1012"/>
      <c r="G223" s="714"/>
      <c r="H223" s="807"/>
      <c r="I223" s="807"/>
      <c r="J223" s="915"/>
    </row>
    <row r="224" spans="1:10" s="607" customFormat="1" ht="13.5" customHeight="1" thickBot="1">
      <c r="A224" s="808"/>
      <c r="B224" s="809"/>
      <c r="C224" s="810" t="s">
        <v>2306</v>
      </c>
      <c r="D224" s="811"/>
      <c r="E224" s="812"/>
      <c r="F224" s="1023"/>
      <c r="G224" s="813">
        <f>SUM(H224:N224)</f>
        <v>0</v>
      </c>
      <c r="H224" s="814">
        <f>IF(H225=0,+H218,0)</f>
        <v>0</v>
      </c>
      <c r="I224" s="814">
        <f t="shared" ref="I224" si="150">IF(I225=0,+I218,0)</f>
        <v>0</v>
      </c>
      <c r="J224" s="915"/>
    </row>
    <row r="225" spans="1:10" s="607" customFormat="1" ht="13.5" customHeight="1">
      <c r="A225" s="994"/>
      <c r="B225" s="995"/>
      <c r="C225" s="815" t="s">
        <v>2307</v>
      </c>
      <c r="D225" s="816"/>
      <c r="E225" s="817"/>
      <c r="F225" s="1024"/>
      <c r="G225" s="625">
        <f>元諸経費表!F143</f>
        <v>0</v>
      </c>
      <c r="H225" s="625">
        <f>IF(H247=0,0,H218)</f>
        <v>0</v>
      </c>
      <c r="I225" s="625">
        <f t="shared" ref="I225" si="151">IF(I247=0,0,I218)</f>
        <v>0</v>
      </c>
      <c r="J225" s="915"/>
    </row>
    <row r="226" spans="1:10" s="607" customFormat="1" ht="13.5" customHeight="1">
      <c r="A226" s="800"/>
      <c r="B226" s="801"/>
      <c r="C226" s="2161" t="s">
        <v>2308</v>
      </c>
      <c r="D226" s="2161"/>
      <c r="E226" s="2162"/>
      <c r="F226" s="1013"/>
      <c r="G226" s="1183">
        <f>G224+G225-G234</f>
        <v>0</v>
      </c>
      <c r="H226" s="723"/>
      <c r="I226" s="723"/>
      <c r="J226" s="915"/>
    </row>
    <row r="227" spans="1:10" s="607" customFormat="1" ht="13.5" customHeight="1">
      <c r="A227" s="595"/>
      <c r="B227" s="596"/>
      <c r="C227" s="596"/>
      <c r="D227" s="818"/>
      <c r="E227" s="599" t="str">
        <f>E88</f>
        <v>有り</v>
      </c>
      <c r="F227" s="1014"/>
      <c r="G227" s="984" t="s">
        <v>2309</v>
      </c>
      <c r="H227" s="985"/>
      <c r="I227" s="725"/>
      <c r="J227" s="915"/>
    </row>
    <row r="228" spans="1:10" s="607" customFormat="1" ht="13.5" customHeight="1">
      <c r="A228" s="986" t="s">
        <v>2310</v>
      </c>
      <c r="B228" s="987"/>
      <c r="C228" s="988"/>
      <c r="D228" s="819"/>
      <c r="E228" s="820" t="str">
        <f>+E89</f>
        <v>有り</v>
      </c>
      <c r="F228" s="1013"/>
      <c r="G228" s="989" t="s">
        <v>2311</v>
      </c>
      <c r="H228" s="990"/>
      <c r="I228" s="723"/>
      <c r="J228" s="915"/>
    </row>
    <row r="229" spans="1:10" s="607" customFormat="1" ht="13.5" customHeight="1">
      <c r="A229" s="991"/>
      <c r="B229" s="821" t="s">
        <v>157</v>
      </c>
      <c r="C229" s="822" t="s">
        <v>2312</v>
      </c>
      <c r="D229" s="823">
        <v>1</v>
      </c>
      <c r="E229" s="824">
        <f>+H298/100</f>
        <v>0.1724</v>
      </c>
      <c r="F229" s="1011"/>
      <c r="G229" s="747">
        <f t="shared" ref="G229:G238" si="152">SUM(H229:J229)</f>
        <v>0</v>
      </c>
      <c r="H229" s="725">
        <f>+H224-H234</f>
        <v>0</v>
      </c>
      <c r="I229" s="725">
        <f t="shared" ref="I229" si="153">+I224-I234</f>
        <v>0</v>
      </c>
      <c r="J229" s="915"/>
    </row>
    <row r="230" spans="1:10" s="607" customFormat="1" ht="13.5" customHeight="1">
      <c r="A230" s="967"/>
      <c r="B230" s="2137" t="s">
        <v>2313</v>
      </c>
      <c r="C230" s="614" t="s">
        <v>2314</v>
      </c>
      <c r="D230" s="1716">
        <f>IF(E227="無し",0.05,0)</f>
        <v>0</v>
      </c>
      <c r="E230" s="1715">
        <f>E229</f>
        <v>0.1724</v>
      </c>
      <c r="F230" s="1003"/>
      <c r="G230" s="615">
        <f t="shared" si="152"/>
        <v>0</v>
      </c>
      <c r="H230" s="616">
        <f>IF(H247=0,+H229,0)</f>
        <v>0</v>
      </c>
      <c r="I230" s="616">
        <f t="shared" ref="I230" si="154">IF(I247=0,+I229,0)</f>
        <v>0</v>
      </c>
      <c r="J230" s="915"/>
    </row>
    <row r="231" spans="1:10" s="607" customFormat="1" ht="13.5" customHeight="1">
      <c r="A231" s="967"/>
      <c r="B231" s="2138"/>
      <c r="C231" s="614" t="s">
        <v>2315</v>
      </c>
      <c r="D231" s="1717">
        <f>IF(E228="有り",1,0)</f>
        <v>1</v>
      </c>
      <c r="E231" s="1718">
        <v>4.0000000000000002E-4</v>
      </c>
      <c r="F231" s="1025"/>
      <c r="G231" s="1066">
        <f t="shared" si="152"/>
        <v>0</v>
      </c>
      <c r="H231" s="616">
        <f>IF(H247=0,+H229,0)</f>
        <v>0</v>
      </c>
      <c r="I231" s="616">
        <f t="shared" ref="I231" si="155">IF(I247=0,+I229,0)</f>
        <v>0</v>
      </c>
      <c r="J231" s="915"/>
    </row>
    <row r="232" spans="1:10" s="607" customFormat="1" ht="13.5" customHeight="1">
      <c r="A232" s="967"/>
      <c r="B232" s="826"/>
      <c r="C232" s="614"/>
      <c r="D232" s="827"/>
      <c r="E232" s="827"/>
      <c r="F232" s="1003"/>
      <c r="G232" s="615">
        <f t="shared" si="152"/>
        <v>0</v>
      </c>
      <c r="H232" s="616"/>
      <c r="I232" s="616"/>
      <c r="J232" s="915"/>
    </row>
    <row r="233" spans="1:10" s="607" customFormat="1" ht="13.5" customHeight="1">
      <c r="A233" s="967"/>
      <c r="B233" s="826"/>
      <c r="C233" s="614"/>
      <c r="D233" s="827"/>
      <c r="E233" s="827"/>
      <c r="F233" s="1003"/>
      <c r="G233" s="615">
        <f t="shared" si="152"/>
        <v>0</v>
      </c>
      <c r="H233" s="616"/>
      <c r="I233" s="616"/>
      <c r="J233" s="915"/>
    </row>
    <row r="234" spans="1:10" s="607" customFormat="1" ht="13.5" customHeight="1">
      <c r="A234" s="967"/>
      <c r="B234" s="2137" t="s">
        <v>2316</v>
      </c>
      <c r="C234" s="749" t="str">
        <f>+C138</f>
        <v>(17)下水道使用料、各種負担金（共通仮設）</v>
      </c>
      <c r="D234" s="828">
        <v>1</v>
      </c>
      <c r="E234" s="829">
        <v>0</v>
      </c>
      <c r="F234" s="1003"/>
      <c r="G234" s="615">
        <f t="shared" si="152"/>
        <v>0</v>
      </c>
      <c r="H234" s="616">
        <f>+H138</f>
        <v>0</v>
      </c>
      <c r="I234" s="616">
        <f t="shared" ref="I234" si="156">+I138</f>
        <v>0</v>
      </c>
      <c r="J234" s="915"/>
    </row>
    <row r="235" spans="1:10" s="607" customFormat="1" ht="13.5" customHeight="1">
      <c r="A235" s="967"/>
      <c r="B235" s="2139"/>
      <c r="C235" s="830"/>
      <c r="D235" s="749"/>
      <c r="E235" s="829"/>
      <c r="F235" s="1003"/>
      <c r="G235" s="615">
        <f t="shared" si="152"/>
        <v>0</v>
      </c>
      <c r="H235" s="616"/>
      <c r="I235" s="616"/>
      <c r="J235" s="915"/>
    </row>
    <row r="236" spans="1:10" s="607" customFormat="1" ht="13.5" customHeight="1">
      <c r="A236" s="968"/>
      <c r="B236" s="2140"/>
      <c r="C236" s="831"/>
      <c r="D236" s="787"/>
      <c r="E236" s="832"/>
      <c r="F236" s="1013"/>
      <c r="G236" s="638">
        <f t="shared" si="152"/>
        <v>0</v>
      </c>
      <c r="H236" s="723"/>
      <c r="I236" s="723"/>
      <c r="J236" s="915"/>
    </row>
    <row r="237" spans="1:10" s="607" customFormat="1" ht="13.5" customHeight="1">
      <c r="A237" s="595"/>
      <c r="B237" s="596"/>
      <c r="C237" s="833"/>
      <c r="D237" s="834"/>
      <c r="E237" s="835"/>
      <c r="F237" s="1014"/>
      <c r="G237" s="613">
        <f t="shared" si="152"/>
        <v>0</v>
      </c>
      <c r="H237" s="725"/>
      <c r="I237" s="725"/>
      <c r="J237" s="915"/>
    </row>
    <row r="238" spans="1:10" s="607" customFormat="1" ht="13.5" customHeight="1">
      <c r="A238" s="986" t="s">
        <v>2317</v>
      </c>
      <c r="B238" s="987"/>
      <c r="C238" s="988"/>
      <c r="D238" s="836"/>
      <c r="E238" s="837"/>
      <c r="F238" s="1013"/>
      <c r="G238" s="838">
        <f t="shared" si="152"/>
        <v>0</v>
      </c>
      <c r="H238" s="723"/>
      <c r="I238" s="723"/>
      <c r="J238" s="915"/>
    </row>
    <row r="239" spans="1:10" s="607" customFormat="1" ht="13.5" customHeight="1">
      <c r="A239" s="994"/>
      <c r="B239" s="839" t="s">
        <v>157</v>
      </c>
      <c r="C239" s="822" t="s">
        <v>2312</v>
      </c>
      <c r="D239" s="823">
        <f t="shared" ref="D239:E241" si="157">+D229</f>
        <v>1</v>
      </c>
      <c r="E239" s="840">
        <f>+E229</f>
        <v>0.1724</v>
      </c>
      <c r="F239" s="1014"/>
      <c r="G239" s="615">
        <f>INT(D239*E239*G229)</f>
        <v>0</v>
      </c>
      <c r="H239" s="725">
        <f>G239-SUM(I239:N239)</f>
        <v>0</v>
      </c>
      <c r="I239" s="725">
        <f t="shared" ref="I239" si="158">IF(I229=0,0,ROUND($G239/$G229*I229,0))</f>
        <v>0</v>
      </c>
      <c r="J239" s="915"/>
    </row>
    <row r="240" spans="1:10" s="607" customFormat="1" ht="13.5" customHeight="1">
      <c r="A240" s="994"/>
      <c r="B240" s="2137" t="s">
        <v>2313</v>
      </c>
      <c r="C240" s="614" t="s">
        <v>2314</v>
      </c>
      <c r="D240" s="828">
        <f t="shared" si="157"/>
        <v>0</v>
      </c>
      <c r="E240" s="752">
        <f t="shared" si="157"/>
        <v>0.1724</v>
      </c>
      <c r="F240" s="1003"/>
      <c r="G240" s="615">
        <f t="shared" ref="G240:G241" si="159">INT(D240*E240*G230)</f>
        <v>0</v>
      </c>
      <c r="H240" s="616">
        <f>G240-SUM(I240:N240)</f>
        <v>0</v>
      </c>
      <c r="I240" s="616">
        <f t="shared" ref="I240:I241" si="160">IF(I230=0,0,ROUND($G240/$G230*I230,0))</f>
        <v>0</v>
      </c>
      <c r="J240" s="915"/>
    </row>
    <row r="241" spans="1:10" s="607" customFormat="1" ht="13.5" customHeight="1">
      <c r="A241" s="994"/>
      <c r="B241" s="2138"/>
      <c r="C241" s="614" t="s">
        <v>2315</v>
      </c>
      <c r="D241" s="828">
        <f t="shared" si="157"/>
        <v>1</v>
      </c>
      <c r="E241" s="752">
        <f t="shared" si="157"/>
        <v>4.0000000000000002E-4</v>
      </c>
      <c r="F241" s="1003"/>
      <c r="G241" s="615">
        <f t="shared" si="159"/>
        <v>0</v>
      </c>
      <c r="H241" s="616">
        <f>G241-SUM(I241:N241)</f>
        <v>0</v>
      </c>
      <c r="I241" s="616">
        <f t="shared" si="160"/>
        <v>0</v>
      </c>
      <c r="J241" s="915"/>
    </row>
    <row r="242" spans="1:10" s="607" customFormat="1" ht="13.5" customHeight="1">
      <c r="A242" s="994"/>
      <c r="B242" s="826"/>
      <c r="C242" s="614"/>
      <c r="D242" s="827"/>
      <c r="E242" s="827"/>
      <c r="F242" s="1003"/>
      <c r="G242" s="615"/>
      <c r="H242" s="616"/>
      <c r="I242" s="616"/>
      <c r="J242" s="915"/>
    </row>
    <row r="243" spans="1:10" s="607" customFormat="1" ht="13.5" customHeight="1">
      <c r="A243" s="994"/>
      <c r="B243" s="826"/>
      <c r="C243" s="614"/>
      <c r="D243" s="827"/>
      <c r="E243" s="827"/>
      <c r="F243" s="1003"/>
      <c r="G243" s="615"/>
      <c r="H243" s="616"/>
      <c r="I243" s="616"/>
      <c r="J243" s="915"/>
    </row>
    <row r="244" spans="1:10" s="607" customFormat="1" ht="13.5" customHeight="1">
      <c r="A244" s="994"/>
      <c r="B244" s="2137" t="s">
        <v>2316</v>
      </c>
      <c r="C244" s="749" t="str">
        <f>+C138</f>
        <v>(17)下水道使用料、各種負担金（共通仮設）</v>
      </c>
      <c r="D244" s="828">
        <f>+D234</f>
        <v>1</v>
      </c>
      <c r="E244" s="752">
        <f>+E234</f>
        <v>0</v>
      </c>
      <c r="F244" s="1003"/>
      <c r="G244" s="615">
        <f>INT(D244*E244*G234)</f>
        <v>0</v>
      </c>
      <c r="H244" s="616">
        <f>G244-SUM(I244:N244)</f>
        <v>0</v>
      </c>
      <c r="I244" s="616">
        <f t="shared" ref="I244" si="161">IF(I234=0,0,ROUND($G244/$G234*I234,0))</f>
        <v>0</v>
      </c>
      <c r="J244" s="915"/>
    </row>
    <row r="245" spans="1:10" s="607" customFormat="1" ht="13.5" customHeight="1">
      <c r="A245" s="994"/>
      <c r="B245" s="2139"/>
      <c r="C245" s="830"/>
      <c r="D245" s="749"/>
      <c r="E245" s="827"/>
      <c r="F245" s="1003"/>
      <c r="G245" s="615"/>
      <c r="H245" s="616"/>
      <c r="I245" s="616"/>
      <c r="J245" s="915"/>
    </row>
    <row r="246" spans="1:10" s="607" customFormat="1" ht="13.5" customHeight="1">
      <c r="A246" s="841"/>
      <c r="B246" s="2138"/>
      <c r="C246" s="830"/>
      <c r="D246" s="749"/>
      <c r="E246" s="827"/>
      <c r="F246" s="1003"/>
      <c r="G246" s="615"/>
      <c r="H246" s="616"/>
      <c r="I246" s="616"/>
      <c r="J246" s="915"/>
    </row>
    <row r="247" spans="1:10" s="607" customFormat="1" ht="13.5" customHeight="1">
      <c r="A247" s="841"/>
      <c r="B247" s="2159" t="s">
        <v>2299</v>
      </c>
      <c r="C247" s="765" t="s">
        <v>2318</v>
      </c>
      <c r="D247" s="842"/>
      <c r="E247" s="843"/>
      <c r="F247" s="1025"/>
      <c r="G247" s="844">
        <f>SUM(H247:J247)</f>
        <v>0</v>
      </c>
      <c r="H247" s="908">
        <f>元諸経費表!G165</f>
        <v>0</v>
      </c>
      <c r="I247" s="908">
        <f>元諸経費表!H165</f>
        <v>0</v>
      </c>
      <c r="J247" s="915"/>
    </row>
    <row r="248" spans="1:10" s="607" customFormat="1" ht="13.5" customHeight="1">
      <c r="A248" s="994"/>
      <c r="B248" s="2180"/>
      <c r="C248" s="791" t="s">
        <v>2319</v>
      </c>
      <c r="D248" s="789"/>
      <c r="E248" s="790"/>
      <c r="F248" s="1003"/>
      <c r="G248" s="718"/>
      <c r="H248" s="616"/>
      <c r="I248" s="616"/>
      <c r="J248" s="915"/>
    </row>
    <row r="249" spans="1:10" s="607" customFormat="1" ht="13.5" customHeight="1">
      <c r="A249" s="808"/>
      <c r="B249" s="809"/>
      <c r="C249" s="809"/>
      <c r="D249" s="600"/>
      <c r="E249" s="600"/>
      <c r="F249" s="1014"/>
      <c r="G249" s="613"/>
      <c r="H249" s="725"/>
      <c r="I249" s="725"/>
      <c r="J249" s="915"/>
    </row>
    <row r="250" spans="1:10" s="607" customFormat="1" ht="13.5" customHeight="1">
      <c r="A250" s="845"/>
      <c r="B250" s="727"/>
      <c r="C250" s="540" t="s">
        <v>2320</v>
      </c>
      <c r="D250" s="830"/>
      <c r="E250" s="614"/>
      <c r="F250" s="1003"/>
      <c r="G250" s="615">
        <f>SUM(H250:J250)</f>
        <v>0</v>
      </c>
      <c r="H250" s="616">
        <f t="shared" ref="H250:I250" si="162">SUM(H239:H248)</f>
        <v>0</v>
      </c>
      <c r="I250" s="616">
        <f t="shared" si="162"/>
        <v>0</v>
      </c>
      <c r="J250" s="915"/>
    </row>
    <row r="251" spans="1:10" s="607" customFormat="1" ht="13.5" customHeight="1">
      <c r="A251" s="845"/>
      <c r="B251" s="727"/>
      <c r="C251" s="540" t="s">
        <v>2302</v>
      </c>
      <c r="D251" s="830"/>
      <c r="E251" s="614"/>
      <c r="F251" s="1003"/>
      <c r="G251" s="615">
        <f>SUM(H251:J251)</f>
        <v>0</v>
      </c>
      <c r="H251" s="616">
        <f t="shared" ref="H251:I251" si="163">+H218</f>
        <v>0</v>
      </c>
      <c r="I251" s="616">
        <f t="shared" si="163"/>
        <v>0</v>
      </c>
      <c r="J251" s="915"/>
    </row>
    <row r="252" spans="1:10" s="607" customFormat="1" ht="13.5" customHeight="1" thickBot="1">
      <c r="A252" s="846"/>
      <c r="B252" s="847"/>
      <c r="C252" s="848" t="s">
        <v>2321</v>
      </c>
      <c r="D252" s="849"/>
      <c r="E252" s="850"/>
      <c r="F252" s="1026"/>
      <c r="G252" s="778">
        <f>SUM(H252:J252)</f>
        <v>0</v>
      </c>
      <c r="H252" s="851">
        <f>SUM(H250:H251)</f>
        <v>0</v>
      </c>
      <c r="I252" s="851">
        <f t="shared" ref="I252" si="164">SUM(I250:I251)</f>
        <v>0</v>
      </c>
      <c r="J252" s="915"/>
    </row>
    <row r="253" spans="1:10" s="607" customFormat="1" ht="13.5" customHeight="1" thickTop="1">
      <c r="A253" s="994"/>
      <c r="B253" s="995"/>
      <c r="C253" s="995"/>
      <c r="D253" s="624"/>
      <c r="E253" s="624"/>
      <c r="F253" s="1015"/>
      <c r="G253" s="852">
        <f t="shared" ref="G253:I253" si="165">ROUNDDOWN(G252,-3)</f>
        <v>0</v>
      </c>
      <c r="H253" s="852">
        <f t="shared" si="165"/>
        <v>0</v>
      </c>
      <c r="I253" s="852">
        <f t="shared" si="165"/>
        <v>0</v>
      </c>
      <c r="J253" s="915"/>
    </row>
    <row r="254" spans="1:10" s="607" customFormat="1" ht="13.5" customHeight="1">
      <c r="A254" s="845"/>
      <c r="B254" s="727"/>
      <c r="C254" s="540" t="s">
        <v>2302</v>
      </c>
      <c r="D254" s="830"/>
      <c r="E254" s="614"/>
      <c r="F254" s="1003"/>
      <c r="G254" s="615">
        <f>SUM(H254:J254)</f>
        <v>0</v>
      </c>
      <c r="H254" s="616">
        <f t="shared" ref="H254:I254" si="166">+H251</f>
        <v>0</v>
      </c>
      <c r="I254" s="616">
        <f t="shared" si="166"/>
        <v>0</v>
      </c>
      <c r="J254" s="915"/>
    </row>
    <row r="255" spans="1:10" s="607" customFormat="1" ht="13.5" customHeight="1">
      <c r="A255" s="845"/>
      <c r="B255" s="727"/>
      <c r="C255" s="540" t="s">
        <v>2322</v>
      </c>
      <c r="D255" s="830"/>
      <c r="E255" s="827"/>
      <c r="F255" s="1003"/>
      <c r="G255" s="615" t="e">
        <f>SUM(H255:J255)</f>
        <v>#DIV/0!</v>
      </c>
      <c r="H255" s="616" t="e">
        <f t="shared" ref="H255" si="167">+H250-(H252-H257)</f>
        <v>#DIV/0!</v>
      </c>
      <c r="I255" s="616" t="e">
        <f t="shared" ref="I255" si="168">+I250-(I252-I257)</f>
        <v>#DIV/0!</v>
      </c>
      <c r="J255" s="915"/>
    </row>
    <row r="256" spans="1:10" s="607" customFormat="1" ht="13.5" customHeight="1">
      <c r="A256" s="845"/>
      <c r="B256" s="727"/>
      <c r="C256" s="727"/>
      <c r="D256" s="614"/>
      <c r="E256" s="853">
        <f>SUM(H253:J253)</f>
        <v>0</v>
      </c>
      <c r="F256" s="1003"/>
      <c r="G256" s="615" t="s">
        <v>2323</v>
      </c>
      <c r="H256" s="616" t="e">
        <f t="shared" ref="H256" si="169">+H250-H255</f>
        <v>#DIV/0!</v>
      </c>
      <c r="I256" s="616" t="e">
        <f t="shared" ref="I256" si="170">+I250-I255</f>
        <v>#DIV/0!</v>
      </c>
      <c r="J256" s="915"/>
    </row>
    <row r="257" spans="1:10" s="607" customFormat="1" ht="13.5" customHeight="1">
      <c r="A257" s="855"/>
      <c r="B257" s="717"/>
      <c r="C257" s="717" t="s">
        <v>2324</v>
      </c>
      <c r="D257" s="856"/>
      <c r="E257" s="853">
        <f>ROUNDDOWN(E256,4-LEN(E256))</f>
        <v>0</v>
      </c>
      <c r="F257" s="1027"/>
      <c r="G257" s="857">
        <f>+E257</f>
        <v>0</v>
      </c>
      <c r="H257" s="854" t="e">
        <f>IF(G258+SUM(I257:J257)=G257,G258,G257-SUM(I257:J257))</f>
        <v>#DIV/0!</v>
      </c>
      <c r="I257" s="1147" t="e">
        <f t="shared" ref="I257" si="171">IF(I247=0,+I253-ROUND($E$258*I252/$G$252,-3),I252)</f>
        <v>#DIV/0!</v>
      </c>
      <c r="J257" s="915"/>
    </row>
    <row r="258" spans="1:10" s="607" customFormat="1" ht="13.5" customHeight="1">
      <c r="A258" s="858"/>
      <c r="B258" s="859"/>
      <c r="C258" s="859"/>
      <c r="D258" s="860"/>
      <c r="E258" s="861">
        <f>E256-E257</f>
        <v>0</v>
      </c>
      <c r="F258" s="1016"/>
      <c r="G258" s="914" t="e">
        <f>+H253-ROUND($E$258*H252/$G$252,-3)</f>
        <v>#DIV/0!</v>
      </c>
      <c r="H258" s="913">
        <f t="shared" ref="H258:I258" si="172">IF(LEN(H252)&lt;=7,-3,IF(LEN(H252)=8,-4,IF(LEN(H252)&gt;=9,-5,-6)))</f>
        <v>-3</v>
      </c>
      <c r="I258" s="913">
        <f t="shared" si="172"/>
        <v>-3</v>
      </c>
      <c r="J258" s="915"/>
    </row>
    <row r="259" spans="1:10" s="607" customFormat="1" ht="13.5" customHeight="1">
      <c r="F259" s="865"/>
      <c r="G259" s="863"/>
      <c r="H259" s="864"/>
      <c r="I259" s="865"/>
    </row>
    <row r="260" spans="1:10" s="607" customFormat="1" ht="15" hidden="1" customHeight="1">
      <c r="A260" s="866"/>
      <c r="B260" s="867"/>
      <c r="C260" s="868" t="s">
        <v>2325</v>
      </c>
      <c r="D260" s="869"/>
      <c r="E260" s="867"/>
      <c r="F260" s="871">
        <f t="shared" ref="F260" si="173">+F86</f>
        <v>0</v>
      </c>
      <c r="G260" s="870" t="s">
        <v>2326</v>
      </c>
      <c r="H260" s="871">
        <f t="shared" ref="H260:I260" si="174">+H86</f>
        <v>0</v>
      </c>
      <c r="I260" s="871">
        <f t="shared" si="174"/>
        <v>0</v>
      </c>
    </row>
    <row r="261" spans="1:10" s="607" customFormat="1" ht="15" hidden="1" customHeight="1">
      <c r="A261" s="1163"/>
      <c r="B261" s="1166" t="s">
        <v>2327</v>
      </c>
      <c r="C261" s="872" t="s">
        <v>2328</v>
      </c>
      <c r="D261" s="717"/>
      <c r="E261" s="873"/>
      <c r="F261" s="875">
        <f>IF($G143&lt;=10000000,ROUND(7.56*(10000^-0.1105)*(F260^0.2389),2),ROUND(7.56*(($G143/1000)^-0.1105)*(F260^0.2389),2))</f>
        <v>0</v>
      </c>
      <c r="G261" s="874" t="s">
        <v>2329</v>
      </c>
      <c r="H261" s="875">
        <f t="shared" ref="H261:I261" si="175">IF($G143&lt;=10000000,ROUND(7.56*(10000^-0.1105)*(H260^0.2389),2),ROUND(7.56*(($G143/1000)^-0.1105)*(H260^0.2389),2))</f>
        <v>0</v>
      </c>
      <c r="I261" s="875">
        <f t="shared" si="175"/>
        <v>0</v>
      </c>
    </row>
    <row r="262" spans="1:10" s="607" customFormat="1" ht="15" hidden="1" customHeight="1">
      <c r="A262" s="1164"/>
      <c r="B262" s="1167"/>
      <c r="C262" s="1169" t="s">
        <v>2330</v>
      </c>
      <c r="D262" s="1180"/>
      <c r="E262" s="876"/>
      <c r="F262" s="877">
        <f t="shared" ref="F262" si="176">IF($G143&lt;=10000000,ROUND(4.33,2),0)</f>
        <v>4.33</v>
      </c>
      <c r="G262" s="874" t="s">
        <v>2331</v>
      </c>
      <c r="H262" s="877">
        <f>IF($G143&lt;=10000000,ROUND(4.33,2),0)</f>
        <v>4.33</v>
      </c>
      <c r="I262" s="877">
        <f t="shared" ref="I262" si="177">IF($G143&lt;=10000000,ROUND(4.33,2),0)</f>
        <v>4.33</v>
      </c>
    </row>
    <row r="263" spans="1:10" s="607" customFormat="1" ht="15" hidden="1" customHeight="1">
      <c r="A263" s="1164"/>
      <c r="B263" s="1167"/>
      <c r="C263" s="1170"/>
      <c r="D263" s="1047"/>
      <c r="E263" s="1001"/>
      <c r="F263" s="877">
        <f t="shared" ref="F263" si="178">IF($G143&lt;=10000000,ROUND(3.25,2),0)</f>
        <v>3.25</v>
      </c>
      <c r="G263" s="874" t="s">
        <v>2332</v>
      </c>
      <c r="H263" s="877">
        <f>IF($G143&lt;=10000000,ROUND(3.25,2),0)</f>
        <v>3.25</v>
      </c>
      <c r="I263" s="877">
        <f t="shared" ref="I263" si="179">IF($G143&lt;=10000000,ROUND(3.25,2),0)</f>
        <v>3.25</v>
      </c>
    </row>
    <row r="264" spans="1:10" s="607" customFormat="1" ht="14.25" hidden="1" customHeight="1">
      <c r="A264" s="1164"/>
      <c r="B264" s="1167"/>
      <c r="C264" s="1169" t="s">
        <v>2333</v>
      </c>
      <c r="D264" s="1180"/>
      <c r="E264" s="876"/>
      <c r="F264" s="878">
        <f t="shared" ref="F264" si="180">IF($G143&gt;10000000,ROUND(5.78*($G143/1000)^-0.0313,2),0)</f>
        <v>0</v>
      </c>
      <c r="G264" s="874" t="s">
        <v>2331</v>
      </c>
      <c r="H264" s="878">
        <f>IF($G143&gt;10000000,ROUND(5.78*($G143/1000)^-0.0313,2),0)</f>
        <v>0</v>
      </c>
      <c r="I264" s="878">
        <f t="shared" ref="I264" si="181">IF($G143&gt;10000000,ROUND(5.78*($G143/1000)^-0.0313,2),0)</f>
        <v>0</v>
      </c>
    </row>
    <row r="265" spans="1:10" s="607" customFormat="1" ht="15" hidden="1" customHeight="1">
      <c r="A265" s="1165"/>
      <c r="B265" s="1168"/>
      <c r="C265" s="1170"/>
      <c r="D265" s="1047"/>
      <c r="E265" s="1001"/>
      <c r="F265" s="878">
        <f t="shared" ref="F265" si="182">IF($G143&gt;10000000,ROUND(4.34*($G143/1000)^-0.0313,2),0)</f>
        <v>0</v>
      </c>
      <c r="G265" s="874" t="s">
        <v>2332</v>
      </c>
      <c r="H265" s="878">
        <f>IF($G143&gt;10000000,ROUND(4.34*($G143/1000)^-0.0313,2),0)</f>
        <v>0</v>
      </c>
      <c r="I265" s="878">
        <f t="shared" ref="I265" si="183">IF($G143&gt;10000000,ROUND(4.34*($G143/1000)^-0.0313,2),0)</f>
        <v>0</v>
      </c>
    </row>
    <row r="266" spans="1:10" s="607" customFormat="1" ht="15" hidden="1" customHeight="1">
      <c r="A266" s="1151" t="s">
        <v>2334</v>
      </c>
      <c r="B266" s="1152"/>
      <c r="C266" s="1152"/>
      <c r="D266" s="1152"/>
      <c r="E266" s="1152"/>
      <c r="F266" s="878">
        <f>IF($G143&lt;=10000000,IF(F$261&gt;F$262,F$262,IF(F$261&lt;F$263,F$263,F$261)),IF(F$261&gt;F$264,F$264,IF(F$261&lt;F$265,F$265,F$261)))</f>
        <v>3.25</v>
      </c>
      <c r="G266" s="992"/>
      <c r="H266" s="878">
        <f>IF($G143&lt;=10000000,IF(H$261&gt;H$262,H$262,IF(H$261&lt;H$263,H$263,H$261)),IF(H$261&gt;H$264,H$264,IF(H$261&lt;H$265,H$265,H$261)))</f>
        <v>3.25</v>
      </c>
      <c r="I266" s="878">
        <f t="shared" ref="I266" si="184">IF($G143&lt;=10000000,IF(I$261&gt;I$262,I$262,IF(I$261&lt;I$263,I$263,I$261)),IF(I$261&gt;I$264,I$264,IF(I$261&lt;I$265,I$265,I$261)))</f>
        <v>3.25</v>
      </c>
    </row>
    <row r="267" spans="1:10" s="607" customFormat="1" ht="15" hidden="1" customHeight="1" thickBot="1">
      <c r="A267" s="1153" t="s">
        <v>2335</v>
      </c>
      <c r="B267" s="1154"/>
      <c r="C267" s="1154"/>
      <c r="D267" s="1154"/>
      <c r="E267" s="1154"/>
      <c r="F267" s="879">
        <f t="shared" ref="F267" si="185">ROUND(F266*IF(AND(F91="駅施設",F92="無し"),0.7,IF(AND(F91="駅施設",F92="有り"),0.7,IF(AND(F91="地上建物",F92="無し"),0.9,IF(AND(F91="地上建物",F92="有り"),1,0)))),2)</f>
        <v>0</v>
      </c>
      <c r="G267" s="993"/>
      <c r="H267" s="879">
        <f>ROUND(H266*IF(AND(H91="駅施設",H92="無し"),0.7,IF(AND(H91="駅施設",H92="有り"),0.7,IF(AND(H91="地上建物",H92="無し"),0.9,IF(AND(H91="地上建物",H92="有り"),1,0)))),2)</f>
        <v>2.2799999999999998</v>
      </c>
      <c r="I267" s="879">
        <f t="shared" ref="I267" si="186">ROUND(I266*IF(AND(I91="駅施設",I92="無し"),0.7,IF(AND(I91="駅施設",I92="有り"),0.7,IF(AND(I91="地上建物",I92="無し"),0.9,IF(AND(I91="地上建物",I92="有り"),1,0)))),2)</f>
        <v>2.2799999999999998</v>
      </c>
    </row>
    <row r="268" spans="1:10" s="607" customFormat="1" ht="15" hidden="1" customHeight="1" thickBot="1">
      <c r="F268" s="880"/>
      <c r="H268" s="880"/>
      <c r="I268" s="880"/>
    </row>
    <row r="269" spans="1:10" s="607" customFormat="1" ht="15" hidden="1" customHeight="1">
      <c r="A269" s="866"/>
      <c r="B269" s="867"/>
      <c r="C269" s="868" t="s">
        <v>2325</v>
      </c>
      <c r="D269" s="869"/>
      <c r="E269" s="867"/>
      <c r="F269" s="871">
        <f t="shared" ref="F269" si="187">+F86</f>
        <v>0</v>
      </c>
      <c r="G269" s="870" t="s">
        <v>2326</v>
      </c>
      <c r="H269" s="871">
        <f t="shared" ref="H269:I269" si="188">+H86</f>
        <v>0</v>
      </c>
      <c r="I269" s="871">
        <f t="shared" si="188"/>
        <v>0</v>
      </c>
    </row>
    <row r="270" spans="1:10" s="607" customFormat="1" ht="15" hidden="1" customHeight="1">
      <c r="A270" s="1163"/>
      <c r="B270" s="1166" t="s">
        <v>2336</v>
      </c>
      <c r="C270" s="872" t="s">
        <v>2328</v>
      </c>
      <c r="D270" s="717"/>
      <c r="E270" s="873"/>
      <c r="F270" s="875">
        <f>IF($G143&lt;=5000000,ROUND(18.03*(5000^-0.2027)*(F269^0.4017),2),ROUND(18.03*(($G143/1000)^-0.2027)*(F269^0.4017),2))</f>
        <v>0</v>
      </c>
      <c r="G270" s="874" t="s">
        <v>2337</v>
      </c>
      <c r="H270" s="875">
        <f>IF($G143&lt;=5000000,ROUND(18.03*(5000^-0.2027)*(H269^0.4017),2),ROUND(18.03*(($G143/1000)^-0.2027)*(H269^0.4017),2))</f>
        <v>0</v>
      </c>
      <c r="I270" s="875">
        <f t="shared" ref="I270" si="189">IF($G143&lt;=5000000,ROUND(18.03*(5000^-0.2027)*(I269^0.4017),2),ROUND(18.03*(($G143/1000)^-0.2027)*(I269^0.4017),2))</f>
        <v>0</v>
      </c>
    </row>
    <row r="271" spans="1:10" s="607" customFormat="1" ht="15" hidden="1" customHeight="1">
      <c r="A271" s="1164"/>
      <c r="B271" s="1167"/>
      <c r="C271" s="1169" t="s">
        <v>2338</v>
      </c>
      <c r="D271" s="1180"/>
      <c r="E271" s="876"/>
      <c r="F271" s="877">
        <f t="shared" ref="F271" si="190">IF($G143&lt;=5000000,ROUND(6.07,2),0)</f>
        <v>6.07</v>
      </c>
      <c r="G271" s="874" t="s">
        <v>2331</v>
      </c>
      <c r="H271" s="877">
        <f>IF($G143&lt;=5000000,ROUND(6.07,2),0)</f>
        <v>6.07</v>
      </c>
      <c r="I271" s="877">
        <f t="shared" ref="I271" si="191">IF($G143&lt;=5000000,ROUND(6.07,2),0)</f>
        <v>6.07</v>
      </c>
    </row>
    <row r="272" spans="1:10" s="607" customFormat="1" ht="15" hidden="1" customHeight="1">
      <c r="A272" s="1164"/>
      <c r="B272" s="1167"/>
      <c r="C272" s="1170"/>
      <c r="D272" s="1047"/>
      <c r="E272" s="1001"/>
      <c r="F272" s="877">
        <f t="shared" ref="F272" si="192">IF($G143&lt;=5000000,ROUND(3.59,2),0)</f>
        <v>3.59</v>
      </c>
      <c r="G272" s="874" t="s">
        <v>2332</v>
      </c>
      <c r="H272" s="877">
        <f>IF($G143&lt;=5000000,ROUND(3.59,2),0)</f>
        <v>3.59</v>
      </c>
      <c r="I272" s="877">
        <f t="shared" ref="I272" si="193">IF($G143&lt;=5000000,ROUND(3.59,2),0)</f>
        <v>3.59</v>
      </c>
    </row>
    <row r="273" spans="1:9" s="607" customFormat="1" ht="15" hidden="1" customHeight="1">
      <c r="A273" s="1164"/>
      <c r="B273" s="1167"/>
      <c r="C273" s="1169" t="s">
        <v>2339</v>
      </c>
      <c r="D273" s="1180"/>
      <c r="E273" s="876"/>
      <c r="F273" s="878">
        <f t="shared" ref="F273" si="194">IF($G143&gt;5000000,ROUND(11.74*($G143/1000)^-0.0774,2),0)</f>
        <v>0</v>
      </c>
      <c r="G273" s="874" t="s">
        <v>2331</v>
      </c>
      <c r="H273" s="878">
        <f>IF($G143&gt;5000000,ROUND(11.74*($G143/1000)^-0.0774,2),0)</f>
        <v>0</v>
      </c>
      <c r="I273" s="878">
        <f t="shared" ref="I273" si="195">IF($G143&gt;5000000,ROUND(11.74*($G143/1000)^-0.0774,2),0)</f>
        <v>0</v>
      </c>
    </row>
    <row r="274" spans="1:9" s="607" customFormat="1" ht="15" hidden="1" customHeight="1">
      <c r="A274" s="1165"/>
      <c r="B274" s="1168"/>
      <c r="C274" s="1170"/>
      <c r="D274" s="1047"/>
      <c r="E274" s="1001"/>
      <c r="F274" s="878">
        <f t="shared" ref="F274" si="196">IF($G143&gt;5000000,ROUND(6.94*($G143/1000)^-0.0774,2),0)</f>
        <v>0</v>
      </c>
      <c r="G274" s="874" t="s">
        <v>2332</v>
      </c>
      <c r="H274" s="878">
        <f>IF($G143&gt;5000000,ROUND(6.94*($G143/1000)^-0.0774,2),0)</f>
        <v>0</v>
      </c>
      <c r="I274" s="878">
        <f t="shared" ref="I274" si="197">IF($G143&gt;5000000,ROUND(6.94*($G143/1000)^-0.0774,2),0)</f>
        <v>0</v>
      </c>
    </row>
    <row r="275" spans="1:9" s="607" customFormat="1" ht="15" hidden="1" customHeight="1">
      <c r="A275" s="1151" t="s">
        <v>2334</v>
      </c>
      <c r="B275" s="1152"/>
      <c r="C275" s="1152"/>
      <c r="D275" s="1152"/>
      <c r="E275" s="1152"/>
      <c r="F275" s="881">
        <f>IF($G143&lt;=5000000,IF(F$270&gt;F$271,F$271,IF(F$270&lt;F$272,F$272,F$270)),IF(F$270&gt;F$273,F$273,IF(F$270&lt;F$274,F$274,F$270)))</f>
        <v>3.59</v>
      </c>
      <c r="G275" s="992"/>
      <c r="H275" s="881">
        <f>IF($G143&lt;=5000000,IF(H$270&gt;H$271,H$271,IF(H$270&lt;H$272,H$272,H$270)),IF(H$270&gt;H$273,H$273,IF(H$270&lt;H$274,H$274,H$270)))</f>
        <v>3.59</v>
      </c>
      <c r="I275" s="881">
        <f t="shared" ref="I275" si="198">IF($G143&lt;=5000000,IF(I$270&gt;I$271,I$271,IF(I$270&lt;I$272,I$272,I$270)),IF(I$270&gt;I$273,I$273,IF(I$270&lt;I$274,I$274,I$270)))</f>
        <v>3.59</v>
      </c>
    </row>
    <row r="276" spans="1:9" s="607" customFormat="1" ht="15" hidden="1" customHeight="1" thickBot="1">
      <c r="A276" s="1153" t="s">
        <v>2335</v>
      </c>
      <c r="B276" s="1154"/>
      <c r="C276" s="1154"/>
      <c r="D276" s="1154"/>
      <c r="E276" s="1154"/>
      <c r="F276" s="879">
        <f t="shared" ref="F276" si="199">ROUND(F275*IF(AND(F91="駅施設",F92="無し"),0.7,IF(AND(F91="駅施設",F92="有り"),0.7,IF(AND(F91="地上建物",F92="無し"),0.9,IF(AND(F91="地上建物",F92="有り"),1,0)))),2)</f>
        <v>0</v>
      </c>
      <c r="G276" s="993"/>
      <c r="H276" s="879">
        <f>ROUND(H275*IF(AND(H91="駅施設",H92="無し"),0.7,IF(AND(H91="駅施設",H92="有り"),0.7,IF(AND(H91="地上建物",H92="無し"),0.9,IF(AND(H91="地上建物",H92="有り"),1,0)))),2)</f>
        <v>2.5099999999999998</v>
      </c>
      <c r="I276" s="879">
        <f t="shared" ref="I276" si="200">ROUND(I275*IF(AND(I91="駅施設",I92="無し"),0.7,IF(AND(I91="駅施設",I92="有り"),0.7,IF(AND(I91="地上建物",I92="無し"),0.9,IF(AND(I91="地上建物",I92="有り"),1,0)))),2)</f>
        <v>2.5099999999999998</v>
      </c>
    </row>
    <row r="277" spans="1:9" s="607" customFormat="1" ht="15" hidden="1" customHeight="1" thickBot="1">
      <c r="F277" s="865"/>
      <c r="H277" s="865"/>
      <c r="I277" s="865"/>
    </row>
    <row r="278" spans="1:9" s="607" customFormat="1" ht="15" hidden="1" customHeight="1">
      <c r="A278" s="866"/>
      <c r="B278" s="867"/>
      <c r="C278" s="868" t="s">
        <v>2340</v>
      </c>
      <c r="D278" s="869"/>
      <c r="E278" s="867"/>
      <c r="F278" s="871">
        <f t="shared" ref="F278" si="201">+F286</f>
        <v>0</v>
      </c>
      <c r="G278" s="870" t="s">
        <v>2326</v>
      </c>
      <c r="H278" s="871">
        <f>+H286</f>
        <v>0</v>
      </c>
      <c r="I278" s="871">
        <f t="shared" ref="I278" si="202">+I286</f>
        <v>0</v>
      </c>
    </row>
    <row r="279" spans="1:9" s="607" customFormat="1" ht="15" hidden="1" customHeight="1">
      <c r="A279" s="1163"/>
      <c r="B279" s="1166" t="s">
        <v>2327</v>
      </c>
      <c r="C279" s="872" t="s">
        <v>2341</v>
      </c>
      <c r="D279" s="717"/>
      <c r="E279" s="873"/>
      <c r="F279" s="875">
        <f>IF($G182&lt;=10000000,ROUND(151.08*((10000)^-0.3396)*(F278^0.586),2),ROUND(151.08*(($G182/1000)^-0.3396)*(F278^0.586),2))</f>
        <v>0</v>
      </c>
      <c r="G279" s="874" t="s">
        <v>2342</v>
      </c>
      <c r="H279" s="875">
        <f>IF($G182&lt;=10000000,ROUND(151.08*((10000)^-0.3396)*(H278^0.586),2),ROUND(151.08*(($G182/1000)^-0.3396)*(H278^0.586),2))</f>
        <v>0</v>
      </c>
      <c r="I279" s="875">
        <f t="shared" ref="I279" si="203">IF($G182&lt;=10000000,ROUND(151.08*((10000)^-0.3396)*(I278^0.586),2),ROUND(151.08*(($G182/1000)^-0.3396)*(I278^0.586),2))</f>
        <v>0</v>
      </c>
    </row>
    <row r="280" spans="1:9" s="607" customFormat="1" ht="15" hidden="1" customHeight="1">
      <c r="A280" s="1164"/>
      <c r="B280" s="1167"/>
      <c r="C280" s="1169" t="s">
        <v>2343</v>
      </c>
      <c r="D280" s="1180"/>
      <c r="E280" s="876"/>
      <c r="F280" s="877">
        <f t="shared" ref="F280" si="204">IF($G182&lt;=10000000,ROUND(20.13,2),0)</f>
        <v>20.13</v>
      </c>
      <c r="G280" s="874" t="s">
        <v>2331</v>
      </c>
      <c r="H280" s="877">
        <f>IF($G182&lt;=10000000,ROUND(20.13,2),0)</f>
        <v>20.13</v>
      </c>
      <c r="I280" s="877">
        <f t="shared" ref="I280" si="205">IF($G182&lt;=10000000,ROUND(20.13,2),0)</f>
        <v>20.13</v>
      </c>
    </row>
    <row r="281" spans="1:9" s="607" customFormat="1" ht="15" hidden="1" customHeight="1">
      <c r="A281" s="1164"/>
      <c r="B281" s="1167"/>
      <c r="C281" s="1170"/>
      <c r="D281" s="1047"/>
      <c r="E281" s="1001"/>
      <c r="F281" s="877">
        <f t="shared" ref="F281" si="206">IF($G182&lt;=10000000,ROUND(10.01,2),0)</f>
        <v>10.01</v>
      </c>
      <c r="G281" s="874" t="s">
        <v>2332</v>
      </c>
      <c r="H281" s="877">
        <f>IF($G182&lt;=10000000,ROUND(10.01,2),0)</f>
        <v>10.01</v>
      </c>
      <c r="I281" s="877">
        <f t="shared" ref="I281" si="207">IF($G182&lt;=10000000,ROUND(10.01,2),0)</f>
        <v>10.01</v>
      </c>
    </row>
    <row r="282" spans="1:9" s="607" customFormat="1" ht="15" hidden="1" customHeight="1">
      <c r="A282" s="1164"/>
      <c r="B282" s="1167"/>
      <c r="C282" s="1169" t="s">
        <v>2344</v>
      </c>
      <c r="D282" s="1180"/>
      <c r="E282" s="876"/>
      <c r="F282" s="878">
        <f t="shared" ref="F282" si="208">IF($G182&gt;10000000,ROUND(75.97*($G182/1000)^-0.1442,2),0)</f>
        <v>0</v>
      </c>
      <c r="G282" s="874" t="s">
        <v>2331</v>
      </c>
      <c r="H282" s="878">
        <f>IF($G182&gt;10000000,ROUND(75.97*($G182/1000)^-0.1442,2),0)</f>
        <v>0</v>
      </c>
      <c r="I282" s="878">
        <f t="shared" ref="I282" si="209">IF($G182&gt;10000000,ROUND(75.97*($G182/1000)^-0.1442,2),0)</f>
        <v>0</v>
      </c>
    </row>
    <row r="283" spans="1:9" s="607" customFormat="1" ht="15" hidden="1" customHeight="1">
      <c r="A283" s="1165"/>
      <c r="B283" s="1168"/>
      <c r="C283" s="1170"/>
      <c r="D283" s="1047"/>
      <c r="E283" s="1001"/>
      <c r="F283" s="878">
        <f t="shared" ref="F283" si="210">IF($G182&gt;10000000,ROUND(37.76*($G182/1000)^-0.1442,2),0)</f>
        <v>0</v>
      </c>
      <c r="G283" s="874" t="s">
        <v>2332</v>
      </c>
      <c r="H283" s="878">
        <f>IF($G182&gt;10000000,ROUND(37.76*($G182/1000)^-0.1442,2),0)</f>
        <v>0</v>
      </c>
      <c r="I283" s="878">
        <f t="shared" ref="I283" si="211">IF($G182&gt;10000000,ROUND(37.76*($G182/1000)^-0.1442,2),0)</f>
        <v>0</v>
      </c>
    </row>
    <row r="284" spans="1:9" s="607" customFormat="1" ht="15" hidden="1" customHeight="1" thickBot="1">
      <c r="A284" s="1171" t="s">
        <v>2345</v>
      </c>
      <c r="B284" s="1172"/>
      <c r="C284" s="1172"/>
      <c r="D284" s="1172"/>
      <c r="E284" s="1181"/>
      <c r="F284" s="883">
        <f>IF($G182&lt;=10000000,IF(F$279&gt;F$280,F$280,IF(F$279&lt;F$281,F$281,F$279)),IF(F$279&gt;F$282,F$282,IF(F$279&lt;F$283,F$283,F$279)))</f>
        <v>10.01</v>
      </c>
      <c r="G284" s="882"/>
      <c r="H284" s="883">
        <f>IF($G182&lt;=10000000,IF(H$279&gt;H$280,H$280,IF(H$279&lt;H$281,H$281,H$279)),IF(H$279&gt;H$282,H$282,IF(H$279&lt;H$283,H$283,H$279)))</f>
        <v>10.01</v>
      </c>
      <c r="I284" s="883">
        <f t="shared" ref="I284" si="212">IF($G182&lt;=10000000,IF(I$279&gt;I$280,I$280,IF(I$279&lt;I$281,I$281,I$279)),IF(I$279&gt;I$282,I$282,IF(I$279&lt;I$283,I$283,I$279)))</f>
        <v>10.01</v>
      </c>
    </row>
    <row r="285" spans="1:9" s="607" customFormat="1" ht="15" hidden="1" customHeight="1" thickBot="1">
      <c r="F285" s="880"/>
      <c r="H285" s="880"/>
      <c r="I285" s="880"/>
    </row>
    <row r="286" spans="1:9" s="607" customFormat="1" ht="15" hidden="1" customHeight="1">
      <c r="A286" s="866"/>
      <c r="B286" s="867"/>
      <c r="C286" s="868" t="s">
        <v>2340</v>
      </c>
      <c r="D286" s="869"/>
      <c r="E286" s="867"/>
      <c r="F286" s="871">
        <f t="shared" ref="F286" si="213">+F86</f>
        <v>0</v>
      </c>
      <c r="G286" s="870" t="s">
        <v>2326</v>
      </c>
      <c r="H286" s="871">
        <f t="shared" ref="H286:I286" si="214">+H86</f>
        <v>0</v>
      </c>
      <c r="I286" s="871">
        <f t="shared" si="214"/>
        <v>0</v>
      </c>
    </row>
    <row r="287" spans="1:9" s="607" customFormat="1" ht="15" hidden="1" customHeight="1">
      <c r="A287" s="1163"/>
      <c r="B287" s="1166" t="s">
        <v>2336</v>
      </c>
      <c r="C287" s="872" t="s">
        <v>2341</v>
      </c>
      <c r="D287" s="717"/>
      <c r="E287" s="873"/>
      <c r="F287" s="875">
        <f>IF($G182&lt;=5000000,ROUND(356.2*((5000)^-0.4085)*(F286^0.5766),2),ROUND(356.2*(($G182/1000)^-0.4085)*(F286^0.5766),2))</f>
        <v>0</v>
      </c>
      <c r="G287" s="874" t="s">
        <v>2342</v>
      </c>
      <c r="H287" s="875">
        <f>IF($G182&lt;=5000000,ROUND(356.2*((5000)^-0.4085)*(H286^0.5766),2),ROUND(356.2*(($G182/1000)^-0.4085)*(H286^0.5766),2))</f>
        <v>0</v>
      </c>
      <c r="I287" s="875">
        <f t="shared" ref="I287" si="215">IF($G182&lt;=5000000,ROUND(356.2*((5000)^-0.4085)*(I286^0.5766),2),ROUND(356.2*(($G182/1000)^-0.4085)*(I286^0.5766),2))</f>
        <v>0</v>
      </c>
    </row>
    <row r="288" spans="1:9" s="607" customFormat="1" ht="15" hidden="1" customHeight="1">
      <c r="A288" s="1164"/>
      <c r="B288" s="1167"/>
      <c r="C288" s="1169" t="s">
        <v>2346</v>
      </c>
      <c r="D288" s="1180"/>
      <c r="E288" s="876"/>
      <c r="F288" s="877">
        <f t="shared" ref="F288" si="216">IF($G182&lt;=5000000,ROUND(26.86,2),0)</f>
        <v>26.86</v>
      </c>
      <c r="G288" s="874" t="s">
        <v>2331</v>
      </c>
      <c r="H288" s="877">
        <f>IF($G182&lt;=5000000,ROUND(26.86,2),0)</f>
        <v>26.86</v>
      </c>
      <c r="I288" s="877">
        <f t="shared" ref="I288" si="217">IF($G182&lt;=5000000,ROUND(26.86,2),0)</f>
        <v>26.86</v>
      </c>
    </row>
    <row r="289" spans="1:11" s="607" customFormat="1" ht="15" hidden="1" customHeight="1">
      <c r="A289" s="1164"/>
      <c r="B289" s="1167"/>
      <c r="C289" s="1170"/>
      <c r="D289" s="1047"/>
      <c r="E289" s="1001"/>
      <c r="F289" s="877">
        <f t="shared" ref="F289" si="218">IF($G182&lt;=5000000,ROUND(12.7,2),0)</f>
        <v>12.7</v>
      </c>
      <c r="G289" s="874" t="s">
        <v>2332</v>
      </c>
      <c r="H289" s="877">
        <f>IF($G182&lt;=5000000,ROUND(12.7,2),0)</f>
        <v>12.7</v>
      </c>
      <c r="I289" s="877">
        <f t="shared" ref="I289" si="219">IF($G182&lt;=5000000,ROUND(12.7,2),0)</f>
        <v>12.7</v>
      </c>
    </row>
    <row r="290" spans="1:11" s="607" customFormat="1" ht="15" hidden="1" customHeight="1">
      <c r="A290" s="1164"/>
      <c r="B290" s="1167"/>
      <c r="C290" s="1169" t="s">
        <v>2347</v>
      </c>
      <c r="D290" s="1180"/>
      <c r="E290" s="876"/>
      <c r="F290" s="878">
        <f t="shared" ref="F290" si="220">IF($G182&gt;5000000,ROUND(184.58*($G182/1000)^-0.2263,2),0)</f>
        <v>0</v>
      </c>
      <c r="G290" s="874" t="s">
        <v>2331</v>
      </c>
      <c r="H290" s="878">
        <f>IF($G182&gt;5000000,ROUND(184.58*($G182/1000)^-0.2263,2),0)</f>
        <v>0</v>
      </c>
      <c r="I290" s="878">
        <f t="shared" ref="I290" si="221">IF($G182&gt;5000000,ROUND(184.58*($G182/1000)^-0.2263,2),0)</f>
        <v>0</v>
      </c>
    </row>
    <row r="291" spans="1:11" s="607" customFormat="1" ht="15" hidden="1" customHeight="1">
      <c r="A291" s="1165"/>
      <c r="B291" s="1168"/>
      <c r="C291" s="1170"/>
      <c r="D291" s="1047"/>
      <c r="E291" s="1001"/>
      <c r="F291" s="878">
        <f t="shared" ref="F291" si="222">IF($G182&gt;5000000,ROUND(87.29*($G182/1000)^-0.2263,2),0)</f>
        <v>0</v>
      </c>
      <c r="G291" s="874" t="s">
        <v>2332</v>
      </c>
      <c r="H291" s="878">
        <f>IF($G182&gt;5000000,ROUND(87.29*($G182/1000)^-0.2263,2),0)</f>
        <v>0</v>
      </c>
      <c r="I291" s="878">
        <f t="shared" ref="I291" si="223">IF($G182&gt;5000000,ROUND(87.29*($G182/1000)^-0.2263,2),0)</f>
        <v>0</v>
      </c>
    </row>
    <row r="292" spans="1:11" s="607" customFormat="1" ht="15" hidden="1" customHeight="1" thickBot="1">
      <c r="A292" s="1171" t="s">
        <v>2345</v>
      </c>
      <c r="B292" s="1172"/>
      <c r="C292" s="1172"/>
      <c r="D292" s="1172"/>
      <c r="E292" s="884"/>
      <c r="F292" s="885">
        <f>IF($G182&lt;=5000000,IF(F$287&gt;F$288,F$288,IF(F$287&lt;F$289,F$289,F$287)),IF(F$287&gt;F$290,F$290,IF(F$287&lt;F$291,F$291,F$287)))</f>
        <v>12.7</v>
      </c>
      <c r="G292" s="882"/>
      <c r="H292" s="885">
        <f>IF($G182&lt;=5000000,IF(H$287&gt;H$288,H$288,IF(H$287&lt;H$289,H$289,H$287)),IF(H$287&gt;H$290,H$290,IF(H$287&lt;H$291,H$291,H$287)))</f>
        <v>12.7</v>
      </c>
      <c r="I292" s="885">
        <f t="shared" ref="I292" si="224">IF($G182&lt;=5000000,IF(I$287&gt;I$288,I$288,IF(I$287&lt;I$289,I$289,I$287)),IF(I$287&gt;I$290,I$290,IF(I$287&lt;I$291,I$291,I$287)))</f>
        <v>12.7</v>
      </c>
    </row>
    <row r="293" spans="1:11" s="607" customFormat="1" ht="15" hidden="1" customHeight="1" thickBot="1">
      <c r="F293" s="865"/>
      <c r="H293" s="865"/>
      <c r="I293" s="865"/>
    </row>
    <row r="294" spans="1:11" s="607" customFormat="1" ht="15" hidden="1" customHeight="1">
      <c r="A294" s="866"/>
      <c r="B294" s="867"/>
      <c r="C294" s="868" t="s">
        <v>2348</v>
      </c>
      <c r="D294" s="869"/>
      <c r="E294" s="867"/>
      <c r="F294" s="887"/>
      <c r="G294" s="870"/>
      <c r="H294" s="886"/>
      <c r="I294" s="887"/>
    </row>
    <row r="295" spans="1:11" s="607" customFormat="1" ht="14.25" hidden="1" customHeight="1">
      <c r="A295" s="1163"/>
      <c r="B295" s="1166" t="s">
        <v>77</v>
      </c>
      <c r="C295" s="872" t="s">
        <v>2349</v>
      </c>
      <c r="D295" s="717"/>
      <c r="E295" s="873"/>
      <c r="F295" s="889"/>
      <c r="G295" s="874" t="s">
        <v>2350</v>
      </c>
      <c r="H295" s="888" t="e">
        <f>ROUND(28.978-3.173*LOG($G226/1000),2)</f>
        <v>#NUM!</v>
      </c>
      <c r="I295" s="889"/>
    </row>
    <row r="296" spans="1:11" s="607" customFormat="1" ht="14.25" hidden="1" customHeight="1">
      <c r="A296" s="1164"/>
      <c r="B296" s="1167"/>
      <c r="C296" s="1169" t="s">
        <v>2351</v>
      </c>
      <c r="D296" s="1180"/>
      <c r="E296" s="1180"/>
      <c r="F296" s="892"/>
      <c r="G296" s="890"/>
      <c r="H296" s="891">
        <f>IF($G226&lt;=5000000,17.24,0)</f>
        <v>17.239999999999998</v>
      </c>
      <c r="I296" s="892"/>
    </row>
    <row r="297" spans="1:11" s="607" customFormat="1" ht="15" hidden="1" customHeight="1">
      <c r="A297" s="1165"/>
      <c r="B297" s="1168"/>
      <c r="C297" s="1169" t="s">
        <v>2352</v>
      </c>
      <c r="D297" s="1180"/>
      <c r="E297" s="717"/>
      <c r="F297" s="894"/>
      <c r="G297" s="890"/>
      <c r="H297" s="891">
        <f>IF($G226&gt;3000000000,8.43,0)</f>
        <v>0</v>
      </c>
      <c r="I297" s="894"/>
    </row>
    <row r="298" spans="1:11" s="607" customFormat="1" ht="15" hidden="1" customHeight="1" thickBot="1">
      <c r="A298" s="1171" t="s">
        <v>2353</v>
      </c>
      <c r="B298" s="1172"/>
      <c r="C298" s="1172"/>
      <c r="D298" s="1172"/>
      <c r="E298" s="884"/>
      <c r="F298" s="896"/>
      <c r="G298" s="882"/>
      <c r="H298" s="895">
        <f>IF($G226&lt;=5000000,H296,IF($G226&gt;3000000000,H297,H295))</f>
        <v>17.239999999999998</v>
      </c>
      <c r="I298" s="896"/>
    </row>
    <row r="299" spans="1:11" ht="15" hidden="1" customHeight="1">
      <c r="K299" s="607"/>
    </row>
    <row r="300" spans="1:11" s="602" customFormat="1" ht="15">
      <c r="A300" s="702"/>
      <c r="B300" s="702"/>
      <c r="C300" s="622"/>
      <c r="D300" s="622"/>
      <c r="E300" s="1116" t="s">
        <v>2162</v>
      </c>
      <c r="F300" s="627"/>
      <c r="G300" s="732">
        <f>+G84</f>
        <v>0</v>
      </c>
      <c r="H300" s="707"/>
      <c r="I300" s="708"/>
      <c r="J300" s="880" t="s">
        <v>2354</v>
      </c>
    </row>
    <row r="301" spans="1:11" s="607" customFormat="1" ht="15" customHeight="1">
      <c r="A301" s="709"/>
      <c r="B301" s="709"/>
      <c r="C301" s="1117" t="s">
        <v>2355</v>
      </c>
      <c r="D301" s="739"/>
      <c r="E301" s="1748"/>
      <c r="F301" s="1749"/>
      <c r="G301" s="1712" t="s">
        <v>3097</v>
      </c>
      <c r="H301" s="1720" t="str">
        <f>D3</f>
        <v>無し</v>
      </c>
      <c r="I301" s="1271"/>
    </row>
    <row r="302" spans="1:11" s="602" customFormat="1" ht="15" customHeight="1">
      <c r="A302" s="595"/>
      <c r="B302" s="596"/>
      <c r="C302" s="597" t="s">
        <v>2168</v>
      </c>
      <c r="D302" s="598"/>
      <c r="E302" s="599"/>
      <c r="F302" s="601">
        <f ca="1">+F10</f>
        <v>0</v>
      </c>
      <c r="G302" s="600" t="s">
        <v>2243</v>
      </c>
      <c r="H302" s="601">
        <f t="shared" ref="H302:I302" ca="1" si="225">+H10</f>
        <v>0</v>
      </c>
      <c r="I302" s="601">
        <f t="shared" ca="1" si="225"/>
        <v>0</v>
      </c>
      <c r="J302" s="916"/>
    </row>
    <row r="303" spans="1:11" s="602" customFormat="1" ht="15" customHeight="1">
      <c r="A303" s="994"/>
      <c r="B303" s="995"/>
      <c r="C303" s="1176" t="s">
        <v>2169</v>
      </c>
      <c r="D303" s="1177"/>
      <c r="E303" s="603"/>
      <c r="F303" s="899">
        <f>F11</f>
        <v>0</v>
      </c>
      <c r="G303" s="604" t="s">
        <v>2244</v>
      </c>
      <c r="H303" s="899" t="str">
        <f t="shared" ref="H303:I303" si="226">H11</f>
        <v>改修</v>
      </c>
      <c r="I303" s="899" t="str">
        <f t="shared" si="226"/>
        <v>改修</v>
      </c>
      <c r="J303" s="916"/>
    </row>
    <row r="304" spans="1:11" s="607" customFormat="1" ht="15" customHeight="1">
      <c r="A304" s="994"/>
      <c r="B304" s="995"/>
      <c r="C304" s="995" t="s">
        <v>2245</v>
      </c>
      <c r="D304" s="995"/>
      <c r="E304" s="817" t="str">
        <f>+E88</f>
        <v>有り</v>
      </c>
      <c r="F304" s="1287" t="e">
        <f>IF(F88="既発注無し",CONCATENATE("工事",RIGHT(E304,LEN(E304)-FIND("事",E304,1))+1),F88)</f>
        <v>#VALUE!</v>
      </c>
      <c r="G304" s="714" t="s">
        <v>2165</v>
      </c>
      <c r="H304" s="1287" t="str">
        <f t="shared" ref="H304:I304" si="227">IF(H88="既発注無し",CONCATENATE("工事",RIGHT(G304,LEN(G304)-FIND("事",G304,1))+1),H88)</f>
        <v>工事1</v>
      </c>
      <c r="I304" s="1287" t="str">
        <f t="shared" si="227"/>
        <v>工事2</v>
      </c>
      <c r="J304" s="915"/>
    </row>
    <row r="305" spans="1:10" s="607" customFormat="1" ht="15" customHeight="1">
      <c r="A305" s="994"/>
      <c r="B305" s="995"/>
      <c r="C305" s="995" t="s">
        <v>2247</v>
      </c>
      <c r="D305" s="995"/>
      <c r="E305" s="1719" t="str">
        <f>IF($H$301="有り","有り",$E$89)</f>
        <v>有り</v>
      </c>
      <c r="F305" s="1365" t="str">
        <f ca="1">F4</f>
        <v>-</v>
      </c>
      <c r="G305" s="1710" t="s">
        <v>2248</v>
      </c>
      <c r="H305" s="1365">
        <f t="shared" ref="H305:I305" ca="1" si="228">H4</f>
        <v>0</v>
      </c>
      <c r="I305" s="1365">
        <f t="shared" ca="1" si="228"/>
        <v>0</v>
      </c>
      <c r="J305" s="915"/>
    </row>
    <row r="306" spans="1:10" s="607" customFormat="1" ht="15" customHeight="1">
      <c r="B306" s="995"/>
      <c r="C306" s="995"/>
      <c r="D306" s="995"/>
      <c r="F306" s="1002">
        <f>+F12</f>
        <v>0</v>
      </c>
      <c r="G306" s="827" t="s">
        <v>2170</v>
      </c>
      <c r="H306" s="606" t="str">
        <f t="shared" ref="H306:I306" si="229">+H12</f>
        <v>積上げ・率処理併用</v>
      </c>
      <c r="I306" s="606" t="str">
        <f t="shared" si="229"/>
        <v>積上げ・率処理併用</v>
      </c>
      <c r="J306" s="915"/>
    </row>
    <row r="307" spans="1:10" s="607" customFormat="1" ht="24.75" customHeight="1">
      <c r="A307" s="2181" t="s">
        <v>2171</v>
      </c>
      <c r="B307" s="2182"/>
      <c r="C307" s="2182"/>
      <c r="D307" s="2182"/>
      <c r="E307" s="2183"/>
      <c r="F307" s="1289">
        <f>F13</f>
        <v>0</v>
      </c>
      <c r="G307" s="1111"/>
      <c r="H307" s="1289" t="str">
        <f t="shared" ref="H307:I308" si="230">H13</f>
        <v>駅施設</v>
      </c>
      <c r="I307" s="1289" t="str">
        <f t="shared" si="230"/>
        <v>駅施設</v>
      </c>
      <c r="J307" s="915"/>
    </row>
    <row r="308" spans="1:10" s="607" customFormat="1" ht="24.75" customHeight="1">
      <c r="A308" s="2184" t="s">
        <v>2172</v>
      </c>
      <c r="B308" s="2185"/>
      <c r="C308" s="2185"/>
      <c r="D308" s="2185"/>
      <c r="E308" s="2186"/>
      <c r="F308" s="1290">
        <f>F14</f>
        <v>0</v>
      </c>
      <c r="G308" s="1112"/>
      <c r="H308" s="1290" t="str">
        <f t="shared" si="230"/>
        <v>無し</v>
      </c>
      <c r="I308" s="1290" t="str">
        <f t="shared" si="230"/>
        <v>無し</v>
      </c>
      <c r="J308" s="915"/>
    </row>
    <row r="309" spans="1:10" s="607" customFormat="1" ht="15" customHeight="1">
      <c r="A309" s="595"/>
      <c r="B309" s="608" t="s">
        <v>2173</v>
      </c>
      <c r="C309" s="609"/>
      <c r="D309" s="609"/>
      <c r="E309" s="610"/>
      <c r="F309" s="612">
        <f t="shared" ref="F309" ca="1" si="231">+F310+F314</f>
        <v>0</v>
      </c>
      <c r="G309" s="611">
        <f ca="1">SUM(H309:J309)</f>
        <v>0</v>
      </c>
      <c r="H309" s="612">
        <f ca="1">+H310+H314</f>
        <v>0</v>
      </c>
      <c r="I309" s="612">
        <f t="shared" ref="I309" ca="1" si="232">+I310+I314</f>
        <v>0</v>
      </c>
      <c r="J309" s="915"/>
    </row>
    <row r="310" spans="1:10" s="607" customFormat="1" ht="15" customHeight="1">
      <c r="A310" s="994"/>
      <c r="B310" s="995"/>
      <c r="C310" s="538" t="s">
        <v>2174</v>
      </c>
      <c r="D310" s="539"/>
      <c r="E310" s="599"/>
      <c r="F310" s="725">
        <f ca="1">+F94+F16</f>
        <v>0</v>
      </c>
      <c r="G310" s="613">
        <f ca="1">SUM(H310:J310)</f>
        <v>0</v>
      </c>
      <c r="H310" s="725">
        <f t="shared" ref="H310:I310" ca="1" si="233">+H94+H16</f>
        <v>0</v>
      </c>
      <c r="I310" s="725">
        <f t="shared" ca="1" si="233"/>
        <v>0</v>
      </c>
      <c r="J310" s="915"/>
    </row>
    <row r="311" spans="1:10" s="607" customFormat="1" ht="15" customHeight="1">
      <c r="A311" s="994"/>
      <c r="B311" s="995"/>
      <c r="C311" s="717"/>
      <c r="D311" s="717"/>
      <c r="E311" s="614"/>
      <c r="F311" s="616">
        <f t="shared" ref="F311" ca="1" si="234">SUM(F403:F412)</f>
        <v>0</v>
      </c>
      <c r="G311" s="615" t="s">
        <v>2252</v>
      </c>
      <c r="H311" s="616">
        <f t="shared" ref="H311:I311" ca="1" si="235">SUM(H403:H412)</f>
        <v>0</v>
      </c>
      <c r="I311" s="616">
        <f t="shared" ca="1" si="235"/>
        <v>0</v>
      </c>
      <c r="J311" s="915"/>
    </row>
    <row r="312" spans="1:10" s="607" customFormat="1" ht="15" customHeight="1">
      <c r="A312" s="994"/>
      <c r="B312" s="995"/>
      <c r="C312" s="717"/>
      <c r="D312" s="717"/>
      <c r="E312" s="614"/>
      <c r="F312" s="616">
        <f t="shared" ref="F312" ca="1" si="236">SUM(F449:F451)</f>
        <v>0</v>
      </c>
      <c r="G312" s="615" t="s">
        <v>2253</v>
      </c>
      <c r="H312" s="616">
        <f t="shared" ref="H312:I312" ca="1" si="237">SUM(H449:H451)</f>
        <v>0</v>
      </c>
      <c r="I312" s="616">
        <f t="shared" ca="1" si="237"/>
        <v>0</v>
      </c>
      <c r="J312" s="915"/>
    </row>
    <row r="313" spans="1:10" s="607" customFormat="1" ht="15" customHeight="1">
      <c r="A313" s="994"/>
      <c r="B313" s="995"/>
      <c r="C313" s="717"/>
      <c r="D313" s="717"/>
      <c r="E313" s="614"/>
      <c r="F313" s="616">
        <f t="shared" ref="F313" ca="1" si="238">+F352</f>
        <v>0</v>
      </c>
      <c r="G313" s="718" t="s">
        <v>2254</v>
      </c>
      <c r="H313" s="616">
        <f t="shared" ref="H313:I313" ca="1" si="239">+H352</f>
        <v>0</v>
      </c>
      <c r="I313" s="616">
        <f t="shared" ca="1" si="239"/>
        <v>0</v>
      </c>
      <c r="J313" s="915"/>
    </row>
    <row r="314" spans="1:10" s="607" customFormat="1" ht="15" customHeight="1">
      <c r="A314" s="994"/>
      <c r="B314" s="995"/>
      <c r="C314" s="540" t="s">
        <v>2175</v>
      </c>
      <c r="D314" s="540"/>
      <c r="E314" s="614"/>
      <c r="F314" s="616">
        <f t="shared" ref="F314" ca="1" si="240">F315+F316</f>
        <v>0</v>
      </c>
      <c r="G314" s="615">
        <f t="shared" ref="G314:G331" ca="1" si="241">SUM(H314:J314)</f>
        <v>0</v>
      </c>
      <c r="H314" s="616">
        <f t="shared" ref="H314:I314" ca="1" si="242">H315+H316</f>
        <v>0</v>
      </c>
      <c r="I314" s="616">
        <f t="shared" ca="1" si="242"/>
        <v>0</v>
      </c>
      <c r="J314" s="915"/>
    </row>
    <row r="315" spans="1:10" s="607" customFormat="1" ht="15" customHeight="1">
      <c r="A315" s="994"/>
      <c r="B315" s="995"/>
      <c r="C315" s="617" t="s">
        <v>2176</v>
      </c>
      <c r="D315" s="540"/>
      <c r="E315" s="614"/>
      <c r="F315" s="616">
        <f ca="1">IF(F306="積上げ",0,F392)</f>
        <v>0</v>
      </c>
      <c r="G315" s="615">
        <f t="shared" ca="1" si="241"/>
        <v>0</v>
      </c>
      <c r="H315" s="616">
        <f ca="1">IF(H306="積上げ",0,H392)</f>
        <v>0</v>
      </c>
      <c r="I315" s="616">
        <f t="shared" ref="I315" ca="1" si="243">IF(I306="積上げ",0,I392)</f>
        <v>0</v>
      </c>
      <c r="J315" s="915"/>
    </row>
    <row r="316" spans="1:10" s="607" customFormat="1" ht="15" customHeight="1">
      <c r="A316" s="994"/>
      <c r="B316" s="995"/>
      <c r="C316" s="617" t="s">
        <v>2182</v>
      </c>
      <c r="D316" s="540"/>
      <c r="E316" s="614"/>
      <c r="F316" s="616">
        <f ca="1">+F100+F24</f>
        <v>0</v>
      </c>
      <c r="G316" s="615">
        <f t="shared" ca="1" si="241"/>
        <v>0</v>
      </c>
      <c r="H316" s="616">
        <f t="shared" ref="H316:I318" ca="1" si="244">+H100+H24</f>
        <v>0</v>
      </c>
      <c r="I316" s="616">
        <f t="shared" ca="1" si="244"/>
        <v>0</v>
      </c>
      <c r="J316" s="915"/>
    </row>
    <row r="317" spans="1:10" s="607" customFormat="1" ht="15" customHeight="1">
      <c r="A317" s="994"/>
      <c r="B317" s="995"/>
      <c r="C317" s="621" t="s">
        <v>2356</v>
      </c>
      <c r="D317" s="540"/>
      <c r="E317" s="614"/>
      <c r="F317" s="616">
        <f ca="1">+F101+F25</f>
        <v>0</v>
      </c>
      <c r="G317" s="615">
        <f t="shared" ca="1" si="241"/>
        <v>0</v>
      </c>
      <c r="H317" s="616">
        <f t="shared" ca="1" si="244"/>
        <v>0</v>
      </c>
      <c r="I317" s="616">
        <f t="shared" ca="1" si="244"/>
        <v>0</v>
      </c>
      <c r="J317" s="915"/>
    </row>
    <row r="318" spans="1:10" s="607" customFormat="1" ht="15" customHeight="1">
      <c r="A318" s="994"/>
      <c r="B318" s="995"/>
      <c r="C318" s="622" t="s">
        <v>2184</v>
      </c>
      <c r="D318" s="623"/>
      <c r="E318" s="624"/>
      <c r="F318" s="616">
        <f ca="1">+F102+F26</f>
        <v>0</v>
      </c>
      <c r="G318" s="625">
        <f t="shared" ca="1" si="241"/>
        <v>0</v>
      </c>
      <c r="H318" s="616">
        <f t="shared" ca="1" si="244"/>
        <v>0</v>
      </c>
      <c r="I318" s="616">
        <f t="shared" ca="1" si="244"/>
        <v>0</v>
      </c>
      <c r="J318" s="915"/>
    </row>
    <row r="319" spans="1:10" s="607" customFormat="1" ht="15" customHeight="1">
      <c r="A319" s="719"/>
      <c r="B319" s="720"/>
      <c r="C319" s="721" t="s">
        <v>2255</v>
      </c>
      <c r="D319" s="722"/>
      <c r="E319" s="637"/>
      <c r="F319" s="723">
        <f t="shared" ref="F319" ca="1" si="245">+F353</f>
        <v>0</v>
      </c>
      <c r="G319" s="638">
        <f t="shared" ca="1" si="241"/>
        <v>0</v>
      </c>
      <c r="H319" s="723">
        <f t="shared" ref="H319:I319" ca="1" si="246">+H353</f>
        <v>0</v>
      </c>
      <c r="I319" s="723">
        <f t="shared" ca="1" si="246"/>
        <v>0</v>
      </c>
      <c r="J319" s="915"/>
    </row>
    <row r="320" spans="1:10" s="607" customFormat="1" ht="15" customHeight="1">
      <c r="A320" s="994"/>
      <c r="B320" s="623" t="s">
        <v>2256</v>
      </c>
      <c r="C320" s="623"/>
      <c r="D320" s="623"/>
      <c r="E320" s="624"/>
      <c r="F320" s="724">
        <f t="shared" ref="F320" ca="1" si="247">F321+F326</f>
        <v>0</v>
      </c>
      <c r="G320" s="625">
        <f t="shared" ca="1" si="241"/>
        <v>0</v>
      </c>
      <c r="H320" s="724">
        <f t="shared" ref="H320:I320" ca="1" si="248">H321+H326</f>
        <v>0</v>
      </c>
      <c r="I320" s="724">
        <f t="shared" ca="1" si="248"/>
        <v>0</v>
      </c>
      <c r="J320" s="915"/>
    </row>
    <row r="321" spans="1:10" s="607" customFormat="1" ht="15" customHeight="1">
      <c r="A321" s="994"/>
      <c r="B321" s="995"/>
      <c r="C321" s="538" t="s">
        <v>2257</v>
      </c>
      <c r="D321" s="538"/>
      <c r="E321" s="600"/>
      <c r="F321" s="725">
        <f t="shared" ref="F321" ca="1" si="249">F322+F325</f>
        <v>0</v>
      </c>
      <c r="G321" s="613">
        <f t="shared" ca="1" si="241"/>
        <v>0</v>
      </c>
      <c r="H321" s="725">
        <f t="shared" ref="H321:I321" ca="1" si="250">H322+H325</f>
        <v>0</v>
      </c>
      <c r="I321" s="725">
        <f t="shared" ca="1" si="250"/>
        <v>0</v>
      </c>
      <c r="J321" s="915"/>
    </row>
    <row r="322" spans="1:10" s="607" customFormat="1" ht="15" customHeight="1">
      <c r="A322" s="994"/>
      <c r="B322" s="995"/>
      <c r="C322" s="1179" t="s">
        <v>2258</v>
      </c>
      <c r="D322" s="1179"/>
      <c r="E322" s="604"/>
      <c r="F322" s="726">
        <f t="shared" ref="F322" ca="1" si="251">SUM(F323:F324)-F325</f>
        <v>0</v>
      </c>
      <c r="G322" s="615">
        <f t="shared" ca="1" si="241"/>
        <v>0</v>
      </c>
      <c r="H322" s="726">
        <f t="shared" ref="H322:I322" ca="1" si="252">SUM(H323:H324)-H325</f>
        <v>0</v>
      </c>
      <c r="I322" s="726">
        <f t="shared" ca="1" si="252"/>
        <v>0</v>
      </c>
      <c r="J322" s="915"/>
    </row>
    <row r="323" spans="1:10" s="607" customFormat="1" ht="15" customHeight="1">
      <c r="A323" s="994"/>
      <c r="B323" s="995"/>
      <c r="C323" s="727" t="s">
        <v>2259</v>
      </c>
      <c r="D323" s="727"/>
      <c r="E323" s="614"/>
      <c r="F323" s="616">
        <f t="shared" ref="F323" ca="1" si="253">SUM(F418:F420)+F416</f>
        <v>0</v>
      </c>
      <c r="G323" s="615">
        <f t="shared" ca="1" si="241"/>
        <v>0</v>
      </c>
      <c r="H323" s="616">
        <f t="shared" ref="H323:I323" ca="1" si="254">SUM(H418:H420)+H416</f>
        <v>0</v>
      </c>
      <c r="I323" s="616">
        <f t="shared" ca="1" si="254"/>
        <v>0</v>
      </c>
      <c r="J323" s="915"/>
    </row>
    <row r="324" spans="1:10" s="607" customFormat="1" ht="15" customHeight="1">
      <c r="A324" s="994"/>
      <c r="B324" s="995"/>
      <c r="C324" s="727" t="s">
        <v>2260</v>
      </c>
      <c r="D324" s="727"/>
      <c r="E324" s="614"/>
      <c r="F324" s="616">
        <f t="shared" ref="F324" ca="1" si="255">SUM(F421:F432)</f>
        <v>0</v>
      </c>
      <c r="G324" s="615">
        <f t="shared" ca="1" si="241"/>
        <v>0</v>
      </c>
      <c r="H324" s="616">
        <f t="shared" ref="H324:I324" ca="1" si="256">SUM(H421:H432)</f>
        <v>0</v>
      </c>
      <c r="I324" s="616">
        <f t="shared" ca="1" si="256"/>
        <v>0</v>
      </c>
      <c r="J324" s="915"/>
    </row>
    <row r="325" spans="1:10" s="607" customFormat="1" ht="15" customHeight="1">
      <c r="A325" s="994"/>
      <c r="B325" s="995"/>
      <c r="C325" s="727" t="s">
        <v>2261</v>
      </c>
      <c r="D325" s="727"/>
      <c r="E325" s="614"/>
      <c r="F325" s="616">
        <f t="shared" ref="F325" ca="1" si="257">+F430</f>
        <v>0</v>
      </c>
      <c r="G325" s="615">
        <f t="shared" ca="1" si="241"/>
        <v>0</v>
      </c>
      <c r="H325" s="616">
        <f t="shared" ref="H325:I325" ca="1" si="258">+H430</f>
        <v>0</v>
      </c>
      <c r="I325" s="616">
        <f t="shared" ca="1" si="258"/>
        <v>0</v>
      </c>
      <c r="J325" s="915"/>
    </row>
    <row r="326" spans="1:10" s="607" customFormat="1" ht="15" customHeight="1">
      <c r="A326" s="994"/>
      <c r="B326" s="995"/>
      <c r="C326" s="540" t="s">
        <v>2262</v>
      </c>
      <c r="D326" s="540"/>
      <c r="E326" s="614"/>
      <c r="F326" s="616">
        <f t="shared" ref="F326" ca="1" si="259">SUM(F327:F330)</f>
        <v>0</v>
      </c>
      <c r="G326" s="615">
        <f t="shared" ca="1" si="241"/>
        <v>0</v>
      </c>
      <c r="H326" s="616">
        <f ca="1">SUM(H327:H330)</f>
        <v>0</v>
      </c>
      <c r="I326" s="616">
        <f t="shared" ref="I326" ca="1" si="260">SUM(I327:I330)</f>
        <v>0</v>
      </c>
      <c r="J326" s="915"/>
    </row>
    <row r="327" spans="1:10" s="607" customFormat="1" ht="15" customHeight="1">
      <c r="A327" s="994"/>
      <c r="B327" s="995"/>
      <c r="C327" s="727" t="s">
        <v>2259</v>
      </c>
      <c r="D327" s="727"/>
      <c r="E327" s="614"/>
      <c r="F327" s="616">
        <f t="shared" ref="F327" ca="1" si="261">IF(F454=0,0,+F454-F471)</f>
        <v>0</v>
      </c>
      <c r="G327" s="728">
        <f t="shared" ca="1" si="241"/>
        <v>0</v>
      </c>
      <c r="H327" s="616">
        <f ca="1">IF(H454=0,0,+H454-H471)</f>
        <v>0</v>
      </c>
      <c r="I327" s="616">
        <f t="shared" ref="I327" ca="1" si="262">IF(I454=0,0,+I454-I471)</f>
        <v>0</v>
      </c>
      <c r="J327" s="915"/>
    </row>
    <row r="328" spans="1:10" s="607" customFormat="1" ht="15" customHeight="1">
      <c r="A328" s="994"/>
      <c r="B328" s="995"/>
      <c r="C328" s="727" t="s">
        <v>2263</v>
      </c>
      <c r="D328" s="727"/>
      <c r="E328" s="614"/>
      <c r="F328" s="616">
        <f t="shared" ref="F328" ca="1" si="263">+F455+F456</f>
        <v>0</v>
      </c>
      <c r="G328" s="615">
        <f t="shared" ca="1" si="241"/>
        <v>0</v>
      </c>
      <c r="H328" s="616">
        <f t="shared" ref="H328:I328" ca="1" si="264">+H455+H456</f>
        <v>0</v>
      </c>
      <c r="I328" s="616">
        <f t="shared" ca="1" si="264"/>
        <v>0</v>
      </c>
      <c r="J328" s="915"/>
    </row>
    <row r="329" spans="1:10" s="607" customFormat="1" ht="15" customHeight="1">
      <c r="A329" s="994"/>
      <c r="B329" s="995"/>
      <c r="C329" s="727" t="s">
        <v>2264</v>
      </c>
      <c r="D329" s="727"/>
      <c r="E329" s="614"/>
      <c r="F329" s="616">
        <f t="shared" ref="F329" ca="1" si="265">SUM(F457:F461)</f>
        <v>0</v>
      </c>
      <c r="G329" s="615">
        <f t="shared" ca="1" si="241"/>
        <v>0</v>
      </c>
      <c r="H329" s="616">
        <f t="shared" ref="H329:I329" ca="1" si="266">SUM(H457:H461)</f>
        <v>0</v>
      </c>
      <c r="I329" s="616">
        <f t="shared" ca="1" si="266"/>
        <v>0</v>
      </c>
      <c r="J329" s="915"/>
    </row>
    <row r="330" spans="1:10" s="607" customFormat="1" ht="15" customHeight="1">
      <c r="A330" s="994"/>
      <c r="B330" s="995"/>
      <c r="C330" s="623" t="s">
        <v>2265</v>
      </c>
      <c r="D330" s="995"/>
      <c r="E330" s="624"/>
      <c r="F330" s="724">
        <f t="shared" ref="F330" ca="1" si="267">IF(F462=0,0,+F462-F471)</f>
        <v>0</v>
      </c>
      <c r="G330" s="625">
        <f t="shared" ca="1" si="241"/>
        <v>0</v>
      </c>
      <c r="H330" s="724">
        <f ca="1">IF(H462=0,0,+H462-H471)</f>
        <v>0</v>
      </c>
      <c r="I330" s="724">
        <f t="shared" ref="I330" ca="1" si="268">IF(I462=0,0,+I462-I471)</f>
        <v>0</v>
      </c>
      <c r="J330" s="915"/>
    </row>
    <row r="331" spans="1:10" s="607" customFormat="1" ht="15" customHeight="1">
      <c r="A331" s="729"/>
      <c r="B331" s="609" t="s">
        <v>2266</v>
      </c>
      <c r="C331" s="609"/>
      <c r="D331" s="609"/>
      <c r="E331" s="730"/>
      <c r="F331" s="612">
        <f t="shared" ref="F331" ca="1" si="269">F309+F320</f>
        <v>0</v>
      </c>
      <c r="G331" s="611">
        <f t="shared" ca="1" si="241"/>
        <v>0</v>
      </c>
      <c r="H331" s="612">
        <f ca="1">H309+H320</f>
        <v>0</v>
      </c>
      <c r="I331" s="612">
        <f t="shared" ref="I331" ca="1" si="270">I309+I320</f>
        <v>0</v>
      </c>
      <c r="J331" s="915"/>
    </row>
    <row r="332" spans="1:10" s="607" customFormat="1" ht="15" customHeight="1">
      <c r="A332" s="731"/>
      <c r="B332" s="995"/>
      <c r="C332" s="732" t="s">
        <v>2267</v>
      </c>
      <c r="D332" s="732"/>
      <c r="E332" s="733"/>
      <c r="F332" s="735"/>
      <c r="G332" s="711"/>
      <c r="H332" s="734" t="s">
        <v>2268</v>
      </c>
      <c r="I332" s="735"/>
    </row>
    <row r="333" spans="1:10" s="607" customFormat="1" ht="15" customHeight="1">
      <c r="A333" s="595"/>
      <c r="B333" s="596"/>
      <c r="C333" s="596"/>
      <c r="D333" s="596"/>
      <c r="E333" s="736"/>
      <c r="F333" s="1009" t="e">
        <f t="shared" ref="F333" si="271">+F304</f>
        <v>#VALUE!</v>
      </c>
      <c r="G333" s="737" t="s">
        <v>2165</v>
      </c>
      <c r="H333" s="900" t="str">
        <f>+H304</f>
        <v>工事1</v>
      </c>
      <c r="I333" s="738" t="str">
        <f t="shared" ref="I333" si="272">+I304</f>
        <v>工事2</v>
      </c>
      <c r="J333" s="915"/>
    </row>
    <row r="334" spans="1:10" s="607" customFormat="1" ht="15" customHeight="1">
      <c r="A334" s="626" t="s">
        <v>2185</v>
      </c>
      <c r="B334" s="627"/>
      <c r="C334" s="627"/>
      <c r="D334" s="627"/>
      <c r="E334" s="817"/>
      <c r="F334" s="1018"/>
      <c r="G334" s="901"/>
      <c r="H334" s="902"/>
      <c r="I334" s="902"/>
      <c r="J334" s="915"/>
    </row>
    <row r="335" spans="1:10" s="607" customFormat="1" ht="15" customHeight="1">
      <c r="A335" s="991"/>
      <c r="B335" s="2158" t="s">
        <v>2186</v>
      </c>
      <c r="C335" s="539" t="s">
        <v>2187</v>
      </c>
      <c r="D335" s="539"/>
      <c r="E335" s="600"/>
      <c r="F335" s="1014">
        <f t="shared" ref="F335:F354" si="273">+F119+F28</f>
        <v>0</v>
      </c>
      <c r="G335" s="613">
        <f t="shared" ref="G335:G341" si="274">SUM(H335:J335)</f>
        <v>0</v>
      </c>
      <c r="H335" s="725">
        <f t="shared" ref="H335:I350" si="275">+H119+H28</f>
        <v>0</v>
      </c>
      <c r="I335" s="725">
        <f t="shared" si="275"/>
        <v>0</v>
      </c>
      <c r="J335" s="915"/>
    </row>
    <row r="336" spans="1:10" s="607" customFormat="1" ht="15" customHeight="1">
      <c r="A336" s="967"/>
      <c r="B336" s="2139"/>
      <c r="C336" s="541" t="s">
        <v>2188</v>
      </c>
      <c r="D336" s="541"/>
      <c r="E336" s="614"/>
      <c r="F336" s="1003">
        <f t="shared" si="273"/>
        <v>0</v>
      </c>
      <c r="G336" s="615">
        <f t="shared" ca="1" si="274"/>
        <v>0</v>
      </c>
      <c r="H336" s="616">
        <f t="shared" ca="1" si="275"/>
        <v>0</v>
      </c>
      <c r="I336" s="616">
        <f t="shared" ca="1" si="275"/>
        <v>0</v>
      </c>
      <c r="J336" s="915"/>
    </row>
    <row r="337" spans="1:10" s="607" customFormat="1" ht="15" customHeight="1">
      <c r="A337" s="967"/>
      <c r="B337" s="2139"/>
      <c r="C337" s="632" t="s">
        <v>2189</v>
      </c>
      <c r="D337" s="541"/>
      <c r="E337" s="614"/>
      <c r="F337" s="1003">
        <f t="shared" ca="1" si="273"/>
        <v>0</v>
      </c>
      <c r="G337" s="615">
        <f t="shared" ca="1" si="274"/>
        <v>0</v>
      </c>
      <c r="H337" s="616">
        <f t="shared" ca="1" si="275"/>
        <v>0</v>
      </c>
      <c r="I337" s="616">
        <f t="shared" ca="1" si="275"/>
        <v>0</v>
      </c>
      <c r="J337" s="915"/>
    </row>
    <row r="338" spans="1:10" s="607" customFormat="1" ht="15" customHeight="1">
      <c r="A338" s="967"/>
      <c r="B338" s="2138"/>
      <c r="C338" s="632" t="s">
        <v>2190</v>
      </c>
      <c r="D338" s="541"/>
      <c r="E338" s="614"/>
      <c r="F338" s="1003">
        <f t="shared" ca="1" si="273"/>
        <v>0</v>
      </c>
      <c r="G338" s="615">
        <f t="shared" ca="1" si="274"/>
        <v>0</v>
      </c>
      <c r="H338" s="616">
        <f t="shared" ca="1" si="275"/>
        <v>0</v>
      </c>
      <c r="I338" s="616">
        <f t="shared" ca="1" si="275"/>
        <v>0</v>
      </c>
      <c r="J338" s="915"/>
    </row>
    <row r="339" spans="1:10" s="607" customFormat="1" ht="15" customHeight="1">
      <c r="A339" s="967"/>
      <c r="B339" s="2137" t="s">
        <v>2191</v>
      </c>
      <c r="C339" s="540" t="s">
        <v>2192</v>
      </c>
      <c r="D339" s="541"/>
      <c r="E339" s="614"/>
      <c r="F339" s="615">
        <f t="shared" ca="1" si="273"/>
        <v>0</v>
      </c>
      <c r="G339" s="615">
        <f t="shared" ca="1" si="274"/>
        <v>0</v>
      </c>
      <c r="H339" s="616">
        <f t="shared" ca="1" si="275"/>
        <v>0</v>
      </c>
      <c r="I339" s="616">
        <f t="shared" ca="1" si="275"/>
        <v>0</v>
      </c>
      <c r="J339" s="915"/>
    </row>
    <row r="340" spans="1:10" s="607" customFormat="1" ht="13.5" customHeight="1">
      <c r="A340" s="967"/>
      <c r="B340" s="2139"/>
      <c r="C340" s="540" t="s">
        <v>2193</v>
      </c>
      <c r="D340" s="541"/>
      <c r="E340" s="614"/>
      <c r="F340" s="615">
        <f t="shared" ca="1" si="273"/>
        <v>0</v>
      </c>
      <c r="G340" s="615">
        <f t="shared" ca="1" si="274"/>
        <v>0</v>
      </c>
      <c r="H340" s="616">
        <f t="shared" ca="1" si="275"/>
        <v>0</v>
      </c>
      <c r="I340" s="616">
        <f t="shared" ca="1" si="275"/>
        <v>0</v>
      </c>
      <c r="J340" s="915"/>
    </row>
    <row r="341" spans="1:10" s="607" customFormat="1" ht="13.5" customHeight="1">
      <c r="A341" s="967"/>
      <c r="B341" s="2139"/>
      <c r="C341" s="541" t="s">
        <v>2194</v>
      </c>
      <c r="D341" s="541"/>
      <c r="E341" s="614"/>
      <c r="F341" s="615">
        <f t="shared" ca="1" si="273"/>
        <v>0</v>
      </c>
      <c r="G341" s="615">
        <f t="shared" ca="1" si="274"/>
        <v>0</v>
      </c>
      <c r="H341" s="616">
        <f t="shared" ca="1" si="275"/>
        <v>0</v>
      </c>
      <c r="I341" s="616">
        <f t="shared" ca="1" si="275"/>
        <v>0</v>
      </c>
      <c r="J341" s="915"/>
    </row>
    <row r="342" spans="1:10" s="607" customFormat="1" ht="13.5" customHeight="1">
      <c r="A342" s="967"/>
      <c r="B342" s="2139"/>
      <c r="C342" s="541" t="s">
        <v>2195</v>
      </c>
      <c r="D342" s="541"/>
      <c r="E342" s="614"/>
      <c r="F342" s="615">
        <f t="shared" si="273"/>
        <v>0</v>
      </c>
      <c r="G342" s="615"/>
      <c r="H342" s="616">
        <f t="shared" si="275"/>
        <v>0</v>
      </c>
      <c r="I342" s="616">
        <f t="shared" si="275"/>
        <v>0</v>
      </c>
      <c r="J342" s="915"/>
    </row>
    <row r="343" spans="1:10" s="607" customFormat="1" ht="13.5" customHeight="1">
      <c r="A343" s="967"/>
      <c r="B343" s="2139"/>
      <c r="C343" s="541" t="s">
        <v>2196</v>
      </c>
      <c r="D343" s="541"/>
      <c r="E343" s="614"/>
      <c r="F343" s="615">
        <f t="shared" si="273"/>
        <v>0</v>
      </c>
      <c r="G343" s="615"/>
      <c r="H343" s="616">
        <f t="shared" si="275"/>
        <v>0</v>
      </c>
      <c r="I343" s="616">
        <f t="shared" si="275"/>
        <v>0</v>
      </c>
      <c r="J343" s="915"/>
    </row>
    <row r="344" spans="1:10" s="607" customFormat="1" ht="13.5" customHeight="1">
      <c r="A344" s="967"/>
      <c r="B344" s="2139"/>
      <c r="C344" s="541" t="s">
        <v>2197</v>
      </c>
      <c r="D344" s="541"/>
      <c r="E344" s="614"/>
      <c r="F344" s="615">
        <f t="shared" ca="1" si="273"/>
        <v>0</v>
      </c>
      <c r="G344" s="615">
        <f t="shared" ref="G344:G354" ca="1" si="276">SUM(H344:J344)</f>
        <v>0</v>
      </c>
      <c r="H344" s="616">
        <f t="shared" ca="1" si="275"/>
        <v>0</v>
      </c>
      <c r="I344" s="616">
        <f t="shared" ca="1" si="275"/>
        <v>0</v>
      </c>
      <c r="J344" s="915"/>
    </row>
    <row r="345" spans="1:10" s="607" customFormat="1" ht="13.5" customHeight="1">
      <c r="A345" s="967"/>
      <c r="B345" s="2139"/>
      <c r="C345" s="633" t="s">
        <v>2198</v>
      </c>
      <c r="D345" s="541"/>
      <c r="E345" s="614"/>
      <c r="F345" s="615">
        <f t="shared" si="273"/>
        <v>0</v>
      </c>
      <c r="G345" s="615">
        <f t="shared" si="276"/>
        <v>0</v>
      </c>
      <c r="H345" s="616">
        <f t="shared" si="275"/>
        <v>0</v>
      </c>
      <c r="I345" s="616">
        <f t="shared" si="275"/>
        <v>0</v>
      </c>
      <c r="J345" s="915"/>
    </row>
    <row r="346" spans="1:10" s="607" customFormat="1" ht="13.5" customHeight="1">
      <c r="A346" s="967"/>
      <c r="B346" s="2139"/>
      <c r="C346" s="634" t="s">
        <v>2199</v>
      </c>
      <c r="D346" s="541"/>
      <c r="E346" s="614"/>
      <c r="F346" s="615">
        <f t="shared" si="273"/>
        <v>0</v>
      </c>
      <c r="G346" s="615">
        <f t="shared" si="276"/>
        <v>0</v>
      </c>
      <c r="H346" s="616">
        <f t="shared" si="275"/>
        <v>0</v>
      </c>
      <c r="I346" s="616">
        <f t="shared" si="275"/>
        <v>0</v>
      </c>
      <c r="J346" s="915"/>
    </row>
    <row r="347" spans="1:10" s="607" customFormat="1" ht="13.5" customHeight="1">
      <c r="A347" s="967"/>
      <c r="B347" s="2138"/>
      <c r="C347" s="541" t="s">
        <v>2200</v>
      </c>
      <c r="D347" s="541"/>
      <c r="E347" s="614"/>
      <c r="F347" s="615">
        <f t="shared" ca="1" si="273"/>
        <v>0</v>
      </c>
      <c r="G347" s="615">
        <f t="shared" ca="1" si="276"/>
        <v>0</v>
      </c>
      <c r="H347" s="616">
        <f t="shared" ca="1" si="275"/>
        <v>0</v>
      </c>
      <c r="I347" s="616">
        <f t="shared" ca="1" si="275"/>
        <v>0</v>
      </c>
      <c r="J347" s="915"/>
    </row>
    <row r="348" spans="1:10" s="607" customFormat="1" ht="13.5" customHeight="1">
      <c r="A348" s="967"/>
      <c r="B348" s="2137" t="s">
        <v>2201</v>
      </c>
      <c r="C348" s="632" t="s">
        <v>2202</v>
      </c>
      <c r="D348" s="541"/>
      <c r="E348" s="614"/>
      <c r="F348" s="615">
        <f t="shared" ca="1" si="273"/>
        <v>0</v>
      </c>
      <c r="G348" s="615">
        <f t="shared" ca="1" si="276"/>
        <v>0</v>
      </c>
      <c r="H348" s="616">
        <f t="shared" ca="1" si="275"/>
        <v>0</v>
      </c>
      <c r="I348" s="616">
        <f t="shared" ca="1" si="275"/>
        <v>0</v>
      </c>
      <c r="J348" s="915"/>
    </row>
    <row r="349" spans="1:10" s="607" customFormat="1" ht="13.5" customHeight="1">
      <c r="A349" s="967"/>
      <c r="B349" s="2139"/>
      <c r="C349" s="632" t="s">
        <v>2203</v>
      </c>
      <c r="D349" s="541"/>
      <c r="E349" s="614"/>
      <c r="F349" s="615">
        <f t="shared" ca="1" si="273"/>
        <v>0</v>
      </c>
      <c r="G349" s="615">
        <f t="shared" ca="1" si="276"/>
        <v>0</v>
      </c>
      <c r="H349" s="616">
        <f t="shared" ca="1" si="275"/>
        <v>0</v>
      </c>
      <c r="I349" s="616">
        <f t="shared" ca="1" si="275"/>
        <v>0</v>
      </c>
      <c r="J349" s="915"/>
    </row>
    <row r="350" spans="1:10" s="607" customFormat="1" ht="13.5" customHeight="1">
      <c r="A350" s="967"/>
      <c r="B350" s="2139"/>
      <c r="C350" s="541" t="s">
        <v>2204</v>
      </c>
      <c r="D350" s="541"/>
      <c r="E350" s="614"/>
      <c r="F350" s="615">
        <f t="shared" ca="1" si="273"/>
        <v>0</v>
      </c>
      <c r="G350" s="615">
        <f t="shared" ca="1" si="276"/>
        <v>0</v>
      </c>
      <c r="H350" s="616">
        <f t="shared" ca="1" si="275"/>
        <v>0</v>
      </c>
      <c r="I350" s="616">
        <f t="shared" ca="1" si="275"/>
        <v>0</v>
      </c>
      <c r="J350" s="915"/>
    </row>
    <row r="351" spans="1:10" s="607" customFormat="1" ht="13.5" customHeight="1">
      <c r="A351" s="967"/>
      <c r="B351" s="2139"/>
      <c r="C351" s="541" t="s">
        <v>2357</v>
      </c>
      <c r="D351" s="541"/>
      <c r="E351" s="614"/>
      <c r="F351" s="615">
        <f t="shared" ca="1" si="273"/>
        <v>0</v>
      </c>
      <c r="G351" s="615">
        <f t="shared" ca="1" si="276"/>
        <v>0</v>
      </c>
      <c r="H351" s="616">
        <f t="shared" ref="H351:I354" ca="1" si="277">+H135+H44</f>
        <v>0</v>
      </c>
      <c r="I351" s="616">
        <f t="shared" ca="1" si="277"/>
        <v>0</v>
      </c>
      <c r="J351" s="915"/>
    </row>
    <row r="352" spans="1:10" s="607" customFormat="1" ht="13.5" customHeight="1">
      <c r="A352" s="967"/>
      <c r="B352" s="2139"/>
      <c r="C352" s="1178" t="s">
        <v>2206</v>
      </c>
      <c r="D352" s="1178"/>
      <c r="E352" s="635"/>
      <c r="F352" s="615">
        <f t="shared" ca="1" si="273"/>
        <v>0</v>
      </c>
      <c r="G352" s="615">
        <f t="shared" ca="1" si="276"/>
        <v>0</v>
      </c>
      <c r="H352" s="616">
        <f t="shared" ca="1" si="277"/>
        <v>0</v>
      </c>
      <c r="I352" s="616">
        <f t="shared" ca="1" si="277"/>
        <v>0</v>
      </c>
      <c r="J352" s="915"/>
    </row>
    <row r="353" spans="1:10" s="607" customFormat="1" ht="13.5" customHeight="1">
      <c r="A353" s="967"/>
      <c r="B353" s="2139"/>
      <c r="C353" s="1178" t="s">
        <v>2207</v>
      </c>
      <c r="D353" s="1178"/>
      <c r="E353" s="635"/>
      <c r="F353" s="615">
        <f t="shared" ca="1" si="273"/>
        <v>0</v>
      </c>
      <c r="G353" s="615">
        <f t="shared" ca="1" si="276"/>
        <v>0</v>
      </c>
      <c r="H353" s="616">
        <f t="shared" ca="1" si="277"/>
        <v>0</v>
      </c>
      <c r="I353" s="616">
        <f t="shared" ca="1" si="277"/>
        <v>0</v>
      </c>
      <c r="J353" s="915"/>
    </row>
    <row r="354" spans="1:10" s="607" customFormat="1" ht="13.5" customHeight="1">
      <c r="A354" s="968"/>
      <c r="B354" s="2140"/>
      <c r="C354" s="636" t="s">
        <v>2208</v>
      </c>
      <c r="D354" s="636"/>
      <c r="E354" s="637"/>
      <c r="F354" s="638">
        <f t="shared" ca="1" si="273"/>
        <v>0</v>
      </c>
      <c r="G354" s="638">
        <f t="shared" ca="1" si="276"/>
        <v>0</v>
      </c>
      <c r="H354" s="723">
        <f t="shared" ca="1" si="277"/>
        <v>0</v>
      </c>
      <c r="I354" s="723">
        <f t="shared" ca="1" si="277"/>
        <v>0</v>
      </c>
      <c r="J354" s="915"/>
    </row>
    <row r="355" spans="1:10" s="607" customFormat="1" ht="13.5" customHeight="1">
      <c r="A355" s="995"/>
      <c r="B355" s="995"/>
      <c r="C355" s="739" t="s">
        <v>2269</v>
      </c>
      <c r="D355" s="739"/>
      <c r="E355" s="622"/>
      <c r="F355" s="713"/>
      <c r="G355" s="711"/>
      <c r="H355" s="713"/>
      <c r="I355" s="713"/>
      <c r="J355" s="740" t="s">
        <v>2358</v>
      </c>
    </row>
    <row r="356" spans="1:10" s="607" customFormat="1" ht="13.5" customHeight="1">
      <c r="A356" s="995"/>
      <c r="B356" s="995"/>
      <c r="C356" s="627" t="s">
        <v>2271</v>
      </c>
      <c r="D356" s="627"/>
      <c r="E356" s="622"/>
      <c r="F356" s="713"/>
      <c r="G356" s="711"/>
      <c r="H356" s="713"/>
      <c r="I356" s="713"/>
    </row>
    <row r="357" spans="1:10" s="607" customFormat="1" ht="13.5" customHeight="1">
      <c r="A357" s="595"/>
      <c r="B357" s="596"/>
      <c r="C357" s="596"/>
      <c r="D357" s="1155" t="s">
        <v>2272</v>
      </c>
      <c r="E357" s="1155" t="s">
        <v>2273</v>
      </c>
      <c r="F357" s="738" t="e">
        <f t="shared" ref="F357" si="278">+F304</f>
        <v>#VALUE!</v>
      </c>
      <c r="G357" s="737" t="s">
        <v>2165</v>
      </c>
      <c r="H357" s="900" t="str">
        <f>+H304</f>
        <v>工事1</v>
      </c>
      <c r="I357" s="738" t="str">
        <f t="shared" ref="I357" si="279">+I304</f>
        <v>工事2</v>
      </c>
      <c r="J357" s="915"/>
    </row>
    <row r="358" spans="1:10" s="607" customFormat="1" ht="13.5" customHeight="1">
      <c r="A358" s="986" t="s">
        <v>2274</v>
      </c>
      <c r="B358" s="1161"/>
      <c r="C358" s="1162"/>
      <c r="D358" s="971"/>
      <c r="E358" s="971"/>
      <c r="F358" s="742"/>
      <c r="G358" s="741"/>
      <c r="H358" s="742"/>
      <c r="I358" s="742"/>
      <c r="J358" s="915"/>
    </row>
    <row r="359" spans="1:10" s="607" customFormat="1" ht="13.5" customHeight="1">
      <c r="A359" s="972"/>
      <c r="B359" s="743" t="s">
        <v>2359</v>
      </c>
      <c r="C359" s="744"/>
      <c r="D359" s="745"/>
      <c r="E359" s="746"/>
      <c r="F359" s="748">
        <f t="shared" ref="F359" ca="1" si="280">SUM(F335:F347)+F351</f>
        <v>0</v>
      </c>
      <c r="G359" s="747">
        <f t="shared" ref="G359:G366" ca="1" si="281">SUM(H359:J359)</f>
        <v>0</v>
      </c>
      <c r="H359" s="748">
        <f ca="1">SUM(H335:H347)+H351</f>
        <v>0</v>
      </c>
      <c r="I359" s="748">
        <f t="shared" ref="I359" ca="1" si="282">SUM(I335:I347)+I351</f>
        <v>0</v>
      </c>
      <c r="J359" s="915"/>
    </row>
    <row r="360" spans="1:10" s="607" customFormat="1" ht="13.5" customHeight="1">
      <c r="A360" s="973"/>
      <c r="B360" s="2137" t="s">
        <v>2186</v>
      </c>
      <c r="C360" s="749" t="s">
        <v>2187</v>
      </c>
      <c r="D360" s="750">
        <v>1</v>
      </c>
      <c r="E360" s="751" t="s">
        <v>2276</v>
      </c>
      <c r="F360" s="616">
        <f>IF(F306="積上げ",0,+F335)</f>
        <v>0</v>
      </c>
      <c r="G360" s="615">
        <f t="shared" si="281"/>
        <v>0</v>
      </c>
      <c r="H360" s="616">
        <f t="shared" ref="H360:I360" si="283">IF(H306="積上げ",0,+H335)</f>
        <v>0</v>
      </c>
      <c r="I360" s="616">
        <f t="shared" si="283"/>
        <v>0</v>
      </c>
      <c r="J360" s="915"/>
    </row>
    <row r="361" spans="1:10" s="607" customFormat="1" ht="13.5" customHeight="1">
      <c r="A361" s="973"/>
      <c r="B361" s="2139"/>
      <c r="C361" s="749" t="s">
        <v>2188</v>
      </c>
      <c r="D361" s="750">
        <v>1</v>
      </c>
      <c r="E361" s="751" t="s">
        <v>2276</v>
      </c>
      <c r="F361" s="616">
        <f>IF(F306="積上げ",0,+F336)</f>
        <v>0</v>
      </c>
      <c r="G361" s="615">
        <f t="shared" ca="1" si="281"/>
        <v>0</v>
      </c>
      <c r="H361" s="616">
        <f t="shared" ref="H361:I361" ca="1" si="284">IF(H306="積上げ",0,+H336)</f>
        <v>0</v>
      </c>
      <c r="I361" s="616">
        <f t="shared" ca="1" si="284"/>
        <v>0</v>
      </c>
      <c r="J361" s="915"/>
    </row>
    <row r="362" spans="1:10" s="607" customFormat="1" ht="14">
      <c r="A362" s="973"/>
      <c r="B362" s="2139"/>
      <c r="C362" s="749" t="s">
        <v>2277</v>
      </c>
      <c r="D362" s="750">
        <v>0.9</v>
      </c>
      <c r="E362" s="751" t="s">
        <v>2276</v>
      </c>
      <c r="F362" s="616">
        <f ca="1">IF(F306="積上げ",0,+F337)</f>
        <v>0</v>
      </c>
      <c r="G362" s="615">
        <f t="shared" ca="1" si="281"/>
        <v>0</v>
      </c>
      <c r="H362" s="616">
        <f t="shared" ref="H362:I362" ca="1" si="285">IF(H306="積上げ",0,+H337)</f>
        <v>0</v>
      </c>
      <c r="I362" s="616">
        <f t="shared" ca="1" si="285"/>
        <v>0</v>
      </c>
      <c r="J362" s="915"/>
    </row>
    <row r="363" spans="1:10" s="607" customFormat="1" ht="14">
      <c r="A363" s="973"/>
      <c r="B363" s="2138"/>
      <c r="C363" s="749" t="s">
        <v>2278</v>
      </c>
      <c r="D363" s="750">
        <v>0.9</v>
      </c>
      <c r="E363" s="751" t="s">
        <v>2276</v>
      </c>
      <c r="F363" s="616">
        <f ca="1">IF(F306="積上げ",0,+F338)</f>
        <v>0</v>
      </c>
      <c r="G363" s="615">
        <f t="shared" ca="1" si="281"/>
        <v>0</v>
      </c>
      <c r="H363" s="616">
        <f t="shared" ref="H363:I363" ca="1" si="286">IF(H306="積上げ",0,+H338)</f>
        <v>0</v>
      </c>
      <c r="I363" s="616">
        <f t="shared" ca="1" si="286"/>
        <v>0</v>
      </c>
      <c r="J363" s="915"/>
    </row>
    <row r="364" spans="1:10" s="607" customFormat="1" ht="14">
      <c r="A364" s="973"/>
      <c r="B364" s="2163" t="s">
        <v>2191</v>
      </c>
      <c r="C364" s="749" t="s">
        <v>2279</v>
      </c>
      <c r="D364" s="750">
        <v>1</v>
      </c>
      <c r="E364" s="752">
        <v>0.01</v>
      </c>
      <c r="F364" s="616">
        <f ca="1">IF(F306="積上げ",0,+F339)</f>
        <v>0</v>
      </c>
      <c r="G364" s="615">
        <f t="shared" ca="1" si="281"/>
        <v>0</v>
      </c>
      <c r="H364" s="616">
        <f t="shared" ref="H364:I364" ca="1" si="287">IF(H306="積上げ",0,+H339)</f>
        <v>0</v>
      </c>
      <c r="I364" s="616">
        <f t="shared" ca="1" si="287"/>
        <v>0</v>
      </c>
      <c r="J364" s="915"/>
    </row>
    <row r="365" spans="1:10" s="607" customFormat="1" ht="14">
      <c r="A365" s="973"/>
      <c r="B365" s="2164"/>
      <c r="C365" s="749" t="s">
        <v>2280</v>
      </c>
      <c r="D365" s="750">
        <v>1</v>
      </c>
      <c r="E365" s="752">
        <v>0.01</v>
      </c>
      <c r="F365" s="616">
        <f ca="1">IF(F306="積上げ",0,F340)</f>
        <v>0</v>
      </c>
      <c r="G365" s="615">
        <f t="shared" ca="1" si="281"/>
        <v>0</v>
      </c>
      <c r="H365" s="616">
        <f t="shared" ref="H365:I365" ca="1" si="288">IF(H306="積上げ",0,H340)</f>
        <v>0</v>
      </c>
      <c r="I365" s="616">
        <f t="shared" ca="1" si="288"/>
        <v>0</v>
      </c>
      <c r="J365" s="915"/>
    </row>
    <row r="366" spans="1:10" s="607" customFormat="1" ht="14">
      <c r="A366" s="973"/>
      <c r="B366" s="2164"/>
      <c r="C366" s="749" t="s">
        <v>2194</v>
      </c>
      <c r="D366" s="750">
        <v>1</v>
      </c>
      <c r="E366" s="752">
        <v>0.01</v>
      </c>
      <c r="F366" s="616">
        <f ca="1">IF(F306="積上げ",0,F341)</f>
        <v>0</v>
      </c>
      <c r="G366" s="615">
        <f t="shared" ca="1" si="281"/>
        <v>0</v>
      </c>
      <c r="H366" s="616">
        <f t="shared" ref="H366:I366" ca="1" si="289">IF(H306="積上げ",0,H341)</f>
        <v>0</v>
      </c>
      <c r="I366" s="616">
        <f t="shared" ca="1" si="289"/>
        <v>0</v>
      </c>
      <c r="J366" s="915"/>
    </row>
    <row r="367" spans="1:10" s="607" customFormat="1" ht="14">
      <c r="A367" s="973"/>
      <c r="B367" s="2164"/>
      <c r="C367" s="749" t="s">
        <v>2195</v>
      </c>
      <c r="D367" s="750"/>
      <c r="E367" s="752"/>
      <c r="F367" s="616"/>
      <c r="G367" s="615"/>
      <c r="H367" s="616"/>
      <c r="I367" s="616"/>
      <c r="J367" s="915"/>
    </row>
    <row r="368" spans="1:10" s="607" customFormat="1" ht="14">
      <c r="A368" s="973"/>
      <c r="B368" s="2164"/>
      <c r="C368" s="749" t="s">
        <v>2196</v>
      </c>
      <c r="D368" s="750"/>
      <c r="E368" s="752"/>
      <c r="F368" s="616"/>
      <c r="G368" s="615"/>
      <c r="H368" s="616"/>
      <c r="I368" s="616"/>
      <c r="J368" s="915"/>
    </row>
    <row r="369" spans="1:10" s="607" customFormat="1" ht="14">
      <c r="A369" s="973"/>
      <c r="B369" s="2164"/>
      <c r="C369" s="749" t="s">
        <v>2197</v>
      </c>
      <c r="D369" s="750">
        <v>1</v>
      </c>
      <c r="E369" s="752">
        <v>0.01</v>
      </c>
      <c r="F369" s="616">
        <f ca="1">IF(F306="積上げ",0,+F344)</f>
        <v>0</v>
      </c>
      <c r="G369" s="615">
        <f ca="1">SUM(H369:J369)</f>
        <v>0</v>
      </c>
      <c r="H369" s="616">
        <f t="shared" ref="H369:I369" ca="1" si="290">IF(H306="積上げ",0,+H344)</f>
        <v>0</v>
      </c>
      <c r="I369" s="616">
        <f t="shared" ca="1" si="290"/>
        <v>0</v>
      </c>
      <c r="J369" s="915"/>
    </row>
    <row r="370" spans="1:10" s="607" customFormat="1" ht="14">
      <c r="A370" s="973"/>
      <c r="B370" s="2164"/>
      <c r="C370" s="753" t="s">
        <v>2198</v>
      </c>
      <c r="D370" s="750">
        <v>1</v>
      </c>
      <c r="E370" s="752">
        <v>0.01</v>
      </c>
      <c r="F370" s="616">
        <f>IF(F306="積上げ",0,+F345)</f>
        <v>0</v>
      </c>
      <c r="G370" s="615">
        <f>SUM(H370:J370)</f>
        <v>0</v>
      </c>
      <c r="H370" s="616">
        <f t="shared" ref="H370:I370" si="291">IF(H306="積上げ",0,+H345)</f>
        <v>0</v>
      </c>
      <c r="I370" s="616">
        <f t="shared" si="291"/>
        <v>0</v>
      </c>
      <c r="J370" s="915"/>
    </row>
    <row r="371" spans="1:10" s="607" customFormat="1" ht="14">
      <c r="A371" s="973"/>
      <c r="B371" s="2164"/>
      <c r="C371" s="753" t="s">
        <v>2199</v>
      </c>
      <c r="D371" s="750">
        <v>1</v>
      </c>
      <c r="E371" s="752">
        <v>0.01</v>
      </c>
      <c r="F371" s="616">
        <f>IF(F306="積上げ",0,+F346)</f>
        <v>0</v>
      </c>
      <c r="G371" s="615">
        <f>SUM(H371:J371)</f>
        <v>0</v>
      </c>
      <c r="H371" s="616">
        <f t="shared" ref="H371:I371" si="292">IF(H306="積上げ",0,+H346)</f>
        <v>0</v>
      </c>
      <c r="I371" s="616">
        <f t="shared" si="292"/>
        <v>0</v>
      </c>
      <c r="J371" s="915"/>
    </row>
    <row r="372" spans="1:10" s="607" customFormat="1" ht="14">
      <c r="A372" s="973"/>
      <c r="B372" s="2165"/>
      <c r="C372" s="749" t="s">
        <v>2200</v>
      </c>
      <c r="D372" s="750">
        <v>1</v>
      </c>
      <c r="E372" s="752">
        <v>0.01</v>
      </c>
      <c r="F372" s="616">
        <f ca="1">IF(F306="積上げ",0,+F347)</f>
        <v>0</v>
      </c>
      <c r="G372" s="615">
        <f ca="1">SUM(H372:J372)</f>
        <v>0</v>
      </c>
      <c r="H372" s="616">
        <f t="shared" ref="H372:I372" ca="1" si="293">IF(H306="積上げ",0,+H347)</f>
        <v>0</v>
      </c>
      <c r="I372" s="616">
        <f t="shared" ca="1" si="293"/>
        <v>0</v>
      </c>
      <c r="J372" s="915"/>
    </row>
    <row r="373" spans="1:10" s="607" customFormat="1" ht="14">
      <c r="A373" s="974"/>
      <c r="B373" s="754" t="s">
        <v>2281</v>
      </c>
      <c r="C373" s="775" t="s">
        <v>2360</v>
      </c>
      <c r="D373" s="755">
        <v>1</v>
      </c>
      <c r="E373" s="756">
        <v>0</v>
      </c>
      <c r="F373" s="723">
        <f ca="1">IF(F306="積上げ",0,SUM(F351:F354)+F348)</f>
        <v>0</v>
      </c>
      <c r="G373" s="638">
        <f ca="1">SUM(H373:J373)</f>
        <v>0</v>
      </c>
      <c r="H373" s="723">
        <f ca="1">IF(H306="積上げ",0,SUM(H351:H354)+H348)</f>
        <v>0</v>
      </c>
      <c r="I373" s="723">
        <f t="shared" ref="I373" ca="1" si="294">IF(I306="積上げ",0,SUM(I351:I354)+I348)</f>
        <v>0</v>
      </c>
      <c r="J373" s="915"/>
    </row>
    <row r="374" spans="1:10" s="607" customFormat="1" ht="14">
      <c r="A374" s="757"/>
      <c r="B374" s="758"/>
      <c r="C374" s="759"/>
      <c r="D374" s="975"/>
      <c r="E374" s="975"/>
      <c r="F374" s="748"/>
      <c r="G374" s="747"/>
      <c r="H374" s="748"/>
      <c r="I374" s="748"/>
      <c r="J374" s="915"/>
    </row>
    <row r="375" spans="1:10" s="607" customFormat="1" ht="14">
      <c r="A375" s="2170" t="s">
        <v>2283</v>
      </c>
      <c r="B375" s="2178"/>
      <c r="C375" s="2179"/>
      <c r="D375" s="976"/>
      <c r="E375" s="976"/>
      <c r="F375" s="742"/>
      <c r="G375" s="741"/>
      <c r="H375" s="742"/>
      <c r="I375" s="742"/>
      <c r="J375" s="915"/>
    </row>
    <row r="376" spans="1:10" s="607" customFormat="1" ht="14">
      <c r="A376" s="972"/>
      <c r="B376" s="2158" t="s">
        <v>2186</v>
      </c>
      <c r="C376" s="760" t="s">
        <v>2187</v>
      </c>
      <c r="D376" s="761"/>
      <c r="E376" s="762" t="s">
        <v>2276</v>
      </c>
      <c r="F376" s="764">
        <f t="shared" ref="F376" si="295">IF(F360=0,0,IF(F308="有り",+F481/100,F482/100))</f>
        <v>0</v>
      </c>
      <c r="G376" s="763" t="s">
        <v>2284</v>
      </c>
      <c r="H376" s="764">
        <f t="shared" ref="H376:I376" si="296">IF(H360=0,0,IF(H308="有り",+H481/100,H482/100))</f>
        <v>0</v>
      </c>
      <c r="I376" s="764">
        <f t="shared" si="296"/>
        <v>0</v>
      </c>
      <c r="J376" s="915"/>
    </row>
    <row r="377" spans="1:10" s="607" customFormat="1" ht="14">
      <c r="A377" s="973"/>
      <c r="B377" s="2139"/>
      <c r="C377" s="765"/>
      <c r="D377" s="766">
        <f>+D360</f>
        <v>1</v>
      </c>
      <c r="E377" s="767" t="s">
        <v>2276</v>
      </c>
      <c r="F377" s="726">
        <f>ROUNDDOWN(F360*F376*$D377,0)</f>
        <v>0</v>
      </c>
      <c r="G377" s="718">
        <f>SUM(H377:J377)</f>
        <v>0</v>
      </c>
      <c r="H377" s="726">
        <f t="shared" ref="H377:I377" si="297">ROUNDDOWN(H360*H376*$D377,0)</f>
        <v>0</v>
      </c>
      <c r="I377" s="726">
        <f t="shared" si="297"/>
        <v>0</v>
      </c>
      <c r="J377" s="915"/>
    </row>
    <row r="378" spans="1:10" s="607" customFormat="1" ht="14">
      <c r="A378" s="973"/>
      <c r="B378" s="2139"/>
      <c r="C378" s="768" t="s">
        <v>2188</v>
      </c>
      <c r="D378" s="1180"/>
      <c r="E378" s="767" t="s">
        <v>2276</v>
      </c>
      <c r="F378" s="770">
        <f t="shared" ref="F378" si="298">IF(F361=0,0,IF(F308="有り",F490/100,+F491/100))</f>
        <v>0</v>
      </c>
      <c r="G378" s="769" t="s">
        <v>2284</v>
      </c>
      <c r="H378" s="770">
        <f t="shared" ref="H378:I378" ca="1" si="299">IF(H361=0,0,IF(H308="有り",H490/100,+H491/100))</f>
        <v>0</v>
      </c>
      <c r="I378" s="770">
        <f t="shared" ca="1" si="299"/>
        <v>0</v>
      </c>
      <c r="J378" s="915"/>
    </row>
    <row r="379" spans="1:10" s="607" customFormat="1" ht="14">
      <c r="A379" s="973"/>
      <c r="B379" s="2139"/>
      <c r="C379" s="765"/>
      <c r="D379" s="771">
        <f t="shared" ref="D379:D384" si="300">+D361</f>
        <v>1</v>
      </c>
      <c r="E379" s="767" t="s">
        <v>2276</v>
      </c>
      <c r="F379" s="726">
        <f>ROUNDDOWN(F361*F378*$D379,0)</f>
        <v>0</v>
      </c>
      <c r="G379" s="718">
        <f t="shared" ref="G379:G384" ca="1" si="301">SUM(H379:J379)</f>
        <v>0</v>
      </c>
      <c r="H379" s="726">
        <f t="shared" ref="H379:I379" ca="1" si="302">ROUNDDOWN(H361*H378*$D379,0)</f>
        <v>0</v>
      </c>
      <c r="I379" s="726">
        <f t="shared" ca="1" si="302"/>
        <v>0</v>
      </c>
      <c r="J379" s="915"/>
    </row>
    <row r="380" spans="1:10" s="607" customFormat="1" ht="14">
      <c r="A380" s="973"/>
      <c r="B380" s="2139"/>
      <c r="C380" s="749" t="s">
        <v>2210</v>
      </c>
      <c r="D380" s="772">
        <v>0.9</v>
      </c>
      <c r="E380" s="767" t="s">
        <v>2276</v>
      </c>
      <c r="F380" s="726">
        <f ca="1">ROUNDDOWN(F362*F376*$D380,0)</f>
        <v>0</v>
      </c>
      <c r="G380" s="718">
        <f t="shared" ca="1" si="301"/>
        <v>0</v>
      </c>
      <c r="H380" s="726">
        <f t="shared" ref="H380:I380" ca="1" si="303">ROUNDDOWN(H362*H376*$D380,0)</f>
        <v>0</v>
      </c>
      <c r="I380" s="726">
        <f t="shared" ca="1" si="303"/>
        <v>0</v>
      </c>
      <c r="J380" s="915"/>
    </row>
    <row r="381" spans="1:10" s="607" customFormat="1" ht="14">
      <c r="A381" s="973"/>
      <c r="B381" s="2138"/>
      <c r="C381" s="749" t="s">
        <v>2211</v>
      </c>
      <c r="D381" s="772">
        <v>0.9</v>
      </c>
      <c r="E381" s="767" t="s">
        <v>2276</v>
      </c>
      <c r="F381" s="726">
        <f ca="1">ROUNDDOWN(F363*F378*$D381,0)</f>
        <v>0</v>
      </c>
      <c r="G381" s="718">
        <f t="shared" ca="1" si="301"/>
        <v>0</v>
      </c>
      <c r="H381" s="726">
        <f t="shared" ref="H381:I381" ca="1" si="304">ROUNDDOWN(H363*H378*$D381,0)</f>
        <v>0</v>
      </c>
      <c r="I381" s="726">
        <f t="shared" ca="1" si="304"/>
        <v>0</v>
      </c>
      <c r="J381" s="915"/>
    </row>
    <row r="382" spans="1:10" s="607" customFormat="1" ht="14">
      <c r="A382" s="973"/>
      <c r="B382" s="2137" t="s">
        <v>2212</v>
      </c>
      <c r="C382" s="749" t="s">
        <v>2279</v>
      </c>
      <c r="D382" s="772">
        <f>+D364</f>
        <v>1</v>
      </c>
      <c r="E382" s="752">
        <f>+E364</f>
        <v>0.01</v>
      </c>
      <c r="F382" s="726">
        <f ca="1">ROUNDDOWN(F364*$E382*$D382,0)</f>
        <v>0</v>
      </c>
      <c r="G382" s="718">
        <f t="shared" ca="1" si="301"/>
        <v>0</v>
      </c>
      <c r="H382" s="726">
        <f t="shared" ref="H382:I390" ca="1" si="305">ROUNDDOWN(H364*$E382*$D382,0)</f>
        <v>0</v>
      </c>
      <c r="I382" s="726">
        <f t="shared" ca="1" si="305"/>
        <v>0</v>
      </c>
      <c r="J382" s="915"/>
    </row>
    <row r="383" spans="1:10" s="607" customFormat="1" ht="14">
      <c r="A383" s="973"/>
      <c r="B383" s="2139"/>
      <c r="C383" s="749" t="s">
        <v>2285</v>
      </c>
      <c r="D383" s="772">
        <f t="shared" si="300"/>
        <v>1</v>
      </c>
      <c r="E383" s="752">
        <f>+E365</f>
        <v>0.01</v>
      </c>
      <c r="F383" s="726">
        <f ca="1">ROUNDDOWN(F365*$E383*$D383,0)</f>
        <v>0</v>
      </c>
      <c r="G383" s="718">
        <f t="shared" ca="1" si="301"/>
        <v>0</v>
      </c>
      <c r="H383" s="726">
        <f t="shared" ca="1" si="305"/>
        <v>0</v>
      </c>
      <c r="I383" s="726">
        <f t="shared" ca="1" si="305"/>
        <v>0</v>
      </c>
      <c r="J383" s="915"/>
    </row>
    <row r="384" spans="1:10" s="607" customFormat="1" ht="14">
      <c r="A384" s="973"/>
      <c r="B384" s="2139"/>
      <c r="C384" s="749" t="s">
        <v>2194</v>
      </c>
      <c r="D384" s="772">
        <f t="shared" si="300"/>
        <v>1</v>
      </c>
      <c r="E384" s="752">
        <f>+E366</f>
        <v>0.01</v>
      </c>
      <c r="F384" s="726">
        <f ca="1">ROUNDDOWN(F366*$E384*$D384,0)</f>
        <v>0</v>
      </c>
      <c r="G384" s="718">
        <f t="shared" ca="1" si="301"/>
        <v>0</v>
      </c>
      <c r="H384" s="726">
        <f t="shared" ca="1" si="305"/>
        <v>0</v>
      </c>
      <c r="I384" s="726">
        <f t="shared" ca="1" si="305"/>
        <v>0</v>
      </c>
      <c r="J384" s="915"/>
    </row>
    <row r="385" spans="1:10" s="607" customFormat="1" ht="14">
      <c r="A385" s="973"/>
      <c r="B385" s="2139"/>
      <c r="C385" s="749" t="s">
        <v>2286</v>
      </c>
      <c r="D385" s="772"/>
      <c r="E385" s="752"/>
      <c r="F385" s="726"/>
      <c r="G385" s="615"/>
      <c r="H385" s="726"/>
      <c r="I385" s="726"/>
      <c r="J385" s="915"/>
    </row>
    <row r="386" spans="1:10" s="607" customFormat="1" ht="14">
      <c r="A386" s="973"/>
      <c r="B386" s="2139"/>
      <c r="C386" s="773" t="s">
        <v>2196</v>
      </c>
      <c r="D386" s="772"/>
      <c r="E386" s="752"/>
      <c r="F386" s="726"/>
      <c r="G386" s="615"/>
      <c r="H386" s="726"/>
      <c r="I386" s="726"/>
      <c r="J386" s="915"/>
    </row>
    <row r="387" spans="1:10" s="607" customFormat="1" ht="14">
      <c r="A387" s="973"/>
      <c r="B387" s="2139"/>
      <c r="C387" s="749" t="s">
        <v>2197</v>
      </c>
      <c r="D387" s="772">
        <f t="shared" ref="D387:E391" si="306">+D369</f>
        <v>1</v>
      </c>
      <c r="E387" s="752">
        <f t="shared" si="306"/>
        <v>0.01</v>
      </c>
      <c r="F387" s="726">
        <f ca="1">ROUNDDOWN(F369*$E387*$D387,0)</f>
        <v>0</v>
      </c>
      <c r="G387" s="718">
        <f ca="1">SUM(H387:J387)</f>
        <v>0</v>
      </c>
      <c r="H387" s="726">
        <f t="shared" ca="1" si="305"/>
        <v>0</v>
      </c>
      <c r="I387" s="726">
        <f t="shared" ca="1" si="305"/>
        <v>0</v>
      </c>
      <c r="J387" s="915"/>
    </row>
    <row r="388" spans="1:10" s="607" customFormat="1" ht="14">
      <c r="A388" s="973"/>
      <c r="B388" s="2139"/>
      <c r="C388" s="753" t="s">
        <v>2287</v>
      </c>
      <c r="D388" s="772">
        <f t="shared" si="306"/>
        <v>1</v>
      </c>
      <c r="E388" s="752">
        <f t="shared" si="306"/>
        <v>0.01</v>
      </c>
      <c r="F388" s="726">
        <f>ROUNDDOWN(F370*$E388*$D388,0)</f>
        <v>0</v>
      </c>
      <c r="G388" s="718">
        <f>SUM(H388:J388)</f>
        <v>0</v>
      </c>
      <c r="H388" s="726">
        <f t="shared" si="305"/>
        <v>0</v>
      </c>
      <c r="I388" s="726">
        <f t="shared" si="305"/>
        <v>0</v>
      </c>
      <c r="J388" s="915"/>
    </row>
    <row r="389" spans="1:10" s="607" customFormat="1" ht="14">
      <c r="A389" s="973"/>
      <c r="B389" s="2139"/>
      <c r="C389" s="753" t="s">
        <v>2288</v>
      </c>
      <c r="D389" s="772">
        <f t="shared" si="306"/>
        <v>1</v>
      </c>
      <c r="E389" s="752">
        <f t="shared" si="306"/>
        <v>0.01</v>
      </c>
      <c r="F389" s="726">
        <f>ROUNDDOWN(F371*$E389*$D389,0)</f>
        <v>0</v>
      </c>
      <c r="G389" s="718">
        <f>SUM(H389:J389)</f>
        <v>0</v>
      </c>
      <c r="H389" s="726">
        <f t="shared" si="305"/>
        <v>0</v>
      </c>
      <c r="I389" s="726">
        <f t="shared" si="305"/>
        <v>0</v>
      </c>
      <c r="J389" s="915"/>
    </row>
    <row r="390" spans="1:10" s="607" customFormat="1" ht="14">
      <c r="A390" s="973"/>
      <c r="B390" s="2138"/>
      <c r="C390" s="749" t="s">
        <v>2200</v>
      </c>
      <c r="D390" s="772">
        <f t="shared" si="306"/>
        <v>1</v>
      </c>
      <c r="E390" s="752">
        <f t="shared" si="306"/>
        <v>0.01</v>
      </c>
      <c r="F390" s="726">
        <f ca="1">ROUNDDOWN(F372*$E390*$D390,0)</f>
        <v>0</v>
      </c>
      <c r="G390" s="718">
        <f ca="1">SUM(H390:J390)</f>
        <v>0</v>
      </c>
      <c r="H390" s="726">
        <f t="shared" ca="1" si="305"/>
        <v>0</v>
      </c>
      <c r="I390" s="726">
        <f t="shared" ca="1" si="305"/>
        <v>0</v>
      </c>
      <c r="J390" s="915"/>
    </row>
    <row r="391" spans="1:10" s="607" customFormat="1" ht="15" thickBot="1">
      <c r="A391" s="977"/>
      <c r="B391" s="774" t="s">
        <v>2281</v>
      </c>
      <c r="C391" s="775" t="s">
        <v>2289</v>
      </c>
      <c r="D391" s="776">
        <f t="shared" si="306"/>
        <v>1</v>
      </c>
      <c r="E391" s="777">
        <f t="shared" si="306"/>
        <v>0</v>
      </c>
      <c r="F391" s="726">
        <f ca="1">ROUNDDOWN(F373*$E391*$D391,0)</f>
        <v>0</v>
      </c>
      <c r="G391" s="778">
        <f ca="1">ROUNDDOWN(D391*E391*G373,0)</f>
        <v>0</v>
      </c>
      <c r="H391" s="726">
        <f t="shared" ref="H391:I391" ca="1" si="307">ROUNDDOWN(H373*$E391*$D391,0)</f>
        <v>0</v>
      </c>
      <c r="I391" s="726">
        <f t="shared" ca="1" si="307"/>
        <v>0</v>
      </c>
      <c r="J391" s="915"/>
    </row>
    <row r="392" spans="1:10" s="607" customFormat="1" ht="15" thickTop="1">
      <c r="A392" s="779"/>
      <c r="B392" s="780"/>
      <c r="C392" s="781" t="s">
        <v>2290</v>
      </c>
      <c r="D392" s="782"/>
      <c r="E392" s="783"/>
      <c r="F392" s="785">
        <f t="shared" ref="F392" ca="1" si="308">SUM(F379:F391)+F377</f>
        <v>0</v>
      </c>
      <c r="G392" s="784">
        <f ca="1">SUM(H392:J392)</f>
        <v>0</v>
      </c>
      <c r="H392" s="785">
        <f ca="1">SUM(H379:H391)+H377</f>
        <v>0</v>
      </c>
      <c r="I392" s="785">
        <f t="shared" ref="I392" ca="1" si="309">SUM(I379:I391)+I377</f>
        <v>0</v>
      </c>
      <c r="J392" s="915"/>
    </row>
    <row r="393" spans="1:10" s="607" customFormat="1" ht="14">
      <c r="A393" s="995"/>
      <c r="B393" s="995"/>
      <c r="C393" s="623"/>
      <c r="D393" s="623"/>
      <c r="E393" s="995"/>
      <c r="F393" s="618"/>
      <c r="G393" s="786"/>
      <c r="H393" s="618"/>
      <c r="I393" s="618"/>
    </row>
    <row r="394" spans="1:10" s="607" customFormat="1" ht="14">
      <c r="A394" s="995"/>
      <c r="B394" s="995"/>
      <c r="C394" s="739" t="s">
        <v>2361</v>
      </c>
      <c r="D394" s="739"/>
      <c r="E394" s="622"/>
      <c r="F394" s="713"/>
      <c r="G394" s="711"/>
      <c r="H394" s="713"/>
      <c r="I394" s="713"/>
      <c r="J394" s="740" t="s">
        <v>2362</v>
      </c>
    </row>
    <row r="395" spans="1:10" s="607" customFormat="1" ht="14">
      <c r="A395" s="995"/>
      <c r="B395" s="995"/>
      <c r="C395" s="627" t="s">
        <v>2293</v>
      </c>
      <c r="D395" s="627"/>
      <c r="E395" s="622"/>
      <c r="F395" s="713"/>
      <c r="G395" s="711"/>
      <c r="H395" s="713"/>
      <c r="I395" s="713"/>
    </row>
    <row r="396" spans="1:10" s="607" customFormat="1" ht="28">
      <c r="A396" s="595"/>
      <c r="B396" s="596"/>
      <c r="C396" s="596"/>
      <c r="D396" s="1155" t="s">
        <v>2272</v>
      </c>
      <c r="E396" s="1155" t="s">
        <v>2273</v>
      </c>
      <c r="F396" s="1009" t="e">
        <f t="shared" ref="F396" si="310">+F304</f>
        <v>#VALUE!</v>
      </c>
      <c r="G396" s="737" t="s">
        <v>2165</v>
      </c>
      <c r="H396" s="738" t="str">
        <f t="shared" ref="H396:I396" si="311">+H304</f>
        <v>工事1</v>
      </c>
      <c r="I396" s="738" t="str">
        <f t="shared" si="311"/>
        <v>工事2</v>
      </c>
      <c r="J396" s="915"/>
    </row>
    <row r="397" spans="1:10" s="607" customFormat="1" ht="14">
      <c r="A397" s="2170" t="s">
        <v>2978</v>
      </c>
      <c r="B397" s="2178"/>
      <c r="C397" s="2179"/>
      <c r="D397" s="971"/>
      <c r="E397" s="971"/>
      <c r="F397" s="1010"/>
      <c r="G397" s="741"/>
      <c r="H397" s="742"/>
      <c r="I397" s="742"/>
      <c r="J397" s="915"/>
    </row>
    <row r="398" spans="1:10" s="607" customFormat="1" ht="14">
      <c r="A398" s="972"/>
      <c r="B398" s="743" t="s">
        <v>2295</v>
      </c>
      <c r="C398" s="744"/>
      <c r="D398" s="745"/>
      <c r="E398" s="746"/>
      <c r="F398" s="1011">
        <f t="shared" ref="F398" ca="1" si="312">+F309-F353-F352-F348-F349</f>
        <v>0</v>
      </c>
      <c r="G398" s="747">
        <f t="shared" ref="G398:G405" ca="1" si="313">SUM(H398:J398)</f>
        <v>0</v>
      </c>
      <c r="H398" s="748">
        <f t="shared" ref="H398:I398" ca="1" si="314">+H309-H353-H352-H348-H349</f>
        <v>0</v>
      </c>
      <c r="I398" s="748">
        <f t="shared" ca="1" si="314"/>
        <v>0</v>
      </c>
      <c r="J398" s="915"/>
    </row>
    <row r="399" spans="1:10" s="607" customFormat="1" ht="14">
      <c r="A399" s="973"/>
      <c r="B399" s="2137" t="s">
        <v>2186</v>
      </c>
      <c r="C399" s="749" t="s">
        <v>2187</v>
      </c>
      <c r="D399" s="750">
        <v>1</v>
      </c>
      <c r="E399" s="751" t="s">
        <v>2276</v>
      </c>
      <c r="F399" s="1003">
        <f t="shared" ref="F399" ca="1" si="315">IF(F335&gt;=F336,+F335+F377+F316-F317-F318-F353,F335+F377)</f>
        <v>0</v>
      </c>
      <c r="G399" s="615">
        <f t="shared" ca="1" si="313"/>
        <v>0</v>
      </c>
      <c r="H399" s="616">
        <f ca="1">IF(H335&gt;=H336,+H335+H377+H316-H317-H318-H353,H335+H377)</f>
        <v>0</v>
      </c>
      <c r="I399" s="616">
        <f t="shared" ref="I399" ca="1" si="316">IF(I335&gt;=I336,+I335+I377+I316-I317-I318-I353,I335+I377)</f>
        <v>0</v>
      </c>
      <c r="J399" s="915"/>
    </row>
    <row r="400" spans="1:10" s="607" customFormat="1" ht="14">
      <c r="A400" s="973"/>
      <c r="B400" s="2139"/>
      <c r="C400" s="749" t="s">
        <v>2188</v>
      </c>
      <c r="D400" s="750">
        <v>1</v>
      </c>
      <c r="E400" s="751" t="s">
        <v>2276</v>
      </c>
      <c r="F400" s="1003">
        <f t="shared" ref="F400" si="317">IF(F335&gt;=F336,+F336+F379,F336+F379+F316-F317-F318-F353)</f>
        <v>0</v>
      </c>
      <c r="G400" s="615">
        <f t="shared" ca="1" si="313"/>
        <v>0</v>
      </c>
      <c r="H400" s="616">
        <f ca="1">IF(H335&gt;=H336,+H336+H379,H336+H379+H316-H317-H318-H353)</f>
        <v>0</v>
      </c>
      <c r="I400" s="616">
        <f t="shared" ref="I400" ca="1" si="318">IF(I335&gt;=I336,+I336+I379,I336+I379+I316-I317-I318-I353)</f>
        <v>0</v>
      </c>
      <c r="J400" s="915"/>
    </row>
    <row r="401" spans="1:10" s="607" customFormat="1" ht="14">
      <c r="A401" s="973"/>
      <c r="B401" s="2139"/>
      <c r="C401" s="749" t="s">
        <v>2277</v>
      </c>
      <c r="D401" s="750">
        <v>1</v>
      </c>
      <c r="E401" s="751" t="s">
        <v>2276</v>
      </c>
      <c r="F401" s="1003">
        <f t="shared" ref="F401:F405" ca="1" si="319">+F337+F380</f>
        <v>0</v>
      </c>
      <c r="G401" s="615">
        <f t="shared" ca="1" si="313"/>
        <v>0</v>
      </c>
      <c r="H401" s="616">
        <f ca="1">+H337+H380</f>
        <v>0</v>
      </c>
      <c r="I401" s="616">
        <f t="shared" ref="I401:I405" ca="1" si="320">+I337+I380</f>
        <v>0</v>
      </c>
      <c r="J401" s="915"/>
    </row>
    <row r="402" spans="1:10" s="607" customFormat="1" ht="14">
      <c r="A402" s="973"/>
      <c r="B402" s="2138"/>
      <c r="C402" s="749" t="s">
        <v>2278</v>
      </c>
      <c r="D402" s="750">
        <v>1</v>
      </c>
      <c r="E402" s="751" t="s">
        <v>2276</v>
      </c>
      <c r="F402" s="1003">
        <f t="shared" ca="1" si="319"/>
        <v>0</v>
      </c>
      <c r="G402" s="615">
        <f t="shared" ca="1" si="313"/>
        <v>0</v>
      </c>
      <c r="H402" s="616">
        <f ca="1">+H338+H381</f>
        <v>0</v>
      </c>
      <c r="I402" s="616">
        <f t="shared" ca="1" si="320"/>
        <v>0</v>
      </c>
      <c r="J402" s="915"/>
    </row>
    <row r="403" spans="1:10" s="607" customFormat="1" ht="14">
      <c r="A403" s="973"/>
      <c r="B403" s="2163" t="s">
        <v>2191</v>
      </c>
      <c r="C403" s="749" t="s">
        <v>2279</v>
      </c>
      <c r="D403" s="750">
        <v>1</v>
      </c>
      <c r="E403" s="752">
        <v>0.02</v>
      </c>
      <c r="F403" s="1003">
        <f t="shared" ca="1" si="319"/>
        <v>0</v>
      </c>
      <c r="G403" s="615">
        <f t="shared" ca="1" si="313"/>
        <v>0</v>
      </c>
      <c r="H403" s="616">
        <f ca="1">+H339+H382</f>
        <v>0</v>
      </c>
      <c r="I403" s="616">
        <f t="shared" ca="1" si="320"/>
        <v>0</v>
      </c>
      <c r="J403" s="915"/>
    </row>
    <row r="404" spans="1:10" s="607" customFormat="1" ht="14">
      <c r="A404" s="973"/>
      <c r="B404" s="2164"/>
      <c r="C404" s="749" t="s">
        <v>2280</v>
      </c>
      <c r="D404" s="750">
        <v>1</v>
      </c>
      <c r="E404" s="752">
        <v>0.02</v>
      </c>
      <c r="F404" s="1003">
        <f t="shared" ca="1" si="319"/>
        <v>0</v>
      </c>
      <c r="G404" s="615">
        <f t="shared" ca="1" si="313"/>
        <v>0</v>
      </c>
      <c r="H404" s="616">
        <f ca="1">+H340+H383</f>
        <v>0</v>
      </c>
      <c r="I404" s="616">
        <f t="shared" ca="1" si="320"/>
        <v>0</v>
      </c>
      <c r="J404" s="915"/>
    </row>
    <row r="405" spans="1:10" s="607" customFormat="1" ht="14">
      <c r="A405" s="973"/>
      <c r="B405" s="2164"/>
      <c r="C405" s="749" t="s">
        <v>2194</v>
      </c>
      <c r="D405" s="750">
        <v>1</v>
      </c>
      <c r="E405" s="752">
        <v>0.02</v>
      </c>
      <c r="F405" s="1003">
        <f t="shared" ca="1" si="319"/>
        <v>0</v>
      </c>
      <c r="G405" s="615">
        <f t="shared" ca="1" si="313"/>
        <v>0</v>
      </c>
      <c r="H405" s="616">
        <f ca="1">+H341+H384</f>
        <v>0</v>
      </c>
      <c r="I405" s="616">
        <f t="shared" ca="1" si="320"/>
        <v>0</v>
      </c>
      <c r="J405" s="915"/>
    </row>
    <row r="406" spans="1:10" s="607" customFormat="1" ht="14">
      <c r="A406" s="973"/>
      <c r="B406" s="2164"/>
      <c r="C406" s="749" t="s">
        <v>2195</v>
      </c>
      <c r="D406" s="750"/>
      <c r="E406" s="752"/>
      <c r="F406" s="1003"/>
      <c r="G406" s="615"/>
      <c r="H406" s="616"/>
      <c r="I406" s="616"/>
      <c r="J406" s="915"/>
    </row>
    <row r="407" spans="1:10" s="607" customFormat="1" ht="14">
      <c r="A407" s="973"/>
      <c r="B407" s="2164"/>
      <c r="C407" s="749" t="s">
        <v>2196</v>
      </c>
      <c r="D407" s="750"/>
      <c r="E407" s="752"/>
      <c r="F407" s="1003"/>
      <c r="G407" s="615"/>
      <c r="H407" s="616"/>
      <c r="I407" s="616"/>
      <c r="J407" s="915"/>
    </row>
    <row r="408" spans="1:10" s="607" customFormat="1" ht="14">
      <c r="A408" s="973"/>
      <c r="B408" s="2164"/>
      <c r="C408" s="749" t="s">
        <v>2197</v>
      </c>
      <c r="D408" s="750">
        <v>1</v>
      </c>
      <c r="E408" s="752">
        <v>0.02</v>
      </c>
      <c r="F408" s="1003">
        <f t="shared" ref="F408:F411" ca="1" si="321">+F344+F387</f>
        <v>0</v>
      </c>
      <c r="G408" s="615">
        <f ca="1">SUM(H408:J408)</f>
        <v>0</v>
      </c>
      <c r="H408" s="616">
        <f t="shared" ref="H408:I411" ca="1" si="322">+H344+H387</f>
        <v>0</v>
      </c>
      <c r="I408" s="616">
        <f t="shared" ca="1" si="322"/>
        <v>0</v>
      </c>
      <c r="J408" s="915"/>
    </row>
    <row r="409" spans="1:10" s="607" customFormat="1" ht="14">
      <c r="A409" s="973"/>
      <c r="B409" s="2164"/>
      <c r="C409" s="753" t="s">
        <v>2198</v>
      </c>
      <c r="D409" s="750">
        <v>1</v>
      </c>
      <c r="E409" s="752">
        <v>0.02</v>
      </c>
      <c r="F409" s="1003">
        <f t="shared" si="321"/>
        <v>0</v>
      </c>
      <c r="G409" s="615">
        <f>SUM(H409:J409)</f>
        <v>0</v>
      </c>
      <c r="H409" s="616">
        <f t="shared" si="322"/>
        <v>0</v>
      </c>
      <c r="I409" s="616">
        <f t="shared" si="322"/>
        <v>0</v>
      </c>
      <c r="J409" s="915"/>
    </row>
    <row r="410" spans="1:10" s="607" customFormat="1" ht="14">
      <c r="A410" s="973"/>
      <c r="B410" s="2164"/>
      <c r="C410" s="753" t="s">
        <v>2199</v>
      </c>
      <c r="D410" s="750">
        <v>1</v>
      </c>
      <c r="E410" s="752">
        <v>0.02</v>
      </c>
      <c r="F410" s="1003">
        <f t="shared" si="321"/>
        <v>0</v>
      </c>
      <c r="G410" s="615">
        <f>SUM(H410:J410)</f>
        <v>0</v>
      </c>
      <c r="H410" s="616">
        <f t="shared" si="322"/>
        <v>0</v>
      </c>
      <c r="I410" s="616">
        <f t="shared" si="322"/>
        <v>0</v>
      </c>
      <c r="J410" s="915"/>
    </row>
    <row r="411" spans="1:10" s="607" customFormat="1" ht="14">
      <c r="A411" s="973"/>
      <c r="B411" s="2165"/>
      <c r="C411" s="749" t="s">
        <v>2200</v>
      </c>
      <c r="D411" s="750">
        <v>1</v>
      </c>
      <c r="E411" s="752">
        <v>0.02</v>
      </c>
      <c r="F411" s="1003">
        <f t="shared" ca="1" si="321"/>
        <v>0</v>
      </c>
      <c r="G411" s="615">
        <f ca="1">SUM(H411:J411)</f>
        <v>0</v>
      </c>
      <c r="H411" s="616">
        <f t="shared" ca="1" si="322"/>
        <v>0</v>
      </c>
      <c r="I411" s="616">
        <f t="shared" ca="1" si="322"/>
        <v>0</v>
      </c>
      <c r="J411" s="915"/>
    </row>
    <row r="412" spans="1:10" s="607" customFormat="1" ht="14">
      <c r="A412" s="974"/>
      <c r="B412" s="754" t="s">
        <v>2281</v>
      </c>
      <c r="C412" s="787" t="s">
        <v>2296</v>
      </c>
      <c r="D412" s="755">
        <v>1</v>
      </c>
      <c r="E412" s="756">
        <v>0</v>
      </c>
      <c r="F412" s="1013">
        <f t="shared" ref="F412" ca="1" si="323">SUM(F348:F354)</f>
        <v>0</v>
      </c>
      <c r="G412" s="638">
        <f ca="1">SUM(H412:J412)</f>
        <v>0</v>
      </c>
      <c r="H412" s="723">
        <f t="shared" ref="H412:I412" ca="1" si="324">SUM(H348:H354)</f>
        <v>0</v>
      </c>
      <c r="I412" s="723">
        <f t="shared" ca="1" si="324"/>
        <v>0</v>
      </c>
      <c r="J412" s="915"/>
    </row>
    <row r="413" spans="1:10" s="607" customFormat="1" ht="14">
      <c r="A413" s="757"/>
      <c r="B413" s="758"/>
      <c r="C413" s="759"/>
      <c r="D413" s="975"/>
      <c r="E413" s="975"/>
      <c r="F413" s="1011"/>
      <c r="G413" s="747"/>
      <c r="H413" s="748"/>
      <c r="I413" s="748"/>
      <c r="J413" s="915"/>
    </row>
    <row r="414" spans="1:10" s="607" customFormat="1" ht="14">
      <c r="A414" s="2170" t="s">
        <v>2297</v>
      </c>
      <c r="B414" s="2178"/>
      <c r="C414" s="2179"/>
      <c r="D414" s="976"/>
      <c r="E414" s="976"/>
      <c r="F414" s="1010"/>
      <c r="G414" s="741"/>
      <c r="H414" s="742"/>
      <c r="I414" s="742"/>
      <c r="J414" s="915"/>
    </row>
    <row r="415" spans="1:10" s="607" customFormat="1" ht="14">
      <c r="A415" s="972"/>
      <c r="B415" s="2158" t="s">
        <v>2186</v>
      </c>
      <c r="C415" s="760" t="s">
        <v>2187</v>
      </c>
      <c r="D415" s="761"/>
      <c r="E415" s="762" t="s">
        <v>2276</v>
      </c>
      <c r="F415" s="1019">
        <f t="shared" ref="F415" ca="1" si="325">IF(F399=0,0,+F499/100)</f>
        <v>0</v>
      </c>
      <c r="G415" s="763" t="s">
        <v>2284</v>
      </c>
      <c r="H415" s="764">
        <f t="shared" ref="H415:I415" ca="1" si="326">IF(H399=0,0,+H499/100)</f>
        <v>0</v>
      </c>
      <c r="I415" s="764">
        <f t="shared" ca="1" si="326"/>
        <v>0</v>
      </c>
      <c r="J415" s="915"/>
    </row>
    <row r="416" spans="1:10" s="607" customFormat="1" ht="14">
      <c r="A416" s="973"/>
      <c r="B416" s="2139"/>
      <c r="C416" s="765"/>
      <c r="D416" s="766">
        <f>+D399</f>
        <v>1</v>
      </c>
      <c r="E416" s="767" t="s">
        <v>2276</v>
      </c>
      <c r="F416" s="1020">
        <f ca="1">ROUNDDOWN(F399*F415*$D416,0)</f>
        <v>0</v>
      </c>
      <c r="G416" s="718">
        <f ca="1">SUM(H416:J416)</f>
        <v>0</v>
      </c>
      <c r="H416" s="726">
        <f t="shared" ref="H416:I416" ca="1" si="327">ROUNDDOWN(H399*H415*$D416,0)</f>
        <v>0</v>
      </c>
      <c r="I416" s="726">
        <f t="shared" ca="1" si="327"/>
        <v>0</v>
      </c>
      <c r="J416" s="915"/>
    </row>
    <row r="417" spans="1:10" s="607" customFormat="1" ht="14">
      <c r="A417" s="973"/>
      <c r="B417" s="2139"/>
      <c r="C417" s="768" t="s">
        <v>2188</v>
      </c>
      <c r="D417" s="1180"/>
      <c r="E417" s="767" t="s">
        <v>2276</v>
      </c>
      <c r="F417" s="1021">
        <f>IF(F400=0,0,+F507/100)</f>
        <v>0</v>
      </c>
      <c r="G417" s="769" t="s">
        <v>2284</v>
      </c>
      <c r="H417" s="788">
        <f t="shared" ref="H417" ca="1" si="328">IF(H400=0,0,+H507/100)</f>
        <v>0</v>
      </c>
      <c r="I417" s="770">
        <f t="shared" ref="I417" ca="1" si="329">IF(I400=0,0,+I507/100)</f>
        <v>0</v>
      </c>
      <c r="J417" s="915"/>
    </row>
    <row r="418" spans="1:10" s="607" customFormat="1" ht="14">
      <c r="A418" s="973"/>
      <c r="B418" s="2139"/>
      <c r="C418" s="765"/>
      <c r="D418" s="771">
        <f t="shared" ref="D418:D423" si="330">+D400</f>
        <v>1</v>
      </c>
      <c r="E418" s="767" t="s">
        <v>2276</v>
      </c>
      <c r="F418" s="1020">
        <f>ROUNDDOWN(F400*F417*$D418,0)</f>
        <v>0</v>
      </c>
      <c r="G418" s="718">
        <f t="shared" ref="G418:G423" ca="1" si="331">SUM(H418:J418)</f>
        <v>0</v>
      </c>
      <c r="H418" s="726">
        <f t="shared" ref="H418:I418" ca="1" si="332">ROUNDDOWN(H400*H417*$D418,0)</f>
        <v>0</v>
      </c>
      <c r="I418" s="726">
        <f t="shared" ca="1" si="332"/>
        <v>0</v>
      </c>
      <c r="J418" s="915"/>
    </row>
    <row r="419" spans="1:10" s="607" customFormat="1" ht="14">
      <c r="A419" s="973"/>
      <c r="B419" s="2139"/>
      <c r="C419" s="749" t="s">
        <v>2210</v>
      </c>
      <c r="D419" s="772">
        <f t="shared" si="330"/>
        <v>1</v>
      </c>
      <c r="E419" s="767" t="s">
        <v>2276</v>
      </c>
      <c r="F419" s="1020">
        <f ca="1">ROUNDDOWN(F401*F415*$D419,0)</f>
        <v>0</v>
      </c>
      <c r="G419" s="718">
        <f t="shared" ca="1" si="331"/>
        <v>0</v>
      </c>
      <c r="H419" s="726">
        <f t="shared" ref="H419:I419" ca="1" si="333">ROUNDDOWN(H401*H415*$D419,0)</f>
        <v>0</v>
      </c>
      <c r="I419" s="726">
        <f t="shared" ca="1" si="333"/>
        <v>0</v>
      </c>
      <c r="J419" s="915"/>
    </row>
    <row r="420" spans="1:10" s="607" customFormat="1" ht="14">
      <c r="A420" s="973"/>
      <c r="B420" s="2138"/>
      <c r="C420" s="749" t="s">
        <v>2211</v>
      </c>
      <c r="D420" s="772">
        <f t="shared" si="330"/>
        <v>1</v>
      </c>
      <c r="E420" s="767" t="s">
        <v>2276</v>
      </c>
      <c r="F420" s="1020">
        <f ca="1">ROUNDDOWN(F402*F417*$D420,0)</f>
        <v>0</v>
      </c>
      <c r="G420" s="718">
        <f t="shared" ca="1" si="331"/>
        <v>0</v>
      </c>
      <c r="H420" s="726">
        <f t="shared" ref="H420:I420" ca="1" si="334">ROUNDDOWN(H402*H417*$D420,0)</f>
        <v>0</v>
      </c>
      <c r="I420" s="726">
        <f t="shared" ca="1" si="334"/>
        <v>0</v>
      </c>
      <c r="J420" s="915"/>
    </row>
    <row r="421" spans="1:10" s="607" customFormat="1" ht="14">
      <c r="A421" s="973"/>
      <c r="B421" s="2137" t="s">
        <v>2191</v>
      </c>
      <c r="C421" s="749" t="s">
        <v>2279</v>
      </c>
      <c r="D421" s="772">
        <f t="shared" si="330"/>
        <v>1</v>
      </c>
      <c r="E421" s="752">
        <f>+E403</f>
        <v>0.02</v>
      </c>
      <c r="F421" s="1020">
        <f ca="1">ROUNDDOWN(F403*$E421*$D421,0)</f>
        <v>0</v>
      </c>
      <c r="G421" s="718">
        <f t="shared" ca="1" si="331"/>
        <v>0</v>
      </c>
      <c r="H421" s="726">
        <f t="shared" ref="H421:I423" ca="1" si="335">ROUNDDOWN(H403*$E421*$D421,0)</f>
        <v>0</v>
      </c>
      <c r="I421" s="726">
        <f t="shared" ca="1" si="335"/>
        <v>0</v>
      </c>
      <c r="J421" s="915"/>
    </row>
    <row r="422" spans="1:10" s="607" customFormat="1" ht="14">
      <c r="A422" s="973"/>
      <c r="B422" s="2139"/>
      <c r="C422" s="749" t="s">
        <v>2285</v>
      </c>
      <c r="D422" s="772">
        <f t="shared" si="330"/>
        <v>1</v>
      </c>
      <c r="E422" s="752">
        <f>+E404</f>
        <v>0.02</v>
      </c>
      <c r="F422" s="1020">
        <f ca="1">ROUNDDOWN(F404*$E422*$D422,0)</f>
        <v>0</v>
      </c>
      <c r="G422" s="718">
        <f t="shared" ca="1" si="331"/>
        <v>0</v>
      </c>
      <c r="H422" s="726">
        <f t="shared" ca="1" si="335"/>
        <v>0</v>
      </c>
      <c r="I422" s="726">
        <f t="shared" ca="1" si="335"/>
        <v>0</v>
      </c>
      <c r="J422" s="915"/>
    </row>
    <row r="423" spans="1:10" s="607" customFormat="1" ht="14">
      <c r="A423" s="973"/>
      <c r="B423" s="2139"/>
      <c r="C423" s="749" t="s">
        <v>2194</v>
      </c>
      <c r="D423" s="772">
        <f t="shared" si="330"/>
        <v>1</v>
      </c>
      <c r="E423" s="752">
        <f>+E405</f>
        <v>0.02</v>
      </c>
      <c r="F423" s="1020">
        <f ca="1">ROUNDDOWN(F405*$E423*$D423,0)</f>
        <v>0</v>
      </c>
      <c r="G423" s="718">
        <f t="shared" ca="1" si="331"/>
        <v>0</v>
      </c>
      <c r="H423" s="726">
        <f t="shared" ca="1" si="335"/>
        <v>0</v>
      </c>
      <c r="I423" s="726">
        <f t="shared" ca="1" si="335"/>
        <v>0</v>
      </c>
      <c r="J423" s="915"/>
    </row>
    <row r="424" spans="1:10" s="607" customFormat="1" ht="14">
      <c r="A424" s="973"/>
      <c r="B424" s="2139"/>
      <c r="C424" s="749" t="s">
        <v>2195</v>
      </c>
      <c r="D424" s="772"/>
      <c r="E424" s="752"/>
      <c r="F424" s="1020"/>
      <c r="G424" s="718"/>
      <c r="H424" s="726"/>
      <c r="I424" s="726"/>
      <c r="J424" s="915"/>
    </row>
    <row r="425" spans="1:10" s="607" customFormat="1" ht="14">
      <c r="A425" s="973"/>
      <c r="B425" s="2139"/>
      <c r="C425" s="773"/>
      <c r="D425" s="772"/>
      <c r="E425" s="752"/>
      <c r="F425" s="1020"/>
      <c r="G425" s="718"/>
      <c r="H425" s="726"/>
      <c r="I425" s="726"/>
      <c r="J425" s="915"/>
    </row>
    <row r="426" spans="1:10" s="607" customFormat="1" ht="14">
      <c r="A426" s="973"/>
      <c r="B426" s="2139"/>
      <c r="C426" s="749" t="s">
        <v>2197</v>
      </c>
      <c r="D426" s="772">
        <f t="shared" ref="D426:E429" si="336">+D408</f>
        <v>1</v>
      </c>
      <c r="E426" s="752">
        <f t="shared" si="336"/>
        <v>0.02</v>
      </c>
      <c r="F426" s="1020">
        <f ca="1">ROUNDDOWN(F408*$E426*$D426,0)</f>
        <v>0</v>
      </c>
      <c r="G426" s="718">
        <f t="shared" ref="G426:G434" ca="1" si="337">SUM(H426:J426)</f>
        <v>0</v>
      </c>
      <c r="H426" s="726">
        <f t="shared" ref="H426:I429" ca="1" si="338">ROUNDDOWN(H408*$E426*$D426,0)</f>
        <v>0</v>
      </c>
      <c r="I426" s="726">
        <f t="shared" ca="1" si="338"/>
        <v>0</v>
      </c>
      <c r="J426" s="915"/>
    </row>
    <row r="427" spans="1:10" s="607" customFormat="1" ht="14">
      <c r="A427" s="973"/>
      <c r="B427" s="2139"/>
      <c r="C427" s="753" t="s">
        <v>2198</v>
      </c>
      <c r="D427" s="772">
        <f t="shared" si="336"/>
        <v>1</v>
      </c>
      <c r="E427" s="752">
        <f t="shared" si="336"/>
        <v>0.02</v>
      </c>
      <c r="F427" s="1020">
        <f>ROUNDDOWN(F409*$E427*$D427,0)</f>
        <v>0</v>
      </c>
      <c r="G427" s="718">
        <f t="shared" si="337"/>
        <v>0</v>
      </c>
      <c r="H427" s="726">
        <f t="shared" si="338"/>
        <v>0</v>
      </c>
      <c r="I427" s="726">
        <f t="shared" si="338"/>
        <v>0</v>
      </c>
      <c r="J427" s="915"/>
    </row>
    <row r="428" spans="1:10" s="607" customFormat="1" ht="14">
      <c r="A428" s="973"/>
      <c r="B428" s="2139"/>
      <c r="C428" s="753" t="s">
        <v>2199</v>
      </c>
      <c r="D428" s="772">
        <f t="shared" si="336"/>
        <v>1</v>
      </c>
      <c r="E428" s="752">
        <f t="shared" si="336"/>
        <v>0.02</v>
      </c>
      <c r="F428" s="1020">
        <f>ROUNDDOWN(F410*$E428*$D428,0)</f>
        <v>0</v>
      </c>
      <c r="G428" s="718">
        <f t="shared" si="337"/>
        <v>0</v>
      </c>
      <c r="H428" s="726">
        <f t="shared" si="338"/>
        <v>0</v>
      </c>
      <c r="I428" s="726">
        <f t="shared" si="338"/>
        <v>0</v>
      </c>
      <c r="J428" s="915"/>
    </row>
    <row r="429" spans="1:10" s="607" customFormat="1" ht="14">
      <c r="A429" s="973"/>
      <c r="B429" s="2138"/>
      <c r="C429" s="749" t="s">
        <v>2298</v>
      </c>
      <c r="D429" s="772">
        <f t="shared" si="336"/>
        <v>1</v>
      </c>
      <c r="E429" s="752">
        <f t="shared" si="336"/>
        <v>0.02</v>
      </c>
      <c r="F429" s="1020">
        <f ca="1">ROUNDDOWN(F411*$E429*$D429,0)</f>
        <v>0</v>
      </c>
      <c r="G429" s="718">
        <f t="shared" ca="1" si="337"/>
        <v>0</v>
      </c>
      <c r="H429" s="726">
        <f t="shared" ca="1" si="338"/>
        <v>0</v>
      </c>
      <c r="I429" s="726">
        <f t="shared" ca="1" si="338"/>
        <v>0</v>
      </c>
      <c r="J429" s="915"/>
    </row>
    <row r="430" spans="1:10" s="607" customFormat="1" ht="14">
      <c r="A430" s="973"/>
      <c r="B430" s="2159" t="s">
        <v>2299</v>
      </c>
      <c r="C430" s="749" t="s">
        <v>2219</v>
      </c>
      <c r="D430" s="789"/>
      <c r="E430" s="790"/>
      <c r="F430" s="718">
        <f ca="1">+F214+F61</f>
        <v>0</v>
      </c>
      <c r="G430" s="718">
        <f t="shared" ca="1" si="337"/>
        <v>0</v>
      </c>
      <c r="H430" s="616">
        <f t="shared" ref="H430:I430" ca="1" si="339">+H214+H61</f>
        <v>0</v>
      </c>
      <c r="I430" s="616">
        <f t="shared" ca="1" si="339"/>
        <v>0</v>
      </c>
      <c r="J430" s="915"/>
    </row>
    <row r="431" spans="1:10" s="607" customFormat="1" ht="14">
      <c r="A431" s="973"/>
      <c r="B431" s="2160"/>
      <c r="C431" s="791" t="s">
        <v>2300</v>
      </c>
      <c r="D431" s="789"/>
      <c r="E431" s="790"/>
      <c r="F431" s="1003"/>
      <c r="G431" s="718">
        <f t="shared" si="337"/>
        <v>0</v>
      </c>
      <c r="H431" s="616"/>
      <c r="I431" s="616"/>
      <c r="J431" s="915"/>
    </row>
    <row r="432" spans="1:10" s="607" customFormat="1" ht="15" thickBot="1">
      <c r="A432" s="977"/>
      <c r="B432" s="792" t="s">
        <v>2281</v>
      </c>
      <c r="C432" s="787" t="s">
        <v>2296</v>
      </c>
      <c r="D432" s="789">
        <f>+D412</f>
        <v>1</v>
      </c>
      <c r="E432" s="790">
        <f>+E412</f>
        <v>0</v>
      </c>
      <c r="F432" s="1020">
        <f ca="1">ROUNDDOWN(F412*$E432*$D432,0)</f>
        <v>0</v>
      </c>
      <c r="G432" s="718">
        <f t="shared" ca="1" si="337"/>
        <v>0</v>
      </c>
      <c r="H432" s="726">
        <f t="shared" ref="H432:I432" ca="1" si="340">ROUNDDOWN(H412*$E432*$D432,0)</f>
        <v>0</v>
      </c>
      <c r="I432" s="726">
        <f t="shared" ca="1" si="340"/>
        <v>0</v>
      </c>
      <c r="J432" s="915"/>
    </row>
    <row r="433" spans="1:11" s="607" customFormat="1" ht="15" thickTop="1">
      <c r="A433" s="793"/>
      <c r="B433" s="794"/>
      <c r="C433" s="795" t="s">
        <v>2301</v>
      </c>
      <c r="D433" s="796"/>
      <c r="E433" s="797"/>
      <c r="F433" s="1022">
        <f t="shared" ref="F433" ca="1" si="341">SUM(F418:F432)+F416</f>
        <v>0</v>
      </c>
      <c r="G433" s="798">
        <f t="shared" ca="1" si="337"/>
        <v>0</v>
      </c>
      <c r="H433" s="799">
        <f t="shared" ref="H433:I433" ca="1" si="342">SUM(H418:H432)+H416</f>
        <v>0</v>
      </c>
      <c r="I433" s="799">
        <f t="shared" ca="1" si="342"/>
        <v>0</v>
      </c>
      <c r="J433" s="915"/>
    </row>
    <row r="434" spans="1:11" s="607" customFormat="1" ht="14">
      <c r="A434" s="800"/>
      <c r="B434" s="801"/>
      <c r="C434" s="722" t="s">
        <v>2302</v>
      </c>
      <c r="D434" s="802"/>
      <c r="E434" s="637"/>
      <c r="F434" s="1013">
        <f t="shared" ref="F434" ca="1" si="343">+F309+F433</f>
        <v>0</v>
      </c>
      <c r="G434" s="638">
        <f t="shared" ca="1" si="337"/>
        <v>0</v>
      </c>
      <c r="H434" s="723">
        <f t="shared" ref="H434:I434" ca="1" si="344">+H309+H433</f>
        <v>0</v>
      </c>
      <c r="I434" s="723">
        <f t="shared" ca="1" si="344"/>
        <v>0</v>
      </c>
      <c r="J434" s="915"/>
    </row>
    <row r="435" spans="1:11" s="607" customFormat="1" ht="14">
      <c r="A435" s="595"/>
      <c r="B435" s="596"/>
      <c r="C435" s="903" t="s">
        <v>2363</v>
      </c>
      <c r="D435" s="903"/>
      <c r="E435" s="904"/>
      <c r="F435" s="907"/>
      <c r="G435" s="905"/>
      <c r="H435" s="906"/>
      <c r="I435" s="907"/>
      <c r="J435" s="740" t="s">
        <v>2364</v>
      </c>
    </row>
    <row r="436" spans="1:11" s="607" customFormat="1" ht="14">
      <c r="A436" s="994"/>
      <c r="B436" s="995"/>
      <c r="C436" s="995"/>
      <c r="D436" s="995"/>
      <c r="E436" s="995"/>
      <c r="F436" s="713"/>
      <c r="G436" s="712"/>
      <c r="H436" s="713"/>
      <c r="I436" s="713"/>
    </row>
    <row r="437" spans="1:11" s="607" customFormat="1" ht="14">
      <c r="A437" s="978"/>
      <c r="B437" s="979"/>
      <c r="C437" s="980"/>
      <c r="D437" s="804"/>
      <c r="E437" s="736" t="s">
        <v>2305</v>
      </c>
      <c r="F437" s="1009" t="e">
        <f t="shared" ref="F437" si="345">+F304</f>
        <v>#VALUE!</v>
      </c>
      <c r="G437" s="737" t="s">
        <v>2165</v>
      </c>
      <c r="H437" s="738" t="str">
        <f t="shared" ref="H437:I437" si="346">+H304</f>
        <v>工事1</v>
      </c>
      <c r="I437" s="738" t="str">
        <f t="shared" si="346"/>
        <v>工事2</v>
      </c>
      <c r="J437" s="915"/>
    </row>
    <row r="438" spans="1:11" s="607" customFormat="1" ht="15" thickBot="1">
      <c r="A438" s="981"/>
      <c r="B438" s="982"/>
      <c r="C438" s="983"/>
      <c r="D438" s="805"/>
      <c r="E438" s="806"/>
      <c r="F438" s="1012"/>
      <c r="G438" s="714"/>
      <c r="H438" s="807"/>
      <c r="I438" s="807"/>
      <c r="J438" s="915"/>
    </row>
    <row r="439" spans="1:11" s="607" customFormat="1" ht="15" thickBot="1">
      <c r="A439" s="808"/>
      <c r="B439" s="809"/>
      <c r="C439" s="810" t="s">
        <v>2306</v>
      </c>
      <c r="D439" s="811"/>
      <c r="E439" s="812"/>
      <c r="F439" s="1023">
        <f ca="1">IF(F440=0,+F434,0)</f>
        <v>0</v>
      </c>
      <c r="G439" s="813">
        <f ca="1">SUM(H439:J439)</f>
        <v>0</v>
      </c>
      <c r="H439" s="814">
        <f t="shared" ref="H439:I439" ca="1" si="347">IF(H440=0,+H434,0)</f>
        <v>0</v>
      </c>
      <c r="I439" s="814">
        <f t="shared" ca="1" si="347"/>
        <v>0</v>
      </c>
      <c r="J439" s="915"/>
    </row>
    <row r="440" spans="1:11" s="607" customFormat="1" ht="14">
      <c r="A440" s="994"/>
      <c r="B440" s="995"/>
      <c r="C440" s="815" t="s">
        <v>2307</v>
      </c>
      <c r="D440" s="816"/>
      <c r="E440" s="817"/>
      <c r="F440" s="1024">
        <f ca="1">IF(F462=0,0,F434)</f>
        <v>0</v>
      </c>
      <c r="G440" s="1385">
        <f xml:space="preserve"> G225</f>
        <v>0</v>
      </c>
      <c r="H440" s="625">
        <f t="shared" ref="H440:I440" ca="1" si="348">IF(H462=0,0,H434)</f>
        <v>0</v>
      </c>
      <c r="I440" s="625">
        <f t="shared" ca="1" si="348"/>
        <v>0</v>
      </c>
      <c r="J440" s="915"/>
      <c r="K440" s="1383" t="s">
        <v>2970</v>
      </c>
    </row>
    <row r="441" spans="1:11" s="607" customFormat="1" ht="14">
      <c r="A441" s="800"/>
      <c r="B441" s="801"/>
      <c r="C441" s="2161" t="s">
        <v>2308</v>
      </c>
      <c r="D441" s="2161"/>
      <c r="E441" s="2162"/>
      <c r="F441" s="1013"/>
      <c r="G441" s="638">
        <f ca="1">G439+G440-G449</f>
        <v>0</v>
      </c>
      <c r="H441" s="723"/>
      <c r="I441" s="723"/>
      <c r="J441" s="915"/>
      <c r="K441" s="1384" t="s">
        <v>2971</v>
      </c>
    </row>
    <row r="442" spans="1:11" s="607" customFormat="1" ht="14">
      <c r="A442" s="595"/>
      <c r="B442" s="596"/>
      <c r="C442" s="596"/>
      <c r="D442" s="818"/>
      <c r="E442" s="599" t="str">
        <f>E304</f>
        <v>有り</v>
      </c>
      <c r="F442" s="1014"/>
      <c r="G442" s="984" t="s">
        <v>2309</v>
      </c>
      <c r="H442" s="985"/>
      <c r="I442" s="725"/>
      <c r="J442" s="915"/>
    </row>
    <row r="443" spans="1:11" s="607" customFormat="1" ht="14">
      <c r="A443" s="986" t="s">
        <v>2310</v>
      </c>
      <c r="B443" s="987"/>
      <c r="C443" s="988"/>
      <c r="D443" s="819"/>
      <c r="E443" s="820" t="str">
        <f>+E305</f>
        <v>有り</v>
      </c>
      <c r="F443" s="1013"/>
      <c r="G443" s="989" t="s">
        <v>2311</v>
      </c>
      <c r="H443" s="990"/>
      <c r="I443" s="723"/>
      <c r="J443" s="915"/>
    </row>
    <row r="444" spans="1:11" s="607" customFormat="1" ht="14">
      <c r="A444" s="991"/>
      <c r="B444" s="821" t="s">
        <v>157</v>
      </c>
      <c r="C444" s="822" t="s">
        <v>2312</v>
      </c>
      <c r="D444" s="823">
        <v>1</v>
      </c>
      <c r="E444" s="824">
        <f ca="1">+H513/100</f>
        <v>0.1724</v>
      </c>
      <c r="F444" s="1014">
        <f t="shared" ref="F444" ca="1" si="349">+F439-F449</f>
        <v>0</v>
      </c>
      <c r="G444" s="613">
        <f ca="1">SUM(H444:J444)</f>
        <v>0</v>
      </c>
      <c r="H444" s="725">
        <f t="shared" ref="H444:I444" ca="1" si="350">+H439-H449</f>
        <v>0</v>
      </c>
      <c r="I444" s="725">
        <f t="shared" ca="1" si="350"/>
        <v>0</v>
      </c>
      <c r="J444" s="915"/>
    </row>
    <row r="445" spans="1:11" s="607" customFormat="1" ht="14">
      <c r="A445" s="967"/>
      <c r="B445" s="2137" t="s">
        <v>2313</v>
      </c>
      <c r="C445" s="614" t="s">
        <v>2314</v>
      </c>
      <c r="D445" s="1714">
        <f>IF(E442="無し",0.05,0)</f>
        <v>0</v>
      </c>
      <c r="E445" s="1715">
        <f ca="1">E444</f>
        <v>0.1724</v>
      </c>
      <c r="F445" s="1003">
        <f ca="1">IF(F462=0,+F444,0)</f>
        <v>0</v>
      </c>
      <c r="G445" s="615">
        <f ca="1">SUM(H445:J445)</f>
        <v>0</v>
      </c>
      <c r="H445" s="616">
        <f t="shared" ref="H445:I445" ca="1" si="351">IF(H462=0,+H444,0)</f>
        <v>0</v>
      </c>
      <c r="I445" s="616">
        <f t="shared" ca="1" si="351"/>
        <v>0</v>
      </c>
      <c r="J445" s="915"/>
    </row>
    <row r="446" spans="1:11" s="607" customFormat="1" ht="14">
      <c r="A446" s="967"/>
      <c r="B446" s="2138"/>
      <c r="C446" s="614" t="s">
        <v>2315</v>
      </c>
      <c r="D446" s="1721">
        <f>IF(E443="有り",1,0)</f>
        <v>1</v>
      </c>
      <c r="E446" s="1715">
        <v>4.0000000000000002E-4</v>
      </c>
      <c r="F446" s="1003">
        <f t="shared" ref="F446" ca="1" si="352">IF(F462=0,+F444,0)</f>
        <v>0</v>
      </c>
      <c r="G446" s="615">
        <f ca="1">SUM(H446:J446)</f>
        <v>0</v>
      </c>
      <c r="H446" s="616">
        <f ca="1">IF(H462=0,+H444,0)</f>
        <v>0</v>
      </c>
      <c r="I446" s="616">
        <f t="shared" ref="I446" ca="1" si="353">IF(I462=0,+I444,0)</f>
        <v>0</v>
      </c>
      <c r="J446" s="915"/>
    </row>
    <row r="447" spans="1:11" s="607" customFormat="1" ht="14">
      <c r="A447" s="967"/>
      <c r="B447" s="826"/>
      <c r="C447" s="614"/>
      <c r="D447" s="827"/>
      <c r="E447" s="827"/>
      <c r="F447" s="1003"/>
      <c r="G447" s="615"/>
      <c r="H447" s="616"/>
      <c r="I447" s="616"/>
      <c r="J447" s="915"/>
    </row>
    <row r="448" spans="1:11" s="607" customFormat="1" ht="14">
      <c r="A448" s="967"/>
      <c r="B448" s="826"/>
      <c r="C448" s="614"/>
      <c r="D448" s="827"/>
      <c r="E448" s="827"/>
      <c r="F448" s="1003"/>
      <c r="G448" s="615"/>
      <c r="H448" s="616"/>
      <c r="I448" s="616"/>
      <c r="J448" s="915"/>
    </row>
    <row r="449" spans="1:10" s="607" customFormat="1" ht="14">
      <c r="A449" s="967"/>
      <c r="B449" s="2137" t="s">
        <v>2316</v>
      </c>
      <c r="C449" s="749" t="str">
        <f>+C354</f>
        <v>(17)下水道使用料、各種負担金（共通仮設）</v>
      </c>
      <c r="D449" s="828">
        <v>1</v>
      </c>
      <c r="E449" s="829">
        <v>0</v>
      </c>
      <c r="F449" s="1003">
        <f t="shared" ref="F449" ca="1" si="354">+F354</f>
        <v>0</v>
      </c>
      <c r="G449" s="615">
        <f ca="1">SUM(H449:J449)</f>
        <v>0</v>
      </c>
      <c r="H449" s="616">
        <f t="shared" ref="H449:I449" ca="1" si="355">+H354</f>
        <v>0</v>
      </c>
      <c r="I449" s="616">
        <f t="shared" ca="1" si="355"/>
        <v>0</v>
      </c>
      <c r="J449" s="915"/>
    </row>
    <row r="450" spans="1:10" s="607" customFormat="1" ht="14">
      <c r="A450" s="967"/>
      <c r="B450" s="2139"/>
      <c r="C450" s="830"/>
      <c r="D450" s="749"/>
      <c r="E450" s="829"/>
      <c r="F450" s="1003"/>
      <c r="G450" s="615"/>
      <c r="H450" s="616"/>
      <c r="I450" s="616"/>
      <c r="J450" s="915"/>
    </row>
    <row r="451" spans="1:10" s="607" customFormat="1" ht="14">
      <c r="A451" s="968"/>
      <c r="B451" s="2140"/>
      <c r="C451" s="831"/>
      <c r="D451" s="787"/>
      <c r="E451" s="832"/>
      <c r="F451" s="1013"/>
      <c r="G451" s="638"/>
      <c r="H451" s="723"/>
      <c r="I451" s="723"/>
      <c r="J451" s="915"/>
    </row>
    <row r="452" spans="1:10" s="607" customFormat="1" ht="14">
      <c r="A452" s="595"/>
      <c r="B452" s="596"/>
      <c r="C452" s="833"/>
      <c r="D452" s="834"/>
      <c r="E452" s="835"/>
      <c r="F452" s="1014"/>
      <c r="G452" s="613"/>
      <c r="H452" s="725"/>
      <c r="I452" s="725"/>
      <c r="J452" s="915"/>
    </row>
    <row r="453" spans="1:10" s="607" customFormat="1" ht="14">
      <c r="A453" s="986" t="s">
        <v>2317</v>
      </c>
      <c r="B453" s="987"/>
      <c r="C453" s="988"/>
      <c r="D453" s="836"/>
      <c r="E453" s="837"/>
      <c r="F453" s="1013"/>
      <c r="G453" s="838"/>
      <c r="H453" s="723"/>
      <c r="I453" s="723"/>
      <c r="J453" s="915"/>
    </row>
    <row r="454" spans="1:10" s="607" customFormat="1" ht="14">
      <c r="A454" s="994"/>
      <c r="B454" s="839" t="s">
        <v>157</v>
      </c>
      <c r="C454" s="822" t="s">
        <v>2312</v>
      </c>
      <c r="D454" s="823">
        <f t="shared" ref="D454:E456" si="356">+D444</f>
        <v>1</v>
      </c>
      <c r="E454" s="840">
        <f ca="1">+E444</f>
        <v>0.1724</v>
      </c>
      <c r="F454" s="1014">
        <f ca="1">IF(F444=0,0,ROUND($G454/$G444*F444,0))</f>
        <v>0</v>
      </c>
      <c r="G454" s="615">
        <f ca="1">INT(D454*E454*G444)</f>
        <v>0</v>
      </c>
      <c r="H454" s="725">
        <f ca="1">G454-SUM(I454:J454)</f>
        <v>0</v>
      </c>
      <c r="I454" s="725">
        <f t="shared" ref="I454" ca="1" si="357">IF(I444=0,0,ROUND($G454/$G444*I444,0))</f>
        <v>0</v>
      </c>
      <c r="J454" s="915"/>
    </row>
    <row r="455" spans="1:10" s="607" customFormat="1" ht="14">
      <c r="A455" s="994"/>
      <c r="B455" s="2137" t="s">
        <v>2313</v>
      </c>
      <c r="C455" s="614" t="s">
        <v>2314</v>
      </c>
      <c r="D455" s="828">
        <f t="shared" si="356"/>
        <v>0</v>
      </c>
      <c r="E455" s="752">
        <f t="shared" ca="1" si="356"/>
        <v>0.1724</v>
      </c>
      <c r="F455" s="1003">
        <f ca="1">IF(F445=0,0,ROUND($G455/$G445*F445,0))</f>
        <v>0</v>
      </c>
      <c r="G455" s="615">
        <f ca="1">INT(D455*E455*G445)</f>
        <v>0</v>
      </c>
      <c r="H455" s="616">
        <f ca="1">G455-SUM(I455:J455)</f>
        <v>0</v>
      </c>
      <c r="I455" s="616">
        <f t="shared" ref="I455" ca="1" si="358">IF(I445=0,0,ROUND($G455/$G445*I445,0))</f>
        <v>0</v>
      </c>
      <c r="J455" s="915"/>
    </row>
    <row r="456" spans="1:10" s="607" customFormat="1" ht="14">
      <c r="A456" s="994"/>
      <c r="B456" s="2138"/>
      <c r="C456" s="614" t="s">
        <v>2315</v>
      </c>
      <c r="D456" s="828">
        <f t="shared" si="356"/>
        <v>1</v>
      </c>
      <c r="E456" s="752">
        <f t="shared" si="356"/>
        <v>4.0000000000000002E-4</v>
      </c>
      <c r="F456" s="1722">
        <f>IF($H$301="有り",ROUND($G456/$G446*F446,0),F241)</f>
        <v>0</v>
      </c>
      <c r="G456" s="1723">
        <f>IF($H$301="有り",INT(D456*E456*G446),G241)</f>
        <v>0</v>
      </c>
      <c r="H456" s="1724">
        <f>IF($H$301="有り",G456-SUM(I456:J456),H241)</f>
        <v>0</v>
      </c>
      <c r="I456" s="1724">
        <f>IF($H$301="有り",ROUND($G456/$G446*I446,0),I241)</f>
        <v>0</v>
      </c>
      <c r="J456" s="915"/>
    </row>
    <row r="457" spans="1:10" s="607" customFormat="1" ht="14">
      <c r="A457" s="994"/>
      <c r="B457" s="826"/>
      <c r="C457" s="614"/>
      <c r="D457" s="827"/>
      <c r="E457" s="827"/>
      <c r="F457" s="1003"/>
      <c r="G457" s="615"/>
      <c r="H457" s="616"/>
      <c r="I457" s="616"/>
      <c r="J457" s="915"/>
    </row>
    <row r="458" spans="1:10" s="607" customFormat="1" ht="14">
      <c r="A458" s="994"/>
      <c r="B458" s="826"/>
      <c r="C458" s="614"/>
      <c r="D458" s="827"/>
      <c r="E458" s="827"/>
      <c r="F458" s="1003"/>
      <c r="G458" s="615"/>
      <c r="H458" s="616"/>
      <c r="I458" s="616"/>
      <c r="J458" s="915"/>
    </row>
    <row r="459" spans="1:10" s="607" customFormat="1" ht="14">
      <c r="A459" s="994"/>
      <c r="B459" s="2137" t="s">
        <v>2316</v>
      </c>
      <c r="C459" s="749" t="str">
        <f>+C354</f>
        <v>(17)下水道使用料、各種負担金（共通仮設）</v>
      </c>
      <c r="D459" s="828">
        <f>+D449</f>
        <v>1</v>
      </c>
      <c r="E459" s="752">
        <f>+E449</f>
        <v>0</v>
      </c>
      <c r="F459" s="1003">
        <f ca="1">IF(F449=0,0,ROUND($G459/$G449*F449,0))</f>
        <v>0</v>
      </c>
      <c r="G459" s="615">
        <f ca="1">INT(D459*E459*G449)</f>
        <v>0</v>
      </c>
      <c r="H459" s="616">
        <f ca="1">G459-SUM(I459:J459)</f>
        <v>0</v>
      </c>
      <c r="I459" s="616">
        <f t="shared" ref="I459" ca="1" si="359">IF(I449=0,0,ROUND($G459/$G449*I449,0))</f>
        <v>0</v>
      </c>
      <c r="J459" s="915"/>
    </row>
    <row r="460" spans="1:10" s="607" customFormat="1" ht="14">
      <c r="A460" s="994"/>
      <c r="B460" s="2139"/>
      <c r="C460" s="830"/>
      <c r="D460" s="749"/>
      <c r="E460" s="827"/>
      <c r="F460" s="1003"/>
      <c r="G460" s="615"/>
      <c r="H460" s="616"/>
      <c r="I460" s="616"/>
      <c r="J460" s="915"/>
    </row>
    <row r="461" spans="1:10" s="607" customFormat="1" ht="14">
      <c r="A461" s="841"/>
      <c r="B461" s="2138"/>
      <c r="C461" s="830"/>
      <c r="D461" s="749"/>
      <c r="E461" s="827"/>
      <c r="F461" s="1003"/>
      <c r="G461" s="615"/>
      <c r="H461" s="616"/>
      <c r="I461" s="616"/>
      <c r="J461" s="915"/>
    </row>
    <row r="462" spans="1:10" s="607" customFormat="1" ht="14">
      <c r="A462" s="841"/>
      <c r="B462" s="2149" t="s">
        <v>2299</v>
      </c>
      <c r="C462" s="765" t="s">
        <v>2318</v>
      </c>
      <c r="D462" s="842"/>
      <c r="E462" s="843"/>
      <c r="F462" s="1025">
        <f ca="1">+F247+F70</f>
        <v>0</v>
      </c>
      <c r="G462" s="844">
        <f ca="1">SUM(H462:J462)</f>
        <v>0</v>
      </c>
      <c r="H462" s="908">
        <f ca="1">+H247+H70</f>
        <v>0</v>
      </c>
      <c r="I462" s="908">
        <f t="shared" ref="I462" ca="1" si="360">+I247+I70</f>
        <v>0</v>
      </c>
      <c r="J462" s="915"/>
    </row>
    <row r="463" spans="1:10" s="607" customFormat="1" ht="14">
      <c r="A463" s="994"/>
      <c r="B463" s="2150"/>
      <c r="C463" s="791" t="s">
        <v>2319</v>
      </c>
      <c r="D463" s="789"/>
      <c r="E463" s="790"/>
      <c r="F463" s="1003"/>
      <c r="G463" s="718"/>
      <c r="H463" s="616"/>
      <c r="I463" s="616"/>
      <c r="J463" s="915"/>
    </row>
    <row r="464" spans="1:10" s="607" customFormat="1" ht="14">
      <c r="A464" s="808"/>
      <c r="B464" s="809"/>
      <c r="C464" s="809"/>
      <c r="D464" s="600"/>
      <c r="E464" s="600"/>
      <c r="F464" s="1014"/>
      <c r="G464" s="613"/>
      <c r="H464" s="725"/>
      <c r="I464" s="725"/>
      <c r="J464" s="915"/>
    </row>
    <row r="465" spans="1:11" s="607" customFormat="1" ht="14">
      <c r="A465" s="845"/>
      <c r="B465" s="727"/>
      <c r="C465" s="540" t="s">
        <v>2320</v>
      </c>
      <c r="D465" s="830"/>
      <c r="E465" s="614"/>
      <c r="F465" s="1003">
        <f t="shared" ref="F465" ca="1" si="361">SUM(F454:F463)</f>
        <v>0</v>
      </c>
      <c r="G465" s="615">
        <f ca="1">SUM(H465:J465)</f>
        <v>0</v>
      </c>
      <c r="H465" s="616">
        <f ca="1">SUM(H454:H463)</f>
        <v>0</v>
      </c>
      <c r="I465" s="616">
        <f t="shared" ref="I465" ca="1" si="362">SUM(I454:I463)</f>
        <v>0</v>
      </c>
      <c r="J465" s="915"/>
    </row>
    <row r="466" spans="1:11" s="607" customFormat="1" ht="14">
      <c r="A466" s="845"/>
      <c r="B466" s="727"/>
      <c r="C466" s="540" t="s">
        <v>2302</v>
      </c>
      <c r="D466" s="830"/>
      <c r="E466" s="614"/>
      <c r="F466" s="1003">
        <f t="shared" ref="F466" ca="1" si="363">+F434</f>
        <v>0</v>
      </c>
      <c r="G466" s="615">
        <f ca="1">SUM(H466:J466)</f>
        <v>0</v>
      </c>
      <c r="H466" s="616">
        <f t="shared" ref="H466" ca="1" si="364">+H434</f>
        <v>0</v>
      </c>
      <c r="I466" s="616">
        <f t="shared" ref="I466" ca="1" si="365">+I434</f>
        <v>0</v>
      </c>
      <c r="J466" s="915"/>
    </row>
    <row r="467" spans="1:11" s="607" customFormat="1" ht="15" thickBot="1">
      <c r="A467" s="846"/>
      <c r="B467" s="847"/>
      <c r="C467" s="848" t="s">
        <v>2321</v>
      </c>
      <c r="D467" s="849"/>
      <c r="E467" s="850"/>
      <c r="F467" s="1026">
        <f t="shared" ref="F467" ca="1" si="366">SUM(F465:F466)</f>
        <v>0</v>
      </c>
      <c r="G467" s="778">
        <f ca="1">SUM(H467:J467)</f>
        <v>0</v>
      </c>
      <c r="H467" s="851">
        <f t="shared" ref="H467:I467" ca="1" si="367">SUM(H465:H466)</f>
        <v>0</v>
      </c>
      <c r="I467" s="851">
        <f t="shared" ca="1" si="367"/>
        <v>0</v>
      </c>
      <c r="J467" s="915"/>
    </row>
    <row r="468" spans="1:11" s="607" customFormat="1" ht="15" thickTop="1">
      <c r="A468" s="994"/>
      <c r="B468" s="995"/>
      <c r="C468" s="995"/>
      <c r="D468" s="624"/>
      <c r="E468" s="624"/>
      <c r="F468" s="1015">
        <f t="shared" ref="F468" ca="1" si="368">ROUNDDOWN(F467,-3)</f>
        <v>0</v>
      </c>
      <c r="G468" s="852"/>
      <c r="H468" s="852">
        <f ca="1">ROUNDDOWN(H467,-3)</f>
        <v>0</v>
      </c>
      <c r="I468" s="852">
        <f t="shared" ref="I468" ca="1" si="369">ROUNDDOWN(I467,-3)</f>
        <v>0</v>
      </c>
      <c r="J468" s="915"/>
    </row>
    <row r="469" spans="1:11" s="607" customFormat="1" ht="14">
      <c r="A469" s="845"/>
      <c r="B469" s="727"/>
      <c r="C469" s="540" t="s">
        <v>2302</v>
      </c>
      <c r="D469" s="830"/>
      <c r="E469" s="614"/>
      <c r="F469" s="1003">
        <f t="shared" ref="F469" ca="1" si="370">+F466</f>
        <v>0</v>
      </c>
      <c r="G469" s="615">
        <f ca="1">SUM(H469:J469)</f>
        <v>0</v>
      </c>
      <c r="H469" s="616">
        <f ca="1">+H466</f>
        <v>0</v>
      </c>
      <c r="I469" s="616">
        <f t="shared" ref="I469" ca="1" si="371">+I466</f>
        <v>0</v>
      </c>
      <c r="J469" s="915"/>
    </row>
    <row r="470" spans="1:11" s="607" customFormat="1" ht="14">
      <c r="A470" s="845"/>
      <c r="B470" s="727"/>
      <c r="C470" s="540" t="s">
        <v>2322</v>
      </c>
      <c r="D470" s="830"/>
      <c r="E470" s="827"/>
      <c r="F470" s="1003" t="e">
        <f t="shared" ref="F470" ca="1" si="372">+F465-(F467-F472)</f>
        <v>#DIV/0!</v>
      </c>
      <c r="G470" s="615" t="e">
        <f ca="1">SUM(H470:J470)</f>
        <v>#DIV/0!</v>
      </c>
      <c r="H470" s="616" t="e">
        <f ca="1">+H465-(H467-H472)</f>
        <v>#DIV/0!</v>
      </c>
      <c r="I470" s="616" t="e">
        <f t="shared" ref="I470" ca="1" si="373">+I465-(I467-I472)</f>
        <v>#DIV/0!</v>
      </c>
      <c r="J470" s="915"/>
    </row>
    <row r="471" spans="1:11" s="607" customFormat="1" ht="14">
      <c r="A471" s="845"/>
      <c r="B471" s="727"/>
      <c r="C471" s="727"/>
      <c r="D471" s="614"/>
      <c r="E471" s="853">
        <f ca="1">SUM(H468:J468)</f>
        <v>0</v>
      </c>
      <c r="F471" s="1003" t="e">
        <f t="shared" ref="F471" ca="1" si="374">+F465-F470</f>
        <v>#DIV/0!</v>
      </c>
      <c r="G471" s="615" t="s">
        <v>2323</v>
      </c>
      <c r="H471" s="616" t="e">
        <f t="shared" ref="H471:I471" ca="1" si="375">+H465-H470</f>
        <v>#DIV/0!</v>
      </c>
      <c r="I471" s="616" t="e">
        <f t="shared" ca="1" si="375"/>
        <v>#DIV/0!</v>
      </c>
      <c r="J471" s="915"/>
    </row>
    <row r="472" spans="1:11" s="607" customFormat="1" ht="14">
      <c r="A472" s="855"/>
      <c r="B472" s="717"/>
      <c r="C472" s="717" t="s">
        <v>2324</v>
      </c>
      <c r="D472" s="856"/>
      <c r="E472" s="853">
        <f ca="1">ROUNDDOWN(E471,4-LEN(E471))</f>
        <v>0</v>
      </c>
      <c r="F472" s="1027" t="e">
        <f ca="1">IF(F462=0,+F468-ROUND($E$473*F467/$G$467,-3),F467)</f>
        <v>#DIV/0!</v>
      </c>
      <c r="G472" s="857">
        <f ca="1">+E472</f>
        <v>0</v>
      </c>
      <c r="H472" s="854" t="e">
        <f ca="1">IF(G473+SUM(I472:J472)=G472,G473,G472-SUM(I472:J472))</f>
        <v>#DIV/0!</v>
      </c>
      <c r="I472" s="854" t="e">
        <f t="shared" ref="I472" ca="1" si="376">IF(I462=0,+I468-ROUND($E$473*I467/$G$467,-3),I467)</f>
        <v>#DIV/0!</v>
      </c>
      <c r="J472" s="915"/>
    </row>
    <row r="473" spans="1:11" s="607" customFormat="1" ht="14">
      <c r="A473" s="858"/>
      <c r="B473" s="859"/>
      <c r="C473" s="859"/>
      <c r="D473" s="860"/>
      <c r="E473" s="861">
        <f ca="1">E471-E472</f>
        <v>0</v>
      </c>
      <c r="F473" s="1016">
        <f t="shared" ref="F473" ca="1" si="377">IF(LEN(F467)&lt;=7,-3,IF(LEN(F467)=8,-4,IF(LEN(F467)&gt;=9,-5,-6)))</f>
        <v>-3</v>
      </c>
      <c r="G473" s="862" t="e">
        <f ca="1">+H468-ROUND($E$473*H467/$G$467,-3)</f>
        <v>#DIV/0!</v>
      </c>
      <c r="H473" s="861">
        <f ca="1">IF(LEN(H467)&lt;=7,-3,IF(LEN(H467)=8,-4,IF(LEN(H467)&gt;=9,-5,-6)))</f>
        <v>-3</v>
      </c>
      <c r="I473" s="861">
        <f t="shared" ref="I473" ca="1" si="378">IF(LEN(I467)&lt;=7,-3,IF(LEN(I467)=8,-4,IF(LEN(I467)&gt;=9,-5,-6)))</f>
        <v>-3</v>
      </c>
      <c r="J473" s="915"/>
    </row>
    <row r="474" spans="1:11" ht="15" thickBot="1">
      <c r="G474" s="909"/>
      <c r="H474" s="910"/>
      <c r="K474" s="607"/>
    </row>
    <row r="475" spans="1:11" s="607" customFormat="1" ht="14">
      <c r="A475" s="866"/>
      <c r="B475" s="867"/>
      <c r="C475" s="868" t="s">
        <v>2325</v>
      </c>
      <c r="D475" s="869"/>
      <c r="E475" s="867"/>
      <c r="F475" s="886">
        <f t="shared" ref="F475" ca="1" si="379">+F302</f>
        <v>0</v>
      </c>
      <c r="G475" s="870" t="s">
        <v>2326</v>
      </c>
      <c r="H475" s="871">
        <f t="shared" ref="H475:I475" ca="1" si="380">+H302</f>
        <v>0</v>
      </c>
      <c r="I475" s="871">
        <f t="shared" ca="1" si="380"/>
        <v>0</v>
      </c>
      <c r="J475" s="1031"/>
    </row>
    <row r="476" spans="1:11" s="607" customFormat="1" ht="14">
      <c r="A476" s="1379"/>
      <c r="B476" s="2144" t="s">
        <v>2327</v>
      </c>
      <c r="C476" s="872" t="s">
        <v>2328</v>
      </c>
      <c r="D476" s="717"/>
      <c r="E476" s="873"/>
      <c r="F476" s="1371">
        <f ca="1">IF($G359&lt;=10000000,ROUND(7.56*(10000^-0.1105)*(F475^0.2389),2),ROUND(7.56*(($G359/1000)^-0.1105)*(F475^0.2389),2))</f>
        <v>0</v>
      </c>
      <c r="G476" s="874" t="s">
        <v>2329</v>
      </c>
      <c r="H476" s="1288">
        <f ca="1">IF($G359&lt;=10000000,ROUND(7.56*(10000^-0.1105)*(H475^0.2389),2),ROUND(7.56*(($G359/1000)^-0.1105)*(H475^0.2389),2))</f>
        <v>0</v>
      </c>
      <c r="I476" s="1288">
        <f t="shared" ref="I476" ca="1" si="381">IF($G359&lt;=10000000,ROUND(7.56*(10000^-0.1105)*(I475^0.2389),2),ROUND(7.56*(($G359/1000)^-0.1105)*(I475^0.2389),2))</f>
        <v>0</v>
      </c>
      <c r="J476" s="1031"/>
    </row>
    <row r="477" spans="1:11" s="607" customFormat="1" ht="14">
      <c r="A477" s="1380"/>
      <c r="B477" s="2145"/>
      <c r="C477" s="2147" t="s">
        <v>2330</v>
      </c>
      <c r="D477" s="1180"/>
      <c r="E477" s="876"/>
      <c r="F477" s="891">
        <f t="shared" ref="F477" ca="1" si="382">IF($G359&lt;=10000000,ROUND(4.33,2),0)</f>
        <v>4.33</v>
      </c>
      <c r="G477" s="874" t="s">
        <v>2331</v>
      </c>
      <c r="H477" s="877">
        <f ca="1">IF($G359&lt;=10000000,ROUND(4.33,2),0)</f>
        <v>4.33</v>
      </c>
      <c r="I477" s="877">
        <f t="shared" ref="I477" ca="1" si="383">IF($G359&lt;=10000000,ROUND(4.33,2),0)</f>
        <v>4.33</v>
      </c>
      <c r="J477" s="1031"/>
    </row>
    <row r="478" spans="1:11" s="607" customFormat="1" ht="13.5" customHeight="1">
      <c r="A478" s="1380"/>
      <c r="B478" s="2145"/>
      <c r="C478" s="2148"/>
      <c r="D478" s="1047"/>
      <c r="E478" s="1001"/>
      <c r="F478" s="891">
        <f t="shared" ref="F478" ca="1" si="384">IF($G359&lt;=10000000,ROUND(3.25,2),0)</f>
        <v>3.25</v>
      </c>
      <c r="G478" s="874" t="s">
        <v>2332</v>
      </c>
      <c r="H478" s="877">
        <f ca="1">IF($G359&lt;=10000000,ROUND(3.25,2),0)</f>
        <v>3.25</v>
      </c>
      <c r="I478" s="877">
        <f t="shared" ref="I478" ca="1" si="385">IF($G359&lt;=10000000,ROUND(3.25,2),0)</f>
        <v>3.25</v>
      </c>
      <c r="J478" s="1031"/>
    </row>
    <row r="479" spans="1:11" s="607" customFormat="1" ht="14">
      <c r="A479" s="1380"/>
      <c r="B479" s="2145"/>
      <c r="C479" s="2147" t="s">
        <v>2333</v>
      </c>
      <c r="D479" s="1180"/>
      <c r="E479" s="876"/>
      <c r="F479" s="1028">
        <f t="shared" ref="F479" ca="1" si="386">IF($G359&gt;10000000,ROUND(5.78*($G359/1000)^-0.0313,2),0)</f>
        <v>0</v>
      </c>
      <c r="G479" s="874" t="s">
        <v>2331</v>
      </c>
      <c r="H479" s="878">
        <f ca="1">IF($G359&gt;10000000,ROUND(5.78*($G359/1000)^-0.0313,2),0)</f>
        <v>0</v>
      </c>
      <c r="I479" s="878">
        <f t="shared" ref="I479" ca="1" si="387">IF($G359&gt;10000000,ROUND(5.78*($G359/1000)^-0.0313,2),0)</f>
        <v>0</v>
      </c>
      <c r="J479" s="1031"/>
    </row>
    <row r="480" spans="1:11" s="607" customFormat="1" ht="13.5" customHeight="1">
      <c r="A480" s="1381"/>
      <c r="B480" s="2146"/>
      <c r="C480" s="2148"/>
      <c r="D480" s="1047"/>
      <c r="E480" s="1001"/>
      <c r="F480" s="1028">
        <f t="shared" ref="F480" ca="1" si="388">IF($G359&gt;10000000,ROUND(4.34*($G359/1000)^-0.0313,2),0)</f>
        <v>0</v>
      </c>
      <c r="G480" s="874" t="s">
        <v>2332</v>
      </c>
      <c r="H480" s="878">
        <f ca="1">IF($G359&gt;10000000,ROUND(4.34*($G359/1000)^-0.0313,2),0)</f>
        <v>0</v>
      </c>
      <c r="I480" s="878">
        <f t="shared" ref="I480" ca="1" si="389">IF($G359&gt;10000000,ROUND(4.34*($G359/1000)^-0.0313,2),0)</f>
        <v>0</v>
      </c>
      <c r="J480" s="1031"/>
    </row>
    <row r="481" spans="1:10" s="607" customFormat="1" ht="13.5" customHeight="1">
      <c r="A481" s="1372" t="s">
        <v>2334</v>
      </c>
      <c r="B481" s="1373"/>
      <c r="C481" s="1373"/>
      <c r="D481" s="1373"/>
      <c r="E481" s="1373"/>
      <c r="F481" s="1028">
        <f ca="1">IF($G359&lt;=10000000,IF(F$476&gt;F$477,F$477,IF(F$476&lt;F$478,F$478,F$476)),IF(F$476&gt;F$479,F$479,IF(F$476&lt;F$480,F$480,F$476)))</f>
        <v>3.25</v>
      </c>
      <c r="G481" s="992"/>
      <c r="H481" s="878">
        <f ca="1">IF($G359&lt;=10000000,IF(H$476&gt;H$477,H$477,IF(H$476&lt;H$478,H$478,H$476)),IF(H$476&gt;H$479,H$479,IF(H$476&lt;H$480,H$480,H$476)))</f>
        <v>3.25</v>
      </c>
      <c r="I481" s="878">
        <f t="shared" ref="I481" ca="1" si="390">IF($G359&lt;=10000000,IF(I$476&gt;I$477,I$477,IF(I$476&lt;I$478,I$478,I$476)),IF(I$476&gt;I$479,I$479,IF(I$476&lt;I$480,I$480,I$476)))</f>
        <v>3.25</v>
      </c>
      <c r="J481" s="1031"/>
    </row>
    <row r="482" spans="1:10" s="607" customFormat="1" ht="15" thickBot="1">
      <c r="A482" s="1374" t="s">
        <v>2335</v>
      </c>
      <c r="B482" s="1375"/>
      <c r="C482" s="1375"/>
      <c r="D482" s="1375"/>
      <c r="E482" s="1375"/>
      <c r="F482" s="1029">
        <f t="shared" ref="F482" ca="1" si="391">ROUND(F481*IF(AND(F307="駅施設",F308="無し"),0.7,IF(AND(F307="駅施設",F308="有り"),0.7,IF(AND(F307="地上建物",F308="無し"),0.9,IF(AND(F307="地上建物",F308="有り"),1,0)))),2)</f>
        <v>0</v>
      </c>
      <c r="G482" s="993"/>
      <c r="H482" s="883">
        <f ca="1">ROUND(H481*IF(AND(H307="駅施設",H308="無し"),0.7,IF(AND(H307="駅施設",H308="有り"),0.7,IF(AND(H307="地上建物",H308="無し"),0.9,IF(AND(H307="地上建物",H308="有り"),1,0)))),2)</f>
        <v>2.2799999999999998</v>
      </c>
      <c r="I482" s="883">
        <f t="shared" ref="I482" ca="1" si="392">ROUND(I481*IF(AND(I307="駅施設",I308="無し"),0.7,IF(AND(I307="駅施設",I308="有り"),0.7,IF(AND(I307="地上建物",I308="無し"),0.9,IF(AND(I307="地上建物",I308="有り"),1,0)))),2)</f>
        <v>2.2799999999999998</v>
      </c>
      <c r="J482" s="1031"/>
    </row>
    <row r="483" spans="1:10" s="607" customFormat="1" ht="15" thickBot="1">
      <c r="F483" s="880"/>
      <c r="H483" s="880"/>
      <c r="I483" s="880"/>
      <c r="J483" s="1031"/>
    </row>
    <row r="484" spans="1:10" s="607" customFormat="1" ht="14">
      <c r="A484" s="866"/>
      <c r="B484" s="867"/>
      <c r="C484" s="868" t="s">
        <v>2325</v>
      </c>
      <c r="D484" s="869"/>
      <c r="E484" s="867"/>
      <c r="F484" s="886">
        <f t="shared" ref="F484" ca="1" si="393">+F302</f>
        <v>0</v>
      </c>
      <c r="G484" s="870" t="s">
        <v>2326</v>
      </c>
      <c r="H484" s="871">
        <f t="shared" ref="H484:I484" ca="1" si="394">+H302</f>
        <v>0</v>
      </c>
      <c r="I484" s="871">
        <f t="shared" ca="1" si="394"/>
        <v>0</v>
      </c>
      <c r="J484" s="1031"/>
    </row>
    <row r="485" spans="1:10" s="607" customFormat="1" ht="14">
      <c r="A485" s="2141"/>
      <c r="B485" s="2144" t="s">
        <v>2336</v>
      </c>
      <c r="C485" s="872" t="s">
        <v>2328</v>
      </c>
      <c r="D485" s="717"/>
      <c r="E485" s="873"/>
      <c r="F485" s="1371">
        <f ca="1">IF($G359&lt;=5000000,ROUND(18.03*(5000^-0.2027)*(F484^0.4017),2),ROUND(18.03*(($G359/1000)^-0.2027)*(F484^0.4017),2))</f>
        <v>0</v>
      </c>
      <c r="G485" s="874" t="s">
        <v>2337</v>
      </c>
      <c r="H485" s="1288">
        <f ca="1">IF($G359&lt;=5000000,ROUND(18.03*(5000^-0.2027)*(H484^0.4017),2),ROUND(18.03*(($G359/1000)^-0.2027)*(H484^0.4017),2))</f>
        <v>0</v>
      </c>
      <c r="I485" s="1288">
        <f t="shared" ref="I485" ca="1" si="395">IF($G359&lt;=5000000,ROUND(18.03*(5000^-0.2027)*(I484^0.4017),2),ROUND(18.03*(($G359/1000)^-0.2027)*(I484^0.4017),2))</f>
        <v>0</v>
      </c>
      <c r="J485" s="1031"/>
    </row>
    <row r="486" spans="1:10" s="607" customFormat="1" ht="14">
      <c r="A486" s="2142"/>
      <c r="B486" s="2145"/>
      <c r="C486" s="2147" t="s">
        <v>2338</v>
      </c>
      <c r="D486" s="1180"/>
      <c r="E486" s="876"/>
      <c r="F486" s="891">
        <f t="shared" ref="F486" ca="1" si="396">IF($G359&lt;=5000000,ROUND(6.07,2),0)</f>
        <v>6.07</v>
      </c>
      <c r="G486" s="874" t="s">
        <v>2331</v>
      </c>
      <c r="H486" s="877">
        <f ca="1">IF($G359&lt;=5000000,ROUND(6.07,2),0)</f>
        <v>6.07</v>
      </c>
      <c r="I486" s="877">
        <f t="shared" ref="I486" ca="1" si="397">IF($G359&lt;=5000000,ROUND(6.07,2),0)</f>
        <v>6.07</v>
      </c>
      <c r="J486" s="1031"/>
    </row>
    <row r="487" spans="1:10" s="607" customFormat="1" ht="13.5" customHeight="1">
      <c r="A487" s="2142"/>
      <c r="B487" s="2145"/>
      <c r="C487" s="2148"/>
      <c r="D487" s="1047"/>
      <c r="E487" s="1001"/>
      <c r="F487" s="891">
        <f t="shared" ref="F487" ca="1" si="398">IF($G359&lt;=5000000,ROUND(3.59,2),0)</f>
        <v>3.59</v>
      </c>
      <c r="G487" s="874" t="s">
        <v>2332</v>
      </c>
      <c r="H487" s="877">
        <f ca="1">IF($G359&lt;=5000000,ROUND(3.59,2),0)</f>
        <v>3.59</v>
      </c>
      <c r="I487" s="877">
        <f t="shared" ref="I487" ca="1" si="399">IF($G359&lt;=5000000,ROUND(3.59,2),0)</f>
        <v>3.59</v>
      </c>
      <c r="J487" s="1031"/>
    </row>
    <row r="488" spans="1:10" s="607" customFormat="1" ht="14">
      <c r="A488" s="2142"/>
      <c r="B488" s="2145"/>
      <c r="C488" s="2147" t="s">
        <v>2339</v>
      </c>
      <c r="D488" s="1180"/>
      <c r="E488" s="876"/>
      <c r="F488" s="1028">
        <f t="shared" ref="F488" ca="1" si="400">IF($G359&gt;5000000,ROUND(11.74*($G359/1000)^-0.0774,2),0)</f>
        <v>0</v>
      </c>
      <c r="G488" s="874" t="s">
        <v>2331</v>
      </c>
      <c r="H488" s="878">
        <f ca="1">IF($G359&gt;5000000,ROUND(11.74*($G359/1000)^-0.0774,2),0)</f>
        <v>0</v>
      </c>
      <c r="I488" s="878">
        <f t="shared" ref="I488" ca="1" si="401">IF($G359&gt;5000000,ROUND(11.74*($G359/1000)^-0.0774,2),0)</f>
        <v>0</v>
      </c>
      <c r="J488" s="1031"/>
    </row>
    <row r="489" spans="1:10" s="607" customFormat="1" ht="13.5" customHeight="1">
      <c r="A489" s="2143"/>
      <c r="B489" s="2146"/>
      <c r="C489" s="2148"/>
      <c r="D489" s="1047"/>
      <c r="E489" s="1001"/>
      <c r="F489" s="1028">
        <f t="shared" ref="F489" ca="1" si="402">IF($G359&gt;5000000,ROUND(6.94*($G359/1000)^-0.0774,2),0)</f>
        <v>0</v>
      </c>
      <c r="G489" s="874" t="s">
        <v>2332</v>
      </c>
      <c r="H489" s="878">
        <f ca="1">IF($G359&gt;5000000,ROUND(6.94*($G359/1000)^-0.0774,2),0)</f>
        <v>0</v>
      </c>
      <c r="I489" s="878">
        <f t="shared" ref="I489" ca="1" si="403">IF($G359&gt;5000000,ROUND(6.94*($G359/1000)^-0.0774,2),0)</f>
        <v>0</v>
      </c>
      <c r="J489" s="1031"/>
    </row>
    <row r="490" spans="1:10" s="607" customFormat="1" ht="13.5" customHeight="1">
      <c r="A490" s="2176" t="s">
        <v>2334</v>
      </c>
      <c r="B490" s="2177"/>
      <c r="C490" s="2177"/>
      <c r="D490" s="2177"/>
      <c r="E490" s="2177"/>
      <c r="F490" s="1030">
        <f ca="1">IF($G359&lt;=5000000,IF(F$485&gt;F$486,F$486,IF(F$485&lt;F$487,F$487,F$485)),IF(F$485&gt;F$488,F$488,IF(F$485&lt;F$489,F$489,F$485)))</f>
        <v>3.59</v>
      </c>
      <c r="G490" s="992"/>
      <c r="H490" s="881">
        <f ca="1">IF($G359&lt;=5000000,IF(H$485&gt;H$486,H$486,IF(H$485&lt;H$487,H$487,H$485)),IF(H$485&gt;H$488,H$488,IF(H$485&lt;H$489,H$489,H$485)))</f>
        <v>3.59</v>
      </c>
      <c r="I490" s="881">
        <f t="shared" ref="I490" ca="1" si="404">IF($G359&lt;=5000000,IF(I$485&gt;I$486,I$486,IF(I$485&lt;I$487,I$487,I$485)),IF(I$485&gt;I$488,I$488,IF(I$485&lt;I$489,I$489,I$485)))</f>
        <v>3.59</v>
      </c>
      <c r="J490" s="1031"/>
    </row>
    <row r="491" spans="1:10" s="607" customFormat="1" ht="15" thickBot="1">
      <c r="A491" s="2166" t="s">
        <v>2335</v>
      </c>
      <c r="B491" s="2167"/>
      <c r="C491" s="2167"/>
      <c r="D491" s="2167"/>
      <c r="E491" s="2167"/>
      <c r="F491" s="1029">
        <f t="shared" ref="F491" ca="1" si="405">ROUND(F490*IF(AND(F307="駅施設",F308="無し"),0.7,IF(AND(F307="駅施設",F308="有り"),0.7,IF(AND(F307="地上建物",F308="無し"),0.9,IF(AND(F307="地上建物",F308="有り"),1,0)))),2)</f>
        <v>0</v>
      </c>
      <c r="G491" s="993"/>
      <c r="H491" s="883">
        <f ca="1">ROUND(H490*IF(AND(H307="駅施設",H308="無し"),0.7,IF(AND(H307="駅施設",H308="有り"),0.7,IF(AND(H307="地上建物",H308="無し"),0.9,IF(AND(H307="地上建物",H308="有り"),1,0)))),2)</f>
        <v>2.5099999999999998</v>
      </c>
      <c r="I491" s="883">
        <f t="shared" ref="I491" ca="1" si="406">ROUND(I490*IF(AND(I307="駅施設",I308="無し"),0.7,IF(AND(I307="駅施設",I308="有り"),0.7,IF(AND(I307="地上建物",I308="無し"),0.9,IF(AND(I307="地上建物",I308="有り"),1,0)))),2)</f>
        <v>2.5099999999999998</v>
      </c>
      <c r="J491" s="1031"/>
    </row>
    <row r="492" spans="1:10" s="607" customFormat="1" ht="15" thickBot="1">
      <c r="F492" s="865"/>
      <c r="H492" s="865"/>
      <c r="I492" s="865"/>
    </row>
    <row r="493" spans="1:10" s="607" customFormat="1" ht="14">
      <c r="A493" s="866"/>
      <c r="B493" s="867"/>
      <c r="C493" s="868" t="s">
        <v>2340</v>
      </c>
      <c r="D493" s="869"/>
      <c r="E493" s="867"/>
      <c r="F493" s="886">
        <f t="shared" ref="F493" ca="1" si="407">+F501</f>
        <v>0</v>
      </c>
      <c r="G493" s="870" t="s">
        <v>2326</v>
      </c>
      <c r="H493" s="871">
        <f t="shared" ref="H493:I493" ca="1" si="408">+H501</f>
        <v>0</v>
      </c>
      <c r="I493" s="871">
        <f t="shared" ca="1" si="408"/>
        <v>0</v>
      </c>
      <c r="J493" s="1031"/>
    </row>
    <row r="494" spans="1:10" s="607" customFormat="1" ht="14">
      <c r="A494" s="2141"/>
      <c r="B494" s="2144" t="s">
        <v>2327</v>
      </c>
      <c r="C494" s="872" t="s">
        <v>2341</v>
      </c>
      <c r="D494" s="717"/>
      <c r="E494" s="873"/>
      <c r="F494" s="1371">
        <f ca="1">IF($G398&lt;=10000000,ROUND(151.08*((10000)^-0.3396)*(F493^0.586),2),ROUND(151.08*(($G398/1000)^-0.3396)*(F493^0.586),2))</f>
        <v>0</v>
      </c>
      <c r="G494" s="874" t="s">
        <v>2342</v>
      </c>
      <c r="H494" s="1288">
        <f ca="1">IF($G398&lt;=10000000,ROUND(151.08*((10000)^-0.3396)*(H493^0.586),2),ROUND(151.08*(($G398/1000)^-0.3396)*(H493^0.586),2))</f>
        <v>0</v>
      </c>
      <c r="I494" s="1288">
        <f t="shared" ref="I494" ca="1" si="409">IF($G398&lt;=10000000,ROUND(151.08*((10000)^-0.3396)*(I493^0.586),2),ROUND(151.08*(($G398/1000)^-0.3396)*(I493^0.586),2))</f>
        <v>0</v>
      </c>
      <c r="J494" s="1031"/>
    </row>
    <row r="495" spans="1:10" s="607" customFormat="1" ht="14">
      <c r="A495" s="2142"/>
      <c r="B495" s="2145"/>
      <c r="C495" s="2147" t="s">
        <v>2343</v>
      </c>
      <c r="D495" s="1180"/>
      <c r="E495" s="876"/>
      <c r="F495" s="891">
        <f t="shared" ref="F495" ca="1" si="410">IF($G398&lt;=10000000,ROUND(20.13,2),0)</f>
        <v>20.13</v>
      </c>
      <c r="G495" s="874" t="s">
        <v>2331</v>
      </c>
      <c r="H495" s="877">
        <f ca="1">IF($G398&lt;=10000000,ROUND(20.13,2),0)</f>
        <v>20.13</v>
      </c>
      <c r="I495" s="877">
        <f t="shared" ref="I495" ca="1" si="411">IF($G398&lt;=10000000,ROUND(20.13,2),0)</f>
        <v>20.13</v>
      </c>
      <c r="J495" s="1031"/>
    </row>
    <row r="496" spans="1:10" s="607" customFormat="1" ht="13.5" customHeight="1">
      <c r="A496" s="2142"/>
      <c r="B496" s="2145"/>
      <c r="C496" s="2148"/>
      <c r="D496" s="1047"/>
      <c r="E496" s="1001"/>
      <c r="F496" s="891">
        <f t="shared" ref="F496" ca="1" si="412">IF($G398&lt;=10000000,ROUND(10.01,2),0)</f>
        <v>10.01</v>
      </c>
      <c r="G496" s="874" t="s">
        <v>2332</v>
      </c>
      <c r="H496" s="877">
        <f ca="1">IF($G398&lt;=10000000,ROUND(10.01,2),0)</f>
        <v>10.01</v>
      </c>
      <c r="I496" s="877">
        <f t="shared" ref="I496" ca="1" si="413">IF($G398&lt;=10000000,ROUND(10.01,2),0)</f>
        <v>10.01</v>
      </c>
      <c r="J496" s="1031"/>
    </row>
    <row r="497" spans="1:10" s="607" customFormat="1" ht="14">
      <c r="A497" s="2142"/>
      <c r="B497" s="2145"/>
      <c r="C497" s="2147" t="s">
        <v>2344</v>
      </c>
      <c r="D497" s="1180"/>
      <c r="E497" s="876"/>
      <c r="F497" s="1028">
        <f t="shared" ref="F497" ca="1" si="414">IF($G398&gt;10000000,ROUND(75.97*($G398/1000)^-0.1442,2),0)</f>
        <v>0</v>
      </c>
      <c r="G497" s="874" t="s">
        <v>2331</v>
      </c>
      <c r="H497" s="878">
        <f ca="1">IF($G398&gt;10000000,ROUND(75.97*($G398/1000)^-0.1442,2),0)</f>
        <v>0</v>
      </c>
      <c r="I497" s="878">
        <f t="shared" ref="I497" ca="1" si="415">IF($G398&gt;10000000,ROUND(75.97*($G398/1000)^-0.1442,2),0)</f>
        <v>0</v>
      </c>
      <c r="J497" s="1031"/>
    </row>
    <row r="498" spans="1:10" s="607" customFormat="1" ht="13.5" customHeight="1">
      <c r="A498" s="2143"/>
      <c r="B498" s="2146"/>
      <c r="C498" s="2148"/>
      <c r="D498" s="1047"/>
      <c r="E498" s="1001"/>
      <c r="F498" s="1028">
        <f t="shared" ref="F498" ca="1" si="416">IF($G398&gt;10000000,ROUND(37.76*($G398/1000)^-0.1442,2),0)</f>
        <v>0</v>
      </c>
      <c r="G498" s="874" t="s">
        <v>2332</v>
      </c>
      <c r="H498" s="878">
        <f ca="1">IF($G398&gt;10000000,ROUND(37.76*($G398/1000)^-0.1442,2),0)</f>
        <v>0</v>
      </c>
      <c r="I498" s="878">
        <f t="shared" ref="I498" ca="1" si="417">IF($G398&gt;10000000,ROUND(37.76*($G398/1000)^-0.1442,2),0)</f>
        <v>0</v>
      </c>
      <c r="J498" s="1031"/>
    </row>
    <row r="499" spans="1:10" s="607" customFormat="1" ht="15" thickBot="1">
      <c r="A499" s="2154" t="s">
        <v>2345</v>
      </c>
      <c r="B499" s="2155"/>
      <c r="C499" s="2155"/>
      <c r="D499" s="2155"/>
      <c r="E499" s="1181"/>
      <c r="F499" s="1029">
        <f ca="1">IF($G398&lt;=10000000,IF(F$494&gt;F$495,F$495,IF(F$494&lt;F$496,F$496,F$494)),IF(F$494&gt;F$497,F$497,IF(F$494&lt;F$498,F$498,F$494)))</f>
        <v>10.01</v>
      </c>
      <c r="G499" s="882"/>
      <c r="H499" s="883">
        <f ca="1">IF($G398&lt;=10000000,IF(H$494&gt;H$495,H$495,IF(H$494&lt;H$496,H$496,H$494)),IF(H$494&gt;H$497,H$497,IF(H$494&lt;H$498,H$498,H$494)))</f>
        <v>10.01</v>
      </c>
      <c r="I499" s="883">
        <f t="shared" ref="I499" ca="1" si="418">IF($G398&lt;=10000000,IF(I$494&gt;I$495,I$495,IF(I$494&lt;I$496,I$496,I$494)),IF(I$494&gt;I$497,I$497,IF(I$494&lt;I$498,I$498,I$494)))</f>
        <v>10.01</v>
      </c>
      <c r="J499" s="1031"/>
    </row>
    <row r="500" spans="1:10" s="607" customFormat="1" ht="15" thickBot="1">
      <c r="F500" s="880"/>
      <c r="H500" s="880"/>
      <c r="I500" s="880"/>
      <c r="J500" s="1031"/>
    </row>
    <row r="501" spans="1:10" s="607" customFormat="1" ht="14">
      <c r="A501" s="866"/>
      <c r="B501" s="867"/>
      <c r="C501" s="868" t="s">
        <v>2340</v>
      </c>
      <c r="D501" s="869"/>
      <c r="E501" s="867"/>
      <c r="F501" s="886">
        <f t="shared" ref="F501" ca="1" si="419">+F302</f>
        <v>0</v>
      </c>
      <c r="G501" s="870" t="s">
        <v>2326</v>
      </c>
      <c r="H501" s="871">
        <f t="shared" ref="H501:I501" ca="1" si="420">+H302</f>
        <v>0</v>
      </c>
      <c r="I501" s="871">
        <f t="shared" ca="1" si="420"/>
        <v>0</v>
      </c>
      <c r="J501" s="1031"/>
    </row>
    <row r="502" spans="1:10" s="607" customFormat="1" ht="14">
      <c r="A502" s="2141"/>
      <c r="B502" s="2151" t="s">
        <v>2336</v>
      </c>
      <c r="C502" s="872" t="s">
        <v>2341</v>
      </c>
      <c r="D502" s="717"/>
      <c r="E502" s="873"/>
      <c r="F502" s="1371">
        <f ca="1">IF($G398&lt;=5000000,ROUND(356.2*((5000)^-0.4085)*(F501^0.5766),2),ROUND(356.2*(($G398/1000)^-0.4085)*(F501^0.5766),2))</f>
        <v>0</v>
      </c>
      <c r="G502" s="874" t="s">
        <v>2342</v>
      </c>
      <c r="H502" s="1288">
        <f ca="1">IF($G398&lt;=5000000,ROUND(356.2*((5000)^-0.4085)*(H501^0.5766),2),ROUND(356.2*(($G398/1000)^-0.4085)*(H501^0.5766),2))</f>
        <v>0</v>
      </c>
      <c r="I502" s="1288">
        <f t="shared" ref="I502" ca="1" si="421">IF($G398&lt;=5000000,ROUND(356.2*((5000)^-0.4085)*(I501^0.5766),2),ROUND(356.2*(($G398/1000)^-0.4085)*(I501^0.5766),2))</f>
        <v>0</v>
      </c>
      <c r="J502" s="1031"/>
    </row>
    <row r="503" spans="1:10" s="607" customFormat="1" ht="14">
      <c r="A503" s="2142"/>
      <c r="B503" s="2156"/>
      <c r="C503" s="2147" t="s">
        <v>2346</v>
      </c>
      <c r="D503" s="1180"/>
      <c r="E503" s="876"/>
      <c r="F503" s="891">
        <f t="shared" ref="F503" ca="1" si="422">IF($G398&lt;=5000000,ROUND(26.86,2),0)</f>
        <v>26.86</v>
      </c>
      <c r="G503" s="874" t="s">
        <v>2331</v>
      </c>
      <c r="H503" s="877">
        <f ca="1">IF($G398&lt;=5000000,ROUND(26.86,2),0)</f>
        <v>26.86</v>
      </c>
      <c r="I503" s="877">
        <f t="shared" ref="I503" ca="1" si="423">IF($G398&lt;=5000000,ROUND(26.86,2),0)</f>
        <v>26.86</v>
      </c>
      <c r="J503" s="1031"/>
    </row>
    <row r="504" spans="1:10" s="607" customFormat="1" ht="13.5" customHeight="1">
      <c r="A504" s="2142"/>
      <c r="B504" s="2156"/>
      <c r="C504" s="2148"/>
      <c r="D504" s="1047"/>
      <c r="E504" s="1001"/>
      <c r="F504" s="891">
        <f t="shared" ref="F504" ca="1" si="424">IF($G398&lt;=5000000,ROUND(12.7,2),0)</f>
        <v>12.7</v>
      </c>
      <c r="G504" s="874" t="s">
        <v>2332</v>
      </c>
      <c r="H504" s="877">
        <f ca="1">IF($G398&lt;=5000000,ROUND(12.7,2),0)</f>
        <v>12.7</v>
      </c>
      <c r="I504" s="877">
        <f t="shared" ref="I504" ca="1" si="425">IF($G398&lt;=5000000,ROUND(12.7,2),0)</f>
        <v>12.7</v>
      </c>
      <c r="J504" s="1031"/>
    </row>
    <row r="505" spans="1:10" s="607" customFormat="1" ht="14">
      <c r="A505" s="2142"/>
      <c r="B505" s="2156"/>
      <c r="C505" s="2147" t="s">
        <v>2347</v>
      </c>
      <c r="D505" s="1180"/>
      <c r="E505" s="876"/>
      <c r="F505" s="1028">
        <f t="shared" ref="F505" ca="1" si="426">IF($G398&gt;5000000,ROUND(184.58*($G398/1000)^-0.2263,2),0)</f>
        <v>0</v>
      </c>
      <c r="G505" s="874" t="s">
        <v>2331</v>
      </c>
      <c r="H505" s="878">
        <f ca="1">IF($G398&gt;5000000,ROUND(184.58*($G398/1000)^-0.2263,2),0)</f>
        <v>0</v>
      </c>
      <c r="I505" s="878">
        <f t="shared" ref="I505" ca="1" si="427">IF($G398&gt;5000000,ROUND(184.58*($G398/1000)^-0.2263,2),0)</f>
        <v>0</v>
      </c>
      <c r="J505" s="1031"/>
    </row>
    <row r="506" spans="1:10" s="607" customFormat="1" ht="13.5" customHeight="1">
      <c r="A506" s="2143"/>
      <c r="B506" s="2157"/>
      <c r="C506" s="2148"/>
      <c r="D506" s="1047"/>
      <c r="E506" s="1001"/>
      <c r="F506" s="1028">
        <f t="shared" ref="F506" ca="1" si="428">IF($G398&gt;5000000,ROUND(87.29*($G398/1000)^-0.2263,2),0)</f>
        <v>0</v>
      </c>
      <c r="G506" s="874" t="s">
        <v>2332</v>
      </c>
      <c r="H506" s="878">
        <f ca="1">IF($G398&gt;5000000,ROUND(87.29*($G398/1000)^-0.2263,2),0)</f>
        <v>0</v>
      </c>
      <c r="I506" s="878">
        <f t="shared" ref="I506" ca="1" si="429">IF($G398&gt;5000000,ROUND(87.29*($G398/1000)^-0.2263,2),0)</f>
        <v>0</v>
      </c>
      <c r="J506" s="1031"/>
    </row>
    <row r="507" spans="1:10" s="607" customFormat="1" ht="15" thickBot="1">
      <c r="A507" s="2154" t="s">
        <v>2345</v>
      </c>
      <c r="B507" s="2155"/>
      <c r="C507" s="2155"/>
      <c r="D507" s="2155"/>
      <c r="E507" s="884"/>
      <c r="F507" s="895">
        <f ca="1">IF($G398&lt;=5000000,IF(F$502&gt;F$503,F$503,IF(F$502&lt;F$504,F$504,F$502)),IF(F$502&gt;F$505,F$505,IF(F$502&lt;F$506,F$506,F$502)))</f>
        <v>12.7</v>
      </c>
      <c r="G507" s="882"/>
      <c r="H507" s="885">
        <f ca="1">IF($G398&lt;=5000000,IF(H$502&gt;H$503,H$503,IF(H$502&lt;H$504,H$504,H$502)),IF(H$502&gt;H$505,H$505,IF(H$502&lt;H$506,H$506,H$502)))</f>
        <v>12.7</v>
      </c>
      <c r="I507" s="885">
        <f t="shared" ref="I507" ca="1" si="430">IF($G398&lt;=5000000,IF(I$502&gt;I$503,I$503,IF(I$502&lt;I$504,I$504,I$502)),IF(I$502&gt;I$505,I$505,IF(I$502&lt;I$506,I$506,I$502)))</f>
        <v>12.7</v>
      </c>
      <c r="J507" s="1031"/>
    </row>
    <row r="508" spans="1:10" s="607" customFormat="1" ht="15" thickBot="1">
      <c r="F508" s="865"/>
      <c r="H508" s="865"/>
      <c r="I508" s="865"/>
    </row>
    <row r="509" spans="1:10" s="607" customFormat="1" ht="14">
      <c r="A509" s="866"/>
      <c r="B509" s="867"/>
      <c r="C509" s="868" t="s">
        <v>2348</v>
      </c>
      <c r="D509" s="869"/>
      <c r="E509" s="867"/>
      <c r="F509" s="997"/>
      <c r="G509" s="870"/>
      <c r="H509" s="886"/>
      <c r="I509" s="887"/>
    </row>
    <row r="510" spans="1:10" s="607" customFormat="1" ht="14">
      <c r="A510" s="1379"/>
      <c r="B510" s="2151" t="s">
        <v>77</v>
      </c>
      <c r="C510" s="872" t="s">
        <v>2349</v>
      </c>
      <c r="D510" s="717"/>
      <c r="E510" s="873"/>
      <c r="F510" s="1000"/>
      <c r="G510" s="874" t="s">
        <v>2350</v>
      </c>
      <c r="H510" s="888" t="e">
        <f ca="1">ROUND(28.978-3.173*LOG($G441/1000),2)</f>
        <v>#NUM!</v>
      </c>
      <c r="I510" s="889"/>
    </row>
    <row r="511" spans="1:10" s="607" customFormat="1" ht="13.5" customHeight="1">
      <c r="A511" s="1380"/>
      <c r="B511" s="2152"/>
      <c r="C511" s="1376" t="s">
        <v>2351</v>
      </c>
      <c r="D511" s="1180"/>
      <c r="E511" s="1180"/>
      <c r="F511" s="893"/>
      <c r="G511" s="890"/>
      <c r="H511" s="891">
        <f ca="1">IF($G441&lt;=5000000,17.24,0)</f>
        <v>17.239999999999998</v>
      </c>
      <c r="I511" s="892"/>
    </row>
    <row r="512" spans="1:10" s="607" customFormat="1" ht="14">
      <c r="A512" s="1381"/>
      <c r="B512" s="2153"/>
      <c r="C512" s="1376" t="s">
        <v>2352</v>
      </c>
      <c r="D512" s="1180"/>
      <c r="E512" s="717"/>
      <c r="F512" s="998"/>
      <c r="G512" s="890"/>
      <c r="H512" s="891">
        <f ca="1">IF($G441&gt;3000000000,8.43,0)</f>
        <v>0</v>
      </c>
      <c r="I512" s="894"/>
    </row>
    <row r="513" spans="1:9" s="607" customFormat="1" ht="15" thickBot="1">
      <c r="A513" s="1377" t="s">
        <v>2353</v>
      </c>
      <c r="B513" s="1378"/>
      <c r="C513" s="1378"/>
      <c r="D513" s="1378"/>
      <c r="E513" s="884"/>
      <c r="F513" s="999"/>
      <c r="G513" s="882"/>
      <c r="H513" s="895">
        <f ca="1">IF($G441&lt;=5000000,H511,IF($G441&gt;3000000000,H512,H510))</f>
        <v>17.239999999999998</v>
      </c>
      <c r="I513" s="896"/>
    </row>
  </sheetData>
  <sheetProtection selectLockedCells="1" selectUnlockedCells="1"/>
  <mergeCells count="76">
    <mergeCell ref="M1:N1"/>
    <mergeCell ref="A397:C397"/>
    <mergeCell ref="A414:C414"/>
    <mergeCell ref="A91:E91"/>
    <mergeCell ref="A92:E92"/>
    <mergeCell ref="B6:D6"/>
    <mergeCell ref="B7:D7"/>
    <mergeCell ref="B8:D8"/>
    <mergeCell ref="A14:E14"/>
    <mergeCell ref="A13:E13"/>
    <mergeCell ref="B9:D9"/>
    <mergeCell ref="B382:B390"/>
    <mergeCell ref="B360:B363"/>
    <mergeCell ref="B364:B372"/>
    <mergeCell ref="A375:C375"/>
    <mergeCell ref="A490:E490"/>
    <mergeCell ref="B230:B231"/>
    <mergeCell ref="B234:B236"/>
    <mergeCell ref="A198:C198"/>
    <mergeCell ref="B199:B204"/>
    <mergeCell ref="B205:B213"/>
    <mergeCell ref="B214:B215"/>
    <mergeCell ref="B240:B241"/>
    <mergeCell ref="B244:B246"/>
    <mergeCell ref="B247:B248"/>
    <mergeCell ref="B335:B338"/>
    <mergeCell ref="B339:B347"/>
    <mergeCell ref="B348:B354"/>
    <mergeCell ref="A307:E307"/>
    <mergeCell ref="A308:E308"/>
    <mergeCell ref="B376:B381"/>
    <mergeCell ref="A491:E491"/>
    <mergeCell ref="D141:D142"/>
    <mergeCell ref="E141:E142"/>
    <mergeCell ref="A142:C142"/>
    <mergeCell ref="B119:B122"/>
    <mergeCell ref="B123:B131"/>
    <mergeCell ref="B132:B138"/>
    <mergeCell ref="D180:D181"/>
    <mergeCell ref="E180:E181"/>
    <mergeCell ref="A181:C181"/>
    <mergeCell ref="B183:B186"/>
    <mergeCell ref="B187:B195"/>
    <mergeCell ref="A159:C159"/>
    <mergeCell ref="B160:B165"/>
    <mergeCell ref="B166:B174"/>
    <mergeCell ref="C226:E226"/>
    <mergeCell ref="B415:B420"/>
    <mergeCell ref="B421:B429"/>
    <mergeCell ref="B430:B431"/>
    <mergeCell ref="C441:E441"/>
    <mergeCell ref="B399:B402"/>
    <mergeCell ref="B403:B411"/>
    <mergeCell ref="B510:B512"/>
    <mergeCell ref="A499:D499"/>
    <mergeCell ref="A502:A506"/>
    <mergeCell ref="B502:B506"/>
    <mergeCell ref="C503:C504"/>
    <mergeCell ref="C505:C506"/>
    <mergeCell ref="A507:D507"/>
    <mergeCell ref="B445:B446"/>
    <mergeCell ref="B449:B451"/>
    <mergeCell ref="A494:A498"/>
    <mergeCell ref="B494:B498"/>
    <mergeCell ref="C495:C496"/>
    <mergeCell ref="C497:C498"/>
    <mergeCell ref="A485:A489"/>
    <mergeCell ref="B485:B489"/>
    <mergeCell ref="C486:C487"/>
    <mergeCell ref="C488:C489"/>
    <mergeCell ref="B455:B456"/>
    <mergeCell ref="B459:B461"/>
    <mergeCell ref="B462:B463"/>
    <mergeCell ref="B476:B480"/>
    <mergeCell ref="C477:C478"/>
    <mergeCell ref="C479:C480"/>
  </mergeCells>
  <phoneticPr fontId="6"/>
  <conditionalFormatting sqref="G305">
    <cfRule type="expression" dxfId="14" priority="1" stopIfTrue="1">
      <formula>AND($F$115&gt;5000000,OR($E$89="無し",$E$89="なし"))</formula>
    </cfRule>
  </conditionalFormatting>
  <conditionalFormatting sqref="G12">
    <cfRule type="expression" dxfId="13" priority="2" stopIfTrue="1">
      <formula>AND($G$115&gt;5000000,OR($E$89="無し",$E$89="なし"))</formula>
    </cfRule>
  </conditionalFormatting>
  <conditionalFormatting sqref="A12">
    <cfRule type="expression" dxfId="12" priority="3" stopIfTrue="1">
      <formula>AND($G$115&gt;5000000,OR($E$89="無し",$E$89="なし"))</formula>
    </cfRule>
  </conditionalFormatting>
  <dataValidations count="4">
    <dataValidation type="list" allowBlank="1" showInputMessage="1" showErrorMessage="1" sqref="H13:I13 H91:I91 F307 F13 H307:I307" xr:uid="{00000000-0002-0000-0200-000000000000}">
      <formula1>"駅施設,地上建物"</formula1>
    </dataValidation>
    <dataValidation type="list" allowBlank="1" showInputMessage="1" showErrorMessage="1" sqref="H11:I11 F11 H87:I87" xr:uid="{00000000-0002-0000-0200-000001000000}">
      <formula1>"改修,新営"</formula1>
    </dataValidation>
    <dataValidation type="list" allowBlank="1" showInputMessage="1" showErrorMessage="1" sqref="H12:I12 H90:I90 F306 F12 H306:I306" xr:uid="{00000000-0002-0000-0200-000002000000}">
      <formula1>"積上げ,積上げ・率処理併用"</formula1>
    </dataValidation>
    <dataValidation type="list" allowBlank="1" showInputMessage="1" showErrorMessage="1" sqref="H308:I308 H14:I14 H92:I92 F308 F14 E304" xr:uid="{00000000-0002-0000-0200-000003000000}">
      <formula1>"有り,無し"</formula1>
    </dataValidation>
  </dataValidations>
  <printOptions horizontalCentered="1" headings="1"/>
  <pageMargins left="0.19685039370078741" right="0.19685039370078741" top="0.47244094488188981" bottom="0.19685039370078741" header="0.51181102362204722" footer="0.51181102362204722"/>
  <pageSetup paperSize="9" scale="47" fitToHeight="8" orientation="landscape" cellComments="asDisplayed" horizontalDpi="300" verticalDpi="300" r:id="rId1"/>
  <headerFooter alignWithMargins="0"/>
  <rowBreaks count="7" manualBreakCount="7">
    <brk id="83" max="16383" man="1"/>
    <brk id="138" max="16383" man="1"/>
    <brk id="218" max="16383" man="1"/>
    <brk id="299" max="16383" man="1"/>
    <brk id="354" max="16383" man="1"/>
    <brk id="393" max="16383" man="1"/>
    <brk id="43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72" r:id="rId4" name="Button 396">
              <controlPr defaultSize="0" print="0" autoFill="0" autoPict="0" macro="[0]!変更諸経費表入力フォーム1の呼出し">
                <anchor moveWithCells="1" sizeWithCells="1">
                  <from>
                    <xdr:col>13</xdr:col>
                    <xdr:colOff>177800</xdr:colOff>
                    <xdr:row>2</xdr:row>
                    <xdr:rowOff>12700</xdr:rowOff>
                  </from>
                  <to>
                    <xdr:col>13</xdr:col>
                    <xdr:colOff>1778000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H216"/>
  <sheetViews>
    <sheetView view="pageBreakPreview" zoomScale="90" zoomScaleNormal="70" zoomScaleSheetLayoutView="90" workbookViewId="0"/>
  </sheetViews>
  <sheetFormatPr baseColWidth="10" defaultColWidth="9" defaultRowHeight="13.5" customHeight="1"/>
  <cols>
    <col min="1" max="1" width="2.5" style="2005" customWidth="1"/>
    <col min="2" max="2" width="3.5" style="2005" customWidth="1"/>
    <col min="3" max="3" width="21.5" style="2005" customWidth="1"/>
    <col min="4" max="4" width="4" style="2005" customWidth="1"/>
    <col min="5" max="5" width="11.5" style="2005" bestFit="1" customWidth="1"/>
    <col min="6" max="6" width="17.6640625" style="2005" customWidth="1"/>
    <col min="7" max="8" width="14.33203125" style="2006" customWidth="1"/>
    <col min="9" max="16384" width="9" style="1235"/>
  </cols>
  <sheetData>
    <row r="1" spans="1:8" ht="27.75" customHeight="1">
      <c r="A1" s="1795"/>
      <c r="B1" s="1795"/>
      <c r="C1" s="1796"/>
      <c r="D1" s="1796"/>
      <c r="E1" s="2056" t="s">
        <v>2162</v>
      </c>
      <c r="F1" s="2057"/>
      <c r="G1" s="1799"/>
      <c r="H1" s="1800"/>
    </row>
    <row r="2" spans="1:8" ht="13.5" customHeight="1">
      <c r="A2" s="1795"/>
      <c r="B2" s="1795"/>
      <c r="C2" s="1801" t="s">
        <v>3064</v>
      </c>
      <c r="D2" s="1796"/>
      <c r="E2" s="1797"/>
      <c r="F2" s="1798"/>
      <c r="G2" s="1802">
        <v>1</v>
      </c>
      <c r="H2" s="1802">
        <v>2</v>
      </c>
    </row>
    <row r="3" spans="1:8" ht="13.5" customHeight="1">
      <c r="A3" s="647"/>
      <c r="B3" s="1795"/>
      <c r="C3" s="1803" t="s">
        <v>2991</v>
      </c>
      <c r="D3" s="1796"/>
      <c r="E3" s="1796"/>
      <c r="F3" s="1235"/>
      <c r="G3" s="1802" t="s">
        <v>2385</v>
      </c>
      <c r="H3" s="1802" t="s">
        <v>2384</v>
      </c>
    </row>
    <row r="4" spans="1:8" ht="21.75" customHeight="1">
      <c r="A4" s="1804"/>
      <c r="B4" s="1804"/>
      <c r="C4" s="1805" t="s">
        <v>2365</v>
      </c>
      <c r="D4" s="1806"/>
      <c r="E4" s="1807" t="s">
        <v>2992</v>
      </c>
      <c r="F4" s="1795"/>
      <c r="G4" s="1808"/>
      <c r="H4" s="1808"/>
    </row>
    <row r="5" spans="1:8" s="1236" customFormat="1" ht="13.5" customHeight="1">
      <c r="A5" s="1504"/>
      <c r="B5" s="1505"/>
      <c r="C5" s="1809" t="s">
        <v>2993</v>
      </c>
      <c r="D5" s="1810"/>
      <c r="E5" s="1811"/>
      <c r="F5" s="1812" t="s">
        <v>2994</v>
      </c>
      <c r="G5" s="1813"/>
      <c r="H5" s="1813"/>
    </row>
    <row r="6" spans="1:8" s="1236" customFormat="1" ht="13.5" customHeight="1">
      <c r="A6" s="1506"/>
      <c r="B6" s="1814"/>
      <c r="C6" s="1815" t="s">
        <v>2995</v>
      </c>
      <c r="D6" s="1816"/>
      <c r="E6" s="1817"/>
      <c r="F6" s="1818" t="s">
        <v>2866</v>
      </c>
      <c r="G6" s="1507" t="s">
        <v>2370</v>
      </c>
      <c r="H6" s="1507" t="s">
        <v>2370</v>
      </c>
    </row>
    <row r="7" spans="1:8" ht="13.5" customHeight="1">
      <c r="A7" s="1506"/>
      <c r="B7" s="1814"/>
      <c r="C7" s="1814" t="s">
        <v>2867</v>
      </c>
      <c r="D7" s="1814"/>
      <c r="E7" s="2058" t="s">
        <v>2246</v>
      </c>
      <c r="F7" s="1508" t="s">
        <v>2996</v>
      </c>
      <c r="G7" s="1819" t="s">
        <v>2385</v>
      </c>
      <c r="H7" s="1820" t="s">
        <v>2384</v>
      </c>
    </row>
    <row r="8" spans="1:8" ht="13.5" customHeight="1">
      <c r="A8" s="1506"/>
      <c r="B8" s="1814"/>
      <c r="C8" s="1814" t="s">
        <v>2247</v>
      </c>
      <c r="D8" s="1814"/>
      <c r="E8" s="2059" t="s">
        <v>2246</v>
      </c>
      <c r="F8" s="1509" t="s">
        <v>2997</v>
      </c>
      <c r="G8" s="1821"/>
      <c r="H8" s="1821"/>
    </row>
    <row r="9" spans="1:8" s="1237" customFormat="1" ht="13.5" customHeight="1">
      <c r="A9" s="1506"/>
      <c r="B9" s="1814"/>
      <c r="C9" s="1578" t="s">
        <v>2998</v>
      </c>
      <c r="D9" s="1578"/>
      <c r="E9" s="1578"/>
      <c r="F9" s="1579"/>
      <c r="G9" s="1510" t="s">
        <v>2249</v>
      </c>
      <c r="H9" s="1510" t="s">
        <v>2249</v>
      </c>
    </row>
    <row r="10" spans="1:8" s="1237" customFormat="1" ht="24.75" customHeight="1">
      <c r="A10" s="1779" t="s">
        <v>2999</v>
      </c>
      <c r="B10" s="1793"/>
      <c r="C10" s="1793"/>
      <c r="D10" s="1793"/>
      <c r="E10" s="1793"/>
      <c r="F10" s="1780"/>
      <c r="G10" s="1511" t="s">
        <v>2250</v>
      </c>
      <c r="H10" s="1511" t="s">
        <v>2250</v>
      </c>
    </row>
    <row r="11" spans="1:8" s="1237" customFormat="1" ht="24.75" customHeight="1">
      <c r="A11" s="1781" t="s">
        <v>3000</v>
      </c>
      <c r="B11" s="1782"/>
      <c r="C11" s="1782"/>
      <c r="D11" s="1782"/>
      <c r="E11" s="1782"/>
      <c r="F11" s="1687"/>
      <c r="G11" s="1512" t="s">
        <v>2251</v>
      </c>
      <c r="H11" s="1512" t="s">
        <v>2251</v>
      </c>
    </row>
    <row r="12" spans="1:8" ht="13.5" customHeight="1">
      <c r="A12" s="1504"/>
      <c r="B12" s="1513" t="s">
        <v>2868</v>
      </c>
      <c r="C12" s="1514"/>
      <c r="D12" s="1514"/>
      <c r="E12" s="1515"/>
      <c r="F12" s="1516"/>
      <c r="G12" s="1822"/>
      <c r="H12" s="1822"/>
    </row>
    <row r="13" spans="1:8" ht="13.5" customHeight="1">
      <c r="A13" s="1506"/>
      <c r="B13" s="1814"/>
      <c r="C13" s="1517" t="s">
        <v>3001</v>
      </c>
      <c r="D13" s="1518"/>
      <c r="E13" s="1519"/>
      <c r="F13" s="1520"/>
      <c r="G13" s="1823"/>
      <c r="H13" s="1823"/>
    </row>
    <row r="14" spans="1:8" ht="13.5" customHeight="1">
      <c r="A14" s="1506"/>
      <c r="B14" s="1814"/>
      <c r="C14" s="1521"/>
      <c r="D14" s="1521"/>
      <c r="E14" s="1522"/>
      <c r="F14" s="1523" t="s">
        <v>2869</v>
      </c>
      <c r="G14" s="1524"/>
      <c r="H14" s="1524"/>
    </row>
    <row r="15" spans="1:8" ht="13.5" customHeight="1">
      <c r="A15" s="1506"/>
      <c r="B15" s="1814"/>
      <c r="C15" s="1521"/>
      <c r="D15" s="1521"/>
      <c r="E15" s="1522"/>
      <c r="F15" s="1523" t="s">
        <v>2253</v>
      </c>
      <c r="G15" s="1524"/>
      <c r="H15" s="1524"/>
    </row>
    <row r="16" spans="1:8" ht="13.5" customHeight="1">
      <c r="A16" s="1506"/>
      <c r="B16" s="1814"/>
      <c r="C16" s="1521"/>
      <c r="D16" s="1521"/>
      <c r="E16" s="1522"/>
      <c r="F16" s="1523" t="s">
        <v>3002</v>
      </c>
      <c r="G16" s="1524"/>
      <c r="H16" s="1524"/>
    </row>
    <row r="17" spans="1:8" ht="13.5" customHeight="1">
      <c r="A17" s="1525"/>
      <c r="B17" s="1824"/>
      <c r="C17" s="1526" t="s">
        <v>3003</v>
      </c>
      <c r="D17" s="1526"/>
      <c r="E17" s="1527"/>
      <c r="F17" s="1528"/>
      <c r="G17" s="1529"/>
      <c r="H17" s="1529"/>
    </row>
    <row r="18" spans="1:8" ht="13.5" customHeight="1">
      <c r="A18" s="1525"/>
      <c r="B18" s="1824"/>
      <c r="C18" s="1530" t="s">
        <v>3004</v>
      </c>
      <c r="D18" s="1526"/>
      <c r="E18" s="1527"/>
      <c r="F18" s="1523"/>
      <c r="G18" s="1531"/>
      <c r="H18" s="1531"/>
    </row>
    <row r="19" spans="1:8" ht="13.5" customHeight="1">
      <c r="A19" s="1506"/>
      <c r="B19" s="1814"/>
      <c r="C19" s="1530" t="s">
        <v>3005</v>
      </c>
      <c r="D19" s="1526"/>
      <c r="E19" s="1522"/>
      <c r="F19" s="1523"/>
      <c r="G19" s="1823"/>
      <c r="H19" s="1823"/>
    </row>
    <row r="20" spans="1:8" ht="13.5" customHeight="1">
      <c r="A20" s="1506"/>
      <c r="B20" s="1814"/>
      <c r="C20" s="1825" t="s">
        <v>3006</v>
      </c>
      <c r="D20" s="1526"/>
      <c r="E20" s="1522"/>
      <c r="F20" s="1523"/>
      <c r="G20" s="1823"/>
      <c r="H20" s="1823"/>
    </row>
    <row r="21" spans="1:8" ht="13.5" customHeight="1">
      <c r="A21" s="1506"/>
      <c r="B21" s="1814"/>
      <c r="C21" s="1826" t="s">
        <v>3007</v>
      </c>
      <c r="D21" s="1827"/>
      <c r="E21" s="1532"/>
      <c r="F21" s="1533"/>
      <c r="G21" s="1823"/>
      <c r="H21" s="1823"/>
    </row>
    <row r="22" spans="1:8" ht="13.5" customHeight="1">
      <c r="A22" s="1534"/>
      <c r="B22" s="1535"/>
      <c r="C22" s="1536" t="s">
        <v>3008</v>
      </c>
      <c r="D22" s="1537"/>
      <c r="E22" s="1538"/>
      <c r="F22" s="1539"/>
      <c r="G22" s="1828"/>
      <c r="H22" s="1828"/>
    </row>
    <row r="23" spans="1:8" ht="13.5" customHeight="1">
      <c r="A23" s="1506"/>
      <c r="B23" s="1827" t="s">
        <v>3009</v>
      </c>
      <c r="C23" s="1827"/>
      <c r="D23" s="1827"/>
      <c r="E23" s="1532"/>
      <c r="F23" s="1533"/>
      <c r="G23" s="1829"/>
      <c r="H23" s="1540"/>
    </row>
    <row r="24" spans="1:8" ht="13.5" customHeight="1">
      <c r="A24" s="1525"/>
      <c r="B24" s="1824"/>
      <c r="C24" s="1541" t="s">
        <v>2257</v>
      </c>
      <c r="D24" s="1541"/>
      <c r="E24" s="1542"/>
      <c r="F24" s="1543"/>
      <c r="G24" s="1830"/>
      <c r="H24" s="1544"/>
    </row>
    <row r="25" spans="1:8" ht="13.5" customHeight="1">
      <c r="A25" s="1525"/>
      <c r="B25" s="1824"/>
      <c r="C25" s="1792" t="s">
        <v>3010</v>
      </c>
      <c r="D25" s="1792"/>
      <c r="E25" s="1545"/>
      <c r="F25" s="1528"/>
      <c r="G25" s="1831"/>
      <c r="H25" s="1546"/>
    </row>
    <row r="26" spans="1:8" ht="12.75" customHeight="1">
      <c r="A26" s="1525"/>
      <c r="B26" s="1824"/>
      <c r="C26" s="1547" t="s">
        <v>2259</v>
      </c>
      <c r="D26" s="1547"/>
      <c r="E26" s="1527"/>
      <c r="F26" s="1528"/>
      <c r="G26" s="1832"/>
      <c r="H26" s="1529"/>
    </row>
    <row r="27" spans="1:8" ht="13.5" customHeight="1">
      <c r="A27" s="1525"/>
      <c r="B27" s="1824"/>
      <c r="C27" s="1547" t="s">
        <v>3011</v>
      </c>
      <c r="D27" s="1547"/>
      <c r="E27" s="1527"/>
      <c r="F27" s="1528"/>
      <c r="G27" s="1832"/>
      <c r="H27" s="1529"/>
    </row>
    <row r="28" spans="1:8" ht="13.5" customHeight="1">
      <c r="A28" s="1506"/>
      <c r="B28" s="1814"/>
      <c r="C28" s="1547" t="s">
        <v>3012</v>
      </c>
      <c r="D28" s="1547"/>
      <c r="E28" s="1522"/>
      <c r="F28" s="1528"/>
      <c r="G28" s="1832"/>
      <c r="H28" s="1529"/>
    </row>
    <row r="29" spans="1:8" ht="13.5" customHeight="1">
      <c r="A29" s="1833"/>
      <c r="B29" s="1795"/>
      <c r="C29" s="1834" t="s">
        <v>2262</v>
      </c>
      <c r="D29" s="1834"/>
      <c r="E29" s="1835"/>
      <c r="F29" s="1836"/>
      <c r="G29" s="1832"/>
      <c r="H29" s="1832"/>
    </row>
    <row r="30" spans="1:8" ht="13.5" customHeight="1">
      <c r="A30" s="1833"/>
      <c r="B30" s="1795"/>
      <c r="C30" s="1837" t="s">
        <v>2259</v>
      </c>
      <c r="D30" s="1837"/>
      <c r="E30" s="1835"/>
      <c r="F30" s="1838"/>
      <c r="G30" s="1832"/>
      <c r="H30" s="1832"/>
    </row>
    <row r="31" spans="1:8" ht="13.5" customHeight="1">
      <c r="A31" s="1506"/>
      <c r="B31" s="1814"/>
      <c r="C31" s="1547" t="s">
        <v>2263</v>
      </c>
      <c r="D31" s="1547"/>
      <c r="E31" s="1522"/>
      <c r="F31" s="1523"/>
      <c r="G31" s="1832"/>
      <c r="H31" s="1524"/>
    </row>
    <row r="32" spans="1:8" ht="13.5" customHeight="1">
      <c r="A32" s="1506"/>
      <c r="B32" s="1814"/>
      <c r="C32" s="1547" t="s">
        <v>2264</v>
      </c>
      <c r="D32" s="1547"/>
      <c r="E32" s="1522"/>
      <c r="F32" s="1523"/>
      <c r="G32" s="1832"/>
      <c r="H32" s="1524"/>
    </row>
    <row r="33" spans="1:8" ht="13.5" customHeight="1">
      <c r="A33" s="1833"/>
      <c r="B33" s="1795"/>
      <c r="C33" s="1807" t="s">
        <v>3013</v>
      </c>
      <c r="D33" s="1795"/>
      <c r="E33" s="1839"/>
      <c r="F33" s="1840"/>
      <c r="G33" s="1829"/>
      <c r="H33" s="1829"/>
    </row>
    <row r="34" spans="1:8" ht="13.5" customHeight="1">
      <c r="A34" s="1548"/>
      <c r="B34" s="1514" t="s">
        <v>2870</v>
      </c>
      <c r="C34" s="1514"/>
      <c r="D34" s="1514"/>
      <c r="E34" s="1549"/>
      <c r="F34" s="1516"/>
      <c r="G34" s="1822"/>
      <c r="H34" s="1550"/>
    </row>
    <row r="35" spans="1:8" ht="13.5" customHeight="1">
      <c r="A35" s="1551"/>
      <c r="B35" s="1814"/>
      <c r="C35" s="1841" t="s">
        <v>3014</v>
      </c>
      <c r="D35" s="1841"/>
      <c r="E35" s="1842"/>
      <c r="F35" s="1826"/>
      <c r="G35" s="1843"/>
      <c r="H35" s="1844"/>
    </row>
    <row r="36" spans="1:8" ht="13.5" customHeight="1">
      <c r="A36" s="1504"/>
      <c r="B36" s="1505"/>
      <c r="C36" s="1505"/>
      <c r="D36" s="1505"/>
      <c r="E36" s="1552"/>
      <c r="F36" s="1552" t="s">
        <v>2165</v>
      </c>
      <c r="G36" s="1553" t="s">
        <v>2385</v>
      </c>
      <c r="H36" s="1553" t="s">
        <v>2384</v>
      </c>
    </row>
    <row r="37" spans="1:8" ht="13.5" customHeight="1">
      <c r="A37" s="1554" t="s">
        <v>3015</v>
      </c>
      <c r="B37" s="1845"/>
      <c r="C37" s="1555"/>
      <c r="D37" s="1555"/>
      <c r="E37" s="1556"/>
      <c r="F37" s="1557"/>
      <c r="G37" s="1558"/>
      <c r="H37" s="1558"/>
    </row>
    <row r="38" spans="1:8" ht="13.5" customHeight="1">
      <c r="A38" s="1580"/>
      <c r="B38" s="1783" t="s">
        <v>157</v>
      </c>
      <c r="C38" s="1518" t="s">
        <v>2187</v>
      </c>
      <c r="D38" s="1518"/>
      <c r="E38" s="1542"/>
      <c r="F38" s="1520"/>
      <c r="G38" s="1830"/>
      <c r="H38" s="1830"/>
    </row>
    <row r="39" spans="1:8" ht="13.5" customHeight="1">
      <c r="A39" s="1580"/>
      <c r="B39" s="1784"/>
      <c r="C39" s="1559" t="s">
        <v>2188</v>
      </c>
      <c r="D39" s="1559"/>
      <c r="E39" s="1522"/>
      <c r="F39" s="1523"/>
      <c r="G39" s="1832"/>
      <c r="H39" s="1832"/>
    </row>
    <row r="40" spans="1:8" ht="13.5" customHeight="1">
      <c r="A40" s="1580"/>
      <c r="B40" s="1784"/>
      <c r="C40" s="1560" t="s">
        <v>2277</v>
      </c>
      <c r="D40" s="1559"/>
      <c r="E40" s="1522"/>
      <c r="F40" s="1523"/>
      <c r="G40" s="1823"/>
      <c r="H40" s="1823"/>
    </row>
    <row r="41" spans="1:8" ht="13.5" customHeight="1">
      <c r="A41" s="1580"/>
      <c r="B41" s="1785"/>
      <c r="C41" s="1560" t="s">
        <v>3016</v>
      </c>
      <c r="D41" s="1559"/>
      <c r="E41" s="1522"/>
      <c r="F41" s="1523"/>
      <c r="G41" s="1823"/>
      <c r="H41" s="1823"/>
    </row>
    <row r="42" spans="1:8" ht="13.5" customHeight="1">
      <c r="A42" s="1580"/>
      <c r="B42" s="1786" t="s">
        <v>3125</v>
      </c>
      <c r="C42" s="1526" t="s">
        <v>2279</v>
      </c>
      <c r="D42" s="1559"/>
      <c r="E42" s="1522"/>
      <c r="F42" s="1523"/>
      <c r="G42" s="1823"/>
      <c r="H42" s="1823"/>
    </row>
    <row r="43" spans="1:8" ht="13.5" customHeight="1">
      <c r="A43" s="1580"/>
      <c r="B43" s="1784"/>
      <c r="C43" s="1526" t="s">
        <v>3017</v>
      </c>
      <c r="D43" s="1559"/>
      <c r="E43" s="1522"/>
      <c r="F43" s="1523"/>
      <c r="G43" s="1823"/>
      <c r="H43" s="1823"/>
    </row>
    <row r="44" spans="1:8" ht="13.5" customHeight="1">
      <c r="A44" s="1580"/>
      <c r="B44" s="1784"/>
      <c r="C44" s="1559" t="s">
        <v>2194</v>
      </c>
      <c r="D44" s="1559"/>
      <c r="E44" s="1522"/>
      <c r="F44" s="1523"/>
      <c r="G44" s="1823"/>
      <c r="H44" s="1823"/>
    </row>
    <row r="45" spans="1:8" ht="13.5" customHeight="1">
      <c r="A45" s="1580"/>
      <c r="B45" s="1784"/>
      <c r="C45" s="1559" t="s">
        <v>2286</v>
      </c>
      <c r="D45" s="1559"/>
      <c r="E45" s="1522"/>
      <c r="F45" s="1523"/>
      <c r="G45" s="1832"/>
      <c r="H45" s="1832"/>
    </row>
    <row r="46" spans="1:8" ht="13.5" customHeight="1">
      <c r="A46" s="1580"/>
      <c r="B46" s="1784"/>
      <c r="C46" s="1559" t="s">
        <v>2196</v>
      </c>
      <c r="D46" s="1559"/>
      <c r="E46" s="1522"/>
      <c r="F46" s="1523"/>
      <c r="G46" s="1832"/>
      <c r="H46" s="1832"/>
    </row>
    <row r="47" spans="1:8" ht="13.5" customHeight="1">
      <c r="A47" s="1580"/>
      <c r="B47" s="1784"/>
      <c r="C47" s="1559" t="s">
        <v>2197</v>
      </c>
      <c r="D47" s="1559"/>
      <c r="E47" s="1522"/>
      <c r="F47" s="1523"/>
      <c r="G47" s="1823"/>
      <c r="H47" s="1823"/>
    </row>
    <row r="48" spans="1:8" ht="13.5" customHeight="1">
      <c r="A48" s="1580"/>
      <c r="B48" s="1784"/>
      <c r="C48" s="1561" t="s">
        <v>2287</v>
      </c>
      <c r="D48" s="1559"/>
      <c r="E48" s="1522"/>
      <c r="F48" s="1523"/>
      <c r="G48" s="1562"/>
      <c r="H48" s="1562"/>
    </row>
    <row r="49" spans="1:8" ht="13.5" customHeight="1">
      <c r="A49" s="1580"/>
      <c r="B49" s="1784"/>
      <c r="C49" s="1563" t="s">
        <v>2288</v>
      </c>
      <c r="D49" s="1559"/>
      <c r="E49" s="1522"/>
      <c r="F49" s="1523"/>
      <c r="G49" s="1562"/>
      <c r="H49" s="1562"/>
    </row>
    <row r="50" spans="1:8" ht="13.5" customHeight="1">
      <c r="A50" s="1580"/>
      <c r="B50" s="1785"/>
      <c r="C50" s="1559" t="s">
        <v>2200</v>
      </c>
      <c r="D50" s="1559"/>
      <c r="E50" s="1522"/>
      <c r="F50" s="1523"/>
      <c r="G50" s="1823"/>
      <c r="H50" s="1823"/>
    </row>
    <row r="51" spans="1:8" ht="13.5" customHeight="1">
      <c r="A51" s="1580"/>
      <c r="B51" s="1786" t="s">
        <v>3126</v>
      </c>
      <c r="C51" s="1560" t="s">
        <v>3018</v>
      </c>
      <c r="D51" s="1559"/>
      <c r="E51" s="1522"/>
      <c r="F51" s="1523"/>
      <c r="G51" s="1823"/>
      <c r="H51" s="1823"/>
    </row>
    <row r="52" spans="1:8" ht="13.5" customHeight="1">
      <c r="A52" s="1580"/>
      <c r="B52" s="1784"/>
      <c r="C52" s="1560" t="s">
        <v>3019</v>
      </c>
      <c r="D52" s="1559"/>
      <c r="E52" s="1522"/>
      <c r="F52" s="1523"/>
      <c r="G52" s="1832"/>
      <c r="H52" s="1832"/>
    </row>
    <row r="53" spans="1:8" ht="13.5" customHeight="1">
      <c r="A53" s="1580"/>
      <c r="B53" s="1784"/>
      <c r="C53" s="1834" t="s">
        <v>3020</v>
      </c>
      <c r="D53" s="1846"/>
      <c r="E53" s="1522"/>
      <c r="F53" s="1523"/>
      <c r="G53" s="1832"/>
      <c r="H53" s="1832"/>
    </row>
    <row r="54" spans="1:8" ht="13.5" customHeight="1">
      <c r="A54" s="1580"/>
      <c r="B54" s="1784"/>
      <c r="C54" s="1834" t="s">
        <v>3021</v>
      </c>
      <c r="D54" s="1846"/>
      <c r="E54" s="1522"/>
      <c r="F54" s="1523"/>
      <c r="G54" s="1823"/>
      <c r="H54" s="1823"/>
    </row>
    <row r="55" spans="1:8" ht="13.5" customHeight="1">
      <c r="A55" s="1580"/>
      <c r="B55" s="1784"/>
      <c r="C55" s="1686" t="s">
        <v>3022</v>
      </c>
      <c r="D55" s="1686"/>
      <c r="E55" s="1564"/>
      <c r="F55" s="1523"/>
      <c r="G55" s="1847"/>
      <c r="H55" s="1847"/>
    </row>
    <row r="56" spans="1:8" ht="13.5" customHeight="1">
      <c r="A56" s="1580"/>
      <c r="B56" s="1784"/>
      <c r="C56" s="1686" t="s">
        <v>3023</v>
      </c>
      <c r="D56" s="1686"/>
      <c r="E56" s="1564"/>
      <c r="F56" s="1523"/>
      <c r="G56" s="1847"/>
      <c r="H56" s="1847"/>
    </row>
    <row r="57" spans="1:8" ht="13.5" customHeight="1">
      <c r="A57" s="1581"/>
      <c r="B57" s="1787"/>
      <c r="C57" s="1565" t="s">
        <v>3024</v>
      </c>
      <c r="D57" s="1565"/>
      <c r="E57" s="1538"/>
      <c r="F57" s="1539"/>
      <c r="G57" s="1848"/>
      <c r="H57" s="1848"/>
    </row>
    <row r="58" spans="1:8" s="1237" customFormat="1" ht="14.25" customHeight="1">
      <c r="A58" s="1795"/>
      <c r="B58" s="1795"/>
      <c r="C58" s="1806" t="s">
        <v>3025</v>
      </c>
      <c r="D58" s="1806"/>
      <c r="E58" s="1796"/>
      <c r="F58" s="1796"/>
      <c r="G58" s="1849"/>
      <c r="H58" s="1849"/>
    </row>
    <row r="59" spans="1:8" s="1237" customFormat="1" ht="14.25" customHeight="1">
      <c r="A59" s="1795"/>
      <c r="B59" s="1795"/>
      <c r="C59" s="1800" t="s">
        <v>3026</v>
      </c>
      <c r="D59" s="1800"/>
      <c r="E59" s="1796"/>
      <c r="F59" s="1796"/>
      <c r="G59" s="1849"/>
      <c r="H59" s="1849"/>
    </row>
    <row r="60" spans="1:8" s="1237" customFormat="1" ht="14.25" customHeight="1">
      <c r="A60" s="1850"/>
      <c r="B60" s="1851"/>
      <c r="C60" s="1851"/>
      <c r="D60" s="2007" t="s">
        <v>2272</v>
      </c>
      <c r="E60" s="2007" t="s">
        <v>2305</v>
      </c>
      <c r="F60" s="1852" t="s">
        <v>2165</v>
      </c>
      <c r="G60" s="1853" t="s">
        <v>2385</v>
      </c>
      <c r="H60" s="1853" t="s">
        <v>2384</v>
      </c>
    </row>
    <row r="61" spans="1:8" s="1237" customFormat="1" ht="14.25" customHeight="1">
      <c r="A61" s="2008" t="s">
        <v>3027</v>
      </c>
      <c r="B61" s="2009"/>
      <c r="C61" s="2010"/>
      <c r="D61" s="2011"/>
      <c r="E61" s="2011"/>
      <c r="F61" s="1854"/>
      <c r="G61" s="1855"/>
      <c r="H61" s="1855"/>
    </row>
    <row r="62" spans="1:8" s="1237" customFormat="1" ht="14.25" customHeight="1">
      <c r="A62" s="2012"/>
      <c r="B62" s="1856" t="s">
        <v>3028</v>
      </c>
      <c r="C62" s="1857"/>
      <c r="D62" s="1857"/>
      <c r="E62" s="1858"/>
      <c r="F62" s="1859"/>
      <c r="G62" s="1860"/>
      <c r="H62" s="1860"/>
    </row>
    <row r="63" spans="1:8" s="1237" customFormat="1" ht="14.25" customHeight="1">
      <c r="A63" s="2013"/>
      <c r="B63" s="1786" t="s">
        <v>157</v>
      </c>
      <c r="C63" s="1861" t="s">
        <v>2187</v>
      </c>
      <c r="D63" s="1862">
        <v>1</v>
      </c>
      <c r="E63" s="1863" t="s">
        <v>2747</v>
      </c>
      <c r="F63" s="1836"/>
      <c r="G63" s="1832"/>
      <c r="H63" s="1832"/>
    </row>
    <row r="64" spans="1:8" s="1237" customFormat="1" ht="14.25" customHeight="1">
      <c r="A64" s="2013"/>
      <c r="B64" s="1784"/>
      <c r="C64" s="1861" t="s">
        <v>2188</v>
      </c>
      <c r="D64" s="1862">
        <v>1</v>
      </c>
      <c r="E64" s="1863" t="s">
        <v>2747</v>
      </c>
      <c r="F64" s="1836"/>
      <c r="G64" s="1832"/>
      <c r="H64" s="1832"/>
    </row>
    <row r="65" spans="1:8" s="1237" customFormat="1" ht="14.25" customHeight="1">
      <c r="A65" s="2013"/>
      <c r="B65" s="1784"/>
      <c r="C65" s="1861" t="s">
        <v>2277</v>
      </c>
      <c r="D65" s="1862">
        <v>0.9</v>
      </c>
      <c r="E65" s="1863" t="s">
        <v>2747</v>
      </c>
      <c r="F65" s="1836"/>
      <c r="G65" s="1832"/>
      <c r="H65" s="1832"/>
    </row>
    <row r="66" spans="1:8" s="1237" customFormat="1" ht="14.25" customHeight="1">
      <c r="A66" s="2013"/>
      <c r="B66" s="1785"/>
      <c r="C66" s="1861" t="s">
        <v>2278</v>
      </c>
      <c r="D66" s="1862">
        <v>0.9</v>
      </c>
      <c r="E66" s="1863" t="s">
        <v>2747</v>
      </c>
      <c r="F66" s="1836"/>
      <c r="G66" s="1832"/>
      <c r="H66" s="1832"/>
    </row>
    <row r="67" spans="1:8" s="1237" customFormat="1" ht="14.25" customHeight="1">
      <c r="A67" s="2013"/>
      <c r="B67" s="1786" t="s">
        <v>3125</v>
      </c>
      <c r="C67" s="1566" t="s">
        <v>2279</v>
      </c>
      <c r="D67" s="1862">
        <v>1</v>
      </c>
      <c r="E67" s="1864">
        <v>0.01</v>
      </c>
      <c r="F67" s="1836"/>
      <c r="G67" s="1832"/>
      <c r="H67" s="1832"/>
    </row>
    <row r="68" spans="1:8" s="1237" customFormat="1" ht="14.25" customHeight="1">
      <c r="A68" s="2013"/>
      <c r="B68" s="1784"/>
      <c r="C68" s="1566" t="s">
        <v>2285</v>
      </c>
      <c r="D68" s="1862">
        <v>1</v>
      </c>
      <c r="E68" s="1864">
        <v>0.01</v>
      </c>
      <c r="F68" s="1836"/>
      <c r="G68" s="1832"/>
      <c r="H68" s="1832"/>
    </row>
    <row r="69" spans="1:8" s="1237" customFormat="1" ht="14.25" customHeight="1">
      <c r="A69" s="2013"/>
      <c r="B69" s="1784"/>
      <c r="C69" s="1566" t="s">
        <v>2194</v>
      </c>
      <c r="D69" s="1862">
        <v>1</v>
      </c>
      <c r="E69" s="1864">
        <v>0.01</v>
      </c>
      <c r="F69" s="1836"/>
      <c r="G69" s="1832"/>
      <c r="H69" s="1832"/>
    </row>
    <row r="70" spans="1:8" s="1237" customFormat="1" ht="14.25" customHeight="1">
      <c r="A70" s="2013"/>
      <c r="B70" s="1784"/>
      <c r="C70" s="1566" t="s">
        <v>2286</v>
      </c>
      <c r="D70" s="1862"/>
      <c r="E70" s="1864"/>
      <c r="F70" s="1836"/>
      <c r="G70" s="1832"/>
      <c r="H70" s="1832"/>
    </row>
    <row r="71" spans="1:8" s="1237" customFormat="1" ht="14.25" customHeight="1">
      <c r="A71" s="2013"/>
      <c r="B71" s="1784"/>
      <c r="C71" s="1566" t="s">
        <v>2196</v>
      </c>
      <c r="D71" s="1862"/>
      <c r="E71" s="1864"/>
      <c r="F71" s="1836"/>
      <c r="G71" s="1832"/>
      <c r="H71" s="1832"/>
    </row>
    <row r="72" spans="1:8" s="1237" customFormat="1" ht="14.25" customHeight="1">
      <c r="A72" s="2013"/>
      <c r="B72" s="1784"/>
      <c r="C72" s="1566" t="s">
        <v>2197</v>
      </c>
      <c r="D72" s="1862">
        <v>1</v>
      </c>
      <c r="E72" s="1864">
        <v>0.01</v>
      </c>
      <c r="F72" s="1836"/>
      <c r="G72" s="1832"/>
      <c r="H72" s="1832"/>
    </row>
    <row r="73" spans="1:8" s="1237" customFormat="1" ht="14.25" customHeight="1">
      <c r="A73" s="2013"/>
      <c r="B73" s="1784"/>
      <c r="C73" s="1567" t="s">
        <v>2287</v>
      </c>
      <c r="D73" s="1862">
        <v>1</v>
      </c>
      <c r="E73" s="1864">
        <v>0.01</v>
      </c>
      <c r="F73" s="1836"/>
      <c r="G73" s="1832"/>
      <c r="H73" s="1832"/>
    </row>
    <row r="74" spans="1:8" s="1237" customFormat="1" ht="14.25" customHeight="1">
      <c r="A74" s="2013"/>
      <c r="B74" s="1784"/>
      <c r="C74" s="1567" t="s">
        <v>2288</v>
      </c>
      <c r="D74" s="1862">
        <v>1</v>
      </c>
      <c r="E74" s="1864">
        <v>0.01</v>
      </c>
      <c r="F74" s="1836"/>
      <c r="G74" s="1832"/>
      <c r="H74" s="1832"/>
    </row>
    <row r="75" spans="1:8" s="1237" customFormat="1" ht="14.25" customHeight="1">
      <c r="A75" s="2013"/>
      <c r="B75" s="1785"/>
      <c r="C75" s="1566" t="s">
        <v>2200</v>
      </c>
      <c r="D75" s="1862">
        <v>1</v>
      </c>
      <c r="E75" s="1864">
        <v>0.01</v>
      </c>
      <c r="F75" s="1836"/>
      <c r="G75" s="1832"/>
      <c r="H75" s="1832"/>
    </row>
    <row r="76" spans="1:8" s="1237" customFormat="1" ht="14.25" customHeight="1">
      <c r="A76" s="2014"/>
      <c r="B76" s="1568" t="s">
        <v>2281</v>
      </c>
      <c r="C76" s="1865" t="s">
        <v>3029</v>
      </c>
      <c r="D76" s="1866">
        <v>1</v>
      </c>
      <c r="E76" s="1867">
        <v>0</v>
      </c>
      <c r="F76" s="1183"/>
      <c r="G76" s="1828"/>
      <c r="H76" s="1828"/>
    </row>
    <row r="77" spans="1:8" s="1237" customFormat="1" ht="14.25" customHeight="1">
      <c r="A77" s="1868"/>
      <c r="B77" s="1569"/>
      <c r="C77" s="1570"/>
      <c r="D77" s="2015"/>
      <c r="E77" s="2015"/>
      <c r="F77" s="1859"/>
      <c r="G77" s="1860"/>
      <c r="H77" s="1860"/>
    </row>
    <row r="78" spans="1:8" s="1237" customFormat="1" ht="14.25" customHeight="1">
      <c r="A78" s="2008" t="s">
        <v>3030</v>
      </c>
      <c r="B78" s="2009"/>
      <c r="C78" s="2010"/>
      <c r="D78" s="2016"/>
      <c r="E78" s="2016"/>
      <c r="F78" s="1854"/>
      <c r="G78" s="1855"/>
      <c r="H78" s="1855"/>
    </row>
    <row r="79" spans="1:8" s="1237" customFormat="1" ht="14.25" customHeight="1">
      <c r="A79" s="2012"/>
      <c r="B79" s="1783" t="s">
        <v>157</v>
      </c>
      <c r="C79" s="1869" t="s">
        <v>2187</v>
      </c>
      <c r="D79" s="1870"/>
      <c r="E79" s="1871" t="s">
        <v>2747</v>
      </c>
      <c r="F79" s="1872" t="s">
        <v>2871</v>
      </c>
      <c r="G79" s="1873">
        <v>0</v>
      </c>
      <c r="H79" s="1873">
        <v>0</v>
      </c>
    </row>
    <row r="80" spans="1:8" s="1237" customFormat="1" ht="14.25" customHeight="1">
      <c r="A80" s="2013"/>
      <c r="B80" s="1784"/>
      <c r="C80" s="1874"/>
      <c r="D80" s="1875">
        <v>1</v>
      </c>
      <c r="E80" s="1876" t="s">
        <v>2747</v>
      </c>
      <c r="F80" s="1836">
        <v>0</v>
      </c>
      <c r="G80" s="1831">
        <v>0</v>
      </c>
      <c r="H80" s="1831">
        <v>0</v>
      </c>
    </row>
    <row r="81" spans="1:8" s="1237" customFormat="1" ht="14.25" customHeight="1">
      <c r="A81" s="2013"/>
      <c r="B81" s="1784"/>
      <c r="C81" s="1877" t="s">
        <v>2188</v>
      </c>
      <c r="D81" s="1878"/>
      <c r="E81" s="1876" t="s">
        <v>2747</v>
      </c>
      <c r="F81" s="1879" t="s">
        <v>2871</v>
      </c>
      <c r="G81" s="1880">
        <v>4.2500000000000003E-2</v>
      </c>
      <c r="H81" s="1880">
        <v>0</v>
      </c>
    </row>
    <row r="82" spans="1:8" s="1237" customFormat="1" ht="14.25" customHeight="1">
      <c r="A82" s="2013"/>
      <c r="B82" s="1784"/>
      <c r="C82" s="1874"/>
      <c r="D82" s="1881">
        <v>1</v>
      </c>
      <c r="E82" s="1876" t="s">
        <v>2747</v>
      </c>
      <c r="F82" s="1836"/>
      <c r="G82" s="1831"/>
      <c r="H82" s="1831"/>
    </row>
    <row r="83" spans="1:8" s="1237" customFormat="1" ht="14.25" customHeight="1">
      <c r="A83" s="2013"/>
      <c r="B83" s="1784"/>
      <c r="C83" s="1861" t="s">
        <v>2210</v>
      </c>
      <c r="D83" s="1882">
        <v>0.9</v>
      </c>
      <c r="E83" s="1876" t="s">
        <v>2747</v>
      </c>
      <c r="F83" s="1836"/>
      <c r="G83" s="1831"/>
      <c r="H83" s="1831"/>
    </row>
    <row r="84" spans="1:8" s="1237" customFormat="1" ht="14.25" customHeight="1">
      <c r="A84" s="2013"/>
      <c r="B84" s="1785"/>
      <c r="C84" s="1861" t="s">
        <v>2211</v>
      </c>
      <c r="D84" s="1882">
        <v>0.9</v>
      </c>
      <c r="E84" s="1876" t="s">
        <v>2747</v>
      </c>
      <c r="F84" s="1836"/>
      <c r="G84" s="1831"/>
      <c r="H84" s="1831"/>
    </row>
    <row r="85" spans="1:8" s="1237" customFormat="1" ht="14.25" customHeight="1">
      <c r="A85" s="2013"/>
      <c r="B85" s="1786" t="s">
        <v>3125</v>
      </c>
      <c r="C85" s="1566" t="s">
        <v>2279</v>
      </c>
      <c r="D85" s="1882">
        <v>1</v>
      </c>
      <c r="E85" s="1864">
        <v>0.01</v>
      </c>
      <c r="F85" s="1836"/>
      <c r="G85" s="1831"/>
      <c r="H85" s="1831"/>
    </row>
    <row r="86" spans="1:8" s="1237" customFormat="1" ht="14.25" customHeight="1">
      <c r="A86" s="2013"/>
      <c r="B86" s="1784"/>
      <c r="C86" s="1566" t="s">
        <v>2285</v>
      </c>
      <c r="D86" s="1882">
        <v>1</v>
      </c>
      <c r="E86" s="1864">
        <v>0.01</v>
      </c>
      <c r="F86" s="1836"/>
      <c r="G86" s="1831"/>
      <c r="H86" s="1831"/>
    </row>
    <row r="87" spans="1:8" s="1237" customFormat="1" ht="14.25" customHeight="1">
      <c r="A87" s="2013"/>
      <c r="B87" s="1784"/>
      <c r="C87" s="1566" t="s">
        <v>2194</v>
      </c>
      <c r="D87" s="1882">
        <v>1</v>
      </c>
      <c r="E87" s="1864">
        <v>0.01</v>
      </c>
      <c r="F87" s="1836"/>
      <c r="G87" s="1831"/>
      <c r="H87" s="1831"/>
    </row>
    <row r="88" spans="1:8" s="1237" customFormat="1" ht="14.25" customHeight="1">
      <c r="A88" s="2013"/>
      <c r="B88" s="1784"/>
      <c r="C88" s="1566" t="s">
        <v>2286</v>
      </c>
      <c r="D88" s="1882"/>
      <c r="E88" s="1864"/>
      <c r="F88" s="1836"/>
      <c r="G88" s="1831"/>
      <c r="H88" s="1831"/>
    </row>
    <row r="89" spans="1:8" s="1237" customFormat="1" ht="14.25" customHeight="1">
      <c r="A89" s="2013"/>
      <c r="B89" s="1784"/>
      <c r="C89" s="1571" t="s">
        <v>2196</v>
      </c>
      <c r="D89" s="1882"/>
      <c r="E89" s="1864"/>
      <c r="F89" s="1836"/>
      <c r="G89" s="1831"/>
      <c r="H89" s="1831"/>
    </row>
    <row r="90" spans="1:8" s="1237" customFormat="1" ht="14.25" customHeight="1">
      <c r="A90" s="2013"/>
      <c r="B90" s="1784"/>
      <c r="C90" s="1566" t="s">
        <v>2197</v>
      </c>
      <c r="D90" s="1882">
        <v>1</v>
      </c>
      <c r="E90" s="1864">
        <v>0.01</v>
      </c>
      <c r="F90" s="1836"/>
      <c r="G90" s="1831"/>
      <c r="H90" s="1831"/>
    </row>
    <row r="91" spans="1:8" s="1237" customFormat="1" ht="14.25" customHeight="1">
      <c r="A91" s="2013"/>
      <c r="B91" s="1784"/>
      <c r="C91" s="1567" t="s">
        <v>2287</v>
      </c>
      <c r="D91" s="1882">
        <v>1</v>
      </c>
      <c r="E91" s="1864">
        <v>0.01</v>
      </c>
      <c r="F91" s="1836"/>
      <c r="G91" s="1831"/>
      <c r="H91" s="1831"/>
    </row>
    <row r="92" spans="1:8" s="1237" customFormat="1" ht="14.25" customHeight="1">
      <c r="A92" s="2013"/>
      <c r="B92" s="1784"/>
      <c r="C92" s="1567" t="s">
        <v>2288</v>
      </c>
      <c r="D92" s="1882">
        <v>1</v>
      </c>
      <c r="E92" s="1864">
        <v>0.01</v>
      </c>
      <c r="F92" s="1836"/>
      <c r="G92" s="1831"/>
      <c r="H92" s="1831"/>
    </row>
    <row r="93" spans="1:8" s="1237" customFormat="1" ht="14.25" customHeight="1">
      <c r="A93" s="2013"/>
      <c r="B93" s="1785"/>
      <c r="C93" s="1566" t="s">
        <v>2200</v>
      </c>
      <c r="D93" s="1882">
        <v>1</v>
      </c>
      <c r="E93" s="1864">
        <v>0.01</v>
      </c>
      <c r="F93" s="1836"/>
      <c r="G93" s="1831"/>
      <c r="H93" s="1831"/>
    </row>
    <row r="94" spans="1:8" s="1237" customFormat="1" ht="14.25" customHeight="1" thickBot="1">
      <c r="A94" s="2017"/>
      <c r="B94" s="1572" t="s">
        <v>2281</v>
      </c>
      <c r="C94" s="1573" t="s">
        <v>2289</v>
      </c>
      <c r="D94" s="1883">
        <v>1</v>
      </c>
      <c r="E94" s="1884">
        <v>0</v>
      </c>
      <c r="F94" s="1885"/>
      <c r="G94" s="1831"/>
      <c r="H94" s="1831"/>
    </row>
    <row r="95" spans="1:8" s="1237" customFormat="1" ht="14.25" customHeight="1" thickTop="1">
      <c r="A95" s="1886"/>
      <c r="B95" s="1887"/>
      <c r="C95" s="1888" t="s">
        <v>3031</v>
      </c>
      <c r="D95" s="1889"/>
      <c r="E95" s="1890"/>
      <c r="F95" s="1891"/>
      <c r="G95" s="1892"/>
      <c r="H95" s="1892"/>
    </row>
    <row r="96" spans="1:8" ht="14.25" customHeight="1">
      <c r="A96" s="1795"/>
      <c r="B96" s="1795"/>
      <c r="C96" s="1807"/>
      <c r="D96" s="1807"/>
      <c r="E96" s="1795"/>
      <c r="F96" s="1838"/>
      <c r="G96" s="1893"/>
      <c r="H96" s="1893"/>
    </row>
    <row r="97" spans="1:8" ht="14.25" customHeight="1">
      <c r="A97" s="1795"/>
      <c r="B97" s="1795"/>
      <c r="C97" s="1806" t="s">
        <v>3032</v>
      </c>
      <c r="D97" s="1806"/>
      <c r="E97" s="1796"/>
      <c r="F97" s="1796"/>
      <c r="G97" s="1849"/>
      <c r="H97" s="1849"/>
    </row>
    <row r="98" spans="1:8" ht="14.25" customHeight="1">
      <c r="A98" s="1795"/>
      <c r="B98" s="1795"/>
      <c r="C98" s="1800" t="s">
        <v>2872</v>
      </c>
      <c r="D98" s="1800"/>
      <c r="E98" s="1796"/>
      <c r="F98" s="1796"/>
      <c r="G98" s="1849"/>
      <c r="H98" s="1849"/>
    </row>
    <row r="99" spans="1:8" ht="14.25" customHeight="1">
      <c r="A99" s="1850"/>
      <c r="B99" s="1851"/>
      <c r="C99" s="1851"/>
      <c r="D99" s="2007" t="s">
        <v>2272</v>
      </c>
      <c r="E99" s="2007" t="s">
        <v>2305</v>
      </c>
      <c r="F99" s="1852" t="s">
        <v>2165</v>
      </c>
      <c r="G99" s="1853" t="s">
        <v>2385</v>
      </c>
      <c r="H99" s="1853" t="s">
        <v>2384</v>
      </c>
    </row>
    <row r="100" spans="1:8" ht="14.25" customHeight="1">
      <c r="A100" s="2008" t="s">
        <v>2294</v>
      </c>
      <c r="B100" s="2009"/>
      <c r="C100" s="2010"/>
      <c r="D100" s="2011"/>
      <c r="E100" s="2011"/>
      <c r="F100" s="1854"/>
      <c r="G100" s="1855"/>
      <c r="H100" s="1855"/>
    </row>
    <row r="101" spans="1:8" ht="14.25" customHeight="1">
      <c r="A101" s="2012"/>
      <c r="B101" s="1856" t="s">
        <v>3033</v>
      </c>
      <c r="C101" s="1894"/>
      <c r="D101" s="1853"/>
      <c r="E101" s="1895"/>
      <c r="F101" s="1859"/>
      <c r="G101" s="1860"/>
      <c r="H101" s="1860"/>
    </row>
    <row r="102" spans="1:8" ht="14.25" customHeight="1">
      <c r="A102" s="2013"/>
      <c r="B102" s="1786" t="s">
        <v>157</v>
      </c>
      <c r="C102" s="1861" t="s">
        <v>2187</v>
      </c>
      <c r="D102" s="1862">
        <v>1</v>
      </c>
      <c r="E102" s="1863" t="s">
        <v>2747</v>
      </c>
      <c r="F102" s="1836"/>
      <c r="G102" s="1832"/>
      <c r="H102" s="1832"/>
    </row>
    <row r="103" spans="1:8" ht="14.25" customHeight="1">
      <c r="A103" s="2013"/>
      <c r="B103" s="1784"/>
      <c r="C103" s="1574" t="s">
        <v>2188</v>
      </c>
      <c r="D103" s="1575">
        <v>1</v>
      </c>
      <c r="E103" s="1576" t="s">
        <v>2747</v>
      </c>
      <c r="F103" s="1836"/>
      <c r="G103" s="1832"/>
      <c r="H103" s="1832"/>
    </row>
    <row r="104" spans="1:8" ht="14.25" customHeight="1">
      <c r="A104" s="2013"/>
      <c r="B104" s="1784"/>
      <c r="C104" s="1861" t="s">
        <v>2277</v>
      </c>
      <c r="D104" s="1862">
        <v>1</v>
      </c>
      <c r="E104" s="1863" t="s">
        <v>2747</v>
      </c>
      <c r="F104" s="1836"/>
      <c r="G104" s="1832"/>
      <c r="H104" s="1832"/>
    </row>
    <row r="105" spans="1:8" ht="14.25" customHeight="1">
      <c r="A105" s="2013"/>
      <c r="B105" s="1785"/>
      <c r="C105" s="1861" t="s">
        <v>2278</v>
      </c>
      <c r="D105" s="1862">
        <v>1</v>
      </c>
      <c r="E105" s="1863" t="s">
        <v>2747</v>
      </c>
      <c r="F105" s="1836"/>
      <c r="G105" s="1529"/>
      <c r="H105" s="1529"/>
    </row>
    <row r="106" spans="1:8" ht="14.25" customHeight="1">
      <c r="A106" s="2013"/>
      <c r="B106" s="1786" t="s">
        <v>3125</v>
      </c>
      <c r="C106" s="1566" t="s">
        <v>2279</v>
      </c>
      <c r="D106" s="1862">
        <v>1</v>
      </c>
      <c r="E106" s="1864">
        <v>0.02</v>
      </c>
      <c r="F106" s="1836"/>
      <c r="G106" s="1529"/>
      <c r="H106" s="1529"/>
    </row>
    <row r="107" spans="1:8" ht="14.25" customHeight="1">
      <c r="A107" s="2013"/>
      <c r="B107" s="1784"/>
      <c r="C107" s="1566" t="s">
        <v>2285</v>
      </c>
      <c r="D107" s="1862">
        <v>1</v>
      </c>
      <c r="E107" s="1864">
        <v>0.02</v>
      </c>
      <c r="F107" s="1836"/>
      <c r="G107" s="1529"/>
      <c r="H107" s="1529"/>
    </row>
    <row r="108" spans="1:8" ht="14.25" customHeight="1">
      <c r="A108" s="2013"/>
      <c r="B108" s="1784"/>
      <c r="C108" s="1566" t="s">
        <v>2194</v>
      </c>
      <c r="D108" s="1862">
        <v>1</v>
      </c>
      <c r="E108" s="1864">
        <v>0.02</v>
      </c>
      <c r="F108" s="1836"/>
      <c r="G108" s="1529"/>
      <c r="H108" s="1529"/>
    </row>
    <row r="109" spans="1:8" ht="14.25" customHeight="1">
      <c r="A109" s="2013"/>
      <c r="B109" s="1784"/>
      <c r="C109" s="1566" t="s">
        <v>2286</v>
      </c>
      <c r="D109" s="1862"/>
      <c r="E109" s="1864"/>
      <c r="F109" s="1836"/>
      <c r="G109" s="1529"/>
      <c r="H109" s="1529"/>
    </row>
    <row r="110" spans="1:8" ht="14.25" customHeight="1">
      <c r="A110" s="2013"/>
      <c r="B110" s="1784"/>
      <c r="C110" s="1566" t="s">
        <v>2196</v>
      </c>
      <c r="D110" s="1862"/>
      <c r="E110" s="1864"/>
      <c r="F110" s="1836"/>
      <c r="G110" s="1529"/>
      <c r="H110" s="1529"/>
    </row>
    <row r="111" spans="1:8" ht="14.25" customHeight="1">
      <c r="A111" s="2013"/>
      <c r="B111" s="1784"/>
      <c r="C111" s="1566" t="s">
        <v>2197</v>
      </c>
      <c r="D111" s="1862">
        <v>1</v>
      </c>
      <c r="E111" s="1864">
        <v>0.02</v>
      </c>
      <c r="F111" s="1836"/>
      <c r="G111" s="1529"/>
      <c r="H111" s="1529"/>
    </row>
    <row r="112" spans="1:8" ht="14.25" customHeight="1">
      <c r="A112" s="2013"/>
      <c r="B112" s="1784"/>
      <c r="C112" s="1567" t="s">
        <v>2287</v>
      </c>
      <c r="D112" s="1862">
        <v>1</v>
      </c>
      <c r="E112" s="1864">
        <v>0.02</v>
      </c>
      <c r="F112" s="1836"/>
      <c r="G112" s="1529"/>
      <c r="H112" s="1529"/>
    </row>
    <row r="113" spans="1:8" ht="14.25" customHeight="1">
      <c r="A113" s="2013"/>
      <c r="B113" s="1784"/>
      <c r="C113" s="1567" t="s">
        <v>2288</v>
      </c>
      <c r="D113" s="1862">
        <v>1</v>
      </c>
      <c r="E113" s="1864">
        <v>0.02</v>
      </c>
      <c r="F113" s="1836"/>
      <c r="G113" s="1529"/>
      <c r="H113" s="1529"/>
    </row>
    <row r="114" spans="1:8" ht="14.25" customHeight="1">
      <c r="A114" s="2013"/>
      <c r="B114" s="1785"/>
      <c r="C114" s="1566" t="s">
        <v>2200</v>
      </c>
      <c r="D114" s="1862">
        <v>1</v>
      </c>
      <c r="E114" s="1864">
        <v>0.02</v>
      </c>
      <c r="F114" s="1836"/>
      <c r="G114" s="1529"/>
      <c r="H114" s="1529"/>
    </row>
    <row r="115" spans="1:8" ht="14.25" customHeight="1">
      <c r="A115" s="2014"/>
      <c r="B115" s="1568" t="s">
        <v>2281</v>
      </c>
      <c r="C115" s="1577" t="s">
        <v>2873</v>
      </c>
      <c r="D115" s="1866">
        <v>1</v>
      </c>
      <c r="E115" s="1867">
        <v>0</v>
      </c>
      <c r="F115" s="1183"/>
      <c r="G115" s="1828"/>
      <c r="H115" s="1828"/>
    </row>
    <row r="116" spans="1:8" ht="14.25" customHeight="1">
      <c r="A116" s="1868"/>
      <c r="B116" s="1569"/>
      <c r="C116" s="1570"/>
      <c r="D116" s="2015"/>
      <c r="E116" s="2015"/>
      <c r="F116" s="1859"/>
      <c r="G116" s="1860"/>
      <c r="H116" s="1860"/>
    </row>
    <row r="117" spans="1:8" ht="14.25" customHeight="1">
      <c r="A117" s="2008" t="s">
        <v>2209</v>
      </c>
      <c r="B117" s="2009"/>
      <c r="C117" s="2010"/>
      <c r="D117" s="2016"/>
      <c r="E117" s="2016"/>
      <c r="F117" s="1854"/>
      <c r="G117" s="1855"/>
      <c r="H117" s="1855"/>
    </row>
    <row r="118" spans="1:8" ht="14.25" customHeight="1">
      <c r="A118" s="2012"/>
      <c r="B118" s="1783" t="s">
        <v>157</v>
      </c>
      <c r="C118" s="1869" t="s">
        <v>2187</v>
      </c>
      <c r="D118" s="1870"/>
      <c r="E118" s="1871" t="s">
        <v>2747</v>
      </c>
      <c r="F118" s="1872" t="s">
        <v>2871</v>
      </c>
      <c r="G118" s="1873">
        <v>0</v>
      </c>
      <c r="H118" s="1873">
        <v>0</v>
      </c>
    </row>
    <row r="119" spans="1:8" ht="14.25" customHeight="1">
      <c r="A119" s="2013"/>
      <c r="B119" s="1784"/>
      <c r="C119" s="1874"/>
      <c r="D119" s="1875">
        <v>1</v>
      </c>
      <c r="E119" s="1876" t="s">
        <v>2747</v>
      </c>
      <c r="F119" s="1836">
        <v>0</v>
      </c>
      <c r="G119" s="1831">
        <v>0</v>
      </c>
      <c r="H119" s="1831">
        <v>0</v>
      </c>
    </row>
    <row r="120" spans="1:8" ht="14.25" customHeight="1">
      <c r="A120" s="2013"/>
      <c r="B120" s="1784"/>
      <c r="C120" s="1877" t="s">
        <v>2188</v>
      </c>
      <c r="D120" s="1878"/>
      <c r="E120" s="1876" t="s">
        <v>2747</v>
      </c>
      <c r="F120" s="1879" t="s">
        <v>2871</v>
      </c>
      <c r="G120" s="788">
        <v>0.26860000000000001</v>
      </c>
      <c r="H120" s="1880">
        <v>0</v>
      </c>
    </row>
    <row r="121" spans="1:8" ht="14.25" customHeight="1">
      <c r="A121" s="2013"/>
      <c r="B121" s="1784"/>
      <c r="C121" s="1874"/>
      <c r="D121" s="1881">
        <v>1</v>
      </c>
      <c r="E121" s="1876" t="s">
        <v>2747</v>
      </c>
      <c r="F121" s="1836"/>
      <c r="G121" s="1831"/>
      <c r="H121" s="1831"/>
    </row>
    <row r="122" spans="1:8" ht="14.25" customHeight="1">
      <c r="A122" s="2013"/>
      <c r="B122" s="1784"/>
      <c r="C122" s="1861" t="s">
        <v>2210</v>
      </c>
      <c r="D122" s="1882">
        <v>1</v>
      </c>
      <c r="E122" s="1876" t="s">
        <v>2747</v>
      </c>
      <c r="F122" s="1836"/>
      <c r="G122" s="1831"/>
      <c r="H122" s="1831"/>
    </row>
    <row r="123" spans="1:8" ht="14.25" customHeight="1">
      <c r="A123" s="2013"/>
      <c r="B123" s="1785"/>
      <c r="C123" s="1861" t="s">
        <v>2211</v>
      </c>
      <c r="D123" s="1882">
        <v>1</v>
      </c>
      <c r="E123" s="1876" t="s">
        <v>2747</v>
      </c>
      <c r="F123" s="1836"/>
      <c r="G123" s="1831"/>
      <c r="H123" s="1831"/>
    </row>
    <row r="124" spans="1:8" ht="14.25" customHeight="1">
      <c r="A124" s="2013"/>
      <c r="B124" s="1786" t="s">
        <v>3125</v>
      </c>
      <c r="C124" s="1566" t="s">
        <v>2279</v>
      </c>
      <c r="D124" s="1882">
        <v>1</v>
      </c>
      <c r="E124" s="1864">
        <v>0.02</v>
      </c>
      <c r="F124" s="1836"/>
      <c r="G124" s="1831"/>
      <c r="H124" s="1831"/>
    </row>
    <row r="125" spans="1:8" ht="14.25" customHeight="1">
      <c r="A125" s="2013"/>
      <c r="B125" s="1784"/>
      <c r="C125" s="1566" t="s">
        <v>2285</v>
      </c>
      <c r="D125" s="1882">
        <v>1</v>
      </c>
      <c r="E125" s="1864">
        <v>0.02</v>
      </c>
      <c r="F125" s="1836"/>
      <c r="G125" s="1831"/>
      <c r="H125" s="1831"/>
    </row>
    <row r="126" spans="1:8" ht="14.25" customHeight="1">
      <c r="A126" s="2013"/>
      <c r="B126" s="1784"/>
      <c r="C126" s="1566" t="s">
        <v>2194</v>
      </c>
      <c r="D126" s="1882">
        <v>1</v>
      </c>
      <c r="E126" s="1864">
        <v>0.02</v>
      </c>
      <c r="F126" s="1836"/>
      <c r="G126" s="1831"/>
      <c r="H126" s="1831"/>
    </row>
    <row r="127" spans="1:8" ht="14.25" customHeight="1">
      <c r="A127" s="2013"/>
      <c r="B127" s="1784"/>
      <c r="C127" s="1566" t="s">
        <v>2286</v>
      </c>
      <c r="D127" s="1882"/>
      <c r="E127" s="1864"/>
      <c r="F127" s="1836"/>
      <c r="G127" s="1831"/>
      <c r="H127" s="1831"/>
    </row>
    <row r="128" spans="1:8" ht="14.25" customHeight="1">
      <c r="A128" s="2013"/>
      <c r="B128" s="1784"/>
      <c r="C128" s="1571"/>
      <c r="D128" s="1882"/>
      <c r="E128" s="1864"/>
      <c r="F128" s="1836"/>
      <c r="G128" s="1831"/>
      <c r="H128" s="1831"/>
    </row>
    <row r="129" spans="1:8" ht="14.25" customHeight="1">
      <c r="A129" s="2013"/>
      <c r="B129" s="1784"/>
      <c r="C129" s="1566" t="s">
        <v>2197</v>
      </c>
      <c r="D129" s="1882">
        <v>1</v>
      </c>
      <c r="E129" s="1864">
        <v>0.02</v>
      </c>
      <c r="F129" s="1836"/>
      <c r="G129" s="1831"/>
      <c r="H129" s="1831"/>
    </row>
    <row r="130" spans="1:8" ht="14.25" customHeight="1">
      <c r="A130" s="2013"/>
      <c r="B130" s="1784"/>
      <c r="C130" s="1567" t="s">
        <v>2287</v>
      </c>
      <c r="D130" s="1882">
        <v>1</v>
      </c>
      <c r="E130" s="1864">
        <v>0.02</v>
      </c>
      <c r="F130" s="1836"/>
      <c r="G130" s="1831"/>
      <c r="H130" s="1831"/>
    </row>
    <row r="131" spans="1:8" ht="14.25" customHeight="1">
      <c r="A131" s="2013"/>
      <c r="B131" s="1784"/>
      <c r="C131" s="1567" t="s">
        <v>2288</v>
      </c>
      <c r="D131" s="1882">
        <v>1</v>
      </c>
      <c r="E131" s="1864">
        <v>0.02</v>
      </c>
      <c r="F131" s="1836"/>
      <c r="G131" s="1831"/>
      <c r="H131" s="1831"/>
    </row>
    <row r="132" spans="1:8" ht="14.25" customHeight="1">
      <c r="A132" s="2013"/>
      <c r="B132" s="1785"/>
      <c r="C132" s="1566" t="s">
        <v>2200</v>
      </c>
      <c r="D132" s="1882">
        <v>1</v>
      </c>
      <c r="E132" s="1864">
        <v>0.02</v>
      </c>
      <c r="F132" s="1836"/>
      <c r="G132" s="1831"/>
      <c r="H132" s="1831"/>
    </row>
    <row r="133" spans="1:8" ht="14.25" customHeight="1">
      <c r="A133" s="2013"/>
      <c r="B133" s="1788" t="s">
        <v>3127</v>
      </c>
      <c r="C133" s="1861" t="s">
        <v>3034</v>
      </c>
      <c r="D133" s="1896"/>
      <c r="E133" s="1897"/>
      <c r="F133" s="1836"/>
      <c r="G133" s="1847"/>
      <c r="H133" s="1847"/>
    </row>
    <row r="134" spans="1:8" ht="14.25" customHeight="1">
      <c r="A134" s="2013"/>
      <c r="B134" s="1789"/>
      <c r="C134" s="1898" t="s">
        <v>3035</v>
      </c>
      <c r="D134" s="1896"/>
      <c r="E134" s="1897"/>
      <c r="F134" s="1836"/>
      <c r="G134" s="1832"/>
      <c r="H134" s="1832"/>
    </row>
    <row r="135" spans="1:8" ht="14.25" customHeight="1" thickBot="1">
      <c r="A135" s="2017"/>
      <c r="B135" s="1582" t="s">
        <v>2281</v>
      </c>
      <c r="C135" s="1577" t="s">
        <v>2873</v>
      </c>
      <c r="D135" s="1896">
        <v>1</v>
      </c>
      <c r="E135" s="1897">
        <v>0</v>
      </c>
      <c r="F135" s="1836"/>
      <c r="G135" s="1831"/>
      <c r="H135" s="1831"/>
    </row>
    <row r="136" spans="1:8" ht="14.25" customHeight="1" thickTop="1">
      <c r="A136" s="1899"/>
      <c r="B136" s="1900"/>
      <c r="C136" s="1901" t="s">
        <v>2301</v>
      </c>
      <c r="D136" s="1902"/>
      <c r="E136" s="1903"/>
      <c r="F136" s="1904"/>
      <c r="G136" s="1905"/>
      <c r="H136" s="1905"/>
    </row>
    <row r="137" spans="1:8" ht="14.25" customHeight="1">
      <c r="A137" s="1906"/>
      <c r="B137" s="1907"/>
      <c r="C137" s="1908" t="s">
        <v>2302</v>
      </c>
      <c r="D137" s="1909"/>
      <c r="E137" s="1910"/>
      <c r="F137" s="1183"/>
      <c r="G137" s="1828"/>
      <c r="H137" s="1828"/>
    </row>
    <row r="138" spans="1:8" ht="14.25" customHeight="1">
      <c r="A138" s="1850"/>
      <c r="B138" s="1851"/>
      <c r="C138" s="1911" t="s">
        <v>3036</v>
      </c>
      <c r="D138" s="1911"/>
      <c r="E138" s="1912"/>
      <c r="F138" s="1912"/>
      <c r="G138" s="1913"/>
      <c r="H138" s="1914"/>
    </row>
    <row r="139" spans="1:8" ht="14.25" customHeight="1">
      <c r="A139" s="1833"/>
      <c r="B139" s="1795"/>
      <c r="C139" s="1795"/>
      <c r="D139" s="1795"/>
      <c r="E139" s="1795"/>
      <c r="F139" s="1795"/>
      <c r="G139" s="1849"/>
      <c r="H139" s="1849"/>
    </row>
    <row r="140" spans="1:8" ht="14.25" customHeight="1">
      <c r="A140" s="2018"/>
      <c r="B140" s="2019"/>
      <c r="C140" s="2020"/>
      <c r="D140" s="1915"/>
      <c r="E140" s="1852" t="s">
        <v>2305</v>
      </c>
      <c r="F140" s="1852" t="s">
        <v>2165</v>
      </c>
      <c r="G140" s="1853" t="s">
        <v>2385</v>
      </c>
      <c r="H140" s="1853" t="s">
        <v>2384</v>
      </c>
    </row>
    <row r="141" spans="1:8" ht="14.25" customHeight="1" thickBot="1">
      <c r="A141" s="2021"/>
      <c r="B141" s="2022"/>
      <c r="C141" s="2023"/>
      <c r="D141" s="1916"/>
      <c r="E141" s="1917"/>
      <c r="F141" s="1918"/>
      <c r="G141" s="1919"/>
      <c r="H141" s="1919"/>
    </row>
    <row r="142" spans="1:8" ht="14.25" customHeight="1" thickBot="1">
      <c r="A142" s="1920"/>
      <c r="B142" s="1921"/>
      <c r="C142" s="1922" t="s">
        <v>2306</v>
      </c>
      <c r="D142" s="1923"/>
      <c r="E142" s="1924"/>
      <c r="F142" s="1925"/>
      <c r="G142" s="1926"/>
      <c r="H142" s="1926"/>
    </row>
    <row r="143" spans="1:8" ht="14.25" customHeight="1">
      <c r="A143" s="1833"/>
      <c r="B143" s="1795"/>
      <c r="C143" s="1927" t="s">
        <v>3037</v>
      </c>
      <c r="D143" s="1928"/>
      <c r="E143" s="1918"/>
      <c r="F143" s="1583"/>
      <c r="G143" s="1929"/>
      <c r="H143" s="1929"/>
    </row>
    <row r="144" spans="1:8" ht="14.25" customHeight="1">
      <c r="A144" s="1906"/>
      <c r="B144" s="1907"/>
      <c r="C144" s="2024" t="s">
        <v>3038</v>
      </c>
      <c r="D144" s="2025"/>
      <c r="E144" s="2026"/>
      <c r="F144" s="1183"/>
      <c r="G144" s="1828"/>
      <c r="H144" s="1828"/>
    </row>
    <row r="145" spans="1:8" ht="14.25" customHeight="1">
      <c r="A145" s="1850"/>
      <c r="B145" s="1851"/>
      <c r="C145" s="1851"/>
      <c r="D145" s="1930"/>
      <c r="E145" s="1811" t="s">
        <v>2246</v>
      </c>
      <c r="F145" s="2027" t="s">
        <v>2309</v>
      </c>
      <c r="G145" s="2028"/>
      <c r="H145" s="1830"/>
    </row>
    <row r="146" spans="1:8" ht="14.25" customHeight="1">
      <c r="A146" s="2029" t="s">
        <v>2310</v>
      </c>
      <c r="B146" s="2030"/>
      <c r="C146" s="2031"/>
      <c r="D146" s="1931"/>
      <c r="E146" s="1932" t="s">
        <v>2246</v>
      </c>
      <c r="F146" s="2032" t="s">
        <v>2311</v>
      </c>
      <c r="G146" s="2033"/>
      <c r="H146" s="1828"/>
    </row>
    <row r="147" spans="1:8" ht="14.25" customHeight="1">
      <c r="A147" s="2034"/>
      <c r="B147" s="1933" t="s">
        <v>157</v>
      </c>
      <c r="C147" s="1934" t="s">
        <v>2874</v>
      </c>
      <c r="D147" s="1935">
        <v>1</v>
      </c>
      <c r="E147" s="1936">
        <v>0.1724</v>
      </c>
      <c r="F147" s="1937"/>
      <c r="G147" s="1830"/>
      <c r="H147" s="1830"/>
    </row>
    <row r="148" spans="1:8" ht="14.25" customHeight="1">
      <c r="A148" s="2035"/>
      <c r="B148" s="2036" t="s">
        <v>3128</v>
      </c>
      <c r="C148" s="1835" t="s">
        <v>2314</v>
      </c>
      <c r="D148" s="2060">
        <v>0</v>
      </c>
      <c r="E148" s="2061">
        <v>0.1724</v>
      </c>
      <c r="F148" s="1836"/>
      <c r="G148" s="1832"/>
      <c r="H148" s="1832"/>
    </row>
    <row r="149" spans="1:8" ht="14.25" customHeight="1">
      <c r="A149" s="2035"/>
      <c r="B149" s="2037"/>
      <c r="C149" s="1835" t="s">
        <v>2315</v>
      </c>
      <c r="D149" s="2062">
        <v>1</v>
      </c>
      <c r="E149" s="2061">
        <v>4.0000000000000002E-4</v>
      </c>
      <c r="F149" s="1836"/>
      <c r="G149" s="1832"/>
      <c r="H149" s="1832"/>
    </row>
    <row r="150" spans="1:8" ht="14.25" customHeight="1">
      <c r="A150" s="2035"/>
      <c r="B150" s="1817"/>
      <c r="C150" s="1835"/>
      <c r="D150" s="1938"/>
      <c r="E150" s="1938"/>
      <c r="F150" s="1836"/>
      <c r="G150" s="1832"/>
      <c r="H150" s="1832"/>
    </row>
    <row r="151" spans="1:8" ht="14.25" customHeight="1">
      <c r="A151" s="2035"/>
      <c r="B151" s="1817"/>
      <c r="C151" s="1835"/>
      <c r="D151" s="1938"/>
      <c r="E151" s="1938"/>
      <c r="F151" s="1836"/>
      <c r="G151" s="1832"/>
      <c r="H151" s="1832"/>
    </row>
    <row r="152" spans="1:8" ht="14.25" customHeight="1">
      <c r="A152" s="2035"/>
      <c r="B152" s="2036" t="s">
        <v>3129</v>
      </c>
      <c r="C152" s="1861" t="s">
        <v>2875</v>
      </c>
      <c r="D152" s="1939">
        <v>1</v>
      </c>
      <c r="E152" s="1940">
        <v>0</v>
      </c>
      <c r="F152" s="1836"/>
      <c r="G152" s="1832"/>
      <c r="H152" s="1832"/>
    </row>
    <row r="153" spans="1:8" ht="14.25" customHeight="1">
      <c r="A153" s="2035"/>
      <c r="B153" s="2038"/>
      <c r="C153" s="1941"/>
      <c r="D153" s="1861"/>
      <c r="E153" s="1940"/>
      <c r="F153" s="1836"/>
      <c r="G153" s="1832"/>
      <c r="H153" s="1832"/>
    </row>
    <row r="154" spans="1:8" ht="14.25" customHeight="1">
      <c r="A154" s="2039"/>
      <c r="B154" s="2040"/>
      <c r="C154" s="1942"/>
      <c r="D154" s="1943"/>
      <c r="E154" s="1944"/>
      <c r="F154" s="1183"/>
      <c r="G154" s="1828"/>
      <c r="H154" s="1828"/>
    </row>
    <row r="155" spans="1:8" ht="14.25" customHeight="1">
      <c r="A155" s="1850"/>
      <c r="B155" s="1851"/>
      <c r="C155" s="1945"/>
      <c r="D155" s="1946"/>
      <c r="E155" s="1947"/>
      <c r="F155" s="1937"/>
      <c r="G155" s="1830"/>
      <c r="H155" s="1830"/>
    </row>
    <row r="156" spans="1:8" ht="14.25" customHeight="1">
      <c r="A156" s="2029" t="s">
        <v>2317</v>
      </c>
      <c r="B156" s="2030"/>
      <c r="C156" s="2031"/>
      <c r="D156" s="1948"/>
      <c r="E156" s="1949"/>
      <c r="F156" s="1828"/>
      <c r="G156" s="1828"/>
      <c r="H156" s="1828"/>
    </row>
    <row r="157" spans="1:8" ht="14.25" customHeight="1">
      <c r="A157" s="1833"/>
      <c r="B157" s="1950" t="s">
        <v>157</v>
      </c>
      <c r="C157" s="1934" t="s">
        <v>2874</v>
      </c>
      <c r="D157" s="1935">
        <v>1</v>
      </c>
      <c r="E157" s="1951">
        <v>0.1724</v>
      </c>
      <c r="F157" s="1836"/>
      <c r="G157" s="1830"/>
      <c r="H157" s="1830"/>
    </row>
    <row r="158" spans="1:8" ht="14.25" customHeight="1">
      <c r="A158" s="1833"/>
      <c r="B158" s="2036" t="s">
        <v>3128</v>
      </c>
      <c r="C158" s="1835" t="s">
        <v>2314</v>
      </c>
      <c r="D158" s="1939">
        <v>0</v>
      </c>
      <c r="E158" s="1864">
        <v>0.1724</v>
      </c>
      <c r="F158" s="1836"/>
      <c r="G158" s="1832"/>
      <c r="H158" s="1832"/>
    </row>
    <row r="159" spans="1:8" ht="14.25" customHeight="1">
      <c r="A159" s="1833"/>
      <c r="B159" s="2037"/>
      <c r="C159" s="1835" t="s">
        <v>2315</v>
      </c>
      <c r="D159" s="1939">
        <v>1</v>
      </c>
      <c r="E159" s="1864">
        <v>4.0000000000000002E-4</v>
      </c>
      <c r="F159" s="1836"/>
      <c r="G159" s="1832"/>
      <c r="H159" s="1832"/>
    </row>
    <row r="160" spans="1:8" ht="14.25" customHeight="1">
      <c r="A160" s="1833"/>
      <c r="B160" s="1817"/>
      <c r="C160" s="1835"/>
      <c r="D160" s="1938"/>
      <c r="E160" s="1938"/>
      <c r="F160" s="1836"/>
      <c r="G160" s="1832"/>
      <c r="H160" s="1832"/>
    </row>
    <row r="161" spans="1:8" ht="14.25" customHeight="1">
      <c r="A161" s="1833"/>
      <c r="B161" s="1817"/>
      <c r="C161" s="1835"/>
      <c r="D161" s="1938"/>
      <c r="E161" s="1938"/>
      <c r="F161" s="1836"/>
      <c r="G161" s="1832"/>
      <c r="H161" s="1832"/>
    </row>
    <row r="162" spans="1:8" ht="14.25" customHeight="1">
      <c r="A162" s="1833"/>
      <c r="B162" s="2036" t="s">
        <v>3129</v>
      </c>
      <c r="C162" s="1861" t="s">
        <v>2875</v>
      </c>
      <c r="D162" s="1939">
        <v>1</v>
      </c>
      <c r="E162" s="1864">
        <v>0</v>
      </c>
      <c r="F162" s="1836"/>
      <c r="G162" s="1832"/>
      <c r="H162" s="1832"/>
    </row>
    <row r="163" spans="1:8" ht="14.25" customHeight="1">
      <c r="A163" s="1833"/>
      <c r="B163" s="2038"/>
      <c r="C163" s="1941"/>
      <c r="D163" s="1861"/>
      <c r="E163" s="1938">
        <v>0</v>
      </c>
      <c r="F163" s="1836"/>
      <c r="G163" s="1832"/>
      <c r="H163" s="1832"/>
    </row>
    <row r="164" spans="1:8" ht="14.25" customHeight="1">
      <c r="A164" s="1952"/>
      <c r="B164" s="2037"/>
      <c r="C164" s="1941"/>
      <c r="D164" s="1861"/>
      <c r="E164" s="1938">
        <v>0</v>
      </c>
      <c r="F164" s="1836"/>
      <c r="G164" s="1832"/>
      <c r="H164" s="1832"/>
    </row>
    <row r="165" spans="1:8" ht="14.25" customHeight="1">
      <c r="A165" s="1952"/>
      <c r="B165" s="1788" t="s">
        <v>3127</v>
      </c>
      <c r="C165" s="1874" t="s">
        <v>3039</v>
      </c>
      <c r="D165" s="1953"/>
      <c r="E165" s="1954"/>
      <c r="F165" s="1955"/>
      <c r="G165" s="1847"/>
      <c r="H165" s="1847"/>
    </row>
    <row r="166" spans="1:8" ht="14.25" customHeight="1">
      <c r="A166" s="1833"/>
      <c r="B166" s="1790"/>
      <c r="C166" s="1898" t="s">
        <v>3040</v>
      </c>
      <c r="D166" s="1896"/>
      <c r="E166" s="1897"/>
      <c r="F166" s="1836"/>
      <c r="G166" s="1832"/>
      <c r="H166" s="1832"/>
    </row>
    <row r="167" spans="1:8" ht="14.25" customHeight="1">
      <c r="A167" s="1920"/>
      <c r="B167" s="1921"/>
      <c r="C167" s="1921"/>
      <c r="D167" s="1812"/>
      <c r="E167" s="1812"/>
      <c r="F167" s="1937"/>
      <c r="G167" s="1830"/>
      <c r="H167" s="1830"/>
    </row>
    <row r="168" spans="1:8" ht="14.25" customHeight="1">
      <c r="A168" s="1956"/>
      <c r="B168" s="1837"/>
      <c r="C168" s="1834" t="s">
        <v>2320</v>
      </c>
      <c r="D168" s="1941"/>
      <c r="E168" s="1835"/>
      <c r="F168" s="1836"/>
      <c r="G168" s="1832"/>
      <c r="H168" s="1832"/>
    </row>
    <row r="169" spans="1:8" ht="14.25" customHeight="1">
      <c r="A169" s="1956"/>
      <c r="B169" s="1837"/>
      <c r="C169" s="1834" t="s">
        <v>2302</v>
      </c>
      <c r="D169" s="1941"/>
      <c r="E169" s="1835"/>
      <c r="F169" s="1836"/>
      <c r="G169" s="1832"/>
      <c r="H169" s="1832"/>
    </row>
    <row r="170" spans="1:8" ht="14.25" customHeight="1" thickBot="1">
      <c r="A170" s="1957"/>
      <c r="B170" s="1958"/>
      <c r="C170" s="1959" t="s">
        <v>2321</v>
      </c>
      <c r="D170" s="1960"/>
      <c r="E170" s="1961"/>
      <c r="F170" s="1885"/>
      <c r="G170" s="1962"/>
      <c r="H170" s="1962"/>
    </row>
    <row r="171" spans="1:8" ht="14.25" customHeight="1" thickTop="1">
      <c r="A171" s="1833"/>
      <c r="B171" s="1795"/>
      <c r="C171" s="1795"/>
      <c r="D171" s="1839"/>
      <c r="E171" s="1839"/>
      <c r="F171" s="1840"/>
      <c r="G171" s="1963"/>
      <c r="H171" s="1963"/>
    </row>
    <row r="172" spans="1:8" ht="14.25" customHeight="1">
      <c r="A172" s="1956"/>
      <c r="B172" s="1837"/>
      <c r="C172" s="1834" t="s">
        <v>2302</v>
      </c>
      <c r="D172" s="1941"/>
      <c r="E172" s="1835"/>
      <c r="F172" s="1836"/>
      <c r="G172" s="1832"/>
      <c r="H172" s="1832"/>
    </row>
    <row r="173" spans="1:8" ht="14.25" customHeight="1">
      <c r="A173" s="1956"/>
      <c r="B173" s="1837"/>
      <c r="C173" s="1834" t="s">
        <v>2322</v>
      </c>
      <c r="D173" s="1941"/>
      <c r="E173" s="1938"/>
      <c r="F173" s="1836"/>
      <c r="G173" s="1832"/>
      <c r="H173" s="1832"/>
    </row>
    <row r="174" spans="1:8" ht="14.25" customHeight="1">
      <c r="A174" s="1956"/>
      <c r="B174" s="1837"/>
      <c r="C174" s="1837"/>
      <c r="D174" s="1835"/>
      <c r="E174" s="1964">
        <v>5096000</v>
      </c>
      <c r="F174" s="1836"/>
      <c r="G174" s="1832"/>
      <c r="H174" s="1832"/>
    </row>
    <row r="175" spans="1:8" ht="14.25" customHeight="1">
      <c r="A175" s="1965"/>
      <c r="B175" s="1966"/>
      <c r="C175" s="1966" t="s">
        <v>2324</v>
      </c>
      <c r="D175" s="1967"/>
      <c r="E175" s="1964">
        <v>5096000</v>
      </c>
      <c r="F175" s="1968"/>
      <c r="G175" s="1147"/>
      <c r="H175" s="1147"/>
    </row>
    <row r="176" spans="1:8" ht="14.25" customHeight="1">
      <c r="A176" s="1969"/>
      <c r="B176" s="1970"/>
      <c r="C176" s="1970"/>
      <c r="D176" s="1971"/>
      <c r="E176" s="913">
        <v>0</v>
      </c>
      <c r="F176" s="914">
        <v>3877000</v>
      </c>
      <c r="G176" s="913">
        <v>-3</v>
      </c>
      <c r="H176" s="913">
        <v>-3</v>
      </c>
    </row>
    <row r="177" spans="1:8" ht="13.5" hidden="1" customHeight="1" thickBot="1">
      <c r="A177" s="1235"/>
      <c r="B177" s="1235"/>
      <c r="C177" s="1235"/>
      <c r="D177" s="1235"/>
      <c r="E177" s="1235"/>
      <c r="F177" s="863"/>
      <c r="G177" s="1972"/>
      <c r="H177" s="1973"/>
    </row>
    <row r="178" spans="1:8" ht="13.5" hidden="1" customHeight="1">
      <c r="A178" s="1974"/>
      <c r="B178" s="1975"/>
      <c r="C178" s="1976" t="s">
        <v>3041</v>
      </c>
      <c r="D178" s="1977"/>
      <c r="E178" s="1975"/>
      <c r="F178" s="1978" t="s">
        <v>3042</v>
      </c>
      <c r="G178" s="1979">
        <v>6.9</v>
      </c>
      <c r="H178" s="1979">
        <v>6.9</v>
      </c>
    </row>
    <row r="179" spans="1:8" ht="13.5" hidden="1" customHeight="1">
      <c r="A179" s="2041"/>
      <c r="B179" s="2042" t="s">
        <v>3130</v>
      </c>
      <c r="C179" s="1980" t="s">
        <v>3043</v>
      </c>
      <c r="D179" s="1966"/>
      <c r="E179" s="1981"/>
      <c r="F179" s="1982" t="s">
        <v>2337</v>
      </c>
      <c r="G179" s="1983">
        <v>4.33</v>
      </c>
      <c r="H179" s="1983">
        <v>4.33</v>
      </c>
    </row>
    <row r="180" spans="1:8" ht="13.5" hidden="1" customHeight="1">
      <c r="A180" s="2043"/>
      <c r="B180" s="2044"/>
      <c r="C180" s="2000" t="s">
        <v>3044</v>
      </c>
      <c r="D180" s="1878"/>
      <c r="E180" s="1984"/>
      <c r="F180" s="1982" t="s">
        <v>3045</v>
      </c>
      <c r="G180" s="877">
        <v>4.33</v>
      </c>
      <c r="H180" s="877">
        <v>4.33</v>
      </c>
    </row>
    <row r="181" spans="1:8" ht="13.5" hidden="1" customHeight="1">
      <c r="A181" s="2043"/>
      <c r="B181" s="2044"/>
      <c r="C181" s="2045"/>
      <c r="D181" s="1985"/>
      <c r="E181" s="1986"/>
      <c r="F181" s="1982" t="s">
        <v>3046</v>
      </c>
      <c r="G181" s="877">
        <v>3.25</v>
      </c>
      <c r="H181" s="877">
        <v>3.25</v>
      </c>
    </row>
    <row r="182" spans="1:8" ht="13.5" hidden="1" customHeight="1">
      <c r="A182" s="2043"/>
      <c r="B182" s="2044"/>
      <c r="C182" s="2000" t="s">
        <v>3047</v>
      </c>
      <c r="D182" s="1878"/>
      <c r="E182" s="1984"/>
      <c r="F182" s="1982" t="s">
        <v>3045</v>
      </c>
      <c r="G182" s="1987">
        <v>0</v>
      </c>
      <c r="H182" s="1987">
        <v>0</v>
      </c>
    </row>
    <row r="183" spans="1:8" ht="13.5" hidden="1" customHeight="1">
      <c r="A183" s="2046"/>
      <c r="B183" s="2047"/>
      <c r="C183" s="2045"/>
      <c r="D183" s="1985"/>
      <c r="E183" s="1986"/>
      <c r="F183" s="1982" t="s">
        <v>3046</v>
      </c>
      <c r="G183" s="1987">
        <v>0</v>
      </c>
      <c r="H183" s="1987">
        <v>0</v>
      </c>
    </row>
    <row r="184" spans="1:8" ht="13.5" hidden="1" customHeight="1">
      <c r="A184" s="2048" t="s">
        <v>3048</v>
      </c>
      <c r="B184" s="2049"/>
      <c r="C184" s="2049"/>
      <c r="D184" s="2049"/>
      <c r="E184" s="2049"/>
      <c r="F184" s="2050"/>
      <c r="G184" s="1987">
        <v>4.33</v>
      </c>
      <c r="H184" s="1987">
        <v>4.33</v>
      </c>
    </row>
    <row r="185" spans="1:8" ht="13.5" hidden="1" customHeight="1" thickBot="1">
      <c r="A185" s="2051" t="s">
        <v>3049</v>
      </c>
      <c r="B185" s="2052"/>
      <c r="C185" s="2052"/>
      <c r="D185" s="2052"/>
      <c r="E185" s="2052"/>
      <c r="F185" s="2053"/>
      <c r="G185" s="1988">
        <v>3.03</v>
      </c>
      <c r="H185" s="1988">
        <v>3.03</v>
      </c>
    </row>
    <row r="186" spans="1:8" ht="13.5" hidden="1" customHeight="1" thickBot="1">
      <c r="A186" s="1235"/>
      <c r="B186" s="1235"/>
      <c r="C186" s="1235"/>
      <c r="D186" s="1235"/>
      <c r="E186" s="1235"/>
      <c r="F186" s="1235"/>
      <c r="G186" s="1989"/>
      <c r="H186" s="1989"/>
    </row>
    <row r="187" spans="1:8" ht="13.5" hidden="1" customHeight="1">
      <c r="A187" s="1974"/>
      <c r="B187" s="1975"/>
      <c r="C187" s="1976" t="s">
        <v>3041</v>
      </c>
      <c r="D187" s="1977"/>
      <c r="E187" s="1975"/>
      <c r="F187" s="1978" t="s">
        <v>3042</v>
      </c>
      <c r="G187" s="1979">
        <v>6.9</v>
      </c>
      <c r="H187" s="1979">
        <v>6.9</v>
      </c>
    </row>
    <row r="188" spans="1:8" ht="13.5" hidden="1" customHeight="1">
      <c r="A188" s="2041"/>
      <c r="B188" s="2042" t="s">
        <v>3131</v>
      </c>
      <c r="C188" s="1980" t="s">
        <v>3043</v>
      </c>
      <c r="D188" s="1966"/>
      <c r="E188" s="1981"/>
      <c r="F188" s="1982" t="s">
        <v>2337</v>
      </c>
      <c r="G188" s="1983">
        <v>6.97</v>
      </c>
      <c r="H188" s="1983">
        <v>6.97</v>
      </c>
    </row>
    <row r="189" spans="1:8" ht="13.5" hidden="1" customHeight="1">
      <c r="A189" s="2043"/>
      <c r="B189" s="2044"/>
      <c r="C189" s="2000" t="s">
        <v>3050</v>
      </c>
      <c r="D189" s="1878"/>
      <c r="E189" s="1984"/>
      <c r="F189" s="1982" t="s">
        <v>3045</v>
      </c>
      <c r="G189" s="877">
        <v>6.07</v>
      </c>
      <c r="H189" s="877">
        <v>6.07</v>
      </c>
    </row>
    <row r="190" spans="1:8" ht="13.5" hidden="1" customHeight="1">
      <c r="A190" s="2043"/>
      <c r="B190" s="2044"/>
      <c r="C190" s="2045"/>
      <c r="D190" s="1985"/>
      <c r="E190" s="1986"/>
      <c r="F190" s="1982" t="s">
        <v>3046</v>
      </c>
      <c r="G190" s="877">
        <v>3.59</v>
      </c>
      <c r="H190" s="877">
        <v>3.59</v>
      </c>
    </row>
    <row r="191" spans="1:8" ht="13.5" hidden="1" customHeight="1">
      <c r="A191" s="2043"/>
      <c r="B191" s="2044"/>
      <c r="C191" s="2000" t="s">
        <v>3051</v>
      </c>
      <c r="D191" s="1878"/>
      <c r="E191" s="1984"/>
      <c r="F191" s="1982" t="s">
        <v>3045</v>
      </c>
      <c r="G191" s="1987">
        <v>0</v>
      </c>
      <c r="H191" s="1987">
        <v>0</v>
      </c>
    </row>
    <row r="192" spans="1:8" ht="13.5" hidden="1" customHeight="1">
      <c r="A192" s="2046"/>
      <c r="B192" s="2047"/>
      <c r="C192" s="2045"/>
      <c r="D192" s="1985"/>
      <c r="E192" s="1986"/>
      <c r="F192" s="1982" t="s">
        <v>3046</v>
      </c>
      <c r="G192" s="1987">
        <v>0</v>
      </c>
      <c r="H192" s="1987">
        <v>0</v>
      </c>
    </row>
    <row r="193" spans="1:8" ht="13.5" hidden="1" customHeight="1">
      <c r="A193" s="2048" t="s">
        <v>3048</v>
      </c>
      <c r="B193" s="2049"/>
      <c r="C193" s="2049"/>
      <c r="D193" s="2049"/>
      <c r="E193" s="2049"/>
      <c r="F193" s="2050"/>
      <c r="G193" s="1990">
        <v>6.07</v>
      </c>
      <c r="H193" s="1990">
        <v>6.07</v>
      </c>
    </row>
    <row r="194" spans="1:8" ht="13.5" hidden="1" customHeight="1" thickBot="1">
      <c r="A194" s="2051" t="s">
        <v>3049</v>
      </c>
      <c r="B194" s="2052"/>
      <c r="C194" s="2052"/>
      <c r="D194" s="2052"/>
      <c r="E194" s="2052"/>
      <c r="F194" s="2053"/>
      <c r="G194" s="1988">
        <v>4.25</v>
      </c>
      <c r="H194" s="1988">
        <v>4.25</v>
      </c>
    </row>
    <row r="195" spans="1:8" ht="13.5" hidden="1" customHeight="1" thickBot="1">
      <c r="A195" s="1235"/>
      <c r="B195" s="1235"/>
      <c r="C195" s="1235"/>
      <c r="D195" s="1235"/>
      <c r="E195" s="1235"/>
      <c r="F195" s="1235"/>
      <c r="G195" s="1973"/>
      <c r="H195" s="1973"/>
    </row>
    <row r="196" spans="1:8" ht="13.5" hidden="1" customHeight="1">
      <c r="A196" s="1974"/>
      <c r="B196" s="1975"/>
      <c r="C196" s="1976" t="s">
        <v>3052</v>
      </c>
      <c r="D196" s="1977"/>
      <c r="E196" s="1975"/>
      <c r="F196" s="1978" t="s">
        <v>3042</v>
      </c>
      <c r="G196" s="1979">
        <v>6.9</v>
      </c>
      <c r="H196" s="1979">
        <v>6.9</v>
      </c>
    </row>
    <row r="197" spans="1:8" ht="13.5" hidden="1" customHeight="1">
      <c r="A197" s="2041"/>
      <c r="B197" s="2042" t="s">
        <v>3130</v>
      </c>
      <c r="C197" s="1980" t="s">
        <v>3053</v>
      </c>
      <c r="D197" s="1966"/>
      <c r="E197" s="1981"/>
      <c r="F197" s="1982" t="s">
        <v>2876</v>
      </c>
      <c r="G197" s="1983">
        <v>20.53</v>
      </c>
      <c r="H197" s="1983">
        <v>20.53</v>
      </c>
    </row>
    <row r="198" spans="1:8" ht="13.5" hidden="1" customHeight="1">
      <c r="A198" s="2043"/>
      <c r="B198" s="2044"/>
      <c r="C198" s="2000" t="s">
        <v>3054</v>
      </c>
      <c r="D198" s="1878"/>
      <c r="E198" s="1984"/>
      <c r="F198" s="1982" t="s">
        <v>3045</v>
      </c>
      <c r="G198" s="877">
        <v>20.13</v>
      </c>
      <c r="H198" s="877">
        <v>20.13</v>
      </c>
    </row>
    <row r="199" spans="1:8" ht="13.5" hidden="1" customHeight="1">
      <c r="A199" s="2043"/>
      <c r="B199" s="2044"/>
      <c r="C199" s="2045"/>
      <c r="D199" s="1985"/>
      <c r="E199" s="1986"/>
      <c r="F199" s="1982" t="s">
        <v>3046</v>
      </c>
      <c r="G199" s="877">
        <v>10.01</v>
      </c>
      <c r="H199" s="877">
        <v>10.01</v>
      </c>
    </row>
    <row r="200" spans="1:8" ht="13.5" hidden="1" customHeight="1">
      <c r="A200" s="2043"/>
      <c r="B200" s="2044"/>
      <c r="C200" s="2000" t="s">
        <v>3055</v>
      </c>
      <c r="D200" s="1878"/>
      <c r="E200" s="1984"/>
      <c r="F200" s="1982" t="s">
        <v>3045</v>
      </c>
      <c r="G200" s="1987">
        <v>0</v>
      </c>
      <c r="H200" s="1987">
        <v>0</v>
      </c>
    </row>
    <row r="201" spans="1:8" ht="13.5" hidden="1" customHeight="1">
      <c r="A201" s="2046"/>
      <c r="B201" s="2047"/>
      <c r="C201" s="2045"/>
      <c r="D201" s="1985"/>
      <c r="E201" s="1986"/>
      <c r="F201" s="1982" t="s">
        <v>3046</v>
      </c>
      <c r="G201" s="1987">
        <v>0</v>
      </c>
      <c r="H201" s="1987">
        <v>0</v>
      </c>
    </row>
    <row r="202" spans="1:8" ht="13.5" hidden="1" customHeight="1" thickBot="1">
      <c r="A202" s="2054" t="s">
        <v>3056</v>
      </c>
      <c r="B202" s="2055"/>
      <c r="C202" s="2055"/>
      <c r="D202" s="2055"/>
      <c r="E202" s="1991"/>
      <c r="F202" s="1992"/>
      <c r="G202" s="1993">
        <v>20.13</v>
      </c>
      <c r="H202" s="1994">
        <v>20.13</v>
      </c>
    </row>
    <row r="203" spans="1:8" ht="13.5" hidden="1" customHeight="1" thickBot="1">
      <c r="A203" s="1235"/>
      <c r="B203" s="1235"/>
      <c r="C203" s="1235"/>
      <c r="D203" s="1235"/>
      <c r="E203" s="1235"/>
      <c r="F203" s="1235"/>
      <c r="G203" s="1989"/>
      <c r="H203" s="1989"/>
    </row>
    <row r="204" spans="1:8" ht="13.5" hidden="1" customHeight="1">
      <c r="A204" s="1974"/>
      <c r="B204" s="1975"/>
      <c r="C204" s="1976" t="s">
        <v>3052</v>
      </c>
      <c r="D204" s="1977"/>
      <c r="E204" s="1975"/>
      <c r="F204" s="1978" t="s">
        <v>3042</v>
      </c>
      <c r="G204" s="1979">
        <v>6.9</v>
      </c>
      <c r="H204" s="1979">
        <v>6.9</v>
      </c>
    </row>
    <row r="205" spans="1:8" ht="13.5" hidden="1" customHeight="1">
      <c r="A205" s="2041"/>
      <c r="B205" s="2042" t="s">
        <v>3131</v>
      </c>
      <c r="C205" s="1980" t="s">
        <v>3053</v>
      </c>
      <c r="D205" s="1966"/>
      <c r="E205" s="1981"/>
      <c r="F205" s="1982" t="s">
        <v>2876</v>
      </c>
      <c r="G205" s="1983">
        <v>33.450000000000003</v>
      </c>
      <c r="H205" s="1983">
        <v>33.450000000000003</v>
      </c>
    </row>
    <row r="206" spans="1:8" ht="13.5" hidden="1" customHeight="1">
      <c r="A206" s="2043"/>
      <c r="B206" s="2044"/>
      <c r="C206" s="2000" t="s">
        <v>3057</v>
      </c>
      <c r="D206" s="1878"/>
      <c r="E206" s="1984"/>
      <c r="F206" s="1982" t="s">
        <v>3045</v>
      </c>
      <c r="G206" s="877">
        <v>26.86</v>
      </c>
      <c r="H206" s="877">
        <v>26.86</v>
      </c>
    </row>
    <row r="207" spans="1:8" ht="13.5" hidden="1" customHeight="1">
      <c r="A207" s="2043"/>
      <c r="B207" s="2044"/>
      <c r="C207" s="2045"/>
      <c r="D207" s="1985"/>
      <c r="E207" s="1986"/>
      <c r="F207" s="1982" t="s">
        <v>3046</v>
      </c>
      <c r="G207" s="877">
        <v>12.7</v>
      </c>
      <c r="H207" s="877">
        <v>12.7</v>
      </c>
    </row>
    <row r="208" spans="1:8" ht="13.5" hidden="1" customHeight="1">
      <c r="A208" s="2043"/>
      <c r="B208" s="2044"/>
      <c r="C208" s="2000" t="s">
        <v>3058</v>
      </c>
      <c r="D208" s="1878"/>
      <c r="E208" s="1984"/>
      <c r="F208" s="1982" t="s">
        <v>3045</v>
      </c>
      <c r="G208" s="1987">
        <v>0</v>
      </c>
      <c r="H208" s="1987">
        <v>0</v>
      </c>
    </row>
    <row r="209" spans="1:8" ht="13.5" hidden="1" customHeight="1">
      <c r="A209" s="2046"/>
      <c r="B209" s="2047"/>
      <c r="C209" s="2045"/>
      <c r="D209" s="1985"/>
      <c r="E209" s="1986"/>
      <c r="F209" s="1982" t="s">
        <v>3046</v>
      </c>
      <c r="G209" s="1987">
        <v>0</v>
      </c>
      <c r="H209" s="1987">
        <v>0</v>
      </c>
    </row>
    <row r="210" spans="1:8" ht="13.5" hidden="1" customHeight="1" thickBot="1">
      <c r="A210" s="2054" t="s">
        <v>3056</v>
      </c>
      <c r="B210" s="2055"/>
      <c r="C210" s="2055"/>
      <c r="D210" s="2055"/>
      <c r="E210" s="1995"/>
      <c r="F210" s="1992"/>
      <c r="G210" s="1994">
        <v>26.86</v>
      </c>
      <c r="H210" s="1994">
        <v>26.86</v>
      </c>
    </row>
    <row r="211" spans="1:8" ht="13.5" hidden="1" customHeight="1" thickBot="1">
      <c r="A211" s="1235"/>
      <c r="B211" s="1235"/>
      <c r="C211" s="1235"/>
      <c r="D211" s="1235"/>
      <c r="E211" s="1235"/>
      <c r="F211" s="1235"/>
      <c r="G211" s="1973"/>
      <c r="H211" s="1973"/>
    </row>
    <row r="212" spans="1:8" ht="13.5" hidden="1" customHeight="1">
      <c r="A212" s="1974"/>
      <c r="B212" s="1975"/>
      <c r="C212" s="1976" t="s">
        <v>3059</v>
      </c>
      <c r="D212" s="1977"/>
      <c r="E212" s="1975"/>
      <c r="F212" s="1978"/>
      <c r="G212" s="1996"/>
      <c r="H212" s="1997"/>
    </row>
    <row r="213" spans="1:8" ht="13.5" hidden="1" customHeight="1">
      <c r="A213" s="2041"/>
      <c r="B213" s="2042" t="s">
        <v>3132</v>
      </c>
      <c r="C213" s="1980" t="s">
        <v>3060</v>
      </c>
      <c r="D213" s="1966"/>
      <c r="E213" s="1981"/>
      <c r="F213" s="1982" t="s">
        <v>2877</v>
      </c>
      <c r="G213" s="1998">
        <v>17.43</v>
      </c>
      <c r="H213" s="1999"/>
    </row>
    <row r="214" spans="1:8" ht="13.5" hidden="1" customHeight="1">
      <c r="A214" s="2043"/>
      <c r="B214" s="2044"/>
      <c r="C214" s="2000" t="s">
        <v>3061</v>
      </c>
      <c r="D214" s="1878"/>
      <c r="E214" s="1878"/>
      <c r="F214" s="2001"/>
      <c r="G214" s="891">
        <v>17.239999999999998</v>
      </c>
      <c r="H214" s="892"/>
    </row>
    <row r="215" spans="1:8" ht="13.5" hidden="1" customHeight="1">
      <c r="A215" s="2046"/>
      <c r="B215" s="2047"/>
      <c r="C215" s="2000" t="s">
        <v>3062</v>
      </c>
      <c r="D215" s="1878"/>
      <c r="E215" s="1966"/>
      <c r="F215" s="2001"/>
      <c r="G215" s="891">
        <v>0</v>
      </c>
      <c r="H215" s="2002"/>
    </row>
    <row r="216" spans="1:8" ht="13.5" hidden="1" customHeight="1" thickBot="1">
      <c r="A216" s="2054" t="s">
        <v>3063</v>
      </c>
      <c r="B216" s="2055"/>
      <c r="C216" s="2055"/>
      <c r="D216" s="2055"/>
      <c r="E216" s="1995"/>
      <c r="F216" s="1992"/>
      <c r="G216" s="2003">
        <v>17.239999999999998</v>
      </c>
      <c r="H216" s="2004"/>
    </row>
  </sheetData>
  <sheetProtection selectLockedCells="1" selectUnlockedCells="1"/>
  <phoneticPr fontId="6"/>
  <conditionalFormatting sqref="F8">
    <cfRule type="expression" dxfId="11" priority="1" stopIfTrue="1">
      <formula>AND($F$34&gt;5000000,OR($E$8="無し",$E$8="なし"))</formula>
    </cfRule>
  </conditionalFormatting>
  <dataValidations count="4">
    <dataValidation type="list" allowBlank="1" showInputMessage="1" showErrorMessage="1" sqref="G9:H9" xr:uid="{00000000-0002-0000-0300-000000000000}">
      <formula1>"積上げ,積上げ・率処理併用"</formula1>
    </dataValidation>
    <dataValidation type="list" allowBlank="1" showInputMessage="1" showErrorMessage="1" sqref="G6:H6" xr:uid="{00000000-0002-0000-0300-000001000000}">
      <formula1>"改修,新営"</formula1>
    </dataValidation>
    <dataValidation type="list" allowBlank="1" showInputMessage="1" showErrorMessage="1" sqref="G10:H10" xr:uid="{00000000-0002-0000-0300-000002000000}">
      <formula1>"駅施設,地上建物"</formula1>
    </dataValidation>
    <dataValidation type="list" allowBlank="1" showInputMessage="1" showErrorMessage="1" sqref="E8 G11:H11" xr:uid="{00000000-0002-0000-03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70" fitToHeight="3" orientation="landscape" cellComments="asDisplayed" horizontalDpi="300" verticalDpi="300" r:id="rId1"/>
  <headerFooter alignWithMargins="0"/>
  <rowBreaks count="4" manualBreakCount="4">
    <brk id="57" max="16383" man="1"/>
    <brk id="96" max="16383" man="1"/>
    <brk id="137" max="16383" man="1"/>
    <brk id="176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N532"/>
  <sheetViews>
    <sheetView view="pageBreakPreview" zoomScale="80" zoomScaleNormal="80" zoomScaleSheetLayoutView="80" workbookViewId="0"/>
  </sheetViews>
  <sheetFormatPr baseColWidth="10" defaultColWidth="9" defaultRowHeight="13.5" customHeight="1"/>
  <cols>
    <col min="1" max="1" width="4" style="897" customWidth="1"/>
    <col min="2" max="2" width="3.5" style="897" customWidth="1"/>
    <col min="3" max="3" width="21.5" style="897" customWidth="1"/>
    <col min="4" max="4" width="4.6640625" style="897" customWidth="1"/>
    <col min="5" max="5" width="7" style="897" customWidth="1"/>
    <col min="6" max="6" width="14.33203125" style="898" customWidth="1"/>
    <col min="7" max="7" width="15.33203125" style="897" customWidth="1"/>
    <col min="8" max="9" width="14.33203125" style="898" customWidth="1"/>
    <col min="10" max="10" width="9" style="897" customWidth="1"/>
    <col min="11" max="11" width="37" style="897" customWidth="1"/>
    <col min="12" max="12" width="13.33203125" style="607" customWidth="1"/>
    <col min="13" max="13" width="34.33203125" style="607" bestFit="1" customWidth="1"/>
    <col min="14" max="14" width="26.83203125" style="607" customWidth="1"/>
    <col min="15" max="16384" width="9" style="897"/>
  </cols>
  <sheetData>
    <row r="1" spans="1:14" s="578" customFormat="1" ht="27.75" customHeight="1" thickTop="1" thickBot="1">
      <c r="A1" s="647"/>
      <c r="B1" s="1146"/>
      <c r="C1" s="575"/>
      <c r="D1" s="1739"/>
      <c r="E1" s="1740" t="s">
        <v>2162</v>
      </c>
      <c r="F1" s="1741"/>
      <c r="G1" s="1113">
        <f>前回諸経費表!G1</f>
        <v>0</v>
      </c>
      <c r="H1" s="1090"/>
      <c r="I1" s="1090"/>
      <c r="J1" s="880" t="s">
        <v>2163</v>
      </c>
      <c r="K1" s="1115" t="s">
        <v>3142</v>
      </c>
      <c r="L1" s="647"/>
      <c r="M1" s="2187" t="s">
        <v>2989</v>
      </c>
      <c r="N1" s="2188"/>
    </row>
    <row r="2" spans="1:14" s="578" customFormat="1" ht="16" thickTop="1">
      <c r="A2" s="1457">
        <f ca="1">+MATCH("FixColumn",4:4,0)</f>
        <v>10</v>
      </c>
      <c r="B2" s="574"/>
      <c r="C2" s="575"/>
      <c r="D2" s="575"/>
      <c r="E2" s="576"/>
      <c r="F2" s="1184"/>
      <c r="G2" s="1173" t="s">
        <v>2745</v>
      </c>
      <c r="H2" s="1174"/>
      <c r="I2" s="1174"/>
      <c r="J2" s="1174"/>
      <c r="K2" s="1250" t="s">
        <v>2885</v>
      </c>
      <c r="L2" s="622"/>
      <c r="M2" s="1735"/>
      <c r="N2" s="1732"/>
    </row>
    <row r="3" spans="1:14" s="578" customFormat="1" ht="16" thickBot="1">
      <c r="A3" s="574">
        <f>前回諸経費表!A3+A1</f>
        <v>0</v>
      </c>
      <c r="B3" s="1187"/>
      <c r="C3" s="1712" t="s">
        <v>3097</v>
      </c>
      <c r="D3" s="2065" t="str">
        <f>IF(表紙!$N$10="指定契約","有り","無し")</f>
        <v>無し</v>
      </c>
      <c r="E3" s="1185"/>
      <c r="F3" s="1091" t="str">
        <f t="shared" ref="F3" si="0">IF(F2&gt;0,CONCATENATE("工事",F2),"")</f>
        <v/>
      </c>
      <c r="G3" s="1092" t="s">
        <v>2368</v>
      </c>
      <c r="H3" s="1091" t="str">
        <f>IF(H2&gt;0,CONCATENATE("工事",H2),"")</f>
        <v/>
      </c>
      <c r="I3" s="1091" t="str">
        <f t="shared" ref="I3" si="1">IF(I2&gt;0,CONCATENATE("工事",I2),"")</f>
        <v/>
      </c>
      <c r="J3" s="579" t="s">
        <v>241</v>
      </c>
      <c r="K3" s="578" t="s">
        <v>3100</v>
      </c>
      <c r="L3" s="647"/>
      <c r="M3" s="1735" t="s">
        <v>2986</v>
      </c>
      <c r="N3" s="1732"/>
    </row>
    <row r="4" spans="1:14" s="578" customFormat="1" ht="22.5" customHeight="1" thickBot="1">
      <c r="A4" s="1114"/>
      <c r="B4" s="1188"/>
      <c r="C4" s="647" t="str">
        <f>CONCATENATE("諸経費表　",表紙!E14,"回変更")</f>
        <v>諸経費表　第1回設計変更工事費内訳書回変更</v>
      </c>
      <c r="D4" s="647"/>
      <c r="E4" s="1387" t="s">
        <v>2164</v>
      </c>
      <c r="F4" s="1093" t="str">
        <f ca="1">IF(F2="",F89,INDIRECT(F3&amp;"!ｃ2"))</f>
        <v>-</v>
      </c>
      <c r="G4" s="1186">
        <f>前回諸経費表!G4</f>
        <v>0</v>
      </c>
      <c r="H4" s="1364">
        <f ca="1">IF(H2="",H89,INDIRECT(H3&amp;"!ｃ2"))</f>
        <v>0</v>
      </c>
      <c r="I4" s="1364">
        <f t="shared" ref="I4" ca="1" si="2">IF(I2="",I89,INDIRECT(I3&amp;"!ｃ2"))</f>
        <v>0</v>
      </c>
      <c r="J4" s="1728" t="s">
        <v>2881</v>
      </c>
      <c r="L4" s="647"/>
      <c r="M4" s="1735" t="s">
        <v>2987</v>
      </c>
      <c r="N4" s="1732"/>
    </row>
    <row r="5" spans="1:14" s="578" customFormat="1" ht="16.5" customHeight="1">
      <c r="A5" s="1213" t="s">
        <v>2367</v>
      </c>
      <c r="B5" s="1214"/>
      <c r="C5" s="581"/>
      <c r="D5" s="1215"/>
      <c r="E5" s="1216"/>
      <c r="F5" s="1388" t="s">
        <v>2977</v>
      </c>
      <c r="G5" s="1217" t="s">
        <v>2369</v>
      </c>
      <c r="H5" s="1100">
        <f>H88</f>
        <v>0</v>
      </c>
      <c r="I5" s="1100">
        <f t="shared" ref="I5" si="3">I88</f>
        <v>0</v>
      </c>
      <c r="J5" s="1004"/>
      <c r="K5" s="647" t="s">
        <v>2973</v>
      </c>
      <c r="L5" s="647"/>
      <c r="M5" s="1736" t="s">
        <v>2988</v>
      </c>
      <c r="N5" s="1732"/>
    </row>
    <row r="6" spans="1:14" s="578" customFormat="1" ht="13.5" customHeight="1">
      <c r="A6" s="580"/>
      <c r="B6" s="2192" t="s">
        <v>2166</v>
      </c>
      <c r="C6" s="2193"/>
      <c r="D6" s="2193"/>
      <c r="E6" s="582"/>
      <c r="F6" s="585">
        <f t="shared" ref="F6:F7" ca="1" si="4">F82</f>
        <v>0</v>
      </c>
      <c r="G6" s="583">
        <f ca="1">SUM(H6:J6)</f>
        <v>0</v>
      </c>
      <c r="H6" s="584">
        <f ca="1">H82</f>
        <v>0</v>
      </c>
      <c r="I6" s="585">
        <f t="shared" ref="I6:I7" ca="1" si="5">I82</f>
        <v>0</v>
      </c>
      <c r="J6" s="1004"/>
      <c r="L6" s="647"/>
      <c r="M6" s="1737"/>
      <c r="N6" s="1732"/>
    </row>
    <row r="7" spans="1:14" s="578" customFormat="1" ht="13.5" customHeight="1" thickBot="1">
      <c r="A7" s="586"/>
      <c r="B7" s="2194" t="s">
        <v>2167</v>
      </c>
      <c r="C7" s="2195"/>
      <c r="D7" s="2195"/>
      <c r="E7" s="1175"/>
      <c r="F7" s="589">
        <f t="shared" ca="1" si="4"/>
        <v>0</v>
      </c>
      <c r="G7" s="587">
        <f ca="1">SUM(H7:J7)</f>
        <v>0</v>
      </c>
      <c r="H7" s="588">
        <f ca="1">H83</f>
        <v>0</v>
      </c>
      <c r="I7" s="589">
        <f t="shared" ca="1" si="5"/>
        <v>0</v>
      </c>
      <c r="J7" s="1004"/>
      <c r="L7" s="647"/>
      <c r="M7" s="1737" t="s">
        <v>3101</v>
      </c>
      <c r="N7" s="1734"/>
    </row>
    <row r="8" spans="1:14" s="578" customFormat="1" ht="13.5" customHeight="1" thickTop="1" thickBot="1">
      <c r="A8" s="590"/>
      <c r="B8" s="2196" t="s">
        <v>229</v>
      </c>
      <c r="C8" s="2197"/>
      <c r="D8" s="2197"/>
      <c r="E8" s="591"/>
      <c r="F8" s="594">
        <f t="shared" ref="F8" ca="1" si="6">F81</f>
        <v>0</v>
      </c>
      <c r="G8" s="592">
        <f ca="1">SUM(H8:J8)</f>
        <v>0</v>
      </c>
      <c r="H8" s="593">
        <f t="shared" ref="H8:I8" ca="1" si="7">H81</f>
        <v>0</v>
      </c>
      <c r="I8" s="594">
        <f t="shared" ca="1" si="7"/>
        <v>0</v>
      </c>
      <c r="J8" s="1004"/>
      <c r="L8" s="647"/>
      <c r="M8" s="1738" t="s">
        <v>2984</v>
      </c>
      <c r="N8" s="1734">
        <v>0</v>
      </c>
    </row>
    <row r="9" spans="1:14" s="578" customFormat="1" ht="15" thickTop="1">
      <c r="A9" s="586"/>
      <c r="B9" s="2196" t="s">
        <v>2861</v>
      </c>
      <c r="C9" s="2201"/>
      <c r="D9" s="2201"/>
      <c r="E9" s="1144"/>
      <c r="F9" s="1370">
        <v>0</v>
      </c>
      <c r="G9" s="1370">
        <f>SUM(H9:J9)</f>
        <v>0</v>
      </c>
      <c r="H9" s="1368"/>
      <c r="I9" s="1368"/>
      <c r="J9" s="1145"/>
      <c r="K9" s="1369" t="s">
        <v>2972</v>
      </c>
      <c r="L9" s="647"/>
      <c r="M9" s="647"/>
      <c r="N9" s="647"/>
    </row>
    <row r="10" spans="1:14" s="602" customFormat="1" ht="13.5" customHeight="1">
      <c r="A10" s="595"/>
      <c r="B10" s="596"/>
      <c r="C10" s="597" t="s">
        <v>2168</v>
      </c>
      <c r="D10" s="598"/>
      <c r="E10" s="599"/>
      <c r="F10" s="601">
        <f ca="1">IF(F3="",F86,IFERROR(INDIRECT(F3&amp;"!L6"),""))</f>
        <v>0</v>
      </c>
      <c r="G10" s="1241" t="s">
        <v>2907</v>
      </c>
      <c r="H10" s="601">
        <f ca="1">IF(H3="",H86,IFERROR(INDIRECT(H3&amp;"!L6"),""))</f>
        <v>0</v>
      </c>
      <c r="I10" s="601">
        <f t="shared" ref="I10" ca="1" si="8">IF(I3="",I86,IFERROR(INDIRECT(I3&amp;"!L6"),""))</f>
        <v>0</v>
      </c>
      <c r="J10" s="1005"/>
    </row>
    <row r="11" spans="1:14" s="602" customFormat="1" ht="13.5" customHeight="1">
      <c r="A11" s="994"/>
      <c r="B11" s="995"/>
      <c r="C11" s="1176" t="s">
        <v>2169</v>
      </c>
      <c r="D11" s="1177"/>
      <c r="E11" s="603"/>
      <c r="F11" s="1099"/>
      <c r="G11" s="1242" t="s">
        <v>2906</v>
      </c>
      <c r="H11" s="1099">
        <f>IF(H87="","",H87)</f>
        <v>0</v>
      </c>
      <c r="I11" s="1099">
        <f t="shared" ref="I11" si="9">IF(I87="","",I87)</f>
        <v>0</v>
      </c>
      <c r="J11" s="916"/>
      <c r="K11" s="1191" t="s">
        <v>2886</v>
      </c>
      <c r="L11" s="1192"/>
      <c r="M11" s="1192"/>
      <c r="N11" s="1192"/>
    </row>
    <row r="12" spans="1:14" s="607" customFormat="1" ht="13.5" customHeight="1">
      <c r="A12" s="1750"/>
      <c r="B12" s="604"/>
      <c r="C12" s="604"/>
      <c r="D12" s="604"/>
      <c r="E12" s="604" t="s">
        <v>2170</v>
      </c>
      <c r="F12" s="1248"/>
      <c r="G12" s="1251"/>
      <c r="H12" s="1248">
        <f>H90</f>
        <v>0</v>
      </c>
      <c r="I12" s="1249">
        <f t="shared" ref="I12:I14" si="10">I90</f>
        <v>0</v>
      </c>
      <c r="J12" s="915"/>
      <c r="K12" s="1191" t="s">
        <v>2886</v>
      </c>
      <c r="L12" s="1192"/>
      <c r="M12" s="1192"/>
      <c r="N12" s="1192"/>
    </row>
    <row r="13" spans="1:14" s="607" customFormat="1" ht="24.75" customHeight="1">
      <c r="A13" s="2207" t="s">
        <v>2748</v>
      </c>
      <c r="B13" s="2208"/>
      <c r="C13" s="2208"/>
      <c r="D13" s="2208"/>
      <c r="E13" s="2209"/>
      <c r="F13" s="1098"/>
      <c r="G13" s="1046"/>
      <c r="H13" s="1096">
        <f>H91</f>
        <v>0</v>
      </c>
      <c r="I13" s="1096">
        <f t="shared" si="10"/>
        <v>0</v>
      </c>
      <c r="J13" s="915"/>
      <c r="K13" s="1191" t="s">
        <v>2886</v>
      </c>
      <c r="L13" s="1192"/>
      <c r="M13" s="1192"/>
      <c r="N13" s="1192"/>
    </row>
    <row r="14" spans="1:14" s="607" customFormat="1" ht="24.75" customHeight="1">
      <c r="A14" s="2207" t="s">
        <v>2172</v>
      </c>
      <c r="B14" s="2208"/>
      <c r="C14" s="2208"/>
      <c r="D14" s="2208"/>
      <c r="E14" s="2209"/>
      <c r="F14" s="1097"/>
      <c r="G14" s="1032"/>
      <c r="H14" s="1097">
        <f>H92</f>
        <v>0</v>
      </c>
      <c r="I14" s="1097">
        <f t="shared" si="10"/>
        <v>0</v>
      </c>
      <c r="J14" s="915"/>
      <c r="K14" s="1191" t="s">
        <v>2886</v>
      </c>
      <c r="L14" s="1192"/>
      <c r="M14" s="1192"/>
      <c r="N14" s="1192"/>
    </row>
    <row r="15" spans="1:14" s="607" customFormat="1" ht="13.5" customHeight="1">
      <c r="A15" s="595"/>
      <c r="B15" s="608" t="s">
        <v>2173</v>
      </c>
      <c r="C15" s="609"/>
      <c r="D15" s="609"/>
      <c r="E15" s="610"/>
      <c r="F15" s="612">
        <f ca="1">+F16+F17</f>
        <v>0</v>
      </c>
      <c r="G15" s="611">
        <f t="shared" ref="G15:G21" ca="1" si="11">SUM(H15:J15)</f>
        <v>0</v>
      </c>
      <c r="H15" s="612">
        <f ca="1">+H16+H17</f>
        <v>0</v>
      </c>
      <c r="I15" s="612">
        <f t="shared" ref="I15" ca="1" si="12">+I16+I17</f>
        <v>0</v>
      </c>
      <c r="J15" s="915"/>
    </row>
    <row r="16" spans="1:14" s="607" customFormat="1" ht="13.5" customHeight="1">
      <c r="A16" s="994"/>
      <c r="B16" s="995"/>
      <c r="C16" s="538" t="s">
        <v>2174</v>
      </c>
      <c r="D16" s="539"/>
      <c r="E16" s="599"/>
      <c r="F16" s="725">
        <f ca="1">IF(F$2&gt;0,SUMIF(INDIRECT(F$3&amp;"!$M:$M"),$K16,INDIRECT(F$3&amp;"!$i:$i")),0)</f>
        <v>0</v>
      </c>
      <c r="G16" s="613">
        <f t="shared" ca="1" si="11"/>
        <v>0</v>
      </c>
      <c r="H16" s="725">
        <f ca="1">IF(H$2&gt;0,SUMIF(INDIRECT(H$3&amp;"!$M:$M"),$K16,INDIRECT(H$3&amp;"!$i:$i")),0)</f>
        <v>0</v>
      </c>
      <c r="I16" s="725">
        <f ca="1">IF(I$2&gt;0,SUMIF(INDIRECT(I$3&amp;"!$M:$M"),$K16,INDIRECT(I$3&amp;"!$i:$i")),0)</f>
        <v>0</v>
      </c>
      <c r="J16" s="915"/>
      <c r="K16" s="607" t="s">
        <v>2390</v>
      </c>
    </row>
    <row r="17" spans="1:14" s="607" customFormat="1" ht="14">
      <c r="A17" s="994"/>
      <c r="B17" s="995"/>
      <c r="C17" s="540" t="s">
        <v>2175</v>
      </c>
      <c r="D17" s="540"/>
      <c r="E17" s="614"/>
      <c r="F17" s="616">
        <f ca="1">F23+F24</f>
        <v>0</v>
      </c>
      <c r="G17" s="615">
        <f t="shared" ca="1" si="11"/>
        <v>0</v>
      </c>
      <c r="H17" s="616">
        <f ca="1">H23+H24</f>
        <v>0</v>
      </c>
      <c r="I17" s="616">
        <f t="shared" ref="I17" ca="1" si="13">I23+I24</f>
        <v>0</v>
      </c>
      <c r="J17" s="915"/>
    </row>
    <row r="18" spans="1:14" s="607" customFormat="1" ht="13.5" customHeight="1">
      <c r="A18" s="994"/>
      <c r="B18" s="995"/>
      <c r="C18" s="617" t="s">
        <v>2176</v>
      </c>
      <c r="D18" s="540"/>
      <c r="E18" s="614"/>
      <c r="F18" s="616">
        <f t="shared" ref="F18" ca="1" si="14">F392-F176</f>
        <v>0</v>
      </c>
      <c r="G18" s="615">
        <f t="shared" ca="1" si="11"/>
        <v>0</v>
      </c>
      <c r="H18" s="616">
        <f ca="1">H392-H176</f>
        <v>0</v>
      </c>
      <c r="I18" s="616">
        <f t="shared" ref="I18" ca="1" si="15">I392-I176</f>
        <v>0</v>
      </c>
      <c r="J18" s="915"/>
      <c r="K18" s="1137"/>
      <c r="L18" s="1137"/>
      <c r="M18" s="1137"/>
      <c r="N18" s="1137"/>
    </row>
    <row r="19" spans="1:14" s="607" customFormat="1" ht="13.5" customHeight="1">
      <c r="A19" s="994"/>
      <c r="B19" s="995"/>
      <c r="C19" s="617" t="s">
        <v>2177</v>
      </c>
      <c r="D19" s="540"/>
      <c r="E19" s="614"/>
      <c r="F19" s="616">
        <f ca="1">IF(AND(F16=0,F10=F86,F14="無し"),F18,0)</f>
        <v>0</v>
      </c>
      <c r="G19" s="615">
        <f t="shared" ca="1" si="11"/>
        <v>0</v>
      </c>
      <c r="H19" s="616">
        <f t="shared" ref="H19:I19" ca="1" si="16">IF(AND(H16=0,H10=H86,H14="無し"),H18,0)</f>
        <v>0</v>
      </c>
      <c r="I19" s="616">
        <f t="shared" ca="1" si="16"/>
        <v>0</v>
      </c>
      <c r="J19" s="1006"/>
      <c r="K19" s="1138"/>
      <c r="L19" s="1137"/>
      <c r="M19" s="1137"/>
      <c r="N19" s="1137"/>
    </row>
    <row r="20" spans="1:14" s="607" customFormat="1" ht="13.5" customHeight="1">
      <c r="A20" s="994"/>
      <c r="B20" s="995"/>
      <c r="C20" s="617" t="s">
        <v>2178</v>
      </c>
      <c r="D20" s="540"/>
      <c r="E20" s="614"/>
      <c r="F20" s="616">
        <f t="shared" ref="F20" ca="1" si="17">F16-F45</f>
        <v>0</v>
      </c>
      <c r="G20" s="615">
        <f t="shared" ca="1" si="11"/>
        <v>0</v>
      </c>
      <c r="H20" s="616">
        <f ca="1">H16-H45</f>
        <v>0</v>
      </c>
      <c r="I20" s="616">
        <f t="shared" ref="I20" ca="1" si="18">I16-I45</f>
        <v>0</v>
      </c>
      <c r="J20" s="1006"/>
    </row>
    <row r="21" spans="1:14" s="607" customFormat="1" ht="13.5" customHeight="1">
      <c r="A21" s="994"/>
      <c r="B21" s="995"/>
      <c r="C21" s="617" t="s">
        <v>2179</v>
      </c>
      <c r="D21" s="540"/>
      <c r="E21" s="614"/>
      <c r="F21" s="616">
        <f ca="1">IF($G$19=0,0,(IF(F19=0,INT(F20/$G20*$G19),0)))</f>
        <v>0</v>
      </c>
      <c r="G21" s="615">
        <f t="shared" ca="1" si="11"/>
        <v>0</v>
      </c>
      <c r="H21" s="616">
        <f t="shared" ref="H21:I21" ca="1" si="19">IF($G$19=0,0,(IF(H19=0,INT(H20/$G20*$G19),0)))</f>
        <v>0</v>
      </c>
      <c r="I21" s="616">
        <f t="shared" ca="1" si="19"/>
        <v>0</v>
      </c>
      <c r="J21" s="1006"/>
      <c r="K21" s="618"/>
      <c r="L21" s="618"/>
      <c r="M21" s="618"/>
      <c r="N21" s="618"/>
    </row>
    <row r="22" spans="1:14" s="607" customFormat="1" ht="13.5" customHeight="1">
      <c r="A22" s="994"/>
      <c r="B22" s="995"/>
      <c r="C22" s="996" t="s">
        <v>2180</v>
      </c>
      <c r="D22" s="540"/>
      <c r="E22" s="614"/>
      <c r="F22" s="619">
        <f ca="1">IF($G22=0,0,IF(F21=0,0,IF(SUM(E22:$H22)=0,$G22,0)))</f>
        <v>0</v>
      </c>
      <c r="G22" s="615">
        <f ca="1">G19-G21</f>
        <v>0</v>
      </c>
      <c r="H22" s="619">
        <f ca="1">IF($G22=0,0,IF(H21=0,0,$G22))</f>
        <v>0</v>
      </c>
      <c r="I22" s="619">
        <f ca="1">IF($G22=0,0,IF(I21=0,0,IF(SUM($H22:H22)=0,$G22,0)))</f>
        <v>0</v>
      </c>
      <c r="J22" s="1007"/>
      <c r="K22" s="620"/>
      <c r="L22" s="620"/>
      <c r="M22" s="620"/>
      <c r="N22" s="620"/>
    </row>
    <row r="23" spans="1:14" s="607" customFormat="1" ht="13.5" customHeight="1">
      <c r="A23" s="994"/>
      <c r="B23" s="995"/>
      <c r="C23" s="617" t="s">
        <v>2181</v>
      </c>
      <c r="D23" s="540"/>
      <c r="E23" s="614"/>
      <c r="F23" s="619">
        <f ca="1">IF(F45=0,IF(F16=0,IF(F10=F86,0,F18+F21+F22),F18+F21+F22),0)</f>
        <v>0</v>
      </c>
      <c r="G23" s="615">
        <f ca="1">SUM(H23:J23)</f>
        <v>0</v>
      </c>
      <c r="H23" s="619">
        <f ca="1">IF(H45=0,IF(AND(H16=0,H10=H86,H14="無し"),0,H18+H21+H22))</f>
        <v>0</v>
      </c>
      <c r="I23" s="619">
        <f t="shared" ref="I23" ca="1" si="20">IF(I45=0,IF(I16=0,IF(I10=I86,0,I18+I21+I22),I18+I21+I22),0)</f>
        <v>0</v>
      </c>
      <c r="J23" s="1007"/>
      <c r="K23" s="620"/>
      <c r="L23" s="620"/>
      <c r="M23" s="620"/>
      <c r="N23" s="620"/>
    </row>
    <row r="24" spans="1:14" s="607" customFormat="1" ht="14">
      <c r="A24" s="994"/>
      <c r="B24" s="995"/>
      <c r="C24" s="617" t="s">
        <v>2182</v>
      </c>
      <c r="D24" s="540"/>
      <c r="E24" s="614"/>
      <c r="F24" s="616">
        <f ca="1">IF(F$2&gt;0,SUMIF(INDIRECT(F$3&amp;"!$M:$M"),$K24,INDIRECT(F$3&amp;"!$i:$i")),0)</f>
        <v>0</v>
      </c>
      <c r="G24" s="615">
        <f ca="1">SUM(H24:J24)</f>
        <v>0</v>
      </c>
      <c r="H24" s="616">
        <f t="shared" ref="H24:I26" ca="1" si="21">IF(H$2&gt;0,SUMIF(INDIRECT(H$3&amp;"!$M:$M"),$K24,INDIRECT(H$3&amp;"!$i:$i")),0)</f>
        <v>0</v>
      </c>
      <c r="I24" s="616">
        <f t="shared" ca="1" si="21"/>
        <v>0</v>
      </c>
      <c r="J24" s="915"/>
      <c r="K24" s="607" t="s">
        <v>2391</v>
      </c>
    </row>
    <row r="25" spans="1:14" s="607" customFormat="1" ht="13.5" customHeight="1">
      <c r="A25" s="994"/>
      <c r="B25" s="995"/>
      <c r="C25" s="621" t="s">
        <v>2183</v>
      </c>
      <c r="D25" s="540"/>
      <c r="E25" s="614"/>
      <c r="F25" s="616">
        <f ca="1">IF(F$2&gt;0,SUMIF(INDIRECT(F$3&amp;"!$M:$M"),$K25,INDIRECT(F$3&amp;"!$i:$i")),0)</f>
        <v>0</v>
      </c>
      <c r="G25" s="615">
        <f ca="1">SUM(H25:J25)</f>
        <v>0</v>
      </c>
      <c r="H25" s="616">
        <f t="shared" ca="1" si="21"/>
        <v>0</v>
      </c>
      <c r="I25" s="616">
        <f t="shared" ca="1" si="21"/>
        <v>0</v>
      </c>
      <c r="J25" s="915"/>
      <c r="K25" s="607" t="s">
        <v>2392</v>
      </c>
    </row>
    <row r="26" spans="1:14" s="607" customFormat="1" ht="14">
      <c r="A26" s="994"/>
      <c r="B26" s="995"/>
      <c r="C26" s="622" t="s">
        <v>2184</v>
      </c>
      <c r="D26" s="623"/>
      <c r="E26" s="624"/>
      <c r="F26" s="724">
        <f ca="1">IF(F$2&gt;0,SUMIF(INDIRECT(F$3&amp;"!$M:$M"),$K26,INDIRECT(F$3&amp;"!$i:$i")),0)</f>
        <v>0</v>
      </c>
      <c r="G26" s="625">
        <f ca="1">SUM(H26:J26)</f>
        <v>0</v>
      </c>
      <c r="H26" s="724">
        <f t="shared" ca="1" si="21"/>
        <v>0</v>
      </c>
      <c r="I26" s="724">
        <f t="shared" ca="1" si="21"/>
        <v>0</v>
      </c>
      <c r="J26" s="915"/>
      <c r="K26" s="607" t="s">
        <v>2393</v>
      </c>
    </row>
    <row r="27" spans="1:14" s="607" customFormat="1" ht="13.5" customHeight="1">
      <c r="A27" s="626" t="s">
        <v>2185</v>
      </c>
      <c r="B27" s="627"/>
      <c r="C27" s="628"/>
      <c r="D27" s="628"/>
      <c r="E27" s="629"/>
      <c r="F27" s="631"/>
      <c r="G27" s="630"/>
      <c r="H27" s="631"/>
      <c r="I27" s="631"/>
      <c r="J27" s="915"/>
    </row>
    <row r="28" spans="1:14" s="607" customFormat="1" ht="14">
      <c r="A28" s="967"/>
      <c r="B28" s="1746"/>
      <c r="C28" s="539" t="s">
        <v>2187</v>
      </c>
      <c r="D28" s="539"/>
      <c r="E28" s="600"/>
      <c r="F28" s="725">
        <f>IF(F11="新営",F16-SUM(F30:F41)-F45-F44,0)</f>
        <v>0</v>
      </c>
      <c r="G28" s="613">
        <f t="shared" ref="G28:G34" si="22">SUM(H28:J28)</f>
        <v>0</v>
      </c>
      <c r="H28" s="725">
        <f t="shared" ref="H28:I28" si="23">IF(H11="新営",H16-SUM(H30:H41)-H45-H44,0)</f>
        <v>0</v>
      </c>
      <c r="I28" s="725">
        <f t="shared" si="23"/>
        <v>0</v>
      </c>
      <c r="J28" s="915"/>
    </row>
    <row r="29" spans="1:14" s="607" customFormat="1" ht="16">
      <c r="A29" s="967"/>
      <c r="B29" s="1743" t="s">
        <v>3103</v>
      </c>
      <c r="C29" s="541" t="s">
        <v>2188</v>
      </c>
      <c r="D29" s="541"/>
      <c r="E29" s="614"/>
      <c r="F29" s="616">
        <f>IF(F11="改修",F16-SUM(F30:F41)-F45-F44,0)</f>
        <v>0</v>
      </c>
      <c r="G29" s="615">
        <f t="shared" si="22"/>
        <v>0</v>
      </c>
      <c r="H29" s="616">
        <f>IF(H11="改修",H16-SUM(H30:H41)-H45-H44,0)</f>
        <v>0</v>
      </c>
      <c r="I29" s="616">
        <f t="shared" ref="I29" si="24">IF(I11="改修",I16-SUM(I30:I41)-I45-I44,0)</f>
        <v>0</v>
      </c>
      <c r="J29" s="915"/>
    </row>
    <row r="30" spans="1:14" s="607" customFormat="1" ht="16">
      <c r="A30" s="967"/>
      <c r="B30" s="1743" t="s">
        <v>3105</v>
      </c>
      <c r="C30" s="632" t="s">
        <v>2189</v>
      </c>
      <c r="D30" s="541"/>
      <c r="E30" s="614"/>
      <c r="F30" s="616">
        <f ca="1">IF(F$2&gt;0,SUMIF(INDIRECT(F$3&amp;"!$M:$M"),$K30,INDIRECT(F$3&amp;"!$i:$i")),0)</f>
        <v>0</v>
      </c>
      <c r="G30" s="615">
        <f t="shared" ca="1" si="22"/>
        <v>0</v>
      </c>
      <c r="H30" s="616">
        <f t="shared" ref="H30:I34" ca="1" si="25">IF(H$2&gt;0,SUMIF(INDIRECT(H$3&amp;"!$M:$M"),$K30,INDIRECT(H$3&amp;"!$i:$i")),0)</f>
        <v>0</v>
      </c>
      <c r="I30" s="616">
        <f t="shared" ca="1" si="25"/>
        <v>0</v>
      </c>
      <c r="J30" s="915"/>
      <c r="K30" s="607" t="s">
        <v>2394</v>
      </c>
    </row>
    <row r="31" spans="1:14" s="607" customFormat="1" ht="14">
      <c r="A31" s="967"/>
      <c r="B31" s="1744"/>
      <c r="C31" s="632" t="s">
        <v>2190</v>
      </c>
      <c r="D31" s="541"/>
      <c r="E31" s="614"/>
      <c r="F31" s="616">
        <f ca="1">IF(F$2&gt;0,SUMIF(INDIRECT(F$3&amp;"!$M:$M"),$K31,INDIRECT(F$3&amp;"!$i:$i")),0)</f>
        <v>0</v>
      </c>
      <c r="G31" s="615">
        <f t="shared" ca="1" si="22"/>
        <v>0</v>
      </c>
      <c r="H31" s="616">
        <f t="shared" ca="1" si="25"/>
        <v>0</v>
      </c>
      <c r="I31" s="616">
        <f t="shared" ca="1" si="25"/>
        <v>0</v>
      </c>
      <c r="J31" s="915"/>
      <c r="K31" s="607" t="s">
        <v>2395</v>
      </c>
    </row>
    <row r="32" spans="1:14" s="607" customFormat="1" ht="13.5" customHeight="1">
      <c r="A32" s="967"/>
      <c r="B32" s="1742"/>
      <c r="C32" s="540" t="s">
        <v>2192</v>
      </c>
      <c r="D32" s="541"/>
      <c r="E32" s="614"/>
      <c r="F32" s="616">
        <f ca="1">IF(F$2&gt;0,SUMIF(INDIRECT(F$3&amp;"!$M:$M"),$K32,INDIRECT(F$3&amp;"!$i:$i")),0)</f>
        <v>0</v>
      </c>
      <c r="G32" s="615">
        <f t="shared" ca="1" si="22"/>
        <v>0</v>
      </c>
      <c r="H32" s="616">
        <f t="shared" ca="1" si="25"/>
        <v>0</v>
      </c>
      <c r="I32" s="616">
        <f t="shared" ca="1" si="25"/>
        <v>0</v>
      </c>
      <c r="J32" s="915"/>
      <c r="K32" s="607" t="s">
        <v>2396</v>
      </c>
    </row>
    <row r="33" spans="1:14" s="607" customFormat="1" ht="16">
      <c r="A33" s="967"/>
      <c r="B33" s="1743" t="s">
        <v>3107</v>
      </c>
      <c r="C33" s="540" t="s">
        <v>2193</v>
      </c>
      <c r="D33" s="541"/>
      <c r="E33" s="614"/>
      <c r="F33" s="616">
        <f ca="1">IF(F$2&gt;0,SUMIF(INDIRECT(F$3&amp;"!$M:$M"),$K33,INDIRECT(F$3&amp;"!$i:$i")),0)</f>
        <v>0</v>
      </c>
      <c r="G33" s="615">
        <f t="shared" ca="1" si="22"/>
        <v>0</v>
      </c>
      <c r="H33" s="616">
        <f t="shared" ca="1" si="25"/>
        <v>0</v>
      </c>
      <c r="I33" s="616">
        <f t="shared" ca="1" si="25"/>
        <v>0</v>
      </c>
      <c r="J33" s="915"/>
      <c r="K33" s="607" t="s">
        <v>2397</v>
      </c>
    </row>
    <row r="34" spans="1:14" s="607" customFormat="1" ht="16">
      <c r="A34" s="967"/>
      <c r="B34" s="1743" t="s">
        <v>3108</v>
      </c>
      <c r="C34" s="541" t="s">
        <v>2194</v>
      </c>
      <c r="D34" s="541"/>
      <c r="E34" s="614"/>
      <c r="F34" s="616">
        <f ca="1">IF(F$2&gt;0,SUMIF(INDIRECT(F$3&amp;"!$M:$M"),$K34,INDIRECT(F$3&amp;"!$i:$i")),0)</f>
        <v>0</v>
      </c>
      <c r="G34" s="615">
        <f t="shared" ca="1" si="22"/>
        <v>0</v>
      </c>
      <c r="H34" s="616">
        <f t="shared" ca="1" si="25"/>
        <v>0</v>
      </c>
      <c r="I34" s="616">
        <f t="shared" ca="1" si="25"/>
        <v>0</v>
      </c>
      <c r="J34" s="915"/>
      <c r="K34" s="607" t="s">
        <v>2398</v>
      </c>
    </row>
    <row r="35" spans="1:14" s="607" customFormat="1" ht="13.5" customHeight="1">
      <c r="A35" s="967"/>
      <c r="B35" s="1743" t="s">
        <v>3109</v>
      </c>
      <c r="C35" s="541" t="s">
        <v>2195</v>
      </c>
      <c r="D35" s="541"/>
      <c r="E35" s="614"/>
      <c r="F35" s="616"/>
      <c r="G35" s="615"/>
      <c r="H35" s="616"/>
      <c r="I35" s="616"/>
      <c r="J35" s="915"/>
    </row>
    <row r="36" spans="1:14" s="607" customFormat="1" ht="16">
      <c r="A36" s="967"/>
      <c r="B36" s="1743" t="s">
        <v>3110</v>
      </c>
      <c r="C36" s="541" t="s">
        <v>2196</v>
      </c>
      <c r="D36" s="541"/>
      <c r="E36" s="614"/>
      <c r="F36" s="616"/>
      <c r="G36" s="615"/>
      <c r="H36" s="616"/>
      <c r="I36" s="616"/>
      <c r="J36" s="915"/>
    </row>
    <row r="37" spans="1:14" s="607" customFormat="1" ht="16">
      <c r="A37" s="967"/>
      <c r="B37" s="1743" t="s">
        <v>3111</v>
      </c>
      <c r="C37" s="541" t="s">
        <v>2197</v>
      </c>
      <c r="D37" s="541"/>
      <c r="E37" s="614"/>
      <c r="F37" s="616">
        <f ca="1">IF(F$2&gt;0,SUMIF(INDIRECT(F$3&amp;"!$M:$M"),$K37,INDIRECT(F$3&amp;"!$i:$i")),0)</f>
        <v>0</v>
      </c>
      <c r="G37" s="615">
        <f t="shared" ref="G37:G47" ca="1" si="26">SUM(H37:J37)</f>
        <v>0</v>
      </c>
      <c r="H37" s="616">
        <f ca="1">IF(H$2&gt;0,SUMIF(INDIRECT(H$3&amp;"!$M:$M"),$K37,INDIRECT(H$3&amp;"!$i:$i")),0)</f>
        <v>0</v>
      </c>
      <c r="I37" s="616">
        <f ca="1">IF(I$2&gt;0,SUMIF(INDIRECT(I$3&amp;"!$M:$M"),$K37,INDIRECT(I$3&amp;"!$i:$i")),0)</f>
        <v>0</v>
      </c>
      <c r="J37" s="915"/>
      <c r="K37" s="607" t="s">
        <v>2399</v>
      </c>
    </row>
    <row r="38" spans="1:14" s="607" customFormat="1" ht="14">
      <c r="A38" s="967"/>
      <c r="B38" s="1743"/>
      <c r="C38" s="633" t="s">
        <v>2198</v>
      </c>
      <c r="D38" s="541"/>
      <c r="E38" s="614"/>
      <c r="F38" s="1382"/>
      <c r="G38" s="615">
        <f t="shared" si="26"/>
        <v>0</v>
      </c>
      <c r="H38" s="1382"/>
      <c r="I38" s="1382"/>
      <c r="J38" s="915"/>
      <c r="K38" s="1383" t="s">
        <v>2904</v>
      </c>
    </row>
    <row r="39" spans="1:14" s="607" customFormat="1" ht="14">
      <c r="A39" s="967"/>
      <c r="B39" s="1743"/>
      <c r="C39" s="634" t="s">
        <v>2199</v>
      </c>
      <c r="D39" s="541"/>
      <c r="E39" s="614"/>
      <c r="F39" s="1382"/>
      <c r="G39" s="615">
        <f t="shared" si="26"/>
        <v>0</v>
      </c>
      <c r="H39" s="1382"/>
      <c r="I39" s="1382"/>
      <c r="J39" s="915"/>
      <c r="K39" s="1383" t="s">
        <v>2904</v>
      </c>
    </row>
    <row r="40" spans="1:14" s="607" customFormat="1" ht="14">
      <c r="A40" s="967"/>
      <c r="B40" s="1744"/>
      <c r="C40" s="541" t="s">
        <v>2200</v>
      </c>
      <c r="D40" s="541"/>
      <c r="E40" s="614"/>
      <c r="F40" s="616">
        <f ca="1">IF(F$2&gt;0,SUMIF(INDIRECT(F$3&amp;"!$M:$M"),$K40,INDIRECT(F$3&amp;"!$i:$i")),0)</f>
        <v>0</v>
      </c>
      <c r="G40" s="615">
        <f t="shared" ca="1" si="26"/>
        <v>0</v>
      </c>
      <c r="H40" s="616">
        <f ca="1">IF(H$2&gt;0,SUMIF(INDIRECT(H$3&amp;"!$M:$M"),$K40,INDIRECT(H$3&amp;"!$i:$i")),0)</f>
        <v>0</v>
      </c>
      <c r="I40" s="616">
        <f ca="1">IF(I$2&gt;0,SUMIF(INDIRECT(I$3&amp;"!$M:$M"),$K40,INDIRECT(I$3&amp;"!$i:$i")),0)</f>
        <v>0</v>
      </c>
      <c r="J40" s="915"/>
      <c r="K40" s="607" t="s">
        <v>2400</v>
      </c>
    </row>
    <row r="41" spans="1:14" s="607" customFormat="1" ht="14">
      <c r="A41" s="967"/>
      <c r="B41" s="1742"/>
      <c r="C41" s="632" t="s">
        <v>2202</v>
      </c>
      <c r="D41" s="541"/>
      <c r="E41" s="614"/>
      <c r="F41" s="616">
        <f ca="1">IF(F$2&gt;0,SUMIF(INDIRECT(F$3&amp;"!$M:$M"),$K41,INDIRECT(F$3&amp;"!$i:$i")),0)</f>
        <v>0</v>
      </c>
      <c r="G41" s="615">
        <f t="shared" ca="1" si="26"/>
        <v>0</v>
      </c>
      <c r="H41" s="616">
        <f ca="1">IF(H$2&gt;0,SUMIF(INDIRECT(H$3&amp;"!$M:$M"),$K41,INDIRECT(H$3&amp;"!$i:$i")),0)</f>
        <v>0</v>
      </c>
      <c r="I41" s="616">
        <f ca="1">IF(I$2&gt;0,SUMIF(INDIRECT(I$3&amp;"!$M:$M"),$K41,INDIRECT(I$3&amp;"!$i:$i")),0)</f>
        <v>0</v>
      </c>
      <c r="J41" s="915"/>
      <c r="K41" s="607" t="s">
        <v>2401</v>
      </c>
    </row>
    <row r="42" spans="1:14" s="607" customFormat="1" ht="16">
      <c r="A42" s="967"/>
      <c r="B42" s="1743" t="s">
        <v>3112</v>
      </c>
      <c r="C42" s="632" t="s">
        <v>2203</v>
      </c>
      <c r="D42" s="541"/>
      <c r="E42" s="614"/>
      <c r="F42" s="616">
        <f t="shared" ref="F42" ca="1" si="27">+F26</f>
        <v>0</v>
      </c>
      <c r="G42" s="615">
        <f t="shared" ca="1" si="26"/>
        <v>0</v>
      </c>
      <c r="H42" s="616">
        <f t="shared" ref="H42:I42" ca="1" si="28">+H26</f>
        <v>0</v>
      </c>
      <c r="I42" s="616">
        <f t="shared" ca="1" si="28"/>
        <v>0</v>
      </c>
      <c r="J42" s="915"/>
    </row>
    <row r="43" spans="1:14" s="607" customFormat="1" ht="14">
      <c r="A43" s="967"/>
      <c r="B43" s="1743"/>
      <c r="C43" s="541" t="s">
        <v>2204</v>
      </c>
      <c r="D43" s="541"/>
      <c r="E43" s="614"/>
      <c r="F43" s="616">
        <f t="shared" ref="F43" ca="1" si="29">+F25</f>
        <v>0</v>
      </c>
      <c r="G43" s="615">
        <f t="shared" ca="1" si="26"/>
        <v>0</v>
      </c>
      <c r="H43" s="616">
        <f t="shared" ref="H43:I43" ca="1" si="30">+H25</f>
        <v>0</v>
      </c>
      <c r="I43" s="616">
        <f t="shared" ca="1" si="30"/>
        <v>0</v>
      </c>
      <c r="J43" s="915"/>
    </row>
    <row r="44" spans="1:14" s="607" customFormat="1" ht="14">
      <c r="A44" s="967"/>
      <c r="B44" s="1743"/>
      <c r="C44" s="541" t="s">
        <v>2205</v>
      </c>
      <c r="D44" s="541"/>
      <c r="E44" s="614"/>
      <c r="F44" s="616">
        <f ca="1">IF(F$2&gt;0,SUMIF(INDIRECT(F$3&amp;"!$M:$M"),$K44,INDIRECT(F$3&amp;"!$i:$i")),0)</f>
        <v>0</v>
      </c>
      <c r="G44" s="615">
        <f t="shared" ca="1" si="26"/>
        <v>0</v>
      </c>
      <c r="H44" s="616">
        <f ca="1">IF(H$2&gt;0,SUMIF(INDIRECT(H$3&amp;"!$M:$M"),$K44,INDIRECT(H$3&amp;"!$i:$i")),0)</f>
        <v>0</v>
      </c>
      <c r="I44" s="616">
        <f ca="1">IF(I$2&gt;0,SUMIF(INDIRECT(I$3&amp;"!$M:$M"),$K44,INDIRECT(I$3&amp;"!$i:$i")),0)</f>
        <v>0</v>
      </c>
      <c r="J44" s="915"/>
      <c r="K44" s="607" t="s">
        <v>2402</v>
      </c>
    </row>
    <row r="45" spans="1:14" s="607" customFormat="1" ht="13.5" customHeight="1">
      <c r="A45" s="967"/>
      <c r="B45" s="1743"/>
      <c r="C45" s="1178" t="s">
        <v>2206</v>
      </c>
      <c r="D45" s="1178"/>
      <c r="E45" s="635"/>
      <c r="F45" s="1244">
        <f ca="1">IFERROR(IF(INDIRECT(F$3&amp;"!＄N＄1")="附帯工事明細",F$16,0),0)</f>
        <v>0</v>
      </c>
      <c r="G45" s="615">
        <f t="shared" ca="1" si="26"/>
        <v>0</v>
      </c>
      <c r="H45" s="1244">
        <f t="shared" ref="H45:I45" ca="1" si="31">IFERROR(IF(INDIRECT(H$3&amp;"!＄N＄1")="附帯工事明細",H$16,0),0)</f>
        <v>0</v>
      </c>
      <c r="I45" s="1244">
        <f t="shared" ca="1" si="31"/>
        <v>0</v>
      </c>
      <c r="J45" s="915"/>
      <c r="K45" s="1235" t="s">
        <v>2902</v>
      </c>
      <c r="L45" s="1193"/>
      <c r="M45" s="1193"/>
      <c r="N45" s="1193"/>
    </row>
    <row r="46" spans="1:14" s="607" customFormat="1" ht="16">
      <c r="A46" s="967"/>
      <c r="B46" s="1743" t="s">
        <v>3113</v>
      </c>
      <c r="C46" s="1178" t="s">
        <v>2207</v>
      </c>
      <c r="D46" s="1178"/>
      <c r="E46" s="635"/>
      <c r="F46" s="1244">
        <f ca="1">IFERROR(IF(INDIRECT(F$3&amp;"!＄N＄1")="附帯工事明細",F$24,0),0)</f>
        <v>0</v>
      </c>
      <c r="G46" s="615">
        <f t="shared" ca="1" si="26"/>
        <v>0</v>
      </c>
      <c r="H46" s="1244">
        <f ca="1">IFERROR(IF(INDIRECT(H$3&amp;"!＄N＄1")="附帯工事明細",H$24,0),0)</f>
        <v>0</v>
      </c>
      <c r="I46" s="1244">
        <f ca="1">IFERROR(IF(INDIRECT(I$3&amp;"!＄N＄1")="附帯工事明細",I$24,0),0)</f>
        <v>0</v>
      </c>
      <c r="J46" s="915"/>
      <c r="K46" s="1235" t="s">
        <v>2902</v>
      </c>
      <c r="L46" s="1193"/>
      <c r="M46" s="1193"/>
      <c r="N46" s="1193"/>
    </row>
    <row r="47" spans="1:14" s="607" customFormat="1" ht="14">
      <c r="A47" s="968"/>
      <c r="B47" s="1745"/>
      <c r="C47" s="636" t="s">
        <v>2208</v>
      </c>
      <c r="D47" s="636"/>
      <c r="E47" s="637"/>
      <c r="F47" s="723">
        <f ca="1">IF(F$2&gt;0,SUMIF(INDIRECT(F$3&amp;"!$M:$M"),$K47,INDIRECT(F$3&amp;"!$i:$i")),0)</f>
        <v>0</v>
      </c>
      <c r="G47" s="638">
        <f t="shared" ca="1" si="26"/>
        <v>0</v>
      </c>
      <c r="H47" s="723">
        <f ca="1">IF(H$2&gt;0,SUMIF(INDIRECT(H$3&amp;"!$M:$M"),$K47,INDIRECT(H$3&amp;"!$i:$i")),0)</f>
        <v>0</v>
      </c>
      <c r="I47" s="723">
        <f ca="1">IF(I$2&gt;0,SUMIF(INDIRECT(I$3&amp;"!$M:$M"),$K47,INDIRECT(I$3&amp;"!$i:$i")),0)</f>
        <v>0</v>
      </c>
      <c r="J47" s="915"/>
      <c r="K47" s="607" t="s">
        <v>2403</v>
      </c>
    </row>
    <row r="48" spans="1:14" s="578" customFormat="1" ht="13.5" customHeight="1">
      <c r="A48" s="1366" t="s">
        <v>2209</v>
      </c>
      <c r="B48" s="960"/>
      <c r="C48" s="961"/>
      <c r="D48" s="639"/>
      <c r="E48" s="640"/>
      <c r="F48" s="642"/>
      <c r="G48" s="641"/>
      <c r="H48" s="642"/>
      <c r="I48" s="642"/>
      <c r="J48" s="1004"/>
      <c r="K48" s="647"/>
      <c r="L48" s="647"/>
      <c r="M48" s="647"/>
      <c r="N48" s="647"/>
    </row>
    <row r="49" spans="1:14" s="647" customFormat="1" ht="14">
      <c r="A49" s="962"/>
      <c r="B49" s="963"/>
      <c r="C49" s="643" t="s">
        <v>2187</v>
      </c>
      <c r="D49" s="644"/>
      <c r="E49" s="645"/>
      <c r="F49" s="646">
        <f t="shared" ref="F49" ca="1" si="32">+F416-F200</f>
        <v>0</v>
      </c>
      <c r="G49" s="646">
        <f ca="1">+G416-G200</f>
        <v>0</v>
      </c>
      <c r="H49" s="646">
        <f t="shared" ref="H49:I49" ca="1" si="33">+H416-H200</f>
        <v>0</v>
      </c>
      <c r="I49" s="646">
        <f t="shared" ca="1" si="33"/>
        <v>0</v>
      </c>
      <c r="J49" s="1008"/>
    </row>
    <row r="50" spans="1:14" s="647" customFormat="1" ht="15">
      <c r="A50" s="962"/>
      <c r="B50" s="964" t="s">
        <v>3103</v>
      </c>
      <c r="C50" s="648" t="s">
        <v>2188</v>
      </c>
      <c r="D50" s="644"/>
      <c r="E50" s="645"/>
      <c r="F50" s="646">
        <f t="shared" ref="F50:F55" si="34">F418-F202</f>
        <v>0</v>
      </c>
      <c r="G50" s="646">
        <f t="shared" ref="G50:I55" si="35">G418-G202</f>
        <v>0</v>
      </c>
      <c r="H50" s="646">
        <f t="shared" si="35"/>
        <v>0</v>
      </c>
      <c r="I50" s="646">
        <f t="shared" si="35"/>
        <v>0</v>
      </c>
      <c r="J50" s="1008"/>
    </row>
    <row r="51" spans="1:14" s="647" customFormat="1" ht="15">
      <c r="A51" s="962"/>
      <c r="B51" s="964" t="s">
        <v>3105</v>
      </c>
      <c r="C51" s="648" t="s">
        <v>2210</v>
      </c>
      <c r="D51" s="644"/>
      <c r="E51" s="649"/>
      <c r="F51" s="646">
        <f t="shared" ca="1" si="34"/>
        <v>0</v>
      </c>
      <c r="G51" s="646">
        <f t="shared" ca="1" si="35"/>
        <v>0</v>
      </c>
      <c r="H51" s="646">
        <f t="shared" ca="1" si="35"/>
        <v>0</v>
      </c>
      <c r="I51" s="646">
        <f t="shared" ca="1" si="35"/>
        <v>0</v>
      </c>
      <c r="J51" s="1008"/>
    </row>
    <row r="52" spans="1:14" s="647" customFormat="1" ht="14">
      <c r="A52" s="962"/>
      <c r="B52" s="965"/>
      <c r="C52" s="648" t="s">
        <v>2211</v>
      </c>
      <c r="D52" s="644"/>
      <c r="E52" s="649"/>
      <c r="F52" s="646">
        <f t="shared" ca="1" si="34"/>
        <v>0</v>
      </c>
      <c r="G52" s="646">
        <f t="shared" ca="1" si="35"/>
        <v>0</v>
      </c>
      <c r="H52" s="646">
        <f t="shared" ca="1" si="35"/>
        <v>0</v>
      </c>
      <c r="I52" s="646">
        <f t="shared" ca="1" si="35"/>
        <v>0</v>
      </c>
      <c r="J52" s="1008"/>
    </row>
    <row r="53" spans="1:14" s="647" customFormat="1" ht="14">
      <c r="A53" s="962"/>
      <c r="B53" s="966"/>
      <c r="C53" s="648" t="s">
        <v>2213</v>
      </c>
      <c r="D53" s="644">
        <v>1</v>
      </c>
      <c r="E53" s="649">
        <v>0.02</v>
      </c>
      <c r="F53" s="646">
        <f t="shared" ca="1" si="34"/>
        <v>0</v>
      </c>
      <c r="G53" s="646">
        <f t="shared" ca="1" si="35"/>
        <v>0</v>
      </c>
      <c r="H53" s="646">
        <f t="shared" ca="1" si="35"/>
        <v>0</v>
      </c>
      <c r="I53" s="646">
        <f t="shared" ca="1" si="35"/>
        <v>0</v>
      </c>
      <c r="J53" s="1008"/>
    </row>
    <row r="54" spans="1:14" s="647" customFormat="1" ht="15">
      <c r="A54" s="962"/>
      <c r="B54" s="964" t="s">
        <v>3107</v>
      </c>
      <c r="C54" s="648" t="s">
        <v>2193</v>
      </c>
      <c r="D54" s="644">
        <v>1</v>
      </c>
      <c r="E54" s="649">
        <v>0.02</v>
      </c>
      <c r="F54" s="646">
        <f t="shared" ca="1" si="34"/>
        <v>0</v>
      </c>
      <c r="G54" s="646">
        <f t="shared" ca="1" si="35"/>
        <v>0</v>
      </c>
      <c r="H54" s="646">
        <f t="shared" ca="1" si="35"/>
        <v>0</v>
      </c>
      <c r="I54" s="646">
        <f t="shared" ca="1" si="35"/>
        <v>0</v>
      </c>
      <c r="J54" s="1008"/>
    </row>
    <row r="55" spans="1:14" s="647" customFormat="1" ht="15">
      <c r="A55" s="962"/>
      <c r="B55" s="964" t="s">
        <v>3108</v>
      </c>
      <c r="C55" s="648" t="s">
        <v>2194</v>
      </c>
      <c r="D55" s="644">
        <v>1</v>
      </c>
      <c r="E55" s="649">
        <v>0.02</v>
      </c>
      <c r="F55" s="646">
        <f t="shared" ca="1" si="34"/>
        <v>0</v>
      </c>
      <c r="G55" s="646">
        <f t="shared" ca="1" si="35"/>
        <v>0</v>
      </c>
      <c r="H55" s="646">
        <f t="shared" ca="1" si="35"/>
        <v>0</v>
      </c>
      <c r="I55" s="646">
        <f t="shared" ca="1" si="35"/>
        <v>0</v>
      </c>
      <c r="J55" s="1008"/>
    </row>
    <row r="56" spans="1:14" s="647" customFormat="1" ht="15">
      <c r="A56" s="962"/>
      <c r="B56" s="964" t="s">
        <v>3109</v>
      </c>
      <c r="C56" s="648" t="s">
        <v>2197</v>
      </c>
      <c r="D56" s="644">
        <v>1</v>
      </c>
      <c r="E56" s="649">
        <v>0.02</v>
      </c>
      <c r="F56" s="646">
        <f t="shared" ref="F56" ca="1" si="36">F426-F210</f>
        <v>0</v>
      </c>
      <c r="G56" s="646">
        <f ca="1">G426-G210</f>
        <v>0</v>
      </c>
      <c r="H56" s="646">
        <f t="shared" ref="H56:I56" ca="1" si="37">H426-H210</f>
        <v>0</v>
      </c>
      <c r="I56" s="646">
        <f t="shared" ca="1" si="37"/>
        <v>0</v>
      </c>
      <c r="J56" s="1008"/>
    </row>
    <row r="57" spans="1:14" s="647" customFormat="1" ht="15">
      <c r="A57" s="962"/>
      <c r="B57" s="964" t="s">
        <v>3110</v>
      </c>
      <c r="C57" s="650" t="s">
        <v>2214</v>
      </c>
      <c r="D57" s="644"/>
      <c r="E57" s="649"/>
      <c r="F57" s="619"/>
      <c r="G57" s="646"/>
      <c r="H57" s="619"/>
      <c r="I57" s="619"/>
      <c r="J57" s="1008"/>
    </row>
    <row r="58" spans="1:14" s="647" customFormat="1" ht="15">
      <c r="A58" s="962"/>
      <c r="B58" s="964" t="s">
        <v>3111</v>
      </c>
      <c r="C58" s="650" t="s">
        <v>2215</v>
      </c>
      <c r="D58" s="644"/>
      <c r="E58" s="649"/>
      <c r="F58" s="619"/>
      <c r="G58" s="646"/>
      <c r="H58" s="619"/>
      <c r="I58" s="619"/>
      <c r="J58" s="1008"/>
    </row>
    <row r="59" spans="1:14" s="647" customFormat="1" ht="14">
      <c r="A59" s="962"/>
      <c r="B59" s="965"/>
      <c r="C59" s="648" t="s">
        <v>2200</v>
      </c>
      <c r="D59" s="644">
        <v>1</v>
      </c>
      <c r="E59" s="649">
        <v>0.02</v>
      </c>
      <c r="F59" s="646">
        <f t="shared" ref="F59" ca="1" si="38">F429-F213</f>
        <v>0</v>
      </c>
      <c r="G59" s="646">
        <f ca="1">G429-G213</f>
        <v>0</v>
      </c>
      <c r="H59" s="646">
        <f t="shared" ref="H59:I59" ca="1" si="39">H429-H213</f>
        <v>0</v>
      </c>
      <c r="I59" s="646">
        <f t="shared" ca="1" si="39"/>
        <v>0</v>
      </c>
      <c r="J59" s="1008"/>
    </row>
    <row r="60" spans="1:14" s="647" customFormat="1" ht="14">
      <c r="A60" s="962"/>
      <c r="B60" s="1261" t="s">
        <v>2281</v>
      </c>
      <c r="C60" s="1262" t="s">
        <v>2217</v>
      </c>
      <c r="D60" s="644">
        <v>1</v>
      </c>
      <c r="E60" s="649">
        <v>0</v>
      </c>
      <c r="F60" s="646">
        <f t="shared" ref="F60" ca="1" si="40">F432-F216</f>
        <v>0</v>
      </c>
      <c r="G60" s="646">
        <f ca="1">G432-G216</f>
        <v>0</v>
      </c>
      <c r="H60" s="646">
        <f t="shared" ref="H60:I60" ca="1" si="41">H432-H216</f>
        <v>0</v>
      </c>
      <c r="I60" s="646">
        <f t="shared" ca="1" si="41"/>
        <v>0</v>
      </c>
      <c r="J60" s="1008"/>
    </row>
    <row r="61" spans="1:14" s="578" customFormat="1" ht="14">
      <c r="A61" s="962"/>
      <c r="B61" s="1263" t="s">
        <v>2218</v>
      </c>
      <c r="C61" s="1264" t="s">
        <v>2219</v>
      </c>
      <c r="D61" s="644"/>
      <c r="E61" s="649"/>
      <c r="F61" s="619">
        <f ca="1">IFERROR(IF(INDIRECT(F$3&amp;"!＄N＄1")="附帯工事明細",INDIRECT(F$3&amp;"!＄I＄20"),0),0)</f>
        <v>0</v>
      </c>
      <c r="G61" s="646">
        <f ca="1">SUM(H61:J61)</f>
        <v>0</v>
      </c>
      <c r="H61" s="619">
        <f t="shared" ref="H61:I61" ca="1" si="42">IFERROR(IF(INDIRECT(H$3&amp;"!＄N＄1")="附帯工事明細",INDIRECT(H$3&amp;"!＄I＄20"),0),0)</f>
        <v>0</v>
      </c>
      <c r="I61" s="619">
        <f t="shared" ca="1" si="42"/>
        <v>0</v>
      </c>
      <c r="J61" s="1008"/>
      <c r="K61" s="1193" t="s">
        <v>2901</v>
      </c>
      <c r="L61" s="1193"/>
      <c r="M61" s="1193"/>
      <c r="N61" s="1193"/>
    </row>
    <row r="62" spans="1:14" s="578" customFormat="1" ht="14" hidden="1">
      <c r="A62" s="962"/>
      <c r="B62" s="1255" t="s">
        <v>2220</v>
      </c>
      <c r="C62" s="1256" t="s">
        <v>2221</v>
      </c>
      <c r="D62" s="653">
        <v>1</v>
      </c>
      <c r="E62" s="654"/>
      <c r="F62" s="656"/>
      <c r="G62" s="655"/>
      <c r="H62" s="656"/>
      <c r="I62" s="656"/>
      <c r="J62" s="1004"/>
      <c r="K62" s="647"/>
      <c r="L62" s="647"/>
      <c r="M62" s="647"/>
      <c r="N62" s="647"/>
    </row>
    <row r="63" spans="1:14" s="578" customFormat="1" ht="14" hidden="1">
      <c r="A63" s="1102"/>
      <c r="B63" s="1265" t="s">
        <v>2897</v>
      </c>
      <c r="C63" s="1266"/>
      <c r="D63" s="658"/>
      <c r="E63" s="659"/>
      <c r="F63" s="661">
        <f t="shared" ref="F63" ca="1" si="43">SUM(F49:F62)</f>
        <v>0</v>
      </c>
      <c r="G63" s="660">
        <f ca="1">SUM(H63:J63)</f>
        <v>0</v>
      </c>
      <c r="H63" s="661">
        <f ca="1">SUM(H49:H62)</f>
        <v>0</v>
      </c>
      <c r="I63" s="661">
        <f t="shared" ref="I63" ca="1" si="44">SUM(I49:I62)</f>
        <v>0</v>
      </c>
      <c r="J63" s="1004"/>
      <c r="K63" s="647"/>
      <c r="L63" s="647"/>
      <c r="M63" s="647"/>
      <c r="N63" s="647"/>
    </row>
    <row r="64" spans="1:14" s="578" customFormat="1" ht="14" hidden="1">
      <c r="A64" s="1102"/>
      <c r="B64" s="1265" t="s">
        <v>2223</v>
      </c>
      <c r="C64" s="1266"/>
      <c r="D64" s="658"/>
      <c r="E64" s="659"/>
      <c r="F64" s="661">
        <f ca="1">IF(F61=0,IF(F16+F24=0,IF(F10=F86,F63,0),0),0)</f>
        <v>0</v>
      </c>
      <c r="G64" s="660">
        <f ca="1">SUM(H64:J64)</f>
        <v>0</v>
      </c>
      <c r="H64" s="661">
        <f t="shared" ref="H64:I64" ca="1" si="45">IF(H61=0,IF(H16+H24=0,IF(H10=H86,H63,0),0),0)</f>
        <v>0</v>
      </c>
      <c r="I64" s="661">
        <f t="shared" ca="1" si="45"/>
        <v>0</v>
      </c>
      <c r="J64" s="1004"/>
      <c r="K64" s="647"/>
      <c r="L64" s="647"/>
      <c r="M64" s="647"/>
      <c r="N64" s="647"/>
    </row>
    <row r="65" spans="1:14" s="578" customFormat="1" ht="13.5" hidden="1" customHeight="1">
      <c r="A65" s="1102"/>
      <c r="B65" s="1265" t="s">
        <v>2224</v>
      </c>
      <c r="C65" s="1266"/>
      <c r="D65" s="658"/>
      <c r="E65" s="659"/>
      <c r="F65" s="1101">
        <f t="shared" ref="F65" ca="1" si="46">F15-(F45+F46)</f>
        <v>0</v>
      </c>
      <c r="G65" s="660">
        <f ca="1">SUM(H65:J65)</f>
        <v>0</v>
      </c>
      <c r="H65" s="1101">
        <f t="shared" ref="H65:I65" ca="1" si="47">H15-(H45+H46)</f>
        <v>0</v>
      </c>
      <c r="I65" s="1101">
        <f t="shared" ca="1" si="47"/>
        <v>0</v>
      </c>
      <c r="J65" s="1004"/>
      <c r="K65" s="647"/>
      <c r="L65" s="647"/>
      <c r="M65" s="647"/>
      <c r="N65" s="647"/>
    </row>
    <row r="66" spans="1:14" s="578" customFormat="1" ht="14">
      <c r="A66" s="1102"/>
      <c r="B66" s="1265" t="s">
        <v>2225</v>
      </c>
      <c r="C66" s="1266"/>
      <c r="D66" s="658"/>
      <c r="E66" s="659"/>
      <c r="F66" s="661">
        <f ca="1">IF($G$64=0,0,(IF(F64=0,INT(F65/$G65*$G64),0)))</f>
        <v>0</v>
      </c>
      <c r="G66" s="660">
        <f ca="1">SUM(H66:J66)</f>
        <v>0</v>
      </c>
      <c r="H66" s="661">
        <f ca="1">IF($G$64=0,0,(IF(H64=0,INT(H65/$G65*$G64),0)))</f>
        <v>0</v>
      </c>
      <c r="I66" s="661">
        <f t="shared" ref="I66" ca="1" si="48">IF($G$64=0,0,(IF(I64=0,INT(I65/$G65*$G64),0)))</f>
        <v>0</v>
      </c>
      <c r="J66" s="1004"/>
      <c r="K66" s="647"/>
      <c r="L66" s="647"/>
      <c r="M66" s="647"/>
      <c r="N66" s="647"/>
    </row>
    <row r="67" spans="1:14" s="578" customFormat="1" ht="14">
      <c r="A67" s="1102"/>
      <c r="B67" s="1265" t="s">
        <v>2226</v>
      </c>
      <c r="C67" s="1266"/>
      <c r="D67" s="658"/>
      <c r="E67" s="659"/>
      <c r="F67" s="661">
        <f ca="1">IF($G67=0,0,IF(F66=0,0,IF(SUM(E67:$H67)=0,$G67,0)))</f>
        <v>0</v>
      </c>
      <c r="G67" s="660">
        <f ca="1">G64-G66</f>
        <v>0</v>
      </c>
      <c r="H67" s="661">
        <f ca="1">IF($G67=0,0,IF(H66=0,0,$G67))</f>
        <v>0</v>
      </c>
      <c r="I67" s="661">
        <f ca="1">IF($G67=0,0,IF(I66=0,0,IF(SUM($H67:H67)=0,$G67,0)))</f>
        <v>0</v>
      </c>
      <c r="J67" s="1004"/>
      <c r="K67" s="647"/>
      <c r="L67" s="647"/>
      <c r="M67" s="647"/>
      <c r="N67" s="647"/>
    </row>
    <row r="68" spans="1:14" s="578" customFormat="1" ht="13.5" customHeight="1">
      <c r="A68" s="657"/>
      <c r="B68" s="1257" t="s">
        <v>2227</v>
      </c>
      <c r="C68" s="1258"/>
      <c r="D68" s="662"/>
      <c r="E68" s="663"/>
      <c r="F68" s="664">
        <f ca="1">IF(F61=0,IF(F16+F24=0,IF(F10=F86,0,F63+F66+F67),F63+F66+F67),F61)</f>
        <v>0</v>
      </c>
      <c r="G68" s="660">
        <f ca="1">SUM(H68:J68)</f>
        <v>0</v>
      </c>
      <c r="H68" s="664">
        <f t="shared" ref="H68:I68" ca="1" si="49">IF(H61=0,IF(H16+H24=0,IF(H10=H86,0,H63+H66+H67),H63+H66+H67),H61)</f>
        <v>0</v>
      </c>
      <c r="I68" s="664">
        <f t="shared" ca="1" si="49"/>
        <v>0</v>
      </c>
      <c r="J68" s="1004"/>
      <c r="K68" s="647"/>
      <c r="L68" s="647"/>
      <c r="M68" s="647"/>
      <c r="N68" s="647"/>
    </row>
    <row r="69" spans="1:14" s="578" customFormat="1" ht="14">
      <c r="A69" s="665" t="s">
        <v>2228</v>
      </c>
      <c r="B69" s="666"/>
      <c r="C69" s="666"/>
      <c r="D69" s="667"/>
      <c r="E69" s="668" t="s">
        <v>2229</v>
      </c>
      <c r="F69" s="670">
        <f t="shared" ref="F69" ca="1" si="50">F15-F47+F68</f>
        <v>0</v>
      </c>
      <c r="G69" s="669">
        <f ca="1">SUM(H69:J69)</f>
        <v>0</v>
      </c>
      <c r="H69" s="1226">
        <f t="shared" ref="H69:I69" ca="1" si="51">H15-H47+H68</f>
        <v>0</v>
      </c>
      <c r="I69" s="1226">
        <f t="shared" ca="1" si="51"/>
        <v>0</v>
      </c>
      <c r="J69" s="1004"/>
      <c r="K69" s="647"/>
      <c r="L69" s="647"/>
      <c r="M69" s="647"/>
      <c r="N69" s="647"/>
    </row>
    <row r="70" spans="1:14" s="578" customFormat="1" ht="14">
      <c r="A70" s="671"/>
      <c r="B70" s="1259" t="s">
        <v>2230</v>
      </c>
      <c r="C70" s="1260"/>
      <c r="D70" s="672"/>
      <c r="E70" s="673"/>
      <c r="F70" s="1246">
        <f ca="1">IFERROR(IF(INDIRECT(F$3&amp;"!＄N＄2")="土木工事",INDIRECT(F$3&amp;"!＄I＄21"),0),0)</f>
        <v>0</v>
      </c>
      <c r="G70" s="1247">
        <f ca="1">SUM(H70:J70)</f>
        <v>0</v>
      </c>
      <c r="H70" s="1246">
        <f t="shared" ref="H70:I70" ca="1" si="52">IFERROR(IF(INDIRECT(H$3&amp;"!＄N＄2")="土木工事",INDIRECT(H$3&amp;"!＄I＄21"),0),0)</f>
        <v>0</v>
      </c>
      <c r="I70" s="1246">
        <f t="shared" ca="1" si="52"/>
        <v>0</v>
      </c>
      <c r="J70" s="1008"/>
      <c r="K70" s="1193" t="s">
        <v>2900</v>
      </c>
      <c r="L70" s="1193"/>
      <c r="M70" s="1193"/>
      <c r="N70" s="1193"/>
    </row>
    <row r="71" spans="1:14" s="578" customFormat="1" ht="13.5" customHeight="1">
      <c r="A71" s="671"/>
      <c r="B71" s="674" t="s">
        <v>2231</v>
      </c>
      <c r="C71" s="675"/>
      <c r="D71" s="676"/>
      <c r="E71" s="677"/>
      <c r="F71" s="678">
        <f t="shared" ref="F71" ca="1" si="53">+F465-F250</f>
        <v>0</v>
      </c>
      <c r="G71" s="678">
        <f ca="1">+G465-G250</f>
        <v>0</v>
      </c>
      <c r="H71" s="1227">
        <f ca="1">+H465-H250</f>
        <v>0</v>
      </c>
      <c r="I71" s="1227">
        <f t="shared" ref="I71" ca="1" si="54">+I465-I250</f>
        <v>0</v>
      </c>
      <c r="J71" s="1004"/>
      <c r="K71" s="647"/>
      <c r="L71" s="647"/>
      <c r="M71" s="647"/>
      <c r="N71" s="647"/>
    </row>
    <row r="72" spans="1:14" s="578" customFormat="1" ht="13.5" customHeight="1">
      <c r="A72" s="1102"/>
      <c r="B72" s="1265" t="s">
        <v>2223</v>
      </c>
      <c r="C72" s="1266"/>
      <c r="D72" s="658"/>
      <c r="E72" s="659"/>
      <c r="F72" s="661">
        <f t="shared" ref="F72" ca="1" si="55">IF(F69=0,F71,0)</f>
        <v>0</v>
      </c>
      <c r="G72" s="660">
        <f ca="1">SUM(H72:J72)</f>
        <v>0</v>
      </c>
      <c r="H72" s="661">
        <f ca="1">IF(H69=0,H71,0)</f>
        <v>0</v>
      </c>
      <c r="I72" s="661">
        <f t="shared" ref="I72" ca="1" si="56">IF(I69=0,I71,0)</f>
        <v>0</v>
      </c>
      <c r="J72" s="1004"/>
      <c r="K72" s="647"/>
      <c r="L72" s="647"/>
      <c r="M72" s="647"/>
      <c r="N72" s="647"/>
    </row>
    <row r="73" spans="1:14" s="578" customFormat="1" ht="13.5" customHeight="1">
      <c r="A73" s="1102"/>
      <c r="B73" s="1265" t="s">
        <v>2232</v>
      </c>
      <c r="C73" s="1266"/>
      <c r="D73" s="658"/>
      <c r="E73" s="659"/>
      <c r="F73" s="661">
        <f ca="1">IF(F70=0,F69,F69-(F45+F46+F61))</f>
        <v>0</v>
      </c>
      <c r="G73" s="660">
        <f ca="1">SUM(H73:J73)</f>
        <v>0</v>
      </c>
      <c r="H73" s="661">
        <f t="shared" ref="H73:I73" ca="1" si="57">IF(H70=0,H69,H69-(H45+H46+H61))</f>
        <v>0</v>
      </c>
      <c r="I73" s="661">
        <f t="shared" ca="1" si="57"/>
        <v>0</v>
      </c>
      <c r="J73" s="1004"/>
      <c r="K73" s="647"/>
      <c r="L73" s="647"/>
      <c r="M73" s="647"/>
      <c r="N73" s="647"/>
    </row>
    <row r="74" spans="1:14" s="578" customFormat="1" ht="13.5" customHeight="1">
      <c r="A74" s="1102"/>
      <c r="B74" s="1265" t="s">
        <v>2233</v>
      </c>
      <c r="C74" s="1266"/>
      <c r="D74" s="658"/>
      <c r="E74" s="659"/>
      <c r="F74" s="661">
        <f ca="1">IF($G$73=0,0,(INT(F73/$G73*$G72)))</f>
        <v>0</v>
      </c>
      <c r="G74" s="660">
        <f ca="1">SUM(H74:J74)</f>
        <v>0</v>
      </c>
      <c r="H74" s="661">
        <f ca="1">IF($G$73=0,0,(INT(H73/$G73*$G72)))</f>
        <v>0</v>
      </c>
      <c r="I74" s="661">
        <f t="shared" ref="I74" ca="1" si="58">IF($G$73=0,0,(INT(I73/$G73*$G72)))</f>
        <v>0</v>
      </c>
      <c r="J74" s="1004"/>
      <c r="K74" s="647"/>
      <c r="L74" s="647"/>
      <c r="M74" s="647"/>
      <c r="N74" s="647"/>
    </row>
    <row r="75" spans="1:14" s="578" customFormat="1" ht="13.5" customHeight="1">
      <c r="A75" s="1102"/>
      <c r="B75" s="1265" t="s">
        <v>2234</v>
      </c>
      <c r="C75" s="1266"/>
      <c r="D75" s="658"/>
      <c r="E75" s="659"/>
      <c r="F75" s="661">
        <f ca="1">IF($G75=0,0,IF(F74=0,0,IF(SUM(E75:$H75)=0,$G75,0)))</f>
        <v>0</v>
      </c>
      <c r="G75" s="660">
        <f ca="1">G72-G74</f>
        <v>0</v>
      </c>
      <c r="H75" s="661">
        <f ca="1">IF($G75=0,0,IF(H74=0,0,$G75))</f>
        <v>0</v>
      </c>
      <c r="I75" s="661">
        <f ca="1">IF($G75=0,0,IF(I74=0,0,IF(SUM($H75:H75)=0,$G75,0)))</f>
        <v>0</v>
      </c>
      <c r="J75" s="1004"/>
      <c r="K75" s="647"/>
      <c r="L75" s="647"/>
      <c r="M75" s="647"/>
      <c r="N75" s="647"/>
    </row>
    <row r="76" spans="1:14" s="578" customFormat="1" ht="13.5" customHeight="1">
      <c r="A76" s="671"/>
      <c r="B76" s="1267" t="s">
        <v>2235</v>
      </c>
      <c r="C76" s="679"/>
      <c r="D76" s="680"/>
      <c r="E76" s="681"/>
      <c r="F76" s="664">
        <f t="shared" ref="F76" ca="1" si="59">IF(F69=0,0,F71+F74+F75)</f>
        <v>0</v>
      </c>
      <c r="G76" s="660">
        <f t="shared" ref="G76:G83" ca="1" si="60">SUM(H76:J76)</f>
        <v>0</v>
      </c>
      <c r="H76" s="664">
        <f ca="1">IF(H69=0,0,H71+H74+H75)</f>
        <v>0</v>
      </c>
      <c r="I76" s="664">
        <f t="shared" ref="I76" ca="1" si="61">IF(I69=0,0,I71+I74+I75)</f>
        <v>0</v>
      </c>
      <c r="J76" s="1004"/>
      <c r="K76" s="647"/>
      <c r="L76" s="647"/>
      <c r="M76" s="647"/>
      <c r="N76" s="647"/>
    </row>
    <row r="77" spans="1:14" s="578" customFormat="1" ht="13.5" customHeight="1" thickBot="1">
      <c r="A77" s="682" t="s">
        <v>2236</v>
      </c>
      <c r="B77" s="683"/>
      <c r="C77" s="684"/>
      <c r="D77" s="685"/>
      <c r="E77" s="686"/>
      <c r="F77" s="688">
        <f t="shared" ref="F77" ca="1" si="62">+F15+F68+F76</f>
        <v>0</v>
      </c>
      <c r="G77" s="687">
        <f t="shared" ca="1" si="60"/>
        <v>0</v>
      </c>
      <c r="H77" s="1228">
        <f ca="1">+H15+H68+H76</f>
        <v>0</v>
      </c>
      <c r="I77" s="1228">
        <f t="shared" ref="I77" ca="1" si="63">+I15+I68+I76</f>
        <v>0</v>
      </c>
      <c r="J77" s="1004"/>
      <c r="K77" s="647"/>
      <c r="L77" s="647"/>
      <c r="M77" s="647"/>
      <c r="N77" s="647"/>
    </row>
    <row r="78" spans="1:14" s="578" customFormat="1" ht="13.5" customHeight="1" thickTop="1">
      <c r="A78" s="689" t="s">
        <v>333</v>
      </c>
      <c r="B78" s="690"/>
      <c r="C78" s="690"/>
      <c r="D78" s="690"/>
      <c r="E78" s="691" t="s">
        <v>2237</v>
      </c>
      <c r="F78" s="693">
        <f t="shared" ref="F78" ca="1" si="64">IF(F77&lt;0,ROUNDUP(F77,-3),ROUNDDOWN(F77,-3))</f>
        <v>0</v>
      </c>
      <c r="G78" s="692">
        <f t="shared" ca="1" si="60"/>
        <v>0</v>
      </c>
      <c r="H78" s="1229">
        <f ca="1">IF(H77&lt;0,ROUNDUP(H77,-3),ROUNDDOWN(H77,-3))</f>
        <v>0</v>
      </c>
      <c r="I78" s="1229">
        <f t="shared" ref="I78" ca="1" si="65">IF(I77&lt;0,ROUNDUP(I77,-3),ROUNDDOWN(I77,-3))</f>
        <v>0</v>
      </c>
      <c r="J78" s="1004"/>
      <c r="K78" s="647"/>
      <c r="L78" s="647"/>
      <c r="M78" s="647"/>
      <c r="N78" s="647"/>
    </row>
    <row r="79" spans="1:14" s="578" customFormat="1" ht="13.5" customHeight="1">
      <c r="A79" s="694"/>
      <c r="B79" s="2202" t="s">
        <v>2238</v>
      </c>
      <c r="C79" s="695" t="s">
        <v>2239</v>
      </c>
      <c r="D79" s="695"/>
      <c r="E79" s="695"/>
      <c r="F79" s="697">
        <f t="shared" ref="F79" ca="1" si="66">+F15</f>
        <v>0</v>
      </c>
      <c r="G79" s="696">
        <f t="shared" ca="1" si="60"/>
        <v>0</v>
      </c>
      <c r="H79" s="1230">
        <f t="shared" ref="H79:I79" ca="1" si="67">+H15</f>
        <v>0</v>
      </c>
      <c r="I79" s="1230">
        <f t="shared" ca="1" si="67"/>
        <v>0</v>
      </c>
      <c r="J79" s="1004"/>
      <c r="K79" s="647"/>
      <c r="L79" s="647"/>
      <c r="M79" s="647"/>
      <c r="N79" s="647"/>
    </row>
    <row r="80" spans="1:14" s="578" customFormat="1" ht="13.5" customHeight="1" thickBot="1">
      <c r="A80" s="698"/>
      <c r="B80" s="2203"/>
      <c r="C80" s="699" t="s">
        <v>2240</v>
      </c>
      <c r="D80" s="699"/>
      <c r="E80" s="699"/>
      <c r="F80" s="701">
        <f t="shared" ref="F80" ca="1" si="68">+F78-F79</f>
        <v>0</v>
      </c>
      <c r="G80" s="700">
        <f t="shared" ca="1" si="60"/>
        <v>0</v>
      </c>
      <c r="H80" s="1231">
        <f ca="1">+H78-H79</f>
        <v>0</v>
      </c>
      <c r="I80" s="1231">
        <f t="shared" ref="I80" ca="1" si="69">+I78-I79</f>
        <v>0</v>
      </c>
      <c r="J80" s="1004"/>
      <c r="K80" s="647"/>
      <c r="L80" s="647"/>
      <c r="M80" s="647"/>
      <c r="N80" s="647"/>
    </row>
    <row r="81" spans="1:14" s="578" customFormat="1" ht="13.5" customHeight="1" thickTop="1">
      <c r="A81" s="689" t="s">
        <v>2241</v>
      </c>
      <c r="B81" s="690"/>
      <c r="C81" s="690"/>
      <c r="D81" s="690"/>
      <c r="E81" s="691" t="s">
        <v>2237</v>
      </c>
      <c r="F81" s="693">
        <f t="shared" ref="F81" ca="1" si="70">IF(F77&lt;0,ROUNDUP(F77*$G$4,-3),ROUNDDOWN(F77*$G$4,-3))</f>
        <v>0</v>
      </c>
      <c r="G81" s="692">
        <f t="shared" ca="1" si="60"/>
        <v>0</v>
      </c>
      <c r="H81" s="1229">
        <f ca="1">IF(H77&lt;0,ROUNDUP(H77*$G$4,-3),ROUNDDOWN(H77*$G$4,-3))</f>
        <v>0</v>
      </c>
      <c r="I81" s="1229">
        <f t="shared" ref="I81" ca="1" si="71">IF(I77&lt;0,ROUNDUP(I77*$G$4,-3),ROUNDDOWN(I77*$G$4,-3))</f>
        <v>0</v>
      </c>
      <c r="J81" s="1004"/>
      <c r="K81" s="647"/>
      <c r="L81" s="647"/>
      <c r="M81" s="647"/>
      <c r="N81" s="647"/>
    </row>
    <row r="82" spans="1:14" s="578" customFormat="1" ht="13.5" customHeight="1">
      <c r="A82" s="694"/>
      <c r="B82" s="2202" t="s">
        <v>2238</v>
      </c>
      <c r="C82" s="695" t="s">
        <v>2239</v>
      </c>
      <c r="D82" s="695"/>
      <c r="E82" s="695"/>
      <c r="F82" s="697">
        <f t="shared" ref="F82" ca="1" si="72">IF(F79&lt;0,ROUNDDOWN(F79*$G$4,0),ROUNDUP(F79*$G$4,0))</f>
        <v>0</v>
      </c>
      <c r="G82" s="696">
        <f t="shared" ca="1" si="60"/>
        <v>0</v>
      </c>
      <c r="H82" s="1230">
        <f ca="1">IF(H79&lt;0,ROUNDDOWN(H79*$G$4,0),ROUNDUP(H79*$G$4,0))</f>
        <v>0</v>
      </c>
      <c r="I82" s="1230">
        <f t="shared" ref="I82" ca="1" si="73">IF(I79&lt;0,ROUNDDOWN(I79*$G$4,0),ROUNDUP(I79*$G$4,0))</f>
        <v>0</v>
      </c>
      <c r="J82" s="1004"/>
      <c r="K82" s="647"/>
      <c r="L82" s="647"/>
      <c r="M82" s="647"/>
      <c r="N82" s="647"/>
    </row>
    <row r="83" spans="1:14" s="578" customFormat="1" ht="13.5" customHeight="1">
      <c r="A83" s="698"/>
      <c r="B83" s="2203"/>
      <c r="C83" s="699" t="s">
        <v>2240</v>
      </c>
      <c r="D83" s="699"/>
      <c r="E83" s="699"/>
      <c r="F83" s="701">
        <f t="shared" ref="F83" ca="1" si="74">+F81-F82</f>
        <v>0</v>
      </c>
      <c r="G83" s="700">
        <f t="shared" ca="1" si="60"/>
        <v>0</v>
      </c>
      <c r="H83" s="1231">
        <f t="shared" ref="H83:I83" ca="1" si="75">+H81-H82</f>
        <v>0</v>
      </c>
      <c r="I83" s="1231">
        <f t="shared" ca="1" si="75"/>
        <v>0</v>
      </c>
      <c r="J83" s="1004"/>
      <c r="K83" s="647"/>
      <c r="L83" s="647"/>
      <c r="M83" s="647"/>
      <c r="N83" s="647"/>
    </row>
    <row r="84" spans="1:14" s="602" customFormat="1" ht="13.5" customHeight="1">
      <c r="A84" s="702"/>
      <c r="B84" s="702"/>
      <c r="C84" s="622"/>
      <c r="D84" s="622"/>
      <c r="E84" s="1116" t="s">
        <v>2162</v>
      </c>
      <c r="F84" s="708"/>
      <c r="G84" s="732">
        <f>+G1</f>
        <v>0</v>
      </c>
      <c r="H84" s="707"/>
      <c r="I84" s="708"/>
      <c r="J84" s="577" t="s">
        <v>2242</v>
      </c>
    </row>
    <row r="85" spans="1:14" s="607" customFormat="1" ht="13.5" customHeight="1">
      <c r="A85" s="709"/>
      <c r="B85" s="709"/>
      <c r="C85" s="1117" t="s">
        <v>3099</v>
      </c>
      <c r="D85" s="739"/>
      <c r="E85" s="622"/>
      <c r="F85" s="803"/>
      <c r="G85" s="1712" t="s">
        <v>3097</v>
      </c>
      <c r="H85" s="1726" t="str">
        <f>前回諸経費表!H301</f>
        <v>無し</v>
      </c>
      <c r="I85" s="1272"/>
    </row>
    <row r="86" spans="1:14" s="602" customFormat="1" ht="13.5" customHeight="1">
      <c r="A86" s="595"/>
      <c r="B86" s="596"/>
      <c r="C86" s="597" t="s">
        <v>2168</v>
      </c>
      <c r="D86" s="598"/>
      <c r="E86" s="812"/>
      <c r="F86" s="601"/>
      <c r="G86" s="600" t="s">
        <v>2243</v>
      </c>
      <c r="H86" s="601">
        <f>前回諸経費表!H302</f>
        <v>0</v>
      </c>
      <c r="I86" s="601">
        <f>前回諸経費表!I302</f>
        <v>0</v>
      </c>
      <c r="J86" s="916"/>
    </row>
    <row r="87" spans="1:14" s="602" customFormat="1" ht="13.5" customHeight="1">
      <c r="A87" s="994"/>
      <c r="B87" s="995"/>
      <c r="C87" s="1176" t="s">
        <v>2169</v>
      </c>
      <c r="D87" s="1177"/>
      <c r="E87" s="1033"/>
      <c r="F87" s="605"/>
      <c r="G87" s="604" t="s">
        <v>2244</v>
      </c>
      <c r="H87" s="899">
        <f>前回諸経費表!H303</f>
        <v>0</v>
      </c>
      <c r="I87" s="899">
        <f>前回諸経費表!I303</f>
        <v>0</v>
      </c>
      <c r="J87" s="916"/>
    </row>
    <row r="88" spans="1:14" s="607" customFormat="1" ht="13.5" customHeight="1">
      <c r="A88" s="994"/>
      <c r="B88" s="995"/>
      <c r="C88" s="995" t="s">
        <v>2245</v>
      </c>
      <c r="D88" s="995"/>
      <c r="E88" s="1105" t="str">
        <f>前回諸経費表!E88</f>
        <v>無し</v>
      </c>
      <c r="F88" s="1106" t="s">
        <v>2908</v>
      </c>
      <c r="G88" s="714" t="s">
        <v>2165</v>
      </c>
      <c r="H88" s="899">
        <f>前回諸経費表!H304</f>
        <v>0</v>
      </c>
      <c r="I88" s="899">
        <f>前回諸経費表!I304</f>
        <v>0</v>
      </c>
      <c r="J88" s="915"/>
    </row>
    <row r="89" spans="1:14" s="607" customFormat="1" ht="23.25" customHeight="1">
      <c r="A89" s="994"/>
      <c r="B89" s="995"/>
      <c r="C89" s="995" t="s">
        <v>2247</v>
      </c>
      <c r="D89" s="995"/>
      <c r="E89" s="1218" t="str">
        <f>前回諸経費表!E89</f>
        <v>有り</v>
      </c>
      <c r="F89" s="716" t="s">
        <v>2747</v>
      </c>
      <c r="G89" s="715" t="s">
        <v>2248</v>
      </c>
      <c r="H89" s="1367">
        <f>前回諸経費表!H305</f>
        <v>0</v>
      </c>
      <c r="I89" s="1367">
        <f>前回諸経費表!I305</f>
        <v>0</v>
      </c>
      <c r="J89" s="915"/>
    </row>
    <row r="90" spans="1:14" s="607" customFormat="1" ht="13.5" customHeight="1">
      <c r="B90" s="995"/>
      <c r="C90" s="995"/>
      <c r="D90" s="995"/>
      <c r="F90" s="1108"/>
      <c r="G90" s="994" t="s">
        <v>2170</v>
      </c>
      <c r="H90" s="899">
        <f>前回諸経費表!H306</f>
        <v>0</v>
      </c>
      <c r="I90" s="899">
        <f>前回諸経費表!I306</f>
        <v>0</v>
      </c>
      <c r="J90" s="915"/>
    </row>
    <row r="91" spans="1:14" s="607" customFormat="1" ht="24.75" customHeight="1">
      <c r="A91" s="2189" t="s">
        <v>2171</v>
      </c>
      <c r="B91" s="2190"/>
      <c r="C91" s="2190"/>
      <c r="D91" s="2190"/>
      <c r="E91" s="2191"/>
      <c r="F91" s="1094"/>
      <c r="G91" s="1751"/>
      <c r="H91" s="899">
        <f>前回諸経費表!H307</f>
        <v>0</v>
      </c>
      <c r="I91" s="899">
        <f>前回諸経費表!I307</f>
        <v>0</v>
      </c>
      <c r="J91" s="915"/>
    </row>
    <row r="92" spans="1:14" s="607" customFormat="1" ht="30" customHeight="1">
      <c r="A92" s="2189" t="s">
        <v>2172</v>
      </c>
      <c r="B92" s="2190"/>
      <c r="C92" s="2190"/>
      <c r="D92" s="2190"/>
      <c r="E92" s="2191"/>
      <c r="F92" s="1095"/>
      <c r="G92" s="1752"/>
      <c r="H92" s="1232">
        <f>前回諸経費表!H308</f>
        <v>0</v>
      </c>
      <c r="I92" s="1232">
        <f>前回諸経費表!I308</f>
        <v>0</v>
      </c>
      <c r="J92" s="915"/>
    </row>
    <row r="93" spans="1:14" s="607" customFormat="1" ht="13.5" customHeight="1">
      <c r="A93" s="595"/>
      <c r="B93" s="608" t="s">
        <v>2173</v>
      </c>
      <c r="C93" s="609"/>
      <c r="D93" s="609"/>
      <c r="E93" s="1034"/>
      <c r="F93" s="612"/>
      <c r="G93" s="611">
        <f>SUM(H93:J93)</f>
        <v>0</v>
      </c>
      <c r="H93" s="742">
        <f>+H94+H98</f>
        <v>0</v>
      </c>
      <c r="I93" s="612">
        <f t="shared" ref="I93" si="76">+I94+I98</f>
        <v>0</v>
      </c>
      <c r="J93" s="915"/>
    </row>
    <row r="94" spans="1:14" s="607" customFormat="1" ht="13.5" customHeight="1">
      <c r="A94" s="994"/>
      <c r="B94" s="995"/>
      <c r="C94" s="538" t="s">
        <v>2174</v>
      </c>
      <c r="D94" s="539"/>
      <c r="E94" s="812"/>
      <c r="F94" s="725"/>
      <c r="G94" s="613">
        <f>SUM(H94:J94)</f>
        <v>0</v>
      </c>
      <c r="H94" s="725">
        <f>前回諸経費表!H310</f>
        <v>0</v>
      </c>
      <c r="I94" s="725">
        <f>前回諸経費表!I310</f>
        <v>0</v>
      </c>
      <c r="J94" s="915"/>
    </row>
    <row r="95" spans="1:14" s="607" customFormat="1" ht="13.5" customHeight="1">
      <c r="A95" s="994"/>
      <c r="B95" s="995"/>
      <c r="C95" s="717"/>
      <c r="D95" s="717"/>
      <c r="E95" s="1035"/>
      <c r="F95" s="616"/>
      <c r="G95" s="615" t="s">
        <v>2252</v>
      </c>
      <c r="H95" s="616">
        <f>SUM(H187:H196)</f>
        <v>0</v>
      </c>
      <c r="I95" s="616">
        <f t="shared" ref="I95" si="77">SUM(I187:I196)</f>
        <v>0</v>
      </c>
      <c r="J95" s="915"/>
    </row>
    <row r="96" spans="1:14" s="607" customFormat="1" ht="13.5" customHeight="1">
      <c r="A96" s="994"/>
      <c r="B96" s="995"/>
      <c r="C96" s="717"/>
      <c r="D96" s="717"/>
      <c r="E96" s="1035"/>
      <c r="F96" s="616"/>
      <c r="G96" s="615" t="s">
        <v>2253</v>
      </c>
      <c r="H96" s="616">
        <f>SUM(H234:H236)</f>
        <v>0</v>
      </c>
      <c r="I96" s="616">
        <f t="shared" ref="I96" si="78">SUM(I234:I236)</f>
        <v>0</v>
      </c>
      <c r="J96" s="915"/>
    </row>
    <row r="97" spans="1:10" s="607" customFormat="1" ht="13.5" customHeight="1">
      <c r="A97" s="994"/>
      <c r="B97" s="995"/>
      <c r="C97" s="717"/>
      <c r="D97" s="717"/>
      <c r="E97" s="1035"/>
      <c r="F97" s="616"/>
      <c r="G97" s="718" t="s">
        <v>2254</v>
      </c>
      <c r="H97" s="616">
        <f>+H136</f>
        <v>0</v>
      </c>
      <c r="I97" s="616">
        <f t="shared" ref="I97" si="79">+I136</f>
        <v>0</v>
      </c>
      <c r="J97" s="915"/>
    </row>
    <row r="98" spans="1:10" s="607" customFormat="1" ht="13.5" customHeight="1">
      <c r="A98" s="994"/>
      <c r="B98" s="995"/>
      <c r="C98" s="540" t="s">
        <v>2175</v>
      </c>
      <c r="D98" s="540"/>
      <c r="E98" s="1035"/>
      <c r="F98" s="616"/>
      <c r="G98" s="615">
        <f t="shared" ref="G98:G115" si="80">SUM(H98:J98)</f>
        <v>0</v>
      </c>
      <c r="H98" s="616">
        <f>H99+H100</f>
        <v>0</v>
      </c>
      <c r="I98" s="616">
        <f t="shared" ref="I98" si="81">I99+I100</f>
        <v>0</v>
      </c>
      <c r="J98" s="915"/>
    </row>
    <row r="99" spans="1:10" s="607" customFormat="1" ht="13.5" customHeight="1">
      <c r="A99" s="994"/>
      <c r="B99" s="995"/>
      <c r="C99" s="617" t="s">
        <v>2176</v>
      </c>
      <c r="D99" s="540"/>
      <c r="E99" s="1035"/>
      <c r="F99" s="616"/>
      <c r="G99" s="615">
        <f t="shared" si="80"/>
        <v>0</v>
      </c>
      <c r="H99" s="616">
        <f t="shared" ref="H99:I99" si="82">IF(H90="積上げ",0,H176)</f>
        <v>0</v>
      </c>
      <c r="I99" s="616">
        <f t="shared" si="82"/>
        <v>0</v>
      </c>
      <c r="J99" s="915"/>
    </row>
    <row r="100" spans="1:10" s="607" customFormat="1" ht="13.5" customHeight="1">
      <c r="A100" s="994"/>
      <c r="B100" s="995"/>
      <c r="C100" s="617" t="s">
        <v>2182</v>
      </c>
      <c r="D100" s="540"/>
      <c r="E100" s="1035"/>
      <c r="F100" s="616"/>
      <c r="G100" s="615">
        <f t="shared" si="80"/>
        <v>0</v>
      </c>
      <c r="H100" s="616">
        <f>前回諸経費表!H316</f>
        <v>0</v>
      </c>
      <c r="I100" s="616">
        <f>前回諸経費表!I316</f>
        <v>0</v>
      </c>
      <c r="J100" s="915"/>
    </row>
    <row r="101" spans="1:10" s="607" customFormat="1" ht="13.5" customHeight="1">
      <c r="A101" s="994"/>
      <c r="B101" s="995"/>
      <c r="C101" s="621" t="s">
        <v>2183</v>
      </c>
      <c r="D101" s="540"/>
      <c r="E101" s="1035"/>
      <c r="F101" s="616"/>
      <c r="G101" s="615">
        <f t="shared" si="80"/>
        <v>0</v>
      </c>
      <c r="H101" s="616">
        <f>前回諸経費表!H317</f>
        <v>0</v>
      </c>
      <c r="I101" s="616">
        <f>前回諸経費表!I317</f>
        <v>0</v>
      </c>
      <c r="J101" s="915"/>
    </row>
    <row r="102" spans="1:10" s="607" customFormat="1" ht="13.5" customHeight="1">
      <c r="A102" s="994"/>
      <c r="B102" s="995"/>
      <c r="C102" s="622" t="s">
        <v>2184</v>
      </c>
      <c r="D102" s="623"/>
      <c r="E102" s="1036"/>
      <c r="F102" s="724"/>
      <c r="G102" s="625">
        <f t="shared" si="80"/>
        <v>0</v>
      </c>
      <c r="H102" s="724">
        <f>前回諸経費表!H318</f>
        <v>0</v>
      </c>
      <c r="I102" s="724">
        <f>前回諸経費表!I318</f>
        <v>0</v>
      </c>
      <c r="J102" s="915"/>
    </row>
    <row r="103" spans="1:10" s="607" customFormat="1" ht="13.5" customHeight="1">
      <c r="A103" s="719"/>
      <c r="B103" s="720"/>
      <c r="C103" s="721" t="s">
        <v>2255</v>
      </c>
      <c r="D103" s="722"/>
      <c r="E103" s="1037"/>
      <c r="F103" s="723"/>
      <c r="G103" s="638">
        <f t="shared" si="80"/>
        <v>0</v>
      </c>
      <c r="H103" s="723">
        <f>+H137</f>
        <v>0</v>
      </c>
      <c r="I103" s="723">
        <f t="shared" ref="I103" si="83">+I137</f>
        <v>0</v>
      </c>
      <c r="J103" s="915"/>
    </row>
    <row r="104" spans="1:10" s="607" customFormat="1" ht="13.5" customHeight="1">
      <c r="A104" s="994"/>
      <c r="B104" s="623" t="s">
        <v>2256</v>
      </c>
      <c r="C104" s="623"/>
      <c r="D104" s="623"/>
      <c r="E104" s="1036"/>
      <c r="F104" s="724"/>
      <c r="G104" s="625">
        <f t="shared" si="80"/>
        <v>0</v>
      </c>
      <c r="H104" s="724">
        <f>H105+H110</f>
        <v>0</v>
      </c>
      <c r="I104" s="724">
        <f t="shared" ref="I104" si="84">I105+I110</f>
        <v>0</v>
      </c>
      <c r="J104" s="915"/>
    </row>
    <row r="105" spans="1:10" s="607" customFormat="1" ht="13.5" customHeight="1">
      <c r="A105" s="994"/>
      <c r="B105" s="995"/>
      <c r="C105" s="538" t="s">
        <v>2257</v>
      </c>
      <c r="D105" s="538"/>
      <c r="E105" s="1038"/>
      <c r="F105" s="725"/>
      <c r="G105" s="613">
        <f t="shared" si="80"/>
        <v>0</v>
      </c>
      <c r="H105" s="725">
        <f>H106+H109</f>
        <v>0</v>
      </c>
      <c r="I105" s="725">
        <f t="shared" ref="I105" si="85">I106+I109</f>
        <v>0</v>
      </c>
      <c r="J105" s="915"/>
    </row>
    <row r="106" spans="1:10" s="607" customFormat="1" ht="13.5" customHeight="1">
      <c r="A106" s="994"/>
      <c r="B106" s="995"/>
      <c r="C106" s="1179" t="s">
        <v>2258</v>
      </c>
      <c r="D106" s="1179"/>
      <c r="E106" s="1039"/>
      <c r="F106" s="726"/>
      <c r="G106" s="615">
        <f t="shared" si="80"/>
        <v>0</v>
      </c>
      <c r="H106" s="726">
        <f>SUM(H107:H108)-H109</f>
        <v>0</v>
      </c>
      <c r="I106" s="726">
        <f t="shared" ref="I106" si="86">SUM(I107:I108)-I109</f>
        <v>0</v>
      </c>
      <c r="J106" s="915"/>
    </row>
    <row r="107" spans="1:10" s="607" customFormat="1" ht="13.5" customHeight="1">
      <c r="A107" s="994"/>
      <c r="B107" s="995"/>
      <c r="C107" s="727" t="s">
        <v>2259</v>
      </c>
      <c r="D107" s="727"/>
      <c r="E107" s="1035"/>
      <c r="F107" s="616"/>
      <c r="G107" s="615">
        <f t="shared" si="80"/>
        <v>0</v>
      </c>
      <c r="H107" s="616">
        <f>SUM(H202:H204)+H200</f>
        <v>0</v>
      </c>
      <c r="I107" s="616">
        <f t="shared" ref="I107" si="87">SUM(I202:I204)+I200</f>
        <v>0</v>
      </c>
      <c r="J107" s="915"/>
    </row>
    <row r="108" spans="1:10" s="607" customFormat="1" ht="13.5" customHeight="1">
      <c r="A108" s="994"/>
      <c r="B108" s="995"/>
      <c r="C108" s="727" t="s">
        <v>2260</v>
      </c>
      <c r="D108" s="727"/>
      <c r="E108" s="1035"/>
      <c r="F108" s="616"/>
      <c r="G108" s="615">
        <f t="shared" si="80"/>
        <v>0</v>
      </c>
      <c r="H108" s="616">
        <f>SUM(H205:H216)</f>
        <v>0</v>
      </c>
      <c r="I108" s="616">
        <f t="shared" ref="I108" si="88">SUM(I205:I216)</f>
        <v>0</v>
      </c>
      <c r="J108" s="915"/>
    </row>
    <row r="109" spans="1:10" s="607" customFormat="1" ht="13.5" customHeight="1">
      <c r="A109" s="994"/>
      <c r="B109" s="995"/>
      <c r="C109" s="727" t="s">
        <v>2261</v>
      </c>
      <c r="D109" s="727"/>
      <c r="E109" s="1035"/>
      <c r="F109" s="616"/>
      <c r="G109" s="615">
        <f t="shared" si="80"/>
        <v>0</v>
      </c>
      <c r="H109" s="616">
        <f>+H214</f>
        <v>0</v>
      </c>
      <c r="I109" s="616">
        <f t="shared" ref="I109" si="89">+I214</f>
        <v>0</v>
      </c>
      <c r="J109" s="915"/>
    </row>
    <row r="110" spans="1:10" s="607" customFormat="1" ht="13.5" customHeight="1">
      <c r="A110" s="994"/>
      <c r="B110" s="995"/>
      <c r="C110" s="540" t="s">
        <v>2262</v>
      </c>
      <c r="D110" s="540"/>
      <c r="E110" s="1035"/>
      <c r="F110" s="616"/>
      <c r="G110" s="615">
        <f t="shared" si="80"/>
        <v>0</v>
      </c>
      <c r="H110" s="616">
        <f>SUM(H111:H114)</f>
        <v>0</v>
      </c>
      <c r="I110" s="616">
        <f t="shared" ref="I110" si="90">SUM(I111:I114)</f>
        <v>0</v>
      </c>
      <c r="J110" s="915"/>
    </row>
    <row r="111" spans="1:10" s="607" customFormat="1" ht="13.5" customHeight="1">
      <c r="A111" s="994"/>
      <c r="B111" s="995"/>
      <c r="C111" s="727" t="s">
        <v>2259</v>
      </c>
      <c r="D111" s="727"/>
      <c r="E111" s="1035"/>
      <c r="F111" s="616"/>
      <c r="G111" s="1064">
        <f t="shared" si="80"/>
        <v>0</v>
      </c>
      <c r="H111" s="616">
        <f>IF(H239=0,0,+H239-H256)</f>
        <v>0</v>
      </c>
      <c r="I111" s="616">
        <f t="shared" ref="I111" si="91">IF(I239=0,0,+I239-I256)</f>
        <v>0</v>
      </c>
      <c r="J111" s="915"/>
    </row>
    <row r="112" spans="1:10" s="607" customFormat="1" ht="13.5" customHeight="1">
      <c r="A112" s="994"/>
      <c r="B112" s="995"/>
      <c r="C112" s="727" t="s">
        <v>2263</v>
      </c>
      <c r="D112" s="727"/>
      <c r="E112" s="1035"/>
      <c r="F112" s="616"/>
      <c r="G112" s="615">
        <f t="shared" si="80"/>
        <v>0</v>
      </c>
      <c r="H112" s="616">
        <f>+H240+H241</f>
        <v>0</v>
      </c>
      <c r="I112" s="616">
        <f t="shared" ref="I112" si="92">+I240+I241</f>
        <v>0</v>
      </c>
      <c r="J112" s="915"/>
    </row>
    <row r="113" spans="1:10" s="607" customFormat="1" ht="13.5" customHeight="1">
      <c r="A113" s="994"/>
      <c r="B113" s="995"/>
      <c r="C113" s="727" t="s">
        <v>2264</v>
      </c>
      <c r="D113" s="727"/>
      <c r="E113" s="1035"/>
      <c r="F113" s="616"/>
      <c r="G113" s="615">
        <f t="shared" si="80"/>
        <v>0</v>
      </c>
      <c r="H113" s="616">
        <f>SUM(H242:H246)</f>
        <v>0</v>
      </c>
      <c r="I113" s="616">
        <f t="shared" ref="I113" si="93">SUM(I242:I246)</f>
        <v>0</v>
      </c>
      <c r="J113" s="915"/>
    </row>
    <row r="114" spans="1:10" s="607" customFormat="1" ht="13.5" customHeight="1">
      <c r="A114" s="994"/>
      <c r="B114" s="995"/>
      <c r="C114" s="623" t="s">
        <v>2265</v>
      </c>
      <c r="D114" s="995"/>
      <c r="E114" s="1036"/>
      <c r="F114" s="724"/>
      <c r="G114" s="625">
        <f t="shared" si="80"/>
        <v>0</v>
      </c>
      <c r="H114" s="724">
        <f>IF(H247=0,0,+H247-H256)</f>
        <v>0</v>
      </c>
      <c r="I114" s="724">
        <f t="shared" ref="I114" si="94">IF(I247=0,0,+I247-I256)</f>
        <v>0</v>
      </c>
      <c r="J114" s="915"/>
    </row>
    <row r="115" spans="1:10" s="607" customFormat="1" ht="13.5" customHeight="1">
      <c r="A115" s="729"/>
      <c r="B115" s="609" t="s">
        <v>2266</v>
      </c>
      <c r="C115" s="609"/>
      <c r="D115" s="609"/>
      <c r="E115" s="1040"/>
      <c r="F115" s="612"/>
      <c r="G115" s="611">
        <f t="shared" si="80"/>
        <v>0</v>
      </c>
      <c r="H115" s="612">
        <f>H93+H104</f>
        <v>0</v>
      </c>
      <c r="I115" s="612">
        <f t="shared" ref="I115" si="95">I93+I104</f>
        <v>0</v>
      </c>
      <c r="J115" s="915"/>
    </row>
    <row r="116" spans="1:10" s="607" customFormat="1" ht="15" customHeight="1">
      <c r="A116" s="731"/>
      <c r="B116" s="995"/>
      <c r="C116" s="732" t="s">
        <v>2267</v>
      </c>
      <c r="D116" s="732"/>
      <c r="E116" s="733"/>
      <c r="F116" s="1044"/>
      <c r="G116" s="1045"/>
      <c r="H116" s="734" t="s">
        <v>2268</v>
      </c>
      <c r="I116" s="735"/>
      <c r="J116" s="915"/>
    </row>
    <row r="117" spans="1:10" s="607" customFormat="1" ht="15" customHeight="1">
      <c r="A117" s="595"/>
      <c r="B117" s="596"/>
      <c r="C117" s="596"/>
      <c r="D117" s="596"/>
      <c r="E117" s="1041"/>
      <c r="F117" s="745" t="s">
        <v>2908</v>
      </c>
      <c r="G117" s="737" t="s">
        <v>2165</v>
      </c>
      <c r="H117" s="738">
        <f t="shared" ref="H117:I117" si="96">+H88</f>
        <v>0</v>
      </c>
      <c r="I117" s="738">
        <f t="shared" si="96"/>
        <v>0</v>
      </c>
      <c r="J117" s="915"/>
    </row>
    <row r="118" spans="1:10" s="607" customFormat="1" ht="15" customHeight="1">
      <c r="A118" s="626" t="s">
        <v>2185</v>
      </c>
      <c r="B118" s="627"/>
      <c r="C118" s="628"/>
      <c r="D118" s="628"/>
      <c r="E118" s="1042"/>
      <c r="F118" s="631"/>
      <c r="G118" s="630"/>
      <c r="H118" s="631"/>
      <c r="I118" s="631"/>
      <c r="J118" s="915"/>
    </row>
    <row r="119" spans="1:10" s="607" customFormat="1" ht="15" customHeight="1">
      <c r="A119" s="967"/>
      <c r="B119" s="2158" t="s">
        <v>2186</v>
      </c>
      <c r="C119" s="539" t="s">
        <v>2187</v>
      </c>
      <c r="D119" s="539"/>
      <c r="E119" s="1038"/>
      <c r="F119" s="725"/>
      <c r="G119" s="613">
        <f t="shared" ref="G119:G138" si="97">SUM(H119:J119)</f>
        <v>0</v>
      </c>
      <c r="H119" s="725">
        <f t="shared" ref="H119:I119" si="98">IF(H87="新営",H94-SUM(H121:H132)-H136-H135,0)</f>
        <v>0</v>
      </c>
      <c r="I119" s="725">
        <f t="shared" si="98"/>
        <v>0</v>
      </c>
      <c r="J119" s="915"/>
    </row>
    <row r="120" spans="1:10" s="607" customFormat="1" ht="14.25" customHeight="1">
      <c r="A120" s="967"/>
      <c r="B120" s="2173"/>
      <c r="C120" s="541" t="s">
        <v>2188</v>
      </c>
      <c r="D120" s="541"/>
      <c r="E120" s="1035"/>
      <c r="F120" s="616"/>
      <c r="G120" s="615">
        <f t="shared" si="97"/>
        <v>0</v>
      </c>
      <c r="H120" s="616">
        <f t="shared" ref="H120:I120" si="99">IF(H87="改修",H94-SUM(H121:H132)-H136-H135,0)</f>
        <v>0</v>
      </c>
      <c r="I120" s="616">
        <f t="shared" si="99"/>
        <v>0</v>
      </c>
      <c r="J120" s="915"/>
    </row>
    <row r="121" spans="1:10" s="607" customFormat="1" ht="15" customHeight="1">
      <c r="A121" s="967"/>
      <c r="B121" s="2173"/>
      <c r="C121" s="632" t="s">
        <v>2189</v>
      </c>
      <c r="D121" s="541"/>
      <c r="E121" s="1035"/>
      <c r="F121" s="616"/>
      <c r="G121" s="615">
        <f t="shared" si="97"/>
        <v>0</v>
      </c>
      <c r="H121" s="616">
        <f>前回諸経費表!H337</f>
        <v>0</v>
      </c>
      <c r="I121" s="616">
        <f>前回諸経費表!I337</f>
        <v>0</v>
      </c>
      <c r="J121" s="915"/>
    </row>
    <row r="122" spans="1:10" s="607" customFormat="1" ht="15" customHeight="1">
      <c r="A122" s="967"/>
      <c r="B122" s="2174"/>
      <c r="C122" s="632" t="s">
        <v>2190</v>
      </c>
      <c r="D122" s="541"/>
      <c r="E122" s="1035"/>
      <c r="F122" s="616"/>
      <c r="G122" s="615">
        <f t="shared" si="97"/>
        <v>0</v>
      </c>
      <c r="H122" s="616">
        <f>前回諸経費表!H338</f>
        <v>0</v>
      </c>
      <c r="I122" s="616">
        <f>前回諸経費表!I338</f>
        <v>0</v>
      </c>
      <c r="J122" s="915"/>
    </row>
    <row r="123" spans="1:10" s="607" customFormat="1" ht="15" customHeight="1">
      <c r="A123" s="967"/>
      <c r="B123" s="2137" t="s">
        <v>2191</v>
      </c>
      <c r="C123" s="540" t="s">
        <v>2192</v>
      </c>
      <c r="D123" s="541"/>
      <c r="E123" s="1035"/>
      <c r="F123" s="616"/>
      <c r="G123" s="615">
        <f t="shared" si="97"/>
        <v>0</v>
      </c>
      <c r="H123" s="616">
        <f>前回諸経費表!H339</f>
        <v>0</v>
      </c>
      <c r="I123" s="616">
        <f>前回諸経費表!I339</f>
        <v>0</v>
      </c>
      <c r="J123" s="915"/>
    </row>
    <row r="124" spans="1:10" s="607" customFormat="1" ht="15" customHeight="1">
      <c r="A124" s="967"/>
      <c r="B124" s="2173"/>
      <c r="C124" s="540" t="s">
        <v>2193</v>
      </c>
      <c r="D124" s="541"/>
      <c r="E124" s="1035"/>
      <c r="F124" s="616"/>
      <c r="G124" s="615">
        <f t="shared" si="97"/>
        <v>0</v>
      </c>
      <c r="H124" s="616">
        <f>前回諸経費表!H340</f>
        <v>0</v>
      </c>
      <c r="I124" s="616">
        <f>前回諸経費表!I340</f>
        <v>0</v>
      </c>
      <c r="J124" s="915"/>
    </row>
    <row r="125" spans="1:10" s="607" customFormat="1" ht="15" customHeight="1">
      <c r="A125" s="967"/>
      <c r="B125" s="2173"/>
      <c r="C125" s="541" t="s">
        <v>2194</v>
      </c>
      <c r="D125" s="541"/>
      <c r="E125" s="1035"/>
      <c r="F125" s="616"/>
      <c r="G125" s="615">
        <f t="shared" si="97"/>
        <v>0</v>
      </c>
      <c r="H125" s="616">
        <f>前回諸経費表!H341</f>
        <v>0</v>
      </c>
      <c r="I125" s="616">
        <f>前回諸経費表!I341</f>
        <v>0</v>
      </c>
      <c r="J125" s="915"/>
    </row>
    <row r="126" spans="1:10" s="607" customFormat="1" ht="15" customHeight="1">
      <c r="A126" s="967"/>
      <c r="B126" s="2173"/>
      <c r="C126" s="541" t="s">
        <v>2195</v>
      </c>
      <c r="D126" s="541"/>
      <c r="E126" s="1035"/>
      <c r="F126" s="616"/>
      <c r="G126" s="1065">
        <f t="shared" si="97"/>
        <v>0</v>
      </c>
      <c r="H126" s="616">
        <f>前回諸経費表!H342</f>
        <v>0</v>
      </c>
      <c r="I126" s="616">
        <f>前回諸経費表!I342</f>
        <v>0</v>
      </c>
      <c r="J126" s="915"/>
    </row>
    <row r="127" spans="1:10" s="607" customFormat="1" ht="15" customHeight="1">
      <c r="A127" s="967"/>
      <c r="B127" s="2173"/>
      <c r="C127" s="541" t="s">
        <v>2196</v>
      </c>
      <c r="D127" s="541"/>
      <c r="E127" s="1035"/>
      <c r="F127" s="616"/>
      <c r="G127" s="615">
        <f t="shared" si="97"/>
        <v>0</v>
      </c>
      <c r="H127" s="616">
        <f>前回諸経費表!H343</f>
        <v>0</v>
      </c>
      <c r="I127" s="616">
        <f>前回諸経費表!I343</f>
        <v>0</v>
      </c>
      <c r="J127" s="915"/>
    </row>
    <row r="128" spans="1:10" s="607" customFormat="1" ht="15" customHeight="1">
      <c r="A128" s="967"/>
      <c r="B128" s="2173"/>
      <c r="C128" s="541" t="s">
        <v>2197</v>
      </c>
      <c r="D128" s="541"/>
      <c r="E128" s="1035"/>
      <c r="F128" s="616"/>
      <c r="G128" s="615">
        <f t="shared" si="97"/>
        <v>0</v>
      </c>
      <c r="H128" s="616">
        <f>前回諸経費表!H344</f>
        <v>0</v>
      </c>
      <c r="I128" s="616">
        <f>前回諸経費表!I344</f>
        <v>0</v>
      </c>
      <c r="J128" s="915"/>
    </row>
    <row r="129" spans="1:10" s="607" customFormat="1" ht="15" customHeight="1">
      <c r="A129" s="967"/>
      <c r="B129" s="2173"/>
      <c r="C129" s="633" t="s">
        <v>2198</v>
      </c>
      <c r="D129" s="541"/>
      <c r="E129" s="1035"/>
      <c r="F129" s="616"/>
      <c r="G129" s="615">
        <f t="shared" si="97"/>
        <v>0</v>
      </c>
      <c r="H129" s="616">
        <f>前回諸経費表!H345</f>
        <v>0</v>
      </c>
      <c r="I129" s="616">
        <f>前回諸経費表!I345</f>
        <v>0</v>
      </c>
      <c r="J129" s="915"/>
    </row>
    <row r="130" spans="1:10" s="607" customFormat="1" ht="15" customHeight="1">
      <c r="A130" s="967"/>
      <c r="B130" s="2173"/>
      <c r="C130" s="634" t="s">
        <v>2199</v>
      </c>
      <c r="D130" s="541"/>
      <c r="E130" s="1035"/>
      <c r="F130" s="616"/>
      <c r="G130" s="615">
        <f t="shared" si="97"/>
        <v>0</v>
      </c>
      <c r="H130" s="616">
        <f>前回諸経費表!H346</f>
        <v>0</v>
      </c>
      <c r="I130" s="616">
        <f>前回諸経費表!I346</f>
        <v>0</v>
      </c>
      <c r="J130" s="915"/>
    </row>
    <row r="131" spans="1:10" s="607" customFormat="1" ht="15" customHeight="1">
      <c r="A131" s="967"/>
      <c r="B131" s="2174"/>
      <c r="C131" s="541" t="s">
        <v>2200</v>
      </c>
      <c r="D131" s="541"/>
      <c r="E131" s="1035"/>
      <c r="F131" s="616"/>
      <c r="G131" s="615">
        <f t="shared" si="97"/>
        <v>0</v>
      </c>
      <c r="H131" s="616">
        <f>前回諸経費表!H347</f>
        <v>0</v>
      </c>
      <c r="I131" s="616">
        <f>前回諸経費表!I347</f>
        <v>0</v>
      </c>
      <c r="J131" s="915"/>
    </row>
    <row r="132" spans="1:10" s="607" customFormat="1" ht="15" customHeight="1">
      <c r="A132" s="967"/>
      <c r="B132" s="2137" t="s">
        <v>2201</v>
      </c>
      <c r="C132" s="632" t="s">
        <v>2202</v>
      </c>
      <c r="D132" s="541"/>
      <c r="E132" s="1035"/>
      <c r="F132" s="616"/>
      <c r="G132" s="615">
        <f t="shared" si="97"/>
        <v>0</v>
      </c>
      <c r="H132" s="616">
        <f>前回諸経費表!H348</f>
        <v>0</v>
      </c>
      <c r="I132" s="616">
        <f>前回諸経費表!I348</f>
        <v>0</v>
      </c>
      <c r="J132" s="915"/>
    </row>
    <row r="133" spans="1:10" s="607" customFormat="1" ht="15" customHeight="1">
      <c r="A133" s="967"/>
      <c r="B133" s="2173"/>
      <c r="C133" s="632" t="s">
        <v>2203</v>
      </c>
      <c r="D133" s="541"/>
      <c r="E133" s="1035"/>
      <c r="F133" s="616"/>
      <c r="G133" s="615">
        <f t="shared" si="97"/>
        <v>0</v>
      </c>
      <c r="H133" s="616">
        <f t="shared" ref="H133:I133" si="100">+H102</f>
        <v>0</v>
      </c>
      <c r="I133" s="616">
        <f t="shared" si="100"/>
        <v>0</v>
      </c>
      <c r="J133" s="915"/>
    </row>
    <row r="134" spans="1:10" s="607" customFormat="1" ht="15" customHeight="1">
      <c r="A134" s="967"/>
      <c r="B134" s="2173"/>
      <c r="C134" s="541" t="s">
        <v>2204</v>
      </c>
      <c r="D134" s="541"/>
      <c r="E134" s="1035"/>
      <c r="F134" s="616"/>
      <c r="G134" s="615">
        <f t="shared" si="97"/>
        <v>0</v>
      </c>
      <c r="H134" s="616">
        <f>+H101</f>
        <v>0</v>
      </c>
      <c r="I134" s="616">
        <f t="shared" ref="I134" si="101">+I101</f>
        <v>0</v>
      </c>
      <c r="J134" s="915"/>
    </row>
    <row r="135" spans="1:10" s="607" customFormat="1" ht="15" customHeight="1">
      <c r="A135" s="967"/>
      <c r="B135" s="2173"/>
      <c r="C135" s="541" t="s">
        <v>2205</v>
      </c>
      <c r="D135" s="541"/>
      <c r="E135" s="1035"/>
      <c r="F135" s="616"/>
      <c r="G135" s="615">
        <f t="shared" si="97"/>
        <v>0</v>
      </c>
      <c r="H135" s="616">
        <f>前回諸経費表!H351</f>
        <v>0</v>
      </c>
      <c r="I135" s="616">
        <f>前回諸経費表!I351</f>
        <v>0</v>
      </c>
      <c r="J135" s="915"/>
    </row>
    <row r="136" spans="1:10" s="607" customFormat="1" ht="15" customHeight="1">
      <c r="A136" s="967"/>
      <c r="B136" s="2173"/>
      <c r="C136" s="1178" t="s">
        <v>2206</v>
      </c>
      <c r="D136" s="1178"/>
      <c r="E136" s="1043"/>
      <c r="F136" s="619"/>
      <c r="G136" s="615">
        <f t="shared" si="97"/>
        <v>0</v>
      </c>
      <c r="H136" s="619">
        <f>前回諸経費表!H352</f>
        <v>0</v>
      </c>
      <c r="I136" s="619">
        <f>前回諸経費表!I352</f>
        <v>0</v>
      </c>
      <c r="J136" s="915"/>
    </row>
    <row r="137" spans="1:10" s="607" customFormat="1" ht="15" customHeight="1">
      <c r="A137" s="967"/>
      <c r="B137" s="2173"/>
      <c r="C137" s="1178" t="s">
        <v>2207</v>
      </c>
      <c r="D137" s="1178"/>
      <c r="E137" s="1043"/>
      <c r="F137" s="619"/>
      <c r="G137" s="615">
        <f t="shared" si="97"/>
        <v>0</v>
      </c>
      <c r="H137" s="619">
        <f>前回諸経費表!H353</f>
        <v>0</v>
      </c>
      <c r="I137" s="619">
        <f>前回諸経費表!I353</f>
        <v>0</v>
      </c>
      <c r="J137" s="915"/>
    </row>
    <row r="138" spans="1:10" s="607" customFormat="1" ht="15" customHeight="1">
      <c r="A138" s="968"/>
      <c r="B138" s="2175"/>
      <c r="C138" s="636" t="s">
        <v>2208</v>
      </c>
      <c r="D138" s="636"/>
      <c r="E138" s="1037"/>
      <c r="F138" s="723"/>
      <c r="G138" s="638">
        <f t="shared" si="97"/>
        <v>0</v>
      </c>
      <c r="H138" s="723">
        <f>前回諸経費表!H354</f>
        <v>0</v>
      </c>
      <c r="I138" s="723">
        <f>前回諸経費表!I354</f>
        <v>0</v>
      </c>
      <c r="J138" s="915"/>
    </row>
    <row r="139" spans="1:10" s="607" customFormat="1" ht="15" hidden="1" customHeight="1">
      <c r="A139" s="995"/>
      <c r="B139" s="995"/>
      <c r="C139" s="739" t="s">
        <v>2269</v>
      </c>
      <c r="D139" s="739"/>
      <c r="E139" s="622"/>
      <c r="F139" s="713"/>
      <c r="G139" s="711"/>
      <c r="H139" s="713"/>
      <c r="I139" s="713"/>
      <c r="J139" s="740" t="s">
        <v>2270</v>
      </c>
    </row>
    <row r="140" spans="1:10" s="607" customFormat="1" ht="15" hidden="1" customHeight="1">
      <c r="A140" s="995"/>
      <c r="B140" s="995"/>
      <c r="C140" s="627" t="s">
        <v>2271</v>
      </c>
      <c r="D140" s="627"/>
      <c r="E140" s="622"/>
      <c r="F140" s="713"/>
      <c r="G140" s="711"/>
      <c r="H140" s="713"/>
      <c r="I140" s="713"/>
    </row>
    <row r="141" spans="1:10" s="607" customFormat="1" ht="15" hidden="1" customHeight="1">
      <c r="A141" s="595"/>
      <c r="B141" s="596"/>
      <c r="C141" s="596"/>
      <c r="D141" s="2168" t="s">
        <v>2272</v>
      </c>
      <c r="E141" s="2168" t="s">
        <v>2273</v>
      </c>
      <c r="F141" s="745" t="s">
        <v>2908</v>
      </c>
      <c r="G141" s="737" t="s">
        <v>2165</v>
      </c>
      <c r="H141" s="738">
        <f t="shared" ref="H141:I141" si="102">+H88</f>
        <v>0</v>
      </c>
      <c r="I141" s="738">
        <f t="shared" si="102"/>
        <v>0</v>
      </c>
      <c r="J141" s="915"/>
    </row>
    <row r="142" spans="1:10" s="607" customFormat="1" ht="15" hidden="1" customHeight="1">
      <c r="A142" s="2170" t="s">
        <v>2274</v>
      </c>
      <c r="B142" s="2171"/>
      <c r="C142" s="2172"/>
      <c r="D142" s="2169"/>
      <c r="E142" s="2169"/>
      <c r="F142" s="1010"/>
      <c r="G142" s="741"/>
      <c r="H142" s="742"/>
      <c r="I142" s="742"/>
      <c r="J142" s="915"/>
    </row>
    <row r="143" spans="1:10" s="607" customFormat="1" ht="15" hidden="1" customHeight="1">
      <c r="A143" s="972"/>
      <c r="B143" s="743" t="s">
        <v>2275</v>
      </c>
      <c r="C143" s="744"/>
      <c r="D143" s="745"/>
      <c r="E143" s="746"/>
      <c r="F143" s="1011"/>
      <c r="G143" s="747">
        <f t="shared" ref="G143:G157" si="103">SUM(H143:J143)</f>
        <v>0</v>
      </c>
      <c r="H143" s="748">
        <f>SUM(H119:H131)+H135</f>
        <v>0</v>
      </c>
      <c r="I143" s="748">
        <f t="shared" ref="I143" si="104">SUM(I119:I131)+I135</f>
        <v>0</v>
      </c>
      <c r="J143" s="915"/>
    </row>
    <row r="144" spans="1:10" s="607" customFormat="1" ht="15" hidden="1" customHeight="1">
      <c r="A144" s="973"/>
      <c r="B144" s="1201"/>
      <c r="C144" s="749" t="s">
        <v>2187</v>
      </c>
      <c r="D144" s="750">
        <v>1</v>
      </c>
      <c r="E144" s="751" t="s">
        <v>2276</v>
      </c>
      <c r="F144" s="1003"/>
      <c r="G144" s="615">
        <f t="shared" si="103"/>
        <v>0</v>
      </c>
      <c r="H144" s="616">
        <f t="shared" ref="H144:I144" si="105">IF(H90="積上げ",0,+H119)</f>
        <v>0</v>
      </c>
      <c r="I144" s="616">
        <f t="shared" si="105"/>
        <v>0</v>
      </c>
      <c r="J144" s="915"/>
    </row>
    <row r="145" spans="1:10" s="607" customFormat="1" ht="15" hidden="1" customHeight="1">
      <c r="A145" s="973"/>
      <c r="B145" s="1203" t="s">
        <v>3103</v>
      </c>
      <c r="C145" s="749" t="s">
        <v>2188</v>
      </c>
      <c r="D145" s="750">
        <v>1</v>
      </c>
      <c r="E145" s="751" t="s">
        <v>2276</v>
      </c>
      <c r="F145" s="1003"/>
      <c r="G145" s="615">
        <f t="shared" si="103"/>
        <v>0</v>
      </c>
      <c r="H145" s="616">
        <f t="shared" ref="H145:I145" si="106">IF(H90="積上げ",0,+H120)</f>
        <v>0</v>
      </c>
      <c r="I145" s="616">
        <f t="shared" si="106"/>
        <v>0</v>
      </c>
      <c r="J145" s="915"/>
    </row>
    <row r="146" spans="1:10" s="607" customFormat="1" ht="15" hidden="1" customHeight="1">
      <c r="A146" s="973"/>
      <c r="B146" s="1203" t="s">
        <v>3105</v>
      </c>
      <c r="C146" s="749" t="s">
        <v>2277</v>
      </c>
      <c r="D146" s="750">
        <v>0.9</v>
      </c>
      <c r="E146" s="751" t="s">
        <v>2276</v>
      </c>
      <c r="F146" s="1003"/>
      <c r="G146" s="615">
        <f t="shared" si="103"/>
        <v>0</v>
      </c>
      <c r="H146" s="616">
        <f t="shared" ref="H146:I146" si="107">IF(H90="積上げ",0,+H121)</f>
        <v>0</v>
      </c>
      <c r="I146" s="616">
        <f t="shared" si="107"/>
        <v>0</v>
      </c>
      <c r="J146" s="915"/>
    </row>
    <row r="147" spans="1:10" s="607" customFormat="1" ht="15" hidden="1" customHeight="1">
      <c r="A147" s="973"/>
      <c r="B147" s="1202"/>
      <c r="C147" s="749" t="s">
        <v>2278</v>
      </c>
      <c r="D147" s="750">
        <v>0.9</v>
      </c>
      <c r="E147" s="751" t="s">
        <v>2276</v>
      </c>
      <c r="F147" s="1003"/>
      <c r="G147" s="615">
        <f t="shared" si="103"/>
        <v>0</v>
      </c>
      <c r="H147" s="616">
        <f t="shared" ref="H147:I147" si="108">IF(H90="積上げ",0,+H122)</f>
        <v>0</v>
      </c>
      <c r="I147" s="616">
        <f t="shared" si="108"/>
        <v>0</v>
      </c>
      <c r="J147" s="915"/>
    </row>
    <row r="148" spans="1:10" s="607" customFormat="1" ht="15" hidden="1" customHeight="1">
      <c r="A148" s="973"/>
      <c r="B148" s="1201"/>
      <c r="C148" s="749" t="s">
        <v>2279</v>
      </c>
      <c r="D148" s="750">
        <v>1</v>
      </c>
      <c r="E148" s="752">
        <v>0.01</v>
      </c>
      <c r="F148" s="1003"/>
      <c r="G148" s="615">
        <f t="shared" si="103"/>
        <v>0</v>
      </c>
      <c r="H148" s="616">
        <f t="shared" ref="H148:I148" si="109">IF(H90="積上げ",0,+H123)</f>
        <v>0</v>
      </c>
      <c r="I148" s="616">
        <f t="shared" si="109"/>
        <v>0</v>
      </c>
      <c r="J148" s="915"/>
    </row>
    <row r="149" spans="1:10" s="607" customFormat="1" ht="15" hidden="1" customHeight="1">
      <c r="A149" s="973"/>
      <c r="B149" s="1203" t="s">
        <v>3107</v>
      </c>
      <c r="C149" s="749" t="s">
        <v>2280</v>
      </c>
      <c r="D149" s="750">
        <v>1</v>
      </c>
      <c r="E149" s="752">
        <v>0.01</v>
      </c>
      <c r="F149" s="1003"/>
      <c r="G149" s="615">
        <f t="shared" si="103"/>
        <v>0</v>
      </c>
      <c r="H149" s="616">
        <f t="shared" ref="H149:I149" si="110">IF(H90="積上げ",0,H124)</f>
        <v>0</v>
      </c>
      <c r="I149" s="616">
        <f t="shared" si="110"/>
        <v>0</v>
      </c>
      <c r="J149" s="915"/>
    </row>
    <row r="150" spans="1:10" s="607" customFormat="1" ht="15" hidden="1" customHeight="1">
      <c r="A150" s="973"/>
      <c r="B150" s="1203" t="s">
        <v>3108</v>
      </c>
      <c r="C150" s="749" t="s">
        <v>2194</v>
      </c>
      <c r="D150" s="750">
        <v>1</v>
      </c>
      <c r="E150" s="752">
        <v>0.01</v>
      </c>
      <c r="F150" s="1003"/>
      <c r="G150" s="615">
        <f t="shared" si="103"/>
        <v>0</v>
      </c>
      <c r="H150" s="616">
        <f t="shared" ref="H150:I150" si="111">IF(H90="積上げ",0,H125)</f>
        <v>0</v>
      </c>
      <c r="I150" s="616">
        <f t="shared" si="111"/>
        <v>0</v>
      </c>
      <c r="J150" s="915"/>
    </row>
    <row r="151" spans="1:10" s="607" customFormat="1" ht="14.25" hidden="1" customHeight="1">
      <c r="A151" s="973"/>
      <c r="B151" s="1203" t="s">
        <v>3109</v>
      </c>
      <c r="C151" s="749" t="s">
        <v>2195</v>
      </c>
      <c r="D151" s="750"/>
      <c r="E151" s="752"/>
      <c r="F151" s="1003"/>
      <c r="G151" s="615">
        <f t="shared" si="103"/>
        <v>0</v>
      </c>
      <c r="H151" s="616"/>
      <c r="I151" s="616"/>
      <c r="J151" s="915"/>
    </row>
    <row r="152" spans="1:10" s="607" customFormat="1" ht="14.25" hidden="1" customHeight="1">
      <c r="A152" s="973"/>
      <c r="B152" s="1203" t="s">
        <v>3110</v>
      </c>
      <c r="C152" s="749" t="s">
        <v>2196</v>
      </c>
      <c r="D152" s="750"/>
      <c r="E152" s="752"/>
      <c r="F152" s="1003"/>
      <c r="G152" s="615">
        <f t="shared" si="103"/>
        <v>0</v>
      </c>
      <c r="H152" s="616"/>
      <c r="I152" s="616"/>
      <c r="J152" s="915"/>
    </row>
    <row r="153" spans="1:10" s="607" customFormat="1" ht="15" hidden="1" customHeight="1">
      <c r="A153" s="973"/>
      <c r="B153" s="1203" t="s">
        <v>3111</v>
      </c>
      <c r="C153" s="749" t="s">
        <v>2197</v>
      </c>
      <c r="D153" s="750">
        <v>1</v>
      </c>
      <c r="E153" s="752">
        <v>0.01</v>
      </c>
      <c r="F153" s="1003"/>
      <c r="G153" s="615">
        <f t="shared" si="103"/>
        <v>0</v>
      </c>
      <c r="H153" s="616">
        <f t="shared" ref="H153:I153" si="112">IF(H90="積上げ",0,+H128)</f>
        <v>0</v>
      </c>
      <c r="I153" s="616">
        <f t="shared" si="112"/>
        <v>0</v>
      </c>
      <c r="J153" s="915"/>
    </row>
    <row r="154" spans="1:10" s="607" customFormat="1" ht="15" hidden="1" customHeight="1">
      <c r="A154" s="973"/>
      <c r="B154" s="1203"/>
      <c r="C154" s="753" t="s">
        <v>2198</v>
      </c>
      <c r="D154" s="750">
        <v>1</v>
      </c>
      <c r="E154" s="752">
        <v>0.01</v>
      </c>
      <c r="F154" s="1003"/>
      <c r="G154" s="615">
        <f t="shared" si="103"/>
        <v>0</v>
      </c>
      <c r="H154" s="616">
        <f t="shared" ref="H154:I154" si="113">IF(H90="積上げ",0,+H129)</f>
        <v>0</v>
      </c>
      <c r="I154" s="616">
        <f t="shared" si="113"/>
        <v>0</v>
      </c>
      <c r="J154" s="915"/>
    </row>
    <row r="155" spans="1:10" s="607" customFormat="1" ht="15" hidden="1" customHeight="1">
      <c r="A155" s="973"/>
      <c r="B155" s="1203"/>
      <c r="C155" s="753" t="s">
        <v>2199</v>
      </c>
      <c r="D155" s="750">
        <v>1</v>
      </c>
      <c r="E155" s="752">
        <v>0.01</v>
      </c>
      <c r="F155" s="1003"/>
      <c r="G155" s="615">
        <f t="shared" si="103"/>
        <v>0</v>
      </c>
      <c r="H155" s="616">
        <f t="shared" ref="H155:I155" si="114">IF(H90="積上げ",0,+H130)</f>
        <v>0</v>
      </c>
      <c r="I155" s="616">
        <f t="shared" si="114"/>
        <v>0</v>
      </c>
      <c r="J155" s="915"/>
    </row>
    <row r="156" spans="1:10" s="607" customFormat="1" ht="15" hidden="1" customHeight="1">
      <c r="A156" s="973"/>
      <c r="B156" s="1202"/>
      <c r="C156" s="749" t="s">
        <v>2200</v>
      </c>
      <c r="D156" s="750">
        <v>1</v>
      </c>
      <c r="E156" s="752">
        <v>0.01</v>
      </c>
      <c r="F156" s="1003"/>
      <c r="G156" s="615">
        <f t="shared" si="103"/>
        <v>0</v>
      </c>
      <c r="H156" s="616">
        <f t="shared" ref="H156:I156" si="115">IF(H90="積上げ",0,+H131)</f>
        <v>0</v>
      </c>
      <c r="I156" s="616">
        <f t="shared" si="115"/>
        <v>0</v>
      </c>
      <c r="J156" s="915"/>
    </row>
    <row r="157" spans="1:10" s="607" customFormat="1" ht="15" hidden="1" customHeight="1">
      <c r="A157" s="974"/>
      <c r="B157" s="754" t="s">
        <v>2281</v>
      </c>
      <c r="C157" s="775" t="s">
        <v>2282</v>
      </c>
      <c r="D157" s="755">
        <v>1</v>
      </c>
      <c r="E157" s="756">
        <v>0</v>
      </c>
      <c r="F157" s="1013"/>
      <c r="G157" s="638">
        <f t="shared" si="103"/>
        <v>0</v>
      </c>
      <c r="H157" s="723">
        <f t="shared" ref="H157:I157" si="116">IF(H90="積上げ",0,SUM(H135:H138)+H132)</f>
        <v>0</v>
      </c>
      <c r="I157" s="723">
        <f t="shared" si="116"/>
        <v>0</v>
      </c>
      <c r="J157" s="915"/>
    </row>
    <row r="158" spans="1:10" s="607" customFormat="1" ht="15" hidden="1" customHeight="1">
      <c r="A158" s="757"/>
      <c r="B158" s="758"/>
      <c r="C158" s="759"/>
      <c r="D158" s="975"/>
      <c r="E158" s="975"/>
      <c r="F158" s="1011"/>
      <c r="G158" s="747"/>
      <c r="H158" s="748"/>
      <c r="I158" s="748"/>
      <c r="J158" s="915"/>
    </row>
    <row r="159" spans="1:10" s="607" customFormat="1" ht="15" hidden="1" customHeight="1">
      <c r="A159" s="2170" t="s">
        <v>2283</v>
      </c>
      <c r="B159" s="2171"/>
      <c r="C159" s="2172"/>
      <c r="D159" s="976"/>
      <c r="E159" s="976"/>
      <c r="F159" s="1010"/>
      <c r="G159" s="741"/>
      <c r="H159" s="742"/>
      <c r="I159" s="742"/>
      <c r="J159" s="915"/>
    </row>
    <row r="160" spans="1:10" s="607" customFormat="1" ht="15" hidden="1" customHeight="1">
      <c r="A160" s="972"/>
      <c r="B160" s="2158" t="s">
        <v>2186</v>
      </c>
      <c r="C160" s="760" t="s">
        <v>2187</v>
      </c>
      <c r="D160" s="761"/>
      <c r="E160" s="762" t="s">
        <v>2276</v>
      </c>
      <c r="F160" s="1019"/>
      <c r="G160" s="763" t="s">
        <v>2284</v>
      </c>
      <c r="H160" s="764">
        <f t="shared" ref="H160:I160" si="117">IF(H144=0,0,IF(H92="有り",+H266/100,H267/100))</f>
        <v>0</v>
      </c>
      <c r="I160" s="764">
        <f t="shared" si="117"/>
        <v>0</v>
      </c>
      <c r="J160" s="915"/>
    </row>
    <row r="161" spans="1:10" s="607" customFormat="1" ht="15" hidden="1" customHeight="1">
      <c r="A161" s="973"/>
      <c r="B161" s="2173"/>
      <c r="C161" s="765"/>
      <c r="D161" s="766">
        <f>+D144</f>
        <v>1</v>
      </c>
      <c r="E161" s="767" t="s">
        <v>2276</v>
      </c>
      <c r="F161" s="1020"/>
      <c r="G161" s="718">
        <f>SUM(H161:J161)</f>
        <v>0</v>
      </c>
      <c r="H161" s="726">
        <f>ROUNDDOWN(H144*H160*$D161,0)</f>
        <v>0</v>
      </c>
      <c r="I161" s="726">
        <f t="shared" ref="I161" si="118">ROUNDDOWN(I144*I160*$D161,0)</f>
        <v>0</v>
      </c>
      <c r="J161" s="915"/>
    </row>
    <row r="162" spans="1:10" s="607" customFormat="1" ht="15" hidden="1" customHeight="1">
      <c r="A162" s="973"/>
      <c r="B162" s="2173"/>
      <c r="C162" s="768" t="s">
        <v>2188</v>
      </c>
      <c r="D162" s="1180"/>
      <c r="E162" s="767" t="s">
        <v>2276</v>
      </c>
      <c r="F162" s="1021"/>
      <c r="G162" s="769" t="s">
        <v>2284</v>
      </c>
      <c r="H162" s="770">
        <f t="shared" ref="H162:I162" si="119">IF(H145=0,0,IF(H92="有り",H275/100,+H276/100))</f>
        <v>0</v>
      </c>
      <c r="I162" s="770">
        <f t="shared" si="119"/>
        <v>0</v>
      </c>
      <c r="J162" s="915"/>
    </row>
    <row r="163" spans="1:10" s="607" customFormat="1" ht="15" hidden="1" customHeight="1">
      <c r="A163" s="973"/>
      <c r="B163" s="2173"/>
      <c r="C163" s="765"/>
      <c r="D163" s="771">
        <f t="shared" ref="D163:D168" si="120">+D145</f>
        <v>1</v>
      </c>
      <c r="E163" s="767" t="s">
        <v>2276</v>
      </c>
      <c r="F163" s="1020"/>
      <c r="G163" s="718">
        <f t="shared" ref="G163:G176" si="121">SUM(H163:J163)</f>
        <v>0</v>
      </c>
      <c r="H163" s="726">
        <f>ROUNDDOWN(H145*H162*$D163,0)</f>
        <v>0</v>
      </c>
      <c r="I163" s="726">
        <f t="shared" ref="I163" si="122">ROUNDDOWN(I145*I162*$D163,0)</f>
        <v>0</v>
      </c>
      <c r="J163" s="915"/>
    </row>
    <row r="164" spans="1:10" s="607" customFormat="1" ht="15" hidden="1" customHeight="1">
      <c r="A164" s="973"/>
      <c r="B164" s="2173"/>
      <c r="C164" s="749" t="s">
        <v>2210</v>
      </c>
      <c r="D164" s="772">
        <v>0.9</v>
      </c>
      <c r="E164" s="767" t="s">
        <v>2276</v>
      </c>
      <c r="F164" s="1020"/>
      <c r="G164" s="718">
        <f t="shared" si="121"/>
        <v>0</v>
      </c>
      <c r="H164" s="726">
        <f>ROUNDDOWN(H146*H160*$D164,0)</f>
        <v>0</v>
      </c>
      <c r="I164" s="726">
        <f t="shared" ref="I164" si="123">ROUNDDOWN(I146*I160*$D164,0)</f>
        <v>0</v>
      </c>
      <c r="J164" s="915"/>
    </row>
    <row r="165" spans="1:10" s="607" customFormat="1" ht="15" hidden="1" customHeight="1">
      <c r="A165" s="973"/>
      <c r="B165" s="2174"/>
      <c r="C165" s="749" t="s">
        <v>2211</v>
      </c>
      <c r="D165" s="772">
        <v>0.9</v>
      </c>
      <c r="E165" s="767" t="s">
        <v>2276</v>
      </c>
      <c r="F165" s="1020"/>
      <c r="G165" s="718">
        <f t="shared" si="121"/>
        <v>0</v>
      </c>
      <c r="H165" s="726">
        <f>ROUNDDOWN(H147*H162*$D165,0)</f>
        <v>0</v>
      </c>
      <c r="I165" s="726">
        <f t="shared" ref="I165" si="124">ROUNDDOWN(I147*I162*$D165,0)</f>
        <v>0</v>
      </c>
      <c r="J165" s="915"/>
    </row>
    <row r="166" spans="1:10" s="607" customFormat="1" ht="15" hidden="1" customHeight="1">
      <c r="A166" s="973"/>
      <c r="B166" s="2137" t="s">
        <v>2191</v>
      </c>
      <c r="C166" s="749" t="s">
        <v>2279</v>
      </c>
      <c r="D166" s="772">
        <f>+D148</f>
        <v>1</v>
      </c>
      <c r="E166" s="752">
        <f>+E148</f>
        <v>0.01</v>
      </c>
      <c r="F166" s="1020"/>
      <c r="G166" s="615">
        <f t="shared" si="121"/>
        <v>0</v>
      </c>
      <c r="H166" s="726">
        <f t="shared" ref="H166:I175" si="125">ROUNDDOWN(H148*$E166*$D166,0)</f>
        <v>0</v>
      </c>
      <c r="I166" s="726">
        <f t="shared" si="125"/>
        <v>0</v>
      </c>
      <c r="J166" s="915"/>
    </row>
    <row r="167" spans="1:10" s="607" customFormat="1" ht="15" hidden="1" customHeight="1">
      <c r="A167" s="973"/>
      <c r="B167" s="2173"/>
      <c r="C167" s="749" t="s">
        <v>2285</v>
      </c>
      <c r="D167" s="772">
        <f t="shared" si="120"/>
        <v>1</v>
      </c>
      <c r="E167" s="752">
        <f>+E149</f>
        <v>0.01</v>
      </c>
      <c r="F167" s="1020"/>
      <c r="G167" s="615">
        <f t="shared" si="121"/>
        <v>0</v>
      </c>
      <c r="H167" s="726">
        <f t="shared" si="125"/>
        <v>0</v>
      </c>
      <c r="I167" s="726">
        <f t="shared" si="125"/>
        <v>0</v>
      </c>
      <c r="J167" s="915"/>
    </row>
    <row r="168" spans="1:10" s="607" customFormat="1" ht="15" hidden="1" customHeight="1">
      <c r="A168" s="973"/>
      <c r="B168" s="2173"/>
      <c r="C168" s="749" t="s">
        <v>2194</v>
      </c>
      <c r="D168" s="772">
        <f t="shared" si="120"/>
        <v>1</v>
      </c>
      <c r="E168" s="752">
        <f>+E150</f>
        <v>0.01</v>
      </c>
      <c r="F168" s="1020"/>
      <c r="G168" s="615">
        <f t="shared" si="121"/>
        <v>0</v>
      </c>
      <c r="H168" s="726">
        <f t="shared" si="125"/>
        <v>0</v>
      </c>
      <c r="I168" s="726">
        <f t="shared" si="125"/>
        <v>0</v>
      </c>
      <c r="J168" s="915"/>
    </row>
    <row r="169" spans="1:10" s="607" customFormat="1" ht="15" hidden="1" customHeight="1">
      <c r="A169" s="973"/>
      <c r="B169" s="2173"/>
      <c r="C169" s="749" t="s">
        <v>2286</v>
      </c>
      <c r="D169" s="772"/>
      <c r="E169" s="752"/>
      <c r="F169" s="1020"/>
      <c r="G169" s="615">
        <f t="shared" si="121"/>
        <v>0</v>
      </c>
      <c r="H169" s="726"/>
      <c r="I169" s="726"/>
      <c r="J169" s="915"/>
    </row>
    <row r="170" spans="1:10" s="607" customFormat="1" ht="15" hidden="1" customHeight="1">
      <c r="A170" s="973"/>
      <c r="B170" s="2173"/>
      <c r="C170" s="773" t="s">
        <v>2196</v>
      </c>
      <c r="D170" s="772"/>
      <c r="E170" s="752"/>
      <c r="F170" s="1020"/>
      <c r="G170" s="615">
        <f t="shared" si="121"/>
        <v>0</v>
      </c>
      <c r="H170" s="726"/>
      <c r="I170" s="726"/>
      <c r="J170" s="915"/>
    </row>
    <row r="171" spans="1:10" s="607" customFormat="1" ht="15" hidden="1" customHeight="1">
      <c r="A171" s="973"/>
      <c r="B171" s="2173"/>
      <c r="C171" s="749" t="s">
        <v>2197</v>
      </c>
      <c r="D171" s="772">
        <f t="shared" ref="D171:E175" si="126">+D153</f>
        <v>1</v>
      </c>
      <c r="E171" s="752">
        <f t="shared" si="126"/>
        <v>0.01</v>
      </c>
      <c r="F171" s="1020"/>
      <c r="G171" s="615">
        <f t="shared" si="121"/>
        <v>0</v>
      </c>
      <c r="H171" s="726">
        <f t="shared" si="125"/>
        <v>0</v>
      </c>
      <c r="I171" s="726">
        <f t="shared" si="125"/>
        <v>0</v>
      </c>
      <c r="J171" s="915"/>
    </row>
    <row r="172" spans="1:10" s="607" customFormat="1" ht="15" hidden="1" customHeight="1">
      <c r="A172" s="973"/>
      <c r="B172" s="2173"/>
      <c r="C172" s="753" t="s">
        <v>2287</v>
      </c>
      <c r="D172" s="772">
        <f t="shared" si="126"/>
        <v>1</v>
      </c>
      <c r="E172" s="752">
        <f t="shared" si="126"/>
        <v>0.01</v>
      </c>
      <c r="F172" s="1020"/>
      <c r="G172" s="615">
        <f t="shared" si="121"/>
        <v>0</v>
      </c>
      <c r="H172" s="726">
        <f t="shared" si="125"/>
        <v>0</v>
      </c>
      <c r="I172" s="726">
        <f t="shared" si="125"/>
        <v>0</v>
      </c>
      <c r="J172" s="915"/>
    </row>
    <row r="173" spans="1:10" s="607" customFormat="1" ht="15" hidden="1" customHeight="1">
      <c r="A173" s="973"/>
      <c r="B173" s="2173"/>
      <c r="C173" s="753" t="s">
        <v>2288</v>
      </c>
      <c r="D173" s="772">
        <f t="shared" si="126"/>
        <v>1</v>
      </c>
      <c r="E173" s="752">
        <f t="shared" si="126"/>
        <v>0.01</v>
      </c>
      <c r="F173" s="1020"/>
      <c r="G173" s="615">
        <f t="shared" si="121"/>
        <v>0</v>
      </c>
      <c r="H173" s="726">
        <f t="shared" si="125"/>
        <v>0</v>
      </c>
      <c r="I173" s="726">
        <f t="shared" si="125"/>
        <v>0</v>
      </c>
      <c r="J173" s="915"/>
    </row>
    <row r="174" spans="1:10" s="607" customFormat="1" ht="15" hidden="1" customHeight="1">
      <c r="A174" s="973"/>
      <c r="B174" s="2174"/>
      <c r="C174" s="749" t="s">
        <v>2200</v>
      </c>
      <c r="D174" s="772">
        <f t="shared" si="126"/>
        <v>1</v>
      </c>
      <c r="E174" s="752">
        <f t="shared" si="126"/>
        <v>0.01</v>
      </c>
      <c r="F174" s="1020"/>
      <c r="G174" s="615">
        <f t="shared" si="121"/>
        <v>0</v>
      </c>
      <c r="H174" s="726">
        <f t="shared" si="125"/>
        <v>0</v>
      </c>
      <c r="I174" s="726">
        <f t="shared" si="125"/>
        <v>0</v>
      </c>
      <c r="J174" s="915"/>
    </row>
    <row r="175" spans="1:10" s="607" customFormat="1" ht="15" hidden="1" customHeight="1" thickBot="1">
      <c r="A175" s="977"/>
      <c r="B175" s="774" t="s">
        <v>2281</v>
      </c>
      <c r="C175" s="775" t="s">
        <v>2289</v>
      </c>
      <c r="D175" s="776">
        <f t="shared" si="126"/>
        <v>1</v>
      </c>
      <c r="E175" s="777">
        <f t="shared" si="126"/>
        <v>0</v>
      </c>
      <c r="F175" s="1020"/>
      <c r="G175" s="778">
        <f t="shared" si="121"/>
        <v>0</v>
      </c>
      <c r="H175" s="726">
        <f>ROUNDDOWN(H157*$E175*$D175,0)</f>
        <v>0</v>
      </c>
      <c r="I175" s="726">
        <f t="shared" si="125"/>
        <v>0</v>
      </c>
      <c r="J175" s="915"/>
    </row>
    <row r="176" spans="1:10" s="607" customFormat="1" ht="15" hidden="1" customHeight="1" thickTop="1">
      <c r="A176" s="779"/>
      <c r="B176" s="780"/>
      <c r="C176" s="781" t="s">
        <v>2290</v>
      </c>
      <c r="D176" s="782"/>
      <c r="E176" s="783"/>
      <c r="F176" s="1067"/>
      <c r="G176" s="784">
        <f t="shared" si="121"/>
        <v>0</v>
      </c>
      <c r="H176" s="785">
        <f>SUM(H163:H175)+H161</f>
        <v>0</v>
      </c>
      <c r="I176" s="785">
        <f t="shared" ref="I176" si="127">SUM(I163:I175)+I161</f>
        <v>0</v>
      </c>
      <c r="J176" s="915"/>
    </row>
    <row r="177" spans="1:10" s="607" customFormat="1" ht="15" hidden="1" customHeight="1">
      <c r="A177" s="995"/>
      <c r="B177" s="995"/>
      <c r="C177" s="623"/>
      <c r="D177" s="623"/>
      <c r="E177" s="995"/>
      <c r="F177" s="618"/>
      <c r="G177" s="786"/>
      <c r="H177" s="618"/>
      <c r="I177" s="618"/>
    </row>
    <row r="178" spans="1:10" s="607" customFormat="1" ht="15" customHeight="1">
      <c r="A178" s="995"/>
      <c r="B178" s="995"/>
      <c r="C178" s="739" t="s">
        <v>2291</v>
      </c>
      <c r="D178" s="739"/>
      <c r="E178" s="622"/>
      <c r="F178" s="713"/>
      <c r="G178" s="711"/>
      <c r="H178" s="713"/>
      <c r="I178" s="713"/>
      <c r="J178" s="740" t="s">
        <v>2292</v>
      </c>
    </row>
    <row r="179" spans="1:10" s="607" customFormat="1" ht="15" customHeight="1">
      <c r="A179" s="995"/>
      <c r="B179" s="995"/>
      <c r="C179" s="627" t="s">
        <v>2293</v>
      </c>
      <c r="D179" s="627"/>
      <c r="E179" s="622"/>
      <c r="F179" s="713"/>
      <c r="G179" s="711"/>
      <c r="H179" s="713"/>
      <c r="I179" s="713"/>
    </row>
    <row r="180" spans="1:10" s="607" customFormat="1" ht="15" customHeight="1">
      <c r="A180" s="595"/>
      <c r="B180" s="596"/>
      <c r="C180" s="596"/>
      <c r="D180" s="2168" t="s">
        <v>2272</v>
      </c>
      <c r="E180" s="2168" t="s">
        <v>2273</v>
      </c>
      <c r="F180" s="745" t="s">
        <v>2908</v>
      </c>
      <c r="G180" s="737" t="s">
        <v>2165</v>
      </c>
      <c r="H180" s="738">
        <f t="shared" ref="H180:I180" si="128">+H88</f>
        <v>0</v>
      </c>
      <c r="I180" s="738">
        <f t="shared" si="128"/>
        <v>0</v>
      </c>
      <c r="J180" s="915"/>
    </row>
    <row r="181" spans="1:10" s="607" customFormat="1" ht="15" customHeight="1">
      <c r="A181" s="2170" t="s">
        <v>2294</v>
      </c>
      <c r="B181" s="2171"/>
      <c r="C181" s="2172"/>
      <c r="D181" s="2169"/>
      <c r="E181" s="2169"/>
      <c r="F181" s="1010"/>
      <c r="G181" s="741"/>
      <c r="H181" s="742"/>
      <c r="I181" s="742"/>
      <c r="J181" s="915"/>
    </row>
    <row r="182" spans="1:10" s="607" customFormat="1" ht="15" customHeight="1">
      <c r="A182" s="972"/>
      <c r="B182" s="743" t="s">
        <v>2295</v>
      </c>
      <c r="C182" s="744"/>
      <c r="D182" s="745"/>
      <c r="E182" s="746"/>
      <c r="F182" s="1011"/>
      <c r="G182" s="747">
        <f t="shared" ref="G182:G196" si="129">SUM(H182:J182)</f>
        <v>0</v>
      </c>
      <c r="H182" s="748">
        <f t="shared" ref="H182:I182" si="130">+H93-H137-H136-H132-H133</f>
        <v>0</v>
      </c>
      <c r="I182" s="748">
        <f t="shared" si="130"/>
        <v>0</v>
      </c>
      <c r="J182" s="915"/>
    </row>
    <row r="183" spans="1:10" s="607" customFormat="1" ht="15" customHeight="1">
      <c r="A183" s="973"/>
      <c r="B183" s="2137" t="s">
        <v>2186</v>
      </c>
      <c r="C183" s="749" t="s">
        <v>2187</v>
      </c>
      <c r="D183" s="750">
        <v>1</v>
      </c>
      <c r="E183" s="751" t="s">
        <v>2276</v>
      </c>
      <c r="F183" s="1003"/>
      <c r="G183" s="615">
        <f t="shared" si="129"/>
        <v>0</v>
      </c>
      <c r="H183" s="616">
        <f t="shared" ref="H183:I183" si="131">IF(H119&gt;=H120,+H119+H161+H100-H101-H102-H137,H119+H161)</f>
        <v>0</v>
      </c>
      <c r="I183" s="616">
        <f t="shared" si="131"/>
        <v>0</v>
      </c>
      <c r="J183" s="915"/>
    </row>
    <row r="184" spans="1:10" s="607" customFormat="1" ht="15" customHeight="1">
      <c r="A184" s="973"/>
      <c r="B184" s="2139"/>
      <c r="C184" s="749" t="s">
        <v>2188</v>
      </c>
      <c r="D184" s="750">
        <v>1</v>
      </c>
      <c r="E184" s="751" t="s">
        <v>2276</v>
      </c>
      <c r="F184" s="1003"/>
      <c r="G184" s="615">
        <f t="shared" si="129"/>
        <v>0</v>
      </c>
      <c r="H184" s="616">
        <f t="shared" ref="H184:I184" si="132">IF(H119&gt;=H120,+H120+H163,H120+H163+H100-H101-H102-H137)</f>
        <v>0</v>
      </c>
      <c r="I184" s="616">
        <f t="shared" si="132"/>
        <v>0</v>
      </c>
      <c r="J184" s="915"/>
    </row>
    <row r="185" spans="1:10" s="607" customFormat="1" ht="15" customHeight="1">
      <c r="A185" s="973"/>
      <c r="B185" s="2139"/>
      <c r="C185" s="749" t="s">
        <v>2277</v>
      </c>
      <c r="D185" s="750">
        <v>1</v>
      </c>
      <c r="E185" s="751" t="s">
        <v>2276</v>
      </c>
      <c r="F185" s="1003"/>
      <c r="G185" s="615">
        <f t="shared" si="129"/>
        <v>0</v>
      </c>
      <c r="H185" s="616">
        <f t="shared" ref="H185:I189" si="133">+H121+H164</f>
        <v>0</v>
      </c>
      <c r="I185" s="616">
        <f t="shared" si="133"/>
        <v>0</v>
      </c>
      <c r="J185" s="915"/>
    </row>
    <row r="186" spans="1:10" s="607" customFormat="1" ht="15" customHeight="1">
      <c r="A186" s="973"/>
      <c r="B186" s="2138"/>
      <c r="C186" s="749" t="s">
        <v>2278</v>
      </c>
      <c r="D186" s="750">
        <v>1</v>
      </c>
      <c r="E186" s="751" t="s">
        <v>2276</v>
      </c>
      <c r="F186" s="1003"/>
      <c r="G186" s="615">
        <f t="shared" si="129"/>
        <v>0</v>
      </c>
      <c r="H186" s="616">
        <f t="shared" si="133"/>
        <v>0</v>
      </c>
      <c r="I186" s="616">
        <f t="shared" si="133"/>
        <v>0</v>
      </c>
      <c r="J186" s="915"/>
    </row>
    <row r="187" spans="1:10" s="607" customFormat="1" ht="15" customHeight="1">
      <c r="A187" s="973"/>
      <c r="B187" s="2137" t="s">
        <v>2191</v>
      </c>
      <c r="C187" s="749" t="s">
        <v>2279</v>
      </c>
      <c r="D187" s="750">
        <v>1</v>
      </c>
      <c r="E187" s="752">
        <v>0.02</v>
      </c>
      <c r="F187" s="1003"/>
      <c r="G187" s="615">
        <f t="shared" si="129"/>
        <v>0</v>
      </c>
      <c r="H187" s="616">
        <f t="shared" si="133"/>
        <v>0</v>
      </c>
      <c r="I187" s="616">
        <f t="shared" si="133"/>
        <v>0</v>
      </c>
      <c r="J187" s="915"/>
    </row>
    <row r="188" spans="1:10" s="607" customFormat="1" ht="15" customHeight="1">
      <c r="A188" s="973"/>
      <c r="B188" s="2139"/>
      <c r="C188" s="749" t="s">
        <v>2280</v>
      </c>
      <c r="D188" s="750">
        <v>1</v>
      </c>
      <c r="E188" s="752">
        <v>0.02</v>
      </c>
      <c r="F188" s="1003"/>
      <c r="G188" s="615">
        <f t="shared" si="129"/>
        <v>0</v>
      </c>
      <c r="H188" s="616">
        <f t="shared" si="133"/>
        <v>0</v>
      </c>
      <c r="I188" s="616">
        <f t="shared" si="133"/>
        <v>0</v>
      </c>
      <c r="J188" s="915"/>
    </row>
    <row r="189" spans="1:10" s="607" customFormat="1" ht="15" customHeight="1">
      <c r="A189" s="973"/>
      <c r="B189" s="2139"/>
      <c r="C189" s="749" t="s">
        <v>2194</v>
      </c>
      <c r="D189" s="750">
        <v>1</v>
      </c>
      <c r="E189" s="752">
        <v>0.02</v>
      </c>
      <c r="F189" s="1003"/>
      <c r="G189" s="615">
        <f t="shared" si="129"/>
        <v>0</v>
      </c>
      <c r="H189" s="616">
        <f t="shared" si="133"/>
        <v>0</v>
      </c>
      <c r="I189" s="616">
        <f t="shared" si="133"/>
        <v>0</v>
      </c>
      <c r="J189" s="915"/>
    </row>
    <row r="190" spans="1:10" s="607" customFormat="1" ht="15" customHeight="1">
      <c r="A190" s="973"/>
      <c r="B190" s="2139"/>
      <c r="C190" s="749" t="s">
        <v>2195</v>
      </c>
      <c r="D190" s="750"/>
      <c r="E190" s="752"/>
      <c r="F190" s="1003"/>
      <c r="G190" s="615">
        <f t="shared" si="129"/>
        <v>0</v>
      </c>
      <c r="H190" s="616"/>
      <c r="I190" s="616"/>
      <c r="J190" s="915"/>
    </row>
    <row r="191" spans="1:10" s="607" customFormat="1" ht="15" customHeight="1">
      <c r="A191" s="973"/>
      <c r="B191" s="2139"/>
      <c r="C191" s="749" t="s">
        <v>2196</v>
      </c>
      <c r="D191" s="750"/>
      <c r="E191" s="752"/>
      <c r="F191" s="1003"/>
      <c r="G191" s="615">
        <f t="shared" si="129"/>
        <v>0</v>
      </c>
      <c r="H191" s="616"/>
      <c r="I191" s="616"/>
      <c r="J191" s="915"/>
    </row>
    <row r="192" spans="1:10" s="607" customFormat="1" ht="15" customHeight="1">
      <c r="A192" s="973"/>
      <c r="B192" s="2139"/>
      <c r="C192" s="749" t="s">
        <v>2197</v>
      </c>
      <c r="D192" s="750">
        <v>1</v>
      </c>
      <c r="E192" s="752">
        <v>0.02</v>
      </c>
      <c r="F192" s="1003"/>
      <c r="G192" s="615">
        <f t="shared" si="129"/>
        <v>0</v>
      </c>
      <c r="H192" s="616">
        <f t="shared" ref="H192:I195" si="134">+H128+H171</f>
        <v>0</v>
      </c>
      <c r="I192" s="616">
        <f t="shared" si="134"/>
        <v>0</v>
      </c>
      <c r="J192" s="915"/>
    </row>
    <row r="193" spans="1:10" s="607" customFormat="1" ht="15" customHeight="1">
      <c r="A193" s="973"/>
      <c r="B193" s="2139"/>
      <c r="C193" s="753" t="s">
        <v>2198</v>
      </c>
      <c r="D193" s="750">
        <v>1</v>
      </c>
      <c r="E193" s="752">
        <v>0.02</v>
      </c>
      <c r="F193" s="1003"/>
      <c r="G193" s="615">
        <f t="shared" si="129"/>
        <v>0</v>
      </c>
      <c r="H193" s="616">
        <f t="shared" si="134"/>
        <v>0</v>
      </c>
      <c r="I193" s="616">
        <f t="shared" si="134"/>
        <v>0</v>
      </c>
      <c r="J193" s="915"/>
    </row>
    <row r="194" spans="1:10" s="607" customFormat="1" ht="14.25" customHeight="1">
      <c r="A194" s="973"/>
      <c r="B194" s="2139"/>
      <c r="C194" s="753" t="s">
        <v>2199</v>
      </c>
      <c r="D194" s="750">
        <v>1</v>
      </c>
      <c r="E194" s="752">
        <v>0.02</v>
      </c>
      <c r="F194" s="1003"/>
      <c r="G194" s="615">
        <f t="shared" si="129"/>
        <v>0</v>
      </c>
      <c r="H194" s="616">
        <f t="shared" si="134"/>
        <v>0</v>
      </c>
      <c r="I194" s="616">
        <f t="shared" si="134"/>
        <v>0</v>
      </c>
      <c r="J194" s="915"/>
    </row>
    <row r="195" spans="1:10" s="607" customFormat="1" ht="14.25" customHeight="1">
      <c r="A195" s="973"/>
      <c r="B195" s="2138"/>
      <c r="C195" s="749" t="s">
        <v>2200</v>
      </c>
      <c r="D195" s="750">
        <v>1</v>
      </c>
      <c r="E195" s="752">
        <v>0.02</v>
      </c>
      <c r="F195" s="1003"/>
      <c r="G195" s="615">
        <f t="shared" si="129"/>
        <v>0</v>
      </c>
      <c r="H195" s="616">
        <f t="shared" si="134"/>
        <v>0</v>
      </c>
      <c r="I195" s="616">
        <f t="shared" si="134"/>
        <v>0</v>
      </c>
      <c r="J195" s="915"/>
    </row>
    <row r="196" spans="1:10" s="607" customFormat="1" ht="14.25" customHeight="1">
      <c r="A196" s="974"/>
      <c r="B196" s="754" t="s">
        <v>2281</v>
      </c>
      <c r="C196" s="787" t="s">
        <v>2296</v>
      </c>
      <c r="D196" s="755">
        <v>1</v>
      </c>
      <c r="E196" s="756">
        <v>0</v>
      </c>
      <c r="F196" s="1013"/>
      <c r="G196" s="638">
        <f t="shared" si="129"/>
        <v>0</v>
      </c>
      <c r="H196" s="723">
        <f t="shared" ref="H196:I196" si="135">SUM(H132:H138)</f>
        <v>0</v>
      </c>
      <c r="I196" s="723">
        <f t="shared" si="135"/>
        <v>0</v>
      </c>
      <c r="J196" s="915"/>
    </row>
    <row r="197" spans="1:10" s="607" customFormat="1" ht="14.25" customHeight="1">
      <c r="A197" s="757"/>
      <c r="B197" s="758"/>
      <c r="C197" s="759"/>
      <c r="D197" s="975"/>
      <c r="E197" s="975"/>
      <c r="F197" s="1011"/>
      <c r="G197" s="747"/>
      <c r="H197" s="748"/>
      <c r="I197" s="748"/>
      <c r="J197" s="915"/>
    </row>
    <row r="198" spans="1:10" s="607" customFormat="1" ht="14.25" customHeight="1">
      <c r="A198" s="2170" t="s">
        <v>2297</v>
      </c>
      <c r="B198" s="2178"/>
      <c r="C198" s="2179"/>
      <c r="D198" s="976"/>
      <c r="E198" s="976"/>
      <c r="F198" s="1010"/>
      <c r="G198" s="741"/>
      <c r="H198" s="742"/>
      <c r="I198" s="742"/>
      <c r="J198" s="915"/>
    </row>
    <row r="199" spans="1:10" s="607" customFormat="1" ht="14.25" customHeight="1">
      <c r="A199" s="972"/>
      <c r="B199" s="2158" t="s">
        <v>2186</v>
      </c>
      <c r="C199" s="760" t="s">
        <v>2187</v>
      </c>
      <c r="D199" s="761"/>
      <c r="E199" s="762" t="s">
        <v>2276</v>
      </c>
      <c r="F199" s="1019"/>
      <c r="G199" s="763" t="s">
        <v>2284</v>
      </c>
      <c r="H199" s="764">
        <f>IF(H183=0,0,+H284/100)</f>
        <v>0</v>
      </c>
      <c r="I199" s="764">
        <f t="shared" ref="I199" si="136">IF(I183=0,0,+I284/100)</f>
        <v>0</v>
      </c>
      <c r="J199" s="915"/>
    </row>
    <row r="200" spans="1:10" s="607" customFormat="1" ht="14.25" customHeight="1">
      <c r="A200" s="973"/>
      <c r="B200" s="2139"/>
      <c r="C200" s="765"/>
      <c r="D200" s="766">
        <f>+D183</f>
        <v>1</v>
      </c>
      <c r="E200" s="767" t="s">
        <v>2276</v>
      </c>
      <c r="F200" s="1020"/>
      <c r="G200" s="726">
        <f>SUM(H200:J200)</f>
        <v>0</v>
      </c>
      <c r="H200" s="726">
        <f>ROUNDDOWN(H183*H199*$D200,0)</f>
        <v>0</v>
      </c>
      <c r="I200" s="726">
        <f t="shared" ref="I200" si="137">ROUNDDOWN(I183*I199*$D200,0)</f>
        <v>0</v>
      </c>
      <c r="J200" s="915"/>
    </row>
    <row r="201" spans="1:10" s="607" customFormat="1" ht="14.25" customHeight="1">
      <c r="A201" s="973"/>
      <c r="B201" s="2139"/>
      <c r="C201" s="768" t="s">
        <v>2188</v>
      </c>
      <c r="D201" s="1180"/>
      <c r="E201" s="767" t="s">
        <v>2276</v>
      </c>
      <c r="F201" s="1021"/>
      <c r="G201" s="769" t="s">
        <v>2284</v>
      </c>
      <c r="H201" s="788">
        <f>IF(H184=0,0,+H292/100)</f>
        <v>0</v>
      </c>
      <c r="I201" s="788">
        <f t="shared" ref="I201" si="138">IF(I184=0,0,+I292/100)</f>
        <v>0</v>
      </c>
      <c r="J201" s="915"/>
    </row>
    <row r="202" spans="1:10" s="607" customFormat="1" ht="14.25" customHeight="1">
      <c r="A202" s="973"/>
      <c r="B202" s="2139"/>
      <c r="C202" s="765"/>
      <c r="D202" s="771">
        <f t="shared" ref="D202:D207" si="139">+D184</f>
        <v>1</v>
      </c>
      <c r="E202" s="767" t="s">
        <v>2276</v>
      </c>
      <c r="F202" s="1020"/>
      <c r="G202" s="726">
        <f t="shared" ref="G202:G218" si="140">SUM(H202:J202)</f>
        <v>0</v>
      </c>
      <c r="H202" s="726">
        <f>ROUNDDOWN(H184*H201*$D202,0)</f>
        <v>0</v>
      </c>
      <c r="I202" s="726">
        <f t="shared" ref="I202" si="141">ROUNDDOWN(I184*I201*$D202,0)</f>
        <v>0</v>
      </c>
      <c r="J202" s="915"/>
    </row>
    <row r="203" spans="1:10" s="607" customFormat="1" ht="14.25" customHeight="1">
      <c r="A203" s="973"/>
      <c r="B203" s="2139"/>
      <c r="C203" s="749" t="s">
        <v>2210</v>
      </c>
      <c r="D203" s="772">
        <f t="shared" si="139"/>
        <v>1</v>
      </c>
      <c r="E203" s="767" t="s">
        <v>2276</v>
      </c>
      <c r="F203" s="1020"/>
      <c r="G203" s="718">
        <f t="shared" si="140"/>
        <v>0</v>
      </c>
      <c r="H203" s="726">
        <f t="shared" ref="H203:I203" si="142">ROUNDDOWN(H185*H199*$D203,0)</f>
        <v>0</v>
      </c>
      <c r="I203" s="726">
        <f t="shared" si="142"/>
        <v>0</v>
      </c>
      <c r="J203" s="915"/>
    </row>
    <row r="204" spans="1:10" s="607" customFormat="1" ht="14.25" customHeight="1">
      <c r="A204" s="973"/>
      <c r="B204" s="2138"/>
      <c r="C204" s="749" t="s">
        <v>2211</v>
      </c>
      <c r="D204" s="772">
        <f t="shared" si="139"/>
        <v>1</v>
      </c>
      <c r="E204" s="767" t="s">
        <v>2276</v>
      </c>
      <c r="F204" s="1020"/>
      <c r="G204" s="718">
        <f t="shared" si="140"/>
        <v>0</v>
      </c>
      <c r="H204" s="726">
        <f>ROUNDDOWN(H186*H201*$D204,0)</f>
        <v>0</v>
      </c>
      <c r="I204" s="726">
        <f t="shared" ref="I204" si="143">ROUNDDOWN(I186*I201*$D204,0)</f>
        <v>0</v>
      </c>
      <c r="J204" s="915"/>
    </row>
    <row r="205" spans="1:10" s="607" customFormat="1" ht="14.25" customHeight="1">
      <c r="A205" s="973"/>
      <c r="B205" s="2137" t="s">
        <v>2191</v>
      </c>
      <c r="C205" s="749" t="s">
        <v>2279</v>
      </c>
      <c r="D205" s="772">
        <f t="shared" si="139"/>
        <v>1</v>
      </c>
      <c r="E205" s="752">
        <f>+E187</f>
        <v>0.02</v>
      </c>
      <c r="F205" s="1020"/>
      <c r="G205" s="718">
        <f t="shared" si="140"/>
        <v>0</v>
      </c>
      <c r="H205" s="726">
        <f t="shared" ref="H205:I207" si="144">ROUNDDOWN(H187*$E205*$D205,0)</f>
        <v>0</v>
      </c>
      <c r="I205" s="726">
        <f t="shared" si="144"/>
        <v>0</v>
      </c>
      <c r="J205" s="915"/>
    </row>
    <row r="206" spans="1:10" s="607" customFormat="1" ht="14.25" customHeight="1">
      <c r="A206" s="973"/>
      <c r="B206" s="2139"/>
      <c r="C206" s="749" t="s">
        <v>2285</v>
      </c>
      <c r="D206" s="772">
        <f t="shared" si="139"/>
        <v>1</v>
      </c>
      <c r="E206" s="752">
        <f>+E188</f>
        <v>0.02</v>
      </c>
      <c r="F206" s="1020"/>
      <c r="G206" s="718">
        <f t="shared" si="140"/>
        <v>0</v>
      </c>
      <c r="H206" s="726">
        <f t="shared" si="144"/>
        <v>0</v>
      </c>
      <c r="I206" s="726">
        <f t="shared" si="144"/>
        <v>0</v>
      </c>
      <c r="J206" s="915"/>
    </row>
    <row r="207" spans="1:10" s="607" customFormat="1" ht="14.25" customHeight="1">
      <c r="A207" s="973"/>
      <c r="B207" s="2139"/>
      <c r="C207" s="749" t="s">
        <v>2194</v>
      </c>
      <c r="D207" s="772">
        <f t="shared" si="139"/>
        <v>1</v>
      </c>
      <c r="E207" s="752">
        <f>+E189</f>
        <v>0.02</v>
      </c>
      <c r="F207" s="1020"/>
      <c r="G207" s="718">
        <f t="shared" si="140"/>
        <v>0</v>
      </c>
      <c r="H207" s="726">
        <f>ROUNDDOWN(H189*$E207*$D207,0)</f>
        <v>0</v>
      </c>
      <c r="I207" s="726">
        <f t="shared" si="144"/>
        <v>0</v>
      </c>
      <c r="J207" s="915"/>
    </row>
    <row r="208" spans="1:10" s="607" customFormat="1" ht="14.25" customHeight="1">
      <c r="A208" s="973"/>
      <c r="B208" s="2139"/>
      <c r="C208" s="749" t="s">
        <v>2195</v>
      </c>
      <c r="D208" s="772"/>
      <c r="E208" s="752"/>
      <c r="F208" s="1020"/>
      <c r="G208" s="718">
        <f t="shared" si="140"/>
        <v>0</v>
      </c>
      <c r="H208" s="726"/>
      <c r="I208" s="726"/>
      <c r="J208" s="915"/>
    </row>
    <row r="209" spans="1:10" s="607" customFormat="1" ht="14.25" customHeight="1">
      <c r="A209" s="973"/>
      <c r="B209" s="2139"/>
      <c r="C209" s="773"/>
      <c r="D209" s="772"/>
      <c r="E209" s="752"/>
      <c r="F209" s="1020"/>
      <c r="G209" s="718">
        <f t="shared" si="140"/>
        <v>0</v>
      </c>
      <c r="H209" s="726"/>
      <c r="I209" s="726"/>
      <c r="J209" s="915"/>
    </row>
    <row r="210" spans="1:10" s="607" customFormat="1" ht="14.25" customHeight="1">
      <c r="A210" s="973"/>
      <c r="B210" s="2139"/>
      <c r="C210" s="749" t="s">
        <v>2197</v>
      </c>
      <c r="D210" s="772">
        <f t="shared" ref="D210:E213" si="145">+D192</f>
        <v>1</v>
      </c>
      <c r="E210" s="752">
        <f t="shared" si="145"/>
        <v>0.02</v>
      </c>
      <c r="F210" s="1020"/>
      <c r="G210" s="718">
        <f t="shared" si="140"/>
        <v>0</v>
      </c>
      <c r="H210" s="726">
        <f t="shared" ref="H210:I213" si="146">ROUNDDOWN(H192*$E210*$D210,0)</f>
        <v>0</v>
      </c>
      <c r="I210" s="726">
        <f t="shared" si="146"/>
        <v>0</v>
      </c>
      <c r="J210" s="915"/>
    </row>
    <row r="211" spans="1:10" s="607" customFormat="1" ht="14.25" customHeight="1">
      <c r="A211" s="973"/>
      <c r="B211" s="2139"/>
      <c r="C211" s="753" t="s">
        <v>2198</v>
      </c>
      <c r="D211" s="772">
        <f t="shared" si="145"/>
        <v>1</v>
      </c>
      <c r="E211" s="752">
        <f t="shared" si="145"/>
        <v>0.02</v>
      </c>
      <c r="F211" s="1020"/>
      <c r="G211" s="718">
        <f t="shared" si="140"/>
        <v>0</v>
      </c>
      <c r="H211" s="726">
        <f t="shared" si="146"/>
        <v>0</v>
      </c>
      <c r="I211" s="726">
        <f t="shared" si="146"/>
        <v>0</v>
      </c>
      <c r="J211" s="915"/>
    </row>
    <row r="212" spans="1:10" s="607" customFormat="1" ht="14.25" customHeight="1">
      <c r="A212" s="973"/>
      <c r="B212" s="2139"/>
      <c r="C212" s="753" t="s">
        <v>2199</v>
      </c>
      <c r="D212" s="772">
        <f t="shared" si="145"/>
        <v>1</v>
      </c>
      <c r="E212" s="752">
        <f t="shared" si="145"/>
        <v>0.02</v>
      </c>
      <c r="F212" s="1020"/>
      <c r="G212" s="718">
        <f t="shared" si="140"/>
        <v>0</v>
      </c>
      <c r="H212" s="726">
        <f t="shared" si="146"/>
        <v>0</v>
      </c>
      <c r="I212" s="726">
        <f t="shared" si="146"/>
        <v>0</v>
      </c>
      <c r="J212" s="915"/>
    </row>
    <row r="213" spans="1:10" s="607" customFormat="1" ht="14.25" customHeight="1">
      <c r="A213" s="973"/>
      <c r="B213" s="2138"/>
      <c r="C213" s="749" t="s">
        <v>2298</v>
      </c>
      <c r="D213" s="772">
        <f t="shared" si="145"/>
        <v>1</v>
      </c>
      <c r="E213" s="752">
        <f t="shared" si="145"/>
        <v>0.02</v>
      </c>
      <c r="F213" s="1020"/>
      <c r="G213" s="718">
        <f t="shared" si="140"/>
        <v>0</v>
      </c>
      <c r="H213" s="726">
        <f>ROUNDDOWN(H195*$E213*$D213,0)</f>
        <v>0</v>
      </c>
      <c r="I213" s="726">
        <f t="shared" si="146"/>
        <v>0</v>
      </c>
      <c r="J213" s="915"/>
    </row>
    <row r="214" spans="1:10" s="607" customFormat="1" ht="14.25" customHeight="1">
      <c r="A214" s="973"/>
      <c r="B214" s="2159" t="s">
        <v>2299</v>
      </c>
      <c r="C214" s="749" t="s">
        <v>2219</v>
      </c>
      <c r="D214" s="789"/>
      <c r="E214" s="790"/>
      <c r="F214" s="1003"/>
      <c r="G214" s="718">
        <f t="shared" si="140"/>
        <v>0</v>
      </c>
      <c r="H214" s="616">
        <f>前回諸経費表!H430</f>
        <v>0</v>
      </c>
      <c r="I214" s="616">
        <f>前回諸経費表!I430</f>
        <v>0</v>
      </c>
      <c r="J214" s="915"/>
    </row>
    <row r="215" spans="1:10" s="607" customFormat="1" ht="14.25" customHeight="1">
      <c r="A215" s="973"/>
      <c r="B215" s="2160"/>
      <c r="C215" s="791" t="s">
        <v>2300</v>
      </c>
      <c r="D215" s="789"/>
      <c r="E215" s="790"/>
      <c r="F215" s="1003"/>
      <c r="G215" s="718">
        <f t="shared" si="140"/>
        <v>0</v>
      </c>
      <c r="H215" s="616"/>
      <c r="I215" s="616"/>
      <c r="J215" s="915"/>
    </row>
    <row r="216" spans="1:10" s="607" customFormat="1" ht="13.5" customHeight="1" thickBot="1">
      <c r="A216" s="977"/>
      <c r="B216" s="792" t="s">
        <v>2281</v>
      </c>
      <c r="C216" s="787" t="s">
        <v>2296</v>
      </c>
      <c r="D216" s="789">
        <f>+D196</f>
        <v>1</v>
      </c>
      <c r="E216" s="790">
        <f>+E196</f>
        <v>0</v>
      </c>
      <c r="F216" s="1020"/>
      <c r="G216" s="718">
        <f t="shared" si="140"/>
        <v>0</v>
      </c>
      <c r="H216" s="726">
        <f>ROUNDDOWN(H196*$E216*$D216,0)</f>
        <v>0</v>
      </c>
      <c r="I216" s="726">
        <f t="shared" ref="I216" si="147">ROUNDDOWN(I196*$E216*$D216,0)</f>
        <v>0</v>
      </c>
      <c r="J216" s="915"/>
    </row>
    <row r="217" spans="1:10" s="607" customFormat="1" ht="13.5" customHeight="1" thickTop="1">
      <c r="A217" s="793"/>
      <c r="B217" s="794"/>
      <c r="C217" s="795" t="s">
        <v>2301</v>
      </c>
      <c r="D217" s="796"/>
      <c r="E217" s="797"/>
      <c r="F217" s="1022"/>
      <c r="G217" s="798">
        <f t="shared" si="140"/>
        <v>0</v>
      </c>
      <c r="H217" s="799">
        <f t="shared" ref="H217:I217" si="148">SUM(H202:H216)+H200</f>
        <v>0</v>
      </c>
      <c r="I217" s="799">
        <f t="shared" si="148"/>
        <v>0</v>
      </c>
      <c r="J217" s="915"/>
    </row>
    <row r="218" spans="1:10" s="607" customFormat="1" ht="13.5" customHeight="1">
      <c r="A218" s="800"/>
      <c r="B218" s="801"/>
      <c r="C218" s="722" t="s">
        <v>2302</v>
      </c>
      <c r="D218" s="802"/>
      <c r="E218" s="637"/>
      <c r="F218" s="1013"/>
      <c r="G218" s="638">
        <f t="shared" si="140"/>
        <v>0</v>
      </c>
      <c r="H218" s="723">
        <f t="shared" ref="H218:I218" si="149">+H93+H217</f>
        <v>0</v>
      </c>
      <c r="I218" s="723">
        <f t="shared" si="149"/>
        <v>0</v>
      </c>
      <c r="J218" s="915"/>
    </row>
    <row r="219" spans="1:10" s="607" customFormat="1" ht="13.5" customHeight="1">
      <c r="A219" s="995"/>
      <c r="B219" s="995"/>
      <c r="C219" s="623"/>
      <c r="D219" s="623"/>
      <c r="E219" s="995"/>
      <c r="F219" s="618"/>
      <c r="G219" s="786"/>
      <c r="H219" s="618"/>
      <c r="I219" s="618"/>
    </row>
    <row r="220" spans="1:10" s="607" customFormat="1" ht="13.5" customHeight="1">
      <c r="A220" s="995"/>
      <c r="B220" s="995"/>
      <c r="C220" s="739" t="s">
        <v>2303</v>
      </c>
      <c r="D220" s="739"/>
      <c r="E220" s="622"/>
      <c r="F220" s="713"/>
      <c r="G220" s="711"/>
      <c r="H220" s="740"/>
      <c r="I220" s="713"/>
      <c r="J220" s="740" t="s">
        <v>2304</v>
      </c>
    </row>
    <row r="221" spans="1:10" s="607" customFormat="1" ht="13.5" customHeight="1">
      <c r="A221" s="720"/>
      <c r="B221" s="720"/>
      <c r="C221" s="720"/>
      <c r="D221" s="720"/>
      <c r="E221" s="720"/>
      <c r="F221" s="803"/>
      <c r="G221" s="709"/>
      <c r="H221" s="1271"/>
      <c r="I221" s="1271"/>
    </row>
    <row r="222" spans="1:10" s="607" customFormat="1" ht="13.5" customHeight="1">
      <c r="A222" s="978"/>
      <c r="B222" s="979"/>
      <c r="C222" s="980"/>
      <c r="D222" s="804"/>
      <c r="E222" s="736" t="s">
        <v>2305</v>
      </c>
      <c r="F222" s="1106" t="s">
        <v>2908</v>
      </c>
      <c r="G222" s="737" t="s">
        <v>2165</v>
      </c>
      <c r="H222" s="738">
        <f t="shared" ref="H222:I222" si="150">+H88</f>
        <v>0</v>
      </c>
      <c r="I222" s="738">
        <f t="shared" si="150"/>
        <v>0</v>
      </c>
      <c r="J222" s="915"/>
    </row>
    <row r="223" spans="1:10" s="607" customFormat="1" ht="13.5" customHeight="1" thickBot="1">
      <c r="A223" s="981"/>
      <c r="B223" s="982"/>
      <c r="C223" s="983"/>
      <c r="D223" s="805"/>
      <c r="E223" s="806"/>
      <c r="F223" s="1012"/>
      <c r="G223" s="714"/>
      <c r="H223" s="807"/>
      <c r="I223" s="807"/>
      <c r="J223" s="915"/>
    </row>
    <row r="224" spans="1:10" s="607" customFormat="1" ht="13.5" customHeight="1" thickBot="1">
      <c r="A224" s="808"/>
      <c r="B224" s="809"/>
      <c r="C224" s="810" t="s">
        <v>2306</v>
      </c>
      <c r="D224" s="811"/>
      <c r="E224" s="812"/>
      <c r="F224" s="1023"/>
      <c r="G224" s="813">
        <f>SUM(H224:N224)</f>
        <v>0</v>
      </c>
      <c r="H224" s="814">
        <f>IF(H225=0,+H218,0)</f>
        <v>0</v>
      </c>
      <c r="I224" s="814">
        <f t="shared" ref="I224" si="151">IF(I225=0,+I218,0)</f>
        <v>0</v>
      </c>
      <c r="J224" s="915"/>
    </row>
    <row r="225" spans="1:10" s="607" customFormat="1" ht="13.5" customHeight="1">
      <c r="A225" s="994"/>
      <c r="B225" s="995"/>
      <c r="C225" s="815" t="s">
        <v>2307</v>
      </c>
      <c r="D225" s="816"/>
      <c r="E225" s="817"/>
      <c r="F225" s="1024"/>
      <c r="G225" s="625">
        <f>前回諸経費表!G440</f>
        <v>0</v>
      </c>
      <c r="H225" s="625">
        <f>IF(H247=0,0,H218)</f>
        <v>0</v>
      </c>
      <c r="I225" s="625">
        <f t="shared" ref="I225" si="152">IF(I247=0,0,I218)</f>
        <v>0</v>
      </c>
      <c r="J225" s="915"/>
    </row>
    <row r="226" spans="1:10" s="607" customFormat="1" ht="13.5" customHeight="1">
      <c r="A226" s="800"/>
      <c r="B226" s="801"/>
      <c r="C226" s="2161" t="s">
        <v>2308</v>
      </c>
      <c r="D226" s="2161"/>
      <c r="E226" s="2162"/>
      <c r="F226" s="1013"/>
      <c r="G226" s="1183">
        <f>G224+G225-G234</f>
        <v>0</v>
      </c>
      <c r="H226" s="723"/>
      <c r="I226" s="723"/>
      <c r="J226" s="915"/>
    </row>
    <row r="227" spans="1:10" s="607" customFormat="1" ht="13.5" customHeight="1">
      <c r="A227" s="595"/>
      <c r="B227" s="596"/>
      <c r="C227" s="596"/>
      <c r="D227" s="818"/>
      <c r="E227" s="599" t="str">
        <f>E88</f>
        <v>無し</v>
      </c>
      <c r="F227" s="1014"/>
      <c r="G227" s="984" t="s">
        <v>2309</v>
      </c>
      <c r="H227" s="985"/>
      <c r="I227" s="725"/>
      <c r="J227" s="915"/>
    </row>
    <row r="228" spans="1:10" s="607" customFormat="1" ht="13.5" customHeight="1">
      <c r="A228" s="986" t="s">
        <v>2310</v>
      </c>
      <c r="B228" s="987"/>
      <c r="C228" s="988"/>
      <c r="D228" s="819"/>
      <c r="E228" s="820" t="str">
        <f>+E89</f>
        <v>有り</v>
      </c>
      <c r="F228" s="1013"/>
      <c r="G228" s="989" t="s">
        <v>2311</v>
      </c>
      <c r="H228" s="990"/>
      <c r="I228" s="723"/>
      <c r="J228" s="915"/>
    </row>
    <row r="229" spans="1:10" s="607" customFormat="1" ht="13.5" customHeight="1">
      <c r="A229" s="991"/>
      <c r="B229" s="821" t="s">
        <v>157</v>
      </c>
      <c r="C229" s="822" t="s">
        <v>2312</v>
      </c>
      <c r="D229" s="823">
        <v>1</v>
      </c>
      <c r="E229" s="824">
        <f>+H298/100</f>
        <v>0.1724</v>
      </c>
      <c r="F229" s="1011"/>
      <c r="G229" s="747">
        <f t="shared" ref="G229:G238" si="153">SUM(H229:J229)</f>
        <v>0</v>
      </c>
      <c r="H229" s="725">
        <f>+H224-H234</f>
        <v>0</v>
      </c>
      <c r="I229" s="725">
        <f t="shared" ref="I229" si="154">+I224-I234</f>
        <v>0</v>
      </c>
      <c r="J229" s="915"/>
    </row>
    <row r="230" spans="1:10" s="607" customFormat="1" ht="13.5" customHeight="1">
      <c r="A230" s="967"/>
      <c r="B230" s="2137" t="s">
        <v>2313</v>
      </c>
      <c r="C230" s="614" t="s">
        <v>2314</v>
      </c>
      <c r="D230" s="1714">
        <f>IF(E227="無し",0.05,0)</f>
        <v>0.05</v>
      </c>
      <c r="E230" s="1715">
        <f>E229</f>
        <v>0.1724</v>
      </c>
      <c r="F230" s="1003"/>
      <c r="G230" s="615">
        <f t="shared" si="153"/>
        <v>0</v>
      </c>
      <c r="H230" s="616">
        <f>IF(H247=0,+H229,0)</f>
        <v>0</v>
      </c>
      <c r="I230" s="616">
        <f t="shared" ref="I230" si="155">IF(I247=0,+I229,0)</f>
        <v>0</v>
      </c>
      <c r="J230" s="915"/>
    </row>
    <row r="231" spans="1:10" s="607" customFormat="1" ht="13.5" customHeight="1">
      <c r="A231" s="967"/>
      <c r="B231" s="2138"/>
      <c r="C231" s="614" t="s">
        <v>2315</v>
      </c>
      <c r="D231" s="1721">
        <f>IF(E228="有り",1,0)</f>
        <v>1</v>
      </c>
      <c r="E231" s="1715">
        <v>4.0000000000000002E-4</v>
      </c>
      <c r="F231" s="1025"/>
      <c r="G231" s="1066">
        <f t="shared" si="153"/>
        <v>0</v>
      </c>
      <c r="H231" s="616">
        <f>IF(H247=0,+H229,0)</f>
        <v>0</v>
      </c>
      <c r="I231" s="616">
        <f t="shared" ref="I231" si="156">IF(I247=0,+I229,0)</f>
        <v>0</v>
      </c>
      <c r="J231" s="915"/>
    </row>
    <row r="232" spans="1:10" s="607" customFormat="1" ht="13.5" customHeight="1">
      <c r="A232" s="967"/>
      <c r="B232" s="826"/>
      <c r="C232" s="614"/>
      <c r="D232" s="827"/>
      <c r="E232" s="827"/>
      <c r="F232" s="1003"/>
      <c r="G232" s="615">
        <f t="shared" si="153"/>
        <v>0</v>
      </c>
      <c r="H232" s="616"/>
      <c r="I232" s="616"/>
      <c r="J232" s="915"/>
    </row>
    <row r="233" spans="1:10" s="607" customFormat="1" ht="13.5" customHeight="1">
      <c r="A233" s="967"/>
      <c r="B233" s="826"/>
      <c r="C233" s="614"/>
      <c r="D233" s="827"/>
      <c r="E233" s="827"/>
      <c r="F233" s="1003"/>
      <c r="G233" s="615">
        <f t="shared" si="153"/>
        <v>0</v>
      </c>
      <c r="H233" s="616"/>
      <c r="I233" s="616"/>
      <c r="J233" s="915"/>
    </row>
    <row r="234" spans="1:10" s="607" customFormat="1" ht="13.5" customHeight="1">
      <c r="A234" s="967"/>
      <c r="B234" s="2137" t="s">
        <v>2316</v>
      </c>
      <c r="C234" s="749" t="str">
        <f>+C138</f>
        <v>(17)下水道使用料、各種負担金（共通仮設）</v>
      </c>
      <c r="D234" s="828">
        <v>1</v>
      </c>
      <c r="E234" s="829">
        <v>0</v>
      </c>
      <c r="F234" s="1003"/>
      <c r="G234" s="615">
        <f t="shared" si="153"/>
        <v>0</v>
      </c>
      <c r="H234" s="616">
        <f>+H138</f>
        <v>0</v>
      </c>
      <c r="I234" s="616">
        <f t="shared" ref="I234" si="157">+I138</f>
        <v>0</v>
      </c>
      <c r="J234" s="915"/>
    </row>
    <row r="235" spans="1:10" s="607" customFormat="1" ht="13.5" customHeight="1">
      <c r="A235" s="967"/>
      <c r="B235" s="2139"/>
      <c r="C235" s="830"/>
      <c r="D235" s="749"/>
      <c r="E235" s="829"/>
      <c r="F235" s="1003"/>
      <c r="G235" s="615">
        <f t="shared" si="153"/>
        <v>0</v>
      </c>
      <c r="H235" s="616"/>
      <c r="I235" s="616"/>
      <c r="J235" s="915"/>
    </row>
    <row r="236" spans="1:10" s="607" customFormat="1" ht="13.5" customHeight="1">
      <c r="A236" s="968"/>
      <c r="B236" s="2140"/>
      <c r="C236" s="831"/>
      <c r="D236" s="787"/>
      <c r="E236" s="832"/>
      <c r="F236" s="1013"/>
      <c r="G236" s="638">
        <f t="shared" si="153"/>
        <v>0</v>
      </c>
      <c r="H236" s="723"/>
      <c r="I236" s="723"/>
      <c r="J236" s="915"/>
    </row>
    <row r="237" spans="1:10" s="607" customFormat="1" ht="13.5" customHeight="1">
      <c r="A237" s="595"/>
      <c r="B237" s="596"/>
      <c r="C237" s="833"/>
      <c r="D237" s="834"/>
      <c r="E237" s="835"/>
      <c r="F237" s="1014"/>
      <c r="G237" s="613">
        <f t="shared" si="153"/>
        <v>0</v>
      </c>
      <c r="H237" s="725"/>
      <c r="I237" s="725"/>
      <c r="J237" s="915"/>
    </row>
    <row r="238" spans="1:10" s="607" customFormat="1" ht="13.5" customHeight="1">
      <c r="A238" s="986" t="s">
        <v>2317</v>
      </c>
      <c r="B238" s="987"/>
      <c r="C238" s="988"/>
      <c r="D238" s="836"/>
      <c r="E238" s="837"/>
      <c r="F238" s="1013"/>
      <c r="G238" s="838">
        <f t="shared" si="153"/>
        <v>0</v>
      </c>
      <c r="H238" s="723"/>
      <c r="I238" s="723"/>
      <c r="J238" s="915"/>
    </row>
    <row r="239" spans="1:10" s="607" customFormat="1" ht="13.5" customHeight="1">
      <c r="A239" s="994"/>
      <c r="B239" s="839" t="s">
        <v>157</v>
      </c>
      <c r="C239" s="822" t="s">
        <v>2312</v>
      </c>
      <c r="D239" s="823">
        <f t="shared" ref="D239:E241" si="158">+D229</f>
        <v>1</v>
      </c>
      <c r="E239" s="840">
        <f>+E229</f>
        <v>0.1724</v>
      </c>
      <c r="F239" s="1014"/>
      <c r="G239" s="615">
        <f>INT(D239*E239*G229)</f>
        <v>0</v>
      </c>
      <c r="H239" s="725">
        <f>G239-SUM(I239:J239)</f>
        <v>0</v>
      </c>
      <c r="I239" s="725">
        <f t="shared" ref="I239:I241" si="159">IF(I229=0,0,ROUND($G239/$G229*I229,0))</f>
        <v>0</v>
      </c>
      <c r="J239" s="915"/>
    </row>
    <row r="240" spans="1:10" s="607" customFormat="1" ht="13.5" customHeight="1">
      <c r="A240" s="994"/>
      <c r="B240" s="2137" t="s">
        <v>2313</v>
      </c>
      <c r="C240" s="614" t="s">
        <v>2314</v>
      </c>
      <c r="D240" s="828">
        <f t="shared" si="158"/>
        <v>0.05</v>
      </c>
      <c r="E240" s="752">
        <f t="shared" si="158"/>
        <v>0.1724</v>
      </c>
      <c r="F240" s="1003"/>
      <c r="G240" s="615">
        <f t="shared" ref="G240:G241" si="160">INT(D240*E240*G230)</f>
        <v>0</v>
      </c>
      <c r="H240" s="616">
        <f>G240-SUM(I240:J240)</f>
        <v>0</v>
      </c>
      <c r="I240" s="616">
        <f t="shared" si="159"/>
        <v>0</v>
      </c>
      <c r="J240" s="915"/>
    </row>
    <row r="241" spans="1:10" s="607" customFormat="1" ht="13.5" customHeight="1">
      <c r="A241" s="994"/>
      <c r="B241" s="2138"/>
      <c r="C241" s="614" t="s">
        <v>2315</v>
      </c>
      <c r="D241" s="828">
        <f t="shared" si="158"/>
        <v>1</v>
      </c>
      <c r="E241" s="752">
        <f t="shared" si="158"/>
        <v>4.0000000000000002E-4</v>
      </c>
      <c r="F241" s="1003"/>
      <c r="G241" s="615">
        <f t="shared" si="160"/>
        <v>0</v>
      </c>
      <c r="H241" s="616">
        <f>G241-SUM(I241:J241)</f>
        <v>0</v>
      </c>
      <c r="I241" s="616">
        <f t="shared" si="159"/>
        <v>0</v>
      </c>
      <c r="J241" s="915"/>
    </row>
    <row r="242" spans="1:10" s="607" customFormat="1" ht="13.5" customHeight="1">
      <c r="A242" s="994"/>
      <c r="B242" s="826"/>
      <c r="C242" s="614"/>
      <c r="D242" s="827"/>
      <c r="E242" s="827"/>
      <c r="F242" s="1003"/>
      <c r="G242" s="615"/>
      <c r="H242" s="616"/>
      <c r="I242" s="616"/>
      <c r="J242" s="915"/>
    </row>
    <row r="243" spans="1:10" s="607" customFormat="1" ht="13.5" customHeight="1">
      <c r="A243" s="994"/>
      <c r="B243" s="826"/>
      <c r="C243" s="614"/>
      <c r="D243" s="827"/>
      <c r="E243" s="827"/>
      <c r="F243" s="1003"/>
      <c r="G243" s="615"/>
      <c r="H243" s="616"/>
      <c r="I243" s="616"/>
      <c r="J243" s="915"/>
    </row>
    <row r="244" spans="1:10" s="607" customFormat="1" ht="13.5" customHeight="1">
      <c r="A244" s="994"/>
      <c r="B244" s="2137" t="s">
        <v>2316</v>
      </c>
      <c r="C244" s="749" t="str">
        <f>+C138</f>
        <v>(17)下水道使用料、各種負担金（共通仮設）</v>
      </c>
      <c r="D244" s="828">
        <f>+D234</f>
        <v>1</v>
      </c>
      <c r="E244" s="752">
        <f>+E234</f>
        <v>0</v>
      </c>
      <c r="F244" s="1003"/>
      <c r="G244" s="615">
        <f>INT(D244*E244*G234)</f>
        <v>0</v>
      </c>
      <c r="H244" s="616">
        <f>G244-SUM(I244:J244)</f>
        <v>0</v>
      </c>
      <c r="I244" s="616">
        <f t="shared" ref="I244" si="161">IF(I234=0,0,ROUND($G244/$G234*I234,0))</f>
        <v>0</v>
      </c>
      <c r="J244" s="915"/>
    </row>
    <row r="245" spans="1:10" s="607" customFormat="1" ht="13.5" customHeight="1">
      <c r="A245" s="994"/>
      <c r="B245" s="2139"/>
      <c r="C245" s="830"/>
      <c r="D245" s="749"/>
      <c r="E245" s="827"/>
      <c r="F245" s="1003"/>
      <c r="G245" s="615"/>
      <c r="H245" s="616"/>
      <c r="I245" s="616"/>
      <c r="J245" s="915"/>
    </row>
    <row r="246" spans="1:10" s="607" customFormat="1" ht="13.5" customHeight="1">
      <c r="A246" s="841"/>
      <c r="B246" s="2138"/>
      <c r="C246" s="830"/>
      <c r="D246" s="749"/>
      <c r="E246" s="827"/>
      <c r="F246" s="1003"/>
      <c r="G246" s="615"/>
      <c r="H246" s="616"/>
      <c r="I246" s="616"/>
      <c r="J246" s="915"/>
    </row>
    <row r="247" spans="1:10" s="607" customFormat="1" ht="13.5" customHeight="1">
      <c r="A247" s="841"/>
      <c r="B247" s="2159" t="s">
        <v>2299</v>
      </c>
      <c r="C247" s="765" t="s">
        <v>2318</v>
      </c>
      <c r="D247" s="842"/>
      <c r="E247" s="843"/>
      <c r="F247" s="1025"/>
      <c r="G247" s="844">
        <f>SUM(H247:J247)</f>
        <v>0</v>
      </c>
      <c r="H247" s="616">
        <f>前回諸経費表!H462</f>
        <v>0</v>
      </c>
      <c r="I247" s="616">
        <f>前回諸経費表!I462</f>
        <v>0</v>
      </c>
      <c r="J247" s="915"/>
    </row>
    <row r="248" spans="1:10" s="607" customFormat="1" ht="13.5" customHeight="1">
      <c r="A248" s="994"/>
      <c r="B248" s="2180"/>
      <c r="C248" s="791" t="s">
        <v>2319</v>
      </c>
      <c r="D248" s="789"/>
      <c r="E248" s="790"/>
      <c r="F248" s="1003"/>
      <c r="G248" s="718"/>
      <c r="H248" s="616"/>
      <c r="I248" s="616"/>
      <c r="J248" s="915"/>
    </row>
    <row r="249" spans="1:10" s="607" customFormat="1" ht="13.5" customHeight="1">
      <c r="A249" s="808"/>
      <c r="B249" s="809"/>
      <c r="C249" s="809"/>
      <c r="D249" s="600"/>
      <c r="E249" s="600"/>
      <c r="F249" s="1014"/>
      <c r="G249" s="613"/>
      <c r="H249" s="725"/>
      <c r="I249" s="725"/>
      <c r="J249" s="915"/>
    </row>
    <row r="250" spans="1:10" s="607" customFormat="1" ht="13.5" customHeight="1">
      <c r="A250" s="845"/>
      <c r="B250" s="727"/>
      <c r="C250" s="540" t="s">
        <v>2320</v>
      </c>
      <c r="D250" s="830"/>
      <c r="E250" s="614"/>
      <c r="F250" s="1003"/>
      <c r="G250" s="615">
        <f>SUM(H250:J250)</f>
        <v>0</v>
      </c>
      <c r="H250" s="616">
        <f t="shared" ref="H250:I250" si="162">SUM(H239:H248)</f>
        <v>0</v>
      </c>
      <c r="I250" s="616">
        <f t="shared" si="162"/>
        <v>0</v>
      </c>
      <c r="J250" s="915"/>
    </row>
    <row r="251" spans="1:10" s="607" customFormat="1" ht="13.5" customHeight="1">
      <c r="A251" s="845"/>
      <c r="B251" s="727"/>
      <c r="C251" s="540" t="s">
        <v>2302</v>
      </c>
      <c r="D251" s="830"/>
      <c r="E251" s="614"/>
      <c r="F251" s="1003"/>
      <c r="G251" s="615">
        <f>SUM(H251:J251)</f>
        <v>0</v>
      </c>
      <c r="H251" s="616">
        <f t="shared" ref="H251:I251" si="163">+H218</f>
        <v>0</v>
      </c>
      <c r="I251" s="616">
        <f t="shared" si="163"/>
        <v>0</v>
      </c>
      <c r="J251" s="915"/>
    </row>
    <row r="252" spans="1:10" s="607" customFormat="1" ht="13.5" customHeight="1" thickBot="1">
      <c r="A252" s="846"/>
      <c r="B252" s="847"/>
      <c r="C252" s="848" t="s">
        <v>2321</v>
      </c>
      <c r="D252" s="849"/>
      <c r="E252" s="850"/>
      <c r="F252" s="1026"/>
      <c r="G252" s="778">
        <f>SUM(H252:J252)</f>
        <v>0</v>
      </c>
      <c r="H252" s="851">
        <f>SUM(H250:H251)</f>
        <v>0</v>
      </c>
      <c r="I252" s="851">
        <f t="shared" ref="I252" si="164">SUM(I250:I251)</f>
        <v>0</v>
      </c>
      <c r="J252" s="915"/>
    </row>
    <row r="253" spans="1:10" s="607" customFormat="1" ht="13.5" customHeight="1" thickTop="1">
      <c r="A253" s="994"/>
      <c r="B253" s="995"/>
      <c r="C253" s="995"/>
      <c r="D253" s="624"/>
      <c r="E253" s="624"/>
      <c r="F253" s="1015"/>
      <c r="G253" s="852">
        <f>ROUNDDOWN(G252,-3)</f>
        <v>0</v>
      </c>
      <c r="H253" s="852">
        <f t="shared" ref="H253:I253" si="165">ROUNDDOWN(H252,-3)</f>
        <v>0</v>
      </c>
      <c r="I253" s="852">
        <f t="shared" si="165"/>
        <v>0</v>
      </c>
      <c r="J253" s="915"/>
    </row>
    <row r="254" spans="1:10" s="607" customFormat="1" ht="13.5" customHeight="1">
      <c r="A254" s="845"/>
      <c r="B254" s="727"/>
      <c r="C254" s="540" t="s">
        <v>2302</v>
      </c>
      <c r="D254" s="830"/>
      <c r="E254" s="614"/>
      <c r="F254" s="1003"/>
      <c r="G254" s="615">
        <f>SUM(H254:J254)</f>
        <v>0</v>
      </c>
      <c r="H254" s="616">
        <f t="shared" ref="H254:I254" si="166">+H251</f>
        <v>0</v>
      </c>
      <c r="I254" s="616">
        <f t="shared" si="166"/>
        <v>0</v>
      </c>
      <c r="J254" s="915"/>
    </row>
    <row r="255" spans="1:10" s="607" customFormat="1" ht="13.5" customHeight="1">
      <c r="A255" s="845"/>
      <c r="B255" s="727"/>
      <c r="C255" s="540" t="s">
        <v>2322</v>
      </c>
      <c r="D255" s="830"/>
      <c r="E255" s="827"/>
      <c r="F255" s="1003"/>
      <c r="G255" s="615" t="e">
        <f>SUM(H255:J255)</f>
        <v>#DIV/0!</v>
      </c>
      <c r="H255" s="616" t="e">
        <f t="shared" ref="H255:I255" si="167">+H250-(H252-H257)</f>
        <v>#DIV/0!</v>
      </c>
      <c r="I255" s="616" t="e">
        <f t="shared" si="167"/>
        <v>#DIV/0!</v>
      </c>
      <c r="J255" s="915"/>
    </row>
    <row r="256" spans="1:10" s="607" customFormat="1" ht="13.5" customHeight="1">
      <c r="A256" s="845"/>
      <c r="B256" s="727"/>
      <c r="C256" s="727"/>
      <c r="D256" s="614"/>
      <c r="E256" s="853">
        <f>SUM(H253:J253)</f>
        <v>0</v>
      </c>
      <c r="F256" s="1003"/>
      <c r="G256" s="615" t="s">
        <v>2323</v>
      </c>
      <c r="H256" s="616" t="e">
        <f t="shared" ref="H256:I256" si="168">+H250-H255</f>
        <v>#DIV/0!</v>
      </c>
      <c r="I256" s="616" t="e">
        <f t="shared" si="168"/>
        <v>#DIV/0!</v>
      </c>
      <c r="J256" s="915"/>
    </row>
    <row r="257" spans="1:10" s="607" customFormat="1" ht="13.5" customHeight="1">
      <c r="A257" s="855"/>
      <c r="B257" s="717"/>
      <c r="C257" s="717" t="s">
        <v>2324</v>
      </c>
      <c r="D257" s="856"/>
      <c r="E257" s="853">
        <f>ROUNDDOWN(E256,4-LEN(E256))</f>
        <v>0</v>
      </c>
      <c r="F257" s="1027"/>
      <c r="G257" s="857">
        <f>+E257</f>
        <v>0</v>
      </c>
      <c r="H257" s="854" t="e">
        <f>IF(G258+SUM(I257:J257)=G257,G258,G257-SUM(I257:J257))</f>
        <v>#DIV/0!</v>
      </c>
      <c r="I257" s="1147" t="e">
        <f t="shared" ref="I257" si="169">IF(I247=0,+I253-ROUND($E$258*I252/$G$252,-3),I252)</f>
        <v>#DIV/0!</v>
      </c>
      <c r="J257" s="915"/>
    </row>
    <row r="258" spans="1:10" s="607" customFormat="1" ht="13.5" customHeight="1">
      <c r="A258" s="858"/>
      <c r="B258" s="859"/>
      <c r="C258" s="859"/>
      <c r="D258" s="860"/>
      <c r="E258" s="861">
        <f>E256-E257</f>
        <v>0</v>
      </c>
      <c r="F258" s="1016"/>
      <c r="G258" s="914" t="e">
        <f>+H253-ROUND($E$258*H252/$G$252,-3)</f>
        <v>#DIV/0!</v>
      </c>
      <c r="H258" s="913">
        <f t="shared" ref="H258:I258" si="170">IF(LEN(H252)&lt;=7,-3,IF(LEN(H252)=8,-4,IF(LEN(H252)&gt;=9,-5,-6)))</f>
        <v>-3</v>
      </c>
      <c r="I258" s="913">
        <f t="shared" si="170"/>
        <v>-3</v>
      </c>
      <c r="J258" s="915"/>
    </row>
    <row r="259" spans="1:10" s="607" customFormat="1" ht="13.5" customHeight="1">
      <c r="F259" s="865"/>
      <c r="G259" s="863"/>
      <c r="H259" s="864"/>
      <c r="I259" s="865"/>
    </row>
    <row r="260" spans="1:10" s="607" customFormat="1" ht="15" hidden="1" customHeight="1">
      <c r="A260" s="866"/>
      <c r="B260" s="867"/>
      <c r="C260" s="868" t="s">
        <v>2325</v>
      </c>
      <c r="D260" s="869"/>
      <c r="E260" s="867"/>
      <c r="F260" s="871">
        <f t="shared" ref="F260" si="171">+F86</f>
        <v>0</v>
      </c>
      <c r="G260" s="870" t="s">
        <v>2326</v>
      </c>
      <c r="H260" s="871">
        <f t="shared" ref="H260:I260" si="172">+H86</f>
        <v>0</v>
      </c>
      <c r="I260" s="871">
        <f t="shared" si="172"/>
        <v>0</v>
      </c>
    </row>
    <row r="261" spans="1:10" s="607" customFormat="1" ht="15" hidden="1" customHeight="1">
      <c r="A261" s="1196"/>
      <c r="B261" s="1204" t="s">
        <v>2327</v>
      </c>
      <c r="C261" s="872" t="s">
        <v>2328</v>
      </c>
      <c r="D261" s="717"/>
      <c r="E261" s="873"/>
      <c r="F261" s="875">
        <f>IF($G143&lt;=10000000,ROUND(7.56*(10000^-0.1105)*(F260^0.2389),2),ROUND(7.56*(($G143/1000)^-0.1105)*(F260^0.2389),2))</f>
        <v>0</v>
      </c>
      <c r="G261" s="874" t="s">
        <v>2329</v>
      </c>
      <c r="H261" s="875">
        <f t="shared" ref="H261:I261" si="173">IF($G143&lt;=10000000,ROUND(7.56*(10000^-0.1105)*(H260^0.2389),2),ROUND(7.56*(($G143/1000)^-0.1105)*(H260^0.2389),2))</f>
        <v>0</v>
      </c>
      <c r="I261" s="875">
        <f t="shared" si="173"/>
        <v>0</v>
      </c>
    </row>
    <row r="262" spans="1:10" s="607" customFormat="1" ht="15" hidden="1" customHeight="1">
      <c r="A262" s="1197"/>
      <c r="B262" s="1205"/>
      <c r="C262" s="1199" t="s">
        <v>2330</v>
      </c>
      <c r="D262" s="1180"/>
      <c r="E262" s="876"/>
      <c r="F262" s="877">
        <f t="shared" ref="F262" si="174">IF($G143&lt;=10000000,ROUND(4.33,2),0)</f>
        <v>4.33</v>
      </c>
      <c r="G262" s="874" t="s">
        <v>2331</v>
      </c>
      <c r="H262" s="877">
        <f>IF($G143&lt;=10000000,ROUND(4.33,2),0)</f>
        <v>4.33</v>
      </c>
      <c r="I262" s="877">
        <f t="shared" ref="I262" si="175">IF($G143&lt;=10000000,ROUND(4.33,2),0)</f>
        <v>4.33</v>
      </c>
    </row>
    <row r="263" spans="1:10" s="607" customFormat="1" ht="15" hidden="1" customHeight="1">
      <c r="A263" s="1197"/>
      <c r="B263" s="1205"/>
      <c r="C263" s="1200"/>
      <c r="D263" s="1047"/>
      <c r="E263" s="1001"/>
      <c r="F263" s="877">
        <f t="shared" ref="F263" si="176">IF($G143&lt;=10000000,ROUND(3.25,2),0)</f>
        <v>3.25</v>
      </c>
      <c r="G263" s="874" t="s">
        <v>2332</v>
      </c>
      <c r="H263" s="877">
        <f>IF($G143&lt;=10000000,ROUND(3.25,2),0)</f>
        <v>3.25</v>
      </c>
      <c r="I263" s="877">
        <f t="shared" ref="I263" si="177">IF($G143&lt;=10000000,ROUND(3.25,2),0)</f>
        <v>3.25</v>
      </c>
    </row>
    <row r="264" spans="1:10" s="607" customFormat="1" ht="14.25" hidden="1" customHeight="1">
      <c r="A264" s="1197"/>
      <c r="B264" s="1205"/>
      <c r="C264" s="1199" t="s">
        <v>2333</v>
      </c>
      <c r="D264" s="1180"/>
      <c r="E264" s="876"/>
      <c r="F264" s="878">
        <f t="shared" ref="F264" si="178">IF($G143&gt;10000000,ROUND(5.78*($G143/1000)^-0.0313,2),0)</f>
        <v>0</v>
      </c>
      <c r="G264" s="874" t="s">
        <v>2331</v>
      </c>
      <c r="H264" s="878">
        <f>IF($G143&gt;10000000,ROUND(5.78*($G143/1000)^-0.0313,2),0)</f>
        <v>0</v>
      </c>
      <c r="I264" s="878">
        <f t="shared" ref="I264" si="179">IF($G143&gt;10000000,ROUND(5.78*($G143/1000)^-0.0313,2),0)</f>
        <v>0</v>
      </c>
    </row>
    <row r="265" spans="1:10" s="607" customFormat="1" ht="15" hidden="1" customHeight="1">
      <c r="A265" s="1198"/>
      <c r="B265" s="1206"/>
      <c r="C265" s="1200"/>
      <c r="D265" s="1047"/>
      <c r="E265" s="1001"/>
      <c r="F265" s="878">
        <f t="shared" ref="F265" si="180">IF($G143&gt;10000000,ROUND(4.34*($G143/1000)^-0.0313,2),0)</f>
        <v>0</v>
      </c>
      <c r="G265" s="874" t="s">
        <v>2332</v>
      </c>
      <c r="H265" s="878">
        <f>IF($G143&gt;10000000,ROUND(4.34*($G143/1000)^-0.0313,2),0)</f>
        <v>0</v>
      </c>
      <c r="I265" s="878">
        <f t="shared" ref="I265" si="181">IF($G143&gt;10000000,ROUND(4.34*($G143/1000)^-0.0313,2),0)</f>
        <v>0</v>
      </c>
    </row>
    <row r="266" spans="1:10" s="607" customFormat="1" ht="15" hidden="1" customHeight="1">
      <c r="A266" s="1207" t="s">
        <v>2334</v>
      </c>
      <c r="B266" s="1208"/>
      <c r="C266" s="1208"/>
      <c r="D266" s="1208"/>
      <c r="E266" s="1208"/>
      <c r="F266" s="878">
        <f>IF($G143&lt;=10000000,IF(F$261&gt;F$262,F$262,IF(F$261&lt;F$263,F$263,F$261)),IF(F$261&gt;F$264,F$264,IF(F$261&lt;F$265,F$265,F$261)))</f>
        <v>3.25</v>
      </c>
      <c r="G266" s="992"/>
      <c r="H266" s="878">
        <f>IF($G143&lt;=10000000,IF(H$261&gt;H$262,H$262,IF(H$261&lt;H$263,H$263,H$261)),IF(H$261&gt;H$264,H$264,IF(H$261&lt;H$265,H$265,H$261)))</f>
        <v>3.25</v>
      </c>
      <c r="I266" s="878">
        <f t="shared" ref="I266" si="182">IF($G143&lt;=10000000,IF(I$261&gt;I$262,I$262,IF(I$261&lt;I$263,I$263,I$261)),IF(I$261&gt;I$264,I$264,IF(I$261&lt;I$265,I$265,I$261)))</f>
        <v>3.25</v>
      </c>
    </row>
    <row r="267" spans="1:10" s="607" customFormat="1" ht="15" hidden="1" customHeight="1" thickBot="1">
      <c r="A267" s="1209" t="s">
        <v>2335</v>
      </c>
      <c r="B267" s="1210"/>
      <c r="C267" s="1210"/>
      <c r="D267" s="1210"/>
      <c r="E267" s="1210"/>
      <c r="F267" s="879">
        <f t="shared" ref="F267" si="183">ROUND(F266*IF(AND(F91="駅施設",F92="無し"),0.7,IF(AND(F91="駅施設",F92="有り"),0.7,IF(AND(F91="地上建物",F92="無し"),0.9,IF(AND(F91="地上建物",F92="有り"),1,0)))),2)</f>
        <v>0</v>
      </c>
      <c r="G267" s="993"/>
      <c r="H267" s="879">
        <f>ROUND(H266*IF(AND(H91="駅施設",H92="無し"),0.7,IF(AND(H91="駅施設",H92="有り"),0.7,IF(AND(H91="地上建物",H92="無し"),0.9,IF(AND(H91="地上建物",H92="有り"),1,0)))),2)</f>
        <v>0</v>
      </c>
      <c r="I267" s="879">
        <f t="shared" ref="I267" si="184">ROUND(I266*IF(AND(I91="駅施設",I92="無し"),0.7,IF(AND(I91="駅施設",I92="有り"),0.7,IF(AND(I91="地上建物",I92="無し"),0.9,IF(AND(I91="地上建物",I92="有り"),1,0)))),2)</f>
        <v>0</v>
      </c>
    </row>
    <row r="268" spans="1:10" s="607" customFormat="1" ht="15" hidden="1" customHeight="1" thickBot="1">
      <c r="F268" s="880"/>
      <c r="H268" s="880"/>
      <c r="I268" s="880"/>
    </row>
    <row r="269" spans="1:10" s="607" customFormat="1" ht="15" hidden="1" customHeight="1">
      <c r="A269" s="866"/>
      <c r="B269" s="867"/>
      <c r="C269" s="868" t="s">
        <v>2325</v>
      </c>
      <c r="D269" s="869"/>
      <c r="E269" s="867"/>
      <c r="F269" s="871">
        <f t="shared" ref="F269" si="185">+F86</f>
        <v>0</v>
      </c>
      <c r="G269" s="870" t="s">
        <v>2326</v>
      </c>
      <c r="H269" s="871">
        <f t="shared" ref="H269:I269" si="186">+H86</f>
        <v>0</v>
      </c>
      <c r="I269" s="871">
        <f t="shared" si="186"/>
        <v>0</v>
      </c>
    </row>
    <row r="270" spans="1:10" s="607" customFormat="1" ht="15" hidden="1" customHeight="1">
      <c r="A270" s="1196"/>
      <c r="B270" s="1204" t="s">
        <v>2336</v>
      </c>
      <c r="C270" s="872" t="s">
        <v>2328</v>
      </c>
      <c r="D270" s="717"/>
      <c r="E270" s="873"/>
      <c r="F270" s="875">
        <f>IF($G143&lt;=5000000,ROUND(18.03*(5000^-0.2027)*(F269^0.4017),2),ROUND(18.03*(($G143/1000)^-0.2027)*(F269^0.4017),2))</f>
        <v>0</v>
      </c>
      <c r="G270" s="874" t="s">
        <v>2337</v>
      </c>
      <c r="H270" s="875">
        <f>IF($G143&lt;=5000000,ROUND(18.03*(5000^-0.2027)*(H269^0.4017),2),ROUND(18.03*(($G143/1000)^-0.2027)*(H269^0.4017),2))</f>
        <v>0</v>
      </c>
      <c r="I270" s="875">
        <f t="shared" ref="I270" si="187">IF($G143&lt;=5000000,ROUND(18.03*(5000^-0.2027)*(I269^0.4017),2),ROUND(18.03*(($G143/1000)^-0.2027)*(I269^0.4017),2))</f>
        <v>0</v>
      </c>
    </row>
    <row r="271" spans="1:10" s="607" customFormat="1" ht="15" hidden="1" customHeight="1">
      <c r="A271" s="1197"/>
      <c r="B271" s="1205"/>
      <c r="C271" s="1199" t="s">
        <v>2338</v>
      </c>
      <c r="D271" s="1180"/>
      <c r="E271" s="876"/>
      <c r="F271" s="877">
        <f t="shared" ref="F271" si="188">IF($G143&lt;=5000000,ROUND(6.07,2),0)</f>
        <v>6.07</v>
      </c>
      <c r="G271" s="874" t="s">
        <v>2331</v>
      </c>
      <c r="H271" s="877">
        <f>IF($G143&lt;=5000000,ROUND(6.07,2),0)</f>
        <v>6.07</v>
      </c>
      <c r="I271" s="877">
        <f t="shared" ref="I271" si="189">IF($G143&lt;=5000000,ROUND(6.07,2),0)</f>
        <v>6.07</v>
      </c>
    </row>
    <row r="272" spans="1:10" s="607" customFormat="1" ht="15" hidden="1" customHeight="1">
      <c r="A272" s="1197"/>
      <c r="B272" s="1205"/>
      <c r="C272" s="1200"/>
      <c r="D272" s="1047"/>
      <c r="E272" s="1001"/>
      <c r="F272" s="877">
        <f t="shared" ref="F272" si="190">IF($G143&lt;=5000000,ROUND(3.59,2),0)</f>
        <v>3.59</v>
      </c>
      <c r="G272" s="874" t="s">
        <v>2332</v>
      </c>
      <c r="H272" s="877">
        <f>IF($G143&lt;=5000000,ROUND(3.59,2),0)</f>
        <v>3.59</v>
      </c>
      <c r="I272" s="877">
        <f t="shared" ref="I272" si="191">IF($G143&lt;=5000000,ROUND(3.59,2),0)</f>
        <v>3.59</v>
      </c>
    </row>
    <row r="273" spans="1:9" s="607" customFormat="1" ht="15" hidden="1" customHeight="1">
      <c r="A273" s="1197"/>
      <c r="B273" s="1205"/>
      <c r="C273" s="1199" t="s">
        <v>2339</v>
      </c>
      <c r="D273" s="1180"/>
      <c r="E273" s="876"/>
      <c r="F273" s="878">
        <f t="shared" ref="F273" si="192">IF($G143&gt;5000000,ROUND(11.74*($G143/1000)^-0.0774,2),0)</f>
        <v>0</v>
      </c>
      <c r="G273" s="874" t="s">
        <v>2331</v>
      </c>
      <c r="H273" s="878">
        <f>IF($G143&gt;5000000,ROUND(11.74*($G143/1000)^-0.0774,2),0)</f>
        <v>0</v>
      </c>
      <c r="I273" s="878">
        <f t="shared" ref="I273" si="193">IF($G143&gt;5000000,ROUND(11.74*($G143/1000)^-0.0774,2),0)</f>
        <v>0</v>
      </c>
    </row>
    <row r="274" spans="1:9" s="607" customFormat="1" ht="15" hidden="1" customHeight="1">
      <c r="A274" s="1198"/>
      <c r="B274" s="1206"/>
      <c r="C274" s="1200"/>
      <c r="D274" s="1047"/>
      <c r="E274" s="1001"/>
      <c r="F274" s="878">
        <f t="shared" ref="F274" si="194">IF($G143&gt;5000000,ROUND(6.94*($G143/1000)^-0.0774,2),0)</f>
        <v>0</v>
      </c>
      <c r="G274" s="874" t="s">
        <v>2332</v>
      </c>
      <c r="H274" s="878">
        <f>IF($G143&gt;5000000,ROUND(6.94*($G143/1000)^-0.0774,2),0)</f>
        <v>0</v>
      </c>
      <c r="I274" s="878">
        <f t="shared" ref="I274" si="195">IF($G143&gt;5000000,ROUND(6.94*($G143/1000)^-0.0774,2),0)</f>
        <v>0</v>
      </c>
    </row>
    <row r="275" spans="1:9" s="607" customFormat="1" ht="15" hidden="1" customHeight="1">
      <c r="A275" s="1207" t="s">
        <v>2334</v>
      </c>
      <c r="B275" s="1208"/>
      <c r="C275" s="1208"/>
      <c r="D275" s="1208"/>
      <c r="E275" s="1208"/>
      <c r="F275" s="881">
        <f>IF($G143&lt;=5000000,IF(F$270&gt;F$271,F$271,IF(F$270&lt;F$272,F$272,F$270)),IF(F$270&gt;F$273,F$273,IF(F$270&lt;F$274,F$274,F$270)))</f>
        <v>3.59</v>
      </c>
      <c r="G275" s="992"/>
      <c r="H275" s="881">
        <f>IF($G143&lt;=5000000,IF(H$270&gt;H$271,H$271,IF(H$270&lt;H$272,H$272,H$270)),IF(H$270&gt;H$273,H$273,IF(H$270&lt;H$274,H$274,H$270)))</f>
        <v>3.59</v>
      </c>
      <c r="I275" s="881">
        <f t="shared" ref="I275" si="196">IF($G143&lt;=5000000,IF(I$270&gt;I$271,I$271,IF(I$270&lt;I$272,I$272,I$270)),IF(I$270&gt;I$273,I$273,IF(I$270&lt;I$274,I$274,I$270)))</f>
        <v>3.59</v>
      </c>
    </row>
    <row r="276" spans="1:9" s="607" customFormat="1" ht="15" hidden="1" customHeight="1" thickBot="1">
      <c r="A276" s="1209" t="s">
        <v>2335</v>
      </c>
      <c r="B276" s="1210"/>
      <c r="C276" s="1210"/>
      <c r="D276" s="1210"/>
      <c r="E276" s="1210"/>
      <c r="F276" s="879">
        <f t="shared" ref="F276" si="197">ROUND(F275*IF(AND(F91="駅施設",F92="無し"),0.7,IF(AND(F91="駅施設",F92="有り"),0.7,IF(AND(F91="地上建物",F92="無し"),0.9,IF(AND(F91="地上建物",F92="有り"),1,0)))),2)</f>
        <v>0</v>
      </c>
      <c r="G276" s="993"/>
      <c r="H276" s="879">
        <f>ROUND(H275*IF(AND(H91="駅施設",H92="無し"),0.7,IF(AND(H91="駅施設",H92="有り"),0.7,IF(AND(H91="地上建物",H92="無し"),0.9,IF(AND(H91="地上建物",H92="有り"),1,0)))),2)</f>
        <v>0</v>
      </c>
      <c r="I276" s="879">
        <f t="shared" ref="I276" si="198">ROUND(I275*IF(AND(I91="駅施設",I92="無し"),0.7,IF(AND(I91="駅施設",I92="有り"),0.7,IF(AND(I91="地上建物",I92="無し"),0.9,IF(AND(I91="地上建物",I92="有り"),1,0)))),2)</f>
        <v>0</v>
      </c>
    </row>
    <row r="277" spans="1:9" s="607" customFormat="1" ht="15" hidden="1" customHeight="1" thickBot="1">
      <c r="F277" s="865"/>
      <c r="H277" s="865"/>
      <c r="I277" s="865"/>
    </row>
    <row r="278" spans="1:9" s="607" customFormat="1" ht="15" hidden="1" customHeight="1">
      <c r="A278" s="866"/>
      <c r="B278" s="867"/>
      <c r="C278" s="868" t="s">
        <v>2340</v>
      </c>
      <c r="D278" s="869"/>
      <c r="E278" s="867"/>
      <c r="F278" s="871">
        <f t="shared" ref="F278" si="199">+F286</f>
        <v>0</v>
      </c>
      <c r="G278" s="870" t="s">
        <v>2326</v>
      </c>
      <c r="H278" s="871">
        <f>+H286</f>
        <v>0</v>
      </c>
      <c r="I278" s="871">
        <f t="shared" ref="I278" si="200">+I286</f>
        <v>0</v>
      </c>
    </row>
    <row r="279" spans="1:9" s="607" customFormat="1" ht="15" hidden="1" customHeight="1">
      <c r="A279" s="1196"/>
      <c r="B279" s="1204" t="s">
        <v>2327</v>
      </c>
      <c r="C279" s="872" t="s">
        <v>2341</v>
      </c>
      <c r="D279" s="717"/>
      <c r="E279" s="873"/>
      <c r="F279" s="875">
        <f>IF($G182&lt;=10000000,ROUND(151.08*((10000)^-0.3396)*(F278^0.586),2),ROUND(151.08*(($G182/1000)^-0.3396)*(F278^0.586),2))</f>
        <v>0</v>
      </c>
      <c r="G279" s="874" t="s">
        <v>2342</v>
      </c>
      <c r="H279" s="875">
        <f>IF($G182&lt;=10000000,ROUND(151.08*((10000)^-0.3396)*(H278^0.586),2),ROUND(151.08*(($G182/1000)^-0.3396)*(H278^0.586),2))</f>
        <v>0</v>
      </c>
      <c r="I279" s="875">
        <f t="shared" ref="I279" si="201">IF($G182&lt;=10000000,ROUND(151.08*((10000)^-0.3396)*(I278^0.586),2),ROUND(151.08*(($G182/1000)^-0.3396)*(I278^0.586),2))</f>
        <v>0</v>
      </c>
    </row>
    <row r="280" spans="1:9" s="607" customFormat="1" ht="15" hidden="1" customHeight="1">
      <c r="A280" s="1197"/>
      <c r="B280" s="1205"/>
      <c r="C280" s="1199" t="s">
        <v>2343</v>
      </c>
      <c r="D280" s="1180"/>
      <c r="E280" s="876"/>
      <c r="F280" s="877">
        <f t="shared" ref="F280" si="202">IF($G182&lt;=10000000,ROUND(20.13,2),0)</f>
        <v>20.13</v>
      </c>
      <c r="G280" s="874" t="s">
        <v>2331</v>
      </c>
      <c r="H280" s="877">
        <f>IF($G182&lt;=10000000,ROUND(20.13,2),0)</f>
        <v>20.13</v>
      </c>
      <c r="I280" s="877">
        <f t="shared" ref="I280" si="203">IF($G182&lt;=10000000,ROUND(20.13,2),0)</f>
        <v>20.13</v>
      </c>
    </row>
    <row r="281" spans="1:9" s="607" customFormat="1" ht="15" hidden="1" customHeight="1">
      <c r="A281" s="1197"/>
      <c r="B281" s="1205"/>
      <c r="C281" s="1200"/>
      <c r="D281" s="1047"/>
      <c r="E281" s="1001"/>
      <c r="F281" s="877">
        <f t="shared" ref="F281" si="204">IF($G182&lt;=10000000,ROUND(10.01,2),0)</f>
        <v>10.01</v>
      </c>
      <c r="G281" s="874" t="s">
        <v>2332</v>
      </c>
      <c r="H281" s="877">
        <f>IF($G182&lt;=10000000,ROUND(10.01,2),0)</f>
        <v>10.01</v>
      </c>
      <c r="I281" s="877">
        <f t="shared" ref="I281" si="205">IF($G182&lt;=10000000,ROUND(10.01,2),0)</f>
        <v>10.01</v>
      </c>
    </row>
    <row r="282" spans="1:9" s="607" customFormat="1" ht="15" hidden="1" customHeight="1">
      <c r="A282" s="1197"/>
      <c r="B282" s="1205"/>
      <c r="C282" s="1199" t="s">
        <v>2344</v>
      </c>
      <c r="D282" s="1180"/>
      <c r="E282" s="876"/>
      <c r="F282" s="878">
        <f t="shared" ref="F282" si="206">IF($G182&gt;10000000,ROUND(75.97*($G182/1000)^-0.1442,2),0)</f>
        <v>0</v>
      </c>
      <c r="G282" s="874" t="s">
        <v>2331</v>
      </c>
      <c r="H282" s="878">
        <f>IF($G182&gt;10000000,ROUND(75.97*($G182/1000)^-0.1442,2),0)</f>
        <v>0</v>
      </c>
      <c r="I282" s="878">
        <f t="shared" ref="I282" si="207">IF($G182&gt;10000000,ROUND(75.97*($G182/1000)^-0.1442,2),0)</f>
        <v>0</v>
      </c>
    </row>
    <row r="283" spans="1:9" s="607" customFormat="1" ht="15" hidden="1" customHeight="1">
      <c r="A283" s="1198"/>
      <c r="B283" s="1206"/>
      <c r="C283" s="1200"/>
      <c r="D283" s="1047"/>
      <c r="E283" s="1001"/>
      <c r="F283" s="878">
        <f t="shared" ref="F283" si="208">IF($G182&gt;10000000,ROUND(37.76*($G182/1000)^-0.1442,2),0)</f>
        <v>0</v>
      </c>
      <c r="G283" s="874" t="s">
        <v>2332</v>
      </c>
      <c r="H283" s="878">
        <f>IF($G182&gt;10000000,ROUND(37.76*($G182/1000)^-0.1442,2),0)</f>
        <v>0</v>
      </c>
      <c r="I283" s="878">
        <f t="shared" ref="I283" si="209">IF($G182&gt;10000000,ROUND(37.76*($G182/1000)^-0.1442,2),0)</f>
        <v>0</v>
      </c>
    </row>
    <row r="284" spans="1:9" s="607" customFormat="1" ht="15" hidden="1" customHeight="1" thickBot="1">
      <c r="A284" s="1194" t="s">
        <v>2345</v>
      </c>
      <c r="B284" s="1195"/>
      <c r="C284" s="1195"/>
      <c r="D284" s="1195"/>
      <c r="E284" s="1181"/>
      <c r="F284" s="883">
        <f>IF($G182&lt;=10000000,IF(F$279&gt;F$280,F$280,IF(F$279&lt;F$281,F$281,F$279)),IF(F$279&gt;F$282,F$282,IF(F$279&lt;F$283,F$283,F$279)))</f>
        <v>10.01</v>
      </c>
      <c r="G284" s="882"/>
      <c r="H284" s="883">
        <f>IF($G182&lt;=10000000,IF(H$279&gt;H$280,H$280,IF(H$279&lt;H$281,H$281,H$279)),IF(H$279&gt;H$282,H$282,IF(H$279&lt;H$283,H$283,H$279)))</f>
        <v>10.01</v>
      </c>
      <c r="I284" s="883">
        <f t="shared" ref="I284" si="210">IF($G182&lt;=10000000,IF(I$279&gt;I$280,I$280,IF(I$279&lt;I$281,I$281,I$279)),IF(I$279&gt;I$282,I$282,IF(I$279&lt;I$283,I$283,I$279)))</f>
        <v>10.01</v>
      </c>
    </row>
    <row r="285" spans="1:9" s="607" customFormat="1" ht="15" hidden="1" customHeight="1" thickBot="1">
      <c r="F285" s="880"/>
      <c r="H285" s="880"/>
      <c r="I285" s="880"/>
    </row>
    <row r="286" spans="1:9" s="607" customFormat="1" ht="15" hidden="1" customHeight="1">
      <c r="A286" s="866"/>
      <c r="B286" s="867"/>
      <c r="C286" s="868" t="s">
        <v>2340</v>
      </c>
      <c r="D286" s="869"/>
      <c r="E286" s="867"/>
      <c r="F286" s="871">
        <f t="shared" ref="F286" si="211">+F86</f>
        <v>0</v>
      </c>
      <c r="G286" s="870" t="s">
        <v>2326</v>
      </c>
      <c r="H286" s="871">
        <f t="shared" ref="H286:I286" si="212">+H86</f>
        <v>0</v>
      </c>
      <c r="I286" s="871">
        <f t="shared" si="212"/>
        <v>0</v>
      </c>
    </row>
    <row r="287" spans="1:9" s="607" customFormat="1" ht="15" hidden="1" customHeight="1">
      <c r="A287" s="1196"/>
      <c r="B287" s="1204" t="s">
        <v>2336</v>
      </c>
      <c r="C287" s="872" t="s">
        <v>2341</v>
      </c>
      <c r="D287" s="717"/>
      <c r="E287" s="873"/>
      <c r="F287" s="875">
        <f>IF($G182&lt;=5000000,ROUND(356.2*((5000)^-0.4085)*(F286^0.5766),2),ROUND(356.2*(($G182/1000)^-0.4085)*(F286^0.5766),2))</f>
        <v>0</v>
      </c>
      <c r="G287" s="874" t="s">
        <v>2342</v>
      </c>
      <c r="H287" s="875">
        <f>IF($G182&lt;=5000000,ROUND(356.2*((5000)^-0.4085)*(H286^0.5766),2),ROUND(356.2*(($G182/1000)^-0.4085)*(H286^0.5766),2))</f>
        <v>0</v>
      </c>
      <c r="I287" s="875">
        <f t="shared" ref="I287" si="213">IF($G182&lt;=5000000,ROUND(356.2*((5000)^-0.4085)*(I286^0.5766),2),ROUND(356.2*(($G182/1000)^-0.4085)*(I286^0.5766),2))</f>
        <v>0</v>
      </c>
    </row>
    <row r="288" spans="1:9" s="607" customFormat="1" ht="15" hidden="1" customHeight="1">
      <c r="A288" s="1197"/>
      <c r="B288" s="1205"/>
      <c r="C288" s="1199" t="s">
        <v>2346</v>
      </c>
      <c r="D288" s="1180"/>
      <c r="E288" s="876"/>
      <c r="F288" s="877">
        <f t="shared" ref="F288" si="214">IF($G182&lt;=5000000,ROUND(26.86,2),0)</f>
        <v>26.86</v>
      </c>
      <c r="G288" s="874" t="s">
        <v>2331</v>
      </c>
      <c r="H288" s="877">
        <f>IF($G182&lt;=5000000,ROUND(26.86,2),0)</f>
        <v>26.86</v>
      </c>
      <c r="I288" s="877">
        <f t="shared" ref="I288" si="215">IF($G182&lt;=5000000,ROUND(26.86,2),0)</f>
        <v>26.86</v>
      </c>
    </row>
    <row r="289" spans="1:11" s="607" customFormat="1" ht="15" hidden="1" customHeight="1">
      <c r="A289" s="1197"/>
      <c r="B289" s="1205"/>
      <c r="C289" s="1200"/>
      <c r="D289" s="1047"/>
      <c r="E289" s="1001"/>
      <c r="F289" s="877">
        <f t="shared" ref="F289" si="216">IF($G182&lt;=5000000,ROUND(12.7,2),0)</f>
        <v>12.7</v>
      </c>
      <c r="G289" s="874" t="s">
        <v>2332</v>
      </c>
      <c r="H289" s="877">
        <f>IF($G182&lt;=5000000,ROUND(12.7,2),0)</f>
        <v>12.7</v>
      </c>
      <c r="I289" s="877">
        <f t="shared" ref="I289" si="217">IF($G182&lt;=5000000,ROUND(12.7,2),0)</f>
        <v>12.7</v>
      </c>
    </row>
    <row r="290" spans="1:11" s="607" customFormat="1" ht="15" hidden="1" customHeight="1">
      <c r="A290" s="1197"/>
      <c r="B290" s="1205"/>
      <c r="C290" s="1199" t="s">
        <v>2347</v>
      </c>
      <c r="D290" s="1180"/>
      <c r="E290" s="876"/>
      <c r="F290" s="878">
        <f t="shared" ref="F290" si="218">IF($G182&gt;5000000,ROUND(184.58*($G182/1000)^-0.2263,2),0)</f>
        <v>0</v>
      </c>
      <c r="G290" s="874" t="s">
        <v>2331</v>
      </c>
      <c r="H290" s="878">
        <f>IF($G182&gt;5000000,ROUND(184.58*($G182/1000)^-0.2263,2),0)</f>
        <v>0</v>
      </c>
      <c r="I290" s="878">
        <f t="shared" ref="I290" si="219">IF($G182&gt;5000000,ROUND(184.58*($G182/1000)^-0.2263,2),0)</f>
        <v>0</v>
      </c>
    </row>
    <row r="291" spans="1:11" s="607" customFormat="1" ht="15" hidden="1" customHeight="1">
      <c r="A291" s="1198"/>
      <c r="B291" s="1206"/>
      <c r="C291" s="1200"/>
      <c r="D291" s="1047"/>
      <c r="E291" s="1001"/>
      <c r="F291" s="878">
        <f t="shared" ref="F291" si="220">IF($G182&gt;5000000,ROUND(87.29*($G182/1000)^-0.2263,2),0)</f>
        <v>0</v>
      </c>
      <c r="G291" s="874" t="s">
        <v>2332</v>
      </c>
      <c r="H291" s="878">
        <f>IF($G182&gt;5000000,ROUND(87.29*($G182/1000)^-0.2263,2),0)</f>
        <v>0</v>
      </c>
      <c r="I291" s="878">
        <f t="shared" ref="I291" si="221">IF($G182&gt;5000000,ROUND(87.29*($G182/1000)^-0.2263,2),0)</f>
        <v>0</v>
      </c>
    </row>
    <row r="292" spans="1:11" s="607" customFormat="1" ht="15" hidden="1" customHeight="1" thickBot="1">
      <c r="A292" s="1194" t="s">
        <v>2345</v>
      </c>
      <c r="B292" s="1195"/>
      <c r="C292" s="1195"/>
      <c r="D292" s="1195"/>
      <c r="E292" s="884"/>
      <c r="F292" s="885">
        <f>IF($G182&lt;=5000000,IF(F$287&gt;F$288,F$288,IF(F$287&lt;F$289,F$289,F$287)),IF(F$287&gt;F$290,F$290,IF(F$287&lt;F$291,F$291,F$287)))</f>
        <v>12.7</v>
      </c>
      <c r="G292" s="882"/>
      <c r="H292" s="885">
        <f>IF($G182&lt;=5000000,IF(H$287&gt;H$288,H$288,IF(H$287&lt;H$289,H$289,H$287)),IF(H$287&gt;H$290,H$290,IF(H$287&lt;H$291,H$291,H$287)))</f>
        <v>12.7</v>
      </c>
      <c r="I292" s="885">
        <f t="shared" ref="I292" si="222">IF($G182&lt;=5000000,IF(I$287&gt;I$288,I$288,IF(I$287&lt;I$289,I$289,I$287)),IF(I$287&gt;I$290,I$290,IF(I$287&lt;I$291,I$291,I$287)))</f>
        <v>12.7</v>
      </c>
    </row>
    <row r="293" spans="1:11" s="607" customFormat="1" ht="15" hidden="1" customHeight="1" thickBot="1">
      <c r="F293" s="865"/>
      <c r="H293" s="865"/>
      <c r="I293" s="865"/>
    </row>
    <row r="294" spans="1:11" s="607" customFormat="1" ht="15" hidden="1" customHeight="1">
      <c r="A294" s="866"/>
      <c r="B294" s="867"/>
      <c r="C294" s="868" t="s">
        <v>2348</v>
      </c>
      <c r="D294" s="869"/>
      <c r="E294" s="867"/>
      <c r="F294" s="887"/>
      <c r="G294" s="870"/>
      <c r="H294" s="886"/>
      <c r="I294" s="887"/>
    </row>
    <row r="295" spans="1:11" s="607" customFormat="1" ht="14.25" hidden="1" customHeight="1">
      <c r="A295" s="1196"/>
      <c r="B295" s="1204" t="s">
        <v>77</v>
      </c>
      <c r="C295" s="872" t="s">
        <v>2349</v>
      </c>
      <c r="D295" s="717"/>
      <c r="E295" s="873"/>
      <c r="F295" s="889"/>
      <c r="G295" s="874" t="s">
        <v>2350</v>
      </c>
      <c r="H295" s="888" t="e">
        <f>ROUND(28.978-3.173*LOG($G226/1000),2)</f>
        <v>#NUM!</v>
      </c>
      <c r="I295" s="889"/>
    </row>
    <row r="296" spans="1:11" s="607" customFormat="1" ht="14.25" hidden="1" customHeight="1">
      <c r="A296" s="1197"/>
      <c r="B296" s="1205"/>
      <c r="C296" s="1199" t="s">
        <v>2351</v>
      </c>
      <c r="D296" s="1180"/>
      <c r="E296" s="1180"/>
      <c r="F296" s="892"/>
      <c r="G296" s="890"/>
      <c r="H296" s="891">
        <f>IF($G226&lt;=5000000,17.24,0)</f>
        <v>17.239999999999998</v>
      </c>
      <c r="I296" s="892"/>
    </row>
    <row r="297" spans="1:11" s="607" customFormat="1" ht="15" hidden="1" customHeight="1">
      <c r="A297" s="1198"/>
      <c r="B297" s="1206"/>
      <c r="C297" s="1199" t="s">
        <v>2352</v>
      </c>
      <c r="D297" s="1180"/>
      <c r="E297" s="717"/>
      <c r="F297" s="894"/>
      <c r="G297" s="890"/>
      <c r="H297" s="891">
        <f>IF($G226&gt;3000000000,8.43,0)</f>
        <v>0</v>
      </c>
      <c r="I297" s="894"/>
    </row>
    <row r="298" spans="1:11" s="607" customFormat="1" ht="15" hidden="1" customHeight="1" thickBot="1">
      <c r="A298" s="1194" t="s">
        <v>2353</v>
      </c>
      <c r="B298" s="1195"/>
      <c r="C298" s="1195"/>
      <c r="D298" s="1195"/>
      <c r="E298" s="884"/>
      <c r="F298" s="896"/>
      <c r="G298" s="882"/>
      <c r="H298" s="895">
        <f>IF($G226&lt;=5000000,H296,IF($G226&gt;3000000000,H297,H295))</f>
        <v>17.239999999999998</v>
      </c>
      <c r="I298" s="896"/>
    </row>
    <row r="299" spans="1:11" ht="15" hidden="1" customHeight="1">
      <c r="K299" s="607"/>
    </row>
    <row r="300" spans="1:11" s="602" customFormat="1" ht="15" customHeight="1">
      <c r="A300" s="702"/>
      <c r="B300" s="702"/>
      <c r="C300" s="622"/>
      <c r="D300" s="622"/>
      <c r="E300" s="1116" t="s">
        <v>2162</v>
      </c>
      <c r="F300" s="627"/>
      <c r="G300" s="732">
        <f>+G84</f>
        <v>0</v>
      </c>
      <c r="H300" s="707"/>
      <c r="I300" s="708"/>
      <c r="J300" s="880" t="s">
        <v>2354</v>
      </c>
    </row>
    <row r="301" spans="1:11" s="607" customFormat="1" ht="15" customHeight="1">
      <c r="A301" s="709"/>
      <c r="B301" s="709"/>
      <c r="C301" s="1117" t="s">
        <v>2355</v>
      </c>
      <c r="D301" s="563"/>
      <c r="E301" s="1017"/>
      <c r="F301" s="803"/>
      <c r="G301" s="1712" t="s">
        <v>3097</v>
      </c>
      <c r="H301" s="1720" t="str">
        <f>D3</f>
        <v>無し</v>
      </c>
      <c r="I301" s="1272"/>
    </row>
    <row r="302" spans="1:11" s="602" customFormat="1" ht="15" customHeight="1">
      <c r="A302" s="595"/>
      <c r="B302" s="596"/>
      <c r="C302" s="597" t="s">
        <v>2168</v>
      </c>
      <c r="D302" s="598"/>
      <c r="E302" s="599"/>
      <c r="F302" s="601">
        <f ca="1">+F10</f>
        <v>0</v>
      </c>
      <c r="G302" s="600" t="s">
        <v>2243</v>
      </c>
      <c r="H302" s="601">
        <f t="shared" ref="H302:I302" ca="1" si="223">+H10</f>
        <v>0</v>
      </c>
      <c r="I302" s="601">
        <f t="shared" ca="1" si="223"/>
        <v>0</v>
      </c>
      <c r="J302" s="916"/>
    </row>
    <row r="303" spans="1:11" s="602" customFormat="1" ht="15" customHeight="1">
      <c r="A303" s="994"/>
      <c r="B303" s="995"/>
      <c r="C303" s="1176" t="s">
        <v>2169</v>
      </c>
      <c r="D303" s="1177"/>
      <c r="E303" s="603"/>
      <c r="F303" s="899">
        <f>F11</f>
        <v>0</v>
      </c>
      <c r="G303" s="604" t="s">
        <v>2244</v>
      </c>
      <c r="H303" s="899">
        <f t="shared" ref="H303:I303" si="224">H11</f>
        <v>0</v>
      </c>
      <c r="I303" s="899">
        <f t="shared" si="224"/>
        <v>0</v>
      </c>
      <c r="J303" s="916"/>
    </row>
    <row r="304" spans="1:11" s="607" customFormat="1" ht="15" customHeight="1">
      <c r="A304" s="994"/>
      <c r="B304" s="995"/>
      <c r="C304" s="995" t="s">
        <v>2245</v>
      </c>
      <c r="D304" s="995"/>
      <c r="E304" s="817" t="str">
        <f>+E88</f>
        <v>無し</v>
      </c>
      <c r="F304" s="1287" t="e">
        <f>IF(F88="既発注無し",CONCATENATE("工事",RIGHT(E304,LEN(E304)-FIND("事",E304,1))+1),F88)</f>
        <v>#VALUE!</v>
      </c>
      <c r="G304" s="714" t="s">
        <v>2165</v>
      </c>
      <c r="H304" s="1287">
        <f t="shared" ref="H304:I304" si="225">IF(H88="既発注無し",CONCATENATE("工事",RIGHT(G304,LEN(G304)-FIND("事",G304,1))+1),H88)</f>
        <v>0</v>
      </c>
      <c r="I304" s="1287">
        <f t="shared" si="225"/>
        <v>0</v>
      </c>
      <c r="J304" s="915"/>
    </row>
    <row r="305" spans="1:10" s="607" customFormat="1" ht="15" customHeight="1">
      <c r="A305" s="994"/>
      <c r="B305" s="995"/>
      <c r="C305" s="995" t="s">
        <v>2247</v>
      </c>
      <c r="D305" s="995"/>
      <c r="E305" s="1727" t="str">
        <f>IF($H$301="有り","有り",$E$89)</f>
        <v>有り</v>
      </c>
      <c r="F305" s="716" t="str">
        <f ca="1">F4</f>
        <v>-</v>
      </c>
      <c r="G305" s="1710" t="s">
        <v>2248</v>
      </c>
      <c r="H305" s="716">
        <f t="shared" ref="H305:I305" ca="1" si="226">H4</f>
        <v>0</v>
      </c>
      <c r="I305" s="716">
        <f t="shared" ca="1" si="226"/>
        <v>0</v>
      </c>
      <c r="J305" s="915"/>
    </row>
    <row r="306" spans="1:10" s="607" customFormat="1" ht="15" customHeight="1">
      <c r="B306" s="995"/>
      <c r="C306" s="995"/>
      <c r="D306" s="995"/>
      <c r="F306" s="1002">
        <f>+F12</f>
        <v>0</v>
      </c>
      <c r="G306" s="827" t="s">
        <v>2170</v>
      </c>
      <c r="H306" s="606">
        <f t="shared" ref="H306:I306" si="227">+H12</f>
        <v>0</v>
      </c>
      <c r="I306" s="606">
        <f t="shared" si="227"/>
        <v>0</v>
      </c>
      <c r="J306" s="915"/>
    </row>
    <row r="307" spans="1:10" s="607" customFormat="1" ht="24.75" customHeight="1">
      <c r="A307" s="2181" t="s">
        <v>2171</v>
      </c>
      <c r="B307" s="2182"/>
      <c r="C307" s="2182"/>
      <c r="D307" s="2182"/>
      <c r="E307" s="2183"/>
      <c r="F307" s="1289">
        <f>F13</f>
        <v>0</v>
      </c>
      <c r="G307" s="1111"/>
      <c r="H307" s="1289">
        <f t="shared" ref="H307:I308" si="228">H13</f>
        <v>0</v>
      </c>
      <c r="I307" s="1289">
        <f t="shared" si="228"/>
        <v>0</v>
      </c>
      <c r="J307" s="915"/>
    </row>
    <row r="308" spans="1:10" s="607" customFormat="1" ht="24.75" customHeight="1">
      <c r="A308" s="2204" t="s">
        <v>2172</v>
      </c>
      <c r="B308" s="2205"/>
      <c r="C308" s="2205"/>
      <c r="D308" s="2205"/>
      <c r="E308" s="2206"/>
      <c r="F308" s="1290">
        <f>F14</f>
        <v>0</v>
      </c>
      <c r="G308" s="1112"/>
      <c r="H308" s="1290">
        <f t="shared" si="228"/>
        <v>0</v>
      </c>
      <c r="I308" s="1290">
        <f t="shared" si="228"/>
        <v>0</v>
      </c>
      <c r="J308" s="915"/>
    </row>
    <row r="309" spans="1:10" s="607" customFormat="1" ht="15" customHeight="1">
      <c r="A309" s="595"/>
      <c r="B309" s="608" t="s">
        <v>2173</v>
      </c>
      <c r="C309" s="609"/>
      <c r="D309" s="609"/>
      <c r="E309" s="610"/>
      <c r="F309" s="612">
        <f t="shared" ref="F309" ca="1" si="229">+F310+F314</f>
        <v>0</v>
      </c>
      <c r="G309" s="611">
        <f ca="1">SUM(H309:J309)</f>
        <v>0</v>
      </c>
      <c r="H309" s="612">
        <f ca="1">+H310+H314</f>
        <v>0</v>
      </c>
      <c r="I309" s="612">
        <f t="shared" ref="I309" ca="1" si="230">+I310+I314</f>
        <v>0</v>
      </c>
      <c r="J309" s="915"/>
    </row>
    <row r="310" spans="1:10" s="607" customFormat="1" ht="15" customHeight="1">
      <c r="A310" s="994"/>
      <c r="B310" s="995"/>
      <c r="C310" s="538" t="s">
        <v>2174</v>
      </c>
      <c r="D310" s="539"/>
      <c r="E310" s="599"/>
      <c r="F310" s="725">
        <f ca="1">+F94+F16</f>
        <v>0</v>
      </c>
      <c r="G310" s="613">
        <f ca="1">SUM(H310:J310)</f>
        <v>0</v>
      </c>
      <c r="H310" s="725">
        <f t="shared" ref="H310:I310" ca="1" si="231">+H94+H16</f>
        <v>0</v>
      </c>
      <c r="I310" s="725">
        <f t="shared" ca="1" si="231"/>
        <v>0</v>
      </c>
      <c r="J310" s="915"/>
    </row>
    <row r="311" spans="1:10" s="607" customFormat="1" ht="15" customHeight="1">
      <c r="A311" s="994"/>
      <c r="B311" s="995"/>
      <c r="C311" s="717"/>
      <c r="D311" s="717"/>
      <c r="E311" s="614"/>
      <c r="F311" s="616">
        <f t="shared" ref="F311" ca="1" si="232">SUM(F403:F412)</f>
        <v>0</v>
      </c>
      <c r="G311" s="615" t="s">
        <v>2252</v>
      </c>
      <c r="H311" s="616">
        <f t="shared" ref="H311:I311" ca="1" si="233">SUM(H403:H412)</f>
        <v>0</v>
      </c>
      <c r="I311" s="616">
        <f t="shared" ca="1" si="233"/>
        <v>0</v>
      </c>
      <c r="J311" s="915"/>
    </row>
    <row r="312" spans="1:10" s="607" customFormat="1" ht="15" customHeight="1">
      <c r="A312" s="994"/>
      <c r="B312" s="995"/>
      <c r="C312" s="717"/>
      <c r="D312" s="717"/>
      <c r="E312" s="614"/>
      <c r="F312" s="616">
        <f t="shared" ref="F312" ca="1" si="234">SUM(F449:F451)</f>
        <v>0</v>
      </c>
      <c r="G312" s="615" t="s">
        <v>2253</v>
      </c>
      <c r="H312" s="616">
        <f t="shared" ref="H312:I312" ca="1" si="235">SUM(H449:H451)</f>
        <v>0</v>
      </c>
      <c r="I312" s="616">
        <f t="shared" ca="1" si="235"/>
        <v>0</v>
      </c>
      <c r="J312" s="915"/>
    </row>
    <row r="313" spans="1:10" s="607" customFormat="1" ht="15" customHeight="1">
      <c r="A313" s="994"/>
      <c r="B313" s="995"/>
      <c r="C313" s="717"/>
      <c r="D313" s="717"/>
      <c r="E313" s="614"/>
      <c r="F313" s="616">
        <f t="shared" ref="F313" ca="1" si="236">+F352</f>
        <v>0</v>
      </c>
      <c r="G313" s="718" t="s">
        <v>2254</v>
      </c>
      <c r="H313" s="616">
        <f t="shared" ref="H313:I313" ca="1" si="237">+H352</f>
        <v>0</v>
      </c>
      <c r="I313" s="616">
        <f t="shared" ca="1" si="237"/>
        <v>0</v>
      </c>
      <c r="J313" s="915"/>
    </row>
    <row r="314" spans="1:10" s="607" customFormat="1" ht="15" customHeight="1">
      <c r="A314" s="994"/>
      <c r="B314" s="995"/>
      <c r="C314" s="540" t="s">
        <v>2175</v>
      </c>
      <c r="D314" s="540"/>
      <c r="E314" s="614"/>
      <c r="F314" s="616">
        <f t="shared" ref="F314" ca="1" si="238">F315+F316</f>
        <v>0</v>
      </c>
      <c r="G314" s="615">
        <f t="shared" ref="G314:G331" ca="1" si="239">SUM(H314:J314)</f>
        <v>0</v>
      </c>
      <c r="H314" s="616">
        <f t="shared" ref="H314:I314" ca="1" si="240">H315+H316</f>
        <v>0</v>
      </c>
      <c r="I314" s="616">
        <f t="shared" ca="1" si="240"/>
        <v>0</v>
      </c>
      <c r="J314" s="915"/>
    </row>
    <row r="315" spans="1:10" s="607" customFormat="1" ht="15" customHeight="1">
      <c r="A315" s="994"/>
      <c r="B315" s="995"/>
      <c r="C315" s="617" t="s">
        <v>2176</v>
      </c>
      <c r="D315" s="540"/>
      <c r="E315" s="614"/>
      <c r="F315" s="616">
        <f ca="1">IF(F306="積上げ",0,F392)</f>
        <v>0</v>
      </c>
      <c r="G315" s="615">
        <f t="shared" ca="1" si="239"/>
        <v>0</v>
      </c>
      <c r="H315" s="616">
        <f ca="1">IF(H306="積上げ",0,H392)</f>
        <v>0</v>
      </c>
      <c r="I315" s="616">
        <f t="shared" ref="I315" ca="1" si="241">IF(I306="積上げ",0,I392)</f>
        <v>0</v>
      </c>
      <c r="J315" s="915"/>
    </row>
    <row r="316" spans="1:10" s="607" customFormat="1" ht="15" customHeight="1">
      <c r="A316" s="994"/>
      <c r="B316" s="995"/>
      <c r="C316" s="617" t="s">
        <v>2182</v>
      </c>
      <c r="D316" s="540"/>
      <c r="E316" s="614"/>
      <c r="F316" s="616">
        <f ca="1">+F100+F24</f>
        <v>0</v>
      </c>
      <c r="G316" s="615">
        <f t="shared" ca="1" si="239"/>
        <v>0</v>
      </c>
      <c r="H316" s="616">
        <f t="shared" ref="H316:I318" ca="1" si="242">+H100+H24</f>
        <v>0</v>
      </c>
      <c r="I316" s="616">
        <f t="shared" ca="1" si="242"/>
        <v>0</v>
      </c>
      <c r="J316" s="915"/>
    </row>
    <row r="317" spans="1:10" s="607" customFormat="1" ht="15" customHeight="1">
      <c r="A317" s="994"/>
      <c r="B317" s="995"/>
      <c r="C317" s="621" t="s">
        <v>2356</v>
      </c>
      <c r="D317" s="540"/>
      <c r="E317" s="614"/>
      <c r="F317" s="616">
        <f ca="1">+F101+F25</f>
        <v>0</v>
      </c>
      <c r="G317" s="615">
        <f t="shared" ca="1" si="239"/>
        <v>0</v>
      </c>
      <c r="H317" s="616">
        <f t="shared" ca="1" si="242"/>
        <v>0</v>
      </c>
      <c r="I317" s="616">
        <f t="shared" ca="1" si="242"/>
        <v>0</v>
      </c>
      <c r="J317" s="915"/>
    </row>
    <row r="318" spans="1:10" s="607" customFormat="1" ht="15" customHeight="1">
      <c r="A318" s="994"/>
      <c r="B318" s="995"/>
      <c r="C318" s="622" t="s">
        <v>2184</v>
      </c>
      <c r="D318" s="623"/>
      <c r="E318" s="624"/>
      <c r="F318" s="616">
        <f ca="1">+F102+F26</f>
        <v>0</v>
      </c>
      <c r="G318" s="625">
        <f t="shared" ca="1" si="239"/>
        <v>0</v>
      </c>
      <c r="H318" s="616">
        <f t="shared" ca="1" si="242"/>
        <v>0</v>
      </c>
      <c r="I318" s="616">
        <f t="shared" ca="1" si="242"/>
        <v>0</v>
      </c>
      <c r="J318" s="915"/>
    </row>
    <row r="319" spans="1:10" s="607" customFormat="1" ht="15" customHeight="1">
      <c r="A319" s="719"/>
      <c r="B319" s="720"/>
      <c r="C319" s="721" t="s">
        <v>2255</v>
      </c>
      <c r="D319" s="722"/>
      <c r="E319" s="637"/>
      <c r="F319" s="723">
        <f t="shared" ref="F319" ca="1" si="243">+F353</f>
        <v>0</v>
      </c>
      <c r="G319" s="638">
        <f t="shared" ca="1" si="239"/>
        <v>0</v>
      </c>
      <c r="H319" s="723">
        <f t="shared" ref="H319:I319" ca="1" si="244">+H353</f>
        <v>0</v>
      </c>
      <c r="I319" s="723">
        <f t="shared" ca="1" si="244"/>
        <v>0</v>
      </c>
      <c r="J319" s="915"/>
    </row>
    <row r="320" spans="1:10" s="607" customFormat="1" ht="15" customHeight="1">
      <c r="A320" s="994"/>
      <c r="B320" s="623" t="s">
        <v>2256</v>
      </c>
      <c r="C320" s="623"/>
      <c r="D320" s="623"/>
      <c r="E320" s="624"/>
      <c r="F320" s="724">
        <f t="shared" ref="F320" ca="1" si="245">F321+F326</f>
        <v>0</v>
      </c>
      <c r="G320" s="625">
        <f t="shared" ca="1" si="239"/>
        <v>0</v>
      </c>
      <c r="H320" s="724">
        <f t="shared" ref="H320:I320" ca="1" si="246">H321+H326</f>
        <v>0</v>
      </c>
      <c r="I320" s="724">
        <f t="shared" ca="1" si="246"/>
        <v>0</v>
      </c>
      <c r="J320" s="915"/>
    </row>
    <row r="321" spans="1:10" s="607" customFormat="1" ht="15" customHeight="1">
      <c r="A321" s="994"/>
      <c r="B321" s="995"/>
      <c r="C321" s="538" t="s">
        <v>2257</v>
      </c>
      <c r="D321" s="538"/>
      <c r="E321" s="600"/>
      <c r="F321" s="725">
        <f t="shared" ref="F321" ca="1" si="247">F322+F325</f>
        <v>0</v>
      </c>
      <c r="G321" s="613">
        <f t="shared" ca="1" si="239"/>
        <v>0</v>
      </c>
      <c r="H321" s="725">
        <f t="shared" ref="H321:I321" ca="1" si="248">H322+H325</f>
        <v>0</v>
      </c>
      <c r="I321" s="725">
        <f t="shared" ca="1" si="248"/>
        <v>0</v>
      </c>
      <c r="J321" s="915"/>
    </row>
    <row r="322" spans="1:10" s="607" customFormat="1" ht="15" customHeight="1">
      <c r="A322" s="994"/>
      <c r="B322" s="995"/>
      <c r="C322" s="1179" t="s">
        <v>2258</v>
      </c>
      <c r="D322" s="1179"/>
      <c r="E322" s="604"/>
      <c r="F322" s="726">
        <f t="shared" ref="F322" ca="1" si="249">SUM(F323:F324)-F325</f>
        <v>0</v>
      </c>
      <c r="G322" s="615">
        <f t="shared" ca="1" si="239"/>
        <v>0</v>
      </c>
      <c r="H322" s="726">
        <f t="shared" ref="H322" ca="1" si="250">SUM(H323:H324)-H325</f>
        <v>0</v>
      </c>
      <c r="I322" s="726">
        <f t="shared" ref="I322" ca="1" si="251">SUM(I323:I324)-I325</f>
        <v>0</v>
      </c>
      <c r="J322" s="915"/>
    </row>
    <row r="323" spans="1:10" s="607" customFormat="1" ht="15" customHeight="1">
      <c r="A323" s="994"/>
      <c r="B323" s="995"/>
      <c r="C323" s="727" t="s">
        <v>2259</v>
      </c>
      <c r="D323" s="727"/>
      <c r="E323" s="614"/>
      <c r="F323" s="616">
        <f t="shared" ref="F323" ca="1" si="252">SUM(F418:F420)+F416</f>
        <v>0</v>
      </c>
      <c r="G323" s="615">
        <f t="shared" ca="1" si="239"/>
        <v>0</v>
      </c>
      <c r="H323" s="616">
        <f t="shared" ref="H323:I323" ca="1" si="253">SUM(H418:H420)+H416</f>
        <v>0</v>
      </c>
      <c r="I323" s="616">
        <f t="shared" ca="1" si="253"/>
        <v>0</v>
      </c>
      <c r="J323" s="915"/>
    </row>
    <row r="324" spans="1:10" s="607" customFormat="1" ht="15" customHeight="1">
      <c r="A324" s="994"/>
      <c r="B324" s="995"/>
      <c r="C324" s="727" t="s">
        <v>2260</v>
      </c>
      <c r="D324" s="727"/>
      <c r="E324" s="614"/>
      <c r="F324" s="616">
        <f t="shared" ref="F324" ca="1" si="254">SUM(F421:F432)</f>
        <v>0</v>
      </c>
      <c r="G324" s="615">
        <f t="shared" ca="1" si="239"/>
        <v>0</v>
      </c>
      <c r="H324" s="616">
        <f t="shared" ref="H324:I324" ca="1" si="255">SUM(H421:H432)</f>
        <v>0</v>
      </c>
      <c r="I324" s="616">
        <f t="shared" ca="1" si="255"/>
        <v>0</v>
      </c>
      <c r="J324" s="915"/>
    </row>
    <row r="325" spans="1:10" s="607" customFormat="1" ht="15" customHeight="1">
      <c r="A325" s="994"/>
      <c r="B325" s="995"/>
      <c r="C325" s="727" t="s">
        <v>2261</v>
      </c>
      <c r="D325" s="727"/>
      <c r="E325" s="614"/>
      <c r="F325" s="616">
        <f t="shared" ref="F325" ca="1" si="256">+F430</f>
        <v>0</v>
      </c>
      <c r="G325" s="615">
        <f t="shared" ca="1" si="239"/>
        <v>0</v>
      </c>
      <c r="H325" s="616">
        <f t="shared" ref="H325:I325" ca="1" si="257">+H430</f>
        <v>0</v>
      </c>
      <c r="I325" s="616">
        <f t="shared" ca="1" si="257"/>
        <v>0</v>
      </c>
      <c r="J325" s="915"/>
    </row>
    <row r="326" spans="1:10" s="607" customFormat="1" ht="15" customHeight="1">
      <c r="A326" s="994"/>
      <c r="B326" s="995"/>
      <c r="C326" s="540" t="s">
        <v>2262</v>
      </c>
      <c r="D326" s="540"/>
      <c r="E326" s="614"/>
      <c r="F326" s="616">
        <f t="shared" ref="F326" ca="1" si="258">SUM(F327:F330)</f>
        <v>0</v>
      </c>
      <c r="G326" s="615">
        <f t="shared" ca="1" si="239"/>
        <v>0</v>
      </c>
      <c r="H326" s="616">
        <f ca="1">SUM(H327:H330)</f>
        <v>0</v>
      </c>
      <c r="I326" s="616">
        <f t="shared" ref="I326" ca="1" si="259">SUM(I327:I330)</f>
        <v>0</v>
      </c>
      <c r="J326" s="915"/>
    </row>
    <row r="327" spans="1:10" s="607" customFormat="1" ht="15" customHeight="1">
      <c r="A327" s="994"/>
      <c r="B327" s="995"/>
      <c r="C327" s="727" t="s">
        <v>2259</v>
      </c>
      <c r="D327" s="727"/>
      <c r="E327" s="614"/>
      <c r="F327" s="616">
        <f t="shared" ref="F327" ca="1" si="260">IF(F454=0,0,+F454-F471)</f>
        <v>0</v>
      </c>
      <c r="G327" s="728">
        <f t="shared" ca="1" si="239"/>
        <v>0</v>
      </c>
      <c r="H327" s="616">
        <f ca="1">IF(H454=0,0,+H454-H471)</f>
        <v>0</v>
      </c>
      <c r="I327" s="616">
        <f t="shared" ref="I327" ca="1" si="261">IF(I454=0,0,+I454-I471)</f>
        <v>0</v>
      </c>
      <c r="J327" s="915"/>
    </row>
    <row r="328" spans="1:10" s="607" customFormat="1" ht="15" customHeight="1">
      <c r="A328" s="994"/>
      <c r="B328" s="995"/>
      <c r="C328" s="727" t="s">
        <v>2263</v>
      </c>
      <c r="D328" s="727"/>
      <c r="E328" s="614"/>
      <c r="F328" s="616">
        <f t="shared" ref="F328" ca="1" si="262">+F455+F456</f>
        <v>0</v>
      </c>
      <c r="G328" s="615">
        <f t="shared" ca="1" si="239"/>
        <v>0</v>
      </c>
      <c r="H328" s="616">
        <f t="shared" ref="H328:I328" ca="1" si="263">+H455+H456</f>
        <v>0</v>
      </c>
      <c r="I328" s="616">
        <f t="shared" ca="1" si="263"/>
        <v>0</v>
      </c>
      <c r="J328" s="915"/>
    </row>
    <row r="329" spans="1:10" s="607" customFormat="1" ht="15" customHeight="1">
      <c r="A329" s="994"/>
      <c r="B329" s="995"/>
      <c r="C329" s="727" t="s">
        <v>2264</v>
      </c>
      <c r="D329" s="727"/>
      <c r="E329" s="614"/>
      <c r="F329" s="616">
        <f t="shared" ref="F329" ca="1" si="264">SUM(F457:F461)</f>
        <v>0</v>
      </c>
      <c r="G329" s="615">
        <f t="shared" ca="1" si="239"/>
        <v>0</v>
      </c>
      <c r="H329" s="616">
        <f t="shared" ref="H329:I329" ca="1" si="265">SUM(H457:H461)</f>
        <v>0</v>
      </c>
      <c r="I329" s="616">
        <f t="shared" ca="1" si="265"/>
        <v>0</v>
      </c>
      <c r="J329" s="915"/>
    </row>
    <row r="330" spans="1:10" s="607" customFormat="1" ht="15" customHeight="1">
      <c r="A330" s="994"/>
      <c r="B330" s="995"/>
      <c r="C330" s="623" t="s">
        <v>2265</v>
      </c>
      <c r="D330" s="995"/>
      <c r="E330" s="624"/>
      <c r="F330" s="724">
        <f t="shared" ref="F330" ca="1" si="266">IF(F462=0,0,+F462-F471)</f>
        <v>0</v>
      </c>
      <c r="G330" s="625">
        <f t="shared" ca="1" si="239"/>
        <v>0</v>
      </c>
      <c r="H330" s="724">
        <f ca="1">IF(H462=0,0,+H462-H471)</f>
        <v>0</v>
      </c>
      <c r="I330" s="724">
        <f t="shared" ref="I330" ca="1" si="267">IF(I462=0,0,+I462-I471)</f>
        <v>0</v>
      </c>
      <c r="J330" s="915"/>
    </row>
    <row r="331" spans="1:10" s="607" customFormat="1" ht="15" customHeight="1">
      <c r="A331" s="729"/>
      <c r="B331" s="609" t="s">
        <v>2266</v>
      </c>
      <c r="C331" s="609"/>
      <c r="D331" s="609"/>
      <c r="E331" s="730"/>
      <c r="F331" s="612">
        <f t="shared" ref="F331" ca="1" si="268">F309+F320</f>
        <v>0</v>
      </c>
      <c r="G331" s="611">
        <f t="shared" ca="1" si="239"/>
        <v>0</v>
      </c>
      <c r="H331" s="612">
        <f ca="1">H309+H320</f>
        <v>0</v>
      </c>
      <c r="I331" s="612">
        <f t="shared" ref="I331" ca="1" si="269">I309+I320</f>
        <v>0</v>
      </c>
      <c r="J331" s="915"/>
    </row>
    <row r="332" spans="1:10" s="607" customFormat="1" ht="15" customHeight="1">
      <c r="A332" s="731"/>
      <c r="B332" s="995"/>
      <c r="C332" s="732" t="s">
        <v>2267</v>
      </c>
      <c r="D332" s="732"/>
      <c r="E332" s="733"/>
      <c r="F332" s="735"/>
      <c r="G332" s="711"/>
      <c r="H332" s="734" t="s">
        <v>2268</v>
      </c>
      <c r="I332" s="735"/>
    </row>
    <row r="333" spans="1:10" s="607" customFormat="1" ht="15" customHeight="1">
      <c r="A333" s="595"/>
      <c r="B333" s="596"/>
      <c r="C333" s="596"/>
      <c r="D333" s="596"/>
      <c r="E333" s="736"/>
      <c r="F333" s="1009" t="e">
        <f t="shared" ref="F333" si="270">+F304</f>
        <v>#VALUE!</v>
      </c>
      <c r="G333" s="737" t="s">
        <v>2165</v>
      </c>
      <c r="H333" s="900">
        <f>+H304</f>
        <v>0</v>
      </c>
      <c r="I333" s="738">
        <f t="shared" ref="I333" si="271">+I304</f>
        <v>0</v>
      </c>
      <c r="J333" s="915"/>
    </row>
    <row r="334" spans="1:10" s="607" customFormat="1" ht="15" customHeight="1">
      <c r="A334" s="626" t="s">
        <v>2185</v>
      </c>
      <c r="B334" s="627"/>
      <c r="C334" s="627"/>
      <c r="D334" s="627"/>
      <c r="E334" s="817"/>
      <c r="F334" s="1018"/>
      <c r="G334" s="901"/>
      <c r="H334" s="902"/>
      <c r="I334" s="902"/>
      <c r="J334" s="915"/>
    </row>
    <row r="335" spans="1:10" s="607" customFormat="1" ht="15" customHeight="1">
      <c r="A335" s="991"/>
      <c r="B335" s="2158" t="s">
        <v>2186</v>
      </c>
      <c r="C335" s="539" t="s">
        <v>2187</v>
      </c>
      <c r="D335" s="539"/>
      <c r="E335" s="600"/>
      <c r="F335" s="1014">
        <f t="shared" ref="F335:F354" si="272">+F119+F28</f>
        <v>0</v>
      </c>
      <c r="G335" s="613">
        <f t="shared" ref="G335:G354" si="273">SUM(H335:J335)</f>
        <v>0</v>
      </c>
      <c r="H335" s="725">
        <f t="shared" ref="H335:I350" si="274">+H119+H28</f>
        <v>0</v>
      </c>
      <c r="I335" s="725">
        <f t="shared" si="274"/>
        <v>0</v>
      </c>
      <c r="J335" s="915"/>
    </row>
    <row r="336" spans="1:10" s="607" customFormat="1" ht="15" customHeight="1">
      <c r="A336" s="967"/>
      <c r="B336" s="2139"/>
      <c r="C336" s="541" t="s">
        <v>2188</v>
      </c>
      <c r="D336" s="541"/>
      <c r="E336" s="614"/>
      <c r="F336" s="1003">
        <f t="shared" si="272"/>
        <v>0</v>
      </c>
      <c r="G336" s="615">
        <f t="shared" si="273"/>
        <v>0</v>
      </c>
      <c r="H336" s="616">
        <f t="shared" si="274"/>
        <v>0</v>
      </c>
      <c r="I336" s="616">
        <f t="shared" si="274"/>
        <v>0</v>
      </c>
      <c r="J336" s="915"/>
    </row>
    <row r="337" spans="1:10" s="607" customFormat="1" ht="15" customHeight="1">
      <c r="A337" s="967"/>
      <c r="B337" s="2139"/>
      <c r="C337" s="632" t="s">
        <v>2189</v>
      </c>
      <c r="D337" s="541"/>
      <c r="E337" s="614"/>
      <c r="F337" s="1003">
        <f t="shared" ca="1" si="272"/>
        <v>0</v>
      </c>
      <c r="G337" s="615">
        <f t="shared" ca="1" si="273"/>
        <v>0</v>
      </c>
      <c r="H337" s="616">
        <f t="shared" ca="1" si="274"/>
        <v>0</v>
      </c>
      <c r="I337" s="616">
        <f t="shared" ca="1" si="274"/>
        <v>0</v>
      </c>
      <c r="J337" s="915"/>
    </row>
    <row r="338" spans="1:10" s="607" customFormat="1" ht="15" customHeight="1">
      <c r="A338" s="967"/>
      <c r="B338" s="2138"/>
      <c r="C338" s="632" t="s">
        <v>2190</v>
      </c>
      <c r="D338" s="541"/>
      <c r="E338" s="614"/>
      <c r="F338" s="1003">
        <f t="shared" ca="1" si="272"/>
        <v>0</v>
      </c>
      <c r="G338" s="615">
        <f t="shared" ca="1" si="273"/>
        <v>0</v>
      </c>
      <c r="H338" s="616">
        <f t="shared" ca="1" si="274"/>
        <v>0</v>
      </c>
      <c r="I338" s="616">
        <f t="shared" ca="1" si="274"/>
        <v>0</v>
      </c>
      <c r="J338" s="915"/>
    </row>
    <row r="339" spans="1:10" s="607" customFormat="1" ht="15" customHeight="1">
      <c r="A339" s="967"/>
      <c r="B339" s="2137" t="s">
        <v>2191</v>
      </c>
      <c r="C339" s="540" t="s">
        <v>2192</v>
      </c>
      <c r="D339" s="541"/>
      <c r="E339" s="614"/>
      <c r="F339" s="1003">
        <f t="shared" ca="1" si="272"/>
        <v>0</v>
      </c>
      <c r="G339" s="615">
        <f t="shared" ca="1" si="273"/>
        <v>0</v>
      </c>
      <c r="H339" s="616">
        <f t="shared" ca="1" si="274"/>
        <v>0</v>
      </c>
      <c r="I339" s="616">
        <f t="shared" ca="1" si="274"/>
        <v>0</v>
      </c>
      <c r="J339" s="915"/>
    </row>
    <row r="340" spans="1:10" s="607" customFormat="1" ht="13.5" customHeight="1">
      <c r="A340" s="967"/>
      <c r="B340" s="2139"/>
      <c r="C340" s="540" t="s">
        <v>2193</v>
      </c>
      <c r="D340" s="541"/>
      <c r="E340" s="614"/>
      <c r="F340" s="1003">
        <f t="shared" ca="1" si="272"/>
        <v>0</v>
      </c>
      <c r="G340" s="615">
        <f t="shared" ca="1" si="273"/>
        <v>0</v>
      </c>
      <c r="H340" s="616">
        <f t="shared" ca="1" si="274"/>
        <v>0</v>
      </c>
      <c r="I340" s="616">
        <f t="shared" ca="1" si="274"/>
        <v>0</v>
      </c>
      <c r="J340" s="915"/>
    </row>
    <row r="341" spans="1:10" s="607" customFormat="1" ht="13.5" customHeight="1">
      <c r="A341" s="967"/>
      <c r="B341" s="2139"/>
      <c r="C341" s="541" t="s">
        <v>2194</v>
      </c>
      <c r="D341" s="541"/>
      <c r="E341" s="614"/>
      <c r="F341" s="1003">
        <f t="shared" ca="1" si="272"/>
        <v>0</v>
      </c>
      <c r="G341" s="615">
        <f t="shared" ca="1" si="273"/>
        <v>0</v>
      </c>
      <c r="H341" s="616">
        <f t="shared" ca="1" si="274"/>
        <v>0</v>
      </c>
      <c r="I341" s="616">
        <f t="shared" ca="1" si="274"/>
        <v>0</v>
      </c>
      <c r="J341" s="915"/>
    </row>
    <row r="342" spans="1:10" s="607" customFormat="1" ht="13.5" customHeight="1">
      <c r="A342" s="967"/>
      <c r="B342" s="2139"/>
      <c r="C342" s="541" t="s">
        <v>2195</v>
      </c>
      <c r="D342" s="541"/>
      <c r="E342" s="614"/>
      <c r="F342" s="1003">
        <f t="shared" si="272"/>
        <v>0</v>
      </c>
      <c r="G342" s="615">
        <f t="shared" si="273"/>
        <v>0</v>
      </c>
      <c r="H342" s="616">
        <f t="shared" si="274"/>
        <v>0</v>
      </c>
      <c r="I342" s="616">
        <f t="shared" si="274"/>
        <v>0</v>
      </c>
      <c r="J342" s="915"/>
    </row>
    <row r="343" spans="1:10" s="607" customFormat="1" ht="13.5" customHeight="1">
      <c r="A343" s="967"/>
      <c r="B343" s="2139"/>
      <c r="C343" s="541" t="s">
        <v>2196</v>
      </c>
      <c r="D343" s="541"/>
      <c r="E343" s="614"/>
      <c r="F343" s="1003">
        <f t="shared" si="272"/>
        <v>0</v>
      </c>
      <c r="G343" s="615">
        <f t="shared" si="273"/>
        <v>0</v>
      </c>
      <c r="H343" s="616">
        <f t="shared" si="274"/>
        <v>0</v>
      </c>
      <c r="I343" s="616">
        <f t="shared" si="274"/>
        <v>0</v>
      </c>
      <c r="J343" s="915"/>
    </row>
    <row r="344" spans="1:10" s="607" customFormat="1" ht="13.5" customHeight="1">
      <c r="A344" s="967"/>
      <c r="B344" s="2139"/>
      <c r="C344" s="541" t="s">
        <v>2197</v>
      </c>
      <c r="D344" s="541"/>
      <c r="E344" s="614"/>
      <c r="F344" s="1003">
        <f t="shared" ca="1" si="272"/>
        <v>0</v>
      </c>
      <c r="G344" s="615">
        <f t="shared" ca="1" si="273"/>
        <v>0</v>
      </c>
      <c r="H344" s="616">
        <f t="shared" ca="1" si="274"/>
        <v>0</v>
      </c>
      <c r="I344" s="616">
        <f t="shared" ca="1" si="274"/>
        <v>0</v>
      </c>
      <c r="J344" s="915"/>
    </row>
    <row r="345" spans="1:10" s="607" customFormat="1" ht="13.5" customHeight="1">
      <c r="A345" s="967"/>
      <c r="B345" s="2139"/>
      <c r="C345" s="633" t="s">
        <v>2198</v>
      </c>
      <c r="D345" s="541"/>
      <c r="E345" s="614"/>
      <c r="F345" s="1003">
        <f t="shared" si="272"/>
        <v>0</v>
      </c>
      <c r="G345" s="615">
        <f t="shared" si="273"/>
        <v>0</v>
      </c>
      <c r="H345" s="616">
        <f t="shared" si="274"/>
        <v>0</v>
      </c>
      <c r="I345" s="616">
        <f t="shared" si="274"/>
        <v>0</v>
      </c>
      <c r="J345" s="915"/>
    </row>
    <row r="346" spans="1:10" s="607" customFormat="1" ht="13.5" customHeight="1">
      <c r="A346" s="967"/>
      <c r="B346" s="2139"/>
      <c r="C346" s="634" t="s">
        <v>2199</v>
      </c>
      <c r="D346" s="541"/>
      <c r="E346" s="614"/>
      <c r="F346" s="1003">
        <f t="shared" si="272"/>
        <v>0</v>
      </c>
      <c r="G346" s="615">
        <f t="shared" si="273"/>
        <v>0</v>
      </c>
      <c r="H346" s="616">
        <f t="shared" si="274"/>
        <v>0</v>
      </c>
      <c r="I346" s="616">
        <f t="shared" si="274"/>
        <v>0</v>
      </c>
      <c r="J346" s="915"/>
    </row>
    <row r="347" spans="1:10" s="607" customFormat="1" ht="13.5" customHeight="1">
      <c r="A347" s="967"/>
      <c r="B347" s="2138"/>
      <c r="C347" s="541" t="s">
        <v>2200</v>
      </c>
      <c r="D347" s="541"/>
      <c r="E347" s="614"/>
      <c r="F347" s="1003">
        <f t="shared" ca="1" si="272"/>
        <v>0</v>
      </c>
      <c r="G347" s="615">
        <f t="shared" ca="1" si="273"/>
        <v>0</v>
      </c>
      <c r="H347" s="616">
        <f t="shared" ca="1" si="274"/>
        <v>0</v>
      </c>
      <c r="I347" s="616">
        <f t="shared" ca="1" si="274"/>
        <v>0</v>
      </c>
      <c r="J347" s="915"/>
    </row>
    <row r="348" spans="1:10" s="607" customFormat="1" ht="13.5" customHeight="1">
      <c r="A348" s="967"/>
      <c r="B348" s="2137" t="s">
        <v>2201</v>
      </c>
      <c r="C348" s="632" t="s">
        <v>2202</v>
      </c>
      <c r="D348" s="541"/>
      <c r="E348" s="614"/>
      <c r="F348" s="1003">
        <f t="shared" ca="1" si="272"/>
        <v>0</v>
      </c>
      <c r="G348" s="615">
        <f t="shared" ca="1" si="273"/>
        <v>0</v>
      </c>
      <c r="H348" s="616">
        <f t="shared" ca="1" si="274"/>
        <v>0</v>
      </c>
      <c r="I348" s="616">
        <f t="shared" ca="1" si="274"/>
        <v>0</v>
      </c>
      <c r="J348" s="915"/>
    </row>
    <row r="349" spans="1:10" s="607" customFormat="1" ht="13.5" customHeight="1">
      <c r="A349" s="967"/>
      <c r="B349" s="2139"/>
      <c r="C349" s="632" t="s">
        <v>2203</v>
      </c>
      <c r="D349" s="541"/>
      <c r="E349" s="614"/>
      <c r="F349" s="1003">
        <f t="shared" ca="1" si="272"/>
        <v>0</v>
      </c>
      <c r="G349" s="615">
        <f t="shared" ca="1" si="273"/>
        <v>0</v>
      </c>
      <c r="H349" s="616">
        <f t="shared" ca="1" si="274"/>
        <v>0</v>
      </c>
      <c r="I349" s="616">
        <f t="shared" ca="1" si="274"/>
        <v>0</v>
      </c>
      <c r="J349" s="915"/>
    </row>
    <row r="350" spans="1:10" s="607" customFormat="1" ht="13.5" customHeight="1">
      <c r="A350" s="967"/>
      <c r="B350" s="2139"/>
      <c r="C350" s="541" t="s">
        <v>2204</v>
      </c>
      <c r="D350" s="541"/>
      <c r="E350" s="614"/>
      <c r="F350" s="1003">
        <f t="shared" ca="1" si="272"/>
        <v>0</v>
      </c>
      <c r="G350" s="615">
        <f t="shared" ca="1" si="273"/>
        <v>0</v>
      </c>
      <c r="H350" s="616">
        <f t="shared" ca="1" si="274"/>
        <v>0</v>
      </c>
      <c r="I350" s="616">
        <f t="shared" ca="1" si="274"/>
        <v>0</v>
      </c>
      <c r="J350" s="915"/>
    </row>
    <row r="351" spans="1:10" s="607" customFormat="1" ht="13.5" customHeight="1">
      <c r="A351" s="967"/>
      <c r="B351" s="2139"/>
      <c r="C351" s="541" t="s">
        <v>2357</v>
      </c>
      <c r="D351" s="541"/>
      <c r="E351" s="614"/>
      <c r="F351" s="1003">
        <f t="shared" ca="1" si="272"/>
        <v>0</v>
      </c>
      <c r="G351" s="615">
        <f t="shared" ca="1" si="273"/>
        <v>0</v>
      </c>
      <c r="H351" s="616">
        <f t="shared" ref="H351:I354" ca="1" si="275">+H135+H44</f>
        <v>0</v>
      </c>
      <c r="I351" s="616">
        <f t="shared" ca="1" si="275"/>
        <v>0</v>
      </c>
      <c r="J351" s="915"/>
    </row>
    <row r="352" spans="1:10" s="607" customFormat="1" ht="13.5" customHeight="1">
      <c r="A352" s="967"/>
      <c r="B352" s="2139"/>
      <c r="C352" s="1178" t="s">
        <v>2206</v>
      </c>
      <c r="D352" s="1178"/>
      <c r="E352" s="635"/>
      <c r="F352" s="1003">
        <f t="shared" ca="1" si="272"/>
        <v>0</v>
      </c>
      <c r="G352" s="615">
        <f t="shared" ca="1" si="273"/>
        <v>0</v>
      </c>
      <c r="H352" s="616">
        <f t="shared" ca="1" si="275"/>
        <v>0</v>
      </c>
      <c r="I352" s="616">
        <f t="shared" ca="1" si="275"/>
        <v>0</v>
      </c>
      <c r="J352" s="915"/>
    </row>
    <row r="353" spans="1:10" s="607" customFormat="1" ht="13.5" customHeight="1">
      <c r="A353" s="967"/>
      <c r="B353" s="2139"/>
      <c r="C353" s="1178" t="s">
        <v>2207</v>
      </c>
      <c r="D353" s="1178"/>
      <c r="E353" s="635"/>
      <c r="F353" s="1003">
        <f t="shared" ca="1" si="272"/>
        <v>0</v>
      </c>
      <c r="G353" s="615">
        <f t="shared" ca="1" si="273"/>
        <v>0</v>
      </c>
      <c r="H353" s="616">
        <f t="shared" ca="1" si="275"/>
        <v>0</v>
      </c>
      <c r="I353" s="616">
        <f t="shared" ca="1" si="275"/>
        <v>0</v>
      </c>
      <c r="J353" s="915"/>
    </row>
    <row r="354" spans="1:10" s="607" customFormat="1" ht="13.5" customHeight="1">
      <c r="A354" s="968"/>
      <c r="B354" s="2140"/>
      <c r="C354" s="636" t="s">
        <v>2208</v>
      </c>
      <c r="D354" s="636"/>
      <c r="E354" s="637"/>
      <c r="F354" s="1013">
        <f t="shared" ca="1" si="272"/>
        <v>0</v>
      </c>
      <c r="G354" s="638">
        <f t="shared" ca="1" si="273"/>
        <v>0</v>
      </c>
      <c r="H354" s="723">
        <f t="shared" ca="1" si="275"/>
        <v>0</v>
      </c>
      <c r="I354" s="723">
        <f t="shared" ca="1" si="275"/>
        <v>0</v>
      </c>
      <c r="J354" s="915"/>
    </row>
    <row r="355" spans="1:10" s="607" customFormat="1" ht="13.5" customHeight="1">
      <c r="A355" s="995"/>
      <c r="B355" s="995"/>
      <c r="C355" s="739" t="s">
        <v>2269</v>
      </c>
      <c r="D355" s="739"/>
      <c r="E355" s="622"/>
      <c r="F355" s="713"/>
      <c r="G355" s="711"/>
      <c r="H355" s="713"/>
      <c r="I355" s="713"/>
      <c r="J355" s="740" t="s">
        <v>2358</v>
      </c>
    </row>
    <row r="356" spans="1:10" s="607" customFormat="1" ht="13.5" customHeight="1">
      <c r="A356" s="995"/>
      <c r="B356" s="995"/>
      <c r="C356" s="627" t="s">
        <v>2271</v>
      </c>
      <c r="D356" s="627"/>
      <c r="E356" s="622"/>
      <c r="F356" s="713"/>
      <c r="G356" s="711"/>
      <c r="H356" s="713"/>
      <c r="I356" s="713"/>
    </row>
    <row r="357" spans="1:10" s="607" customFormat="1" ht="13.5" customHeight="1">
      <c r="A357" s="595"/>
      <c r="B357" s="596"/>
      <c r="C357" s="596"/>
      <c r="D357" s="1211" t="s">
        <v>2272</v>
      </c>
      <c r="E357" s="1211" t="s">
        <v>2273</v>
      </c>
      <c r="F357" s="738" t="e">
        <f t="shared" ref="F357" si="276">+F304</f>
        <v>#VALUE!</v>
      </c>
      <c r="G357" s="737" t="s">
        <v>2165</v>
      </c>
      <c r="H357" s="900">
        <f>+H304</f>
        <v>0</v>
      </c>
      <c r="I357" s="738">
        <f t="shared" ref="I357" si="277">+I304</f>
        <v>0</v>
      </c>
      <c r="J357" s="915"/>
    </row>
    <row r="358" spans="1:10" s="607" customFormat="1" ht="13.5" customHeight="1">
      <c r="A358" s="2170" t="s">
        <v>2274</v>
      </c>
      <c r="B358" s="2178"/>
      <c r="C358" s="2179"/>
      <c r="D358" s="971"/>
      <c r="E358" s="971"/>
      <c r="F358" s="742"/>
      <c r="G358" s="741"/>
      <c r="H358" s="742"/>
      <c r="I358" s="742"/>
      <c r="J358" s="915"/>
    </row>
    <row r="359" spans="1:10" s="607" customFormat="1" ht="13.5" customHeight="1">
      <c r="A359" s="972"/>
      <c r="B359" s="743" t="s">
        <v>2359</v>
      </c>
      <c r="C359" s="744"/>
      <c r="D359" s="745"/>
      <c r="E359" s="746"/>
      <c r="F359" s="748">
        <f t="shared" ref="F359" ca="1" si="278">SUM(F335:F347)+F351</f>
        <v>0</v>
      </c>
      <c r="G359" s="747">
        <f t="shared" ref="G359:G366" ca="1" si="279">SUM(H359:J359)</f>
        <v>0</v>
      </c>
      <c r="H359" s="748">
        <f ca="1">SUM(H335:H347)+H351</f>
        <v>0</v>
      </c>
      <c r="I359" s="748">
        <f t="shared" ref="I359" ca="1" si="280">SUM(I335:I347)+I351</f>
        <v>0</v>
      </c>
      <c r="J359" s="915"/>
    </row>
    <row r="360" spans="1:10" s="607" customFormat="1" ht="13.5" customHeight="1">
      <c r="A360" s="973"/>
      <c r="B360" s="2137" t="s">
        <v>2186</v>
      </c>
      <c r="C360" s="749" t="s">
        <v>2187</v>
      </c>
      <c r="D360" s="750">
        <v>1</v>
      </c>
      <c r="E360" s="751" t="s">
        <v>2276</v>
      </c>
      <c r="F360" s="616">
        <f>IF(F306="積上げ",0,+F335)</f>
        <v>0</v>
      </c>
      <c r="G360" s="615">
        <f t="shared" si="279"/>
        <v>0</v>
      </c>
      <c r="H360" s="616">
        <f t="shared" ref="H360:I360" si="281">IF(H306="積上げ",0,+H335)</f>
        <v>0</v>
      </c>
      <c r="I360" s="616">
        <f t="shared" si="281"/>
        <v>0</v>
      </c>
      <c r="J360" s="915"/>
    </row>
    <row r="361" spans="1:10" s="607" customFormat="1" ht="13.5" customHeight="1">
      <c r="A361" s="973"/>
      <c r="B361" s="2139"/>
      <c r="C361" s="749" t="s">
        <v>2188</v>
      </c>
      <c r="D361" s="750">
        <v>1</v>
      </c>
      <c r="E361" s="751" t="s">
        <v>2276</v>
      </c>
      <c r="F361" s="616">
        <f>IF(F306="積上げ",0,+F336)</f>
        <v>0</v>
      </c>
      <c r="G361" s="615">
        <f t="shared" si="279"/>
        <v>0</v>
      </c>
      <c r="H361" s="616">
        <f t="shared" ref="H361:I361" si="282">IF(H306="積上げ",0,+H336)</f>
        <v>0</v>
      </c>
      <c r="I361" s="616">
        <f t="shared" si="282"/>
        <v>0</v>
      </c>
      <c r="J361" s="915"/>
    </row>
    <row r="362" spans="1:10" s="607" customFormat="1" ht="14">
      <c r="A362" s="973"/>
      <c r="B362" s="2139"/>
      <c r="C362" s="749" t="s">
        <v>2277</v>
      </c>
      <c r="D362" s="750">
        <v>0.9</v>
      </c>
      <c r="E362" s="751" t="s">
        <v>2276</v>
      </c>
      <c r="F362" s="616">
        <f ca="1">IF(F306="積上げ",0,+F337)</f>
        <v>0</v>
      </c>
      <c r="G362" s="615">
        <f t="shared" ca="1" si="279"/>
        <v>0</v>
      </c>
      <c r="H362" s="616">
        <f t="shared" ref="H362:I362" ca="1" si="283">IF(H306="積上げ",0,+H337)</f>
        <v>0</v>
      </c>
      <c r="I362" s="616">
        <f t="shared" ca="1" si="283"/>
        <v>0</v>
      </c>
      <c r="J362" s="915"/>
    </row>
    <row r="363" spans="1:10" s="607" customFormat="1" ht="14">
      <c r="A363" s="973"/>
      <c r="B363" s="2138"/>
      <c r="C363" s="749" t="s">
        <v>2278</v>
      </c>
      <c r="D363" s="750">
        <v>0.9</v>
      </c>
      <c r="E363" s="751" t="s">
        <v>2276</v>
      </c>
      <c r="F363" s="616">
        <f ca="1">IF(F306="積上げ",0,+F338)</f>
        <v>0</v>
      </c>
      <c r="G363" s="615">
        <f t="shared" ca="1" si="279"/>
        <v>0</v>
      </c>
      <c r="H363" s="616">
        <f t="shared" ref="H363:I363" ca="1" si="284">IF(H306="積上げ",0,+H338)</f>
        <v>0</v>
      </c>
      <c r="I363" s="616">
        <f t="shared" ca="1" si="284"/>
        <v>0</v>
      </c>
      <c r="J363" s="915"/>
    </row>
    <row r="364" spans="1:10" s="607" customFormat="1" ht="14">
      <c r="A364" s="973"/>
      <c r="B364" s="2163" t="s">
        <v>2191</v>
      </c>
      <c r="C364" s="749" t="s">
        <v>2279</v>
      </c>
      <c r="D364" s="750">
        <v>1</v>
      </c>
      <c r="E364" s="752">
        <v>0.01</v>
      </c>
      <c r="F364" s="616">
        <f ca="1">IF(F306="積上げ",0,+F339)</f>
        <v>0</v>
      </c>
      <c r="G364" s="615">
        <f t="shared" ca="1" si="279"/>
        <v>0</v>
      </c>
      <c r="H364" s="616">
        <f t="shared" ref="H364:I364" ca="1" si="285">IF(H306="積上げ",0,+H339)</f>
        <v>0</v>
      </c>
      <c r="I364" s="616">
        <f t="shared" ca="1" si="285"/>
        <v>0</v>
      </c>
      <c r="J364" s="915"/>
    </row>
    <row r="365" spans="1:10" s="607" customFormat="1" ht="14">
      <c r="A365" s="973"/>
      <c r="B365" s="2164"/>
      <c r="C365" s="749" t="s">
        <v>2280</v>
      </c>
      <c r="D365" s="750">
        <v>1</v>
      </c>
      <c r="E365" s="752">
        <v>0.01</v>
      </c>
      <c r="F365" s="616">
        <f ca="1">IF(F306="積上げ",0,F340)</f>
        <v>0</v>
      </c>
      <c r="G365" s="615">
        <f t="shared" ca="1" si="279"/>
        <v>0</v>
      </c>
      <c r="H365" s="616">
        <f t="shared" ref="H365:I365" ca="1" si="286">IF(H306="積上げ",0,H340)</f>
        <v>0</v>
      </c>
      <c r="I365" s="616">
        <f t="shared" ca="1" si="286"/>
        <v>0</v>
      </c>
      <c r="J365" s="915"/>
    </row>
    <row r="366" spans="1:10" s="607" customFormat="1" ht="14">
      <c r="A366" s="973"/>
      <c r="B366" s="2164"/>
      <c r="C366" s="749" t="s">
        <v>2194</v>
      </c>
      <c r="D366" s="750">
        <v>1</v>
      </c>
      <c r="E366" s="752">
        <v>0.01</v>
      </c>
      <c r="F366" s="616">
        <f ca="1">IF(F306="積上げ",0,F341)</f>
        <v>0</v>
      </c>
      <c r="G366" s="615">
        <f t="shared" ca="1" si="279"/>
        <v>0</v>
      </c>
      <c r="H366" s="616">
        <f t="shared" ref="H366:I366" ca="1" si="287">IF(H306="積上げ",0,H341)</f>
        <v>0</v>
      </c>
      <c r="I366" s="616">
        <f t="shared" ca="1" si="287"/>
        <v>0</v>
      </c>
      <c r="J366" s="915"/>
    </row>
    <row r="367" spans="1:10" s="607" customFormat="1" ht="14">
      <c r="A367" s="973"/>
      <c r="B367" s="2164"/>
      <c r="C367" s="749" t="s">
        <v>2195</v>
      </c>
      <c r="D367" s="750"/>
      <c r="E367" s="752"/>
      <c r="F367" s="616"/>
      <c r="G367" s="615"/>
      <c r="H367" s="616"/>
      <c r="I367" s="616"/>
      <c r="J367" s="915"/>
    </row>
    <row r="368" spans="1:10" s="607" customFormat="1" ht="14">
      <c r="A368" s="973"/>
      <c r="B368" s="2164"/>
      <c r="C368" s="749" t="s">
        <v>2196</v>
      </c>
      <c r="D368" s="750"/>
      <c r="E368" s="752"/>
      <c r="F368" s="616"/>
      <c r="G368" s="615"/>
      <c r="H368" s="616"/>
      <c r="I368" s="616"/>
      <c r="J368" s="915"/>
    </row>
    <row r="369" spans="1:10" s="607" customFormat="1" ht="14">
      <c r="A369" s="973"/>
      <c r="B369" s="2164"/>
      <c r="C369" s="749" t="s">
        <v>2197</v>
      </c>
      <c r="D369" s="750">
        <v>1</v>
      </c>
      <c r="E369" s="752">
        <v>0.01</v>
      </c>
      <c r="F369" s="616">
        <f ca="1">IF(F306="積上げ",0,+F344)</f>
        <v>0</v>
      </c>
      <c r="G369" s="615">
        <f ca="1">SUM(H369:J369)</f>
        <v>0</v>
      </c>
      <c r="H369" s="616">
        <f t="shared" ref="H369:I369" ca="1" si="288">IF(H306="積上げ",0,+H344)</f>
        <v>0</v>
      </c>
      <c r="I369" s="616">
        <f t="shared" ca="1" si="288"/>
        <v>0</v>
      </c>
      <c r="J369" s="915"/>
    </row>
    <row r="370" spans="1:10" s="607" customFormat="1" ht="14">
      <c r="A370" s="973"/>
      <c r="B370" s="2164"/>
      <c r="C370" s="753" t="s">
        <v>2198</v>
      </c>
      <c r="D370" s="750">
        <v>1</v>
      </c>
      <c r="E370" s="752">
        <v>0.01</v>
      </c>
      <c r="F370" s="616">
        <f>IF(F306="積上げ",0,+F345)</f>
        <v>0</v>
      </c>
      <c r="G370" s="615">
        <f>SUM(H370:J370)</f>
        <v>0</v>
      </c>
      <c r="H370" s="616">
        <f t="shared" ref="H370:I370" si="289">IF(H306="積上げ",0,+H345)</f>
        <v>0</v>
      </c>
      <c r="I370" s="616">
        <f t="shared" si="289"/>
        <v>0</v>
      </c>
      <c r="J370" s="915"/>
    </row>
    <row r="371" spans="1:10" s="607" customFormat="1" ht="14">
      <c r="A371" s="973"/>
      <c r="B371" s="2164"/>
      <c r="C371" s="753" t="s">
        <v>2199</v>
      </c>
      <c r="D371" s="750">
        <v>1</v>
      </c>
      <c r="E371" s="752">
        <v>0.01</v>
      </c>
      <c r="F371" s="616">
        <f>IF(F306="積上げ",0,+F346)</f>
        <v>0</v>
      </c>
      <c r="G371" s="615">
        <f>SUM(H371:J371)</f>
        <v>0</v>
      </c>
      <c r="H371" s="616">
        <f t="shared" ref="H371:I371" si="290">IF(H306="積上げ",0,+H346)</f>
        <v>0</v>
      </c>
      <c r="I371" s="616">
        <f t="shared" si="290"/>
        <v>0</v>
      </c>
      <c r="J371" s="915"/>
    </row>
    <row r="372" spans="1:10" s="607" customFormat="1" ht="14">
      <c r="A372" s="973"/>
      <c r="B372" s="2165"/>
      <c r="C372" s="749" t="s">
        <v>2200</v>
      </c>
      <c r="D372" s="750">
        <v>1</v>
      </c>
      <c r="E372" s="752">
        <v>0.01</v>
      </c>
      <c r="F372" s="616">
        <f ca="1">IF(F306="積上げ",0,+F347)</f>
        <v>0</v>
      </c>
      <c r="G372" s="615">
        <f ca="1">SUM(H372:J372)</f>
        <v>0</v>
      </c>
      <c r="H372" s="616">
        <f t="shared" ref="H372:I372" ca="1" si="291">IF(H306="積上げ",0,+H347)</f>
        <v>0</v>
      </c>
      <c r="I372" s="616">
        <f t="shared" ca="1" si="291"/>
        <v>0</v>
      </c>
      <c r="J372" s="915"/>
    </row>
    <row r="373" spans="1:10" s="607" customFormat="1" ht="14">
      <c r="A373" s="974"/>
      <c r="B373" s="754" t="s">
        <v>2281</v>
      </c>
      <c r="C373" s="775" t="s">
        <v>2360</v>
      </c>
      <c r="D373" s="755">
        <v>1</v>
      </c>
      <c r="E373" s="756">
        <v>0</v>
      </c>
      <c r="F373" s="723">
        <f ca="1">IF(F306="積上げ",0,SUM(F351:F354)+F348)</f>
        <v>0</v>
      </c>
      <c r="G373" s="638">
        <f ca="1">SUM(H373:J373)</f>
        <v>0</v>
      </c>
      <c r="H373" s="723">
        <f ca="1">IF(H306="積上げ",0,SUM(H351:H354)+H348)</f>
        <v>0</v>
      </c>
      <c r="I373" s="723">
        <f t="shared" ref="I373" ca="1" si="292">IF(I306="積上げ",0,SUM(I351:I354)+I348)</f>
        <v>0</v>
      </c>
      <c r="J373" s="915"/>
    </row>
    <row r="374" spans="1:10" s="607" customFormat="1" ht="14">
      <c r="A374" s="757"/>
      <c r="B374" s="758"/>
      <c r="C374" s="759"/>
      <c r="D374" s="975"/>
      <c r="E374" s="975"/>
      <c r="F374" s="748"/>
      <c r="G374" s="747"/>
      <c r="H374" s="748"/>
      <c r="I374" s="748"/>
      <c r="J374" s="915"/>
    </row>
    <row r="375" spans="1:10" s="607" customFormat="1" ht="14">
      <c r="A375" s="2170" t="s">
        <v>2283</v>
      </c>
      <c r="B375" s="2178"/>
      <c r="C375" s="2179"/>
      <c r="D375" s="976"/>
      <c r="E375" s="976"/>
      <c r="F375" s="742"/>
      <c r="G375" s="741"/>
      <c r="H375" s="742"/>
      <c r="I375" s="742"/>
      <c r="J375" s="915"/>
    </row>
    <row r="376" spans="1:10" s="607" customFormat="1" ht="14">
      <c r="A376" s="972"/>
      <c r="B376" s="2158" t="s">
        <v>2186</v>
      </c>
      <c r="C376" s="760" t="s">
        <v>2187</v>
      </c>
      <c r="D376" s="761"/>
      <c r="E376" s="762" t="s">
        <v>2276</v>
      </c>
      <c r="F376" s="764">
        <f t="shared" ref="F376" si="293">IF(F360=0,0,IF(F308="有り",+F481/100,F482/100))</f>
        <v>0</v>
      </c>
      <c r="G376" s="763" t="s">
        <v>2284</v>
      </c>
      <c r="H376" s="764">
        <f t="shared" ref="H376:I376" si="294">IF(H360=0,0,IF(H308="有り",+H481/100,H482/100))</f>
        <v>0</v>
      </c>
      <c r="I376" s="764">
        <f t="shared" si="294"/>
        <v>0</v>
      </c>
      <c r="J376" s="915"/>
    </row>
    <row r="377" spans="1:10" s="607" customFormat="1" ht="14">
      <c r="A377" s="973"/>
      <c r="B377" s="2139"/>
      <c r="C377" s="765"/>
      <c r="D377" s="766">
        <f>+D360</f>
        <v>1</v>
      </c>
      <c r="E377" s="767" t="s">
        <v>2276</v>
      </c>
      <c r="F377" s="726">
        <f>ROUNDDOWN(F360*F376*$D377,0)</f>
        <v>0</v>
      </c>
      <c r="G377" s="718">
        <f>SUM(H377:J377)</f>
        <v>0</v>
      </c>
      <c r="H377" s="726">
        <f t="shared" ref="H377:I377" si="295">ROUNDDOWN(H360*H376*$D377,0)</f>
        <v>0</v>
      </c>
      <c r="I377" s="726">
        <f t="shared" si="295"/>
        <v>0</v>
      </c>
      <c r="J377" s="915"/>
    </row>
    <row r="378" spans="1:10" s="607" customFormat="1" ht="14">
      <c r="A378" s="973"/>
      <c r="B378" s="2139"/>
      <c r="C378" s="768" t="s">
        <v>2188</v>
      </c>
      <c r="D378" s="1180"/>
      <c r="E378" s="767" t="s">
        <v>2276</v>
      </c>
      <c r="F378" s="770">
        <f t="shared" ref="F378" si="296">IF(F361=0,0,IF(F308="有り",F490/100,+F491/100))</f>
        <v>0</v>
      </c>
      <c r="G378" s="769" t="s">
        <v>2284</v>
      </c>
      <c r="H378" s="770">
        <f t="shared" ref="H378:I378" si="297">IF(H361=0,0,IF(H308="有り",H490/100,+H491/100))</f>
        <v>0</v>
      </c>
      <c r="I378" s="770">
        <f t="shared" si="297"/>
        <v>0</v>
      </c>
      <c r="J378" s="915"/>
    </row>
    <row r="379" spans="1:10" s="607" customFormat="1" ht="14">
      <c r="A379" s="973"/>
      <c r="B379" s="2139"/>
      <c r="C379" s="765"/>
      <c r="D379" s="771">
        <f t="shared" ref="D379:D384" si="298">+D361</f>
        <v>1</v>
      </c>
      <c r="E379" s="767" t="s">
        <v>2276</v>
      </c>
      <c r="F379" s="726">
        <f>ROUNDDOWN(F361*F378*$D379,0)</f>
        <v>0</v>
      </c>
      <c r="G379" s="718">
        <f t="shared" ref="G379:G384" si="299">SUM(H379:J379)</f>
        <v>0</v>
      </c>
      <c r="H379" s="726">
        <f t="shared" ref="H379:I379" si="300">ROUNDDOWN(H361*H378*$D379,0)</f>
        <v>0</v>
      </c>
      <c r="I379" s="726">
        <f t="shared" si="300"/>
        <v>0</v>
      </c>
      <c r="J379" s="915"/>
    </row>
    <row r="380" spans="1:10" s="607" customFormat="1" ht="14">
      <c r="A380" s="973"/>
      <c r="B380" s="2139"/>
      <c r="C380" s="749" t="s">
        <v>2210</v>
      </c>
      <c r="D380" s="772">
        <v>0.9</v>
      </c>
      <c r="E380" s="767" t="s">
        <v>2276</v>
      </c>
      <c r="F380" s="726">
        <f ca="1">ROUNDDOWN(F362*F376*$D380,0)</f>
        <v>0</v>
      </c>
      <c r="G380" s="718">
        <f t="shared" ca="1" si="299"/>
        <v>0</v>
      </c>
      <c r="H380" s="726">
        <f t="shared" ref="H380:I380" ca="1" si="301">ROUNDDOWN(H362*H376*$D380,0)</f>
        <v>0</v>
      </c>
      <c r="I380" s="726">
        <f t="shared" ca="1" si="301"/>
        <v>0</v>
      </c>
      <c r="J380" s="915"/>
    </row>
    <row r="381" spans="1:10" s="607" customFormat="1" ht="14">
      <c r="A381" s="973"/>
      <c r="B381" s="2138"/>
      <c r="C381" s="749" t="s">
        <v>2211</v>
      </c>
      <c r="D381" s="772">
        <v>0.9</v>
      </c>
      <c r="E381" s="767" t="s">
        <v>2276</v>
      </c>
      <c r="F381" s="726">
        <f ca="1">ROUNDDOWN(F363*F378*$D381,0)</f>
        <v>0</v>
      </c>
      <c r="G381" s="718">
        <f t="shared" ca="1" si="299"/>
        <v>0</v>
      </c>
      <c r="H381" s="726">
        <f t="shared" ref="H381:I381" ca="1" si="302">ROUNDDOWN(H363*H378*$D381,0)</f>
        <v>0</v>
      </c>
      <c r="I381" s="726">
        <f t="shared" ca="1" si="302"/>
        <v>0</v>
      </c>
      <c r="J381" s="915"/>
    </row>
    <row r="382" spans="1:10" s="607" customFormat="1" ht="14">
      <c r="A382" s="973"/>
      <c r="B382" s="2137" t="s">
        <v>2191</v>
      </c>
      <c r="C382" s="749" t="s">
        <v>2279</v>
      </c>
      <c r="D382" s="772">
        <f>+D364</f>
        <v>1</v>
      </c>
      <c r="E382" s="752">
        <f>+E364</f>
        <v>0.01</v>
      </c>
      <c r="F382" s="726">
        <f ca="1">ROUNDDOWN(F364*$E382*$D382,0)</f>
        <v>0</v>
      </c>
      <c r="G382" s="718">
        <f t="shared" ca="1" si="299"/>
        <v>0</v>
      </c>
      <c r="H382" s="726">
        <f t="shared" ref="H382:I391" ca="1" si="303">ROUNDDOWN(H364*$E382*$D382,0)</f>
        <v>0</v>
      </c>
      <c r="I382" s="726">
        <f t="shared" ca="1" si="303"/>
        <v>0</v>
      </c>
      <c r="J382" s="915"/>
    </row>
    <row r="383" spans="1:10" s="607" customFormat="1" ht="14">
      <c r="A383" s="973"/>
      <c r="B383" s="2139"/>
      <c r="C383" s="749" t="s">
        <v>2285</v>
      </c>
      <c r="D383" s="772">
        <f t="shared" si="298"/>
        <v>1</v>
      </c>
      <c r="E383" s="752">
        <f>+E365</f>
        <v>0.01</v>
      </c>
      <c r="F383" s="726">
        <f ca="1">ROUNDDOWN(F365*$E383*$D383,0)</f>
        <v>0</v>
      </c>
      <c r="G383" s="718">
        <f t="shared" ca="1" si="299"/>
        <v>0</v>
      </c>
      <c r="H383" s="726">
        <f t="shared" ca="1" si="303"/>
        <v>0</v>
      </c>
      <c r="I383" s="726">
        <f t="shared" ca="1" si="303"/>
        <v>0</v>
      </c>
      <c r="J383" s="915"/>
    </row>
    <row r="384" spans="1:10" s="607" customFormat="1" ht="14">
      <c r="A384" s="973"/>
      <c r="B384" s="2139"/>
      <c r="C384" s="749" t="s">
        <v>2194</v>
      </c>
      <c r="D384" s="772">
        <f t="shared" si="298"/>
        <v>1</v>
      </c>
      <c r="E384" s="752">
        <f>+E366</f>
        <v>0.01</v>
      </c>
      <c r="F384" s="726">
        <f ca="1">ROUNDDOWN(F366*$E384*$D384,0)</f>
        <v>0</v>
      </c>
      <c r="G384" s="718">
        <f t="shared" ca="1" si="299"/>
        <v>0</v>
      </c>
      <c r="H384" s="726">
        <f t="shared" ca="1" si="303"/>
        <v>0</v>
      </c>
      <c r="I384" s="726">
        <f t="shared" ca="1" si="303"/>
        <v>0</v>
      </c>
      <c r="J384" s="915"/>
    </row>
    <row r="385" spans="1:10" s="607" customFormat="1" ht="14">
      <c r="A385" s="973"/>
      <c r="B385" s="2139"/>
      <c r="C385" s="749" t="s">
        <v>2286</v>
      </c>
      <c r="D385" s="772"/>
      <c r="E385" s="752"/>
      <c r="F385" s="726"/>
      <c r="G385" s="615"/>
      <c r="H385" s="726"/>
      <c r="I385" s="726"/>
      <c r="J385" s="915"/>
    </row>
    <row r="386" spans="1:10" s="607" customFormat="1" ht="14">
      <c r="A386" s="973"/>
      <c r="B386" s="2139"/>
      <c r="C386" s="773" t="s">
        <v>2196</v>
      </c>
      <c r="D386" s="772"/>
      <c r="E386" s="752"/>
      <c r="F386" s="726"/>
      <c r="G386" s="615"/>
      <c r="H386" s="726"/>
      <c r="I386" s="726"/>
      <c r="J386" s="915"/>
    </row>
    <row r="387" spans="1:10" s="607" customFormat="1" ht="14">
      <c r="A387" s="973"/>
      <c r="B387" s="2139"/>
      <c r="C387" s="749" t="s">
        <v>2197</v>
      </c>
      <c r="D387" s="772">
        <f t="shared" ref="D387:E391" si="304">+D369</f>
        <v>1</v>
      </c>
      <c r="E387" s="752">
        <f t="shared" si="304"/>
        <v>0.01</v>
      </c>
      <c r="F387" s="726">
        <f ca="1">ROUNDDOWN(F369*$E387*$D387,0)</f>
        <v>0</v>
      </c>
      <c r="G387" s="718">
        <f ca="1">SUM(H387:J387)</f>
        <v>0</v>
      </c>
      <c r="H387" s="726">
        <f t="shared" ca="1" si="303"/>
        <v>0</v>
      </c>
      <c r="I387" s="726">
        <f t="shared" ca="1" si="303"/>
        <v>0</v>
      </c>
      <c r="J387" s="915"/>
    </row>
    <row r="388" spans="1:10" s="607" customFormat="1" ht="14">
      <c r="A388" s="973"/>
      <c r="B388" s="2139"/>
      <c r="C388" s="753" t="s">
        <v>2287</v>
      </c>
      <c r="D388" s="772">
        <f t="shared" si="304"/>
        <v>1</v>
      </c>
      <c r="E388" s="752">
        <f t="shared" si="304"/>
        <v>0.01</v>
      </c>
      <c r="F388" s="726">
        <f>ROUNDDOWN(F370*$E388*$D388,0)</f>
        <v>0</v>
      </c>
      <c r="G388" s="718">
        <f>SUM(H388:J388)</f>
        <v>0</v>
      </c>
      <c r="H388" s="726">
        <f t="shared" si="303"/>
        <v>0</v>
      </c>
      <c r="I388" s="726">
        <f t="shared" si="303"/>
        <v>0</v>
      </c>
      <c r="J388" s="915"/>
    </row>
    <row r="389" spans="1:10" s="607" customFormat="1" ht="14">
      <c r="A389" s="973"/>
      <c r="B389" s="2139"/>
      <c r="C389" s="753" t="s">
        <v>2288</v>
      </c>
      <c r="D389" s="772">
        <f t="shared" si="304"/>
        <v>1</v>
      </c>
      <c r="E389" s="752">
        <f t="shared" si="304"/>
        <v>0.01</v>
      </c>
      <c r="F389" s="726">
        <f>ROUNDDOWN(F371*$E389*$D389,0)</f>
        <v>0</v>
      </c>
      <c r="G389" s="718">
        <f>SUM(H389:J389)</f>
        <v>0</v>
      </c>
      <c r="H389" s="726">
        <f t="shared" si="303"/>
        <v>0</v>
      </c>
      <c r="I389" s="726">
        <f t="shared" si="303"/>
        <v>0</v>
      </c>
      <c r="J389" s="915"/>
    </row>
    <row r="390" spans="1:10" s="607" customFormat="1" ht="14">
      <c r="A390" s="973"/>
      <c r="B390" s="2138"/>
      <c r="C390" s="749" t="s">
        <v>2200</v>
      </c>
      <c r="D390" s="772">
        <f t="shared" si="304"/>
        <v>1</v>
      </c>
      <c r="E390" s="752">
        <f t="shared" si="304"/>
        <v>0.01</v>
      </c>
      <c r="F390" s="726">
        <f ca="1">ROUNDDOWN(F372*$E390*$D390,0)</f>
        <v>0</v>
      </c>
      <c r="G390" s="718">
        <f ca="1">SUM(H390:J390)</f>
        <v>0</v>
      </c>
      <c r="H390" s="726">
        <f t="shared" ca="1" si="303"/>
        <v>0</v>
      </c>
      <c r="I390" s="726">
        <f t="shared" ca="1" si="303"/>
        <v>0</v>
      </c>
      <c r="J390" s="915"/>
    </row>
    <row r="391" spans="1:10" s="607" customFormat="1" ht="15" thickBot="1">
      <c r="A391" s="977"/>
      <c r="B391" s="774" t="s">
        <v>2281</v>
      </c>
      <c r="C391" s="775" t="s">
        <v>2289</v>
      </c>
      <c r="D391" s="776">
        <f t="shared" si="304"/>
        <v>1</v>
      </c>
      <c r="E391" s="777">
        <f t="shared" si="304"/>
        <v>0</v>
      </c>
      <c r="F391" s="726">
        <f ca="1">ROUNDDOWN(F373*$E391*$D391,0)</f>
        <v>0</v>
      </c>
      <c r="G391" s="778">
        <f ca="1">ROUNDDOWN(D391*E391*G373,0)</f>
        <v>0</v>
      </c>
      <c r="H391" s="726">
        <f t="shared" ca="1" si="303"/>
        <v>0</v>
      </c>
      <c r="I391" s="726">
        <f t="shared" ca="1" si="303"/>
        <v>0</v>
      </c>
      <c r="J391" s="915"/>
    </row>
    <row r="392" spans="1:10" s="607" customFormat="1" ht="15" thickTop="1">
      <c r="A392" s="779"/>
      <c r="B392" s="780"/>
      <c r="C392" s="781" t="s">
        <v>2290</v>
      </c>
      <c r="D392" s="782"/>
      <c r="E392" s="783"/>
      <c r="F392" s="785">
        <f t="shared" ref="F392" ca="1" si="305">SUM(F379:F391)+F377</f>
        <v>0</v>
      </c>
      <c r="G392" s="784">
        <f ca="1">SUM(H392:J392)</f>
        <v>0</v>
      </c>
      <c r="H392" s="785">
        <f ca="1">SUM(H379:H391)+H377</f>
        <v>0</v>
      </c>
      <c r="I392" s="785">
        <f t="shared" ref="I392" ca="1" si="306">SUM(I379:I391)+I377</f>
        <v>0</v>
      </c>
      <c r="J392" s="915"/>
    </row>
    <row r="393" spans="1:10" s="607" customFormat="1" ht="14">
      <c r="A393" s="995"/>
      <c r="B393" s="995"/>
      <c r="C393" s="623"/>
      <c r="D393" s="623"/>
      <c r="E393" s="995"/>
      <c r="F393" s="618"/>
      <c r="G393" s="786"/>
      <c r="H393" s="618"/>
      <c r="I393" s="618"/>
    </row>
    <row r="394" spans="1:10" s="607" customFormat="1" ht="14">
      <c r="A394" s="995"/>
      <c r="B394" s="995"/>
      <c r="C394" s="739" t="s">
        <v>2361</v>
      </c>
      <c r="D394" s="739"/>
      <c r="E394" s="622"/>
      <c r="F394" s="713"/>
      <c r="G394" s="711"/>
      <c r="H394" s="713"/>
      <c r="I394" s="713"/>
      <c r="J394" s="740" t="s">
        <v>2362</v>
      </c>
    </row>
    <row r="395" spans="1:10" s="607" customFormat="1" ht="14">
      <c r="A395" s="995"/>
      <c r="B395" s="995"/>
      <c r="C395" s="627" t="s">
        <v>2293</v>
      </c>
      <c r="D395" s="627"/>
      <c r="E395" s="622"/>
      <c r="F395" s="713"/>
      <c r="G395" s="711"/>
      <c r="H395" s="713"/>
      <c r="I395" s="713"/>
    </row>
    <row r="396" spans="1:10" s="607" customFormat="1" ht="28">
      <c r="A396" s="595"/>
      <c r="B396" s="596"/>
      <c r="C396" s="596"/>
      <c r="D396" s="1211" t="s">
        <v>2272</v>
      </c>
      <c r="E396" s="1211" t="s">
        <v>2273</v>
      </c>
      <c r="F396" s="1009" t="e">
        <f t="shared" ref="F396" si="307">+F304</f>
        <v>#VALUE!</v>
      </c>
      <c r="G396" s="737" t="s">
        <v>2165</v>
      </c>
      <c r="H396" s="738">
        <f t="shared" ref="H396:I396" si="308">+H304</f>
        <v>0</v>
      </c>
      <c r="I396" s="738">
        <f t="shared" si="308"/>
        <v>0</v>
      </c>
      <c r="J396" s="915"/>
    </row>
    <row r="397" spans="1:10" s="607" customFormat="1" ht="14">
      <c r="A397" s="2170" t="s">
        <v>2978</v>
      </c>
      <c r="B397" s="2178"/>
      <c r="C397" s="2179"/>
      <c r="D397" s="971"/>
      <c r="E397" s="971"/>
      <c r="F397" s="1010"/>
      <c r="G397" s="741"/>
      <c r="H397" s="742"/>
      <c r="I397" s="742"/>
      <c r="J397" s="915"/>
    </row>
    <row r="398" spans="1:10" s="607" customFormat="1" ht="14">
      <c r="A398" s="972"/>
      <c r="B398" s="743" t="s">
        <v>2295</v>
      </c>
      <c r="C398" s="744"/>
      <c r="D398" s="745"/>
      <c r="E398" s="746"/>
      <c r="F398" s="1011">
        <f t="shared" ref="F398" ca="1" si="309">+F309-F353-F352-F348-F349</f>
        <v>0</v>
      </c>
      <c r="G398" s="747">
        <f t="shared" ref="G398:G405" ca="1" si="310">SUM(H398:J398)</f>
        <v>0</v>
      </c>
      <c r="H398" s="748">
        <f t="shared" ref="H398:I398" ca="1" si="311">+H309-H353-H352-H348-H349</f>
        <v>0</v>
      </c>
      <c r="I398" s="748">
        <f t="shared" ca="1" si="311"/>
        <v>0</v>
      </c>
      <c r="J398" s="915"/>
    </row>
    <row r="399" spans="1:10" s="607" customFormat="1" ht="14">
      <c r="A399" s="973"/>
      <c r="B399" s="2137" t="s">
        <v>2186</v>
      </c>
      <c r="C399" s="749" t="s">
        <v>2187</v>
      </c>
      <c r="D399" s="750">
        <v>1</v>
      </c>
      <c r="E399" s="751" t="s">
        <v>2276</v>
      </c>
      <c r="F399" s="1003">
        <f t="shared" ref="F399" ca="1" si="312">IF(F335&gt;=F336,+F335+F377+F316-F317-F318-F353,F335+F377)</f>
        <v>0</v>
      </c>
      <c r="G399" s="615">
        <f t="shared" ca="1" si="310"/>
        <v>0</v>
      </c>
      <c r="H399" s="616">
        <f ca="1">IF(H335&gt;=H336,+H335+H377+H316-H317-H318-H353,H335+H377)</f>
        <v>0</v>
      </c>
      <c r="I399" s="616">
        <f t="shared" ref="I399" ca="1" si="313">IF(I335&gt;=I336,+I335+I377+I316-I317-I318-I353,I335+I377)</f>
        <v>0</v>
      </c>
      <c r="J399" s="915"/>
    </row>
    <row r="400" spans="1:10" s="607" customFormat="1" ht="14">
      <c r="A400" s="973"/>
      <c r="B400" s="2139"/>
      <c r="C400" s="749" t="s">
        <v>2188</v>
      </c>
      <c r="D400" s="750">
        <v>1</v>
      </c>
      <c r="E400" s="751" t="s">
        <v>2276</v>
      </c>
      <c r="F400" s="1003">
        <f t="shared" ref="F400" si="314">IF(F335&gt;=F336,+F336+F379,F336+F379+F316-F317-F318-F353)</f>
        <v>0</v>
      </c>
      <c r="G400" s="615">
        <f t="shared" si="310"/>
        <v>0</v>
      </c>
      <c r="H400" s="616">
        <f>IF(H335&gt;=H336,+H336+H379,H336+H379+H316-H317-H318-H353)</f>
        <v>0</v>
      </c>
      <c r="I400" s="616">
        <f t="shared" ref="I400" si="315">IF(I335&gt;=I336,+I336+I379,I336+I379+I316-I317-I318-I353)</f>
        <v>0</v>
      </c>
      <c r="J400" s="915"/>
    </row>
    <row r="401" spans="1:10" s="607" customFormat="1" ht="14">
      <c r="A401" s="973"/>
      <c r="B401" s="2139"/>
      <c r="C401" s="749" t="s">
        <v>2277</v>
      </c>
      <c r="D401" s="750">
        <v>1</v>
      </c>
      <c r="E401" s="751" t="s">
        <v>2276</v>
      </c>
      <c r="F401" s="1003">
        <f t="shared" ref="F401:F405" ca="1" si="316">+F337+F380</f>
        <v>0</v>
      </c>
      <c r="G401" s="615">
        <f t="shared" ca="1" si="310"/>
        <v>0</v>
      </c>
      <c r="H401" s="616">
        <f ca="1">+H337+H380</f>
        <v>0</v>
      </c>
      <c r="I401" s="616">
        <f t="shared" ref="I401:I405" ca="1" si="317">+I337+I380</f>
        <v>0</v>
      </c>
      <c r="J401" s="915"/>
    </row>
    <row r="402" spans="1:10" s="607" customFormat="1" ht="14">
      <c r="A402" s="973"/>
      <c r="B402" s="2138"/>
      <c r="C402" s="749" t="s">
        <v>2278</v>
      </c>
      <c r="D402" s="750">
        <v>1</v>
      </c>
      <c r="E402" s="751" t="s">
        <v>2276</v>
      </c>
      <c r="F402" s="1003">
        <f t="shared" ca="1" si="316"/>
        <v>0</v>
      </c>
      <c r="G402" s="615">
        <f t="shared" ca="1" si="310"/>
        <v>0</v>
      </c>
      <c r="H402" s="616">
        <f ca="1">+H338+H381</f>
        <v>0</v>
      </c>
      <c r="I402" s="616">
        <f t="shared" ca="1" si="317"/>
        <v>0</v>
      </c>
      <c r="J402" s="915"/>
    </row>
    <row r="403" spans="1:10" s="607" customFormat="1" ht="14">
      <c r="A403" s="973"/>
      <c r="B403" s="2163" t="s">
        <v>2191</v>
      </c>
      <c r="C403" s="749" t="s">
        <v>2279</v>
      </c>
      <c r="D403" s="750">
        <v>1</v>
      </c>
      <c r="E403" s="752">
        <v>0.02</v>
      </c>
      <c r="F403" s="1003">
        <f t="shared" ca="1" si="316"/>
        <v>0</v>
      </c>
      <c r="G403" s="615">
        <f t="shared" ca="1" si="310"/>
        <v>0</v>
      </c>
      <c r="H403" s="616">
        <f ca="1">+H339+H382</f>
        <v>0</v>
      </c>
      <c r="I403" s="616">
        <f t="shared" ca="1" si="317"/>
        <v>0</v>
      </c>
      <c r="J403" s="915"/>
    </row>
    <row r="404" spans="1:10" s="607" customFormat="1" ht="14">
      <c r="A404" s="973"/>
      <c r="B404" s="2164"/>
      <c r="C404" s="749" t="s">
        <v>2280</v>
      </c>
      <c r="D404" s="750">
        <v>1</v>
      </c>
      <c r="E404" s="752">
        <v>0.02</v>
      </c>
      <c r="F404" s="1003">
        <f t="shared" ca="1" si="316"/>
        <v>0</v>
      </c>
      <c r="G404" s="615">
        <f t="shared" ca="1" si="310"/>
        <v>0</v>
      </c>
      <c r="H404" s="616">
        <f ca="1">+H340+H383</f>
        <v>0</v>
      </c>
      <c r="I404" s="616">
        <f t="shared" ca="1" si="317"/>
        <v>0</v>
      </c>
      <c r="J404" s="915"/>
    </row>
    <row r="405" spans="1:10" s="607" customFormat="1" ht="14">
      <c r="A405" s="973"/>
      <c r="B405" s="2164"/>
      <c r="C405" s="749" t="s">
        <v>2194</v>
      </c>
      <c r="D405" s="750">
        <v>1</v>
      </c>
      <c r="E405" s="752">
        <v>0.02</v>
      </c>
      <c r="F405" s="1003">
        <f t="shared" ca="1" si="316"/>
        <v>0</v>
      </c>
      <c r="G405" s="615">
        <f t="shared" ca="1" si="310"/>
        <v>0</v>
      </c>
      <c r="H405" s="616">
        <f ca="1">+H341+H384</f>
        <v>0</v>
      </c>
      <c r="I405" s="616">
        <f t="shared" ca="1" si="317"/>
        <v>0</v>
      </c>
      <c r="J405" s="915"/>
    </row>
    <row r="406" spans="1:10" s="607" customFormat="1" ht="14">
      <c r="A406" s="973"/>
      <c r="B406" s="2164"/>
      <c r="C406" s="749" t="s">
        <v>2195</v>
      </c>
      <c r="D406" s="750"/>
      <c r="E406" s="752"/>
      <c r="F406" s="1003"/>
      <c r="G406" s="615"/>
      <c r="H406" s="616"/>
      <c r="I406" s="616"/>
      <c r="J406" s="915"/>
    </row>
    <row r="407" spans="1:10" s="607" customFormat="1" ht="14">
      <c r="A407" s="973"/>
      <c r="B407" s="2164"/>
      <c r="C407" s="749" t="s">
        <v>2196</v>
      </c>
      <c r="D407" s="750"/>
      <c r="E407" s="752"/>
      <c r="F407" s="1003"/>
      <c r="G407" s="615"/>
      <c r="H407" s="616"/>
      <c r="I407" s="616"/>
      <c r="J407" s="915"/>
    </row>
    <row r="408" spans="1:10" s="607" customFormat="1" ht="14">
      <c r="A408" s="973"/>
      <c r="B408" s="2164"/>
      <c r="C408" s="749" t="s">
        <v>2197</v>
      </c>
      <c r="D408" s="750">
        <v>1</v>
      </c>
      <c r="E408" s="752">
        <v>0.02</v>
      </c>
      <c r="F408" s="1003">
        <f t="shared" ref="F408:F411" ca="1" si="318">+F344+F387</f>
        <v>0</v>
      </c>
      <c r="G408" s="615">
        <f ca="1">SUM(H408:J408)</f>
        <v>0</v>
      </c>
      <c r="H408" s="616">
        <f t="shared" ref="H408:I411" ca="1" si="319">+H344+H387</f>
        <v>0</v>
      </c>
      <c r="I408" s="616">
        <f t="shared" ca="1" si="319"/>
        <v>0</v>
      </c>
      <c r="J408" s="915"/>
    </row>
    <row r="409" spans="1:10" s="607" customFormat="1" ht="14">
      <c r="A409" s="973"/>
      <c r="B409" s="2164"/>
      <c r="C409" s="753" t="s">
        <v>2198</v>
      </c>
      <c r="D409" s="750">
        <v>1</v>
      </c>
      <c r="E409" s="752">
        <v>0.02</v>
      </c>
      <c r="F409" s="1003">
        <f t="shared" si="318"/>
        <v>0</v>
      </c>
      <c r="G409" s="615">
        <f>SUM(H409:J409)</f>
        <v>0</v>
      </c>
      <c r="H409" s="616">
        <f t="shared" si="319"/>
        <v>0</v>
      </c>
      <c r="I409" s="616">
        <f t="shared" si="319"/>
        <v>0</v>
      </c>
      <c r="J409" s="915"/>
    </row>
    <row r="410" spans="1:10" s="607" customFormat="1" ht="14">
      <c r="A410" s="973"/>
      <c r="B410" s="2164"/>
      <c r="C410" s="753" t="s">
        <v>2199</v>
      </c>
      <c r="D410" s="750">
        <v>1</v>
      </c>
      <c r="E410" s="752">
        <v>0.02</v>
      </c>
      <c r="F410" s="1003">
        <f t="shared" si="318"/>
        <v>0</v>
      </c>
      <c r="G410" s="615">
        <f>SUM(H410:J410)</f>
        <v>0</v>
      </c>
      <c r="H410" s="616">
        <f t="shared" si="319"/>
        <v>0</v>
      </c>
      <c r="I410" s="616">
        <f t="shared" si="319"/>
        <v>0</v>
      </c>
      <c r="J410" s="915"/>
    </row>
    <row r="411" spans="1:10" s="607" customFormat="1" ht="14">
      <c r="A411" s="973"/>
      <c r="B411" s="2165"/>
      <c r="C411" s="749" t="s">
        <v>2200</v>
      </c>
      <c r="D411" s="750">
        <v>1</v>
      </c>
      <c r="E411" s="752">
        <v>0.02</v>
      </c>
      <c r="F411" s="1003">
        <f t="shared" ca="1" si="318"/>
        <v>0</v>
      </c>
      <c r="G411" s="615">
        <f ca="1">SUM(H411:J411)</f>
        <v>0</v>
      </c>
      <c r="H411" s="616">
        <f t="shared" ca="1" si="319"/>
        <v>0</v>
      </c>
      <c r="I411" s="616">
        <f t="shared" ca="1" si="319"/>
        <v>0</v>
      </c>
      <c r="J411" s="915"/>
    </row>
    <row r="412" spans="1:10" s="607" customFormat="1" ht="14">
      <c r="A412" s="974"/>
      <c r="B412" s="754" t="s">
        <v>2281</v>
      </c>
      <c r="C412" s="787" t="s">
        <v>2296</v>
      </c>
      <c r="D412" s="755">
        <v>1</v>
      </c>
      <c r="E412" s="756">
        <v>0</v>
      </c>
      <c r="F412" s="1013">
        <f t="shared" ref="F412" ca="1" si="320">SUM(F348:F354)</f>
        <v>0</v>
      </c>
      <c r="G412" s="638">
        <f ca="1">SUM(H412:J412)</f>
        <v>0</v>
      </c>
      <c r="H412" s="723">
        <f t="shared" ref="H412:I412" ca="1" si="321">SUM(H348:H354)</f>
        <v>0</v>
      </c>
      <c r="I412" s="723">
        <f t="shared" ca="1" si="321"/>
        <v>0</v>
      </c>
      <c r="J412" s="915"/>
    </row>
    <row r="413" spans="1:10" s="607" customFormat="1" ht="14">
      <c r="A413" s="757"/>
      <c r="B413" s="758"/>
      <c r="C413" s="759"/>
      <c r="D413" s="975"/>
      <c r="E413" s="975"/>
      <c r="F413" s="1011"/>
      <c r="G413" s="747"/>
      <c r="H413" s="748"/>
      <c r="I413" s="748"/>
      <c r="J413" s="915"/>
    </row>
    <row r="414" spans="1:10" s="607" customFormat="1" ht="14">
      <c r="A414" s="2170" t="s">
        <v>2297</v>
      </c>
      <c r="B414" s="2178"/>
      <c r="C414" s="2179"/>
      <c r="D414" s="976"/>
      <c r="E414" s="976"/>
      <c r="F414" s="1010"/>
      <c r="G414" s="741"/>
      <c r="H414" s="742"/>
      <c r="I414" s="742"/>
      <c r="J414" s="915"/>
    </row>
    <row r="415" spans="1:10" s="607" customFormat="1" ht="14">
      <c r="A415" s="972"/>
      <c r="B415" s="2158" t="s">
        <v>2186</v>
      </c>
      <c r="C415" s="760" t="s">
        <v>2187</v>
      </c>
      <c r="D415" s="761"/>
      <c r="E415" s="762" t="s">
        <v>2276</v>
      </c>
      <c r="F415" s="1019">
        <f t="shared" ref="F415" ca="1" si="322">IF(F399=0,0,+F499/100)</f>
        <v>0</v>
      </c>
      <c r="G415" s="763" t="s">
        <v>2284</v>
      </c>
      <c r="H415" s="764">
        <f t="shared" ref="H415:I415" ca="1" si="323">IF(H399=0,0,+H499/100)</f>
        <v>0</v>
      </c>
      <c r="I415" s="764">
        <f t="shared" ca="1" si="323"/>
        <v>0</v>
      </c>
      <c r="J415" s="915"/>
    </row>
    <row r="416" spans="1:10" s="607" customFormat="1" ht="14">
      <c r="A416" s="973"/>
      <c r="B416" s="2139"/>
      <c r="C416" s="765"/>
      <c r="D416" s="766">
        <f>+D399</f>
        <v>1</v>
      </c>
      <c r="E416" s="767" t="s">
        <v>2276</v>
      </c>
      <c r="F416" s="1020">
        <f ca="1">ROUNDDOWN(F399*F415*$D416,0)</f>
        <v>0</v>
      </c>
      <c r="G416" s="718">
        <f ca="1">SUM(H416:J416)</f>
        <v>0</v>
      </c>
      <c r="H416" s="726">
        <f t="shared" ref="H416:I416" ca="1" si="324">ROUNDDOWN(H399*H415*$D416,0)</f>
        <v>0</v>
      </c>
      <c r="I416" s="726">
        <f t="shared" ca="1" si="324"/>
        <v>0</v>
      </c>
      <c r="J416" s="915"/>
    </row>
    <row r="417" spans="1:10" s="607" customFormat="1" ht="14">
      <c r="A417" s="973"/>
      <c r="B417" s="2139"/>
      <c r="C417" s="768" t="s">
        <v>2188</v>
      </c>
      <c r="D417" s="1180"/>
      <c r="E417" s="767" t="s">
        <v>2276</v>
      </c>
      <c r="F417" s="1021">
        <f>IF(F400=0,0,+F507/100)</f>
        <v>0</v>
      </c>
      <c r="G417" s="769" t="s">
        <v>2284</v>
      </c>
      <c r="H417" s="788">
        <f t="shared" ref="H417:I417" si="325">IF(H400=0,0,+H507/100)</f>
        <v>0</v>
      </c>
      <c r="I417" s="770">
        <f t="shared" si="325"/>
        <v>0</v>
      </c>
      <c r="J417" s="915"/>
    </row>
    <row r="418" spans="1:10" s="607" customFormat="1" ht="14">
      <c r="A418" s="973"/>
      <c r="B418" s="2139"/>
      <c r="C418" s="765"/>
      <c r="D418" s="771">
        <f t="shared" ref="D418:D423" si="326">+D400</f>
        <v>1</v>
      </c>
      <c r="E418" s="767" t="s">
        <v>2276</v>
      </c>
      <c r="F418" s="1020">
        <f>ROUNDDOWN(F400*F417*$D418,0)</f>
        <v>0</v>
      </c>
      <c r="G418" s="718">
        <f t="shared" ref="G418:G423" si="327">SUM(H418:J418)</f>
        <v>0</v>
      </c>
      <c r="H418" s="726">
        <f t="shared" ref="H418:I418" si="328">ROUNDDOWN(H400*H417*$D418,0)</f>
        <v>0</v>
      </c>
      <c r="I418" s="726">
        <f t="shared" si="328"/>
        <v>0</v>
      </c>
      <c r="J418" s="915"/>
    </row>
    <row r="419" spans="1:10" s="607" customFormat="1" ht="14">
      <c r="A419" s="973"/>
      <c r="B419" s="2139"/>
      <c r="C419" s="749" t="s">
        <v>2210</v>
      </c>
      <c r="D419" s="772">
        <f t="shared" si="326"/>
        <v>1</v>
      </c>
      <c r="E419" s="767" t="s">
        <v>2276</v>
      </c>
      <c r="F419" s="1020">
        <f ca="1">ROUNDDOWN(F401*F415*$D419,0)</f>
        <v>0</v>
      </c>
      <c r="G419" s="718">
        <f t="shared" ca="1" si="327"/>
        <v>0</v>
      </c>
      <c r="H419" s="726">
        <f t="shared" ref="H419:I419" ca="1" si="329">ROUNDDOWN(H401*H415*$D419,0)</f>
        <v>0</v>
      </c>
      <c r="I419" s="726">
        <f t="shared" ca="1" si="329"/>
        <v>0</v>
      </c>
      <c r="J419" s="915"/>
    </row>
    <row r="420" spans="1:10" s="607" customFormat="1" ht="14">
      <c r="A420" s="973"/>
      <c r="B420" s="2138"/>
      <c r="C420" s="749" t="s">
        <v>2211</v>
      </c>
      <c r="D420" s="772">
        <f t="shared" si="326"/>
        <v>1</v>
      </c>
      <c r="E420" s="767" t="s">
        <v>2276</v>
      </c>
      <c r="F420" s="1020">
        <f ca="1">ROUNDDOWN(F402*F417*$D420,0)</f>
        <v>0</v>
      </c>
      <c r="G420" s="718">
        <f t="shared" ca="1" si="327"/>
        <v>0</v>
      </c>
      <c r="H420" s="726">
        <f t="shared" ref="H420:I420" ca="1" si="330">ROUNDDOWN(H402*H417*$D420,0)</f>
        <v>0</v>
      </c>
      <c r="I420" s="726">
        <f t="shared" ca="1" si="330"/>
        <v>0</v>
      </c>
      <c r="J420" s="915"/>
    </row>
    <row r="421" spans="1:10" s="607" customFormat="1" ht="14">
      <c r="A421" s="973"/>
      <c r="B421" s="2137" t="s">
        <v>2191</v>
      </c>
      <c r="C421" s="749" t="s">
        <v>2279</v>
      </c>
      <c r="D421" s="772">
        <f t="shared" si="326"/>
        <v>1</v>
      </c>
      <c r="E421" s="752">
        <f>+E403</f>
        <v>0.02</v>
      </c>
      <c r="F421" s="1020">
        <f ca="1">ROUNDDOWN(F403*$E421*$D421,0)</f>
        <v>0</v>
      </c>
      <c r="G421" s="718">
        <f t="shared" ca="1" si="327"/>
        <v>0</v>
      </c>
      <c r="H421" s="726">
        <f t="shared" ref="H421:I423" ca="1" si="331">ROUNDDOWN(H403*$E421*$D421,0)</f>
        <v>0</v>
      </c>
      <c r="I421" s="726">
        <f t="shared" ca="1" si="331"/>
        <v>0</v>
      </c>
      <c r="J421" s="915"/>
    </row>
    <row r="422" spans="1:10" s="607" customFormat="1" ht="14">
      <c r="A422" s="973"/>
      <c r="B422" s="2139"/>
      <c r="C422" s="749" t="s">
        <v>2285</v>
      </c>
      <c r="D422" s="772">
        <f t="shared" si="326"/>
        <v>1</v>
      </c>
      <c r="E422" s="752">
        <f>+E404</f>
        <v>0.02</v>
      </c>
      <c r="F422" s="1020">
        <f ca="1">ROUNDDOWN(F404*$E422*$D422,0)</f>
        <v>0</v>
      </c>
      <c r="G422" s="718">
        <f t="shared" ca="1" si="327"/>
        <v>0</v>
      </c>
      <c r="H422" s="726">
        <f t="shared" ca="1" si="331"/>
        <v>0</v>
      </c>
      <c r="I422" s="726">
        <f t="shared" ca="1" si="331"/>
        <v>0</v>
      </c>
      <c r="J422" s="915"/>
    </row>
    <row r="423" spans="1:10" s="607" customFormat="1" ht="14">
      <c r="A423" s="973"/>
      <c r="B423" s="2139"/>
      <c r="C423" s="749" t="s">
        <v>2194</v>
      </c>
      <c r="D423" s="772">
        <f t="shared" si="326"/>
        <v>1</v>
      </c>
      <c r="E423" s="752">
        <f>+E405</f>
        <v>0.02</v>
      </c>
      <c r="F423" s="1020">
        <f ca="1">ROUNDDOWN(F405*$E423*$D423,0)</f>
        <v>0</v>
      </c>
      <c r="G423" s="718">
        <f t="shared" ca="1" si="327"/>
        <v>0</v>
      </c>
      <c r="H423" s="726">
        <f t="shared" ca="1" si="331"/>
        <v>0</v>
      </c>
      <c r="I423" s="726">
        <f t="shared" ca="1" si="331"/>
        <v>0</v>
      </c>
      <c r="J423" s="915"/>
    </row>
    <row r="424" spans="1:10" s="607" customFormat="1" ht="14">
      <c r="A424" s="973"/>
      <c r="B424" s="2139"/>
      <c r="C424" s="749" t="s">
        <v>2195</v>
      </c>
      <c r="D424" s="772"/>
      <c r="E424" s="752"/>
      <c r="F424" s="1020"/>
      <c r="G424" s="718"/>
      <c r="H424" s="726"/>
      <c r="I424" s="726"/>
      <c r="J424" s="915"/>
    </row>
    <row r="425" spans="1:10" s="607" customFormat="1" ht="14">
      <c r="A425" s="973"/>
      <c r="B425" s="2139"/>
      <c r="C425" s="773"/>
      <c r="D425" s="772"/>
      <c r="E425" s="752"/>
      <c r="F425" s="1020"/>
      <c r="G425" s="718"/>
      <c r="H425" s="726"/>
      <c r="I425" s="726"/>
      <c r="J425" s="915"/>
    </row>
    <row r="426" spans="1:10" s="607" customFormat="1" ht="14">
      <c r="A426" s="973"/>
      <c r="B426" s="2139"/>
      <c r="C426" s="749" t="s">
        <v>2197</v>
      </c>
      <c r="D426" s="772">
        <f t="shared" ref="D426:E429" si="332">+D408</f>
        <v>1</v>
      </c>
      <c r="E426" s="752">
        <f t="shared" si="332"/>
        <v>0.02</v>
      </c>
      <c r="F426" s="1020">
        <f ca="1">ROUNDDOWN(F408*$E426*$D426,0)</f>
        <v>0</v>
      </c>
      <c r="G426" s="718">
        <f t="shared" ref="G426:G434" ca="1" si="333">SUM(H426:J426)</f>
        <v>0</v>
      </c>
      <c r="H426" s="726">
        <f t="shared" ref="H426:I429" ca="1" si="334">ROUNDDOWN(H408*$E426*$D426,0)</f>
        <v>0</v>
      </c>
      <c r="I426" s="726">
        <f t="shared" ca="1" si="334"/>
        <v>0</v>
      </c>
      <c r="J426" s="915"/>
    </row>
    <row r="427" spans="1:10" s="607" customFormat="1" ht="14">
      <c r="A427" s="973"/>
      <c r="B427" s="2139"/>
      <c r="C427" s="753" t="s">
        <v>2198</v>
      </c>
      <c r="D427" s="772">
        <f t="shared" si="332"/>
        <v>1</v>
      </c>
      <c r="E427" s="752">
        <f t="shared" si="332"/>
        <v>0.02</v>
      </c>
      <c r="F427" s="1020">
        <f>ROUNDDOWN(F409*$E427*$D427,0)</f>
        <v>0</v>
      </c>
      <c r="G427" s="718">
        <f t="shared" si="333"/>
        <v>0</v>
      </c>
      <c r="H427" s="726">
        <f t="shared" si="334"/>
        <v>0</v>
      </c>
      <c r="I427" s="726">
        <f t="shared" si="334"/>
        <v>0</v>
      </c>
      <c r="J427" s="915"/>
    </row>
    <row r="428" spans="1:10" s="607" customFormat="1" ht="14">
      <c r="A428" s="973"/>
      <c r="B428" s="2139"/>
      <c r="C428" s="753" t="s">
        <v>2199</v>
      </c>
      <c r="D428" s="772">
        <f t="shared" si="332"/>
        <v>1</v>
      </c>
      <c r="E428" s="752">
        <f t="shared" si="332"/>
        <v>0.02</v>
      </c>
      <c r="F428" s="1020">
        <f>ROUNDDOWN(F410*$E428*$D428,0)</f>
        <v>0</v>
      </c>
      <c r="G428" s="718">
        <f t="shared" si="333"/>
        <v>0</v>
      </c>
      <c r="H428" s="726">
        <f t="shared" si="334"/>
        <v>0</v>
      </c>
      <c r="I428" s="726">
        <f t="shared" si="334"/>
        <v>0</v>
      </c>
      <c r="J428" s="915"/>
    </row>
    <row r="429" spans="1:10" s="607" customFormat="1" ht="14">
      <c r="A429" s="973"/>
      <c r="B429" s="2138"/>
      <c r="C429" s="749" t="s">
        <v>2298</v>
      </c>
      <c r="D429" s="772">
        <f t="shared" si="332"/>
        <v>1</v>
      </c>
      <c r="E429" s="752">
        <f t="shared" si="332"/>
        <v>0.02</v>
      </c>
      <c r="F429" s="1020">
        <f ca="1">ROUNDDOWN(F411*$E429*$D429,0)</f>
        <v>0</v>
      </c>
      <c r="G429" s="718">
        <f t="shared" ca="1" si="333"/>
        <v>0</v>
      </c>
      <c r="H429" s="726">
        <f t="shared" ca="1" si="334"/>
        <v>0</v>
      </c>
      <c r="I429" s="726">
        <f t="shared" ca="1" si="334"/>
        <v>0</v>
      </c>
      <c r="J429" s="915"/>
    </row>
    <row r="430" spans="1:10" s="607" customFormat="1" ht="14">
      <c r="A430" s="973"/>
      <c r="B430" s="2159" t="s">
        <v>2299</v>
      </c>
      <c r="C430" s="749" t="s">
        <v>2219</v>
      </c>
      <c r="D430" s="789"/>
      <c r="E430" s="790"/>
      <c r="F430" s="1003">
        <f ca="1">+F214+F61</f>
        <v>0</v>
      </c>
      <c r="G430" s="718">
        <f t="shared" ca="1" si="333"/>
        <v>0</v>
      </c>
      <c r="H430" s="616">
        <f t="shared" ref="H430:I430" ca="1" si="335">+H214+H61</f>
        <v>0</v>
      </c>
      <c r="I430" s="616">
        <f t="shared" ca="1" si="335"/>
        <v>0</v>
      </c>
      <c r="J430" s="915"/>
    </row>
    <row r="431" spans="1:10" s="607" customFormat="1" ht="14">
      <c r="A431" s="973"/>
      <c r="B431" s="2160"/>
      <c r="C431" s="791" t="s">
        <v>2300</v>
      </c>
      <c r="D431" s="789"/>
      <c r="E431" s="790"/>
      <c r="F431" s="1003"/>
      <c r="G431" s="718">
        <f t="shared" si="333"/>
        <v>0</v>
      </c>
      <c r="H431" s="616"/>
      <c r="I431" s="616"/>
      <c r="J431" s="915"/>
    </row>
    <row r="432" spans="1:10" s="607" customFormat="1" ht="15" thickBot="1">
      <c r="A432" s="977"/>
      <c r="B432" s="792" t="s">
        <v>2281</v>
      </c>
      <c r="C432" s="787" t="s">
        <v>2296</v>
      </c>
      <c r="D432" s="789">
        <f>+D412</f>
        <v>1</v>
      </c>
      <c r="E432" s="790">
        <f>+E412</f>
        <v>0</v>
      </c>
      <c r="F432" s="1020">
        <f ca="1">ROUNDDOWN(F412*$E432*$D432,0)</f>
        <v>0</v>
      </c>
      <c r="G432" s="718">
        <f t="shared" ca="1" si="333"/>
        <v>0</v>
      </c>
      <c r="H432" s="726">
        <f t="shared" ref="H432:I432" ca="1" si="336">ROUNDDOWN(H412*$E432*$D432,0)</f>
        <v>0</v>
      </c>
      <c r="I432" s="726">
        <f t="shared" ca="1" si="336"/>
        <v>0</v>
      </c>
      <c r="J432" s="915"/>
    </row>
    <row r="433" spans="1:11" s="607" customFormat="1" ht="15" thickTop="1">
      <c r="A433" s="793"/>
      <c r="B433" s="794"/>
      <c r="C433" s="795" t="s">
        <v>2301</v>
      </c>
      <c r="D433" s="796"/>
      <c r="E433" s="797"/>
      <c r="F433" s="1022">
        <f t="shared" ref="F433" ca="1" si="337">SUM(F418:F432)+F416</f>
        <v>0</v>
      </c>
      <c r="G433" s="798">
        <f t="shared" ca="1" si="333"/>
        <v>0</v>
      </c>
      <c r="H433" s="799">
        <f t="shared" ref="H433:I433" ca="1" si="338">SUM(H418:H432)+H416</f>
        <v>0</v>
      </c>
      <c r="I433" s="799">
        <f t="shared" ca="1" si="338"/>
        <v>0</v>
      </c>
      <c r="J433" s="915"/>
    </row>
    <row r="434" spans="1:11" s="607" customFormat="1" ht="14">
      <c r="A434" s="800"/>
      <c r="B434" s="801"/>
      <c r="C434" s="722" t="s">
        <v>2302</v>
      </c>
      <c r="D434" s="802"/>
      <c r="E434" s="637"/>
      <c r="F434" s="1013">
        <f t="shared" ref="F434" ca="1" si="339">+F309+F433</f>
        <v>0</v>
      </c>
      <c r="G434" s="638">
        <f t="shared" ca="1" si="333"/>
        <v>0</v>
      </c>
      <c r="H434" s="723">
        <f t="shared" ref="H434:I434" ca="1" si="340">+H309+H433</f>
        <v>0</v>
      </c>
      <c r="I434" s="723">
        <f t="shared" ca="1" si="340"/>
        <v>0</v>
      </c>
      <c r="J434" s="915"/>
    </row>
    <row r="435" spans="1:11" s="607" customFormat="1" ht="14">
      <c r="A435" s="595"/>
      <c r="B435" s="596"/>
      <c r="C435" s="903" t="s">
        <v>2363</v>
      </c>
      <c r="D435" s="903"/>
      <c r="E435" s="904"/>
      <c r="F435" s="907"/>
      <c r="G435" s="905"/>
      <c r="H435" s="906"/>
      <c r="I435" s="907"/>
      <c r="J435" s="740" t="s">
        <v>2364</v>
      </c>
    </row>
    <row r="436" spans="1:11" s="607" customFormat="1" ht="14">
      <c r="A436" s="994"/>
      <c r="B436" s="995"/>
      <c r="C436" s="995"/>
      <c r="D436" s="995"/>
      <c r="E436" s="995"/>
      <c r="F436" s="713"/>
      <c r="G436" s="712"/>
      <c r="H436" s="713"/>
      <c r="I436" s="713"/>
    </row>
    <row r="437" spans="1:11" s="607" customFormat="1" ht="14">
      <c r="A437" s="978"/>
      <c r="B437" s="979"/>
      <c r="C437" s="980"/>
      <c r="D437" s="804"/>
      <c r="E437" s="736" t="s">
        <v>2305</v>
      </c>
      <c r="F437" s="1009" t="e">
        <f t="shared" ref="F437" si="341">+F304</f>
        <v>#VALUE!</v>
      </c>
      <c r="G437" s="737" t="s">
        <v>2165</v>
      </c>
      <c r="H437" s="738">
        <f t="shared" ref="H437:I437" si="342">+H304</f>
        <v>0</v>
      </c>
      <c r="I437" s="738">
        <f t="shared" si="342"/>
        <v>0</v>
      </c>
      <c r="J437" s="915"/>
    </row>
    <row r="438" spans="1:11" s="607" customFormat="1" ht="15" thickBot="1">
      <c r="A438" s="981"/>
      <c r="B438" s="982"/>
      <c r="C438" s="983"/>
      <c r="D438" s="805"/>
      <c r="E438" s="806"/>
      <c r="F438" s="1012"/>
      <c r="G438" s="714"/>
      <c r="H438" s="807"/>
      <c r="I438" s="807"/>
      <c r="J438" s="915"/>
    </row>
    <row r="439" spans="1:11" s="607" customFormat="1" ht="15" thickBot="1">
      <c r="A439" s="808"/>
      <c r="B439" s="809"/>
      <c r="C439" s="810" t="s">
        <v>2306</v>
      </c>
      <c r="D439" s="811"/>
      <c r="E439" s="812"/>
      <c r="F439" s="1023">
        <f ca="1">IF(F440=0,+F434,0)</f>
        <v>0</v>
      </c>
      <c r="G439" s="813">
        <f ca="1">SUM(H439:J439)</f>
        <v>0</v>
      </c>
      <c r="H439" s="814">
        <f t="shared" ref="H439:I439" ca="1" si="343">IF(H440=0,+H434,0)</f>
        <v>0</v>
      </c>
      <c r="I439" s="814">
        <f t="shared" ca="1" si="343"/>
        <v>0</v>
      </c>
      <c r="J439" s="915"/>
    </row>
    <row r="440" spans="1:11" s="607" customFormat="1" ht="14">
      <c r="A440" s="994"/>
      <c r="B440" s="995"/>
      <c r="C440" s="815" t="s">
        <v>2307</v>
      </c>
      <c r="D440" s="816"/>
      <c r="E440" s="817"/>
      <c r="F440" s="1024">
        <f ca="1">IF(F462=0,0,F434)</f>
        <v>0</v>
      </c>
      <c r="G440" s="1385">
        <f xml:space="preserve"> G225</f>
        <v>0</v>
      </c>
      <c r="H440" s="625">
        <f t="shared" ref="H440:I440" ca="1" si="344">IF(H462=0,0,H434)</f>
        <v>0</v>
      </c>
      <c r="I440" s="625">
        <f t="shared" ca="1" si="344"/>
        <v>0</v>
      </c>
      <c r="J440" s="915"/>
      <c r="K440" s="1383" t="s">
        <v>2970</v>
      </c>
    </row>
    <row r="441" spans="1:11" s="607" customFormat="1" ht="14">
      <c r="A441" s="800"/>
      <c r="B441" s="801"/>
      <c r="C441" s="2161" t="s">
        <v>2308</v>
      </c>
      <c r="D441" s="2161"/>
      <c r="E441" s="2162"/>
      <c r="F441" s="1013"/>
      <c r="G441" s="638">
        <f ca="1">G439+G440-G449</f>
        <v>0</v>
      </c>
      <c r="H441" s="723"/>
      <c r="I441" s="723"/>
      <c r="J441" s="915"/>
      <c r="K441" s="1384" t="s">
        <v>2971</v>
      </c>
    </row>
    <row r="442" spans="1:11" s="607" customFormat="1" ht="14">
      <c r="A442" s="595"/>
      <c r="B442" s="596"/>
      <c r="C442" s="596"/>
      <c r="D442" s="818"/>
      <c r="E442" s="599" t="str">
        <f>E304</f>
        <v>無し</v>
      </c>
      <c r="F442" s="1014"/>
      <c r="G442" s="984" t="s">
        <v>2309</v>
      </c>
      <c r="H442" s="985"/>
      <c r="I442" s="725"/>
      <c r="J442" s="915"/>
    </row>
    <row r="443" spans="1:11" s="607" customFormat="1" ht="14">
      <c r="A443" s="986" t="s">
        <v>2310</v>
      </c>
      <c r="B443" s="987"/>
      <c r="C443" s="988"/>
      <c r="D443" s="819"/>
      <c r="E443" s="820" t="str">
        <f>+E305</f>
        <v>有り</v>
      </c>
      <c r="F443" s="1013"/>
      <c r="G443" s="989" t="s">
        <v>2311</v>
      </c>
      <c r="H443" s="990"/>
      <c r="I443" s="723"/>
      <c r="J443" s="915"/>
    </row>
    <row r="444" spans="1:11" s="607" customFormat="1" ht="14">
      <c r="A444" s="991"/>
      <c r="B444" s="821" t="s">
        <v>157</v>
      </c>
      <c r="C444" s="822" t="s">
        <v>2312</v>
      </c>
      <c r="D444" s="823">
        <v>1</v>
      </c>
      <c r="E444" s="824">
        <f ca="1">+H513/100</f>
        <v>0.1724</v>
      </c>
      <c r="F444" s="1014">
        <f t="shared" ref="F444" ca="1" si="345">+F439-F449</f>
        <v>0</v>
      </c>
      <c r="G444" s="613">
        <f ca="1">SUM(H444:J444)</f>
        <v>0</v>
      </c>
      <c r="H444" s="725">
        <f t="shared" ref="H444:I444" ca="1" si="346">+H439-H449</f>
        <v>0</v>
      </c>
      <c r="I444" s="725">
        <f t="shared" ca="1" si="346"/>
        <v>0</v>
      </c>
      <c r="J444" s="915"/>
    </row>
    <row r="445" spans="1:11" s="607" customFormat="1" ht="14">
      <c r="A445" s="967"/>
      <c r="B445" s="2137" t="s">
        <v>2313</v>
      </c>
      <c r="C445" s="614" t="s">
        <v>2314</v>
      </c>
      <c r="D445" s="1714">
        <f>IF(E442="無し",0.05,0)</f>
        <v>0.05</v>
      </c>
      <c r="E445" s="1715">
        <f ca="1">E444</f>
        <v>0.1724</v>
      </c>
      <c r="F445" s="1003">
        <f ca="1">IF(F462=0,+F444,0)</f>
        <v>0</v>
      </c>
      <c r="G445" s="615">
        <f ca="1">SUM(H445:J445)</f>
        <v>0</v>
      </c>
      <c r="H445" s="616">
        <f t="shared" ref="H445:I445" ca="1" si="347">IF(H462=0,+H444,0)</f>
        <v>0</v>
      </c>
      <c r="I445" s="616">
        <f t="shared" ca="1" si="347"/>
        <v>0</v>
      </c>
      <c r="J445" s="915"/>
    </row>
    <row r="446" spans="1:11" s="607" customFormat="1" ht="14">
      <c r="A446" s="967"/>
      <c r="B446" s="2138"/>
      <c r="C446" s="614" t="s">
        <v>2315</v>
      </c>
      <c r="D446" s="1721">
        <f>IF(E443="有り",1,0)</f>
        <v>1</v>
      </c>
      <c r="E446" s="1715">
        <v>4.0000000000000002E-4</v>
      </c>
      <c r="F446" s="1003">
        <f t="shared" ref="F446" ca="1" si="348">IF(F462=0,+F444,0)</f>
        <v>0</v>
      </c>
      <c r="G446" s="615">
        <f ca="1">SUM(H446:J446)</f>
        <v>0</v>
      </c>
      <c r="H446" s="616">
        <f ca="1">IF(H462=0,+H444,0)</f>
        <v>0</v>
      </c>
      <c r="I446" s="616">
        <f t="shared" ref="I446" ca="1" si="349">IF(I462=0,+I444,0)</f>
        <v>0</v>
      </c>
      <c r="J446" s="915"/>
    </row>
    <row r="447" spans="1:11" s="607" customFormat="1" ht="14">
      <c r="A447" s="967"/>
      <c r="B447" s="826"/>
      <c r="C447" s="614"/>
      <c r="D447" s="827"/>
      <c r="E447" s="827"/>
      <c r="F447" s="1003"/>
      <c r="G447" s="615"/>
      <c r="H447" s="616"/>
      <c r="I447" s="616"/>
      <c r="J447" s="915"/>
    </row>
    <row r="448" spans="1:11" s="607" customFormat="1" ht="14">
      <c r="A448" s="967"/>
      <c r="B448" s="826"/>
      <c r="C448" s="614"/>
      <c r="D448" s="827"/>
      <c r="E448" s="827"/>
      <c r="F448" s="1003"/>
      <c r="G448" s="615"/>
      <c r="H448" s="616"/>
      <c r="I448" s="616"/>
      <c r="J448" s="915"/>
    </row>
    <row r="449" spans="1:10" s="607" customFormat="1" ht="14">
      <c r="A449" s="967"/>
      <c r="B449" s="2137" t="s">
        <v>2316</v>
      </c>
      <c r="C449" s="749" t="str">
        <f>+C354</f>
        <v>(17)下水道使用料、各種負担金（共通仮設）</v>
      </c>
      <c r="D449" s="828">
        <v>1</v>
      </c>
      <c r="E449" s="829">
        <v>0</v>
      </c>
      <c r="F449" s="1003">
        <f t="shared" ref="F449" ca="1" si="350">+F354</f>
        <v>0</v>
      </c>
      <c r="G449" s="615">
        <f ca="1">SUM(H449:J449)</f>
        <v>0</v>
      </c>
      <c r="H449" s="616">
        <f t="shared" ref="H449:I449" ca="1" si="351">+H354</f>
        <v>0</v>
      </c>
      <c r="I449" s="616">
        <f t="shared" ca="1" si="351"/>
        <v>0</v>
      </c>
      <c r="J449" s="915"/>
    </row>
    <row r="450" spans="1:10" s="607" customFormat="1" ht="14">
      <c r="A450" s="967"/>
      <c r="B450" s="2139"/>
      <c r="C450" s="830"/>
      <c r="D450" s="749"/>
      <c r="E450" s="829"/>
      <c r="F450" s="1003"/>
      <c r="G450" s="615"/>
      <c r="H450" s="616"/>
      <c r="I450" s="616"/>
      <c r="J450" s="915"/>
    </row>
    <row r="451" spans="1:10" s="607" customFormat="1" ht="14">
      <c r="A451" s="968"/>
      <c r="B451" s="2140"/>
      <c r="C451" s="831"/>
      <c r="D451" s="787"/>
      <c r="E451" s="832"/>
      <c r="F451" s="1013"/>
      <c r="G451" s="638"/>
      <c r="H451" s="723"/>
      <c r="I451" s="723"/>
      <c r="J451" s="915"/>
    </row>
    <row r="452" spans="1:10" s="607" customFormat="1" ht="14">
      <c r="A452" s="595"/>
      <c r="B452" s="596"/>
      <c r="C452" s="833"/>
      <c r="D452" s="834"/>
      <c r="E452" s="835"/>
      <c r="F452" s="1014"/>
      <c r="G452" s="613"/>
      <c r="H452" s="725"/>
      <c r="I452" s="725"/>
      <c r="J452" s="915"/>
    </row>
    <row r="453" spans="1:10" s="607" customFormat="1" ht="14">
      <c r="A453" s="986" t="s">
        <v>2317</v>
      </c>
      <c r="B453" s="987"/>
      <c r="C453" s="988"/>
      <c r="D453" s="836"/>
      <c r="E453" s="837"/>
      <c r="F453" s="1013"/>
      <c r="G453" s="838"/>
      <c r="H453" s="723"/>
      <c r="I453" s="723"/>
      <c r="J453" s="915"/>
    </row>
    <row r="454" spans="1:10" s="607" customFormat="1" ht="14">
      <c r="A454" s="994"/>
      <c r="B454" s="839" t="s">
        <v>157</v>
      </c>
      <c r="C454" s="822" t="s">
        <v>2312</v>
      </c>
      <c r="D454" s="823">
        <f t="shared" ref="D454:E456" si="352">+D444</f>
        <v>1</v>
      </c>
      <c r="E454" s="840">
        <f ca="1">+E444</f>
        <v>0.1724</v>
      </c>
      <c r="F454" s="1014">
        <f ca="1">IF(F444=0,0,ROUND($G454/$G444*F444,0))</f>
        <v>0</v>
      </c>
      <c r="G454" s="615">
        <f ca="1">INT(D454*E454*G444)</f>
        <v>0</v>
      </c>
      <c r="H454" s="725">
        <f ca="1">G454-SUM(I454:J454)</f>
        <v>0</v>
      </c>
      <c r="I454" s="725">
        <f t="shared" ref="I454:I455" ca="1" si="353">IF(I444=0,0,ROUND($G454/$G444*I444,0))</f>
        <v>0</v>
      </c>
      <c r="J454" s="915"/>
    </row>
    <row r="455" spans="1:10" s="607" customFormat="1" ht="14">
      <c r="A455" s="994"/>
      <c r="B455" s="2137" t="s">
        <v>2313</v>
      </c>
      <c r="C455" s="614" t="s">
        <v>2314</v>
      </c>
      <c r="D455" s="828">
        <f t="shared" si="352"/>
        <v>0.05</v>
      </c>
      <c r="E455" s="752">
        <f t="shared" ca="1" si="352"/>
        <v>0.1724</v>
      </c>
      <c r="F455" s="1003">
        <f ca="1">IF(F445=0,0,ROUND($G455/$G445*F445,0))</f>
        <v>0</v>
      </c>
      <c r="G455" s="615">
        <f ca="1">INT(D455*E455*G445)</f>
        <v>0</v>
      </c>
      <c r="H455" s="616">
        <f ca="1">G455-SUM(I455:J455)</f>
        <v>0</v>
      </c>
      <c r="I455" s="616">
        <f t="shared" ca="1" si="353"/>
        <v>0</v>
      </c>
      <c r="J455" s="915"/>
    </row>
    <row r="456" spans="1:10" s="607" customFormat="1" ht="14">
      <c r="A456" s="994"/>
      <c r="B456" s="2138"/>
      <c r="C456" s="614" t="s">
        <v>2315</v>
      </c>
      <c r="D456" s="828">
        <f t="shared" si="352"/>
        <v>1</v>
      </c>
      <c r="E456" s="752">
        <f t="shared" si="352"/>
        <v>4.0000000000000002E-4</v>
      </c>
      <c r="F456" s="1722" t="b">
        <f>IF($H$301="有り",ROUND($G456/$G446*F446,F241))</f>
        <v>0</v>
      </c>
      <c r="G456" s="1723">
        <f>IF($H$301="有り",INT(D456*E456*G446),G241)</f>
        <v>0</v>
      </c>
      <c r="H456" s="1724">
        <f>IF($H$301="有り",G456-SUM(I456:J456),H241)</f>
        <v>0</v>
      </c>
      <c r="I456" s="1724" t="b">
        <f>IF($H$301="有り",ROUND($G456/$G446*I446,I241))</f>
        <v>0</v>
      </c>
      <c r="J456" s="915"/>
    </row>
    <row r="457" spans="1:10" s="607" customFormat="1" ht="14">
      <c r="A457" s="994"/>
      <c r="B457" s="826"/>
      <c r="C457" s="614"/>
      <c r="D457" s="827"/>
      <c r="E457" s="827"/>
      <c r="F457" s="1003"/>
      <c r="G457" s="615"/>
      <c r="H457" s="616"/>
      <c r="I457" s="616"/>
      <c r="J457" s="915"/>
    </row>
    <row r="458" spans="1:10" s="607" customFormat="1" ht="14">
      <c r="A458" s="994"/>
      <c r="B458" s="826"/>
      <c r="C458" s="614"/>
      <c r="D458" s="827"/>
      <c r="E458" s="827"/>
      <c r="F458" s="1003"/>
      <c r="G458" s="615"/>
      <c r="H458" s="616"/>
      <c r="I458" s="616"/>
      <c r="J458" s="915"/>
    </row>
    <row r="459" spans="1:10" s="607" customFormat="1" ht="14">
      <c r="A459" s="994"/>
      <c r="B459" s="2137" t="s">
        <v>2316</v>
      </c>
      <c r="C459" s="749" t="str">
        <f>+C354</f>
        <v>(17)下水道使用料、各種負担金（共通仮設）</v>
      </c>
      <c r="D459" s="828">
        <f>+D449</f>
        <v>1</v>
      </c>
      <c r="E459" s="752">
        <f>+E449</f>
        <v>0</v>
      </c>
      <c r="F459" s="1003">
        <f ca="1">IF(F449=0,0,ROUND($G459/$G449*F449,0))</f>
        <v>0</v>
      </c>
      <c r="G459" s="615">
        <f ca="1">INT(D459*E459*G449)</f>
        <v>0</v>
      </c>
      <c r="H459" s="616">
        <f ca="1">G459-SUM(I459:J459)</f>
        <v>0</v>
      </c>
      <c r="I459" s="616">
        <f t="shared" ref="I459" ca="1" si="354">IF(I449=0,0,ROUND($G459/$G449*I449,0))</f>
        <v>0</v>
      </c>
      <c r="J459" s="915"/>
    </row>
    <row r="460" spans="1:10" s="607" customFormat="1" ht="14">
      <c r="A460" s="994"/>
      <c r="B460" s="2139"/>
      <c r="C460" s="830"/>
      <c r="D460" s="749"/>
      <c r="E460" s="827"/>
      <c r="F460" s="1003"/>
      <c r="G460" s="615"/>
      <c r="H460" s="616"/>
      <c r="I460" s="616"/>
      <c r="J460" s="915"/>
    </row>
    <row r="461" spans="1:10" s="607" customFormat="1" ht="14">
      <c r="A461" s="841"/>
      <c r="B461" s="2138"/>
      <c r="C461" s="830"/>
      <c r="D461" s="749"/>
      <c r="E461" s="827"/>
      <c r="F461" s="1003"/>
      <c r="G461" s="615"/>
      <c r="H461" s="616"/>
      <c r="I461" s="616"/>
      <c r="J461" s="915"/>
    </row>
    <row r="462" spans="1:10" s="607" customFormat="1" ht="14">
      <c r="A462" s="841"/>
      <c r="B462" s="2149" t="s">
        <v>2299</v>
      </c>
      <c r="C462" s="765" t="s">
        <v>2318</v>
      </c>
      <c r="D462" s="842"/>
      <c r="E462" s="843"/>
      <c r="F462" s="1025">
        <f ca="1">+F247+F70</f>
        <v>0</v>
      </c>
      <c r="G462" s="844">
        <f ca="1">SUM(H462:J462)</f>
        <v>0</v>
      </c>
      <c r="H462" s="908">
        <f t="shared" ref="H462:I462" ca="1" si="355">+H247+H70</f>
        <v>0</v>
      </c>
      <c r="I462" s="908">
        <f t="shared" ca="1" si="355"/>
        <v>0</v>
      </c>
      <c r="J462" s="915"/>
    </row>
    <row r="463" spans="1:10" s="607" customFormat="1" ht="14">
      <c r="A463" s="994"/>
      <c r="B463" s="2150"/>
      <c r="C463" s="791" t="s">
        <v>2319</v>
      </c>
      <c r="D463" s="789"/>
      <c r="E463" s="790"/>
      <c r="F463" s="1003"/>
      <c r="G463" s="718"/>
      <c r="H463" s="616"/>
      <c r="I463" s="616"/>
      <c r="J463" s="915"/>
    </row>
    <row r="464" spans="1:10" s="607" customFormat="1" ht="14">
      <c r="A464" s="808"/>
      <c r="B464" s="809"/>
      <c r="C464" s="809"/>
      <c r="D464" s="600"/>
      <c r="E464" s="600"/>
      <c r="F464" s="1014"/>
      <c r="G464" s="613"/>
      <c r="H464" s="725"/>
      <c r="I464" s="725"/>
      <c r="J464" s="915"/>
    </row>
    <row r="465" spans="1:10" s="607" customFormat="1" ht="14">
      <c r="A465" s="845"/>
      <c r="B465" s="727"/>
      <c r="C465" s="540" t="s">
        <v>2320</v>
      </c>
      <c r="D465" s="830"/>
      <c r="E465" s="614"/>
      <c r="F465" s="1003">
        <f t="shared" ref="F465" ca="1" si="356">SUM(F454:F463)</f>
        <v>0</v>
      </c>
      <c r="G465" s="615">
        <f ca="1">SUM(H465:J465)</f>
        <v>0</v>
      </c>
      <c r="H465" s="616">
        <f ca="1">SUM(H454:H463)</f>
        <v>0</v>
      </c>
      <c r="I465" s="616">
        <f t="shared" ref="I465" ca="1" si="357">SUM(I454:I463)</f>
        <v>0</v>
      </c>
      <c r="J465" s="915"/>
    </row>
    <row r="466" spans="1:10" s="607" customFormat="1" ht="14">
      <c r="A466" s="845"/>
      <c r="B466" s="727"/>
      <c r="C466" s="540" t="s">
        <v>2302</v>
      </c>
      <c r="D466" s="830"/>
      <c r="E466" s="614"/>
      <c r="F466" s="1003">
        <f t="shared" ref="F466" ca="1" si="358">+F434</f>
        <v>0</v>
      </c>
      <c r="G466" s="615">
        <f ca="1">SUM(H466:J466)</f>
        <v>0</v>
      </c>
      <c r="H466" s="616">
        <f t="shared" ref="H466:I466" ca="1" si="359">+H434</f>
        <v>0</v>
      </c>
      <c r="I466" s="616">
        <f t="shared" ca="1" si="359"/>
        <v>0</v>
      </c>
      <c r="J466" s="915"/>
    </row>
    <row r="467" spans="1:10" s="607" customFormat="1" ht="15" thickBot="1">
      <c r="A467" s="846"/>
      <c r="B467" s="847"/>
      <c r="C467" s="848" t="s">
        <v>2321</v>
      </c>
      <c r="D467" s="849"/>
      <c r="E467" s="850"/>
      <c r="F467" s="1026">
        <f t="shared" ref="F467" ca="1" si="360">SUM(F465:F466)</f>
        <v>0</v>
      </c>
      <c r="G467" s="778">
        <f ca="1">SUM(H467:J467)</f>
        <v>0</v>
      </c>
      <c r="H467" s="851">
        <f t="shared" ref="H467:I467" ca="1" si="361">SUM(H465:H466)</f>
        <v>0</v>
      </c>
      <c r="I467" s="851">
        <f t="shared" ca="1" si="361"/>
        <v>0</v>
      </c>
      <c r="J467" s="915"/>
    </row>
    <row r="468" spans="1:10" s="607" customFormat="1" ht="15" thickTop="1">
      <c r="A468" s="994"/>
      <c r="B468" s="995"/>
      <c r="C468" s="995"/>
      <c r="D468" s="624"/>
      <c r="E468" s="624"/>
      <c r="F468" s="1015">
        <f t="shared" ref="F468" ca="1" si="362">ROUNDDOWN(F467,-3)</f>
        <v>0</v>
      </c>
      <c r="G468" s="852"/>
      <c r="H468" s="852">
        <f ca="1">ROUNDDOWN(H467,-3)</f>
        <v>0</v>
      </c>
      <c r="I468" s="852">
        <f t="shared" ref="I468" ca="1" si="363">ROUNDDOWN(I467,-3)</f>
        <v>0</v>
      </c>
      <c r="J468" s="915"/>
    </row>
    <row r="469" spans="1:10" s="607" customFormat="1" ht="14">
      <c r="A469" s="845"/>
      <c r="B469" s="727"/>
      <c r="C469" s="540" t="s">
        <v>2302</v>
      </c>
      <c r="D469" s="830"/>
      <c r="E469" s="614"/>
      <c r="F469" s="1003">
        <f t="shared" ref="F469" ca="1" si="364">+F466</f>
        <v>0</v>
      </c>
      <c r="G469" s="615">
        <f ca="1">SUM(H469:J469)</f>
        <v>0</v>
      </c>
      <c r="H469" s="616">
        <f ca="1">+H466</f>
        <v>0</v>
      </c>
      <c r="I469" s="616">
        <f t="shared" ref="I469" ca="1" si="365">+I466</f>
        <v>0</v>
      </c>
      <c r="J469" s="915"/>
    </row>
    <row r="470" spans="1:10" s="607" customFormat="1" ht="14">
      <c r="A470" s="845"/>
      <c r="B470" s="727"/>
      <c r="C470" s="540" t="s">
        <v>2322</v>
      </c>
      <c r="D470" s="830"/>
      <c r="E470" s="827"/>
      <c r="F470" s="1003" t="e">
        <f t="shared" ref="F470" ca="1" si="366">+F465-(F467-F472)</f>
        <v>#DIV/0!</v>
      </c>
      <c r="G470" s="615" t="e">
        <f ca="1">SUM(H470:J470)</f>
        <v>#DIV/0!</v>
      </c>
      <c r="H470" s="616" t="e">
        <f ca="1">+H465-(H467-H472)</f>
        <v>#DIV/0!</v>
      </c>
      <c r="I470" s="616" t="e">
        <f t="shared" ref="I470" ca="1" si="367">+I465-(I467-I472)</f>
        <v>#DIV/0!</v>
      </c>
      <c r="J470" s="915"/>
    </row>
    <row r="471" spans="1:10" s="607" customFormat="1" ht="14">
      <c r="A471" s="845"/>
      <c r="B471" s="727"/>
      <c r="C471" s="727"/>
      <c r="D471" s="614"/>
      <c r="E471" s="853">
        <f ca="1">SUM(H468:J468)</f>
        <v>0</v>
      </c>
      <c r="F471" s="1003" t="e">
        <f t="shared" ref="F471" ca="1" si="368">+F465-F470</f>
        <v>#DIV/0!</v>
      </c>
      <c r="G471" s="615" t="s">
        <v>2323</v>
      </c>
      <c r="H471" s="616" t="e">
        <f t="shared" ref="H471:I471" ca="1" si="369">+H465-H470</f>
        <v>#DIV/0!</v>
      </c>
      <c r="I471" s="616" t="e">
        <f t="shared" ca="1" si="369"/>
        <v>#DIV/0!</v>
      </c>
      <c r="J471" s="915"/>
    </row>
    <row r="472" spans="1:10" s="607" customFormat="1" ht="14">
      <c r="A472" s="855"/>
      <c r="B472" s="717"/>
      <c r="C472" s="717" t="s">
        <v>2324</v>
      </c>
      <c r="D472" s="856"/>
      <c r="E472" s="853">
        <f ca="1">ROUNDDOWN(E471,4-LEN(E471))</f>
        <v>0</v>
      </c>
      <c r="F472" s="1027" t="e">
        <f ca="1">IF(F462=0,+F468-ROUND($E$473*F467/$G$467,-3),F467)</f>
        <v>#DIV/0!</v>
      </c>
      <c r="G472" s="857">
        <f ca="1">+E472</f>
        <v>0</v>
      </c>
      <c r="H472" s="854" t="e">
        <f ca="1">IF(G473+SUM(I472:J472)=G472,G473,G472-SUM(I472:J472))</f>
        <v>#DIV/0!</v>
      </c>
      <c r="I472" s="854" t="e">
        <f t="shared" ref="I472" ca="1" si="370">IF(I462=0,+I468-ROUND($E$473*I467/$G$467,-3),I467)</f>
        <v>#DIV/0!</v>
      </c>
      <c r="J472" s="915"/>
    </row>
    <row r="473" spans="1:10" s="607" customFormat="1" ht="14">
      <c r="A473" s="858"/>
      <c r="B473" s="859"/>
      <c r="C473" s="859"/>
      <c r="D473" s="860"/>
      <c r="E473" s="861">
        <f ca="1">E471-E472</f>
        <v>0</v>
      </c>
      <c r="F473" s="1016">
        <f t="shared" ref="F473" ca="1" si="371">IF(LEN(F467)&lt;=7,-3,IF(LEN(F467)=8,-4,IF(LEN(F467)&gt;=9,-5,-6)))</f>
        <v>-3</v>
      </c>
      <c r="G473" s="862" t="e">
        <f ca="1">+H468-ROUND($E$473*H467/$G$467,-3)</f>
        <v>#DIV/0!</v>
      </c>
      <c r="H473" s="861">
        <f ca="1">IF(LEN(H467)&lt;=7,-3,IF(LEN(H467)=8,-4,IF(LEN(H467)&gt;=9,-5,-6)))</f>
        <v>-3</v>
      </c>
      <c r="I473" s="861">
        <f t="shared" ref="I473" ca="1" si="372">IF(LEN(I467)&lt;=7,-3,IF(LEN(I467)=8,-4,IF(LEN(I467)&gt;=9,-5,-6)))</f>
        <v>-3</v>
      </c>
      <c r="J473" s="915"/>
    </row>
    <row r="474" spans="1:10" s="607" customFormat="1" ht="15" thickBot="1">
      <c r="F474" s="865"/>
      <c r="G474" s="863"/>
      <c r="H474" s="864"/>
      <c r="I474" s="865"/>
    </row>
    <row r="475" spans="1:10" s="607" customFormat="1" ht="14">
      <c r="A475" s="866"/>
      <c r="B475" s="867"/>
      <c r="C475" s="868" t="s">
        <v>2325</v>
      </c>
      <c r="D475" s="869"/>
      <c r="E475" s="867"/>
      <c r="F475" s="886">
        <f t="shared" ref="F475" ca="1" si="373">+F302</f>
        <v>0</v>
      </c>
      <c r="G475" s="870" t="s">
        <v>2326</v>
      </c>
      <c r="H475" s="871">
        <f t="shared" ref="H475:I475" ca="1" si="374">+H302</f>
        <v>0</v>
      </c>
      <c r="I475" s="871">
        <f t="shared" ca="1" si="374"/>
        <v>0</v>
      </c>
      <c r="J475" s="1031"/>
    </row>
    <row r="476" spans="1:10" s="607" customFormat="1" ht="14">
      <c r="A476" s="1379"/>
      <c r="B476" s="2144" t="s">
        <v>2327</v>
      </c>
      <c r="C476" s="872" t="s">
        <v>2328</v>
      </c>
      <c r="D476" s="717"/>
      <c r="E476" s="873"/>
      <c r="F476" s="1371">
        <f ca="1">IF($G359&lt;=10000000,ROUND(7.56*(10000^-0.1105)*(F475^0.2389),2),ROUND(7.56*(($G359/1000)^-0.1105)*(F475^0.2389),2))</f>
        <v>0</v>
      </c>
      <c r="G476" s="874" t="s">
        <v>2329</v>
      </c>
      <c r="H476" s="1288">
        <f ca="1">IF($G359&lt;=10000000,ROUND(7.56*(10000^-0.1105)*(H475^0.2389),2),ROUND(7.56*(($G359/1000)^-0.1105)*(H475^0.2389),2))</f>
        <v>0</v>
      </c>
      <c r="I476" s="1288">
        <f t="shared" ref="I476" ca="1" si="375">IF($G359&lt;=10000000,ROUND(7.56*(10000^-0.1105)*(I475^0.2389),2),ROUND(7.56*(($G359/1000)^-0.1105)*(I475^0.2389),2))</f>
        <v>0</v>
      </c>
      <c r="J476" s="1031"/>
    </row>
    <row r="477" spans="1:10" s="607" customFormat="1" ht="14">
      <c r="A477" s="1380"/>
      <c r="B477" s="2145"/>
      <c r="C477" s="2147" t="s">
        <v>2330</v>
      </c>
      <c r="D477" s="1180"/>
      <c r="E477" s="876"/>
      <c r="F477" s="891">
        <f t="shared" ref="F477" ca="1" si="376">IF($G359&lt;=10000000,ROUND(4.33,2),0)</f>
        <v>4.33</v>
      </c>
      <c r="G477" s="874" t="s">
        <v>2331</v>
      </c>
      <c r="H477" s="877">
        <f ca="1">IF($G359&lt;=10000000,ROUND(4.33,2),0)</f>
        <v>4.33</v>
      </c>
      <c r="I477" s="877">
        <f t="shared" ref="I477" ca="1" si="377">IF($G359&lt;=10000000,ROUND(4.33,2),0)</f>
        <v>4.33</v>
      </c>
      <c r="J477" s="1031"/>
    </row>
    <row r="478" spans="1:10" s="607" customFormat="1" ht="13.5" customHeight="1">
      <c r="A478" s="1380"/>
      <c r="B478" s="2145"/>
      <c r="C478" s="2148"/>
      <c r="D478" s="1047"/>
      <c r="E478" s="1001"/>
      <c r="F478" s="891">
        <f t="shared" ref="F478" ca="1" si="378">IF($G359&lt;=10000000,ROUND(3.25,2),0)</f>
        <v>3.25</v>
      </c>
      <c r="G478" s="874" t="s">
        <v>2332</v>
      </c>
      <c r="H478" s="877">
        <f ca="1">IF($G359&lt;=10000000,ROUND(3.25,2),0)</f>
        <v>3.25</v>
      </c>
      <c r="I478" s="877">
        <f t="shared" ref="I478" ca="1" si="379">IF($G359&lt;=10000000,ROUND(3.25,2),0)</f>
        <v>3.25</v>
      </c>
      <c r="J478" s="1031"/>
    </row>
    <row r="479" spans="1:10" s="607" customFormat="1" ht="14">
      <c r="A479" s="1380"/>
      <c r="B479" s="2145"/>
      <c r="C479" s="2147" t="s">
        <v>2333</v>
      </c>
      <c r="D479" s="1180"/>
      <c r="E479" s="876"/>
      <c r="F479" s="1028">
        <f t="shared" ref="F479" ca="1" si="380">IF($G359&gt;10000000,ROUND(5.78*($G359/1000)^-0.0313,2),0)</f>
        <v>0</v>
      </c>
      <c r="G479" s="874" t="s">
        <v>2331</v>
      </c>
      <c r="H479" s="878">
        <f ca="1">IF($G359&gt;10000000,ROUND(5.78*($G359/1000)^-0.0313,2),0)</f>
        <v>0</v>
      </c>
      <c r="I479" s="878">
        <f t="shared" ref="I479" ca="1" si="381">IF($G359&gt;10000000,ROUND(5.78*($G359/1000)^-0.0313,2),0)</f>
        <v>0</v>
      </c>
      <c r="J479" s="1031"/>
    </row>
    <row r="480" spans="1:10" s="607" customFormat="1" ht="13.5" customHeight="1">
      <c r="A480" s="1381"/>
      <c r="B480" s="2146"/>
      <c r="C480" s="2148"/>
      <c r="D480" s="1047"/>
      <c r="E480" s="1001"/>
      <c r="F480" s="1028">
        <f t="shared" ref="F480" ca="1" si="382">IF($G359&gt;10000000,ROUND(4.34*($G359/1000)^-0.0313,2),0)</f>
        <v>0</v>
      </c>
      <c r="G480" s="874" t="s">
        <v>2332</v>
      </c>
      <c r="H480" s="878">
        <f ca="1">IF($G359&gt;10000000,ROUND(4.34*($G359/1000)^-0.0313,2),0)</f>
        <v>0</v>
      </c>
      <c r="I480" s="878">
        <f t="shared" ref="I480" ca="1" si="383">IF($G359&gt;10000000,ROUND(4.34*($G359/1000)^-0.0313,2),0)</f>
        <v>0</v>
      </c>
      <c r="J480" s="1031"/>
    </row>
    <row r="481" spans="1:10" s="607" customFormat="1" ht="13.5" customHeight="1">
      <c r="A481" s="1372" t="s">
        <v>2334</v>
      </c>
      <c r="B481" s="1373"/>
      <c r="C481" s="1373"/>
      <c r="D481" s="1373"/>
      <c r="E481" s="1373"/>
      <c r="F481" s="1028">
        <f ca="1">IF($G359&lt;=10000000,IF(F$476&gt;F$477,F$477,IF(F$476&lt;F$478,F$478,F$476)),IF(F$476&gt;F$479,F$479,IF(F$476&lt;F$480,F$480,F$476)))</f>
        <v>3.25</v>
      </c>
      <c r="G481" s="992"/>
      <c r="H481" s="878">
        <f ca="1">IF($G359&lt;=10000000,IF(H$476&gt;H$477,H$477,IF(H$476&lt;H$478,H$478,H$476)),IF(H$476&gt;H$479,H$479,IF(H$476&lt;H$480,H$480,H$476)))</f>
        <v>3.25</v>
      </c>
      <c r="I481" s="878">
        <f t="shared" ref="I481" ca="1" si="384">IF($G359&lt;=10000000,IF(I$476&gt;I$477,I$477,IF(I$476&lt;I$478,I$478,I$476)),IF(I$476&gt;I$479,I$479,IF(I$476&lt;I$480,I$480,I$476)))</f>
        <v>3.25</v>
      </c>
      <c r="J481" s="1031"/>
    </row>
    <row r="482" spans="1:10" s="607" customFormat="1" ht="15" thickBot="1">
      <c r="A482" s="1374" t="s">
        <v>2335</v>
      </c>
      <c r="B482" s="1375"/>
      <c r="C482" s="1375"/>
      <c r="D482" s="1375"/>
      <c r="E482" s="1375"/>
      <c r="F482" s="1029">
        <f t="shared" ref="F482" ca="1" si="385">ROUND(F481*IF(AND(F307="駅施設",F308="無し"),0.7,IF(AND(F307="駅施設",F308="有り"),0.7,IF(AND(F307="地上建物",F308="無し"),0.9,IF(AND(F307="地上建物",F308="有り"),1,0)))),2)</f>
        <v>0</v>
      </c>
      <c r="G482" s="993"/>
      <c r="H482" s="883">
        <f ca="1">ROUND(H481*IF(AND(H307="駅施設",H308="無し"),0.7,IF(AND(H307="駅施設",H308="有り"),0.7,IF(AND(H307="地上建物",H308="無し"),0.9,IF(AND(H307="地上建物",H308="有り"),1,0)))),2)</f>
        <v>0</v>
      </c>
      <c r="I482" s="883">
        <f t="shared" ref="I482" ca="1" si="386">ROUND(I481*IF(AND(I307="駅施設",I308="無し"),0.7,IF(AND(I307="駅施設",I308="有り"),0.7,IF(AND(I307="地上建物",I308="無し"),0.9,IF(AND(I307="地上建物",I308="有り"),1,0)))),2)</f>
        <v>0</v>
      </c>
      <c r="J482" s="1031"/>
    </row>
    <row r="483" spans="1:10" s="607" customFormat="1" ht="15" thickBot="1">
      <c r="F483" s="880"/>
      <c r="H483" s="880"/>
      <c r="I483" s="880"/>
      <c r="J483" s="1031"/>
    </row>
    <row r="484" spans="1:10" s="607" customFormat="1" ht="14">
      <c r="A484" s="866"/>
      <c r="B484" s="867"/>
      <c r="C484" s="868" t="s">
        <v>2325</v>
      </c>
      <c r="D484" s="869"/>
      <c r="E484" s="867"/>
      <c r="F484" s="886">
        <f t="shared" ref="F484" ca="1" si="387">+F302</f>
        <v>0</v>
      </c>
      <c r="G484" s="870" t="s">
        <v>2326</v>
      </c>
      <c r="H484" s="871">
        <f t="shared" ref="H484:I484" ca="1" si="388">+H302</f>
        <v>0</v>
      </c>
      <c r="I484" s="871">
        <f t="shared" ca="1" si="388"/>
        <v>0</v>
      </c>
      <c r="J484" s="1031"/>
    </row>
    <row r="485" spans="1:10" s="607" customFormat="1" ht="14">
      <c r="A485" s="2141"/>
      <c r="B485" s="2144" t="s">
        <v>2336</v>
      </c>
      <c r="C485" s="872" t="s">
        <v>2328</v>
      </c>
      <c r="D485" s="717"/>
      <c r="E485" s="873"/>
      <c r="F485" s="1371">
        <f ca="1">IF($G359&lt;=5000000,ROUND(18.03*(5000^-0.2027)*(F484^0.4017),2),ROUND(18.03*(($G359/1000)^-0.2027)*(F484^0.4017),2))</f>
        <v>0</v>
      </c>
      <c r="G485" s="874" t="s">
        <v>2337</v>
      </c>
      <c r="H485" s="1288">
        <f ca="1">IF($G359&lt;=5000000,ROUND(18.03*(5000^-0.2027)*(H484^0.4017),2),ROUND(18.03*(($G359/1000)^-0.2027)*(H484^0.4017),2))</f>
        <v>0</v>
      </c>
      <c r="I485" s="1288">
        <f t="shared" ref="I485" ca="1" si="389">IF($G359&lt;=5000000,ROUND(18.03*(5000^-0.2027)*(I484^0.4017),2),ROUND(18.03*(($G359/1000)^-0.2027)*(I484^0.4017),2))</f>
        <v>0</v>
      </c>
      <c r="J485" s="1031"/>
    </row>
    <row r="486" spans="1:10" s="607" customFormat="1" ht="14">
      <c r="A486" s="2142"/>
      <c r="B486" s="2145"/>
      <c r="C486" s="2147" t="s">
        <v>2338</v>
      </c>
      <c r="D486" s="1180"/>
      <c r="E486" s="876"/>
      <c r="F486" s="891">
        <f t="shared" ref="F486" ca="1" si="390">IF($G359&lt;=5000000,ROUND(6.07,2),0)</f>
        <v>6.07</v>
      </c>
      <c r="G486" s="874" t="s">
        <v>2331</v>
      </c>
      <c r="H486" s="877">
        <f ca="1">IF($G359&lt;=5000000,ROUND(6.07,2),0)</f>
        <v>6.07</v>
      </c>
      <c r="I486" s="877">
        <f t="shared" ref="I486" ca="1" si="391">IF($G359&lt;=5000000,ROUND(6.07,2),0)</f>
        <v>6.07</v>
      </c>
      <c r="J486" s="1031"/>
    </row>
    <row r="487" spans="1:10" s="607" customFormat="1" ht="13.5" customHeight="1">
      <c r="A487" s="2142"/>
      <c r="B487" s="2145"/>
      <c r="C487" s="2148"/>
      <c r="D487" s="1047"/>
      <c r="E487" s="1001"/>
      <c r="F487" s="891">
        <f t="shared" ref="F487" ca="1" si="392">IF($G359&lt;=5000000,ROUND(3.59,2),0)</f>
        <v>3.59</v>
      </c>
      <c r="G487" s="874" t="s">
        <v>2332</v>
      </c>
      <c r="H487" s="877">
        <f ca="1">IF($G359&lt;=5000000,ROUND(3.59,2),0)</f>
        <v>3.59</v>
      </c>
      <c r="I487" s="877">
        <f t="shared" ref="I487" ca="1" si="393">IF($G359&lt;=5000000,ROUND(3.59,2),0)</f>
        <v>3.59</v>
      </c>
      <c r="J487" s="1031"/>
    </row>
    <row r="488" spans="1:10" s="607" customFormat="1" ht="14">
      <c r="A488" s="2142"/>
      <c r="B488" s="2145"/>
      <c r="C488" s="2147" t="s">
        <v>2339</v>
      </c>
      <c r="D488" s="1180"/>
      <c r="E488" s="876"/>
      <c r="F488" s="1028">
        <f t="shared" ref="F488" ca="1" si="394">IF($G359&gt;5000000,ROUND(11.74*($G359/1000)^-0.0774,2),0)</f>
        <v>0</v>
      </c>
      <c r="G488" s="874" t="s">
        <v>2331</v>
      </c>
      <c r="H488" s="878">
        <f ca="1">IF($G359&gt;5000000,ROUND(11.74*($G359/1000)^-0.0774,2),0)</f>
        <v>0</v>
      </c>
      <c r="I488" s="878">
        <f t="shared" ref="I488" ca="1" si="395">IF($G359&gt;5000000,ROUND(11.74*($G359/1000)^-0.0774,2),0)</f>
        <v>0</v>
      </c>
      <c r="J488" s="1031"/>
    </row>
    <row r="489" spans="1:10" s="607" customFormat="1" ht="13.5" customHeight="1">
      <c r="A489" s="2143"/>
      <c r="B489" s="2146"/>
      <c r="C489" s="2148"/>
      <c r="D489" s="1047"/>
      <c r="E489" s="1001"/>
      <c r="F489" s="1028">
        <f t="shared" ref="F489" ca="1" si="396">IF($G359&gt;5000000,ROUND(6.94*($G359/1000)^-0.0774,2),0)</f>
        <v>0</v>
      </c>
      <c r="G489" s="874" t="s">
        <v>2332</v>
      </c>
      <c r="H489" s="878">
        <f ca="1">IF($G359&gt;5000000,ROUND(6.94*($G359/1000)^-0.0774,2),0)</f>
        <v>0</v>
      </c>
      <c r="I489" s="878">
        <f t="shared" ref="I489" ca="1" si="397">IF($G359&gt;5000000,ROUND(6.94*($G359/1000)^-0.0774,2),0)</f>
        <v>0</v>
      </c>
      <c r="J489" s="1031"/>
    </row>
    <row r="490" spans="1:10" s="607" customFormat="1" ht="13.5" customHeight="1">
      <c r="A490" s="2176" t="s">
        <v>2334</v>
      </c>
      <c r="B490" s="2177"/>
      <c r="C490" s="2177"/>
      <c r="D490" s="2177"/>
      <c r="E490" s="2177"/>
      <c r="F490" s="1030">
        <f ca="1">IF($G359&lt;=5000000,IF(F$485&gt;F$486,F$486,IF(F$485&lt;F$487,F$487,F$485)),IF(F$485&gt;F$488,F$488,IF(F$485&lt;F$489,F$489,F$485)))</f>
        <v>3.59</v>
      </c>
      <c r="G490" s="992"/>
      <c r="H490" s="881">
        <f ca="1">IF($G359&lt;=5000000,IF(H$485&gt;H$486,H$486,IF(H$485&lt;H$487,H$487,H$485)),IF(H$485&gt;H$488,H$488,IF(H$485&lt;H$489,H$489,H$485)))</f>
        <v>3.59</v>
      </c>
      <c r="I490" s="881">
        <f t="shared" ref="I490" ca="1" si="398">IF($G359&lt;=5000000,IF(I$485&gt;I$486,I$486,IF(I$485&lt;I$487,I$487,I$485)),IF(I$485&gt;I$488,I$488,IF(I$485&lt;I$489,I$489,I$485)))</f>
        <v>3.59</v>
      </c>
      <c r="J490" s="1031"/>
    </row>
    <row r="491" spans="1:10" s="607" customFormat="1" ht="15" thickBot="1">
      <c r="A491" s="2166" t="s">
        <v>2335</v>
      </c>
      <c r="B491" s="2167"/>
      <c r="C491" s="2167"/>
      <c r="D491" s="2167"/>
      <c r="E491" s="2167"/>
      <c r="F491" s="1029">
        <f t="shared" ref="F491" ca="1" si="399">ROUND(F490*IF(AND(F307="駅施設",F308="無し"),0.7,IF(AND(F307="駅施設",F308="有り"),0.7,IF(AND(F307="地上建物",F308="無し"),0.9,IF(AND(F307="地上建物",F308="有り"),1,0)))),2)</f>
        <v>0</v>
      </c>
      <c r="G491" s="993"/>
      <c r="H491" s="883">
        <f ca="1">ROUND(H490*IF(AND(H307="駅施設",H308="無し"),0.7,IF(AND(H307="駅施設",H308="有り"),0.7,IF(AND(H307="地上建物",H308="無し"),0.9,IF(AND(H307="地上建物",H308="有り"),1,0)))),2)</f>
        <v>0</v>
      </c>
      <c r="I491" s="883">
        <f t="shared" ref="I491" ca="1" si="400">ROUND(I490*IF(AND(I307="駅施設",I308="無し"),0.7,IF(AND(I307="駅施設",I308="有り"),0.7,IF(AND(I307="地上建物",I308="無し"),0.9,IF(AND(I307="地上建物",I308="有り"),1,0)))),2)</f>
        <v>0</v>
      </c>
      <c r="J491" s="1031"/>
    </row>
    <row r="492" spans="1:10" s="607" customFormat="1" ht="15" thickBot="1">
      <c r="F492" s="865"/>
      <c r="H492" s="865"/>
      <c r="I492" s="865"/>
    </row>
    <row r="493" spans="1:10" s="607" customFormat="1" ht="14">
      <c r="A493" s="866"/>
      <c r="B493" s="867"/>
      <c r="C493" s="868" t="s">
        <v>2340</v>
      </c>
      <c r="D493" s="869"/>
      <c r="E493" s="867"/>
      <c r="F493" s="886">
        <f t="shared" ref="F493" ca="1" si="401">+F501</f>
        <v>0</v>
      </c>
      <c r="G493" s="870" t="s">
        <v>2326</v>
      </c>
      <c r="H493" s="871">
        <f t="shared" ref="H493:I493" ca="1" si="402">+H501</f>
        <v>0</v>
      </c>
      <c r="I493" s="871">
        <f t="shared" ca="1" si="402"/>
        <v>0</v>
      </c>
      <c r="J493" s="1031"/>
    </row>
    <row r="494" spans="1:10" s="607" customFormat="1" ht="14">
      <c r="A494" s="2141"/>
      <c r="B494" s="2144" t="s">
        <v>2327</v>
      </c>
      <c r="C494" s="872" t="s">
        <v>2341</v>
      </c>
      <c r="D494" s="717"/>
      <c r="E494" s="873"/>
      <c r="F494" s="1371">
        <f ca="1">IF($G398&lt;=10000000,ROUND(151.08*((10000)^-0.3396)*(F493^0.586),2),ROUND(151.08*(($G398/1000)^-0.3396)*(F493^0.586),2))</f>
        <v>0</v>
      </c>
      <c r="G494" s="874" t="s">
        <v>2342</v>
      </c>
      <c r="H494" s="1288">
        <f ca="1">IF($G398&lt;=10000000,ROUND(151.08*((10000)^-0.3396)*(H493^0.586),2),ROUND(151.08*(($G398/1000)^-0.3396)*(H493^0.586),2))</f>
        <v>0</v>
      </c>
      <c r="I494" s="1288">
        <f t="shared" ref="I494" ca="1" si="403">IF($G398&lt;=10000000,ROUND(151.08*((10000)^-0.3396)*(I493^0.586),2),ROUND(151.08*(($G398/1000)^-0.3396)*(I493^0.586),2))</f>
        <v>0</v>
      </c>
      <c r="J494" s="1031"/>
    </row>
    <row r="495" spans="1:10" s="607" customFormat="1" ht="14">
      <c r="A495" s="2142"/>
      <c r="B495" s="2145"/>
      <c r="C495" s="2147" t="s">
        <v>2343</v>
      </c>
      <c r="D495" s="1180"/>
      <c r="E495" s="876"/>
      <c r="F495" s="891">
        <f t="shared" ref="F495" ca="1" si="404">IF($G398&lt;=10000000,ROUND(20.13,2),0)</f>
        <v>20.13</v>
      </c>
      <c r="G495" s="874" t="s">
        <v>2331</v>
      </c>
      <c r="H495" s="877">
        <f ca="1">IF($G398&lt;=10000000,ROUND(20.13,2),0)</f>
        <v>20.13</v>
      </c>
      <c r="I495" s="877">
        <f t="shared" ref="I495" ca="1" si="405">IF($G398&lt;=10000000,ROUND(20.13,2),0)</f>
        <v>20.13</v>
      </c>
      <c r="J495" s="1031"/>
    </row>
    <row r="496" spans="1:10" s="607" customFormat="1" ht="13.5" customHeight="1">
      <c r="A496" s="2142"/>
      <c r="B496" s="2145"/>
      <c r="C496" s="2148"/>
      <c r="D496" s="1047"/>
      <c r="E496" s="1001"/>
      <c r="F496" s="891">
        <f t="shared" ref="F496" ca="1" si="406">IF($G398&lt;=10000000,ROUND(10.01,2),0)</f>
        <v>10.01</v>
      </c>
      <c r="G496" s="874" t="s">
        <v>2332</v>
      </c>
      <c r="H496" s="877">
        <f ca="1">IF($G398&lt;=10000000,ROUND(10.01,2),0)</f>
        <v>10.01</v>
      </c>
      <c r="I496" s="877">
        <f t="shared" ref="I496" ca="1" si="407">IF($G398&lt;=10000000,ROUND(10.01,2),0)</f>
        <v>10.01</v>
      </c>
      <c r="J496" s="1031"/>
    </row>
    <row r="497" spans="1:10" s="607" customFormat="1" ht="14">
      <c r="A497" s="2142"/>
      <c r="B497" s="2145"/>
      <c r="C497" s="2147" t="s">
        <v>2344</v>
      </c>
      <c r="D497" s="1180"/>
      <c r="E497" s="876"/>
      <c r="F497" s="1028">
        <f t="shared" ref="F497" ca="1" si="408">IF($G398&gt;10000000,ROUND(75.97*($G398/1000)^-0.1442,2),0)</f>
        <v>0</v>
      </c>
      <c r="G497" s="874" t="s">
        <v>2331</v>
      </c>
      <c r="H497" s="878">
        <f ca="1">IF($G398&gt;10000000,ROUND(75.97*($G398/1000)^-0.1442,2),0)</f>
        <v>0</v>
      </c>
      <c r="I497" s="878">
        <f t="shared" ref="I497" ca="1" si="409">IF($G398&gt;10000000,ROUND(75.97*($G398/1000)^-0.1442,2),0)</f>
        <v>0</v>
      </c>
      <c r="J497" s="1031"/>
    </row>
    <row r="498" spans="1:10" s="607" customFormat="1" ht="13.5" customHeight="1">
      <c r="A498" s="2143"/>
      <c r="B498" s="2146"/>
      <c r="C498" s="2148"/>
      <c r="D498" s="1047"/>
      <c r="E498" s="1001"/>
      <c r="F498" s="1028">
        <f t="shared" ref="F498" ca="1" si="410">IF($G398&gt;10000000,ROUND(37.76*($G398/1000)^-0.1442,2),0)</f>
        <v>0</v>
      </c>
      <c r="G498" s="874" t="s">
        <v>2332</v>
      </c>
      <c r="H498" s="878">
        <f ca="1">IF($G398&gt;10000000,ROUND(37.76*($G398/1000)^-0.1442,2),0)</f>
        <v>0</v>
      </c>
      <c r="I498" s="878">
        <f t="shared" ref="I498" ca="1" si="411">IF($G398&gt;10000000,ROUND(37.76*($G398/1000)^-0.1442,2),0)</f>
        <v>0</v>
      </c>
      <c r="J498" s="1031"/>
    </row>
    <row r="499" spans="1:10" s="607" customFormat="1" ht="15" thickBot="1">
      <c r="A499" s="2154" t="s">
        <v>2345</v>
      </c>
      <c r="B499" s="2155"/>
      <c r="C499" s="2155"/>
      <c r="D499" s="2155"/>
      <c r="E499" s="1181"/>
      <c r="F499" s="1029">
        <f ca="1">IF($G398&lt;=10000000,IF(F$494&gt;F$495,F$495,IF(F$494&lt;F$496,F$496,F$494)),IF(F$494&gt;F$497,F$497,IF(F$494&lt;F$498,F$498,F$494)))</f>
        <v>10.01</v>
      </c>
      <c r="G499" s="882"/>
      <c r="H499" s="883">
        <f ca="1">IF($G398&lt;=10000000,IF(H$494&gt;H$495,H$495,IF(H$494&lt;H$496,H$496,H$494)),IF(H$494&gt;H$497,H$497,IF(H$494&lt;H$498,H$498,H$494)))</f>
        <v>10.01</v>
      </c>
      <c r="I499" s="883">
        <f t="shared" ref="I499" ca="1" si="412">IF($G398&lt;=10000000,IF(I$494&gt;I$495,I$495,IF(I$494&lt;I$496,I$496,I$494)),IF(I$494&gt;I$497,I$497,IF(I$494&lt;I$498,I$498,I$494)))</f>
        <v>10.01</v>
      </c>
      <c r="J499" s="1031"/>
    </row>
    <row r="500" spans="1:10" s="607" customFormat="1" ht="15" thickBot="1">
      <c r="F500" s="880"/>
      <c r="H500" s="880"/>
      <c r="I500" s="880"/>
      <c r="J500" s="1031"/>
    </row>
    <row r="501" spans="1:10" s="607" customFormat="1" ht="14">
      <c r="A501" s="866"/>
      <c r="B501" s="867"/>
      <c r="C501" s="868" t="s">
        <v>2340</v>
      </c>
      <c r="D501" s="869"/>
      <c r="E501" s="867"/>
      <c r="F501" s="886">
        <f t="shared" ref="F501" ca="1" si="413">+F302</f>
        <v>0</v>
      </c>
      <c r="G501" s="870" t="s">
        <v>2326</v>
      </c>
      <c r="H501" s="871">
        <f t="shared" ref="H501:I501" ca="1" si="414">+H302</f>
        <v>0</v>
      </c>
      <c r="I501" s="871">
        <f t="shared" ca="1" si="414"/>
        <v>0</v>
      </c>
      <c r="J501" s="1031"/>
    </row>
    <row r="502" spans="1:10" s="607" customFormat="1" ht="14">
      <c r="A502" s="2141"/>
      <c r="B502" s="2151" t="s">
        <v>2336</v>
      </c>
      <c r="C502" s="872" t="s">
        <v>2341</v>
      </c>
      <c r="D502" s="717"/>
      <c r="E502" s="873"/>
      <c r="F502" s="1371">
        <f ca="1">IF($G398&lt;=5000000,ROUND(356.2*((5000)^-0.4085)*(F501^0.5766),2),ROUND(356.2*(($G398/1000)^-0.4085)*(F501^0.5766),2))</f>
        <v>0</v>
      </c>
      <c r="G502" s="874" t="s">
        <v>2342</v>
      </c>
      <c r="H502" s="1288">
        <f ca="1">IF($G398&lt;=5000000,ROUND(356.2*((5000)^-0.4085)*(H501^0.5766),2),ROUND(356.2*(($G398/1000)^-0.4085)*(H501^0.5766),2))</f>
        <v>0</v>
      </c>
      <c r="I502" s="1288">
        <f t="shared" ref="I502" ca="1" si="415">IF($G398&lt;=5000000,ROUND(356.2*((5000)^-0.4085)*(I501^0.5766),2),ROUND(356.2*(($G398/1000)^-0.4085)*(I501^0.5766),2))</f>
        <v>0</v>
      </c>
      <c r="J502" s="1031"/>
    </row>
    <row r="503" spans="1:10" s="607" customFormat="1" ht="14">
      <c r="A503" s="2142"/>
      <c r="B503" s="2156"/>
      <c r="C503" s="2147" t="s">
        <v>2346</v>
      </c>
      <c r="D503" s="1180"/>
      <c r="E503" s="876"/>
      <c r="F503" s="891">
        <f t="shared" ref="F503" ca="1" si="416">IF($G398&lt;=5000000,ROUND(26.86,2),0)</f>
        <v>26.86</v>
      </c>
      <c r="G503" s="874" t="s">
        <v>2331</v>
      </c>
      <c r="H503" s="877">
        <f ca="1">IF($G398&lt;=5000000,ROUND(26.86,2),0)</f>
        <v>26.86</v>
      </c>
      <c r="I503" s="877">
        <f t="shared" ref="I503" ca="1" si="417">IF($G398&lt;=5000000,ROUND(26.86,2),0)</f>
        <v>26.86</v>
      </c>
      <c r="J503" s="1031"/>
    </row>
    <row r="504" spans="1:10" s="607" customFormat="1" ht="13.5" customHeight="1">
      <c r="A504" s="2142"/>
      <c r="B504" s="2156"/>
      <c r="C504" s="2148"/>
      <c r="D504" s="1047"/>
      <c r="E504" s="1001"/>
      <c r="F504" s="891">
        <f t="shared" ref="F504" ca="1" si="418">IF($G398&lt;=5000000,ROUND(12.7,2),0)</f>
        <v>12.7</v>
      </c>
      <c r="G504" s="874" t="s">
        <v>2332</v>
      </c>
      <c r="H504" s="877">
        <f ca="1">IF($G398&lt;=5000000,ROUND(12.7,2),0)</f>
        <v>12.7</v>
      </c>
      <c r="I504" s="877">
        <f t="shared" ref="I504" ca="1" si="419">IF($G398&lt;=5000000,ROUND(12.7,2),0)</f>
        <v>12.7</v>
      </c>
      <c r="J504" s="1031"/>
    </row>
    <row r="505" spans="1:10" s="607" customFormat="1" ht="14">
      <c r="A505" s="2142"/>
      <c r="B505" s="2156"/>
      <c r="C505" s="2147" t="s">
        <v>2347</v>
      </c>
      <c r="D505" s="1180"/>
      <c r="E505" s="876"/>
      <c r="F505" s="1028">
        <f t="shared" ref="F505" ca="1" si="420">IF($G398&gt;5000000,ROUND(184.58*($G398/1000)^-0.2263,2),0)</f>
        <v>0</v>
      </c>
      <c r="G505" s="874" t="s">
        <v>2331</v>
      </c>
      <c r="H505" s="878">
        <f ca="1">IF($G398&gt;5000000,ROUND(184.58*($G398/1000)^-0.2263,2),0)</f>
        <v>0</v>
      </c>
      <c r="I505" s="878">
        <f t="shared" ref="I505" ca="1" si="421">IF($G398&gt;5000000,ROUND(184.58*($G398/1000)^-0.2263,2),0)</f>
        <v>0</v>
      </c>
      <c r="J505" s="1031"/>
    </row>
    <row r="506" spans="1:10" s="607" customFormat="1" ht="13.5" customHeight="1">
      <c r="A506" s="2143"/>
      <c r="B506" s="2157"/>
      <c r="C506" s="2148"/>
      <c r="D506" s="1047"/>
      <c r="E506" s="1001"/>
      <c r="F506" s="1028">
        <f t="shared" ref="F506" ca="1" si="422">IF($G398&gt;5000000,ROUND(87.29*($G398/1000)^-0.2263,2),0)</f>
        <v>0</v>
      </c>
      <c r="G506" s="874" t="s">
        <v>2332</v>
      </c>
      <c r="H506" s="878">
        <f ca="1">IF($G398&gt;5000000,ROUND(87.29*($G398/1000)^-0.2263,2),0)</f>
        <v>0</v>
      </c>
      <c r="I506" s="878">
        <f t="shared" ref="I506" ca="1" si="423">IF($G398&gt;5000000,ROUND(87.29*($G398/1000)^-0.2263,2),0)</f>
        <v>0</v>
      </c>
      <c r="J506" s="1031"/>
    </row>
    <row r="507" spans="1:10" s="607" customFormat="1" ht="15" thickBot="1">
      <c r="A507" s="2154" t="s">
        <v>2345</v>
      </c>
      <c r="B507" s="2155"/>
      <c r="C507" s="2155"/>
      <c r="D507" s="2155"/>
      <c r="E507" s="884"/>
      <c r="F507" s="895">
        <f ca="1">IF($G398&lt;=5000000,IF(F$502&gt;F$503,F$503,IF(F$502&lt;F$504,F$504,F$502)),IF(F$502&gt;F$505,F$505,IF(F$502&lt;F$506,F$506,F$502)))</f>
        <v>12.7</v>
      </c>
      <c r="G507" s="882"/>
      <c r="H507" s="885">
        <f ca="1">IF($G398&lt;=5000000,IF(H$502&gt;H$503,H$503,IF(H$502&lt;H$504,H$504,H$502)),IF(H$502&gt;H$505,H$505,IF(H$502&lt;H$506,H$506,H$502)))</f>
        <v>12.7</v>
      </c>
      <c r="I507" s="885">
        <f t="shared" ref="I507" ca="1" si="424">IF($G398&lt;=5000000,IF(I$502&gt;I$503,I$503,IF(I$502&lt;I$504,I$504,I$502)),IF(I$502&gt;I$505,I$505,IF(I$502&lt;I$506,I$506,I$502)))</f>
        <v>12.7</v>
      </c>
      <c r="J507" s="1031"/>
    </row>
    <row r="508" spans="1:10" s="607" customFormat="1" ht="15" thickBot="1">
      <c r="F508" s="865"/>
      <c r="H508" s="865"/>
      <c r="I508" s="865"/>
    </row>
    <row r="509" spans="1:10" s="607" customFormat="1" ht="14">
      <c r="A509" s="866"/>
      <c r="B509" s="867"/>
      <c r="C509" s="868" t="s">
        <v>2348</v>
      </c>
      <c r="D509" s="869"/>
      <c r="E509" s="867"/>
      <c r="F509" s="997"/>
      <c r="G509" s="870"/>
      <c r="H509" s="886"/>
      <c r="I509" s="887"/>
    </row>
    <row r="510" spans="1:10" s="607" customFormat="1" ht="14">
      <c r="A510" s="1379"/>
      <c r="B510" s="2151" t="s">
        <v>77</v>
      </c>
      <c r="C510" s="872" t="s">
        <v>2349</v>
      </c>
      <c r="D510" s="717"/>
      <c r="E510" s="873"/>
      <c r="F510" s="1000"/>
      <c r="G510" s="874" t="s">
        <v>2350</v>
      </c>
      <c r="H510" s="888" t="e">
        <f ca="1">ROUND(28.978-3.173*LOG($G441/1000),2)</f>
        <v>#NUM!</v>
      </c>
      <c r="I510" s="889"/>
    </row>
    <row r="511" spans="1:10" s="607" customFormat="1" ht="13.5" customHeight="1">
      <c r="A511" s="1380"/>
      <c r="B511" s="2152"/>
      <c r="C511" s="1376" t="s">
        <v>2351</v>
      </c>
      <c r="D511" s="1180"/>
      <c r="E511" s="1180"/>
      <c r="F511" s="893"/>
      <c r="G511" s="890"/>
      <c r="H511" s="891">
        <f ca="1">IF($G441&lt;=5000000,17.24,0)</f>
        <v>17.239999999999998</v>
      </c>
      <c r="I511" s="892"/>
    </row>
    <row r="512" spans="1:10" s="607" customFormat="1" ht="14">
      <c r="A512" s="1381"/>
      <c r="B512" s="2153"/>
      <c r="C512" s="1376" t="s">
        <v>2352</v>
      </c>
      <c r="D512" s="1180"/>
      <c r="E512" s="717"/>
      <c r="F512" s="998"/>
      <c r="G512" s="890"/>
      <c r="H512" s="891">
        <f ca="1">IF($G441&gt;3000000000,8.43,0)</f>
        <v>0</v>
      </c>
      <c r="I512" s="894"/>
    </row>
    <row r="513" spans="1:9" s="607" customFormat="1" ht="15" thickBot="1">
      <c r="A513" s="1377" t="s">
        <v>2353</v>
      </c>
      <c r="B513" s="1378"/>
      <c r="C513" s="1378"/>
      <c r="D513" s="1378"/>
      <c r="E513" s="884"/>
      <c r="F513" s="999"/>
      <c r="G513" s="882"/>
      <c r="H513" s="895">
        <f ca="1">IF($G441&lt;=5000000,H511,IF($G441&gt;3000000000,H512,H510))</f>
        <v>17.239999999999998</v>
      </c>
      <c r="I513" s="896"/>
    </row>
    <row r="514" spans="1:9" s="607" customFormat="1" ht="13.5" customHeight="1">
      <c r="F514" s="865"/>
      <c r="H514" s="865"/>
      <c r="I514" s="865"/>
    </row>
    <row r="515" spans="1:9" s="607" customFormat="1" ht="13.5" customHeight="1">
      <c r="F515" s="865"/>
      <c r="H515" s="865"/>
      <c r="I515" s="865"/>
    </row>
    <row r="516" spans="1:9" s="607" customFormat="1" ht="13.5" customHeight="1">
      <c r="F516" s="865"/>
      <c r="H516" s="865"/>
      <c r="I516" s="865"/>
    </row>
    <row r="517" spans="1:9" s="607" customFormat="1" ht="13.5" customHeight="1">
      <c r="F517" s="865"/>
      <c r="H517" s="865"/>
      <c r="I517" s="865"/>
    </row>
    <row r="518" spans="1:9" s="607" customFormat="1" ht="13.5" customHeight="1">
      <c r="F518" s="865"/>
      <c r="H518" s="865"/>
      <c r="I518" s="865"/>
    </row>
    <row r="519" spans="1:9" s="607" customFormat="1" ht="13.5" customHeight="1">
      <c r="F519" s="865"/>
      <c r="H519" s="865"/>
      <c r="I519" s="865"/>
    </row>
    <row r="520" spans="1:9" s="607" customFormat="1" ht="13.5" customHeight="1">
      <c r="F520" s="865"/>
      <c r="H520" s="865"/>
      <c r="I520" s="865"/>
    </row>
    <row r="521" spans="1:9" s="607" customFormat="1" ht="13.5" customHeight="1">
      <c r="F521" s="865"/>
      <c r="H521" s="865"/>
      <c r="I521" s="865"/>
    </row>
    <row r="522" spans="1:9" s="607" customFormat="1" ht="13.5" customHeight="1">
      <c r="F522" s="865"/>
      <c r="H522" s="865"/>
      <c r="I522" s="865"/>
    </row>
    <row r="523" spans="1:9" s="607" customFormat="1" ht="13.5" customHeight="1">
      <c r="F523" s="865"/>
      <c r="H523" s="865"/>
      <c r="I523" s="865"/>
    </row>
    <row r="524" spans="1:9" s="607" customFormat="1" ht="13.5" customHeight="1">
      <c r="F524" s="865"/>
      <c r="H524" s="865"/>
      <c r="I524" s="865"/>
    </row>
    <row r="525" spans="1:9" s="607" customFormat="1" ht="13.5" customHeight="1">
      <c r="F525" s="865"/>
      <c r="H525" s="865"/>
      <c r="I525" s="865"/>
    </row>
    <row r="526" spans="1:9" s="607" customFormat="1" ht="13.5" customHeight="1">
      <c r="F526" s="865"/>
      <c r="H526" s="865"/>
      <c r="I526" s="865"/>
    </row>
    <row r="527" spans="1:9" s="607" customFormat="1" ht="13.5" customHeight="1">
      <c r="F527" s="865"/>
      <c r="H527" s="865"/>
      <c r="I527" s="865"/>
    </row>
    <row r="528" spans="1:9" s="607" customFormat="1" ht="13.5" customHeight="1">
      <c r="F528" s="865"/>
      <c r="H528" s="865"/>
      <c r="I528" s="865"/>
    </row>
    <row r="529" spans="6:9" s="607" customFormat="1" ht="13.5" customHeight="1">
      <c r="F529" s="865"/>
      <c r="H529" s="865"/>
      <c r="I529" s="865"/>
    </row>
    <row r="530" spans="6:9" s="607" customFormat="1" ht="13.5" customHeight="1">
      <c r="F530" s="865"/>
      <c r="H530" s="865"/>
      <c r="I530" s="865"/>
    </row>
    <row r="531" spans="6:9" s="607" customFormat="1" ht="13.5" customHeight="1">
      <c r="F531" s="865"/>
      <c r="H531" s="865"/>
      <c r="I531" s="865"/>
    </row>
    <row r="532" spans="6:9" s="607" customFormat="1" ht="13.5" customHeight="1">
      <c r="F532" s="865"/>
      <c r="H532" s="865"/>
      <c r="I532" s="865"/>
    </row>
  </sheetData>
  <sheetProtection selectLockedCells="1" selectUnlockedCells="1"/>
  <mergeCells count="79">
    <mergeCell ref="M1:N1"/>
    <mergeCell ref="A14:E14"/>
    <mergeCell ref="B6:D6"/>
    <mergeCell ref="B7:D7"/>
    <mergeCell ref="B8:D8"/>
    <mergeCell ref="B9:D9"/>
    <mergeCell ref="A13:E13"/>
    <mergeCell ref="E180:E181"/>
    <mergeCell ref="A181:C181"/>
    <mergeCell ref="A91:E91"/>
    <mergeCell ref="A92:E92"/>
    <mergeCell ref="B119:B122"/>
    <mergeCell ref="B123:B131"/>
    <mergeCell ref="B132:B138"/>
    <mergeCell ref="D141:D142"/>
    <mergeCell ref="E141:E142"/>
    <mergeCell ref="A142:C142"/>
    <mergeCell ref="B214:B215"/>
    <mergeCell ref="A159:C159"/>
    <mergeCell ref="B160:B165"/>
    <mergeCell ref="B166:B174"/>
    <mergeCell ref="D180:D181"/>
    <mergeCell ref="B183:B186"/>
    <mergeCell ref="B187:B195"/>
    <mergeCell ref="A198:C198"/>
    <mergeCell ref="B199:B204"/>
    <mergeCell ref="B205:B213"/>
    <mergeCell ref="B360:B363"/>
    <mergeCell ref="C226:E226"/>
    <mergeCell ref="B230:B231"/>
    <mergeCell ref="B234:B236"/>
    <mergeCell ref="B240:B241"/>
    <mergeCell ref="B244:B246"/>
    <mergeCell ref="B247:B248"/>
    <mergeCell ref="A307:E307"/>
    <mergeCell ref="A308:E308"/>
    <mergeCell ref="B335:B338"/>
    <mergeCell ref="B339:B347"/>
    <mergeCell ref="B348:B354"/>
    <mergeCell ref="A358:C358"/>
    <mergeCell ref="B449:B451"/>
    <mergeCell ref="B364:B372"/>
    <mergeCell ref="A375:C375"/>
    <mergeCell ref="B376:B381"/>
    <mergeCell ref="B382:B390"/>
    <mergeCell ref="B399:B402"/>
    <mergeCell ref="B403:B411"/>
    <mergeCell ref="B415:B420"/>
    <mergeCell ref="B421:B429"/>
    <mergeCell ref="B430:B431"/>
    <mergeCell ref="C441:E441"/>
    <mergeCell ref="B445:B446"/>
    <mergeCell ref="A397:C397"/>
    <mergeCell ref="A414:C414"/>
    <mergeCell ref="C488:C489"/>
    <mergeCell ref="A490:E490"/>
    <mergeCell ref="A491:E491"/>
    <mergeCell ref="B455:B456"/>
    <mergeCell ref="B459:B461"/>
    <mergeCell ref="B462:B463"/>
    <mergeCell ref="B476:B480"/>
    <mergeCell ref="C477:C478"/>
    <mergeCell ref="C479:C480"/>
    <mergeCell ref="B82:B83"/>
    <mergeCell ref="B79:B80"/>
    <mergeCell ref="A507:D507"/>
    <mergeCell ref="B510:B512"/>
    <mergeCell ref="A494:A498"/>
    <mergeCell ref="B494:B498"/>
    <mergeCell ref="C495:C496"/>
    <mergeCell ref="C497:C498"/>
    <mergeCell ref="A499:D499"/>
    <mergeCell ref="A502:A506"/>
    <mergeCell ref="B502:B506"/>
    <mergeCell ref="C503:C504"/>
    <mergeCell ref="C505:C506"/>
    <mergeCell ref="A485:A489"/>
    <mergeCell ref="B485:B489"/>
    <mergeCell ref="C486:C487"/>
  </mergeCells>
  <phoneticPr fontId="6"/>
  <conditionalFormatting sqref="G305">
    <cfRule type="expression" dxfId="10" priority="2" stopIfTrue="1">
      <formula>AND($F$115&gt;5000000,OR($E$89="無し",$E$89="なし"))</formula>
    </cfRule>
  </conditionalFormatting>
  <conditionalFormatting sqref="G12">
    <cfRule type="expression" dxfId="9" priority="3" stopIfTrue="1">
      <formula>AND($G$115&gt;5000000,OR($E$89="無し",$E$89="なし"))</formula>
    </cfRule>
  </conditionalFormatting>
  <conditionalFormatting sqref="A12">
    <cfRule type="expression" dxfId="8" priority="4" stopIfTrue="1">
      <formula>AND($G$115&gt;5000000,OR($E$89="無し",$E$89="なし"))</formula>
    </cfRule>
  </conditionalFormatting>
  <conditionalFormatting sqref="E12">
    <cfRule type="expression" dxfId="7" priority="1" stopIfTrue="1">
      <formula>AND($G$115&gt;5000000,OR($E$89="無し",$E$89="なし"))</formula>
    </cfRule>
  </conditionalFormatting>
  <dataValidations count="4">
    <dataValidation type="list" allowBlank="1" showInputMessage="1" showErrorMessage="1" sqref="E304:E305 F14 F308 H308:I308 H14:I14" xr:uid="{00000000-0002-0000-0400-000000000000}">
      <formula1>"有り,無し"</formula1>
    </dataValidation>
    <dataValidation type="list" allowBlank="1" showInputMessage="1" showErrorMessage="1" sqref="F12 F306 H306:I306 H12:I12" xr:uid="{00000000-0002-0000-0400-000001000000}">
      <formula1>"積上げ,積上げ・率処理併用"</formula1>
    </dataValidation>
    <dataValidation type="list" allowBlank="1" showInputMessage="1" showErrorMessage="1" sqref="F11 H11:I11" xr:uid="{00000000-0002-0000-0400-000002000000}">
      <formula1>"改修,新営"</formula1>
    </dataValidation>
    <dataValidation type="list" allowBlank="1" showInputMessage="1" showErrorMessage="1" sqref="F13 F307 H307:I307 H13:I13" xr:uid="{00000000-0002-0000-0400-000003000000}">
      <formula1>"駅施設,地上建物"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1" fitToHeight="3" orientation="landscape" cellComments="asDisplayed" horizontalDpi="300" verticalDpi="300" r:id="rId1"/>
  <headerFooter alignWithMargins="0"/>
  <rowBreaks count="10" manualBreakCount="10">
    <brk id="83" max="16383" man="1"/>
    <brk id="138" max="16383" man="1"/>
    <brk id="177" max="16383" man="1"/>
    <brk id="219" max="16383" man="1"/>
    <brk id="259" max="16383" man="1"/>
    <brk id="298" max="16383" man="1"/>
    <brk id="299" max="16383" man="1"/>
    <brk id="354" max="16383" man="1"/>
    <brk id="392" max="16383" man="1"/>
    <brk id="43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51" r:id="rId4" name="Button 23">
              <controlPr defaultSize="0" print="0" autoFill="0" autoPict="0" macro="[0]!変更諸経費表入力フォーム2の呼出し">
                <anchor moveWithCells="1" sizeWithCells="1">
                  <from>
                    <xdr:col>13</xdr:col>
                    <xdr:colOff>190500</xdr:colOff>
                    <xdr:row>1</xdr:row>
                    <xdr:rowOff>152400</xdr:rowOff>
                  </from>
                  <to>
                    <xdr:col>13</xdr:col>
                    <xdr:colOff>1790700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/>
  <dimension ref="A1:J513"/>
  <sheetViews>
    <sheetView view="pageBreakPreview" zoomScale="80" zoomScaleNormal="100" zoomScaleSheetLayoutView="80" workbookViewId="0"/>
  </sheetViews>
  <sheetFormatPr baseColWidth="10" defaultColWidth="9" defaultRowHeight="13.5" customHeight="1"/>
  <cols>
    <col min="1" max="1" width="5" style="607" customWidth="1"/>
    <col min="2" max="2" width="3.5" style="607" customWidth="1"/>
    <col min="3" max="3" width="21.5" style="607" customWidth="1"/>
    <col min="4" max="4" width="4" style="607" customWidth="1"/>
    <col min="5" max="5" width="6.6640625" style="607" customWidth="1"/>
    <col min="6" max="6" width="14.33203125" style="865" customWidth="1"/>
    <col min="7" max="7" width="14.33203125" style="607" customWidth="1"/>
    <col min="8" max="9" width="14.33203125" style="865" customWidth="1"/>
    <col min="10" max="10" width="2.33203125" style="1731" customWidth="1"/>
    <col min="11" max="16384" width="9" style="1225"/>
  </cols>
  <sheetData>
    <row r="1" spans="1:10" s="1223" customFormat="1" ht="27.75" customHeight="1">
      <c r="A1" s="647"/>
      <c r="B1" s="1458"/>
      <c r="C1" s="575"/>
      <c r="D1" s="1739"/>
      <c r="E1" s="1740" t="s">
        <v>2162</v>
      </c>
      <c r="F1" s="1741"/>
      <c r="G1" s="1113"/>
      <c r="H1" s="1090"/>
      <c r="I1" s="1090"/>
      <c r="J1" s="1729"/>
    </row>
    <row r="2" spans="1:10" s="1223" customFormat="1" ht="14">
      <c r="A2" s="1457"/>
      <c r="B2" s="574"/>
      <c r="C2" s="575"/>
      <c r="D2" s="575"/>
      <c r="E2" s="576"/>
      <c r="F2" s="622"/>
      <c r="G2" s="1459" t="s">
        <v>2745</v>
      </c>
      <c r="H2" s="711">
        <v>1</v>
      </c>
      <c r="I2" s="711">
        <v>2</v>
      </c>
      <c r="J2" s="1729"/>
    </row>
    <row r="3" spans="1:10" s="1223" customFormat="1" ht="15" thickBot="1">
      <c r="A3" s="574"/>
      <c r="B3" s="1187"/>
      <c r="C3" s="1712" t="s">
        <v>3097</v>
      </c>
      <c r="D3" s="1711" t="s">
        <v>2251</v>
      </c>
      <c r="E3" s="1185"/>
      <c r="F3" s="711" t="s">
        <v>2891</v>
      </c>
      <c r="G3" s="1460" t="s">
        <v>2892</v>
      </c>
      <c r="H3" s="711" t="s">
        <v>2385</v>
      </c>
      <c r="I3" s="711" t="s">
        <v>2384</v>
      </c>
      <c r="J3" s="1729"/>
    </row>
    <row r="4" spans="1:10" s="1223" customFormat="1" ht="21.75" customHeight="1" thickBot="1">
      <c r="A4" s="1461"/>
      <c r="B4" s="1268"/>
      <c r="C4" s="647" t="s">
        <v>2975</v>
      </c>
      <c r="D4" s="647"/>
      <c r="E4" s="1212" t="s">
        <v>2164</v>
      </c>
      <c r="F4" s="1364" t="s">
        <v>2747</v>
      </c>
      <c r="G4" s="1186"/>
      <c r="H4" s="1364"/>
      <c r="I4" s="1364"/>
      <c r="J4" s="1729"/>
    </row>
    <row r="5" spans="1:10" s="1223" customFormat="1" ht="16.5" customHeight="1">
      <c r="A5" s="1213" t="s">
        <v>2893</v>
      </c>
      <c r="B5" s="1214"/>
      <c r="C5" s="1462"/>
      <c r="D5" s="1215"/>
      <c r="E5" s="1216"/>
      <c r="F5" s="1100" t="s">
        <v>2879</v>
      </c>
      <c r="G5" s="1239" t="s">
        <v>2369</v>
      </c>
      <c r="H5" s="1100" t="s">
        <v>2385</v>
      </c>
      <c r="I5" s="1100" t="s">
        <v>2384</v>
      </c>
      <c r="J5" s="1729"/>
    </row>
    <row r="6" spans="1:10" s="1223" customFormat="1" ht="13.5" customHeight="1">
      <c r="A6" s="580"/>
      <c r="B6" s="1434" t="s">
        <v>2166</v>
      </c>
      <c r="C6" s="1463"/>
      <c r="D6" s="1463"/>
      <c r="E6" s="582"/>
      <c r="F6" s="585">
        <v>0</v>
      </c>
      <c r="G6" s="583"/>
      <c r="H6" s="584"/>
      <c r="I6" s="585"/>
      <c r="J6" s="1729"/>
    </row>
    <row r="7" spans="1:10" s="1223" customFormat="1" ht="13.5" customHeight="1">
      <c r="A7" s="586"/>
      <c r="B7" s="1435" t="s">
        <v>2167</v>
      </c>
      <c r="C7" s="1464"/>
      <c r="D7" s="1464"/>
      <c r="E7" s="1409"/>
      <c r="F7" s="589">
        <v>0</v>
      </c>
      <c r="G7" s="587"/>
      <c r="H7" s="588"/>
      <c r="I7" s="589"/>
      <c r="J7" s="1729"/>
    </row>
    <row r="8" spans="1:10" s="1223" customFormat="1" ht="13.5" customHeight="1">
      <c r="A8" s="590"/>
      <c r="B8" s="1436" t="s">
        <v>229</v>
      </c>
      <c r="C8" s="1437"/>
      <c r="D8" s="1437"/>
      <c r="E8" s="591"/>
      <c r="F8" s="594">
        <v>0</v>
      </c>
      <c r="G8" s="592"/>
      <c r="H8" s="593"/>
      <c r="I8" s="594"/>
      <c r="J8" s="1729"/>
    </row>
    <row r="9" spans="1:10" s="1223" customFormat="1" ht="13.5" customHeight="1">
      <c r="A9" s="586"/>
      <c r="B9" s="1436" t="s">
        <v>2861</v>
      </c>
      <c r="C9" s="1437"/>
      <c r="D9" s="1437"/>
      <c r="E9" s="1144"/>
      <c r="F9" s="612">
        <v>0</v>
      </c>
      <c r="G9" s="600">
        <v>156310000</v>
      </c>
      <c r="H9" s="1243"/>
      <c r="I9" s="1243"/>
      <c r="J9" s="1729"/>
    </row>
    <row r="10" spans="1:10" s="1224" customFormat="1" ht="13.5" customHeight="1">
      <c r="A10" s="595"/>
      <c r="B10" s="596"/>
      <c r="C10" s="597" t="s">
        <v>2168</v>
      </c>
      <c r="D10" s="598"/>
      <c r="E10" s="599"/>
      <c r="F10" s="601">
        <v>0</v>
      </c>
      <c r="G10" s="1241" t="s">
        <v>2976</v>
      </c>
      <c r="H10" s="601"/>
      <c r="I10" s="601"/>
      <c r="J10" s="1730"/>
    </row>
    <row r="11" spans="1:10" s="1224" customFormat="1" ht="13.5" customHeight="1">
      <c r="A11" s="994"/>
      <c r="B11" s="995"/>
      <c r="C11" s="1176" t="s">
        <v>2169</v>
      </c>
      <c r="D11" s="1177"/>
      <c r="E11" s="603"/>
      <c r="F11" s="605"/>
      <c r="G11" s="1242" t="s">
        <v>2906</v>
      </c>
      <c r="H11" s="605"/>
      <c r="I11" s="605"/>
      <c r="J11" s="1730"/>
    </row>
    <row r="12" spans="1:10" ht="13.5" customHeight="1">
      <c r="A12" s="994"/>
      <c r="B12" s="995"/>
      <c r="C12" s="995"/>
      <c r="D12" s="995"/>
      <c r="E12" s="995" t="s">
        <v>2894</v>
      </c>
      <c r="F12" s="1465"/>
      <c r="G12" s="1252"/>
      <c r="H12" s="1465"/>
      <c r="I12" s="605"/>
    </row>
    <row r="13" spans="1:10" ht="30" customHeight="1">
      <c r="A13" s="1753" t="s">
        <v>2895</v>
      </c>
      <c r="B13" s="1466"/>
      <c r="C13" s="2210" t="s">
        <v>3068</v>
      </c>
      <c r="D13" s="2211"/>
      <c r="E13" s="2211"/>
      <c r="F13" s="2212"/>
      <c r="G13" s="1467"/>
      <c r="H13" s="1094"/>
      <c r="I13" s="1094"/>
    </row>
    <row r="14" spans="1:10" ht="30" customHeight="1">
      <c r="A14" s="1753" t="s">
        <v>3102</v>
      </c>
      <c r="B14" s="1466"/>
      <c r="C14" s="2213"/>
      <c r="D14" s="2213"/>
      <c r="E14" s="2213"/>
      <c r="F14" s="2214"/>
      <c r="G14" s="1110"/>
      <c r="H14" s="1095"/>
      <c r="I14" s="1095"/>
    </row>
    <row r="15" spans="1:10" ht="13.5" customHeight="1">
      <c r="A15" s="595"/>
      <c r="B15" s="608" t="s">
        <v>2868</v>
      </c>
      <c r="C15" s="609"/>
      <c r="D15" s="609"/>
      <c r="E15" s="610"/>
      <c r="F15" s="612"/>
      <c r="G15" s="611"/>
      <c r="H15" s="612"/>
      <c r="I15" s="612"/>
    </row>
    <row r="16" spans="1:10" ht="13.5" customHeight="1">
      <c r="A16" s="994"/>
      <c r="B16" s="995"/>
      <c r="C16" s="538" t="s">
        <v>2174</v>
      </c>
      <c r="D16" s="539"/>
      <c r="E16" s="599"/>
      <c r="F16" s="725"/>
      <c r="G16" s="613"/>
      <c r="H16" s="725"/>
      <c r="I16" s="725"/>
    </row>
    <row r="17" spans="1:9" ht="14">
      <c r="A17" s="994"/>
      <c r="B17" s="995"/>
      <c r="C17" s="540" t="s">
        <v>2175</v>
      </c>
      <c r="D17" s="540"/>
      <c r="E17" s="614"/>
      <c r="F17" s="616"/>
      <c r="G17" s="615"/>
      <c r="H17" s="616"/>
      <c r="I17" s="616"/>
    </row>
    <row r="18" spans="1:9" ht="13.5" customHeight="1">
      <c r="A18" s="994"/>
      <c r="B18" s="995"/>
      <c r="C18" s="617" t="s">
        <v>2176</v>
      </c>
      <c r="D18" s="540"/>
      <c r="E18" s="614"/>
      <c r="F18" s="616"/>
      <c r="G18" s="615"/>
      <c r="H18" s="616"/>
      <c r="I18" s="616"/>
    </row>
    <row r="19" spans="1:9" ht="13.5" customHeight="1">
      <c r="A19" s="994"/>
      <c r="B19" s="995"/>
      <c r="C19" s="617" t="s">
        <v>2177</v>
      </c>
      <c r="D19" s="540"/>
      <c r="E19" s="614"/>
      <c r="F19" s="616"/>
      <c r="G19" s="615"/>
      <c r="H19" s="616"/>
      <c r="I19" s="616"/>
    </row>
    <row r="20" spans="1:9" ht="13.5" customHeight="1">
      <c r="A20" s="994"/>
      <c r="B20" s="995"/>
      <c r="C20" s="617" t="s">
        <v>2178</v>
      </c>
      <c r="D20" s="540"/>
      <c r="E20" s="614"/>
      <c r="F20" s="616"/>
      <c r="G20" s="615"/>
      <c r="H20" s="616"/>
      <c r="I20" s="616"/>
    </row>
    <row r="21" spans="1:9" ht="13.5" customHeight="1">
      <c r="A21" s="994"/>
      <c r="B21" s="995"/>
      <c r="C21" s="617" t="s">
        <v>2179</v>
      </c>
      <c r="D21" s="540"/>
      <c r="E21" s="614"/>
      <c r="F21" s="616"/>
      <c r="G21" s="615"/>
      <c r="H21" s="616"/>
      <c r="I21" s="616"/>
    </row>
    <row r="22" spans="1:9" ht="13.5" customHeight="1">
      <c r="A22" s="994"/>
      <c r="B22" s="995"/>
      <c r="C22" s="996" t="s">
        <v>2180</v>
      </c>
      <c r="D22" s="540"/>
      <c r="E22" s="614"/>
      <c r="F22" s="1244"/>
      <c r="G22" s="615"/>
      <c r="H22" s="619"/>
      <c r="I22" s="619"/>
    </row>
    <row r="23" spans="1:9" ht="13.5" customHeight="1">
      <c r="A23" s="994"/>
      <c r="B23" s="995"/>
      <c r="C23" s="617" t="s">
        <v>2181</v>
      </c>
      <c r="D23" s="540"/>
      <c r="E23" s="614"/>
      <c r="F23" s="1244"/>
      <c r="G23" s="615"/>
      <c r="H23" s="1244"/>
      <c r="I23" s="1244"/>
    </row>
    <row r="24" spans="1:9" ht="14">
      <c r="A24" s="994"/>
      <c r="B24" s="995"/>
      <c r="C24" s="617" t="s">
        <v>2182</v>
      </c>
      <c r="D24" s="540"/>
      <c r="E24" s="614"/>
      <c r="F24" s="616"/>
      <c r="G24" s="615"/>
      <c r="H24" s="616"/>
      <c r="I24" s="616"/>
    </row>
    <row r="25" spans="1:9" ht="13.5" customHeight="1">
      <c r="A25" s="994"/>
      <c r="B25" s="995"/>
      <c r="C25" s="621" t="s">
        <v>2183</v>
      </c>
      <c r="D25" s="540"/>
      <c r="E25" s="614"/>
      <c r="F25" s="616"/>
      <c r="G25" s="615"/>
      <c r="H25" s="616"/>
      <c r="I25" s="616"/>
    </row>
    <row r="26" spans="1:9" ht="14">
      <c r="A26" s="994"/>
      <c r="B26" s="995"/>
      <c r="C26" s="622" t="s">
        <v>2184</v>
      </c>
      <c r="D26" s="623"/>
      <c r="E26" s="624"/>
      <c r="F26" s="724"/>
      <c r="G26" s="625"/>
      <c r="H26" s="724"/>
      <c r="I26" s="724"/>
    </row>
    <row r="27" spans="1:9" ht="13.5" customHeight="1">
      <c r="A27" s="626" t="s">
        <v>2185</v>
      </c>
      <c r="B27" s="627"/>
      <c r="C27" s="1269"/>
      <c r="D27" s="1269"/>
      <c r="E27" s="629"/>
      <c r="F27" s="631"/>
      <c r="G27" s="630"/>
      <c r="H27" s="631"/>
      <c r="I27" s="631"/>
    </row>
    <row r="28" spans="1:9" ht="30">
      <c r="A28" s="967"/>
      <c r="B28" s="1425" t="s">
        <v>157</v>
      </c>
      <c r="C28" s="539" t="s">
        <v>2187</v>
      </c>
      <c r="D28" s="539"/>
      <c r="E28" s="600"/>
      <c r="F28" s="725"/>
      <c r="G28" s="613"/>
      <c r="H28" s="725"/>
      <c r="I28" s="725"/>
    </row>
    <row r="29" spans="1:9" ht="14">
      <c r="A29" s="967"/>
      <c r="B29" s="1423"/>
      <c r="C29" s="541" t="s">
        <v>2188</v>
      </c>
      <c r="D29" s="541"/>
      <c r="E29" s="614"/>
      <c r="F29" s="616"/>
      <c r="G29" s="615"/>
      <c r="H29" s="616"/>
      <c r="I29" s="616"/>
    </row>
    <row r="30" spans="1:9" ht="14">
      <c r="A30" s="967"/>
      <c r="B30" s="1423"/>
      <c r="C30" s="632" t="s">
        <v>2277</v>
      </c>
      <c r="D30" s="541"/>
      <c r="E30" s="614"/>
      <c r="F30" s="616"/>
      <c r="G30" s="615"/>
      <c r="H30" s="616"/>
      <c r="I30" s="616"/>
    </row>
    <row r="31" spans="1:9" ht="14">
      <c r="A31" s="967"/>
      <c r="B31" s="1422"/>
      <c r="C31" s="632" t="s">
        <v>2190</v>
      </c>
      <c r="D31" s="541"/>
      <c r="E31" s="614"/>
      <c r="F31" s="616"/>
      <c r="G31" s="615"/>
      <c r="H31" s="616"/>
      <c r="I31" s="616"/>
    </row>
    <row r="32" spans="1:9" ht="13.5" customHeight="1">
      <c r="A32" s="967"/>
      <c r="B32" s="1421" t="s">
        <v>2191</v>
      </c>
      <c r="C32" s="540" t="s">
        <v>2279</v>
      </c>
      <c r="D32" s="541"/>
      <c r="E32" s="614"/>
      <c r="F32" s="616"/>
      <c r="G32" s="615"/>
      <c r="H32" s="616"/>
      <c r="I32" s="616"/>
    </row>
    <row r="33" spans="1:10" ht="14">
      <c r="A33" s="967"/>
      <c r="B33" s="1423"/>
      <c r="C33" s="540" t="s">
        <v>2193</v>
      </c>
      <c r="D33" s="541"/>
      <c r="E33" s="614"/>
      <c r="F33" s="616"/>
      <c r="G33" s="615"/>
      <c r="H33" s="616"/>
      <c r="I33" s="616"/>
    </row>
    <row r="34" spans="1:10" ht="14">
      <c r="A34" s="967"/>
      <c r="B34" s="1423"/>
      <c r="C34" s="541" t="s">
        <v>2194</v>
      </c>
      <c r="D34" s="541"/>
      <c r="E34" s="614"/>
      <c r="F34" s="616"/>
      <c r="G34" s="615"/>
      <c r="H34" s="616"/>
      <c r="I34" s="616"/>
    </row>
    <row r="35" spans="1:10" ht="13.5" customHeight="1">
      <c r="A35" s="967"/>
      <c r="B35" s="1423"/>
      <c r="C35" s="541" t="s">
        <v>2286</v>
      </c>
      <c r="D35" s="541"/>
      <c r="E35" s="614"/>
      <c r="F35" s="616"/>
      <c r="G35" s="615"/>
      <c r="H35" s="616"/>
      <c r="I35" s="616"/>
    </row>
    <row r="36" spans="1:10" ht="14">
      <c r="A36" s="967"/>
      <c r="B36" s="1423"/>
      <c r="C36" s="541" t="s">
        <v>2196</v>
      </c>
      <c r="D36" s="541"/>
      <c r="E36" s="614"/>
      <c r="F36" s="616"/>
      <c r="G36" s="615"/>
      <c r="H36" s="616"/>
      <c r="I36" s="616"/>
    </row>
    <row r="37" spans="1:10" ht="14">
      <c r="A37" s="967"/>
      <c r="B37" s="1423"/>
      <c r="C37" s="541" t="s">
        <v>2197</v>
      </c>
      <c r="D37" s="541"/>
      <c r="E37" s="614"/>
      <c r="F37" s="616"/>
      <c r="G37" s="615"/>
      <c r="H37" s="616"/>
      <c r="I37" s="616"/>
    </row>
    <row r="38" spans="1:10" ht="14">
      <c r="A38" s="967"/>
      <c r="B38" s="1423"/>
      <c r="C38" s="633" t="s">
        <v>2287</v>
      </c>
      <c r="D38" s="541"/>
      <c r="E38" s="614"/>
      <c r="F38" s="616"/>
      <c r="G38" s="615"/>
      <c r="H38" s="616"/>
      <c r="I38" s="616"/>
    </row>
    <row r="39" spans="1:10" ht="14">
      <c r="A39" s="967"/>
      <c r="B39" s="1423"/>
      <c r="C39" s="634" t="s">
        <v>2288</v>
      </c>
      <c r="D39" s="541"/>
      <c r="E39" s="614"/>
      <c r="F39" s="616"/>
      <c r="G39" s="615"/>
      <c r="H39" s="616"/>
      <c r="I39" s="616"/>
    </row>
    <row r="40" spans="1:10" ht="14">
      <c r="A40" s="967"/>
      <c r="B40" s="1422"/>
      <c r="C40" s="541" t="s">
        <v>2200</v>
      </c>
      <c r="D40" s="541"/>
      <c r="E40" s="614"/>
      <c r="F40" s="616"/>
      <c r="G40" s="615"/>
      <c r="H40" s="616"/>
      <c r="I40" s="616"/>
    </row>
    <row r="41" spans="1:10" ht="44">
      <c r="A41" s="967"/>
      <c r="B41" s="1421" t="s">
        <v>2201</v>
      </c>
      <c r="C41" s="632" t="s">
        <v>2202</v>
      </c>
      <c r="D41" s="541"/>
      <c r="E41" s="614"/>
      <c r="F41" s="616"/>
      <c r="G41" s="615"/>
      <c r="H41" s="616"/>
      <c r="I41" s="616"/>
    </row>
    <row r="42" spans="1:10" ht="14">
      <c r="A42" s="967"/>
      <c r="B42" s="1423"/>
      <c r="C42" s="632" t="s">
        <v>2203</v>
      </c>
      <c r="D42" s="541"/>
      <c r="E42" s="614"/>
      <c r="F42" s="616"/>
      <c r="G42" s="615"/>
      <c r="H42" s="616"/>
      <c r="I42" s="616"/>
    </row>
    <row r="43" spans="1:10" ht="14">
      <c r="A43" s="967"/>
      <c r="B43" s="1423"/>
      <c r="C43" s="541" t="s">
        <v>2204</v>
      </c>
      <c r="D43" s="541"/>
      <c r="E43" s="614"/>
      <c r="F43" s="616"/>
      <c r="G43" s="615"/>
      <c r="H43" s="616"/>
      <c r="I43" s="616"/>
    </row>
    <row r="44" spans="1:10" ht="14">
      <c r="A44" s="967"/>
      <c r="B44" s="1423"/>
      <c r="C44" s="541" t="s">
        <v>2205</v>
      </c>
      <c r="D44" s="541"/>
      <c r="E44" s="614"/>
      <c r="F44" s="616"/>
      <c r="G44" s="615"/>
      <c r="H44" s="616"/>
      <c r="I44" s="616"/>
    </row>
    <row r="45" spans="1:10" ht="13.5" customHeight="1">
      <c r="A45" s="967"/>
      <c r="B45" s="1423"/>
      <c r="C45" s="1410" t="s">
        <v>2206</v>
      </c>
      <c r="D45" s="1410"/>
      <c r="E45" s="635"/>
      <c r="F45" s="1244"/>
      <c r="G45" s="615"/>
      <c r="H45" s="1244"/>
      <c r="I45" s="1244"/>
    </row>
    <row r="46" spans="1:10" ht="14">
      <c r="A46" s="967"/>
      <c r="B46" s="1423"/>
      <c r="C46" s="1410" t="s">
        <v>2207</v>
      </c>
      <c r="D46" s="1410"/>
      <c r="E46" s="635"/>
      <c r="F46" s="1244"/>
      <c r="G46" s="615"/>
      <c r="H46" s="1244"/>
      <c r="I46" s="1244"/>
    </row>
    <row r="47" spans="1:10" ht="14">
      <c r="A47" s="968"/>
      <c r="B47" s="1424"/>
      <c r="C47" s="636" t="s">
        <v>2208</v>
      </c>
      <c r="D47" s="636"/>
      <c r="E47" s="637"/>
      <c r="F47" s="723"/>
      <c r="G47" s="638"/>
      <c r="H47" s="723"/>
      <c r="I47" s="723"/>
    </row>
    <row r="48" spans="1:10" s="1223" customFormat="1" ht="13.5" customHeight="1">
      <c r="A48" s="1366" t="s">
        <v>2209</v>
      </c>
      <c r="B48" s="960"/>
      <c r="C48" s="961"/>
      <c r="D48" s="639"/>
      <c r="E48" s="640"/>
      <c r="F48" s="642"/>
      <c r="G48" s="641"/>
      <c r="H48" s="642"/>
      <c r="I48" s="642"/>
      <c r="J48" s="1729"/>
    </row>
    <row r="49" spans="1:10" s="1223" customFormat="1" ht="28">
      <c r="A49" s="962"/>
      <c r="B49" s="963" t="s">
        <v>157</v>
      </c>
      <c r="C49" s="643" t="s">
        <v>2187</v>
      </c>
      <c r="D49" s="644"/>
      <c r="E49" s="645"/>
      <c r="F49" s="646"/>
      <c r="G49" s="646"/>
      <c r="H49" s="646"/>
      <c r="I49" s="646"/>
      <c r="J49" s="1729"/>
    </row>
    <row r="50" spans="1:10" s="1223" customFormat="1" ht="14">
      <c r="A50" s="962"/>
      <c r="B50" s="964"/>
      <c r="C50" s="648" t="s">
        <v>2188</v>
      </c>
      <c r="D50" s="644"/>
      <c r="E50" s="645"/>
      <c r="F50" s="646"/>
      <c r="G50" s="646"/>
      <c r="H50" s="646"/>
      <c r="I50" s="646"/>
      <c r="J50" s="1729"/>
    </row>
    <row r="51" spans="1:10" s="1223" customFormat="1" ht="14">
      <c r="A51" s="962"/>
      <c r="B51" s="964"/>
      <c r="C51" s="648" t="s">
        <v>2210</v>
      </c>
      <c r="D51" s="644"/>
      <c r="E51" s="649"/>
      <c r="F51" s="646"/>
      <c r="G51" s="646"/>
      <c r="H51" s="646"/>
      <c r="I51" s="646"/>
      <c r="J51" s="1729"/>
    </row>
    <row r="52" spans="1:10" s="1223" customFormat="1" ht="14">
      <c r="A52" s="962"/>
      <c r="B52" s="965"/>
      <c r="C52" s="648" t="s">
        <v>2211</v>
      </c>
      <c r="D52" s="644"/>
      <c r="E52" s="649"/>
      <c r="F52" s="646"/>
      <c r="G52" s="646"/>
      <c r="H52" s="646"/>
      <c r="I52" s="646"/>
      <c r="J52" s="1729"/>
    </row>
    <row r="53" spans="1:10" s="1223" customFormat="1" ht="67">
      <c r="A53" s="962"/>
      <c r="B53" s="966" t="s">
        <v>2212</v>
      </c>
      <c r="C53" s="648" t="s">
        <v>2213</v>
      </c>
      <c r="D53" s="644">
        <v>1</v>
      </c>
      <c r="E53" s="649">
        <v>0.02</v>
      </c>
      <c r="F53" s="646"/>
      <c r="G53" s="646"/>
      <c r="H53" s="646"/>
      <c r="I53" s="646"/>
      <c r="J53" s="1729"/>
    </row>
    <row r="54" spans="1:10" s="1223" customFormat="1" ht="14">
      <c r="A54" s="962"/>
      <c r="B54" s="964"/>
      <c r="C54" s="648" t="s">
        <v>2193</v>
      </c>
      <c r="D54" s="644">
        <v>1</v>
      </c>
      <c r="E54" s="649">
        <v>0.02</v>
      </c>
      <c r="F54" s="646"/>
      <c r="G54" s="646"/>
      <c r="H54" s="646"/>
      <c r="I54" s="646"/>
      <c r="J54" s="1729"/>
    </row>
    <row r="55" spans="1:10" s="1223" customFormat="1" ht="14">
      <c r="A55" s="962"/>
      <c r="B55" s="964"/>
      <c r="C55" s="648" t="s">
        <v>2194</v>
      </c>
      <c r="D55" s="644">
        <v>1</v>
      </c>
      <c r="E55" s="649">
        <v>0.02</v>
      </c>
      <c r="F55" s="646"/>
      <c r="G55" s="646"/>
      <c r="H55" s="646"/>
      <c r="I55" s="646"/>
      <c r="J55" s="1729"/>
    </row>
    <row r="56" spans="1:10" s="1223" customFormat="1" ht="14">
      <c r="A56" s="962"/>
      <c r="B56" s="964"/>
      <c r="C56" s="648" t="s">
        <v>2197</v>
      </c>
      <c r="D56" s="644">
        <v>1</v>
      </c>
      <c r="E56" s="649">
        <v>0.02</v>
      </c>
      <c r="F56" s="646"/>
      <c r="G56" s="646"/>
      <c r="H56" s="646"/>
      <c r="I56" s="646"/>
      <c r="J56" s="1729"/>
    </row>
    <row r="57" spans="1:10" s="1223" customFormat="1" ht="14">
      <c r="A57" s="962"/>
      <c r="B57" s="964"/>
      <c r="C57" s="650" t="s">
        <v>2214</v>
      </c>
      <c r="D57" s="644"/>
      <c r="E57" s="649"/>
      <c r="F57" s="619"/>
      <c r="G57" s="646"/>
      <c r="H57" s="619"/>
      <c r="I57" s="619"/>
      <c r="J57" s="1729"/>
    </row>
    <row r="58" spans="1:10" s="1223" customFormat="1" ht="14">
      <c r="A58" s="962"/>
      <c r="B58" s="964"/>
      <c r="C58" s="650" t="s">
        <v>2215</v>
      </c>
      <c r="D58" s="644"/>
      <c r="E58" s="649"/>
      <c r="F58" s="619"/>
      <c r="G58" s="646"/>
      <c r="H58" s="619"/>
      <c r="I58" s="619"/>
      <c r="J58" s="1729"/>
    </row>
    <row r="59" spans="1:10" s="1223" customFormat="1" ht="14">
      <c r="A59" s="962"/>
      <c r="B59" s="965"/>
      <c r="C59" s="648" t="s">
        <v>2200</v>
      </c>
      <c r="D59" s="644">
        <v>1</v>
      </c>
      <c r="E59" s="649">
        <v>0.02</v>
      </c>
      <c r="F59" s="646"/>
      <c r="G59" s="646"/>
      <c r="H59" s="646"/>
      <c r="I59" s="646"/>
      <c r="J59" s="1729"/>
    </row>
    <row r="60" spans="1:10" s="1223" customFormat="1" ht="14">
      <c r="A60" s="962"/>
      <c r="B60" s="651" t="s">
        <v>2281</v>
      </c>
      <c r="C60" s="652" t="s">
        <v>2896</v>
      </c>
      <c r="D60" s="644">
        <v>1</v>
      </c>
      <c r="E60" s="649">
        <v>0</v>
      </c>
      <c r="F60" s="646"/>
      <c r="G60" s="646"/>
      <c r="H60" s="646"/>
      <c r="I60" s="646"/>
      <c r="J60" s="1729"/>
    </row>
    <row r="61" spans="1:10" s="1223" customFormat="1" ht="14">
      <c r="A61" s="962"/>
      <c r="B61" s="1253" t="s">
        <v>2218</v>
      </c>
      <c r="C61" s="1254" t="s">
        <v>2219</v>
      </c>
      <c r="D61" s="644"/>
      <c r="E61" s="649"/>
      <c r="F61" s="619"/>
      <c r="G61" s="646"/>
      <c r="H61" s="619"/>
      <c r="I61" s="619"/>
      <c r="J61" s="1729"/>
    </row>
    <row r="62" spans="1:10" s="1223" customFormat="1" ht="14">
      <c r="A62" s="962"/>
      <c r="B62" s="1468" t="s">
        <v>2220</v>
      </c>
      <c r="C62" s="1469" t="s">
        <v>2221</v>
      </c>
      <c r="D62" s="653"/>
      <c r="E62" s="654"/>
      <c r="F62" s="656"/>
      <c r="G62" s="655"/>
      <c r="H62" s="656"/>
      <c r="I62" s="656"/>
      <c r="J62" s="1729"/>
    </row>
    <row r="63" spans="1:10" s="1223" customFormat="1" ht="14">
      <c r="A63" s="1102"/>
      <c r="B63" s="1103" t="s">
        <v>2897</v>
      </c>
      <c r="C63" s="1104"/>
      <c r="D63" s="658"/>
      <c r="E63" s="659"/>
      <c r="F63" s="661"/>
      <c r="G63" s="660"/>
      <c r="H63" s="661"/>
      <c r="I63" s="661"/>
      <c r="J63" s="1729"/>
    </row>
    <row r="64" spans="1:10" s="1223" customFormat="1" ht="14">
      <c r="A64" s="1102"/>
      <c r="B64" s="1103" t="s">
        <v>2223</v>
      </c>
      <c r="C64" s="1104"/>
      <c r="D64" s="658"/>
      <c r="E64" s="659"/>
      <c r="F64" s="661"/>
      <c r="G64" s="660"/>
      <c r="H64" s="661"/>
      <c r="I64" s="661"/>
      <c r="J64" s="1729"/>
    </row>
    <row r="65" spans="1:10" s="1223" customFormat="1" ht="13.5" customHeight="1">
      <c r="A65" s="1102"/>
      <c r="B65" s="1103" t="s">
        <v>2224</v>
      </c>
      <c r="C65" s="1104"/>
      <c r="D65" s="658"/>
      <c r="E65" s="659"/>
      <c r="F65" s="1101"/>
      <c r="G65" s="660"/>
      <c r="H65" s="1101"/>
      <c r="I65" s="1101"/>
      <c r="J65" s="1729"/>
    </row>
    <row r="66" spans="1:10" s="1223" customFormat="1" ht="14">
      <c r="A66" s="1102"/>
      <c r="B66" s="1103" t="s">
        <v>2225</v>
      </c>
      <c r="C66" s="1104"/>
      <c r="D66" s="658"/>
      <c r="E66" s="659"/>
      <c r="F66" s="661"/>
      <c r="G66" s="660"/>
      <c r="H66" s="661"/>
      <c r="I66" s="661"/>
      <c r="J66" s="1729"/>
    </row>
    <row r="67" spans="1:10" s="1223" customFormat="1" ht="14">
      <c r="A67" s="1102"/>
      <c r="B67" s="1103" t="s">
        <v>2226</v>
      </c>
      <c r="C67" s="1104"/>
      <c r="D67" s="658"/>
      <c r="E67" s="659"/>
      <c r="F67" s="661"/>
      <c r="G67" s="660"/>
      <c r="H67" s="661"/>
      <c r="I67" s="661"/>
      <c r="J67" s="1729"/>
    </row>
    <row r="68" spans="1:10" s="1223" customFormat="1" ht="13.5" customHeight="1">
      <c r="A68" s="657"/>
      <c r="B68" s="1257" t="s">
        <v>2227</v>
      </c>
      <c r="C68" s="1258"/>
      <c r="D68" s="662"/>
      <c r="E68" s="663"/>
      <c r="F68" s="664"/>
      <c r="G68" s="660"/>
      <c r="H68" s="664"/>
      <c r="I68" s="664"/>
      <c r="J68" s="1729"/>
    </row>
    <row r="69" spans="1:10" s="1223" customFormat="1" ht="14">
      <c r="A69" s="1470" t="s">
        <v>2228</v>
      </c>
      <c r="B69" s="1471"/>
      <c r="C69" s="1471"/>
      <c r="D69" s="1472"/>
      <c r="E69" s="668" t="s">
        <v>2229</v>
      </c>
      <c r="F69" s="1226"/>
      <c r="G69" s="1473"/>
      <c r="H69" s="1226"/>
      <c r="I69" s="1226"/>
      <c r="J69" s="1729"/>
    </row>
    <row r="70" spans="1:10" s="1223" customFormat="1" ht="14">
      <c r="A70" s="1245"/>
      <c r="B70" s="1259" t="s">
        <v>2230</v>
      </c>
      <c r="C70" s="1260"/>
      <c r="D70" s="672"/>
      <c r="E70" s="673"/>
      <c r="F70" s="1246"/>
      <c r="G70" s="1247"/>
      <c r="H70" s="1246"/>
      <c r="I70" s="1246"/>
      <c r="J70" s="1729"/>
    </row>
    <row r="71" spans="1:10" s="1223" customFormat="1" ht="13.5" customHeight="1">
      <c r="A71" s="1245"/>
      <c r="B71" s="1474" t="s">
        <v>2231</v>
      </c>
      <c r="C71" s="1475"/>
      <c r="D71" s="1476"/>
      <c r="E71" s="677"/>
      <c r="F71" s="1227"/>
      <c r="G71" s="1227"/>
      <c r="H71" s="1227"/>
      <c r="I71" s="1227"/>
      <c r="J71" s="1729"/>
    </row>
    <row r="72" spans="1:10" s="1223" customFormat="1" ht="13.5" customHeight="1">
      <c r="A72" s="1102"/>
      <c r="B72" s="1103" t="s">
        <v>2223</v>
      </c>
      <c r="C72" s="1104"/>
      <c r="D72" s="658"/>
      <c r="E72" s="659"/>
      <c r="F72" s="661"/>
      <c r="G72" s="660"/>
      <c r="H72" s="661"/>
      <c r="I72" s="661"/>
      <c r="J72" s="1729"/>
    </row>
    <row r="73" spans="1:10" s="1223" customFormat="1" ht="13.5" customHeight="1">
      <c r="A73" s="1102"/>
      <c r="B73" s="1103" t="s">
        <v>2232</v>
      </c>
      <c r="C73" s="1104"/>
      <c r="D73" s="658"/>
      <c r="E73" s="659"/>
      <c r="F73" s="661"/>
      <c r="G73" s="660"/>
      <c r="H73" s="661"/>
      <c r="I73" s="661"/>
      <c r="J73" s="1729"/>
    </row>
    <row r="74" spans="1:10" s="1223" customFormat="1" ht="13.5" customHeight="1">
      <c r="A74" s="1102"/>
      <c r="B74" s="1103" t="s">
        <v>2233</v>
      </c>
      <c r="C74" s="1104"/>
      <c r="D74" s="658"/>
      <c r="E74" s="659"/>
      <c r="F74" s="661"/>
      <c r="G74" s="660"/>
      <c r="H74" s="661"/>
      <c r="I74" s="661"/>
      <c r="J74" s="1729"/>
    </row>
    <row r="75" spans="1:10" s="1223" customFormat="1" ht="13.5" customHeight="1">
      <c r="A75" s="1102"/>
      <c r="B75" s="1103" t="s">
        <v>2234</v>
      </c>
      <c r="C75" s="1104"/>
      <c r="D75" s="658"/>
      <c r="E75" s="659"/>
      <c r="F75" s="661"/>
      <c r="G75" s="660"/>
      <c r="H75" s="661"/>
      <c r="I75" s="661"/>
      <c r="J75" s="1729"/>
    </row>
    <row r="76" spans="1:10" s="1223" customFormat="1" ht="13.5" customHeight="1">
      <c r="A76" s="1245"/>
      <c r="B76" s="1477" t="s">
        <v>2235</v>
      </c>
      <c r="C76" s="1478"/>
      <c r="D76" s="1479"/>
      <c r="E76" s="681"/>
      <c r="F76" s="664"/>
      <c r="G76" s="660"/>
      <c r="H76" s="664"/>
      <c r="I76" s="664"/>
      <c r="J76" s="1729"/>
    </row>
    <row r="77" spans="1:10" s="1223" customFormat="1" ht="13.5" customHeight="1" thickBot="1">
      <c r="A77" s="1480" t="s">
        <v>2236</v>
      </c>
      <c r="B77" s="683"/>
      <c r="C77" s="684"/>
      <c r="D77" s="685"/>
      <c r="E77" s="686"/>
      <c r="F77" s="1228"/>
      <c r="G77" s="1481"/>
      <c r="H77" s="1228"/>
      <c r="I77" s="1228"/>
      <c r="J77" s="1729"/>
    </row>
    <row r="78" spans="1:10" s="1223" customFormat="1" ht="13.5" customHeight="1" thickTop="1">
      <c r="A78" s="1482" t="s">
        <v>333</v>
      </c>
      <c r="B78" s="1483"/>
      <c r="C78" s="1483"/>
      <c r="D78" s="1483"/>
      <c r="E78" s="1484" t="s">
        <v>2237</v>
      </c>
      <c r="F78" s="1229"/>
      <c r="G78" s="1485"/>
      <c r="H78" s="1229"/>
      <c r="I78" s="1229"/>
      <c r="J78" s="1729"/>
    </row>
    <row r="79" spans="1:10" s="1223" customFormat="1" ht="13.5" customHeight="1">
      <c r="A79" s="1486"/>
      <c r="B79" s="1487" t="s">
        <v>2238</v>
      </c>
      <c r="C79" s="1488" t="s">
        <v>2239</v>
      </c>
      <c r="D79" s="1488"/>
      <c r="E79" s="1488"/>
      <c r="F79" s="1230"/>
      <c r="G79" s="1489"/>
      <c r="H79" s="1230"/>
      <c r="I79" s="1230"/>
      <c r="J79" s="1729"/>
    </row>
    <row r="80" spans="1:10" s="1223" customFormat="1" ht="13.5" customHeight="1" thickBot="1">
      <c r="A80" s="1490"/>
      <c r="B80" s="1491"/>
      <c r="C80" s="1492" t="s">
        <v>2240</v>
      </c>
      <c r="D80" s="1492"/>
      <c r="E80" s="1492"/>
      <c r="F80" s="1231"/>
      <c r="G80" s="1493"/>
      <c r="H80" s="1231"/>
      <c r="I80" s="1231"/>
      <c r="J80" s="1729"/>
    </row>
    <row r="81" spans="1:10" s="1223" customFormat="1" ht="13.5" customHeight="1" thickTop="1">
      <c r="A81" s="1482" t="s">
        <v>2241</v>
      </c>
      <c r="B81" s="1483"/>
      <c r="C81" s="1483"/>
      <c r="D81" s="1483"/>
      <c r="E81" s="1484" t="s">
        <v>2237</v>
      </c>
      <c r="F81" s="1229"/>
      <c r="G81" s="1485"/>
      <c r="H81" s="1229"/>
      <c r="I81" s="1229"/>
      <c r="J81" s="1729"/>
    </row>
    <row r="82" spans="1:10" s="1223" customFormat="1" ht="13.5" customHeight="1">
      <c r="A82" s="1486"/>
      <c r="B82" s="1487" t="s">
        <v>2238</v>
      </c>
      <c r="C82" s="1488" t="s">
        <v>2239</v>
      </c>
      <c r="D82" s="1488"/>
      <c r="E82" s="1488"/>
      <c r="F82" s="1230"/>
      <c r="G82" s="1489"/>
      <c r="H82" s="1230"/>
      <c r="I82" s="1230"/>
      <c r="J82" s="1729"/>
    </row>
    <row r="83" spans="1:10" s="1223" customFormat="1" ht="13.5" customHeight="1">
      <c r="A83" s="1490"/>
      <c r="B83" s="1494"/>
      <c r="C83" s="1492" t="s">
        <v>2240</v>
      </c>
      <c r="D83" s="1492"/>
      <c r="E83" s="1492"/>
      <c r="F83" s="1231"/>
      <c r="G83" s="1493"/>
      <c r="H83" s="1231"/>
      <c r="I83" s="1231"/>
      <c r="J83" s="1729"/>
    </row>
    <row r="84" spans="1:10" s="1224" customFormat="1" ht="13.5" customHeight="1">
      <c r="A84" s="702"/>
      <c r="B84" s="702"/>
      <c r="C84" s="622"/>
      <c r="D84" s="622"/>
      <c r="E84" s="1116" t="s">
        <v>2162</v>
      </c>
      <c r="F84" s="708"/>
      <c r="G84" s="732"/>
      <c r="H84" s="707"/>
      <c r="I84" s="708"/>
      <c r="J84" s="1730"/>
    </row>
    <row r="85" spans="1:10" ht="13.5" customHeight="1">
      <c r="A85" s="1270"/>
      <c r="B85" s="1270"/>
      <c r="C85" s="1117" t="s">
        <v>2365</v>
      </c>
      <c r="D85" s="739"/>
      <c r="E85" s="622"/>
      <c r="F85" s="1271"/>
      <c r="G85" s="1712"/>
      <c r="H85" s="1725"/>
      <c r="I85" s="1271"/>
    </row>
    <row r="86" spans="1:10" s="1224" customFormat="1" ht="13.5" customHeight="1">
      <c r="A86" s="595"/>
      <c r="B86" s="596"/>
      <c r="C86" s="597" t="s">
        <v>2168</v>
      </c>
      <c r="D86" s="598"/>
      <c r="E86" s="812"/>
      <c r="F86" s="601"/>
      <c r="G86" s="600"/>
      <c r="H86" s="601"/>
      <c r="I86" s="601"/>
      <c r="J86" s="1730"/>
    </row>
    <row r="87" spans="1:10" s="1224" customFormat="1" ht="13.5" customHeight="1">
      <c r="A87" s="994"/>
      <c r="B87" s="995"/>
      <c r="C87" s="1176" t="s">
        <v>2169</v>
      </c>
      <c r="D87" s="1177"/>
      <c r="E87" s="1033"/>
      <c r="F87" s="605"/>
      <c r="G87" s="604"/>
      <c r="H87" s="605"/>
      <c r="I87" s="605"/>
      <c r="J87" s="1730"/>
    </row>
    <row r="88" spans="1:10" ht="13.5" customHeight="1">
      <c r="A88" s="994"/>
      <c r="B88" s="995"/>
      <c r="C88" s="995" t="s">
        <v>2867</v>
      </c>
      <c r="D88" s="995"/>
      <c r="E88" s="1105" t="s">
        <v>2251</v>
      </c>
      <c r="F88" s="1106"/>
      <c r="G88" s="714"/>
      <c r="H88" s="1106"/>
      <c r="I88" s="1106"/>
    </row>
    <row r="89" spans="1:10" ht="13.5" customHeight="1">
      <c r="A89" s="994"/>
      <c r="B89" s="995"/>
      <c r="C89" s="995" t="s">
        <v>2247</v>
      </c>
      <c r="D89" s="995"/>
      <c r="E89" s="1107" t="s">
        <v>2246</v>
      </c>
      <c r="F89" s="716"/>
      <c r="G89" s="715"/>
      <c r="H89" s="716"/>
      <c r="I89" s="716"/>
    </row>
    <row r="90" spans="1:10" ht="13.5" customHeight="1">
      <c r="B90" s="959"/>
      <c r="C90" s="959"/>
      <c r="D90" s="959"/>
      <c r="F90" s="1108"/>
      <c r="G90" s="958"/>
      <c r="H90" s="1108"/>
      <c r="I90" s="1108"/>
    </row>
    <row r="91" spans="1:10" ht="30" customHeight="1">
      <c r="A91" s="1417" t="s">
        <v>2171</v>
      </c>
      <c r="B91" s="1418"/>
      <c r="C91" s="1418"/>
      <c r="D91" s="1418"/>
      <c r="E91" s="1414"/>
      <c r="F91" s="1094"/>
      <c r="G91" s="1109"/>
      <c r="H91" s="1094"/>
      <c r="I91" s="1094"/>
    </row>
    <row r="92" spans="1:10" ht="30" customHeight="1">
      <c r="A92" s="1417" t="s">
        <v>2172</v>
      </c>
      <c r="B92" s="1418"/>
      <c r="C92" s="1418"/>
      <c r="D92" s="1418"/>
      <c r="E92" s="1414"/>
      <c r="F92" s="1095"/>
      <c r="G92" s="1110"/>
      <c r="H92" s="1095"/>
      <c r="I92" s="1095"/>
    </row>
    <row r="93" spans="1:10" ht="13.5" customHeight="1">
      <c r="A93" s="595"/>
      <c r="B93" s="608" t="s">
        <v>2868</v>
      </c>
      <c r="C93" s="609"/>
      <c r="D93" s="609"/>
      <c r="E93" s="1034"/>
      <c r="F93" s="612"/>
      <c r="G93" s="611"/>
      <c r="H93" s="612"/>
      <c r="I93" s="612"/>
    </row>
    <row r="94" spans="1:10" ht="13.5" customHeight="1">
      <c r="A94" s="994"/>
      <c r="B94" s="995"/>
      <c r="C94" s="538" t="s">
        <v>2174</v>
      </c>
      <c r="D94" s="539"/>
      <c r="E94" s="812"/>
      <c r="F94" s="725"/>
      <c r="G94" s="613"/>
      <c r="H94" s="725"/>
      <c r="I94" s="725"/>
    </row>
    <row r="95" spans="1:10" ht="13.5" customHeight="1">
      <c r="A95" s="994"/>
      <c r="B95" s="995"/>
      <c r="C95" s="717"/>
      <c r="D95" s="717"/>
      <c r="E95" s="1035"/>
      <c r="F95" s="616"/>
      <c r="G95" s="615"/>
      <c r="H95" s="616"/>
      <c r="I95" s="616"/>
    </row>
    <row r="96" spans="1:10" ht="13.5" customHeight="1">
      <c r="A96" s="994"/>
      <c r="B96" s="995"/>
      <c r="C96" s="717"/>
      <c r="D96" s="717"/>
      <c r="E96" s="1035"/>
      <c r="F96" s="616"/>
      <c r="G96" s="615" t="s">
        <v>2253</v>
      </c>
      <c r="H96" s="616"/>
      <c r="I96" s="616"/>
    </row>
    <row r="97" spans="1:9" ht="13.5" customHeight="1">
      <c r="A97" s="994"/>
      <c r="B97" s="995"/>
      <c r="C97" s="717"/>
      <c r="D97" s="717"/>
      <c r="E97" s="1035"/>
      <c r="F97" s="616"/>
      <c r="G97" s="718" t="s">
        <v>2254</v>
      </c>
      <c r="H97" s="616"/>
      <c r="I97" s="616"/>
    </row>
    <row r="98" spans="1:9" ht="13.5" customHeight="1">
      <c r="A98" s="994"/>
      <c r="B98" s="995"/>
      <c r="C98" s="540" t="s">
        <v>2175</v>
      </c>
      <c r="D98" s="540"/>
      <c r="E98" s="1035"/>
      <c r="F98" s="616"/>
      <c r="G98" s="615"/>
      <c r="H98" s="616"/>
      <c r="I98" s="616"/>
    </row>
    <row r="99" spans="1:9" ht="13.5" customHeight="1">
      <c r="A99" s="994"/>
      <c r="B99" s="995"/>
      <c r="C99" s="617" t="s">
        <v>2176</v>
      </c>
      <c r="D99" s="540"/>
      <c r="E99" s="1035"/>
      <c r="F99" s="616"/>
      <c r="G99" s="615"/>
      <c r="H99" s="616"/>
      <c r="I99" s="616"/>
    </row>
    <row r="100" spans="1:9" ht="13.5" customHeight="1">
      <c r="A100" s="994"/>
      <c r="B100" s="995"/>
      <c r="C100" s="617" t="s">
        <v>2182</v>
      </c>
      <c r="D100" s="540"/>
      <c r="E100" s="1035"/>
      <c r="F100" s="616"/>
      <c r="G100" s="615"/>
      <c r="H100" s="616"/>
      <c r="I100" s="616"/>
    </row>
    <row r="101" spans="1:9" ht="13.5" customHeight="1">
      <c r="A101" s="994"/>
      <c r="B101" s="995"/>
      <c r="C101" s="621" t="s">
        <v>2183</v>
      </c>
      <c r="D101" s="540"/>
      <c r="E101" s="1035"/>
      <c r="F101" s="616"/>
      <c r="G101" s="615"/>
      <c r="H101" s="616"/>
      <c r="I101" s="616"/>
    </row>
    <row r="102" spans="1:9" ht="13.5" customHeight="1">
      <c r="A102" s="994"/>
      <c r="B102" s="995"/>
      <c r="C102" s="622" t="s">
        <v>2184</v>
      </c>
      <c r="D102" s="623"/>
      <c r="E102" s="1036"/>
      <c r="F102" s="724"/>
      <c r="G102" s="625"/>
      <c r="H102" s="724"/>
      <c r="I102" s="724"/>
    </row>
    <row r="103" spans="1:9" ht="13.5" customHeight="1">
      <c r="A103" s="1273"/>
      <c r="B103" s="1274"/>
      <c r="C103" s="721" t="s">
        <v>2255</v>
      </c>
      <c r="D103" s="722"/>
      <c r="E103" s="1037"/>
      <c r="F103" s="723"/>
      <c r="G103" s="638"/>
      <c r="H103" s="723"/>
      <c r="I103" s="723"/>
    </row>
    <row r="104" spans="1:9" ht="13.5" customHeight="1">
      <c r="A104" s="994"/>
      <c r="B104" s="623" t="s">
        <v>2256</v>
      </c>
      <c r="C104" s="623"/>
      <c r="D104" s="623"/>
      <c r="E104" s="1036"/>
      <c r="F104" s="724"/>
      <c r="G104" s="625"/>
      <c r="H104" s="724"/>
      <c r="I104" s="724"/>
    </row>
    <row r="105" spans="1:9" ht="13.5" customHeight="1">
      <c r="A105" s="994"/>
      <c r="B105" s="995"/>
      <c r="C105" s="538" t="s">
        <v>2257</v>
      </c>
      <c r="D105" s="538"/>
      <c r="E105" s="1038"/>
      <c r="F105" s="725"/>
      <c r="G105" s="613"/>
      <c r="H105" s="725"/>
      <c r="I105" s="725"/>
    </row>
    <row r="106" spans="1:9" ht="13.5" customHeight="1">
      <c r="A106" s="994"/>
      <c r="B106" s="995"/>
      <c r="C106" s="1179" t="s">
        <v>2258</v>
      </c>
      <c r="D106" s="1179"/>
      <c r="E106" s="1039"/>
      <c r="F106" s="726"/>
      <c r="G106" s="615"/>
      <c r="H106" s="726"/>
      <c r="I106" s="726"/>
    </row>
    <row r="107" spans="1:9" ht="13.5" customHeight="1">
      <c r="A107" s="994"/>
      <c r="B107" s="995"/>
      <c r="C107" s="727" t="s">
        <v>2259</v>
      </c>
      <c r="D107" s="727"/>
      <c r="E107" s="1035"/>
      <c r="F107" s="616"/>
      <c r="G107" s="615"/>
      <c r="H107" s="616"/>
      <c r="I107" s="616"/>
    </row>
    <row r="108" spans="1:9" ht="13.5" customHeight="1">
      <c r="A108" s="994"/>
      <c r="B108" s="995"/>
      <c r="C108" s="727" t="s">
        <v>2260</v>
      </c>
      <c r="D108" s="727"/>
      <c r="E108" s="1035"/>
      <c r="F108" s="616"/>
      <c r="G108" s="615"/>
      <c r="H108" s="616"/>
      <c r="I108" s="616"/>
    </row>
    <row r="109" spans="1:9" ht="13.5" customHeight="1">
      <c r="A109" s="994"/>
      <c r="B109" s="995"/>
      <c r="C109" s="727" t="s">
        <v>2261</v>
      </c>
      <c r="D109" s="727"/>
      <c r="E109" s="1035"/>
      <c r="F109" s="616"/>
      <c r="G109" s="615"/>
      <c r="H109" s="616"/>
      <c r="I109" s="616"/>
    </row>
    <row r="110" spans="1:9" ht="13.5" customHeight="1">
      <c r="A110" s="994"/>
      <c r="B110" s="995"/>
      <c r="C110" s="540" t="s">
        <v>2262</v>
      </c>
      <c r="D110" s="540"/>
      <c r="E110" s="1035"/>
      <c r="F110" s="616"/>
      <c r="G110" s="615"/>
      <c r="H110" s="616"/>
      <c r="I110" s="616"/>
    </row>
    <row r="111" spans="1:9" ht="13.5" customHeight="1">
      <c r="A111" s="994"/>
      <c r="B111" s="995"/>
      <c r="C111" s="727" t="s">
        <v>2259</v>
      </c>
      <c r="D111" s="727"/>
      <c r="E111" s="1035"/>
      <c r="F111" s="616"/>
      <c r="G111" s="1064"/>
      <c r="H111" s="616"/>
      <c r="I111" s="616"/>
    </row>
    <row r="112" spans="1:9" ht="13.5" customHeight="1">
      <c r="A112" s="994"/>
      <c r="B112" s="995"/>
      <c r="C112" s="727" t="s">
        <v>2263</v>
      </c>
      <c r="D112" s="727"/>
      <c r="E112" s="1035"/>
      <c r="F112" s="616"/>
      <c r="G112" s="615"/>
      <c r="H112" s="616"/>
      <c r="I112" s="616"/>
    </row>
    <row r="113" spans="1:9" ht="13.5" customHeight="1">
      <c r="A113" s="994"/>
      <c r="B113" s="995"/>
      <c r="C113" s="727" t="s">
        <v>2264</v>
      </c>
      <c r="D113" s="727"/>
      <c r="E113" s="1035"/>
      <c r="F113" s="616"/>
      <c r="G113" s="615"/>
      <c r="H113" s="616"/>
      <c r="I113" s="616"/>
    </row>
    <row r="114" spans="1:9" ht="13.5" customHeight="1">
      <c r="A114" s="994"/>
      <c r="B114" s="995"/>
      <c r="C114" s="623" t="s">
        <v>2265</v>
      </c>
      <c r="D114" s="995"/>
      <c r="E114" s="1036"/>
      <c r="F114" s="724"/>
      <c r="G114" s="625"/>
      <c r="H114" s="724"/>
      <c r="I114" s="724"/>
    </row>
    <row r="115" spans="1:9" ht="13.5" customHeight="1">
      <c r="A115" s="729"/>
      <c r="B115" s="609" t="s">
        <v>2870</v>
      </c>
      <c r="C115" s="609"/>
      <c r="D115" s="609"/>
      <c r="E115" s="1040"/>
      <c r="F115" s="612"/>
      <c r="G115" s="611"/>
      <c r="H115" s="612"/>
      <c r="I115" s="612"/>
    </row>
    <row r="116" spans="1:9" ht="15" customHeight="1">
      <c r="A116" s="731"/>
      <c r="B116" s="995"/>
      <c r="C116" s="732" t="s">
        <v>2267</v>
      </c>
      <c r="D116" s="732"/>
      <c r="E116" s="733"/>
      <c r="F116" s="1044"/>
      <c r="G116" s="1045"/>
      <c r="H116" s="734" t="s">
        <v>2268</v>
      </c>
      <c r="I116" s="735"/>
    </row>
    <row r="117" spans="1:9" ht="15" customHeight="1">
      <c r="A117" s="595"/>
      <c r="B117" s="596"/>
      <c r="C117" s="596"/>
      <c r="D117" s="596"/>
      <c r="E117" s="1041"/>
      <c r="F117" s="738"/>
      <c r="G117" s="737" t="s">
        <v>2165</v>
      </c>
      <c r="H117" s="738" t="s">
        <v>2385</v>
      </c>
      <c r="I117" s="738" t="s">
        <v>2384</v>
      </c>
    </row>
    <row r="118" spans="1:9" ht="15" customHeight="1">
      <c r="A118" s="626" t="s">
        <v>2185</v>
      </c>
      <c r="B118" s="627"/>
      <c r="C118" s="1269"/>
      <c r="D118" s="1269"/>
      <c r="E118" s="1042"/>
      <c r="F118" s="631"/>
      <c r="G118" s="630"/>
      <c r="H118" s="631"/>
      <c r="I118" s="631"/>
    </row>
    <row r="119" spans="1:9" ht="15" customHeight="1">
      <c r="A119" s="967"/>
      <c r="B119" s="1425" t="s">
        <v>157</v>
      </c>
      <c r="C119" s="539" t="s">
        <v>2187</v>
      </c>
      <c r="D119" s="539"/>
      <c r="E119" s="1038"/>
      <c r="F119" s="725"/>
      <c r="G119" s="613"/>
      <c r="H119" s="725"/>
      <c r="I119" s="725"/>
    </row>
    <row r="120" spans="1:9" ht="14.25" customHeight="1">
      <c r="A120" s="967"/>
      <c r="B120" s="1495"/>
      <c r="C120" s="541" t="s">
        <v>2188</v>
      </c>
      <c r="D120" s="541"/>
      <c r="E120" s="1035"/>
      <c r="F120" s="616"/>
      <c r="G120" s="615"/>
      <c r="H120" s="616"/>
      <c r="I120" s="616"/>
    </row>
    <row r="121" spans="1:9" ht="15" customHeight="1">
      <c r="A121" s="967"/>
      <c r="B121" s="1495"/>
      <c r="C121" s="632" t="s">
        <v>2277</v>
      </c>
      <c r="D121" s="541"/>
      <c r="E121" s="1035"/>
      <c r="F121" s="616"/>
      <c r="G121" s="615"/>
      <c r="H121" s="616"/>
      <c r="I121" s="616"/>
    </row>
    <row r="122" spans="1:9" ht="15" customHeight="1">
      <c r="A122" s="967"/>
      <c r="B122" s="1496"/>
      <c r="C122" s="632" t="s">
        <v>2190</v>
      </c>
      <c r="D122" s="541"/>
      <c r="E122" s="1035"/>
      <c r="F122" s="616"/>
      <c r="G122" s="615"/>
      <c r="H122" s="616"/>
      <c r="I122" s="616"/>
    </row>
    <row r="123" spans="1:9" ht="15" customHeight="1">
      <c r="A123" s="967"/>
      <c r="B123" s="1421" t="s">
        <v>2191</v>
      </c>
      <c r="C123" s="540" t="s">
        <v>2279</v>
      </c>
      <c r="D123" s="541"/>
      <c r="E123" s="1035"/>
      <c r="F123" s="616"/>
      <c r="G123" s="615"/>
      <c r="H123" s="616"/>
      <c r="I123" s="616"/>
    </row>
    <row r="124" spans="1:9" ht="15" customHeight="1">
      <c r="A124" s="967"/>
      <c r="B124" s="1495"/>
      <c r="C124" s="540" t="s">
        <v>2193</v>
      </c>
      <c r="D124" s="541"/>
      <c r="E124" s="1035"/>
      <c r="F124" s="616"/>
      <c r="G124" s="615"/>
      <c r="H124" s="616"/>
      <c r="I124" s="616"/>
    </row>
    <row r="125" spans="1:9" ht="15" customHeight="1">
      <c r="A125" s="967"/>
      <c r="B125" s="1495"/>
      <c r="C125" s="541" t="s">
        <v>2194</v>
      </c>
      <c r="D125" s="541"/>
      <c r="E125" s="1035"/>
      <c r="F125" s="616"/>
      <c r="G125" s="615"/>
      <c r="H125" s="616"/>
      <c r="I125" s="616"/>
    </row>
    <row r="126" spans="1:9" ht="15" customHeight="1">
      <c r="A126" s="967"/>
      <c r="B126" s="1495"/>
      <c r="C126" s="541" t="s">
        <v>2286</v>
      </c>
      <c r="D126" s="541"/>
      <c r="E126" s="1035"/>
      <c r="F126" s="616"/>
      <c r="G126" s="1065"/>
      <c r="H126" s="616"/>
      <c r="I126" s="616"/>
    </row>
    <row r="127" spans="1:9" ht="15" customHeight="1">
      <c r="A127" s="967"/>
      <c r="B127" s="1495"/>
      <c r="C127" s="541" t="s">
        <v>2196</v>
      </c>
      <c r="D127" s="541"/>
      <c r="E127" s="1035"/>
      <c r="F127" s="616"/>
      <c r="G127" s="615"/>
      <c r="H127" s="616"/>
      <c r="I127" s="616"/>
    </row>
    <row r="128" spans="1:9" ht="15" customHeight="1">
      <c r="A128" s="967"/>
      <c r="B128" s="1495"/>
      <c r="C128" s="541" t="s">
        <v>2197</v>
      </c>
      <c r="D128" s="541"/>
      <c r="E128" s="1035"/>
      <c r="F128" s="616"/>
      <c r="G128" s="615"/>
      <c r="H128" s="616"/>
      <c r="I128" s="616"/>
    </row>
    <row r="129" spans="1:9" ht="15" customHeight="1">
      <c r="A129" s="967"/>
      <c r="B129" s="1495"/>
      <c r="C129" s="633" t="s">
        <v>2287</v>
      </c>
      <c r="D129" s="541"/>
      <c r="E129" s="1035"/>
      <c r="F129" s="616"/>
      <c r="G129" s="615"/>
      <c r="H129" s="616"/>
      <c r="I129" s="616"/>
    </row>
    <row r="130" spans="1:9" ht="15" customHeight="1">
      <c r="A130" s="967"/>
      <c r="B130" s="1495"/>
      <c r="C130" s="634" t="s">
        <v>2288</v>
      </c>
      <c r="D130" s="541"/>
      <c r="E130" s="1035"/>
      <c r="F130" s="616"/>
      <c r="G130" s="615"/>
      <c r="H130" s="616"/>
      <c r="I130" s="616"/>
    </row>
    <row r="131" spans="1:9" ht="15" customHeight="1">
      <c r="A131" s="967"/>
      <c r="B131" s="1496"/>
      <c r="C131" s="541" t="s">
        <v>2200</v>
      </c>
      <c r="D131" s="541"/>
      <c r="E131" s="1035"/>
      <c r="F131" s="616"/>
      <c r="G131" s="615"/>
      <c r="H131" s="616"/>
      <c r="I131" s="616"/>
    </row>
    <row r="132" spans="1:9" ht="15" customHeight="1">
      <c r="A132" s="967"/>
      <c r="B132" s="1421" t="s">
        <v>2201</v>
      </c>
      <c r="C132" s="632" t="s">
        <v>2202</v>
      </c>
      <c r="D132" s="541"/>
      <c r="E132" s="1035"/>
      <c r="F132" s="616"/>
      <c r="G132" s="615"/>
      <c r="H132" s="616"/>
      <c r="I132" s="616"/>
    </row>
    <row r="133" spans="1:9" ht="15" customHeight="1">
      <c r="A133" s="967"/>
      <c r="B133" s="1495"/>
      <c r="C133" s="632" t="s">
        <v>2203</v>
      </c>
      <c r="D133" s="541"/>
      <c r="E133" s="1035"/>
      <c r="F133" s="616"/>
      <c r="G133" s="615"/>
      <c r="H133" s="616"/>
      <c r="I133" s="616"/>
    </row>
    <row r="134" spans="1:9" ht="15" customHeight="1">
      <c r="A134" s="967"/>
      <c r="B134" s="1495"/>
      <c r="C134" s="541" t="s">
        <v>2204</v>
      </c>
      <c r="D134" s="541"/>
      <c r="E134" s="1035"/>
      <c r="F134" s="616"/>
      <c r="G134" s="615"/>
      <c r="H134" s="616"/>
      <c r="I134" s="616"/>
    </row>
    <row r="135" spans="1:9" ht="15" customHeight="1">
      <c r="A135" s="967"/>
      <c r="B135" s="1495"/>
      <c r="C135" s="541" t="s">
        <v>2205</v>
      </c>
      <c r="D135" s="541"/>
      <c r="E135" s="1035"/>
      <c r="F135" s="616"/>
      <c r="G135" s="615"/>
      <c r="H135" s="616"/>
      <c r="I135" s="616"/>
    </row>
    <row r="136" spans="1:9" ht="15" customHeight="1">
      <c r="A136" s="967"/>
      <c r="B136" s="1495"/>
      <c r="C136" s="1410" t="s">
        <v>2206</v>
      </c>
      <c r="D136" s="1410"/>
      <c r="E136" s="1043"/>
      <c r="F136" s="619"/>
      <c r="G136" s="615"/>
      <c r="H136" s="619"/>
      <c r="I136" s="619"/>
    </row>
    <row r="137" spans="1:9" ht="15" customHeight="1">
      <c r="A137" s="967"/>
      <c r="B137" s="1495"/>
      <c r="C137" s="1410" t="s">
        <v>2207</v>
      </c>
      <c r="D137" s="1410"/>
      <c r="E137" s="1043"/>
      <c r="F137" s="619"/>
      <c r="G137" s="615"/>
      <c r="H137" s="619"/>
      <c r="I137" s="619"/>
    </row>
    <row r="138" spans="1:9" ht="15" customHeight="1">
      <c r="A138" s="968"/>
      <c r="B138" s="1497"/>
      <c r="C138" s="636" t="s">
        <v>2208</v>
      </c>
      <c r="D138" s="636"/>
      <c r="E138" s="1037"/>
      <c r="F138" s="723"/>
      <c r="G138" s="638"/>
      <c r="H138" s="723"/>
      <c r="I138" s="723"/>
    </row>
    <row r="139" spans="1:9" ht="15" customHeight="1">
      <c r="A139" s="995"/>
      <c r="B139" s="995"/>
      <c r="C139" s="739" t="s">
        <v>2269</v>
      </c>
      <c r="D139" s="739"/>
      <c r="E139" s="622"/>
      <c r="F139" s="713"/>
      <c r="G139" s="711"/>
      <c r="H139" s="713"/>
      <c r="I139" s="713"/>
    </row>
    <row r="140" spans="1:9" ht="15" customHeight="1">
      <c r="A140" s="995"/>
      <c r="B140" s="995"/>
      <c r="C140" s="627" t="s">
        <v>2271</v>
      </c>
      <c r="D140" s="627"/>
      <c r="E140" s="622"/>
      <c r="F140" s="713"/>
      <c r="G140" s="711"/>
      <c r="H140" s="713"/>
      <c r="I140" s="713"/>
    </row>
    <row r="141" spans="1:9" ht="15" customHeight="1">
      <c r="A141" s="595"/>
      <c r="B141" s="596"/>
      <c r="C141" s="596"/>
      <c r="D141" s="1431" t="s">
        <v>2272</v>
      </c>
      <c r="E141" s="1431" t="s">
        <v>2305</v>
      </c>
      <c r="F141" s="745" t="s">
        <v>2898</v>
      </c>
      <c r="G141" s="737" t="s">
        <v>2165</v>
      </c>
      <c r="H141" s="738" t="s">
        <v>2385</v>
      </c>
      <c r="I141" s="738" t="s">
        <v>2384</v>
      </c>
    </row>
    <row r="142" spans="1:9" ht="15" customHeight="1">
      <c r="A142" s="1408" t="s">
        <v>2274</v>
      </c>
      <c r="B142" s="1498"/>
      <c r="C142" s="1499"/>
      <c r="D142" s="1500"/>
      <c r="E142" s="1500"/>
      <c r="F142" s="1010"/>
      <c r="G142" s="741"/>
      <c r="H142" s="742"/>
      <c r="I142" s="742"/>
    </row>
    <row r="143" spans="1:9" ht="15" customHeight="1">
      <c r="A143" s="972"/>
      <c r="B143" s="743" t="s">
        <v>2275</v>
      </c>
      <c r="C143" s="744"/>
      <c r="D143" s="745"/>
      <c r="E143" s="746"/>
      <c r="F143" s="1011"/>
      <c r="G143" s="747"/>
      <c r="H143" s="748"/>
      <c r="I143" s="748"/>
    </row>
    <row r="144" spans="1:9" ht="15" customHeight="1">
      <c r="A144" s="973"/>
      <c r="B144" s="1421" t="s">
        <v>157</v>
      </c>
      <c r="C144" s="749" t="s">
        <v>2187</v>
      </c>
      <c r="D144" s="750">
        <v>1</v>
      </c>
      <c r="E144" s="751" t="s">
        <v>2747</v>
      </c>
      <c r="F144" s="1003"/>
      <c r="G144" s="615"/>
      <c r="H144" s="616"/>
      <c r="I144" s="616"/>
    </row>
    <row r="145" spans="1:9" ht="15" customHeight="1">
      <c r="A145" s="973"/>
      <c r="B145" s="1423"/>
      <c r="C145" s="749" t="s">
        <v>2188</v>
      </c>
      <c r="D145" s="750">
        <v>1</v>
      </c>
      <c r="E145" s="751" t="s">
        <v>2747</v>
      </c>
      <c r="F145" s="1003"/>
      <c r="G145" s="615"/>
      <c r="H145" s="616"/>
      <c r="I145" s="616"/>
    </row>
    <row r="146" spans="1:9" ht="15" customHeight="1">
      <c r="A146" s="973"/>
      <c r="B146" s="1423"/>
      <c r="C146" s="749" t="s">
        <v>2277</v>
      </c>
      <c r="D146" s="750">
        <v>0.9</v>
      </c>
      <c r="E146" s="751" t="s">
        <v>2747</v>
      </c>
      <c r="F146" s="1003"/>
      <c r="G146" s="615"/>
      <c r="H146" s="616"/>
      <c r="I146" s="616"/>
    </row>
    <row r="147" spans="1:9" ht="15" customHeight="1">
      <c r="A147" s="973"/>
      <c r="B147" s="1422"/>
      <c r="C147" s="749" t="s">
        <v>2278</v>
      </c>
      <c r="D147" s="750">
        <v>0.9</v>
      </c>
      <c r="E147" s="751" t="s">
        <v>2747</v>
      </c>
      <c r="F147" s="1003"/>
      <c r="G147" s="615"/>
      <c r="H147" s="616"/>
      <c r="I147" s="616"/>
    </row>
    <row r="148" spans="1:9" ht="15" customHeight="1">
      <c r="A148" s="973"/>
      <c r="B148" s="1421" t="s">
        <v>2191</v>
      </c>
      <c r="C148" s="749" t="s">
        <v>2279</v>
      </c>
      <c r="D148" s="750">
        <v>1</v>
      </c>
      <c r="E148" s="752">
        <v>0.01</v>
      </c>
      <c r="F148" s="1003"/>
      <c r="G148" s="615"/>
      <c r="H148" s="616"/>
      <c r="I148" s="616"/>
    </row>
    <row r="149" spans="1:9" ht="15" customHeight="1">
      <c r="A149" s="973"/>
      <c r="B149" s="1423"/>
      <c r="C149" s="749" t="s">
        <v>2285</v>
      </c>
      <c r="D149" s="750">
        <v>1</v>
      </c>
      <c r="E149" s="752">
        <v>0.01</v>
      </c>
      <c r="F149" s="1003"/>
      <c r="G149" s="615"/>
      <c r="H149" s="616"/>
      <c r="I149" s="616"/>
    </row>
    <row r="150" spans="1:9" ht="15" customHeight="1">
      <c r="A150" s="973"/>
      <c r="B150" s="1423"/>
      <c r="C150" s="749" t="s">
        <v>2194</v>
      </c>
      <c r="D150" s="750">
        <v>1</v>
      </c>
      <c r="E150" s="752">
        <v>0.01</v>
      </c>
      <c r="F150" s="1003"/>
      <c r="G150" s="615"/>
      <c r="H150" s="616"/>
      <c r="I150" s="616"/>
    </row>
    <row r="151" spans="1:9" ht="14.25" customHeight="1">
      <c r="A151" s="973"/>
      <c r="B151" s="1423"/>
      <c r="C151" s="749" t="s">
        <v>2286</v>
      </c>
      <c r="D151" s="750"/>
      <c r="E151" s="752"/>
      <c r="F151" s="1003"/>
      <c r="G151" s="615"/>
      <c r="H151" s="616"/>
      <c r="I151" s="616"/>
    </row>
    <row r="152" spans="1:9" ht="14.25" customHeight="1">
      <c r="A152" s="973"/>
      <c r="B152" s="1423"/>
      <c r="C152" s="749" t="s">
        <v>2196</v>
      </c>
      <c r="D152" s="750"/>
      <c r="E152" s="752"/>
      <c r="F152" s="1003"/>
      <c r="G152" s="615"/>
      <c r="H152" s="616"/>
      <c r="I152" s="616"/>
    </row>
    <row r="153" spans="1:9" ht="15" customHeight="1">
      <c r="A153" s="973"/>
      <c r="B153" s="1423"/>
      <c r="C153" s="749" t="s">
        <v>2197</v>
      </c>
      <c r="D153" s="750">
        <v>1</v>
      </c>
      <c r="E153" s="752">
        <v>0.01</v>
      </c>
      <c r="F153" s="1003"/>
      <c r="G153" s="615"/>
      <c r="H153" s="616"/>
      <c r="I153" s="616"/>
    </row>
    <row r="154" spans="1:9" ht="15" customHeight="1">
      <c r="A154" s="973"/>
      <c r="B154" s="1423"/>
      <c r="C154" s="753" t="s">
        <v>2287</v>
      </c>
      <c r="D154" s="750">
        <v>1</v>
      </c>
      <c r="E154" s="752">
        <v>0.01</v>
      </c>
      <c r="F154" s="1003"/>
      <c r="G154" s="615"/>
      <c r="H154" s="616"/>
      <c r="I154" s="616"/>
    </row>
    <row r="155" spans="1:9" ht="15" customHeight="1">
      <c r="A155" s="973"/>
      <c r="B155" s="1423"/>
      <c r="C155" s="753" t="s">
        <v>2288</v>
      </c>
      <c r="D155" s="750">
        <v>1</v>
      </c>
      <c r="E155" s="752">
        <v>0.01</v>
      </c>
      <c r="F155" s="1003"/>
      <c r="G155" s="615"/>
      <c r="H155" s="616"/>
      <c r="I155" s="616"/>
    </row>
    <row r="156" spans="1:9" ht="15" customHeight="1">
      <c r="A156" s="973"/>
      <c r="B156" s="1422"/>
      <c r="C156" s="749" t="s">
        <v>2200</v>
      </c>
      <c r="D156" s="750">
        <v>1</v>
      </c>
      <c r="E156" s="752">
        <v>0.01</v>
      </c>
      <c r="F156" s="1003"/>
      <c r="G156" s="615"/>
      <c r="H156" s="616"/>
      <c r="I156" s="616"/>
    </row>
    <row r="157" spans="1:9" ht="15" customHeight="1">
      <c r="A157" s="974"/>
      <c r="B157" s="754" t="s">
        <v>2281</v>
      </c>
      <c r="C157" s="775" t="s">
        <v>2282</v>
      </c>
      <c r="D157" s="755">
        <v>1</v>
      </c>
      <c r="E157" s="756">
        <v>0</v>
      </c>
      <c r="F157" s="1013"/>
      <c r="G157" s="638"/>
      <c r="H157" s="723"/>
      <c r="I157" s="723"/>
    </row>
    <row r="158" spans="1:9" ht="15" customHeight="1">
      <c r="A158" s="757"/>
      <c r="B158" s="758"/>
      <c r="C158" s="759"/>
      <c r="D158" s="975"/>
      <c r="E158" s="975"/>
      <c r="F158" s="1011"/>
      <c r="G158" s="747"/>
      <c r="H158" s="748"/>
      <c r="I158" s="748"/>
    </row>
    <row r="159" spans="1:9" ht="15" customHeight="1">
      <c r="A159" s="1408" t="s">
        <v>2283</v>
      </c>
      <c r="B159" s="1498"/>
      <c r="C159" s="1499"/>
      <c r="D159" s="976"/>
      <c r="E159" s="976"/>
      <c r="F159" s="1010"/>
      <c r="G159" s="741"/>
      <c r="H159" s="742"/>
      <c r="I159" s="742"/>
    </row>
    <row r="160" spans="1:9" ht="15" customHeight="1">
      <c r="A160" s="972"/>
      <c r="B160" s="1425" t="s">
        <v>157</v>
      </c>
      <c r="C160" s="760" t="s">
        <v>2187</v>
      </c>
      <c r="D160" s="761"/>
      <c r="E160" s="762" t="s">
        <v>2747</v>
      </c>
      <c r="F160" s="1019"/>
      <c r="G160" s="763"/>
      <c r="H160" s="764"/>
      <c r="I160" s="764"/>
    </row>
    <row r="161" spans="1:9" ht="15" customHeight="1">
      <c r="A161" s="973"/>
      <c r="B161" s="1495"/>
      <c r="C161" s="765"/>
      <c r="D161" s="766">
        <v>1</v>
      </c>
      <c r="E161" s="767" t="s">
        <v>2747</v>
      </c>
      <c r="F161" s="1020"/>
      <c r="G161" s="718"/>
      <c r="H161" s="726"/>
      <c r="I161" s="726"/>
    </row>
    <row r="162" spans="1:9" ht="15" customHeight="1">
      <c r="A162" s="973"/>
      <c r="B162" s="1495"/>
      <c r="C162" s="768" t="s">
        <v>2188</v>
      </c>
      <c r="D162" s="1411"/>
      <c r="E162" s="767" t="s">
        <v>2747</v>
      </c>
      <c r="F162" s="1021"/>
      <c r="G162" s="769"/>
      <c r="H162" s="770"/>
      <c r="I162" s="770"/>
    </row>
    <row r="163" spans="1:9" ht="15" customHeight="1">
      <c r="A163" s="973"/>
      <c r="B163" s="1495"/>
      <c r="C163" s="765"/>
      <c r="D163" s="771">
        <v>1</v>
      </c>
      <c r="E163" s="767" t="s">
        <v>2747</v>
      </c>
      <c r="F163" s="1020"/>
      <c r="G163" s="718"/>
      <c r="H163" s="726"/>
      <c r="I163" s="726"/>
    </row>
    <row r="164" spans="1:9" ht="15" customHeight="1">
      <c r="A164" s="973"/>
      <c r="B164" s="1495"/>
      <c r="C164" s="749" t="s">
        <v>2210</v>
      </c>
      <c r="D164" s="772">
        <v>0.9</v>
      </c>
      <c r="E164" s="767" t="s">
        <v>2747</v>
      </c>
      <c r="F164" s="1020"/>
      <c r="G164" s="718"/>
      <c r="H164" s="726"/>
      <c r="I164" s="726"/>
    </row>
    <row r="165" spans="1:9" ht="15" customHeight="1">
      <c r="A165" s="973"/>
      <c r="B165" s="1496"/>
      <c r="C165" s="749" t="s">
        <v>2211</v>
      </c>
      <c r="D165" s="772">
        <v>0.9</v>
      </c>
      <c r="E165" s="767" t="s">
        <v>2747</v>
      </c>
      <c r="F165" s="1020"/>
      <c r="G165" s="718"/>
      <c r="H165" s="726"/>
      <c r="I165" s="726"/>
    </row>
    <row r="166" spans="1:9" ht="15" customHeight="1">
      <c r="A166" s="973"/>
      <c r="B166" s="1421" t="s">
        <v>2191</v>
      </c>
      <c r="C166" s="749" t="s">
        <v>2279</v>
      </c>
      <c r="D166" s="772">
        <v>1</v>
      </c>
      <c r="E166" s="752">
        <v>0.01</v>
      </c>
      <c r="F166" s="1020"/>
      <c r="G166" s="615"/>
      <c r="H166" s="726"/>
      <c r="I166" s="726"/>
    </row>
    <row r="167" spans="1:9" ht="15" customHeight="1">
      <c r="A167" s="973"/>
      <c r="B167" s="1495"/>
      <c r="C167" s="749" t="s">
        <v>2285</v>
      </c>
      <c r="D167" s="772">
        <v>1</v>
      </c>
      <c r="E167" s="752">
        <v>0.01</v>
      </c>
      <c r="F167" s="1020"/>
      <c r="G167" s="615"/>
      <c r="H167" s="726"/>
      <c r="I167" s="726"/>
    </row>
    <row r="168" spans="1:9" ht="15" customHeight="1">
      <c r="A168" s="973"/>
      <c r="B168" s="1495"/>
      <c r="C168" s="749" t="s">
        <v>2194</v>
      </c>
      <c r="D168" s="772">
        <v>1</v>
      </c>
      <c r="E168" s="752">
        <v>0.01</v>
      </c>
      <c r="F168" s="1020"/>
      <c r="G168" s="615"/>
      <c r="H168" s="726"/>
      <c r="I168" s="726"/>
    </row>
    <row r="169" spans="1:9" ht="15" customHeight="1">
      <c r="A169" s="973"/>
      <c r="B169" s="1495"/>
      <c r="C169" s="749" t="s">
        <v>2286</v>
      </c>
      <c r="D169" s="772"/>
      <c r="E169" s="752"/>
      <c r="F169" s="1020"/>
      <c r="G169" s="615"/>
      <c r="H169" s="726"/>
      <c r="I169" s="726"/>
    </row>
    <row r="170" spans="1:9" ht="15" customHeight="1">
      <c r="A170" s="973"/>
      <c r="B170" s="1495"/>
      <c r="C170" s="773" t="s">
        <v>2196</v>
      </c>
      <c r="D170" s="772"/>
      <c r="E170" s="752"/>
      <c r="F170" s="1020"/>
      <c r="G170" s="615"/>
      <c r="H170" s="726"/>
      <c r="I170" s="726"/>
    </row>
    <row r="171" spans="1:9" ht="15" customHeight="1">
      <c r="A171" s="973"/>
      <c r="B171" s="1495"/>
      <c r="C171" s="749" t="s">
        <v>2197</v>
      </c>
      <c r="D171" s="772">
        <v>1</v>
      </c>
      <c r="E171" s="752">
        <v>0.01</v>
      </c>
      <c r="F171" s="1020"/>
      <c r="G171" s="615"/>
      <c r="H171" s="726"/>
      <c r="I171" s="726"/>
    </row>
    <row r="172" spans="1:9" ht="15" customHeight="1">
      <c r="A172" s="973"/>
      <c r="B172" s="1495"/>
      <c r="C172" s="753" t="s">
        <v>2287</v>
      </c>
      <c r="D172" s="772">
        <v>1</v>
      </c>
      <c r="E172" s="752">
        <v>0.01</v>
      </c>
      <c r="F172" s="1020"/>
      <c r="G172" s="615"/>
      <c r="H172" s="726"/>
      <c r="I172" s="726"/>
    </row>
    <row r="173" spans="1:9" ht="15" customHeight="1">
      <c r="A173" s="973"/>
      <c r="B173" s="1495"/>
      <c r="C173" s="753" t="s">
        <v>2288</v>
      </c>
      <c r="D173" s="772">
        <v>1</v>
      </c>
      <c r="E173" s="752">
        <v>0.01</v>
      </c>
      <c r="F173" s="1020"/>
      <c r="G173" s="615"/>
      <c r="H173" s="726"/>
      <c r="I173" s="726"/>
    </row>
    <row r="174" spans="1:9" ht="15" customHeight="1">
      <c r="A174" s="973"/>
      <c r="B174" s="1496"/>
      <c r="C174" s="749" t="s">
        <v>2200</v>
      </c>
      <c r="D174" s="772">
        <v>1</v>
      </c>
      <c r="E174" s="752">
        <v>0.01</v>
      </c>
      <c r="F174" s="1020"/>
      <c r="G174" s="615"/>
      <c r="H174" s="726"/>
      <c r="I174" s="726"/>
    </row>
    <row r="175" spans="1:9" ht="15" customHeight="1" thickBot="1">
      <c r="A175" s="977"/>
      <c r="B175" s="774" t="s">
        <v>2281</v>
      </c>
      <c r="C175" s="775" t="s">
        <v>2289</v>
      </c>
      <c r="D175" s="776">
        <v>1</v>
      </c>
      <c r="E175" s="777">
        <v>0</v>
      </c>
      <c r="F175" s="1020"/>
      <c r="G175" s="778"/>
      <c r="H175" s="726"/>
      <c r="I175" s="726"/>
    </row>
    <row r="176" spans="1:9" ht="15" customHeight="1" thickTop="1">
      <c r="A176" s="779"/>
      <c r="B176" s="780"/>
      <c r="C176" s="781" t="s">
        <v>2290</v>
      </c>
      <c r="D176" s="782"/>
      <c r="E176" s="783"/>
      <c r="F176" s="1067"/>
      <c r="G176" s="784"/>
      <c r="H176" s="785"/>
      <c r="I176" s="785"/>
    </row>
    <row r="177" spans="1:9" ht="15" customHeight="1">
      <c r="A177" s="995"/>
      <c r="B177" s="995"/>
      <c r="C177" s="623"/>
      <c r="D177" s="623"/>
      <c r="E177" s="995"/>
      <c r="F177" s="618"/>
      <c r="G177" s="786"/>
      <c r="H177" s="618"/>
      <c r="I177" s="618"/>
    </row>
    <row r="178" spans="1:9" ht="15" customHeight="1">
      <c r="A178" s="995"/>
      <c r="B178" s="995"/>
      <c r="C178" s="739" t="s">
        <v>2291</v>
      </c>
      <c r="D178" s="739"/>
      <c r="E178" s="622"/>
      <c r="F178" s="713"/>
      <c r="G178" s="711"/>
      <c r="H178" s="713"/>
      <c r="I178" s="713"/>
    </row>
    <row r="179" spans="1:9" ht="15" customHeight="1">
      <c r="A179" s="995"/>
      <c r="B179" s="995"/>
      <c r="C179" s="627" t="s">
        <v>2872</v>
      </c>
      <c r="D179" s="627"/>
      <c r="E179" s="622"/>
      <c r="F179" s="713"/>
      <c r="G179" s="711"/>
      <c r="H179" s="713"/>
      <c r="I179" s="713"/>
    </row>
    <row r="180" spans="1:9" ht="15" customHeight="1">
      <c r="A180" s="595"/>
      <c r="B180" s="596"/>
      <c r="C180" s="596"/>
      <c r="D180" s="1431" t="s">
        <v>2272</v>
      </c>
      <c r="E180" s="1431" t="s">
        <v>2305</v>
      </c>
      <c r="F180" s="745" t="s">
        <v>2898</v>
      </c>
      <c r="G180" s="737" t="s">
        <v>2165</v>
      </c>
      <c r="H180" s="738" t="s">
        <v>2385</v>
      </c>
      <c r="I180" s="738" t="s">
        <v>2384</v>
      </c>
    </row>
    <row r="181" spans="1:9" ht="15" customHeight="1">
      <c r="A181" s="1408" t="s">
        <v>2294</v>
      </c>
      <c r="B181" s="1498"/>
      <c r="C181" s="1499"/>
      <c r="D181" s="1500"/>
      <c r="E181" s="1500"/>
      <c r="F181" s="1010"/>
      <c r="G181" s="741"/>
      <c r="H181" s="742"/>
      <c r="I181" s="742"/>
    </row>
    <row r="182" spans="1:9" ht="15" customHeight="1">
      <c r="A182" s="972"/>
      <c r="B182" s="743" t="s">
        <v>2295</v>
      </c>
      <c r="C182" s="744"/>
      <c r="D182" s="745"/>
      <c r="E182" s="746"/>
      <c r="F182" s="1011"/>
      <c r="G182" s="747"/>
      <c r="H182" s="748"/>
      <c r="I182" s="748"/>
    </row>
    <row r="183" spans="1:9" ht="15" customHeight="1">
      <c r="A183" s="973"/>
      <c r="B183" s="1421" t="s">
        <v>157</v>
      </c>
      <c r="C183" s="749" t="s">
        <v>2187</v>
      </c>
      <c r="D183" s="750">
        <v>1</v>
      </c>
      <c r="E183" s="751" t="s">
        <v>2747</v>
      </c>
      <c r="F183" s="1003"/>
      <c r="G183" s="615"/>
      <c r="H183" s="616"/>
      <c r="I183" s="616"/>
    </row>
    <row r="184" spans="1:9" ht="15" customHeight="1">
      <c r="A184" s="973"/>
      <c r="B184" s="1423"/>
      <c r="C184" s="749" t="s">
        <v>2188</v>
      </c>
      <c r="D184" s="750">
        <v>1</v>
      </c>
      <c r="E184" s="751" t="s">
        <v>2747</v>
      </c>
      <c r="F184" s="1003"/>
      <c r="G184" s="615"/>
      <c r="H184" s="616"/>
      <c r="I184" s="616"/>
    </row>
    <row r="185" spans="1:9" ht="15" customHeight="1">
      <c r="A185" s="973"/>
      <c r="B185" s="1423"/>
      <c r="C185" s="749" t="s">
        <v>2277</v>
      </c>
      <c r="D185" s="750">
        <v>1</v>
      </c>
      <c r="E185" s="751" t="s">
        <v>2747</v>
      </c>
      <c r="F185" s="1003"/>
      <c r="G185" s="615"/>
      <c r="H185" s="616"/>
      <c r="I185" s="616"/>
    </row>
    <row r="186" spans="1:9" ht="15" customHeight="1">
      <c r="A186" s="973"/>
      <c r="B186" s="1422"/>
      <c r="C186" s="749" t="s">
        <v>2278</v>
      </c>
      <c r="D186" s="750">
        <v>1</v>
      </c>
      <c r="E186" s="751" t="s">
        <v>2747</v>
      </c>
      <c r="F186" s="1003"/>
      <c r="G186" s="615"/>
      <c r="H186" s="616"/>
      <c r="I186" s="616"/>
    </row>
    <row r="187" spans="1:9" ht="15" customHeight="1">
      <c r="A187" s="973"/>
      <c r="B187" s="1421" t="s">
        <v>2191</v>
      </c>
      <c r="C187" s="749" t="s">
        <v>2279</v>
      </c>
      <c r="D187" s="750">
        <v>1</v>
      </c>
      <c r="E187" s="752">
        <v>0.02</v>
      </c>
      <c r="F187" s="1003"/>
      <c r="G187" s="615"/>
      <c r="H187" s="616"/>
      <c r="I187" s="616"/>
    </row>
    <row r="188" spans="1:9" ht="15" customHeight="1">
      <c r="A188" s="973"/>
      <c r="B188" s="1423"/>
      <c r="C188" s="749" t="s">
        <v>2285</v>
      </c>
      <c r="D188" s="750">
        <v>1</v>
      </c>
      <c r="E188" s="752">
        <v>0.02</v>
      </c>
      <c r="F188" s="1003"/>
      <c r="G188" s="615"/>
      <c r="H188" s="616"/>
      <c r="I188" s="616"/>
    </row>
    <row r="189" spans="1:9" ht="15" customHeight="1">
      <c r="A189" s="973"/>
      <c r="B189" s="1423"/>
      <c r="C189" s="749" t="s">
        <v>2194</v>
      </c>
      <c r="D189" s="750">
        <v>1</v>
      </c>
      <c r="E189" s="752">
        <v>0.02</v>
      </c>
      <c r="F189" s="1003"/>
      <c r="G189" s="615"/>
      <c r="H189" s="616"/>
      <c r="I189" s="616"/>
    </row>
    <row r="190" spans="1:9" ht="15" customHeight="1">
      <c r="A190" s="973"/>
      <c r="B190" s="1423"/>
      <c r="C190" s="749" t="s">
        <v>2286</v>
      </c>
      <c r="D190" s="750"/>
      <c r="E190" s="752"/>
      <c r="F190" s="1003"/>
      <c r="G190" s="615"/>
      <c r="H190" s="616"/>
      <c r="I190" s="616"/>
    </row>
    <row r="191" spans="1:9" ht="15" customHeight="1">
      <c r="A191" s="973"/>
      <c r="B191" s="1423"/>
      <c r="C191" s="749" t="s">
        <v>2196</v>
      </c>
      <c r="D191" s="750"/>
      <c r="E191" s="752"/>
      <c r="F191" s="1003"/>
      <c r="G191" s="615"/>
      <c r="H191" s="616"/>
      <c r="I191" s="616"/>
    </row>
    <row r="192" spans="1:9" ht="15" customHeight="1">
      <c r="A192" s="973"/>
      <c r="B192" s="1423"/>
      <c r="C192" s="749" t="s">
        <v>2197</v>
      </c>
      <c r="D192" s="750">
        <v>1</v>
      </c>
      <c r="E192" s="752">
        <v>0.02</v>
      </c>
      <c r="F192" s="1003"/>
      <c r="G192" s="615"/>
      <c r="H192" s="616"/>
      <c r="I192" s="616"/>
    </row>
    <row r="193" spans="1:9" ht="15" customHeight="1">
      <c r="A193" s="973"/>
      <c r="B193" s="1423"/>
      <c r="C193" s="753" t="s">
        <v>2287</v>
      </c>
      <c r="D193" s="750">
        <v>1</v>
      </c>
      <c r="E193" s="752">
        <v>0.02</v>
      </c>
      <c r="F193" s="1003"/>
      <c r="G193" s="615"/>
      <c r="H193" s="616"/>
      <c r="I193" s="616"/>
    </row>
    <row r="194" spans="1:9" ht="14.25" customHeight="1">
      <c r="A194" s="973"/>
      <c r="B194" s="1423"/>
      <c r="C194" s="753" t="s">
        <v>2288</v>
      </c>
      <c r="D194" s="750">
        <v>1</v>
      </c>
      <c r="E194" s="752">
        <v>0.02</v>
      </c>
      <c r="F194" s="1003"/>
      <c r="G194" s="615"/>
      <c r="H194" s="616"/>
      <c r="I194" s="616"/>
    </row>
    <row r="195" spans="1:9" ht="14.25" customHeight="1">
      <c r="A195" s="973"/>
      <c r="B195" s="1422"/>
      <c r="C195" s="749" t="s">
        <v>2200</v>
      </c>
      <c r="D195" s="750">
        <v>1</v>
      </c>
      <c r="E195" s="752">
        <v>0.02</v>
      </c>
      <c r="F195" s="1003"/>
      <c r="G195" s="615"/>
      <c r="H195" s="616"/>
      <c r="I195" s="616"/>
    </row>
    <row r="196" spans="1:9" ht="14.25" customHeight="1">
      <c r="A196" s="974"/>
      <c r="B196" s="754" t="s">
        <v>2281</v>
      </c>
      <c r="C196" s="787" t="s">
        <v>2873</v>
      </c>
      <c r="D196" s="755">
        <v>1</v>
      </c>
      <c r="E196" s="756">
        <v>0</v>
      </c>
      <c r="F196" s="1013"/>
      <c r="G196" s="638"/>
      <c r="H196" s="723"/>
      <c r="I196" s="723"/>
    </row>
    <row r="197" spans="1:9" ht="14.25" customHeight="1">
      <c r="A197" s="757"/>
      <c r="B197" s="758"/>
      <c r="C197" s="759"/>
      <c r="D197" s="975"/>
      <c r="E197" s="975"/>
      <c r="F197" s="1011"/>
      <c r="G197" s="747"/>
      <c r="H197" s="748"/>
      <c r="I197" s="748"/>
    </row>
    <row r="198" spans="1:9" ht="14.25" customHeight="1">
      <c r="A198" s="1408" t="s">
        <v>2209</v>
      </c>
      <c r="B198" s="1284"/>
      <c r="C198" s="1285"/>
      <c r="D198" s="976"/>
      <c r="E198" s="976"/>
      <c r="F198" s="1010"/>
      <c r="G198" s="741"/>
      <c r="H198" s="742"/>
      <c r="I198" s="742"/>
    </row>
    <row r="199" spans="1:9" ht="14.25" customHeight="1">
      <c r="A199" s="972"/>
      <c r="B199" s="1425" t="s">
        <v>157</v>
      </c>
      <c r="C199" s="760" t="s">
        <v>2187</v>
      </c>
      <c r="D199" s="761"/>
      <c r="E199" s="762" t="s">
        <v>2747</v>
      </c>
      <c r="F199" s="1019"/>
      <c r="G199" s="763"/>
      <c r="H199" s="764"/>
      <c r="I199" s="764"/>
    </row>
    <row r="200" spans="1:9" ht="14.25" customHeight="1">
      <c r="A200" s="973"/>
      <c r="B200" s="1423"/>
      <c r="C200" s="765"/>
      <c r="D200" s="766">
        <v>1</v>
      </c>
      <c r="E200" s="767" t="s">
        <v>2747</v>
      </c>
      <c r="F200" s="1020"/>
      <c r="G200" s="726"/>
      <c r="H200" s="726"/>
      <c r="I200" s="726"/>
    </row>
    <row r="201" spans="1:9" ht="14.25" customHeight="1">
      <c r="A201" s="973"/>
      <c r="B201" s="1423"/>
      <c r="C201" s="768" t="s">
        <v>2188</v>
      </c>
      <c r="D201" s="1411"/>
      <c r="E201" s="767" t="s">
        <v>2747</v>
      </c>
      <c r="F201" s="1021"/>
      <c r="G201" s="769"/>
      <c r="H201" s="788"/>
      <c r="I201" s="788"/>
    </row>
    <row r="202" spans="1:9" ht="14.25" customHeight="1">
      <c r="A202" s="973"/>
      <c r="B202" s="1423"/>
      <c r="C202" s="765"/>
      <c r="D202" s="771">
        <v>1</v>
      </c>
      <c r="E202" s="767" t="s">
        <v>2747</v>
      </c>
      <c r="F202" s="1020"/>
      <c r="G202" s="726"/>
      <c r="H202" s="726"/>
      <c r="I202" s="726"/>
    </row>
    <row r="203" spans="1:9" ht="14.25" customHeight="1">
      <c r="A203" s="973"/>
      <c r="B203" s="1423"/>
      <c r="C203" s="749" t="s">
        <v>2210</v>
      </c>
      <c r="D203" s="772">
        <v>1</v>
      </c>
      <c r="E203" s="767" t="s">
        <v>2747</v>
      </c>
      <c r="F203" s="1020"/>
      <c r="G203" s="718"/>
      <c r="H203" s="726"/>
      <c r="I203" s="726"/>
    </row>
    <row r="204" spans="1:9" ht="14.25" customHeight="1">
      <c r="A204" s="973"/>
      <c r="B204" s="1422"/>
      <c r="C204" s="749" t="s">
        <v>2211</v>
      </c>
      <c r="D204" s="772">
        <v>1</v>
      </c>
      <c r="E204" s="767" t="s">
        <v>2747</v>
      </c>
      <c r="F204" s="1020"/>
      <c r="G204" s="718"/>
      <c r="H204" s="726"/>
      <c r="I204" s="726"/>
    </row>
    <row r="205" spans="1:9" ht="14.25" customHeight="1">
      <c r="A205" s="973"/>
      <c r="B205" s="1421" t="s">
        <v>2191</v>
      </c>
      <c r="C205" s="749" t="s">
        <v>2279</v>
      </c>
      <c r="D205" s="772">
        <v>1</v>
      </c>
      <c r="E205" s="752">
        <v>0.02</v>
      </c>
      <c r="F205" s="1020"/>
      <c r="G205" s="718"/>
      <c r="H205" s="726"/>
      <c r="I205" s="726"/>
    </row>
    <row r="206" spans="1:9" ht="14.25" customHeight="1">
      <c r="A206" s="973"/>
      <c r="B206" s="1423"/>
      <c r="C206" s="749" t="s">
        <v>2285</v>
      </c>
      <c r="D206" s="772">
        <v>1</v>
      </c>
      <c r="E206" s="752">
        <v>0.02</v>
      </c>
      <c r="F206" s="1020"/>
      <c r="G206" s="718"/>
      <c r="H206" s="726"/>
      <c r="I206" s="726"/>
    </row>
    <row r="207" spans="1:9" ht="14.25" customHeight="1">
      <c r="A207" s="973"/>
      <c r="B207" s="1423"/>
      <c r="C207" s="749" t="s">
        <v>2194</v>
      </c>
      <c r="D207" s="772">
        <v>1</v>
      </c>
      <c r="E207" s="752">
        <v>0.02</v>
      </c>
      <c r="F207" s="1020"/>
      <c r="G207" s="718"/>
      <c r="H207" s="726"/>
      <c r="I207" s="726"/>
    </row>
    <row r="208" spans="1:9" ht="14.25" customHeight="1">
      <c r="A208" s="973"/>
      <c r="B208" s="1423"/>
      <c r="C208" s="749" t="s">
        <v>2286</v>
      </c>
      <c r="D208" s="772"/>
      <c r="E208" s="752"/>
      <c r="F208" s="1020"/>
      <c r="G208" s="718"/>
      <c r="H208" s="726"/>
      <c r="I208" s="726"/>
    </row>
    <row r="209" spans="1:9" ht="14.25" customHeight="1">
      <c r="A209" s="973"/>
      <c r="B209" s="1423"/>
      <c r="C209" s="773"/>
      <c r="D209" s="772"/>
      <c r="E209" s="752"/>
      <c r="F209" s="1020"/>
      <c r="G209" s="718"/>
      <c r="H209" s="726"/>
      <c r="I209" s="726"/>
    </row>
    <row r="210" spans="1:9" ht="14.25" customHeight="1">
      <c r="A210" s="973"/>
      <c r="B210" s="1423"/>
      <c r="C210" s="749" t="s">
        <v>2197</v>
      </c>
      <c r="D210" s="772">
        <v>1</v>
      </c>
      <c r="E210" s="752">
        <v>0.02</v>
      </c>
      <c r="F210" s="1020"/>
      <c r="G210" s="718"/>
      <c r="H210" s="726"/>
      <c r="I210" s="726"/>
    </row>
    <row r="211" spans="1:9" ht="14.25" customHeight="1">
      <c r="A211" s="973"/>
      <c r="B211" s="1423"/>
      <c r="C211" s="753" t="s">
        <v>2287</v>
      </c>
      <c r="D211" s="772">
        <v>1</v>
      </c>
      <c r="E211" s="752">
        <v>0.02</v>
      </c>
      <c r="F211" s="1020"/>
      <c r="G211" s="718"/>
      <c r="H211" s="726"/>
      <c r="I211" s="726"/>
    </row>
    <row r="212" spans="1:9" ht="14.25" customHeight="1">
      <c r="A212" s="973"/>
      <c r="B212" s="1423"/>
      <c r="C212" s="753" t="s">
        <v>2288</v>
      </c>
      <c r="D212" s="772">
        <v>1</v>
      </c>
      <c r="E212" s="752">
        <v>0.02</v>
      </c>
      <c r="F212" s="1020"/>
      <c r="G212" s="718"/>
      <c r="H212" s="726"/>
      <c r="I212" s="726"/>
    </row>
    <row r="213" spans="1:9" ht="14.25" customHeight="1">
      <c r="A213" s="973"/>
      <c r="B213" s="1422"/>
      <c r="C213" s="749" t="s">
        <v>2200</v>
      </c>
      <c r="D213" s="772">
        <v>1</v>
      </c>
      <c r="E213" s="752">
        <v>0.02</v>
      </c>
      <c r="F213" s="1020"/>
      <c r="G213" s="718"/>
      <c r="H213" s="726"/>
      <c r="I213" s="726"/>
    </row>
    <row r="214" spans="1:9" ht="14.25" customHeight="1">
      <c r="A214" s="973"/>
      <c r="B214" s="1426" t="s">
        <v>2299</v>
      </c>
      <c r="C214" s="749" t="s">
        <v>2219</v>
      </c>
      <c r="D214" s="789"/>
      <c r="E214" s="790"/>
      <c r="F214" s="1003"/>
      <c r="G214" s="718"/>
      <c r="H214" s="616"/>
      <c r="I214" s="616"/>
    </row>
    <row r="215" spans="1:9" ht="14.25" customHeight="1">
      <c r="A215" s="973"/>
      <c r="B215" s="1427"/>
      <c r="C215" s="791" t="s">
        <v>2300</v>
      </c>
      <c r="D215" s="789"/>
      <c r="E215" s="790"/>
      <c r="F215" s="1003"/>
      <c r="G215" s="718"/>
      <c r="H215" s="616"/>
      <c r="I215" s="616"/>
    </row>
    <row r="216" spans="1:9" ht="13.5" customHeight="1" thickBot="1">
      <c r="A216" s="977"/>
      <c r="B216" s="792" t="s">
        <v>2281</v>
      </c>
      <c r="C216" s="787" t="s">
        <v>2873</v>
      </c>
      <c r="D216" s="789">
        <v>1</v>
      </c>
      <c r="E216" s="790">
        <v>0</v>
      </c>
      <c r="F216" s="1020"/>
      <c r="G216" s="718"/>
      <c r="H216" s="726"/>
      <c r="I216" s="726"/>
    </row>
    <row r="217" spans="1:9" ht="13.5" customHeight="1" thickTop="1">
      <c r="A217" s="793"/>
      <c r="B217" s="794"/>
      <c r="C217" s="795" t="s">
        <v>2301</v>
      </c>
      <c r="D217" s="796"/>
      <c r="E217" s="797"/>
      <c r="F217" s="1022"/>
      <c r="G217" s="798"/>
      <c r="H217" s="799"/>
      <c r="I217" s="799"/>
    </row>
    <row r="218" spans="1:9" ht="13.5" customHeight="1">
      <c r="A218" s="800"/>
      <c r="B218" s="801"/>
      <c r="C218" s="722" t="s">
        <v>2302</v>
      </c>
      <c r="D218" s="802"/>
      <c r="E218" s="637"/>
      <c r="F218" s="1013"/>
      <c r="G218" s="638"/>
      <c r="H218" s="723"/>
      <c r="I218" s="723"/>
    </row>
    <row r="219" spans="1:9" ht="13.5" customHeight="1">
      <c r="A219" s="995"/>
      <c r="B219" s="995"/>
      <c r="C219" s="623"/>
      <c r="D219" s="623"/>
      <c r="E219" s="995"/>
      <c r="F219" s="618"/>
      <c r="G219" s="786"/>
      <c r="H219" s="618"/>
      <c r="I219" s="618"/>
    </row>
    <row r="220" spans="1:9" ht="13.5" customHeight="1">
      <c r="A220" s="995"/>
      <c r="B220" s="995"/>
      <c r="C220" s="739" t="s">
        <v>2303</v>
      </c>
      <c r="D220" s="739"/>
      <c r="E220" s="622"/>
      <c r="F220" s="713"/>
      <c r="G220" s="711"/>
      <c r="H220" s="740"/>
      <c r="I220" s="713"/>
    </row>
    <row r="221" spans="1:9" ht="13.5" customHeight="1">
      <c r="A221" s="1274"/>
      <c r="B221" s="1274"/>
      <c r="C221" s="1274"/>
      <c r="D221" s="1274"/>
      <c r="E221" s="1274"/>
      <c r="F221" s="1271"/>
      <c r="G221" s="1270"/>
      <c r="H221" s="1271"/>
      <c r="I221" s="1271"/>
    </row>
    <row r="222" spans="1:9" ht="13.5" customHeight="1">
      <c r="A222" s="978"/>
      <c r="B222" s="979"/>
      <c r="C222" s="980"/>
      <c r="D222" s="804"/>
      <c r="E222" s="736" t="s">
        <v>2305</v>
      </c>
      <c r="F222" s="1106" t="s">
        <v>2898</v>
      </c>
      <c r="G222" s="737" t="s">
        <v>2165</v>
      </c>
      <c r="H222" s="738" t="s">
        <v>2385</v>
      </c>
      <c r="I222" s="738" t="s">
        <v>2384</v>
      </c>
    </row>
    <row r="223" spans="1:9" ht="13.5" customHeight="1" thickBot="1">
      <c r="A223" s="1275"/>
      <c r="B223" s="1276"/>
      <c r="C223" s="1277"/>
      <c r="D223" s="805"/>
      <c r="E223" s="806"/>
      <c r="F223" s="1012"/>
      <c r="G223" s="714"/>
      <c r="H223" s="807"/>
      <c r="I223" s="807"/>
    </row>
    <row r="224" spans="1:9" ht="13.5" customHeight="1" thickBot="1">
      <c r="A224" s="808"/>
      <c r="B224" s="809"/>
      <c r="C224" s="810" t="s">
        <v>2306</v>
      </c>
      <c r="D224" s="811"/>
      <c r="E224" s="812"/>
      <c r="F224" s="1023"/>
      <c r="G224" s="813"/>
      <c r="H224" s="814"/>
      <c r="I224" s="814"/>
    </row>
    <row r="225" spans="1:9" ht="13.5" customHeight="1">
      <c r="A225" s="994"/>
      <c r="B225" s="995"/>
      <c r="C225" s="815" t="s">
        <v>2307</v>
      </c>
      <c r="D225" s="816"/>
      <c r="E225" s="817"/>
      <c r="F225" s="1024"/>
      <c r="G225" s="625"/>
      <c r="H225" s="625"/>
      <c r="I225" s="625"/>
    </row>
    <row r="226" spans="1:9" ht="13.5" customHeight="1">
      <c r="A226" s="800"/>
      <c r="B226" s="801"/>
      <c r="C226" s="1432" t="s">
        <v>2308</v>
      </c>
      <c r="D226" s="1432"/>
      <c r="E226" s="1433"/>
      <c r="F226" s="1013"/>
      <c r="G226" s="1183"/>
      <c r="H226" s="723"/>
      <c r="I226" s="723"/>
    </row>
    <row r="227" spans="1:9" ht="13.5" customHeight="1">
      <c r="A227" s="595"/>
      <c r="B227" s="596"/>
      <c r="C227" s="596"/>
      <c r="D227" s="818"/>
      <c r="E227" s="599" t="s">
        <v>2251</v>
      </c>
      <c r="F227" s="1014"/>
      <c r="G227" s="984" t="s">
        <v>2309</v>
      </c>
      <c r="H227" s="985"/>
      <c r="I227" s="725"/>
    </row>
    <row r="228" spans="1:9" ht="13.5" customHeight="1">
      <c r="A228" s="1278" t="s">
        <v>2310</v>
      </c>
      <c r="B228" s="1279"/>
      <c r="C228" s="1280"/>
      <c r="D228" s="819"/>
      <c r="E228" s="820" t="s">
        <v>2246</v>
      </c>
      <c r="F228" s="1013"/>
      <c r="G228" s="989" t="s">
        <v>2311</v>
      </c>
      <c r="H228" s="990"/>
      <c r="I228" s="723"/>
    </row>
    <row r="229" spans="1:9" ht="13.5" customHeight="1">
      <c r="A229" s="991"/>
      <c r="B229" s="821" t="s">
        <v>157</v>
      </c>
      <c r="C229" s="822" t="s">
        <v>2874</v>
      </c>
      <c r="D229" s="823">
        <v>1</v>
      </c>
      <c r="E229" s="824">
        <v>0.1079</v>
      </c>
      <c r="F229" s="1011"/>
      <c r="G229" s="747"/>
      <c r="H229" s="725"/>
      <c r="I229" s="725"/>
    </row>
    <row r="230" spans="1:9" ht="13.5" customHeight="1">
      <c r="A230" s="967"/>
      <c r="B230" s="1421" t="s">
        <v>2313</v>
      </c>
      <c r="C230" s="614" t="s">
        <v>2314</v>
      </c>
      <c r="D230" s="772">
        <v>0.05</v>
      </c>
      <c r="E230" s="752">
        <v>0.1079</v>
      </c>
      <c r="F230" s="1003"/>
      <c r="G230" s="615"/>
      <c r="H230" s="616"/>
      <c r="I230" s="616"/>
    </row>
    <row r="231" spans="1:9" ht="13.5" customHeight="1">
      <c r="A231" s="967"/>
      <c r="B231" s="1422"/>
      <c r="C231" s="614" t="s">
        <v>2315</v>
      </c>
      <c r="D231" s="825">
        <v>1</v>
      </c>
      <c r="E231" s="752">
        <v>4.0000000000000002E-4</v>
      </c>
      <c r="F231" s="1025"/>
      <c r="G231" s="1066"/>
      <c r="H231" s="616"/>
      <c r="I231" s="616"/>
    </row>
    <row r="232" spans="1:9" ht="13.5" customHeight="1">
      <c r="A232" s="967"/>
      <c r="B232" s="826"/>
      <c r="C232" s="614"/>
      <c r="D232" s="827"/>
      <c r="E232" s="827"/>
      <c r="F232" s="1003"/>
      <c r="G232" s="615"/>
      <c r="H232" s="616"/>
      <c r="I232" s="616"/>
    </row>
    <row r="233" spans="1:9" ht="13.5" customHeight="1">
      <c r="A233" s="967"/>
      <c r="B233" s="826"/>
      <c r="C233" s="614"/>
      <c r="D233" s="827"/>
      <c r="E233" s="827"/>
      <c r="F233" s="1003"/>
      <c r="G233" s="615"/>
      <c r="H233" s="616"/>
      <c r="I233" s="616"/>
    </row>
    <row r="234" spans="1:9" ht="13.5" customHeight="1">
      <c r="A234" s="967"/>
      <c r="B234" s="1421" t="s">
        <v>2316</v>
      </c>
      <c r="C234" s="749" t="s">
        <v>2875</v>
      </c>
      <c r="D234" s="828">
        <v>1</v>
      </c>
      <c r="E234" s="829">
        <v>0</v>
      </c>
      <c r="F234" s="1003"/>
      <c r="G234" s="615"/>
      <c r="H234" s="616"/>
      <c r="I234" s="616"/>
    </row>
    <row r="235" spans="1:9" ht="13.5" customHeight="1">
      <c r="A235" s="967"/>
      <c r="B235" s="1423"/>
      <c r="C235" s="830"/>
      <c r="D235" s="749"/>
      <c r="E235" s="829"/>
      <c r="F235" s="1003"/>
      <c r="G235" s="615"/>
      <c r="H235" s="616"/>
      <c r="I235" s="616"/>
    </row>
    <row r="236" spans="1:9" ht="13.5" customHeight="1">
      <c r="A236" s="968"/>
      <c r="B236" s="1424"/>
      <c r="C236" s="831"/>
      <c r="D236" s="787"/>
      <c r="E236" s="832"/>
      <c r="F236" s="1013"/>
      <c r="G236" s="638"/>
      <c r="H236" s="723"/>
      <c r="I236" s="723"/>
    </row>
    <row r="237" spans="1:9" ht="13.5" customHeight="1">
      <c r="A237" s="595"/>
      <c r="B237" s="596"/>
      <c r="C237" s="833"/>
      <c r="D237" s="834"/>
      <c r="E237" s="835"/>
      <c r="F237" s="1014"/>
      <c r="G237" s="613"/>
      <c r="H237" s="725"/>
      <c r="I237" s="725"/>
    </row>
    <row r="238" spans="1:9" ht="13.5" customHeight="1">
      <c r="A238" s="1278" t="s">
        <v>2317</v>
      </c>
      <c r="B238" s="1279"/>
      <c r="C238" s="1280"/>
      <c r="D238" s="836"/>
      <c r="E238" s="837"/>
      <c r="F238" s="1013"/>
      <c r="G238" s="838"/>
      <c r="H238" s="723"/>
      <c r="I238" s="723"/>
    </row>
    <row r="239" spans="1:9" ht="13.5" customHeight="1">
      <c r="A239" s="994"/>
      <c r="B239" s="839" t="s">
        <v>157</v>
      </c>
      <c r="C239" s="822" t="s">
        <v>2874</v>
      </c>
      <c r="D239" s="823">
        <v>1</v>
      </c>
      <c r="E239" s="840">
        <v>0.1079</v>
      </c>
      <c r="F239" s="1014"/>
      <c r="G239" s="615"/>
      <c r="H239" s="725"/>
      <c r="I239" s="725"/>
    </row>
    <row r="240" spans="1:9" ht="13.5" customHeight="1">
      <c r="A240" s="994"/>
      <c r="B240" s="1421" t="s">
        <v>2313</v>
      </c>
      <c r="C240" s="614" t="s">
        <v>2314</v>
      </c>
      <c r="D240" s="828">
        <v>0.05</v>
      </c>
      <c r="E240" s="752">
        <v>0.1079</v>
      </c>
      <c r="F240" s="1003"/>
      <c r="G240" s="615"/>
      <c r="H240" s="616"/>
      <c r="I240" s="616"/>
    </row>
    <row r="241" spans="1:9" ht="13.5" customHeight="1">
      <c r="A241" s="994"/>
      <c r="B241" s="1422"/>
      <c r="C241" s="614" t="s">
        <v>2315</v>
      </c>
      <c r="D241" s="828">
        <v>1</v>
      </c>
      <c r="E241" s="752">
        <v>4.0000000000000002E-4</v>
      </c>
      <c r="F241" s="1003"/>
      <c r="G241" s="615"/>
      <c r="H241" s="616"/>
      <c r="I241" s="616"/>
    </row>
    <row r="242" spans="1:9" ht="13.5" customHeight="1">
      <c r="A242" s="994"/>
      <c r="B242" s="826"/>
      <c r="C242" s="614"/>
      <c r="D242" s="827"/>
      <c r="E242" s="827"/>
      <c r="F242" s="1003"/>
      <c r="G242" s="615"/>
      <c r="H242" s="616"/>
      <c r="I242" s="616"/>
    </row>
    <row r="243" spans="1:9" ht="13.5" customHeight="1">
      <c r="A243" s="994"/>
      <c r="B243" s="826"/>
      <c r="C243" s="614"/>
      <c r="D243" s="827"/>
      <c r="E243" s="827"/>
      <c r="F243" s="1003"/>
      <c r="G243" s="615"/>
      <c r="H243" s="616"/>
      <c r="I243" s="616"/>
    </row>
    <row r="244" spans="1:9" ht="13.5" customHeight="1">
      <c r="A244" s="994"/>
      <c r="B244" s="1421" t="s">
        <v>2316</v>
      </c>
      <c r="C244" s="749" t="s">
        <v>2875</v>
      </c>
      <c r="D244" s="828">
        <v>1</v>
      </c>
      <c r="E244" s="752">
        <v>0</v>
      </c>
      <c r="F244" s="1003"/>
      <c r="G244" s="615"/>
      <c r="H244" s="616"/>
      <c r="I244" s="616"/>
    </row>
    <row r="245" spans="1:9" ht="13.5" customHeight="1">
      <c r="A245" s="994"/>
      <c r="B245" s="1423"/>
      <c r="C245" s="830"/>
      <c r="D245" s="749"/>
      <c r="E245" s="827"/>
      <c r="F245" s="1003"/>
      <c r="G245" s="615"/>
      <c r="H245" s="616"/>
      <c r="I245" s="616"/>
    </row>
    <row r="246" spans="1:9" ht="13.5" customHeight="1">
      <c r="A246" s="841"/>
      <c r="B246" s="1422"/>
      <c r="C246" s="830"/>
      <c r="D246" s="749"/>
      <c r="E246" s="827"/>
      <c r="F246" s="1003"/>
      <c r="G246" s="615"/>
      <c r="H246" s="616"/>
      <c r="I246" s="616"/>
    </row>
    <row r="247" spans="1:9" ht="13.5" customHeight="1">
      <c r="A247" s="841"/>
      <c r="B247" s="1426" t="s">
        <v>2299</v>
      </c>
      <c r="C247" s="765" t="s">
        <v>2318</v>
      </c>
      <c r="D247" s="842"/>
      <c r="E247" s="843"/>
      <c r="F247" s="1025"/>
      <c r="G247" s="844"/>
      <c r="H247" s="908"/>
      <c r="I247" s="908"/>
    </row>
    <row r="248" spans="1:9" ht="13.5" customHeight="1">
      <c r="A248" s="994"/>
      <c r="B248" s="1428"/>
      <c r="C248" s="791" t="s">
        <v>2319</v>
      </c>
      <c r="D248" s="789"/>
      <c r="E248" s="790"/>
      <c r="F248" s="1003"/>
      <c r="G248" s="718"/>
      <c r="H248" s="616"/>
      <c r="I248" s="616"/>
    </row>
    <row r="249" spans="1:9" ht="13.5" customHeight="1">
      <c r="A249" s="808"/>
      <c r="B249" s="809"/>
      <c r="C249" s="809"/>
      <c r="D249" s="600"/>
      <c r="E249" s="600"/>
      <c r="F249" s="1014"/>
      <c r="G249" s="613"/>
      <c r="H249" s="725"/>
      <c r="I249" s="725"/>
    </row>
    <row r="250" spans="1:9" ht="13.5" customHeight="1">
      <c r="A250" s="845"/>
      <c r="B250" s="727"/>
      <c r="C250" s="540" t="s">
        <v>2320</v>
      </c>
      <c r="D250" s="830"/>
      <c r="E250" s="614"/>
      <c r="F250" s="1003"/>
      <c r="G250" s="615"/>
      <c r="H250" s="616"/>
      <c r="I250" s="616"/>
    </row>
    <row r="251" spans="1:9" ht="13.5" customHeight="1">
      <c r="A251" s="845"/>
      <c r="B251" s="727"/>
      <c r="C251" s="540" t="s">
        <v>2302</v>
      </c>
      <c r="D251" s="830"/>
      <c r="E251" s="614"/>
      <c r="F251" s="1003"/>
      <c r="G251" s="615"/>
      <c r="H251" s="616"/>
      <c r="I251" s="616"/>
    </row>
    <row r="252" spans="1:9" ht="13.5" customHeight="1" thickBot="1">
      <c r="A252" s="846"/>
      <c r="B252" s="847"/>
      <c r="C252" s="848" t="s">
        <v>2321</v>
      </c>
      <c r="D252" s="849"/>
      <c r="E252" s="850"/>
      <c r="F252" s="1026"/>
      <c r="G252" s="778"/>
      <c r="H252" s="851"/>
      <c r="I252" s="851"/>
    </row>
    <row r="253" spans="1:9" ht="13.5" customHeight="1" thickTop="1">
      <c r="A253" s="994"/>
      <c r="B253" s="995"/>
      <c r="C253" s="995"/>
      <c r="D253" s="624"/>
      <c r="E253" s="624"/>
      <c r="F253" s="1015"/>
      <c r="G253" s="852"/>
      <c r="H253" s="852"/>
      <c r="I253" s="852"/>
    </row>
    <row r="254" spans="1:9" ht="13.5" customHeight="1">
      <c r="A254" s="845"/>
      <c r="B254" s="727"/>
      <c r="C254" s="540" t="s">
        <v>2302</v>
      </c>
      <c r="D254" s="830"/>
      <c r="E254" s="614"/>
      <c r="F254" s="1003"/>
      <c r="G254" s="615"/>
      <c r="H254" s="616"/>
      <c r="I254" s="616"/>
    </row>
    <row r="255" spans="1:9" ht="13.5" customHeight="1">
      <c r="A255" s="845"/>
      <c r="B255" s="727"/>
      <c r="C255" s="540" t="s">
        <v>2322</v>
      </c>
      <c r="D255" s="830"/>
      <c r="E255" s="827"/>
      <c r="F255" s="1003"/>
      <c r="G255" s="615"/>
      <c r="H255" s="616"/>
      <c r="I255" s="616"/>
    </row>
    <row r="256" spans="1:9" ht="13.5" customHeight="1">
      <c r="A256" s="845"/>
      <c r="B256" s="727"/>
      <c r="C256" s="727"/>
      <c r="D256" s="614"/>
      <c r="E256" s="853">
        <v>156769000</v>
      </c>
      <c r="F256" s="1003"/>
      <c r="G256" s="615"/>
      <c r="H256" s="616"/>
      <c r="I256" s="616"/>
    </row>
    <row r="257" spans="1:9" ht="13.5" customHeight="1">
      <c r="A257" s="855"/>
      <c r="B257" s="717"/>
      <c r="C257" s="717" t="s">
        <v>2324</v>
      </c>
      <c r="D257" s="856"/>
      <c r="E257" s="853">
        <v>156700000</v>
      </c>
      <c r="F257" s="1027"/>
      <c r="G257" s="857"/>
      <c r="H257" s="854"/>
      <c r="I257" s="1147"/>
    </row>
    <row r="258" spans="1:9" ht="13.5" customHeight="1">
      <c r="A258" s="1281"/>
      <c r="B258" s="1282"/>
      <c r="C258" s="1282"/>
      <c r="D258" s="860"/>
      <c r="E258" s="861">
        <v>69000</v>
      </c>
      <c r="F258" s="1016"/>
      <c r="G258" s="914">
        <v>7106000</v>
      </c>
      <c r="H258" s="913">
        <v>-5</v>
      </c>
      <c r="I258" s="913">
        <v>-3</v>
      </c>
    </row>
    <row r="259" spans="1:9" ht="13.5" customHeight="1">
      <c r="G259" s="863"/>
      <c r="H259" s="864"/>
    </row>
    <row r="260" spans="1:9" ht="15" hidden="1" customHeight="1">
      <c r="A260" s="866"/>
      <c r="B260" s="867"/>
      <c r="C260" s="868" t="s">
        <v>2325</v>
      </c>
      <c r="D260" s="869"/>
      <c r="E260" s="867"/>
      <c r="F260" s="871">
        <v>0</v>
      </c>
      <c r="G260" s="870" t="s">
        <v>2326</v>
      </c>
      <c r="H260" s="871">
        <v>6.1</v>
      </c>
      <c r="I260" s="871">
        <v>11.9</v>
      </c>
    </row>
    <row r="261" spans="1:9" ht="15" hidden="1" customHeight="1">
      <c r="A261" s="1451"/>
      <c r="B261" s="1445" t="s">
        <v>2327</v>
      </c>
      <c r="C261" s="872" t="s">
        <v>2328</v>
      </c>
      <c r="D261" s="717"/>
      <c r="E261" s="873"/>
      <c r="F261" s="1288">
        <v>0</v>
      </c>
      <c r="G261" s="874" t="s">
        <v>2337</v>
      </c>
      <c r="H261" s="1288">
        <v>3.2</v>
      </c>
      <c r="I261" s="1288">
        <v>3.76</v>
      </c>
    </row>
    <row r="262" spans="1:9" ht="15" hidden="1" customHeight="1">
      <c r="A262" s="1452"/>
      <c r="B262" s="1446"/>
      <c r="C262" s="1441" t="s">
        <v>2330</v>
      </c>
      <c r="D262" s="1411"/>
      <c r="E262" s="876"/>
      <c r="F262" s="877">
        <v>0</v>
      </c>
      <c r="G262" s="874" t="s">
        <v>2331</v>
      </c>
      <c r="H262" s="877">
        <v>0</v>
      </c>
      <c r="I262" s="877">
        <v>0</v>
      </c>
    </row>
    <row r="263" spans="1:9" ht="15" hidden="1" customHeight="1">
      <c r="A263" s="1452"/>
      <c r="B263" s="1446"/>
      <c r="C263" s="1442"/>
      <c r="D263" s="1047"/>
      <c r="E263" s="1412"/>
      <c r="F263" s="877">
        <v>0</v>
      </c>
      <c r="G263" s="874" t="s">
        <v>2332</v>
      </c>
      <c r="H263" s="877">
        <v>0</v>
      </c>
      <c r="I263" s="877">
        <v>0</v>
      </c>
    </row>
    <row r="264" spans="1:9" ht="14.25" hidden="1" customHeight="1">
      <c r="A264" s="1452"/>
      <c r="B264" s="1446"/>
      <c r="C264" s="1441" t="s">
        <v>2333</v>
      </c>
      <c r="D264" s="1411"/>
      <c r="E264" s="876"/>
      <c r="F264" s="878">
        <v>4.01</v>
      </c>
      <c r="G264" s="874" t="s">
        <v>2331</v>
      </c>
      <c r="H264" s="878">
        <v>4.01</v>
      </c>
      <c r="I264" s="878">
        <v>4.01</v>
      </c>
    </row>
    <row r="265" spans="1:9" ht="15" hidden="1" customHeight="1">
      <c r="A265" s="1453"/>
      <c r="B265" s="1413"/>
      <c r="C265" s="1442"/>
      <c r="D265" s="1047"/>
      <c r="E265" s="1412"/>
      <c r="F265" s="878">
        <v>3.01</v>
      </c>
      <c r="G265" s="874" t="s">
        <v>2332</v>
      </c>
      <c r="H265" s="878">
        <v>3.01</v>
      </c>
      <c r="I265" s="878">
        <v>3.01</v>
      </c>
    </row>
    <row r="266" spans="1:9" ht="15" hidden="1" customHeight="1">
      <c r="A266" s="1419" t="s">
        <v>2334</v>
      </c>
      <c r="B266" s="1420"/>
      <c r="C266" s="1420"/>
      <c r="D266" s="1420"/>
      <c r="E266" s="1420"/>
      <c r="F266" s="878">
        <v>3.01</v>
      </c>
      <c r="G266" s="992"/>
      <c r="H266" s="878">
        <v>3.2</v>
      </c>
      <c r="I266" s="878">
        <v>3.76</v>
      </c>
    </row>
    <row r="267" spans="1:9" ht="15" hidden="1" customHeight="1" thickBot="1">
      <c r="A267" s="1429" t="s">
        <v>2335</v>
      </c>
      <c r="B267" s="1430"/>
      <c r="C267" s="1430"/>
      <c r="D267" s="1430"/>
      <c r="E267" s="1430"/>
      <c r="F267" s="879">
        <v>0</v>
      </c>
      <c r="G267" s="993"/>
      <c r="H267" s="879">
        <v>2.2400000000000002</v>
      </c>
      <c r="I267" s="879">
        <v>2.63</v>
      </c>
    </row>
    <row r="268" spans="1:9" ht="15" hidden="1" customHeight="1" thickBot="1">
      <c r="F268" s="880"/>
      <c r="H268" s="880"/>
      <c r="I268" s="880"/>
    </row>
    <row r="269" spans="1:9" ht="15" hidden="1" customHeight="1">
      <c r="A269" s="866"/>
      <c r="B269" s="867"/>
      <c r="C269" s="868" t="s">
        <v>2325</v>
      </c>
      <c r="D269" s="869"/>
      <c r="E269" s="867"/>
      <c r="F269" s="871">
        <v>0</v>
      </c>
      <c r="G269" s="870" t="s">
        <v>2326</v>
      </c>
      <c r="H269" s="871">
        <v>6.1</v>
      </c>
      <c r="I269" s="871">
        <v>11.9</v>
      </c>
    </row>
    <row r="270" spans="1:9" ht="15" hidden="1" customHeight="1">
      <c r="A270" s="1451"/>
      <c r="B270" s="1445" t="s">
        <v>2336</v>
      </c>
      <c r="C270" s="872" t="s">
        <v>2328</v>
      </c>
      <c r="D270" s="717"/>
      <c r="E270" s="873"/>
      <c r="F270" s="1288">
        <v>0</v>
      </c>
      <c r="G270" s="874" t="s">
        <v>2337</v>
      </c>
      <c r="H270" s="1288">
        <v>3.49</v>
      </c>
      <c r="I270" s="1288">
        <v>4.57</v>
      </c>
    </row>
    <row r="271" spans="1:9" ht="15" hidden="1" customHeight="1">
      <c r="A271" s="1452"/>
      <c r="B271" s="1446"/>
      <c r="C271" s="1441" t="s">
        <v>2338</v>
      </c>
      <c r="D271" s="1411"/>
      <c r="E271" s="876"/>
      <c r="F271" s="877">
        <v>0</v>
      </c>
      <c r="G271" s="874" t="s">
        <v>2331</v>
      </c>
      <c r="H271" s="877">
        <v>0</v>
      </c>
      <c r="I271" s="877">
        <v>0</v>
      </c>
    </row>
    <row r="272" spans="1:9" ht="15" hidden="1" customHeight="1">
      <c r="A272" s="1452"/>
      <c r="B272" s="1446"/>
      <c r="C272" s="1442"/>
      <c r="D272" s="1047"/>
      <c r="E272" s="1412"/>
      <c r="F272" s="877">
        <v>0</v>
      </c>
      <c r="G272" s="874" t="s">
        <v>2332</v>
      </c>
      <c r="H272" s="877">
        <v>0</v>
      </c>
      <c r="I272" s="877">
        <v>0</v>
      </c>
    </row>
    <row r="273" spans="1:9" ht="15" hidden="1" customHeight="1">
      <c r="A273" s="1452"/>
      <c r="B273" s="1446"/>
      <c r="C273" s="1441" t="s">
        <v>2339</v>
      </c>
      <c r="D273" s="1411"/>
      <c r="E273" s="876"/>
      <c r="F273" s="878">
        <v>4.75</v>
      </c>
      <c r="G273" s="874" t="s">
        <v>2331</v>
      </c>
      <c r="H273" s="878">
        <v>4.75</v>
      </c>
      <c r="I273" s="878">
        <v>4.75</v>
      </c>
    </row>
    <row r="274" spans="1:9" ht="15" hidden="1" customHeight="1">
      <c r="A274" s="1453"/>
      <c r="B274" s="1413"/>
      <c r="C274" s="1442"/>
      <c r="D274" s="1047"/>
      <c r="E274" s="1412"/>
      <c r="F274" s="878">
        <v>2.81</v>
      </c>
      <c r="G274" s="874" t="s">
        <v>2332</v>
      </c>
      <c r="H274" s="878">
        <v>2.81</v>
      </c>
      <c r="I274" s="878">
        <v>2.81</v>
      </c>
    </row>
    <row r="275" spans="1:9" ht="15" hidden="1" customHeight="1">
      <c r="A275" s="1419" t="s">
        <v>2334</v>
      </c>
      <c r="B275" s="1420"/>
      <c r="C275" s="1420"/>
      <c r="D275" s="1420"/>
      <c r="E275" s="1420"/>
      <c r="F275" s="881">
        <v>2.81</v>
      </c>
      <c r="G275" s="992"/>
      <c r="H275" s="881">
        <v>3.49</v>
      </c>
      <c r="I275" s="881">
        <v>4.57</v>
      </c>
    </row>
    <row r="276" spans="1:9" ht="15" hidden="1" customHeight="1" thickBot="1">
      <c r="A276" s="1429" t="s">
        <v>2335</v>
      </c>
      <c r="B276" s="1430"/>
      <c r="C276" s="1430"/>
      <c r="D276" s="1430"/>
      <c r="E276" s="1430"/>
      <c r="F276" s="879">
        <v>0</v>
      </c>
      <c r="G276" s="993"/>
      <c r="H276" s="879">
        <v>2.44</v>
      </c>
      <c r="I276" s="879">
        <v>3.2</v>
      </c>
    </row>
    <row r="277" spans="1:9" ht="15" hidden="1" customHeight="1" thickBot="1"/>
    <row r="278" spans="1:9" ht="15" hidden="1" customHeight="1">
      <c r="A278" s="866"/>
      <c r="B278" s="867"/>
      <c r="C278" s="868" t="s">
        <v>2340</v>
      </c>
      <c r="D278" s="869"/>
      <c r="E278" s="867"/>
      <c r="F278" s="871">
        <v>0</v>
      </c>
      <c r="G278" s="870" t="s">
        <v>2326</v>
      </c>
      <c r="H278" s="871">
        <v>6.1</v>
      </c>
      <c r="I278" s="871">
        <v>11.9</v>
      </c>
    </row>
    <row r="279" spans="1:9" ht="15" hidden="1" customHeight="1">
      <c r="A279" s="1451"/>
      <c r="B279" s="1445" t="s">
        <v>2327</v>
      </c>
      <c r="C279" s="872" t="s">
        <v>2341</v>
      </c>
      <c r="D279" s="717"/>
      <c r="E279" s="873"/>
      <c r="F279" s="1288">
        <v>0</v>
      </c>
      <c r="G279" s="874" t="s">
        <v>2876</v>
      </c>
      <c r="H279" s="1288">
        <v>8.07</v>
      </c>
      <c r="I279" s="1288">
        <v>11.93</v>
      </c>
    </row>
    <row r="280" spans="1:9" ht="15" hidden="1" customHeight="1">
      <c r="A280" s="1452"/>
      <c r="B280" s="1446"/>
      <c r="C280" s="1441" t="s">
        <v>2343</v>
      </c>
      <c r="D280" s="1411"/>
      <c r="E280" s="876"/>
      <c r="F280" s="877">
        <v>0</v>
      </c>
      <c r="G280" s="874" t="s">
        <v>2331</v>
      </c>
      <c r="H280" s="877">
        <v>0</v>
      </c>
      <c r="I280" s="877">
        <v>0</v>
      </c>
    </row>
    <row r="281" spans="1:9" ht="15" hidden="1" customHeight="1">
      <c r="A281" s="1452"/>
      <c r="B281" s="1446"/>
      <c r="C281" s="1442"/>
      <c r="D281" s="1047"/>
      <c r="E281" s="1412"/>
      <c r="F281" s="877">
        <v>0</v>
      </c>
      <c r="G281" s="874" t="s">
        <v>2332</v>
      </c>
      <c r="H281" s="877">
        <v>0</v>
      </c>
      <c r="I281" s="877">
        <v>0</v>
      </c>
    </row>
    <row r="282" spans="1:9" ht="15" hidden="1" customHeight="1">
      <c r="A282" s="1452"/>
      <c r="B282" s="1446"/>
      <c r="C282" s="1441" t="s">
        <v>2344</v>
      </c>
      <c r="D282" s="1411"/>
      <c r="E282" s="876"/>
      <c r="F282" s="878">
        <v>13.96</v>
      </c>
      <c r="G282" s="874" t="s">
        <v>2331</v>
      </c>
      <c r="H282" s="878">
        <v>13.96</v>
      </c>
      <c r="I282" s="878">
        <v>13.96</v>
      </c>
    </row>
    <row r="283" spans="1:9" ht="15" hidden="1" customHeight="1">
      <c r="A283" s="1453"/>
      <c r="B283" s="1413"/>
      <c r="C283" s="1442"/>
      <c r="D283" s="1047"/>
      <c r="E283" s="1412"/>
      <c r="F283" s="878">
        <v>6.94</v>
      </c>
      <c r="G283" s="874" t="s">
        <v>2332</v>
      </c>
      <c r="H283" s="878">
        <v>6.94</v>
      </c>
      <c r="I283" s="878">
        <v>6.94</v>
      </c>
    </row>
    <row r="284" spans="1:9" ht="15" hidden="1" customHeight="1" thickBot="1">
      <c r="A284" s="1449" t="s">
        <v>2345</v>
      </c>
      <c r="B284" s="1450"/>
      <c r="C284" s="1450"/>
      <c r="D284" s="1450"/>
      <c r="E284" s="1181"/>
      <c r="F284" s="883">
        <v>6.94</v>
      </c>
      <c r="G284" s="882"/>
      <c r="H284" s="883">
        <v>8.07</v>
      </c>
      <c r="I284" s="883">
        <v>11.93</v>
      </c>
    </row>
    <row r="285" spans="1:9" ht="15" hidden="1" customHeight="1" thickBot="1">
      <c r="F285" s="880"/>
      <c r="H285" s="880"/>
      <c r="I285" s="880"/>
    </row>
    <row r="286" spans="1:9" ht="15" hidden="1" customHeight="1">
      <c r="A286" s="866"/>
      <c r="B286" s="867"/>
      <c r="C286" s="868" t="s">
        <v>2340</v>
      </c>
      <c r="D286" s="869"/>
      <c r="E286" s="867"/>
      <c r="F286" s="871">
        <v>0</v>
      </c>
      <c r="G286" s="870" t="s">
        <v>2326</v>
      </c>
      <c r="H286" s="871">
        <v>6.1</v>
      </c>
      <c r="I286" s="871">
        <v>11.9</v>
      </c>
    </row>
    <row r="287" spans="1:9" ht="15" hidden="1" customHeight="1">
      <c r="A287" s="1451"/>
      <c r="B287" s="1445" t="s">
        <v>2336</v>
      </c>
      <c r="C287" s="872" t="s">
        <v>2341</v>
      </c>
      <c r="D287" s="717"/>
      <c r="E287" s="873"/>
      <c r="F287" s="1288">
        <v>0</v>
      </c>
      <c r="G287" s="874" t="s">
        <v>2876</v>
      </c>
      <c r="H287" s="1288">
        <v>8.32</v>
      </c>
      <c r="I287" s="1288">
        <v>12.23</v>
      </c>
    </row>
    <row r="288" spans="1:9" ht="15" hidden="1" customHeight="1">
      <c r="A288" s="1452"/>
      <c r="B288" s="1446"/>
      <c r="C288" s="1441" t="s">
        <v>2346</v>
      </c>
      <c r="D288" s="1411"/>
      <c r="E288" s="876"/>
      <c r="F288" s="877">
        <v>0</v>
      </c>
      <c r="G288" s="874" t="s">
        <v>2331</v>
      </c>
      <c r="H288" s="877">
        <v>0</v>
      </c>
      <c r="I288" s="877">
        <v>0</v>
      </c>
    </row>
    <row r="289" spans="1:10" ht="15" hidden="1" customHeight="1">
      <c r="A289" s="1452"/>
      <c r="B289" s="1446"/>
      <c r="C289" s="1442"/>
      <c r="D289" s="1047"/>
      <c r="E289" s="1412"/>
      <c r="F289" s="877">
        <v>0</v>
      </c>
      <c r="G289" s="874" t="s">
        <v>2332</v>
      </c>
      <c r="H289" s="877">
        <v>0</v>
      </c>
      <c r="I289" s="877">
        <v>0</v>
      </c>
    </row>
    <row r="290" spans="1:10" ht="15" hidden="1" customHeight="1">
      <c r="A290" s="1452"/>
      <c r="B290" s="1446"/>
      <c r="C290" s="1441" t="s">
        <v>2347</v>
      </c>
      <c r="D290" s="1411"/>
      <c r="E290" s="876"/>
      <c r="F290" s="878">
        <v>12.93</v>
      </c>
      <c r="G290" s="874" t="s">
        <v>2331</v>
      </c>
      <c r="H290" s="878">
        <v>12.93</v>
      </c>
      <c r="I290" s="878">
        <v>12.93</v>
      </c>
    </row>
    <row r="291" spans="1:10" ht="15" hidden="1" customHeight="1">
      <c r="A291" s="1453"/>
      <c r="B291" s="1413"/>
      <c r="C291" s="1442"/>
      <c r="D291" s="1047"/>
      <c r="E291" s="1412"/>
      <c r="F291" s="878">
        <v>6.11</v>
      </c>
      <c r="G291" s="874" t="s">
        <v>2332</v>
      </c>
      <c r="H291" s="878">
        <v>6.11</v>
      </c>
      <c r="I291" s="878">
        <v>6.11</v>
      </c>
    </row>
    <row r="292" spans="1:10" ht="15" hidden="1" customHeight="1" thickBot="1">
      <c r="A292" s="1449" t="s">
        <v>2345</v>
      </c>
      <c r="B292" s="1450"/>
      <c r="C292" s="1450"/>
      <c r="D292" s="1450"/>
      <c r="E292" s="884"/>
      <c r="F292" s="885">
        <v>6.11</v>
      </c>
      <c r="G292" s="882"/>
      <c r="H292" s="885">
        <v>8.32</v>
      </c>
      <c r="I292" s="885">
        <v>12.23</v>
      </c>
    </row>
    <row r="293" spans="1:10" ht="15" hidden="1" customHeight="1" thickBot="1"/>
    <row r="294" spans="1:10" ht="15" hidden="1" customHeight="1">
      <c r="A294" s="866"/>
      <c r="B294" s="867"/>
      <c r="C294" s="868" t="s">
        <v>2348</v>
      </c>
      <c r="D294" s="869"/>
      <c r="E294" s="867"/>
      <c r="F294" s="887"/>
      <c r="G294" s="870"/>
      <c r="H294" s="886"/>
      <c r="I294" s="887"/>
    </row>
    <row r="295" spans="1:10" ht="14.25" hidden="1" customHeight="1">
      <c r="A295" s="1451"/>
      <c r="B295" s="1445" t="s">
        <v>77</v>
      </c>
      <c r="C295" s="872" t="s">
        <v>2349</v>
      </c>
      <c r="D295" s="717"/>
      <c r="E295" s="873"/>
      <c r="F295" s="889"/>
      <c r="G295" s="874" t="s">
        <v>2877</v>
      </c>
      <c r="H295" s="888">
        <v>10.79</v>
      </c>
      <c r="I295" s="889"/>
    </row>
    <row r="296" spans="1:10" ht="14.25" hidden="1" customHeight="1">
      <c r="A296" s="1452"/>
      <c r="B296" s="1446"/>
      <c r="C296" s="1441" t="s">
        <v>2351</v>
      </c>
      <c r="D296" s="1411"/>
      <c r="E296" s="1411"/>
      <c r="F296" s="892"/>
      <c r="G296" s="890"/>
      <c r="H296" s="891">
        <v>0</v>
      </c>
      <c r="I296" s="892"/>
    </row>
    <row r="297" spans="1:10" ht="15" hidden="1" customHeight="1">
      <c r="A297" s="1453"/>
      <c r="B297" s="1413"/>
      <c r="C297" s="1441" t="s">
        <v>2352</v>
      </c>
      <c r="D297" s="1411"/>
      <c r="E297" s="717"/>
      <c r="F297" s="894"/>
      <c r="G297" s="890"/>
      <c r="H297" s="891">
        <v>0</v>
      </c>
      <c r="I297" s="894"/>
    </row>
    <row r="298" spans="1:10" ht="15" hidden="1" customHeight="1" thickBot="1">
      <c r="A298" s="1449" t="s">
        <v>2353</v>
      </c>
      <c r="B298" s="1450"/>
      <c r="C298" s="1450"/>
      <c r="D298" s="1450"/>
      <c r="E298" s="884"/>
      <c r="F298" s="896"/>
      <c r="G298" s="882"/>
      <c r="H298" s="895">
        <v>10.79</v>
      </c>
      <c r="I298" s="896"/>
    </row>
    <row r="299" spans="1:10" ht="15" customHeight="1"/>
    <row r="300" spans="1:10" s="1224" customFormat="1" ht="15" customHeight="1">
      <c r="A300" s="702"/>
      <c r="B300" s="702"/>
      <c r="C300" s="703"/>
      <c r="D300" s="704"/>
      <c r="E300" s="705" t="s">
        <v>2162</v>
      </c>
      <c r="F300" s="708"/>
      <c r="G300" s="706"/>
      <c r="H300" s="707"/>
      <c r="I300" s="708"/>
      <c r="J300" s="1730"/>
    </row>
    <row r="301" spans="1:10" ht="15" customHeight="1">
      <c r="A301" s="1270"/>
      <c r="B301" s="1270"/>
      <c r="C301" s="710" t="s">
        <v>2355</v>
      </c>
      <c r="D301" s="563"/>
      <c r="E301" s="1283"/>
      <c r="F301" s="1271"/>
      <c r="G301" s="1712" t="s">
        <v>3097</v>
      </c>
      <c r="H301" s="1711" t="s">
        <v>2251</v>
      </c>
      <c r="I301" s="1272"/>
    </row>
    <row r="302" spans="1:10" s="1224" customFormat="1" ht="15" customHeight="1">
      <c r="A302" s="595"/>
      <c r="B302" s="596"/>
      <c r="C302" s="597" t="s">
        <v>2168</v>
      </c>
      <c r="D302" s="598"/>
      <c r="E302" s="599"/>
      <c r="F302" s="601">
        <v>0</v>
      </c>
      <c r="G302" s="600" t="s">
        <v>2243</v>
      </c>
      <c r="H302" s="601"/>
      <c r="I302" s="601"/>
      <c r="J302" s="1730"/>
    </row>
    <row r="303" spans="1:10" s="1224" customFormat="1" ht="15" customHeight="1">
      <c r="A303" s="994"/>
      <c r="B303" s="995"/>
      <c r="C303" s="1176" t="s">
        <v>2169</v>
      </c>
      <c r="D303" s="1177"/>
      <c r="E303" s="603"/>
      <c r="F303" s="899">
        <v>0</v>
      </c>
      <c r="G303" s="604" t="s">
        <v>2244</v>
      </c>
      <c r="H303" s="899"/>
      <c r="I303" s="899"/>
      <c r="J303" s="1730"/>
    </row>
    <row r="304" spans="1:10" ht="15" customHeight="1">
      <c r="A304" s="994"/>
      <c r="B304" s="995"/>
      <c r="C304" s="995" t="s">
        <v>2867</v>
      </c>
      <c r="D304" s="995"/>
      <c r="E304" s="817" t="s">
        <v>2251</v>
      </c>
      <c r="F304" s="1287" t="e">
        <v>#VALUE!</v>
      </c>
      <c r="G304" s="817" t="s">
        <v>2165</v>
      </c>
      <c r="H304" s="1287"/>
      <c r="I304" s="1287"/>
    </row>
    <row r="305" spans="1:9" ht="15" customHeight="1">
      <c r="A305" s="994"/>
      <c r="B305" s="995"/>
      <c r="C305" s="995" t="s">
        <v>2247</v>
      </c>
      <c r="D305" s="995"/>
      <c r="E305" s="817" t="s">
        <v>2246</v>
      </c>
      <c r="F305" s="1365" t="s">
        <v>2747</v>
      </c>
      <c r="G305" s="1710" t="s">
        <v>2248</v>
      </c>
      <c r="H305" s="1365"/>
      <c r="I305" s="1365"/>
    </row>
    <row r="306" spans="1:9" ht="15" customHeight="1">
      <c r="B306" s="995"/>
      <c r="C306" s="995"/>
      <c r="D306" s="995"/>
      <c r="F306" s="1002">
        <v>0</v>
      </c>
      <c r="G306" s="827" t="s">
        <v>2894</v>
      </c>
      <c r="H306" s="606"/>
      <c r="I306" s="606"/>
    </row>
    <row r="307" spans="1:9" ht="30" customHeight="1">
      <c r="A307" s="1501" t="s">
        <v>2171</v>
      </c>
      <c r="B307" s="1502"/>
      <c r="C307" s="1502"/>
      <c r="D307" s="1502"/>
      <c r="E307" s="1503"/>
      <c r="F307" s="1289">
        <v>0</v>
      </c>
      <c r="G307" s="1111"/>
      <c r="H307" s="1289"/>
      <c r="I307" s="1289"/>
    </row>
    <row r="308" spans="1:9" ht="30" customHeight="1">
      <c r="A308" s="1501" t="s">
        <v>2172</v>
      </c>
      <c r="B308" s="1502"/>
      <c r="C308" s="1502"/>
      <c r="D308" s="1502"/>
      <c r="E308" s="1503"/>
      <c r="F308" s="1290">
        <v>0</v>
      </c>
      <c r="G308" s="1112"/>
      <c r="H308" s="1290"/>
      <c r="I308" s="1290"/>
    </row>
    <row r="309" spans="1:9" ht="15" customHeight="1">
      <c r="A309" s="595"/>
      <c r="B309" s="608" t="s">
        <v>2868</v>
      </c>
      <c r="C309" s="609"/>
      <c r="D309" s="609"/>
      <c r="E309" s="610"/>
      <c r="F309" s="612"/>
      <c r="G309" s="611"/>
      <c r="H309" s="612"/>
      <c r="I309" s="612"/>
    </row>
    <row r="310" spans="1:9" ht="15" customHeight="1">
      <c r="A310" s="994"/>
      <c r="B310" s="995"/>
      <c r="C310" s="538" t="s">
        <v>2174</v>
      </c>
      <c r="D310" s="539"/>
      <c r="E310" s="599"/>
      <c r="F310" s="725"/>
      <c r="G310" s="613"/>
      <c r="H310" s="725"/>
      <c r="I310" s="725"/>
    </row>
    <row r="311" spans="1:9" ht="15" customHeight="1">
      <c r="A311" s="994"/>
      <c r="B311" s="995"/>
      <c r="C311" s="717"/>
      <c r="D311" s="717"/>
      <c r="E311" s="614"/>
      <c r="F311" s="616">
        <v>0</v>
      </c>
      <c r="G311" s="615" t="s">
        <v>2869</v>
      </c>
      <c r="H311" s="616"/>
      <c r="I311" s="616"/>
    </row>
    <row r="312" spans="1:9" ht="15" customHeight="1">
      <c r="A312" s="994"/>
      <c r="B312" s="995"/>
      <c r="C312" s="717"/>
      <c r="D312" s="717"/>
      <c r="E312" s="614"/>
      <c r="F312" s="616">
        <v>0</v>
      </c>
      <c r="G312" s="615" t="s">
        <v>2253</v>
      </c>
      <c r="H312" s="616"/>
      <c r="I312" s="616"/>
    </row>
    <row r="313" spans="1:9" ht="15" customHeight="1">
      <c r="A313" s="994"/>
      <c r="B313" s="995"/>
      <c r="C313" s="717"/>
      <c r="D313" s="717"/>
      <c r="E313" s="614"/>
      <c r="F313" s="616">
        <v>0</v>
      </c>
      <c r="G313" s="718" t="s">
        <v>2254</v>
      </c>
      <c r="H313" s="616"/>
      <c r="I313" s="616"/>
    </row>
    <row r="314" spans="1:9" ht="15" customHeight="1">
      <c r="A314" s="994"/>
      <c r="B314" s="995"/>
      <c r="C314" s="540" t="s">
        <v>2175</v>
      </c>
      <c r="D314" s="540"/>
      <c r="E314" s="614"/>
      <c r="F314" s="616"/>
      <c r="G314" s="615"/>
      <c r="H314" s="616"/>
      <c r="I314" s="616"/>
    </row>
    <row r="315" spans="1:9" ht="15" customHeight="1">
      <c r="A315" s="994"/>
      <c r="B315" s="995"/>
      <c r="C315" s="617" t="s">
        <v>2176</v>
      </c>
      <c r="D315" s="540"/>
      <c r="E315" s="614"/>
      <c r="F315" s="616"/>
      <c r="G315" s="615"/>
      <c r="H315" s="616"/>
      <c r="I315" s="616"/>
    </row>
    <row r="316" spans="1:9" ht="15" customHeight="1">
      <c r="A316" s="994"/>
      <c r="B316" s="995"/>
      <c r="C316" s="617" t="s">
        <v>2182</v>
      </c>
      <c r="D316" s="540"/>
      <c r="E316" s="614"/>
      <c r="F316" s="616"/>
      <c r="G316" s="615"/>
      <c r="H316" s="616"/>
      <c r="I316" s="616"/>
    </row>
    <row r="317" spans="1:9" ht="15" customHeight="1">
      <c r="A317" s="994"/>
      <c r="B317" s="995"/>
      <c r="C317" s="621" t="s">
        <v>2356</v>
      </c>
      <c r="D317" s="540"/>
      <c r="E317" s="614"/>
      <c r="F317" s="616"/>
      <c r="G317" s="615"/>
      <c r="H317" s="616"/>
      <c r="I317" s="616"/>
    </row>
    <row r="318" spans="1:9" ht="15" customHeight="1">
      <c r="A318" s="994"/>
      <c r="B318" s="995"/>
      <c r="C318" s="622" t="s">
        <v>2184</v>
      </c>
      <c r="D318" s="623"/>
      <c r="E318" s="624"/>
      <c r="F318" s="616"/>
      <c r="G318" s="625"/>
      <c r="H318" s="616"/>
      <c r="I318" s="616"/>
    </row>
    <row r="319" spans="1:9" ht="15" customHeight="1">
      <c r="A319" s="1273"/>
      <c r="B319" s="1274"/>
      <c r="C319" s="721" t="s">
        <v>2255</v>
      </c>
      <c r="D319" s="722"/>
      <c r="E319" s="637"/>
      <c r="F319" s="723"/>
      <c r="G319" s="638"/>
      <c r="H319" s="723"/>
      <c r="I319" s="723"/>
    </row>
    <row r="320" spans="1:9" ht="15" customHeight="1">
      <c r="A320" s="994"/>
      <c r="B320" s="623" t="s">
        <v>2256</v>
      </c>
      <c r="C320" s="623"/>
      <c r="D320" s="623"/>
      <c r="E320" s="624"/>
      <c r="F320" s="724"/>
      <c r="G320" s="625"/>
      <c r="H320" s="724"/>
      <c r="I320" s="724"/>
    </row>
    <row r="321" spans="1:9" ht="15" customHeight="1">
      <c r="A321" s="994"/>
      <c r="B321" s="995"/>
      <c r="C321" s="538" t="s">
        <v>2257</v>
      </c>
      <c r="D321" s="538"/>
      <c r="E321" s="600"/>
      <c r="F321" s="725"/>
      <c r="G321" s="613"/>
      <c r="H321" s="725"/>
      <c r="I321" s="725"/>
    </row>
    <row r="322" spans="1:9" ht="15" customHeight="1">
      <c r="A322" s="994"/>
      <c r="B322" s="995"/>
      <c r="C322" s="1179" t="s">
        <v>2258</v>
      </c>
      <c r="D322" s="1179"/>
      <c r="E322" s="604"/>
      <c r="F322" s="726"/>
      <c r="G322" s="615"/>
      <c r="H322" s="726"/>
      <c r="I322" s="726"/>
    </row>
    <row r="323" spans="1:9" ht="15" customHeight="1">
      <c r="A323" s="994"/>
      <c r="B323" s="995"/>
      <c r="C323" s="727" t="s">
        <v>2259</v>
      </c>
      <c r="D323" s="727"/>
      <c r="E323" s="614"/>
      <c r="F323" s="616"/>
      <c r="G323" s="615"/>
      <c r="H323" s="616"/>
      <c r="I323" s="616"/>
    </row>
    <row r="324" spans="1:9" ht="15" customHeight="1">
      <c r="A324" s="994"/>
      <c r="B324" s="995"/>
      <c r="C324" s="727" t="s">
        <v>2260</v>
      </c>
      <c r="D324" s="727"/>
      <c r="E324" s="614"/>
      <c r="F324" s="616"/>
      <c r="G324" s="615"/>
      <c r="H324" s="616"/>
      <c r="I324" s="616"/>
    </row>
    <row r="325" spans="1:9" ht="15" customHeight="1">
      <c r="A325" s="994"/>
      <c r="B325" s="995"/>
      <c r="C325" s="727" t="s">
        <v>2261</v>
      </c>
      <c r="D325" s="727"/>
      <c r="E325" s="614"/>
      <c r="F325" s="616"/>
      <c r="G325" s="615"/>
      <c r="H325" s="616"/>
      <c r="I325" s="616"/>
    </row>
    <row r="326" spans="1:9" ht="15" customHeight="1">
      <c r="A326" s="994"/>
      <c r="B326" s="995"/>
      <c r="C326" s="540" t="s">
        <v>2262</v>
      </c>
      <c r="D326" s="540"/>
      <c r="E326" s="614"/>
      <c r="F326" s="616"/>
      <c r="G326" s="615"/>
      <c r="H326" s="616"/>
      <c r="I326" s="616"/>
    </row>
    <row r="327" spans="1:9" ht="15" customHeight="1">
      <c r="A327" s="994"/>
      <c r="B327" s="995"/>
      <c r="C327" s="727" t="s">
        <v>2259</v>
      </c>
      <c r="D327" s="727"/>
      <c r="E327" s="614"/>
      <c r="F327" s="616"/>
      <c r="G327" s="728"/>
      <c r="H327" s="616"/>
      <c r="I327" s="616"/>
    </row>
    <row r="328" spans="1:9" ht="15" customHeight="1">
      <c r="A328" s="994"/>
      <c r="B328" s="995"/>
      <c r="C328" s="727" t="s">
        <v>2263</v>
      </c>
      <c r="D328" s="727"/>
      <c r="E328" s="614"/>
      <c r="F328" s="616"/>
      <c r="G328" s="615"/>
      <c r="H328" s="616"/>
      <c r="I328" s="616"/>
    </row>
    <row r="329" spans="1:9" ht="15" customHeight="1">
      <c r="A329" s="994"/>
      <c r="B329" s="995"/>
      <c r="C329" s="727" t="s">
        <v>2264</v>
      </c>
      <c r="D329" s="727"/>
      <c r="E329" s="614"/>
      <c r="F329" s="616"/>
      <c r="G329" s="615"/>
      <c r="H329" s="616"/>
      <c r="I329" s="616"/>
    </row>
    <row r="330" spans="1:9" ht="15" customHeight="1">
      <c r="A330" s="994"/>
      <c r="B330" s="995"/>
      <c r="C330" s="623" t="s">
        <v>2265</v>
      </c>
      <c r="D330" s="995"/>
      <c r="E330" s="624"/>
      <c r="F330" s="724"/>
      <c r="G330" s="625"/>
      <c r="H330" s="724"/>
      <c r="I330" s="724"/>
    </row>
    <row r="331" spans="1:9" ht="15" customHeight="1">
      <c r="A331" s="729"/>
      <c r="B331" s="609" t="s">
        <v>2870</v>
      </c>
      <c r="C331" s="609"/>
      <c r="D331" s="609"/>
      <c r="E331" s="730"/>
      <c r="F331" s="612"/>
      <c r="G331" s="611"/>
      <c r="H331" s="612"/>
      <c r="I331" s="612"/>
    </row>
    <row r="332" spans="1:9" ht="15" customHeight="1">
      <c r="A332" s="731"/>
      <c r="B332" s="995"/>
      <c r="C332" s="732" t="s">
        <v>2267</v>
      </c>
      <c r="D332" s="732"/>
      <c r="E332" s="733"/>
      <c r="F332" s="735"/>
      <c r="G332" s="711"/>
      <c r="H332" s="734" t="s">
        <v>2268</v>
      </c>
      <c r="I332" s="735"/>
    </row>
    <row r="333" spans="1:9" ht="15" customHeight="1">
      <c r="A333" s="595"/>
      <c r="B333" s="596"/>
      <c r="C333" s="596"/>
      <c r="D333" s="596"/>
      <c r="E333" s="736"/>
      <c r="F333" s="1009" t="e">
        <v>#VALUE!</v>
      </c>
      <c r="G333" s="737" t="s">
        <v>2165</v>
      </c>
      <c r="H333" s="900" t="s">
        <v>2385</v>
      </c>
      <c r="I333" s="738" t="s">
        <v>2384</v>
      </c>
    </row>
    <row r="334" spans="1:9" ht="15" customHeight="1">
      <c r="A334" s="626" t="s">
        <v>2185</v>
      </c>
      <c r="B334" s="627"/>
      <c r="C334" s="627"/>
      <c r="D334" s="627"/>
      <c r="E334" s="817"/>
      <c r="F334" s="1018"/>
      <c r="G334" s="901"/>
      <c r="H334" s="902"/>
      <c r="I334" s="902"/>
    </row>
    <row r="335" spans="1:9" ht="15" customHeight="1">
      <c r="A335" s="991"/>
      <c r="B335" s="1425" t="s">
        <v>157</v>
      </c>
      <c r="C335" s="539" t="s">
        <v>2187</v>
      </c>
      <c r="D335" s="539"/>
      <c r="E335" s="600"/>
      <c r="F335" s="1014"/>
      <c r="G335" s="613"/>
      <c r="H335" s="725"/>
      <c r="I335" s="725"/>
    </row>
    <row r="336" spans="1:9" ht="15" customHeight="1">
      <c r="A336" s="967"/>
      <c r="B336" s="1423"/>
      <c r="C336" s="541" t="s">
        <v>2188</v>
      </c>
      <c r="D336" s="541"/>
      <c r="E336" s="614"/>
      <c r="F336" s="1003"/>
      <c r="G336" s="615"/>
      <c r="H336" s="616"/>
      <c r="I336" s="616"/>
    </row>
    <row r="337" spans="1:9" ht="15" customHeight="1">
      <c r="A337" s="967"/>
      <c r="B337" s="1423"/>
      <c r="C337" s="632" t="s">
        <v>2277</v>
      </c>
      <c r="D337" s="541"/>
      <c r="E337" s="614"/>
      <c r="F337" s="1003"/>
      <c r="G337" s="615"/>
      <c r="H337" s="616"/>
      <c r="I337" s="616"/>
    </row>
    <row r="338" spans="1:9" ht="15" customHeight="1">
      <c r="A338" s="967"/>
      <c r="B338" s="1422"/>
      <c r="C338" s="632" t="s">
        <v>2190</v>
      </c>
      <c r="D338" s="541"/>
      <c r="E338" s="614"/>
      <c r="F338" s="1003"/>
      <c r="G338" s="615"/>
      <c r="H338" s="616"/>
      <c r="I338" s="616"/>
    </row>
    <row r="339" spans="1:9" ht="15" customHeight="1">
      <c r="A339" s="967"/>
      <c r="B339" s="1421" t="s">
        <v>2191</v>
      </c>
      <c r="C339" s="540" t="s">
        <v>2279</v>
      </c>
      <c r="D339" s="541"/>
      <c r="E339" s="614"/>
      <c r="F339" s="615"/>
      <c r="G339" s="615"/>
      <c r="H339" s="616"/>
      <c r="I339" s="616"/>
    </row>
    <row r="340" spans="1:9" ht="13.5" customHeight="1">
      <c r="A340" s="967"/>
      <c r="B340" s="1423"/>
      <c r="C340" s="540" t="s">
        <v>2193</v>
      </c>
      <c r="D340" s="541"/>
      <c r="E340" s="614"/>
      <c r="F340" s="615"/>
      <c r="G340" s="615"/>
      <c r="H340" s="616"/>
      <c r="I340" s="616"/>
    </row>
    <row r="341" spans="1:9" ht="13.5" customHeight="1">
      <c r="A341" s="967"/>
      <c r="B341" s="1423"/>
      <c r="C341" s="541" t="s">
        <v>2194</v>
      </c>
      <c r="D341" s="541"/>
      <c r="E341" s="614"/>
      <c r="F341" s="615"/>
      <c r="G341" s="615"/>
      <c r="H341" s="616"/>
      <c r="I341" s="616"/>
    </row>
    <row r="342" spans="1:9" ht="13.5" customHeight="1">
      <c r="A342" s="967"/>
      <c r="B342" s="1423"/>
      <c r="C342" s="541" t="s">
        <v>2286</v>
      </c>
      <c r="D342" s="541"/>
      <c r="E342" s="614"/>
      <c r="F342" s="615"/>
      <c r="G342" s="615"/>
      <c r="H342" s="616"/>
      <c r="I342" s="616"/>
    </row>
    <row r="343" spans="1:9" ht="13.5" customHeight="1">
      <c r="A343" s="967"/>
      <c r="B343" s="1423"/>
      <c r="C343" s="541" t="s">
        <v>2196</v>
      </c>
      <c r="D343" s="541"/>
      <c r="E343" s="614"/>
      <c r="F343" s="615"/>
      <c r="G343" s="615"/>
      <c r="H343" s="616"/>
      <c r="I343" s="616"/>
    </row>
    <row r="344" spans="1:9" ht="13.5" customHeight="1">
      <c r="A344" s="967"/>
      <c r="B344" s="1423"/>
      <c r="C344" s="541" t="s">
        <v>2197</v>
      </c>
      <c r="D344" s="541"/>
      <c r="E344" s="614"/>
      <c r="F344" s="615"/>
      <c r="G344" s="615"/>
      <c r="H344" s="616"/>
      <c r="I344" s="616"/>
    </row>
    <row r="345" spans="1:9" ht="13.5" customHeight="1">
      <c r="A345" s="967"/>
      <c r="B345" s="1423"/>
      <c r="C345" s="633" t="s">
        <v>2287</v>
      </c>
      <c r="D345" s="541"/>
      <c r="E345" s="614"/>
      <c r="F345" s="615"/>
      <c r="G345" s="615"/>
      <c r="H345" s="616"/>
      <c r="I345" s="616"/>
    </row>
    <row r="346" spans="1:9" ht="13.5" customHeight="1">
      <c r="A346" s="967"/>
      <c r="B346" s="1423"/>
      <c r="C346" s="634" t="s">
        <v>2288</v>
      </c>
      <c r="D346" s="541"/>
      <c r="E346" s="614"/>
      <c r="F346" s="615"/>
      <c r="G346" s="615"/>
      <c r="H346" s="616"/>
      <c r="I346" s="616"/>
    </row>
    <row r="347" spans="1:9" ht="13.5" customHeight="1">
      <c r="A347" s="967"/>
      <c r="B347" s="1422"/>
      <c r="C347" s="541" t="s">
        <v>2200</v>
      </c>
      <c r="D347" s="541"/>
      <c r="E347" s="614"/>
      <c r="F347" s="615"/>
      <c r="G347" s="615"/>
      <c r="H347" s="616"/>
      <c r="I347" s="616"/>
    </row>
    <row r="348" spans="1:9" ht="13.5" customHeight="1">
      <c r="A348" s="967"/>
      <c r="B348" s="1421" t="s">
        <v>2201</v>
      </c>
      <c r="C348" s="632" t="s">
        <v>2202</v>
      </c>
      <c r="D348" s="541"/>
      <c r="E348" s="614"/>
      <c r="F348" s="615"/>
      <c r="G348" s="615"/>
      <c r="H348" s="616"/>
      <c r="I348" s="616"/>
    </row>
    <row r="349" spans="1:9" ht="13.5" customHeight="1">
      <c r="A349" s="967"/>
      <c r="B349" s="1423"/>
      <c r="C349" s="632" t="s">
        <v>2203</v>
      </c>
      <c r="D349" s="541"/>
      <c r="E349" s="614"/>
      <c r="F349" s="615"/>
      <c r="G349" s="615"/>
      <c r="H349" s="616"/>
      <c r="I349" s="616"/>
    </row>
    <row r="350" spans="1:9" ht="13.5" customHeight="1">
      <c r="A350" s="967"/>
      <c r="B350" s="1423"/>
      <c r="C350" s="541" t="s">
        <v>2204</v>
      </c>
      <c r="D350" s="541"/>
      <c r="E350" s="614"/>
      <c r="F350" s="615"/>
      <c r="G350" s="615"/>
      <c r="H350" s="616"/>
      <c r="I350" s="616"/>
    </row>
    <row r="351" spans="1:9" ht="13.5" customHeight="1">
      <c r="A351" s="967"/>
      <c r="B351" s="1423"/>
      <c r="C351" s="541" t="s">
        <v>2357</v>
      </c>
      <c r="D351" s="541"/>
      <c r="E351" s="614"/>
      <c r="F351" s="615"/>
      <c r="G351" s="615"/>
      <c r="H351" s="616"/>
      <c r="I351" s="616"/>
    </row>
    <row r="352" spans="1:9" ht="13.5" customHeight="1">
      <c r="A352" s="967"/>
      <c r="B352" s="1423"/>
      <c r="C352" s="1410" t="s">
        <v>2206</v>
      </c>
      <c r="D352" s="1410"/>
      <c r="E352" s="635"/>
      <c r="F352" s="615"/>
      <c r="G352" s="615"/>
      <c r="H352" s="616"/>
      <c r="I352" s="616"/>
    </row>
    <row r="353" spans="1:9" ht="13.5" customHeight="1">
      <c r="A353" s="967"/>
      <c r="B353" s="1423"/>
      <c r="C353" s="1410" t="s">
        <v>2207</v>
      </c>
      <c r="D353" s="1410"/>
      <c r="E353" s="635"/>
      <c r="F353" s="615"/>
      <c r="G353" s="615"/>
      <c r="H353" s="616"/>
      <c r="I353" s="616"/>
    </row>
    <row r="354" spans="1:9" ht="13.5" customHeight="1">
      <c r="A354" s="968"/>
      <c r="B354" s="1424"/>
      <c r="C354" s="636" t="s">
        <v>2208</v>
      </c>
      <c r="D354" s="636"/>
      <c r="E354" s="637"/>
      <c r="F354" s="638"/>
      <c r="G354" s="638"/>
      <c r="H354" s="723"/>
      <c r="I354" s="723"/>
    </row>
    <row r="355" spans="1:9" ht="13.5" customHeight="1">
      <c r="A355" s="995"/>
      <c r="B355" s="995"/>
      <c r="C355" s="739" t="s">
        <v>2269</v>
      </c>
      <c r="D355" s="739"/>
      <c r="E355" s="622"/>
      <c r="F355" s="713"/>
      <c r="G355" s="711"/>
      <c r="H355" s="713"/>
      <c r="I355" s="713"/>
    </row>
    <row r="356" spans="1:9" ht="13.5" customHeight="1">
      <c r="A356" s="995"/>
      <c r="B356" s="995"/>
      <c r="C356" s="627" t="s">
        <v>2271</v>
      </c>
      <c r="D356" s="627"/>
      <c r="E356" s="622"/>
      <c r="F356" s="713"/>
      <c r="G356" s="711"/>
      <c r="H356" s="713"/>
      <c r="I356" s="713"/>
    </row>
    <row r="357" spans="1:9" ht="13.5" customHeight="1">
      <c r="A357" s="595"/>
      <c r="B357" s="596"/>
      <c r="C357" s="596"/>
      <c r="D357" s="1431" t="s">
        <v>2272</v>
      </c>
      <c r="E357" s="1431" t="s">
        <v>2305</v>
      </c>
      <c r="F357" s="738" t="e">
        <v>#VALUE!</v>
      </c>
      <c r="G357" s="737" t="s">
        <v>2165</v>
      </c>
      <c r="H357" s="900" t="s">
        <v>2385</v>
      </c>
      <c r="I357" s="738" t="s">
        <v>2384</v>
      </c>
    </row>
    <row r="358" spans="1:9" ht="13.5" customHeight="1">
      <c r="A358" s="1408" t="s">
        <v>2274</v>
      </c>
      <c r="B358" s="1284"/>
      <c r="C358" s="1285"/>
      <c r="D358" s="971"/>
      <c r="E358" s="971"/>
      <c r="F358" s="742"/>
      <c r="G358" s="741"/>
      <c r="H358" s="742"/>
      <c r="I358" s="742"/>
    </row>
    <row r="359" spans="1:9" ht="13.5" customHeight="1">
      <c r="A359" s="972"/>
      <c r="B359" s="743" t="s">
        <v>2359</v>
      </c>
      <c r="C359" s="744"/>
      <c r="D359" s="745"/>
      <c r="E359" s="746"/>
      <c r="F359" s="748"/>
      <c r="G359" s="747"/>
      <c r="H359" s="748"/>
      <c r="I359" s="748"/>
    </row>
    <row r="360" spans="1:9" ht="13.5" customHeight="1">
      <c r="A360" s="973"/>
      <c r="B360" s="1421" t="s">
        <v>157</v>
      </c>
      <c r="C360" s="749" t="s">
        <v>2187</v>
      </c>
      <c r="D360" s="750">
        <v>1</v>
      </c>
      <c r="E360" s="751" t="s">
        <v>2747</v>
      </c>
      <c r="F360" s="616"/>
      <c r="G360" s="615"/>
      <c r="H360" s="616"/>
      <c r="I360" s="616"/>
    </row>
    <row r="361" spans="1:9" ht="13.5" customHeight="1">
      <c r="A361" s="973"/>
      <c r="B361" s="1423"/>
      <c r="C361" s="749" t="s">
        <v>2188</v>
      </c>
      <c r="D361" s="750">
        <v>1</v>
      </c>
      <c r="E361" s="751" t="s">
        <v>2747</v>
      </c>
      <c r="F361" s="616"/>
      <c r="G361" s="615"/>
      <c r="H361" s="616"/>
      <c r="I361" s="616"/>
    </row>
    <row r="362" spans="1:9" ht="14">
      <c r="A362" s="973"/>
      <c r="B362" s="1423"/>
      <c r="C362" s="749" t="s">
        <v>2277</v>
      </c>
      <c r="D362" s="750">
        <v>0.9</v>
      </c>
      <c r="E362" s="751" t="s">
        <v>2747</v>
      </c>
      <c r="F362" s="616"/>
      <c r="G362" s="615"/>
      <c r="H362" s="616"/>
      <c r="I362" s="616"/>
    </row>
    <row r="363" spans="1:9" ht="14">
      <c r="A363" s="973"/>
      <c r="B363" s="1422"/>
      <c r="C363" s="749" t="s">
        <v>2278</v>
      </c>
      <c r="D363" s="750">
        <v>0.9</v>
      </c>
      <c r="E363" s="751" t="s">
        <v>2747</v>
      </c>
      <c r="F363" s="616"/>
      <c r="G363" s="615"/>
      <c r="H363" s="616"/>
      <c r="I363" s="616"/>
    </row>
    <row r="364" spans="1:9" ht="12" customHeight="1">
      <c r="A364" s="973"/>
      <c r="B364" s="1438" t="s">
        <v>2191</v>
      </c>
      <c r="C364" s="749" t="s">
        <v>2279</v>
      </c>
      <c r="D364" s="750">
        <v>1</v>
      </c>
      <c r="E364" s="752">
        <v>0.01</v>
      </c>
      <c r="F364" s="616"/>
      <c r="G364" s="615"/>
      <c r="H364" s="616"/>
      <c r="I364" s="616"/>
    </row>
    <row r="365" spans="1:9" ht="14">
      <c r="A365" s="973"/>
      <c r="B365" s="1439"/>
      <c r="C365" s="749" t="s">
        <v>2285</v>
      </c>
      <c r="D365" s="750">
        <v>1</v>
      </c>
      <c r="E365" s="752">
        <v>0.01</v>
      </c>
      <c r="F365" s="616"/>
      <c r="G365" s="615"/>
      <c r="H365" s="616"/>
      <c r="I365" s="616"/>
    </row>
    <row r="366" spans="1:9" ht="14">
      <c r="A366" s="973"/>
      <c r="B366" s="1439"/>
      <c r="C366" s="749" t="s">
        <v>2194</v>
      </c>
      <c r="D366" s="750">
        <v>1</v>
      </c>
      <c r="E366" s="752">
        <v>0.01</v>
      </c>
      <c r="F366" s="616"/>
      <c r="G366" s="615"/>
      <c r="H366" s="616"/>
      <c r="I366" s="616"/>
    </row>
    <row r="367" spans="1:9" ht="14">
      <c r="A367" s="973"/>
      <c r="B367" s="1439"/>
      <c r="C367" s="749" t="s">
        <v>2286</v>
      </c>
      <c r="D367" s="750"/>
      <c r="E367" s="752"/>
      <c r="F367" s="616"/>
      <c r="G367" s="615"/>
      <c r="H367" s="616"/>
      <c r="I367" s="616"/>
    </row>
    <row r="368" spans="1:9" ht="14">
      <c r="A368" s="973"/>
      <c r="B368" s="1439"/>
      <c r="C368" s="749" t="s">
        <v>2196</v>
      </c>
      <c r="D368" s="750"/>
      <c r="E368" s="752"/>
      <c r="F368" s="616"/>
      <c r="G368" s="615"/>
      <c r="H368" s="616"/>
      <c r="I368" s="616"/>
    </row>
    <row r="369" spans="1:9" ht="14">
      <c r="A369" s="973"/>
      <c r="B369" s="1439"/>
      <c r="C369" s="749" t="s">
        <v>2197</v>
      </c>
      <c r="D369" s="750">
        <v>1</v>
      </c>
      <c r="E369" s="752">
        <v>0.01</v>
      </c>
      <c r="F369" s="616"/>
      <c r="G369" s="615"/>
      <c r="H369" s="616"/>
      <c r="I369" s="616"/>
    </row>
    <row r="370" spans="1:9" ht="14">
      <c r="A370" s="973"/>
      <c r="B370" s="1439"/>
      <c r="C370" s="753" t="s">
        <v>2287</v>
      </c>
      <c r="D370" s="750">
        <v>1</v>
      </c>
      <c r="E370" s="752">
        <v>0.01</v>
      </c>
      <c r="F370" s="616"/>
      <c r="G370" s="615"/>
      <c r="H370" s="616"/>
      <c r="I370" s="616"/>
    </row>
    <row r="371" spans="1:9" ht="14">
      <c r="A371" s="973"/>
      <c r="B371" s="1439"/>
      <c r="C371" s="753" t="s">
        <v>2288</v>
      </c>
      <c r="D371" s="750">
        <v>1</v>
      </c>
      <c r="E371" s="752">
        <v>0.01</v>
      </c>
      <c r="F371" s="616"/>
      <c r="G371" s="615"/>
      <c r="H371" s="616"/>
      <c r="I371" s="616"/>
    </row>
    <row r="372" spans="1:9" ht="14">
      <c r="A372" s="973"/>
      <c r="B372" s="1440"/>
      <c r="C372" s="749" t="s">
        <v>2200</v>
      </c>
      <c r="D372" s="750">
        <v>1</v>
      </c>
      <c r="E372" s="752">
        <v>0.01</v>
      </c>
      <c r="F372" s="616"/>
      <c r="G372" s="615"/>
      <c r="H372" s="616"/>
      <c r="I372" s="616"/>
    </row>
    <row r="373" spans="1:9" ht="14">
      <c r="A373" s="974"/>
      <c r="B373" s="754" t="s">
        <v>2281</v>
      </c>
      <c r="C373" s="775" t="s">
        <v>2360</v>
      </c>
      <c r="D373" s="755">
        <v>1</v>
      </c>
      <c r="E373" s="756">
        <v>0</v>
      </c>
      <c r="F373" s="723"/>
      <c r="G373" s="638"/>
      <c r="H373" s="723"/>
      <c r="I373" s="723"/>
    </row>
    <row r="374" spans="1:9" ht="14">
      <c r="A374" s="757"/>
      <c r="B374" s="758"/>
      <c r="C374" s="759"/>
      <c r="D374" s="975"/>
      <c r="E374" s="975"/>
      <c r="F374" s="748"/>
      <c r="G374" s="747"/>
      <c r="H374" s="748"/>
      <c r="I374" s="748"/>
    </row>
    <row r="375" spans="1:9" ht="14">
      <c r="A375" s="1408" t="s">
        <v>2283</v>
      </c>
      <c r="B375" s="1284"/>
      <c r="C375" s="1285"/>
      <c r="D375" s="976"/>
      <c r="E375" s="976"/>
      <c r="F375" s="742"/>
      <c r="G375" s="741"/>
      <c r="H375" s="742"/>
      <c r="I375" s="742"/>
    </row>
    <row r="376" spans="1:9" ht="12" customHeight="1">
      <c r="A376" s="972"/>
      <c r="B376" s="1425" t="s">
        <v>157</v>
      </c>
      <c r="C376" s="760" t="s">
        <v>2187</v>
      </c>
      <c r="D376" s="761"/>
      <c r="E376" s="762" t="s">
        <v>2747</v>
      </c>
      <c r="F376" s="764">
        <v>0</v>
      </c>
      <c r="G376" s="763" t="s">
        <v>2871</v>
      </c>
      <c r="H376" s="764">
        <v>0</v>
      </c>
      <c r="I376" s="764">
        <v>0</v>
      </c>
    </row>
    <row r="377" spans="1:9" ht="14">
      <c r="A377" s="973"/>
      <c r="B377" s="1423"/>
      <c r="C377" s="765"/>
      <c r="D377" s="766">
        <v>1</v>
      </c>
      <c r="E377" s="767" t="s">
        <v>2747</v>
      </c>
      <c r="F377" s="726">
        <v>0</v>
      </c>
      <c r="G377" s="718">
        <v>0</v>
      </c>
      <c r="H377" s="726">
        <v>0</v>
      </c>
      <c r="I377" s="726">
        <v>0</v>
      </c>
    </row>
    <row r="378" spans="1:9" ht="14">
      <c r="A378" s="973"/>
      <c r="B378" s="1423"/>
      <c r="C378" s="768" t="s">
        <v>2188</v>
      </c>
      <c r="D378" s="1411"/>
      <c r="E378" s="767" t="s">
        <v>2747</v>
      </c>
      <c r="F378" s="770">
        <v>0</v>
      </c>
      <c r="G378" s="769" t="s">
        <v>2871</v>
      </c>
      <c r="H378" s="770">
        <v>2.46E-2</v>
      </c>
      <c r="I378" s="770">
        <v>3.2199999999999999E-2</v>
      </c>
    </row>
    <row r="379" spans="1:9" ht="14">
      <c r="A379" s="973"/>
      <c r="B379" s="1423"/>
      <c r="C379" s="765"/>
      <c r="D379" s="771">
        <v>1</v>
      </c>
      <c r="E379" s="767" t="s">
        <v>2747</v>
      </c>
      <c r="F379" s="726"/>
      <c r="G379" s="718"/>
      <c r="H379" s="726"/>
      <c r="I379" s="726"/>
    </row>
    <row r="380" spans="1:9" ht="14">
      <c r="A380" s="973"/>
      <c r="B380" s="1423"/>
      <c r="C380" s="749" t="s">
        <v>2210</v>
      </c>
      <c r="D380" s="772">
        <v>0.9</v>
      </c>
      <c r="E380" s="767" t="s">
        <v>2747</v>
      </c>
      <c r="F380" s="726"/>
      <c r="G380" s="718"/>
      <c r="H380" s="726"/>
      <c r="I380" s="726"/>
    </row>
    <row r="381" spans="1:9" ht="14">
      <c r="A381" s="973"/>
      <c r="B381" s="1422"/>
      <c r="C381" s="749" t="s">
        <v>2211</v>
      </c>
      <c r="D381" s="772">
        <v>0.9</v>
      </c>
      <c r="E381" s="767" t="s">
        <v>2747</v>
      </c>
      <c r="F381" s="726"/>
      <c r="G381" s="718"/>
      <c r="H381" s="726"/>
      <c r="I381" s="726"/>
    </row>
    <row r="382" spans="1:9" ht="12" customHeight="1">
      <c r="A382" s="973"/>
      <c r="B382" s="1421" t="s">
        <v>2191</v>
      </c>
      <c r="C382" s="749" t="s">
        <v>2279</v>
      </c>
      <c r="D382" s="772">
        <v>1</v>
      </c>
      <c r="E382" s="752">
        <v>0.01</v>
      </c>
      <c r="F382" s="726"/>
      <c r="G382" s="718"/>
      <c r="H382" s="726"/>
      <c r="I382" s="726"/>
    </row>
    <row r="383" spans="1:9" ht="14">
      <c r="A383" s="973"/>
      <c r="B383" s="1423"/>
      <c r="C383" s="749" t="s">
        <v>2285</v>
      </c>
      <c r="D383" s="772">
        <v>1</v>
      </c>
      <c r="E383" s="752">
        <v>0.01</v>
      </c>
      <c r="F383" s="726"/>
      <c r="G383" s="718"/>
      <c r="H383" s="726"/>
      <c r="I383" s="726"/>
    </row>
    <row r="384" spans="1:9" ht="14">
      <c r="A384" s="973"/>
      <c r="B384" s="1423"/>
      <c r="C384" s="749" t="s">
        <v>2194</v>
      </c>
      <c r="D384" s="772">
        <v>1</v>
      </c>
      <c r="E384" s="752">
        <v>0.01</v>
      </c>
      <c r="F384" s="726"/>
      <c r="G384" s="718"/>
      <c r="H384" s="726"/>
      <c r="I384" s="726"/>
    </row>
    <row r="385" spans="1:9" ht="14">
      <c r="A385" s="973"/>
      <c r="B385" s="1423"/>
      <c r="C385" s="749" t="s">
        <v>2286</v>
      </c>
      <c r="D385" s="772"/>
      <c r="E385" s="752"/>
      <c r="F385" s="726"/>
      <c r="G385" s="615"/>
      <c r="H385" s="726"/>
      <c r="I385" s="726"/>
    </row>
    <row r="386" spans="1:9" ht="14">
      <c r="A386" s="973"/>
      <c r="B386" s="1423"/>
      <c r="C386" s="773" t="s">
        <v>2196</v>
      </c>
      <c r="D386" s="772"/>
      <c r="E386" s="752"/>
      <c r="F386" s="726"/>
      <c r="G386" s="615"/>
      <c r="H386" s="726"/>
      <c r="I386" s="726"/>
    </row>
    <row r="387" spans="1:9" ht="14">
      <c r="A387" s="973"/>
      <c r="B387" s="1423"/>
      <c r="C387" s="749" t="s">
        <v>2197</v>
      </c>
      <c r="D387" s="772">
        <v>1</v>
      </c>
      <c r="E387" s="752">
        <v>0.01</v>
      </c>
      <c r="F387" s="726"/>
      <c r="G387" s="718"/>
      <c r="H387" s="726"/>
      <c r="I387" s="726"/>
    </row>
    <row r="388" spans="1:9" ht="14">
      <c r="A388" s="973"/>
      <c r="B388" s="1423"/>
      <c r="C388" s="753" t="s">
        <v>2287</v>
      </c>
      <c r="D388" s="772">
        <v>1</v>
      </c>
      <c r="E388" s="752">
        <v>0.01</v>
      </c>
      <c r="F388" s="726"/>
      <c r="G388" s="718"/>
      <c r="H388" s="726"/>
      <c r="I388" s="726"/>
    </row>
    <row r="389" spans="1:9" ht="14">
      <c r="A389" s="973"/>
      <c r="B389" s="1423"/>
      <c r="C389" s="753" t="s">
        <v>2288</v>
      </c>
      <c r="D389" s="772">
        <v>1</v>
      </c>
      <c r="E389" s="752">
        <v>0.01</v>
      </c>
      <c r="F389" s="726"/>
      <c r="G389" s="718"/>
      <c r="H389" s="726"/>
      <c r="I389" s="726"/>
    </row>
    <row r="390" spans="1:9" ht="14">
      <c r="A390" s="973"/>
      <c r="B390" s="1422"/>
      <c r="C390" s="749" t="s">
        <v>2200</v>
      </c>
      <c r="D390" s="772">
        <v>1</v>
      </c>
      <c r="E390" s="752">
        <v>0.01</v>
      </c>
      <c r="F390" s="726"/>
      <c r="G390" s="718"/>
      <c r="H390" s="726"/>
      <c r="I390" s="726"/>
    </row>
    <row r="391" spans="1:9" ht="15" thickBot="1">
      <c r="A391" s="977"/>
      <c r="B391" s="774" t="s">
        <v>2281</v>
      </c>
      <c r="C391" s="775" t="s">
        <v>2289</v>
      </c>
      <c r="D391" s="776">
        <v>1</v>
      </c>
      <c r="E391" s="777">
        <v>0</v>
      </c>
      <c r="F391" s="726"/>
      <c r="G391" s="778"/>
      <c r="H391" s="726"/>
      <c r="I391" s="726"/>
    </row>
    <row r="392" spans="1:9" ht="15" thickTop="1">
      <c r="A392" s="779"/>
      <c r="B392" s="780"/>
      <c r="C392" s="781" t="s">
        <v>2290</v>
      </c>
      <c r="D392" s="782"/>
      <c r="E392" s="783"/>
      <c r="F392" s="785"/>
      <c r="G392" s="784"/>
      <c r="H392" s="785"/>
      <c r="I392" s="785"/>
    </row>
    <row r="393" spans="1:9" ht="14">
      <c r="A393" s="995"/>
      <c r="B393" s="995"/>
      <c r="C393" s="623"/>
      <c r="D393" s="623"/>
      <c r="E393" s="995"/>
      <c r="F393" s="618"/>
      <c r="G393" s="786"/>
      <c r="H393" s="618"/>
      <c r="I393" s="618"/>
    </row>
    <row r="394" spans="1:9" ht="14">
      <c r="A394" s="995"/>
      <c r="B394" s="995"/>
      <c r="C394" s="739" t="s">
        <v>2361</v>
      </c>
      <c r="D394" s="739"/>
      <c r="E394" s="622"/>
      <c r="F394" s="713"/>
      <c r="G394" s="711"/>
      <c r="H394" s="713"/>
      <c r="I394" s="713"/>
    </row>
    <row r="395" spans="1:9" ht="14">
      <c r="A395" s="995"/>
      <c r="B395" s="995"/>
      <c r="C395" s="627" t="s">
        <v>2872</v>
      </c>
      <c r="D395" s="627"/>
      <c r="E395" s="622"/>
      <c r="F395" s="713"/>
      <c r="G395" s="711"/>
      <c r="H395" s="713"/>
      <c r="I395" s="713"/>
    </row>
    <row r="396" spans="1:9" ht="28">
      <c r="A396" s="595"/>
      <c r="B396" s="596"/>
      <c r="C396" s="596"/>
      <c r="D396" s="1431" t="s">
        <v>2272</v>
      </c>
      <c r="E396" s="1431" t="s">
        <v>2305</v>
      </c>
      <c r="F396" s="1009" t="e">
        <v>#VALUE!</v>
      </c>
      <c r="G396" s="737" t="s">
        <v>2165</v>
      </c>
      <c r="H396" s="738" t="s">
        <v>2385</v>
      </c>
      <c r="I396" s="738" t="s">
        <v>2384</v>
      </c>
    </row>
    <row r="397" spans="1:9" ht="14">
      <c r="A397" s="1408" t="s">
        <v>2294</v>
      </c>
      <c r="B397" s="1284"/>
      <c r="C397" s="1285"/>
      <c r="D397" s="971"/>
      <c r="E397" s="971"/>
      <c r="F397" s="1010"/>
      <c r="G397" s="741"/>
      <c r="H397" s="742"/>
      <c r="I397" s="742"/>
    </row>
    <row r="398" spans="1:9" ht="14">
      <c r="A398" s="972"/>
      <c r="B398" s="743" t="s">
        <v>2295</v>
      </c>
      <c r="C398" s="744"/>
      <c r="D398" s="745"/>
      <c r="E398" s="746"/>
      <c r="F398" s="1011"/>
      <c r="G398" s="747"/>
      <c r="H398" s="748"/>
      <c r="I398" s="748"/>
    </row>
    <row r="399" spans="1:9" ht="12" customHeight="1">
      <c r="A399" s="973"/>
      <c r="B399" s="1421" t="s">
        <v>157</v>
      </c>
      <c r="C399" s="749" t="s">
        <v>2187</v>
      </c>
      <c r="D399" s="750">
        <v>1</v>
      </c>
      <c r="E399" s="751" t="s">
        <v>2747</v>
      </c>
      <c r="F399" s="1003"/>
      <c r="G399" s="615"/>
      <c r="H399" s="616"/>
      <c r="I399" s="616"/>
    </row>
    <row r="400" spans="1:9" ht="14">
      <c r="A400" s="973"/>
      <c r="B400" s="1423"/>
      <c r="C400" s="749" t="s">
        <v>2188</v>
      </c>
      <c r="D400" s="750">
        <v>1</v>
      </c>
      <c r="E400" s="751" t="s">
        <v>2747</v>
      </c>
      <c r="F400" s="1003"/>
      <c r="G400" s="615"/>
      <c r="H400" s="616"/>
      <c r="I400" s="616"/>
    </row>
    <row r="401" spans="1:9" ht="14">
      <c r="A401" s="973"/>
      <c r="B401" s="1423"/>
      <c r="C401" s="749" t="s">
        <v>2277</v>
      </c>
      <c r="D401" s="750">
        <v>1</v>
      </c>
      <c r="E401" s="751" t="s">
        <v>2747</v>
      </c>
      <c r="F401" s="1003"/>
      <c r="G401" s="615"/>
      <c r="H401" s="616"/>
      <c r="I401" s="616"/>
    </row>
    <row r="402" spans="1:9" ht="14">
      <c r="A402" s="973"/>
      <c r="B402" s="1422"/>
      <c r="C402" s="749" t="s">
        <v>2278</v>
      </c>
      <c r="D402" s="750">
        <v>1</v>
      </c>
      <c r="E402" s="751" t="s">
        <v>2747</v>
      </c>
      <c r="F402" s="1003"/>
      <c r="G402" s="615"/>
      <c r="H402" s="616"/>
      <c r="I402" s="616"/>
    </row>
    <row r="403" spans="1:9" ht="12" customHeight="1">
      <c r="A403" s="973"/>
      <c r="B403" s="1438" t="s">
        <v>2191</v>
      </c>
      <c r="C403" s="749" t="s">
        <v>2279</v>
      </c>
      <c r="D403" s="750">
        <v>1</v>
      </c>
      <c r="E403" s="752">
        <v>0.02</v>
      </c>
      <c r="F403" s="1003"/>
      <c r="G403" s="615"/>
      <c r="H403" s="616"/>
      <c r="I403" s="616"/>
    </row>
    <row r="404" spans="1:9" ht="14">
      <c r="A404" s="973"/>
      <c r="B404" s="1439"/>
      <c r="C404" s="749" t="s">
        <v>2285</v>
      </c>
      <c r="D404" s="750">
        <v>1</v>
      </c>
      <c r="E404" s="752">
        <v>0.02</v>
      </c>
      <c r="F404" s="1003"/>
      <c r="G404" s="615"/>
      <c r="H404" s="616"/>
      <c r="I404" s="616"/>
    </row>
    <row r="405" spans="1:9" ht="14">
      <c r="A405" s="973"/>
      <c r="B405" s="1439"/>
      <c r="C405" s="749" t="s">
        <v>2194</v>
      </c>
      <c r="D405" s="750">
        <v>1</v>
      </c>
      <c r="E405" s="752">
        <v>0.02</v>
      </c>
      <c r="F405" s="1003"/>
      <c r="G405" s="615"/>
      <c r="H405" s="616"/>
      <c r="I405" s="616"/>
    </row>
    <row r="406" spans="1:9" ht="14">
      <c r="A406" s="973"/>
      <c r="B406" s="1439"/>
      <c r="C406" s="749" t="s">
        <v>2286</v>
      </c>
      <c r="D406" s="750"/>
      <c r="E406" s="752"/>
      <c r="F406" s="1003"/>
      <c r="G406" s="615"/>
      <c r="H406" s="616"/>
      <c r="I406" s="616"/>
    </row>
    <row r="407" spans="1:9" ht="14">
      <c r="A407" s="973"/>
      <c r="B407" s="1439"/>
      <c r="C407" s="749" t="s">
        <v>2196</v>
      </c>
      <c r="D407" s="750"/>
      <c r="E407" s="752"/>
      <c r="F407" s="1003"/>
      <c r="G407" s="615"/>
      <c r="H407" s="616"/>
      <c r="I407" s="616"/>
    </row>
    <row r="408" spans="1:9" ht="14">
      <c r="A408" s="973"/>
      <c r="B408" s="1439"/>
      <c r="C408" s="749" t="s">
        <v>2197</v>
      </c>
      <c r="D408" s="750">
        <v>1</v>
      </c>
      <c r="E408" s="752">
        <v>0.02</v>
      </c>
      <c r="F408" s="1003"/>
      <c r="G408" s="615"/>
      <c r="H408" s="616"/>
      <c r="I408" s="616"/>
    </row>
    <row r="409" spans="1:9" ht="14">
      <c r="A409" s="973"/>
      <c r="B409" s="1439"/>
      <c r="C409" s="753" t="s">
        <v>2287</v>
      </c>
      <c r="D409" s="750">
        <v>1</v>
      </c>
      <c r="E409" s="752">
        <v>0.02</v>
      </c>
      <c r="F409" s="1003"/>
      <c r="G409" s="615"/>
      <c r="H409" s="616"/>
      <c r="I409" s="616"/>
    </row>
    <row r="410" spans="1:9" ht="14">
      <c r="A410" s="973"/>
      <c r="B410" s="1439"/>
      <c r="C410" s="753" t="s">
        <v>2288</v>
      </c>
      <c r="D410" s="750">
        <v>1</v>
      </c>
      <c r="E410" s="752">
        <v>0.02</v>
      </c>
      <c r="F410" s="1003"/>
      <c r="G410" s="615"/>
      <c r="H410" s="616"/>
      <c r="I410" s="616"/>
    </row>
    <row r="411" spans="1:9" ht="14">
      <c r="A411" s="973"/>
      <c r="B411" s="1440"/>
      <c r="C411" s="749" t="s">
        <v>2200</v>
      </c>
      <c r="D411" s="750">
        <v>1</v>
      </c>
      <c r="E411" s="752">
        <v>0.02</v>
      </c>
      <c r="F411" s="1003"/>
      <c r="G411" s="615"/>
      <c r="H411" s="616"/>
      <c r="I411" s="616"/>
    </row>
    <row r="412" spans="1:9" ht="14">
      <c r="A412" s="974"/>
      <c r="B412" s="754" t="s">
        <v>2281</v>
      </c>
      <c r="C412" s="787" t="s">
        <v>2873</v>
      </c>
      <c r="D412" s="755">
        <v>1</v>
      </c>
      <c r="E412" s="756">
        <v>0</v>
      </c>
      <c r="F412" s="1013"/>
      <c r="G412" s="638"/>
      <c r="H412" s="723"/>
      <c r="I412" s="723"/>
    </row>
    <row r="413" spans="1:9" ht="14">
      <c r="A413" s="757"/>
      <c r="B413" s="758"/>
      <c r="C413" s="759"/>
      <c r="D413" s="975"/>
      <c r="E413" s="975"/>
      <c r="F413" s="1011"/>
      <c r="G413" s="747"/>
      <c r="H413" s="748"/>
      <c r="I413" s="748"/>
    </row>
    <row r="414" spans="1:9" ht="14">
      <c r="A414" s="1408" t="s">
        <v>2209</v>
      </c>
      <c r="B414" s="1284"/>
      <c r="C414" s="1285"/>
      <c r="D414" s="976"/>
      <c r="E414" s="976"/>
      <c r="F414" s="1010"/>
      <c r="G414" s="741"/>
      <c r="H414" s="742"/>
      <c r="I414" s="742"/>
    </row>
    <row r="415" spans="1:9" ht="12" customHeight="1">
      <c r="A415" s="972"/>
      <c r="B415" s="1425" t="s">
        <v>157</v>
      </c>
      <c r="C415" s="760" t="s">
        <v>2187</v>
      </c>
      <c r="D415" s="761"/>
      <c r="E415" s="762" t="s">
        <v>2747</v>
      </c>
      <c r="F415" s="1019">
        <v>0</v>
      </c>
      <c r="G415" s="763" t="s">
        <v>2871</v>
      </c>
      <c r="H415" s="764">
        <v>0</v>
      </c>
      <c r="I415" s="764">
        <v>0</v>
      </c>
    </row>
    <row r="416" spans="1:9" ht="14">
      <c r="A416" s="973"/>
      <c r="B416" s="1423"/>
      <c r="C416" s="765"/>
      <c r="D416" s="766">
        <v>1</v>
      </c>
      <c r="E416" s="767" t="s">
        <v>2747</v>
      </c>
      <c r="F416" s="1020">
        <v>0</v>
      </c>
      <c r="G416" s="718">
        <v>0</v>
      </c>
      <c r="H416" s="726">
        <v>0</v>
      </c>
      <c r="I416" s="726">
        <v>0</v>
      </c>
    </row>
    <row r="417" spans="1:9" ht="14">
      <c r="A417" s="973"/>
      <c r="B417" s="1423"/>
      <c r="C417" s="768" t="s">
        <v>2188</v>
      </c>
      <c r="D417" s="1411"/>
      <c r="E417" s="767" t="s">
        <v>2747</v>
      </c>
      <c r="F417" s="1021">
        <v>0</v>
      </c>
      <c r="G417" s="769" t="s">
        <v>2871</v>
      </c>
      <c r="H417" s="788">
        <v>8.3900000000000002E-2</v>
      </c>
      <c r="I417" s="770">
        <v>0.1234</v>
      </c>
    </row>
    <row r="418" spans="1:9" ht="14">
      <c r="A418" s="973"/>
      <c r="B418" s="1423"/>
      <c r="C418" s="765"/>
      <c r="D418" s="771">
        <v>1</v>
      </c>
      <c r="E418" s="767" t="s">
        <v>2747</v>
      </c>
      <c r="F418" s="1020"/>
      <c r="G418" s="718"/>
      <c r="H418" s="726"/>
      <c r="I418" s="726"/>
    </row>
    <row r="419" spans="1:9" ht="14">
      <c r="A419" s="973"/>
      <c r="B419" s="1423"/>
      <c r="C419" s="749" t="s">
        <v>2210</v>
      </c>
      <c r="D419" s="772">
        <v>1</v>
      </c>
      <c r="E419" s="767" t="s">
        <v>2747</v>
      </c>
      <c r="F419" s="1020"/>
      <c r="G419" s="718"/>
      <c r="H419" s="726"/>
      <c r="I419" s="726"/>
    </row>
    <row r="420" spans="1:9" ht="14">
      <c r="A420" s="973"/>
      <c r="B420" s="1422"/>
      <c r="C420" s="749" t="s">
        <v>2211</v>
      </c>
      <c r="D420" s="772">
        <v>1</v>
      </c>
      <c r="E420" s="767" t="s">
        <v>2747</v>
      </c>
      <c r="F420" s="1020"/>
      <c r="G420" s="718"/>
      <c r="H420" s="726"/>
      <c r="I420" s="726"/>
    </row>
    <row r="421" spans="1:9" ht="12" customHeight="1">
      <c r="A421" s="973"/>
      <c r="B421" s="1421" t="s">
        <v>2191</v>
      </c>
      <c r="C421" s="749" t="s">
        <v>2279</v>
      </c>
      <c r="D421" s="772">
        <v>1</v>
      </c>
      <c r="E421" s="752">
        <v>0.02</v>
      </c>
      <c r="F421" s="1020"/>
      <c r="G421" s="718"/>
      <c r="H421" s="726"/>
      <c r="I421" s="726"/>
    </row>
    <row r="422" spans="1:9" ht="14">
      <c r="A422" s="973"/>
      <c r="B422" s="1423"/>
      <c r="C422" s="749" t="s">
        <v>2285</v>
      </c>
      <c r="D422" s="772">
        <v>1</v>
      </c>
      <c r="E422" s="752">
        <v>0.02</v>
      </c>
      <c r="F422" s="1020"/>
      <c r="G422" s="718"/>
      <c r="H422" s="726"/>
      <c r="I422" s="726"/>
    </row>
    <row r="423" spans="1:9" ht="14">
      <c r="A423" s="973"/>
      <c r="B423" s="1423"/>
      <c r="C423" s="749" t="s">
        <v>2194</v>
      </c>
      <c r="D423" s="772">
        <v>1</v>
      </c>
      <c r="E423" s="752">
        <v>0.02</v>
      </c>
      <c r="F423" s="1020"/>
      <c r="G423" s="718"/>
      <c r="H423" s="726"/>
      <c r="I423" s="726"/>
    </row>
    <row r="424" spans="1:9" ht="14">
      <c r="A424" s="973"/>
      <c r="B424" s="1423"/>
      <c r="C424" s="749" t="s">
        <v>2286</v>
      </c>
      <c r="D424" s="772"/>
      <c r="E424" s="752"/>
      <c r="F424" s="1020"/>
      <c r="G424" s="718"/>
      <c r="H424" s="726"/>
      <c r="I424" s="726"/>
    </row>
    <row r="425" spans="1:9" ht="14">
      <c r="A425" s="973"/>
      <c r="B425" s="1423"/>
      <c r="C425" s="773"/>
      <c r="D425" s="772"/>
      <c r="E425" s="752"/>
      <c r="F425" s="1020"/>
      <c r="G425" s="718"/>
      <c r="H425" s="726"/>
      <c r="I425" s="726"/>
    </row>
    <row r="426" spans="1:9" ht="14">
      <c r="A426" s="973"/>
      <c r="B426" s="1423"/>
      <c r="C426" s="749" t="s">
        <v>2197</v>
      </c>
      <c r="D426" s="772">
        <v>1</v>
      </c>
      <c r="E426" s="752">
        <v>0.02</v>
      </c>
      <c r="F426" s="1020"/>
      <c r="G426" s="718"/>
      <c r="H426" s="726"/>
      <c r="I426" s="726"/>
    </row>
    <row r="427" spans="1:9" ht="14">
      <c r="A427" s="973"/>
      <c r="B427" s="1423"/>
      <c r="C427" s="753" t="s">
        <v>2287</v>
      </c>
      <c r="D427" s="772">
        <v>1</v>
      </c>
      <c r="E427" s="752">
        <v>0.02</v>
      </c>
      <c r="F427" s="1020"/>
      <c r="G427" s="718"/>
      <c r="H427" s="726"/>
      <c r="I427" s="726"/>
    </row>
    <row r="428" spans="1:9" ht="14">
      <c r="A428" s="973"/>
      <c r="B428" s="1423"/>
      <c r="C428" s="753" t="s">
        <v>2288</v>
      </c>
      <c r="D428" s="772">
        <v>1</v>
      </c>
      <c r="E428" s="752">
        <v>0.02</v>
      </c>
      <c r="F428" s="1020"/>
      <c r="G428" s="718"/>
      <c r="H428" s="726"/>
      <c r="I428" s="726"/>
    </row>
    <row r="429" spans="1:9" ht="14">
      <c r="A429" s="973"/>
      <c r="B429" s="1422"/>
      <c r="C429" s="749" t="s">
        <v>2200</v>
      </c>
      <c r="D429" s="772">
        <v>1</v>
      </c>
      <c r="E429" s="752">
        <v>0.02</v>
      </c>
      <c r="F429" s="1020"/>
      <c r="G429" s="718"/>
      <c r="H429" s="726"/>
      <c r="I429" s="726"/>
    </row>
    <row r="430" spans="1:9" ht="12" customHeight="1">
      <c r="A430" s="973"/>
      <c r="B430" s="1426" t="s">
        <v>2299</v>
      </c>
      <c r="C430" s="749" t="s">
        <v>2219</v>
      </c>
      <c r="D430" s="789"/>
      <c r="E430" s="790"/>
      <c r="F430" s="718"/>
      <c r="G430" s="718"/>
      <c r="H430" s="616"/>
      <c r="I430" s="616"/>
    </row>
    <row r="431" spans="1:9" ht="14">
      <c r="A431" s="973"/>
      <c r="B431" s="1427"/>
      <c r="C431" s="791" t="s">
        <v>2300</v>
      </c>
      <c r="D431" s="789"/>
      <c r="E431" s="790"/>
      <c r="F431" s="1003"/>
      <c r="G431" s="718"/>
      <c r="H431" s="616"/>
      <c r="I431" s="616"/>
    </row>
    <row r="432" spans="1:9" ht="15" thickBot="1">
      <c r="A432" s="977"/>
      <c r="B432" s="792" t="s">
        <v>2281</v>
      </c>
      <c r="C432" s="787" t="s">
        <v>2873</v>
      </c>
      <c r="D432" s="789">
        <v>1</v>
      </c>
      <c r="E432" s="790">
        <v>0</v>
      </c>
      <c r="F432" s="1020"/>
      <c r="G432" s="718"/>
      <c r="H432" s="726"/>
      <c r="I432" s="726"/>
    </row>
    <row r="433" spans="1:9" ht="15" thickTop="1">
      <c r="A433" s="793"/>
      <c r="B433" s="794"/>
      <c r="C433" s="795" t="s">
        <v>2301</v>
      </c>
      <c r="D433" s="796"/>
      <c r="E433" s="797"/>
      <c r="F433" s="1022"/>
      <c r="G433" s="798"/>
      <c r="H433" s="799"/>
      <c r="I433" s="799"/>
    </row>
    <row r="434" spans="1:9" ht="14">
      <c r="A434" s="800"/>
      <c r="B434" s="801"/>
      <c r="C434" s="722" t="s">
        <v>2302</v>
      </c>
      <c r="D434" s="802"/>
      <c r="E434" s="637"/>
      <c r="F434" s="1013"/>
      <c r="G434" s="638"/>
      <c r="H434" s="723"/>
      <c r="I434" s="723"/>
    </row>
    <row r="435" spans="1:9" ht="14">
      <c r="A435" s="595"/>
      <c r="B435" s="596"/>
      <c r="C435" s="903" t="s">
        <v>2363</v>
      </c>
      <c r="D435" s="903"/>
      <c r="E435" s="904"/>
      <c r="F435" s="907"/>
      <c r="G435" s="905"/>
      <c r="H435" s="906"/>
      <c r="I435" s="907"/>
    </row>
    <row r="436" spans="1:9" ht="14">
      <c r="A436" s="994"/>
      <c r="B436" s="995"/>
      <c r="C436" s="995"/>
      <c r="D436" s="995"/>
      <c r="E436" s="995"/>
      <c r="F436" s="713"/>
      <c r="G436" s="712"/>
      <c r="H436" s="713"/>
      <c r="I436" s="713"/>
    </row>
    <row r="437" spans="1:9" ht="14">
      <c r="A437" s="978"/>
      <c r="B437" s="979"/>
      <c r="C437" s="980"/>
      <c r="D437" s="804"/>
      <c r="E437" s="736" t="s">
        <v>2305</v>
      </c>
      <c r="F437" s="1009" t="e">
        <v>#VALUE!</v>
      </c>
      <c r="G437" s="737" t="s">
        <v>2165</v>
      </c>
      <c r="H437" s="738" t="s">
        <v>2385</v>
      </c>
      <c r="I437" s="738" t="s">
        <v>2384</v>
      </c>
    </row>
    <row r="438" spans="1:9" ht="15" thickBot="1">
      <c r="A438" s="1275"/>
      <c r="B438" s="1276"/>
      <c r="C438" s="1277"/>
      <c r="D438" s="805"/>
      <c r="E438" s="806"/>
      <c r="F438" s="1012"/>
      <c r="G438" s="714"/>
      <c r="H438" s="807"/>
      <c r="I438" s="807"/>
    </row>
    <row r="439" spans="1:9" ht="15" thickBot="1">
      <c r="A439" s="808"/>
      <c r="B439" s="809"/>
      <c r="C439" s="810" t="s">
        <v>2306</v>
      </c>
      <c r="D439" s="811"/>
      <c r="E439" s="812"/>
      <c r="F439" s="1023"/>
      <c r="G439" s="813"/>
      <c r="H439" s="814"/>
      <c r="I439" s="814"/>
    </row>
    <row r="440" spans="1:9" ht="14">
      <c r="A440" s="994"/>
      <c r="B440" s="995"/>
      <c r="C440" s="815" t="s">
        <v>2307</v>
      </c>
      <c r="D440" s="816"/>
      <c r="E440" s="817"/>
      <c r="F440" s="1024"/>
      <c r="G440" s="625"/>
      <c r="H440" s="625"/>
      <c r="I440" s="625"/>
    </row>
    <row r="441" spans="1:9" ht="14">
      <c r="A441" s="800"/>
      <c r="B441" s="801"/>
      <c r="C441" s="1432" t="s">
        <v>2308</v>
      </c>
      <c r="D441" s="1432"/>
      <c r="E441" s="1433"/>
      <c r="F441" s="1013"/>
      <c r="G441" s="638"/>
      <c r="H441" s="723"/>
      <c r="I441" s="723"/>
    </row>
    <row r="442" spans="1:9" ht="14">
      <c r="A442" s="595"/>
      <c r="B442" s="596"/>
      <c r="C442" s="596"/>
      <c r="D442" s="818"/>
      <c r="E442" s="599" t="s">
        <v>2251</v>
      </c>
      <c r="F442" s="1014"/>
      <c r="G442" s="984" t="s">
        <v>2309</v>
      </c>
      <c r="H442" s="985"/>
      <c r="I442" s="725"/>
    </row>
    <row r="443" spans="1:9" ht="14">
      <c r="A443" s="1278" t="s">
        <v>2310</v>
      </c>
      <c r="B443" s="1279"/>
      <c r="C443" s="1280"/>
      <c r="D443" s="819"/>
      <c r="E443" s="820" t="s">
        <v>2246</v>
      </c>
      <c r="F443" s="1013"/>
      <c r="G443" s="989" t="s">
        <v>2311</v>
      </c>
      <c r="H443" s="990"/>
      <c r="I443" s="723"/>
    </row>
    <row r="444" spans="1:9" ht="14">
      <c r="A444" s="991"/>
      <c r="B444" s="821" t="s">
        <v>157</v>
      </c>
      <c r="C444" s="822" t="s">
        <v>2874</v>
      </c>
      <c r="D444" s="823">
        <v>1</v>
      </c>
      <c r="E444" s="824">
        <v>0.10800000000000001</v>
      </c>
      <c r="F444" s="1014"/>
      <c r="G444" s="613"/>
      <c r="H444" s="725"/>
      <c r="I444" s="725"/>
    </row>
    <row r="445" spans="1:9" ht="12" customHeight="1">
      <c r="A445" s="967"/>
      <c r="B445" s="1421" t="s">
        <v>2313</v>
      </c>
      <c r="C445" s="614" t="s">
        <v>2314</v>
      </c>
      <c r="D445" s="772">
        <v>0.05</v>
      </c>
      <c r="E445" s="752">
        <v>0.10800000000000001</v>
      </c>
      <c r="F445" s="1003"/>
      <c r="G445" s="615"/>
      <c r="H445" s="616"/>
      <c r="I445" s="616"/>
    </row>
    <row r="446" spans="1:9" ht="14">
      <c r="A446" s="967"/>
      <c r="B446" s="1422"/>
      <c r="C446" s="614" t="s">
        <v>2315</v>
      </c>
      <c r="D446" s="825">
        <v>1</v>
      </c>
      <c r="E446" s="752">
        <v>4.0000000000000002E-4</v>
      </c>
      <c r="F446" s="1003"/>
      <c r="G446" s="615"/>
      <c r="H446" s="616"/>
      <c r="I446" s="616"/>
    </row>
    <row r="447" spans="1:9" ht="14">
      <c r="A447" s="967"/>
      <c r="B447" s="826"/>
      <c r="C447" s="614"/>
      <c r="D447" s="827"/>
      <c r="E447" s="827"/>
      <c r="F447" s="1003"/>
      <c r="G447" s="615"/>
      <c r="H447" s="616"/>
      <c r="I447" s="616"/>
    </row>
    <row r="448" spans="1:9" ht="14">
      <c r="A448" s="967"/>
      <c r="B448" s="826"/>
      <c r="C448" s="614"/>
      <c r="D448" s="827"/>
      <c r="E448" s="827"/>
      <c r="F448" s="1003"/>
      <c r="G448" s="615"/>
      <c r="H448" s="616"/>
      <c r="I448" s="616"/>
    </row>
    <row r="449" spans="1:9" ht="12" customHeight="1">
      <c r="A449" s="967"/>
      <c r="B449" s="1421" t="s">
        <v>2316</v>
      </c>
      <c r="C449" s="749" t="s">
        <v>2875</v>
      </c>
      <c r="D449" s="828">
        <v>1</v>
      </c>
      <c r="E449" s="829">
        <v>0</v>
      </c>
      <c r="F449" s="1003"/>
      <c r="G449" s="615"/>
      <c r="H449" s="616"/>
      <c r="I449" s="616"/>
    </row>
    <row r="450" spans="1:9" ht="14">
      <c r="A450" s="967"/>
      <c r="B450" s="1423"/>
      <c r="C450" s="830"/>
      <c r="D450" s="749"/>
      <c r="E450" s="829"/>
      <c r="F450" s="1003"/>
      <c r="G450" s="615"/>
      <c r="H450" s="616"/>
      <c r="I450" s="616"/>
    </row>
    <row r="451" spans="1:9" ht="14">
      <c r="A451" s="968"/>
      <c r="B451" s="1424"/>
      <c r="C451" s="831"/>
      <c r="D451" s="787"/>
      <c r="E451" s="832"/>
      <c r="F451" s="1013"/>
      <c r="G451" s="638"/>
      <c r="H451" s="723"/>
      <c r="I451" s="723"/>
    </row>
    <row r="452" spans="1:9" ht="14">
      <c r="A452" s="595"/>
      <c r="B452" s="596"/>
      <c r="C452" s="833"/>
      <c r="D452" s="834"/>
      <c r="E452" s="835"/>
      <c r="F452" s="1014"/>
      <c r="G452" s="613"/>
      <c r="H452" s="725"/>
      <c r="I452" s="725"/>
    </row>
    <row r="453" spans="1:9" ht="14">
      <c r="A453" s="1278" t="s">
        <v>2317</v>
      </c>
      <c r="B453" s="1279"/>
      <c r="C453" s="1280"/>
      <c r="D453" s="836"/>
      <c r="E453" s="837"/>
      <c r="F453" s="1013"/>
      <c r="G453" s="838"/>
      <c r="H453" s="723"/>
      <c r="I453" s="723"/>
    </row>
    <row r="454" spans="1:9" ht="14">
      <c r="A454" s="994"/>
      <c r="B454" s="839" t="s">
        <v>157</v>
      </c>
      <c r="C454" s="822" t="s">
        <v>2874</v>
      </c>
      <c r="D454" s="823">
        <v>1</v>
      </c>
      <c r="E454" s="840">
        <v>0.10800000000000001</v>
      </c>
      <c r="F454" s="1014"/>
      <c r="G454" s="615"/>
      <c r="H454" s="725"/>
      <c r="I454" s="725"/>
    </row>
    <row r="455" spans="1:9" ht="12" customHeight="1">
      <c r="A455" s="994"/>
      <c r="B455" s="1421" t="s">
        <v>2313</v>
      </c>
      <c r="C455" s="614" t="s">
        <v>2314</v>
      </c>
      <c r="D455" s="828">
        <v>0.05</v>
      </c>
      <c r="E455" s="752">
        <v>0.10800000000000001</v>
      </c>
      <c r="F455" s="1003"/>
      <c r="G455" s="615"/>
      <c r="H455" s="616"/>
      <c r="I455" s="616"/>
    </row>
    <row r="456" spans="1:9" ht="14">
      <c r="A456" s="994"/>
      <c r="B456" s="1422"/>
      <c r="C456" s="614" t="s">
        <v>2315</v>
      </c>
      <c r="D456" s="828">
        <v>1</v>
      </c>
      <c r="E456" s="752">
        <v>4.0000000000000002E-4</v>
      </c>
      <c r="F456" s="1003"/>
      <c r="G456" s="615"/>
      <c r="H456" s="616"/>
      <c r="I456" s="616"/>
    </row>
    <row r="457" spans="1:9" ht="14">
      <c r="A457" s="994"/>
      <c r="B457" s="826"/>
      <c r="C457" s="614"/>
      <c r="D457" s="827"/>
      <c r="E457" s="827"/>
      <c r="F457" s="1003"/>
      <c r="G457" s="615"/>
      <c r="H457" s="616"/>
      <c r="I457" s="616"/>
    </row>
    <row r="458" spans="1:9" ht="14">
      <c r="A458" s="994"/>
      <c r="B458" s="826"/>
      <c r="C458" s="614"/>
      <c r="D458" s="827"/>
      <c r="E458" s="827"/>
      <c r="F458" s="1003"/>
      <c r="G458" s="615"/>
      <c r="H458" s="616"/>
      <c r="I458" s="616"/>
    </row>
    <row r="459" spans="1:9" ht="12" customHeight="1">
      <c r="A459" s="994"/>
      <c r="B459" s="1421" t="s">
        <v>2316</v>
      </c>
      <c r="C459" s="749" t="s">
        <v>2875</v>
      </c>
      <c r="D459" s="828">
        <v>1</v>
      </c>
      <c r="E459" s="752">
        <v>0</v>
      </c>
      <c r="F459" s="1003"/>
      <c r="G459" s="615"/>
      <c r="H459" s="616"/>
      <c r="I459" s="616"/>
    </row>
    <row r="460" spans="1:9" ht="14">
      <c r="A460" s="994"/>
      <c r="B460" s="1423"/>
      <c r="C460" s="830"/>
      <c r="D460" s="749"/>
      <c r="E460" s="827"/>
      <c r="F460" s="1003"/>
      <c r="G460" s="615"/>
      <c r="H460" s="616"/>
      <c r="I460" s="616"/>
    </row>
    <row r="461" spans="1:9" ht="14">
      <c r="A461" s="841"/>
      <c r="B461" s="1422"/>
      <c r="C461" s="830"/>
      <c r="D461" s="749"/>
      <c r="E461" s="827"/>
      <c r="F461" s="1003"/>
      <c r="G461" s="615"/>
      <c r="H461" s="616"/>
      <c r="I461" s="616"/>
    </row>
    <row r="462" spans="1:9" ht="12" customHeight="1">
      <c r="A462" s="841"/>
      <c r="B462" s="1443" t="s">
        <v>2299</v>
      </c>
      <c r="C462" s="765" t="s">
        <v>2318</v>
      </c>
      <c r="D462" s="842"/>
      <c r="E462" s="843"/>
      <c r="F462" s="1025"/>
      <c r="G462" s="844"/>
      <c r="H462" s="908"/>
      <c r="I462" s="908"/>
    </row>
    <row r="463" spans="1:9" ht="14">
      <c r="A463" s="994"/>
      <c r="B463" s="1444"/>
      <c r="C463" s="791" t="s">
        <v>2319</v>
      </c>
      <c r="D463" s="789"/>
      <c r="E463" s="790"/>
      <c r="F463" s="1003"/>
      <c r="G463" s="718"/>
      <c r="H463" s="616"/>
      <c r="I463" s="616"/>
    </row>
    <row r="464" spans="1:9" ht="14">
      <c r="A464" s="808"/>
      <c r="B464" s="809"/>
      <c r="C464" s="809"/>
      <c r="D464" s="600"/>
      <c r="E464" s="600"/>
      <c r="F464" s="1014"/>
      <c r="G464" s="613"/>
      <c r="H464" s="725"/>
      <c r="I464" s="725"/>
    </row>
    <row r="465" spans="1:9" ht="14">
      <c r="A465" s="845"/>
      <c r="B465" s="727"/>
      <c r="C465" s="540" t="s">
        <v>2320</v>
      </c>
      <c r="D465" s="830"/>
      <c r="E465" s="614"/>
      <c r="F465" s="1003"/>
      <c r="G465" s="615"/>
      <c r="H465" s="616"/>
      <c r="I465" s="616"/>
    </row>
    <row r="466" spans="1:9" ht="14">
      <c r="A466" s="845"/>
      <c r="B466" s="727"/>
      <c r="C466" s="540" t="s">
        <v>2302</v>
      </c>
      <c r="D466" s="830"/>
      <c r="E466" s="614"/>
      <c r="F466" s="1003"/>
      <c r="G466" s="615"/>
      <c r="H466" s="616"/>
      <c r="I466" s="616"/>
    </row>
    <row r="467" spans="1:9" ht="15" thickBot="1">
      <c r="A467" s="846"/>
      <c r="B467" s="847"/>
      <c r="C467" s="848" t="s">
        <v>2321</v>
      </c>
      <c r="D467" s="849"/>
      <c r="E467" s="850"/>
      <c r="F467" s="1026"/>
      <c r="G467" s="778"/>
      <c r="H467" s="851"/>
      <c r="I467" s="851"/>
    </row>
    <row r="468" spans="1:9" ht="15" thickTop="1">
      <c r="A468" s="994"/>
      <c r="B468" s="995"/>
      <c r="C468" s="995"/>
      <c r="D468" s="624"/>
      <c r="E468" s="624"/>
      <c r="F468" s="1015"/>
      <c r="G468" s="852"/>
      <c r="H468" s="852"/>
      <c r="I468" s="852"/>
    </row>
    <row r="469" spans="1:9" ht="14">
      <c r="A469" s="845"/>
      <c r="B469" s="727"/>
      <c r="C469" s="540" t="s">
        <v>2302</v>
      </c>
      <c r="D469" s="830"/>
      <c r="E469" s="614"/>
      <c r="F469" s="1003"/>
      <c r="G469" s="615"/>
      <c r="H469" s="616"/>
      <c r="I469" s="616"/>
    </row>
    <row r="470" spans="1:9" ht="14">
      <c r="A470" s="845"/>
      <c r="B470" s="727"/>
      <c r="C470" s="540" t="s">
        <v>2322</v>
      </c>
      <c r="D470" s="830"/>
      <c r="E470" s="827"/>
      <c r="F470" s="1003"/>
      <c r="G470" s="615"/>
      <c r="H470" s="616"/>
      <c r="I470" s="616"/>
    </row>
    <row r="471" spans="1:9" ht="14">
      <c r="A471" s="845"/>
      <c r="B471" s="727"/>
      <c r="C471" s="727"/>
      <c r="D471" s="614"/>
      <c r="E471" s="853">
        <v>154111000</v>
      </c>
      <c r="F471" s="1003"/>
      <c r="G471" s="615"/>
      <c r="H471" s="616"/>
      <c r="I471" s="616"/>
    </row>
    <row r="472" spans="1:9" ht="14">
      <c r="A472" s="855"/>
      <c r="B472" s="717"/>
      <c r="C472" s="717" t="s">
        <v>2324</v>
      </c>
      <c r="D472" s="856"/>
      <c r="E472" s="853">
        <v>154100000</v>
      </c>
      <c r="F472" s="1027"/>
      <c r="G472" s="857"/>
      <c r="H472" s="854"/>
      <c r="I472" s="854"/>
    </row>
    <row r="473" spans="1:9" ht="14">
      <c r="A473" s="1281"/>
      <c r="B473" s="1282"/>
      <c r="C473" s="1282"/>
      <c r="D473" s="860"/>
      <c r="E473" s="861">
        <v>11000</v>
      </c>
      <c r="F473" s="1016">
        <v>-3</v>
      </c>
      <c r="G473" s="862">
        <v>2506000</v>
      </c>
      <c r="H473" s="861">
        <v>-5</v>
      </c>
      <c r="I473" s="861">
        <v>-4</v>
      </c>
    </row>
    <row r="474" spans="1:9" ht="15" thickBot="1">
      <c r="G474" s="863"/>
      <c r="H474" s="864"/>
    </row>
    <row r="475" spans="1:9" ht="14">
      <c r="A475" s="866"/>
      <c r="B475" s="867"/>
      <c r="C475" s="868" t="s">
        <v>2325</v>
      </c>
      <c r="D475" s="869"/>
      <c r="E475" s="867"/>
      <c r="F475" s="886">
        <v>0</v>
      </c>
      <c r="G475" s="870" t="s">
        <v>2326</v>
      </c>
      <c r="H475" s="871">
        <v>6.1</v>
      </c>
      <c r="I475" s="871">
        <v>11.9</v>
      </c>
    </row>
    <row r="476" spans="1:9" ht="12" customHeight="1">
      <c r="A476" s="1451"/>
      <c r="B476" s="1445" t="s">
        <v>2327</v>
      </c>
      <c r="C476" s="872" t="s">
        <v>2328</v>
      </c>
      <c r="D476" s="717"/>
      <c r="E476" s="873"/>
      <c r="F476" s="1371">
        <v>0</v>
      </c>
      <c r="G476" s="874" t="s">
        <v>2337</v>
      </c>
      <c r="H476" s="1288">
        <v>3.22</v>
      </c>
      <c r="I476" s="1288">
        <v>3.77</v>
      </c>
    </row>
    <row r="477" spans="1:9" ht="14">
      <c r="A477" s="1452"/>
      <c r="B477" s="1446"/>
      <c r="C477" s="1441" t="s">
        <v>2330</v>
      </c>
      <c r="D477" s="1411"/>
      <c r="E477" s="876"/>
      <c r="F477" s="891">
        <v>0</v>
      </c>
      <c r="G477" s="874" t="s">
        <v>2331</v>
      </c>
      <c r="H477" s="877">
        <v>0</v>
      </c>
      <c r="I477" s="877">
        <v>0</v>
      </c>
    </row>
    <row r="478" spans="1:9" ht="13.5" customHeight="1">
      <c r="A478" s="1452"/>
      <c r="B478" s="1446"/>
      <c r="C478" s="1442"/>
      <c r="D478" s="1047"/>
      <c r="E478" s="1412"/>
      <c r="F478" s="891">
        <v>0</v>
      </c>
      <c r="G478" s="874" t="s">
        <v>2332</v>
      </c>
      <c r="H478" s="877">
        <v>0</v>
      </c>
      <c r="I478" s="877">
        <v>0</v>
      </c>
    </row>
    <row r="479" spans="1:9" ht="14">
      <c r="A479" s="1452"/>
      <c r="B479" s="1446"/>
      <c r="C479" s="1441" t="s">
        <v>2333</v>
      </c>
      <c r="D479" s="1411"/>
      <c r="E479" s="876"/>
      <c r="F479" s="1028">
        <v>4.01</v>
      </c>
      <c r="G479" s="874" t="s">
        <v>2331</v>
      </c>
      <c r="H479" s="878">
        <v>4.01</v>
      </c>
      <c r="I479" s="878">
        <v>4.01</v>
      </c>
    </row>
    <row r="480" spans="1:9" ht="13.5" customHeight="1">
      <c r="A480" s="1453"/>
      <c r="B480" s="1413"/>
      <c r="C480" s="1442"/>
      <c r="D480" s="1047"/>
      <c r="E480" s="1412"/>
      <c r="F480" s="1028">
        <v>3.01</v>
      </c>
      <c r="G480" s="874" t="s">
        <v>2332</v>
      </c>
      <c r="H480" s="878">
        <v>3.01</v>
      </c>
      <c r="I480" s="878">
        <v>3.01</v>
      </c>
    </row>
    <row r="481" spans="1:9" ht="13.5" customHeight="1">
      <c r="A481" s="1419" t="s">
        <v>2334</v>
      </c>
      <c r="B481" s="1420"/>
      <c r="C481" s="1420"/>
      <c r="D481" s="1420"/>
      <c r="E481" s="1420"/>
      <c r="F481" s="1028">
        <v>3.01</v>
      </c>
      <c r="G481" s="992"/>
      <c r="H481" s="878">
        <v>3.22</v>
      </c>
      <c r="I481" s="878">
        <v>3.77</v>
      </c>
    </row>
    <row r="482" spans="1:9" ht="15" thickBot="1">
      <c r="A482" s="1429" t="s">
        <v>2335</v>
      </c>
      <c r="B482" s="1430"/>
      <c r="C482" s="1430"/>
      <c r="D482" s="1430"/>
      <c r="E482" s="1430"/>
      <c r="F482" s="1029">
        <v>0</v>
      </c>
      <c r="G482" s="993"/>
      <c r="H482" s="883">
        <v>2.25</v>
      </c>
      <c r="I482" s="883">
        <v>2.64</v>
      </c>
    </row>
    <row r="483" spans="1:9" ht="15" thickBot="1">
      <c r="F483" s="880"/>
      <c r="H483" s="880"/>
      <c r="I483" s="880"/>
    </row>
    <row r="484" spans="1:9" ht="14">
      <c r="A484" s="866"/>
      <c r="B484" s="867"/>
      <c r="C484" s="868" t="s">
        <v>2325</v>
      </c>
      <c r="D484" s="869"/>
      <c r="E484" s="867"/>
      <c r="F484" s="886">
        <v>0</v>
      </c>
      <c r="G484" s="870" t="s">
        <v>2326</v>
      </c>
      <c r="H484" s="871">
        <v>6.1</v>
      </c>
      <c r="I484" s="871">
        <v>11.9</v>
      </c>
    </row>
    <row r="485" spans="1:9" ht="12" customHeight="1">
      <c r="A485" s="1451"/>
      <c r="B485" s="1445" t="s">
        <v>2336</v>
      </c>
      <c r="C485" s="872" t="s">
        <v>2328</v>
      </c>
      <c r="D485" s="717"/>
      <c r="E485" s="873"/>
      <c r="F485" s="1371">
        <v>0</v>
      </c>
      <c r="G485" s="874" t="s">
        <v>2337</v>
      </c>
      <c r="H485" s="1288">
        <v>3.52</v>
      </c>
      <c r="I485" s="1288">
        <v>4.5999999999999996</v>
      </c>
    </row>
    <row r="486" spans="1:9" ht="14">
      <c r="A486" s="1452"/>
      <c r="B486" s="1446"/>
      <c r="C486" s="1441" t="s">
        <v>2338</v>
      </c>
      <c r="D486" s="1411"/>
      <c r="E486" s="876"/>
      <c r="F486" s="891">
        <v>0</v>
      </c>
      <c r="G486" s="874" t="s">
        <v>2331</v>
      </c>
      <c r="H486" s="877">
        <v>0</v>
      </c>
      <c r="I486" s="877">
        <v>0</v>
      </c>
    </row>
    <row r="487" spans="1:9" ht="13.5" customHeight="1">
      <c r="A487" s="1452"/>
      <c r="B487" s="1446"/>
      <c r="C487" s="1442"/>
      <c r="D487" s="1047"/>
      <c r="E487" s="1412"/>
      <c r="F487" s="891">
        <v>0</v>
      </c>
      <c r="G487" s="874" t="s">
        <v>2332</v>
      </c>
      <c r="H487" s="877">
        <v>0</v>
      </c>
      <c r="I487" s="877">
        <v>0</v>
      </c>
    </row>
    <row r="488" spans="1:9" ht="14">
      <c r="A488" s="1452"/>
      <c r="B488" s="1446"/>
      <c r="C488" s="1441" t="s">
        <v>2339</v>
      </c>
      <c r="D488" s="1411"/>
      <c r="E488" s="876"/>
      <c r="F488" s="1028">
        <v>4.7699999999999996</v>
      </c>
      <c r="G488" s="874" t="s">
        <v>2331</v>
      </c>
      <c r="H488" s="878">
        <v>4.7699999999999996</v>
      </c>
      <c r="I488" s="878">
        <v>4.7699999999999996</v>
      </c>
    </row>
    <row r="489" spans="1:9" ht="13.5" customHeight="1">
      <c r="A489" s="1453"/>
      <c r="B489" s="1413"/>
      <c r="C489" s="1442"/>
      <c r="D489" s="1047"/>
      <c r="E489" s="1412"/>
      <c r="F489" s="1028">
        <v>2.82</v>
      </c>
      <c r="G489" s="874" t="s">
        <v>2332</v>
      </c>
      <c r="H489" s="878">
        <v>2.82</v>
      </c>
      <c r="I489" s="878">
        <v>2.82</v>
      </c>
    </row>
    <row r="490" spans="1:9" ht="13.5" customHeight="1">
      <c r="A490" s="1419" t="s">
        <v>2334</v>
      </c>
      <c r="B490" s="1420"/>
      <c r="C490" s="1420"/>
      <c r="D490" s="1420"/>
      <c r="E490" s="1420"/>
      <c r="F490" s="1030">
        <v>2.82</v>
      </c>
      <c r="G490" s="992"/>
      <c r="H490" s="881">
        <v>3.52</v>
      </c>
      <c r="I490" s="881">
        <v>4.5999999999999996</v>
      </c>
    </row>
    <row r="491" spans="1:9" ht="15" thickBot="1">
      <c r="A491" s="1429" t="s">
        <v>2335</v>
      </c>
      <c r="B491" s="1430"/>
      <c r="C491" s="1430"/>
      <c r="D491" s="1430"/>
      <c r="E491" s="1430"/>
      <c r="F491" s="1029">
        <v>0</v>
      </c>
      <c r="G491" s="993"/>
      <c r="H491" s="883">
        <v>2.46</v>
      </c>
      <c r="I491" s="883">
        <v>3.22</v>
      </c>
    </row>
    <row r="492" spans="1:9" ht="15" thickBot="1"/>
    <row r="493" spans="1:9" ht="14">
      <c r="A493" s="866"/>
      <c r="B493" s="867"/>
      <c r="C493" s="868" t="s">
        <v>2340</v>
      </c>
      <c r="D493" s="869"/>
      <c r="E493" s="867"/>
      <c r="F493" s="886">
        <v>0</v>
      </c>
      <c r="G493" s="870" t="s">
        <v>2326</v>
      </c>
      <c r="H493" s="871">
        <v>6.1</v>
      </c>
      <c r="I493" s="871">
        <v>11.9</v>
      </c>
    </row>
    <row r="494" spans="1:9" ht="12" customHeight="1">
      <c r="A494" s="1451"/>
      <c r="B494" s="1445" t="s">
        <v>2327</v>
      </c>
      <c r="C494" s="872" t="s">
        <v>2341</v>
      </c>
      <c r="D494" s="717"/>
      <c r="E494" s="873"/>
      <c r="F494" s="1371">
        <v>0</v>
      </c>
      <c r="G494" s="874" t="s">
        <v>2876</v>
      </c>
      <c r="H494" s="1288">
        <v>8.1199999999999992</v>
      </c>
      <c r="I494" s="1288">
        <v>12.02</v>
      </c>
    </row>
    <row r="495" spans="1:9" ht="14">
      <c r="A495" s="1452"/>
      <c r="B495" s="1446"/>
      <c r="C495" s="1441" t="s">
        <v>2343</v>
      </c>
      <c r="D495" s="1411"/>
      <c r="E495" s="876"/>
      <c r="F495" s="891">
        <v>0</v>
      </c>
      <c r="G495" s="874" t="s">
        <v>2331</v>
      </c>
      <c r="H495" s="877">
        <v>0</v>
      </c>
      <c r="I495" s="877">
        <v>0</v>
      </c>
    </row>
    <row r="496" spans="1:9" ht="13.5" customHeight="1">
      <c r="A496" s="1452"/>
      <c r="B496" s="1446"/>
      <c r="C496" s="1442"/>
      <c r="D496" s="1047"/>
      <c r="E496" s="1412"/>
      <c r="F496" s="891">
        <v>0</v>
      </c>
      <c r="G496" s="874" t="s">
        <v>2332</v>
      </c>
      <c r="H496" s="877">
        <v>0</v>
      </c>
      <c r="I496" s="877">
        <v>0</v>
      </c>
    </row>
    <row r="497" spans="1:9" ht="14">
      <c r="A497" s="1452"/>
      <c r="B497" s="1446"/>
      <c r="C497" s="1441" t="s">
        <v>2344</v>
      </c>
      <c r="D497" s="1411"/>
      <c r="E497" s="876"/>
      <c r="F497" s="1028">
        <v>14</v>
      </c>
      <c r="G497" s="874" t="s">
        <v>2331</v>
      </c>
      <c r="H497" s="878">
        <v>14</v>
      </c>
      <c r="I497" s="878">
        <v>14</v>
      </c>
    </row>
    <row r="498" spans="1:9" ht="13.5" customHeight="1">
      <c r="A498" s="1453"/>
      <c r="B498" s="1413"/>
      <c r="C498" s="1442"/>
      <c r="D498" s="1047"/>
      <c r="E498" s="1412"/>
      <c r="F498" s="1028">
        <v>6.96</v>
      </c>
      <c r="G498" s="874" t="s">
        <v>2332</v>
      </c>
      <c r="H498" s="878">
        <v>6.96</v>
      </c>
      <c r="I498" s="878">
        <v>6.96</v>
      </c>
    </row>
    <row r="499" spans="1:9" ht="15" thickBot="1">
      <c r="A499" s="1449" t="s">
        <v>2345</v>
      </c>
      <c r="B499" s="1450"/>
      <c r="C499" s="1450"/>
      <c r="D499" s="1450"/>
      <c r="E499" s="1181"/>
      <c r="F499" s="1029">
        <v>6.96</v>
      </c>
      <c r="G499" s="882"/>
      <c r="H499" s="883">
        <v>8.1199999999999992</v>
      </c>
      <c r="I499" s="883">
        <v>12.02</v>
      </c>
    </row>
    <row r="500" spans="1:9" ht="15" thickBot="1">
      <c r="F500" s="880"/>
      <c r="H500" s="880"/>
      <c r="I500" s="880"/>
    </row>
    <row r="501" spans="1:9" ht="14">
      <c r="A501" s="866"/>
      <c r="B501" s="867"/>
      <c r="C501" s="868" t="s">
        <v>2340</v>
      </c>
      <c r="D501" s="869"/>
      <c r="E501" s="867"/>
      <c r="F501" s="886">
        <v>0</v>
      </c>
      <c r="G501" s="870" t="s">
        <v>2326</v>
      </c>
      <c r="H501" s="871">
        <v>6.1</v>
      </c>
      <c r="I501" s="871">
        <v>11.9</v>
      </c>
    </row>
    <row r="502" spans="1:9" ht="12" customHeight="1">
      <c r="A502" s="1451"/>
      <c r="B502" s="1447" t="s">
        <v>2336</v>
      </c>
      <c r="C502" s="872" t="s">
        <v>2341</v>
      </c>
      <c r="D502" s="717"/>
      <c r="E502" s="873"/>
      <c r="F502" s="1371">
        <v>0</v>
      </c>
      <c r="G502" s="874" t="s">
        <v>2876</v>
      </c>
      <c r="H502" s="1288">
        <v>8.39</v>
      </c>
      <c r="I502" s="1288">
        <v>12.34</v>
      </c>
    </row>
    <row r="503" spans="1:9" ht="14">
      <c r="A503" s="1452"/>
      <c r="B503" s="1454"/>
      <c r="C503" s="1441" t="s">
        <v>2346</v>
      </c>
      <c r="D503" s="1411"/>
      <c r="E503" s="876"/>
      <c r="F503" s="891">
        <v>0</v>
      </c>
      <c r="G503" s="874" t="s">
        <v>2331</v>
      </c>
      <c r="H503" s="877">
        <v>0</v>
      </c>
      <c r="I503" s="877">
        <v>0</v>
      </c>
    </row>
    <row r="504" spans="1:9" ht="13.5" customHeight="1">
      <c r="A504" s="1452"/>
      <c r="B504" s="1454"/>
      <c r="C504" s="1442"/>
      <c r="D504" s="1047"/>
      <c r="E504" s="1412"/>
      <c r="F504" s="891">
        <v>0</v>
      </c>
      <c r="G504" s="874" t="s">
        <v>2332</v>
      </c>
      <c r="H504" s="877">
        <v>0</v>
      </c>
      <c r="I504" s="877">
        <v>0</v>
      </c>
    </row>
    <row r="505" spans="1:9" ht="14">
      <c r="A505" s="1452"/>
      <c r="B505" s="1454"/>
      <c r="C505" s="1441" t="s">
        <v>2347</v>
      </c>
      <c r="D505" s="1411"/>
      <c r="E505" s="876"/>
      <c r="F505" s="1028">
        <v>12.99</v>
      </c>
      <c r="G505" s="874" t="s">
        <v>2331</v>
      </c>
      <c r="H505" s="878">
        <v>12.99</v>
      </c>
      <c r="I505" s="878">
        <v>12.99</v>
      </c>
    </row>
    <row r="506" spans="1:9" ht="13.5" customHeight="1">
      <c r="A506" s="1453"/>
      <c r="B506" s="1415"/>
      <c r="C506" s="1442"/>
      <c r="D506" s="1047"/>
      <c r="E506" s="1412"/>
      <c r="F506" s="1028">
        <v>6.14</v>
      </c>
      <c r="G506" s="874" t="s">
        <v>2332</v>
      </c>
      <c r="H506" s="878">
        <v>6.14</v>
      </c>
      <c r="I506" s="878">
        <v>6.14</v>
      </c>
    </row>
    <row r="507" spans="1:9" ht="15" thickBot="1">
      <c r="A507" s="1449" t="s">
        <v>2345</v>
      </c>
      <c r="B507" s="1450"/>
      <c r="C507" s="1450"/>
      <c r="D507" s="1450"/>
      <c r="E507" s="884"/>
      <c r="F507" s="895">
        <v>6.14</v>
      </c>
      <c r="G507" s="882"/>
      <c r="H507" s="885">
        <v>8.39</v>
      </c>
      <c r="I507" s="885">
        <v>12.34</v>
      </c>
    </row>
    <row r="508" spans="1:9" ht="15" thickBot="1"/>
    <row r="509" spans="1:9" ht="14">
      <c r="A509" s="866"/>
      <c r="B509" s="867"/>
      <c r="C509" s="868" t="s">
        <v>2348</v>
      </c>
      <c r="D509" s="869"/>
      <c r="E509" s="867"/>
      <c r="F509" s="997"/>
      <c r="G509" s="870"/>
      <c r="H509" s="886"/>
      <c r="I509" s="887"/>
    </row>
    <row r="510" spans="1:9" ht="12" customHeight="1">
      <c r="A510" s="1451"/>
      <c r="B510" s="1447" t="s">
        <v>77</v>
      </c>
      <c r="C510" s="872" t="s">
        <v>2349</v>
      </c>
      <c r="D510" s="717"/>
      <c r="E510" s="873"/>
      <c r="F510" s="1000"/>
      <c r="G510" s="874" t="s">
        <v>2877</v>
      </c>
      <c r="H510" s="888">
        <v>10.8</v>
      </c>
      <c r="I510" s="889"/>
    </row>
    <row r="511" spans="1:9" ht="13.5" customHeight="1">
      <c r="A511" s="1452"/>
      <c r="B511" s="1448"/>
      <c r="C511" s="1441" t="s">
        <v>2351</v>
      </c>
      <c r="D511" s="1411"/>
      <c r="E511" s="1411"/>
      <c r="F511" s="893"/>
      <c r="G511" s="890"/>
      <c r="H511" s="891">
        <v>0</v>
      </c>
      <c r="I511" s="892"/>
    </row>
    <row r="512" spans="1:9" ht="14">
      <c r="A512" s="1453"/>
      <c r="B512" s="1416"/>
      <c r="C512" s="1441" t="s">
        <v>2352</v>
      </c>
      <c r="D512" s="1411"/>
      <c r="E512" s="717"/>
      <c r="F512" s="998"/>
      <c r="G512" s="890"/>
      <c r="H512" s="891">
        <v>0</v>
      </c>
      <c r="I512" s="894"/>
    </row>
    <row r="513" spans="1:9" ht="15" thickBot="1">
      <c r="A513" s="1449" t="s">
        <v>2353</v>
      </c>
      <c r="B513" s="1450"/>
      <c r="C513" s="1450"/>
      <c r="D513" s="1450"/>
      <c r="E513" s="884"/>
      <c r="F513" s="999"/>
      <c r="G513" s="882"/>
      <c r="H513" s="895">
        <v>10.8</v>
      </c>
      <c r="I513" s="896"/>
    </row>
  </sheetData>
  <sheetProtection selectLockedCells="1" selectUnlockedCells="1"/>
  <mergeCells count="1">
    <mergeCell ref="C13:F14"/>
  </mergeCells>
  <phoneticPr fontId="6"/>
  <conditionalFormatting sqref="G305">
    <cfRule type="expression" dxfId="6" priority="1" stopIfTrue="1">
      <formula>AND($F$115&gt;5000000,OR($E$89="無し",$E$89="なし"))</formula>
    </cfRule>
  </conditionalFormatting>
  <conditionalFormatting sqref="G12">
    <cfRule type="expression" dxfId="5" priority="2" stopIfTrue="1">
      <formula>AND($G$115&gt;5000000,OR($E$89="無し",$E$89="なし"))</formula>
    </cfRule>
  </conditionalFormatting>
  <conditionalFormatting sqref="A12">
    <cfRule type="expression" dxfId="4" priority="3" stopIfTrue="1">
      <formula>AND($G$115&gt;5000000,OR($E$89="無し",$E$89="なし"))</formula>
    </cfRule>
  </conditionalFormatting>
  <dataValidations count="4">
    <dataValidation type="list" allowBlank="1" showInputMessage="1" showErrorMessage="1" sqref="H13:I13 H307:I307 F307 H91:I91" xr:uid="{00000000-0002-0000-0500-000000000000}">
      <formula1>"駅施設,地上建物"</formula1>
    </dataValidation>
    <dataValidation type="list" allowBlank="1" showInputMessage="1" showErrorMessage="1" sqref="H11:I11 F11 H87:I87" xr:uid="{00000000-0002-0000-0500-000001000000}">
      <formula1>"改修,新営"</formula1>
    </dataValidation>
    <dataValidation type="list" allowBlank="1" showInputMessage="1" showErrorMessage="1" sqref="H12:I12 H90:I90 F306 F12 H306:I306" xr:uid="{00000000-0002-0000-0500-000002000000}">
      <formula1>"積上げ,積上げ・率処理併用"</formula1>
    </dataValidation>
    <dataValidation type="list" allowBlank="1" showInputMessage="1" showErrorMessage="1" sqref="E304:E305 H14:I14 H308:I308 F308 H92:I92 D3 H301" xr:uid="{00000000-0002-0000-05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46" fitToHeight="3" orientation="landscape" cellComments="asDisplayed" horizontalDpi="300" verticalDpi="300" r:id="rId1"/>
  <headerFooter alignWithMargins="0"/>
  <rowBreaks count="8" manualBreakCount="8">
    <brk id="83" max="16383" man="1"/>
    <brk id="138" max="16383" man="1"/>
    <brk id="177" max="16383" man="1"/>
    <brk id="218" max="16383" man="1"/>
    <brk id="298" max="16383" man="1"/>
    <brk id="354" max="16383" man="1"/>
    <brk id="394" max="9" man="1"/>
    <brk id="434" max="16383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1"/>
  <dimension ref="A1:N126"/>
  <sheetViews>
    <sheetView view="pageBreakPreview" zoomScale="80" zoomScaleNormal="80" zoomScaleSheetLayoutView="80" workbookViewId="0"/>
  </sheetViews>
  <sheetFormatPr baseColWidth="10" defaultColWidth="9" defaultRowHeight="13.5" customHeight="1"/>
  <cols>
    <col min="1" max="1" width="3.1640625" style="464" customWidth="1"/>
    <col min="2" max="2" width="8.1640625" style="464" customWidth="1"/>
    <col min="3" max="3" width="8" style="464" customWidth="1"/>
    <col min="4" max="4" width="13.83203125" style="464" customWidth="1"/>
    <col min="5" max="5" width="4.33203125" style="464" customWidth="1"/>
    <col min="6" max="6" width="45.1640625" style="464" customWidth="1"/>
    <col min="7" max="7" width="15.33203125" style="464" customWidth="1"/>
    <col min="8" max="9" width="14.33203125" style="542" customWidth="1"/>
    <col min="10" max="10" width="8.5" style="463" bestFit="1" customWidth="1"/>
    <col min="11" max="11" width="9" style="463"/>
    <col min="12" max="12" width="31" style="463" customWidth="1"/>
    <col min="13" max="13" width="27.33203125" style="463" customWidth="1"/>
    <col min="14" max="14" width="9" style="463"/>
    <col min="15" max="16384" width="9" style="464"/>
  </cols>
  <sheetData>
    <row r="1" spans="1:14" ht="27.75" customHeight="1" thickTop="1" thickBot="1">
      <c r="A1" s="1456">
        <f>IF(表紙!V12="初回",変更諸経費表!A3,'変更諸経費表 (第2回変更以降)'!A3)</f>
        <v>0</v>
      </c>
      <c r="B1" s="1118"/>
      <c r="C1" s="463"/>
      <c r="D1" s="1135" t="s">
        <v>2162</v>
      </c>
      <c r="E1" s="1135" t="str">
        <f>表紙!D12</f>
        <v>地下空間の大規模改革に伴う基本設計その他業務委託（4号線谷町四丁目外5駅の部）</v>
      </c>
      <c r="F1" s="1136"/>
      <c r="G1" s="1131" t="s">
        <v>2860</v>
      </c>
      <c r="H1" s="563" t="str">
        <f>IF(表紙!$V$12="初回",変更諸経費表!H$2,IF(表紙!$V$12="２回目以降",'変更諸経費表 (第2回変更以降)'!H$2,""))</f>
        <v/>
      </c>
      <c r="I1" s="563" t="str">
        <f>IF(表紙!$V$12="初回",変更諸経費表!I$2,IF(表紙!$V$12="２回目以降",'変更諸経費表 (第2回変更以降)'!I$2,""))</f>
        <v/>
      </c>
      <c r="J1" s="1149" t="s">
        <v>2878</v>
      </c>
      <c r="L1" s="2187" t="s">
        <v>2980</v>
      </c>
      <c r="M1" s="2215"/>
    </row>
    <row r="2" spans="1:14" ht="13.5" customHeight="1" thickTop="1">
      <c r="A2" s="1456">
        <f>+MATCH("FixColumn",3:3,0)</f>
        <v>10</v>
      </c>
      <c r="B2" s="462"/>
      <c r="E2" s="1069"/>
      <c r="F2" s="1386" t="str">
        <f>表紙!E14</f>
        <v>第1回設計変更工事費内訳書</v>
      </c>
      <c r="G2" s="1363" t="s">
        <v>2750</v>
      </c>
      <c r="H2" s="1362" t="str">
        <f t="shared" ref="H2:I2" si="0">IF(H1&gt;0,CONCATENATE("工事",H1),"")</f>
        <v>工事</v>
      </c>
      <c r="I2" s="1362" t="str">
        <f t="shared" si="0"/>
        <v>工事</v>
      </c>
      <c r="L2" s="1735"/>
      <c r="M2" s="1732"/>
    </row>
    <row r="3" spans="1:14" ht="13.5" customHeight="1">
      <c r="A3" s="1294"/>
      <c r="B3" s="1295" t="s">
        <v>2943</v>
      </c>
      <c r="C3" s="1296" t="str">
        <f>IF(表紙!$V$12="初回",変更諸経費表!$G$4,IF(表紙!$V$12="２回目以降",'変更諸経費表 (第2回変更以降)'!$G$4,""))</f>
        <v/>
      </c>
      <c r="D3" s="1295" t="s">
        <v>2749</v>
      </c>
      <c r="E3" s="1296">
        <v>3</v>
      </c>
      <c r="F3" s="1361" t="str">
        <f>CONCATENATE("資産クラス分割表　第",F2,"回変更（設計価格）")</f>
        <v>資産クラス分割表　第第1回設計変更工事費内訳書回変更（設計価格）</v>
      </c>
      <c r="G3" s="1363" t="s">
        <v>2751</v>
      </c>
      <c r="H3" s="1362" t="str">
        <f>IF(表紙!$V$12="初回",変更諸経費表!H$5,IF(表紙!$V$12="２回目以降",'変更諸経費表 (第2回変更以降)'!H$5,""))</f>
        <v/>
      </c>
      <c r="I3" s="1362" t="str">
        <f>IF(表紙!$V$12="初回",変更諸経費表!I$5,IF(表紙!$V$12="２回目以降",'変更諸経費表 (第2回変更以降)'!I$5,""))</f>
        <v/>
      </c>
      <c r="J3" s="1728" t="s">
        <v>2881</v>
      </c>
      <c r="L3" s="1735" t="s">
        <v>2981</v>
      </c>
      <c r="M3" s="1732"/>
    </row>
    <row r="4" spans="1:14" ht="13.5" customHeight="1">
      <c r="A4" s="1048"/>
      <c r="B4" s="1049"/>
      <c r="C4" s="1050"/>
      <c r="D4" s="1051"/>
      <c r="E4" s="1052"/>
      <c r="F4" s="1321" t="s">
        <v>2888</v>
      </c>
      <c r="G4" s="1297" t="s">
        <v>2889</v>
      </c>
      <c r="H4" s="465"/>
      <c r="I4" s="465"/>
      <c r="L4" s="1735" t="s">
        <v>2983</v>
      </c>
      <c r="M4" s="1732"/>
    </row>
    <row r="5" spans="1:14" s="472" customFormat="1" ht="13.5" customHeight="1">
      <c r="A5" s="466"/>
      <c r="B5" s="467"/>
      <c r="C5" s="468"/>
      <c r="D5" s="564" t="s">
        <v>323</v>
      </c>
      <c r="E5" s="470"/>
      <c r="F5" s="1322"/>
      <c r="G5" s="1298">
        <f t="shared" ref="G5:G19" si="1">SUM(H5:J5)</f>
        <v>0</v>
      </c>
      <c r="H5" s="487" t="str">
        <f>IF(H$1&gt;0,IF(表紙!$V$12="初回",HLOOKUP(H$2,変更諸経費表!$3:$83,14,FALSE),IF(表紙!$V$12="２回目以降",HLOOKUP(H$2,'変更諸経費表 (第2回変更以降)'!$3:$83,14,FALSE),"0")),0)</f>
        <v>0</v>
      </c>
      <c r="I5" s="487" t="str">
        <f>IF(I$1&gt;0,IF(表紙!$V$12="初回",HLOOKUP(I$2,変更諸経費表!$3:$83,14,FALSE),IF(表紙!$V$12="２回目以降",HLOOKUP(I$2,'変更諸経費表 (第2回変更以降)'!$3:$83,14,FALSE),"0")),0)</f>
        <v>0</v>
      </c>
      <c r="J5" s="471"/>
      <c r="K5" s="471"/>
      <c r="L5" s="1736" t="s">
        <v>2982</v>
      </c>
      <c r="M5" s="1732"/>
      <c r="N5" s="471"/>
    </row>
    <row r="6" spans="1:14" s="472" customFormat="1" ht="13.5" customHeight="1">
      <c r="A6" s="466"/>
      <c r="B6" s="467"/>
      <c r="C6" s="473"/>
      <c r="D6" s="474"/>
      <c r="E6" s="475"/>
      <c r="F6" s="1323" t="s">
        <v>2160</v>
      </c>
      <c r="G6" s="1299">
        <f t="shared" ca="1" si="1"/>
        <v>0</v>
      </c>
      <c r="H6" s="476">
        <f t="shared" ref="H6:I6" ca="1" si="2">IFERROR(SUMIF(INDIRECT(H$2&amp;"!$ｄ:$ｄ"),$F$6,INDIRECT(H$2&amp;"!$i:$i")),0)</f>
        <v>0</v>
      </c>
      <c r="I6" s="476">
        <f t="shared" ca="1" si="2"/>
        <v>0</v>
      </c>
      <c r="J6" s="463"/>
      <c r="K6" s="471"/>
      <c r="L6" s="1737"/>
      <c r="M6" s="1732"/>
      <c r="N6" s="471"/>
    </row>
    <row r="7" spans="1:14" s="472" customFormat="1" ht="13.5" customHeight="1" thickBot="1">
      <c r="A7" s="466"/>
      <c r="B7" s="467"/>
      <c r="C7" s="473"/>
      <c r="D7" s="477"/>
      <c r="E7" s="478"/>
      <c r="F7" s="1324" t="s">
        <v>324</v>
      </c>
      <c r="G7" s="1300">
        <f t="shared" ca="1" si="1"/>
        <v>0</v>
      </c>
      <c r="H7" s="1121">
        <f t="shared" ref="H7:I7" ca="1" si="3">IFERROR(IF(H$1&gt;0,SUMIF(INDIRECT(H$2&amp;"!$ｄ:$ｄ"),$F7,INDIRECT(H$2&amp;"!$i:$i")),0),0)</f>
        <v>0</v>
      </c>
      <c r="I7" s="1121">
        <f t="shared" ca="1" si="3"/>
        <v>0</v>
      </c>
      <c r="J7" s="463"/>
      <c r="K7" s="471"/>
      <c r="L7" s="1733" t="s">
        <v>3101</v>
      </c>
      <c r="M7" s="1734"/>
      <c r="N7" s="471"/>
    </row>
    <row r="8" spans="1:14" s="472" customFormat="1" ht="13.5" customHeight="1" thickTop="1" thickBot="1">
      <c r="A8" s="466"/>
      <c r="B8" s="467"/>
      <c r="C8" s="473"/>
      <c r="D8" s="479"/>
      <c r="E8" s="480"/>
      <c r="F8" s="1325" t="s">
        <v>325</v>
      </c>
      <c r="G8" s="1301">
        <f t="shared" ca="1" si="1"/>
        <v>0</v>
      </c>
      <c r="H8" s="481">
        <f t="shared" ref="H8:I8" ca="1" si="4">H5-H6-H7</f>
        <v>0</v>
      </c>
      <c r="I8" s="481">
        <f t="shared" ca="1" si="4"/>
        <v>0</v>
      </c>
      <c r="J8" s="471"/>
      <c r="K8" s="471"/>
      <c r="L8" s="1738" t="s">
        <v>2979</v>
      </c>
      <c r="M8" s="1734">
        <v>0</v>
      </c>
      <c r="N8" s="471"/>
    </row>
    <row r="9" spans="1:14" s="472" customFormat="1" ht="13.5" customHeight="1" thickTop="1">
      <c r="A9" s="466"/>
      <c r="B9" s="467"/>
      <c r="C9" s="473"/>
      <c r="D9" s="482"/>
      <c r="E9" s="2221" t="s">
        <v>326</v>
      </c>
      <c r="F9" s="1326" t="s">
        <v>323</v>
      </c>
      <c r="G9" s="1302">
        <f t="shared" ca="1" si="1"/>
        <v>0</v>
      </c>
      <c r="H9" s="544">
        <f t="shared" ref="H9:I9" ca="1" si="5">H5-H12</f>
        <v>0</v>
      </c>
      <c r="I9" s="544">
        <f t="shared" ca="1" si="5"/>
        <v>0</v>
      </c>
      <c r="J9" s="471"/>
      <c r="K9" s="471"/>
      <c r="L9" s="471"/>
      <c r="M9" s="471"/>
      <c r="N9" s="471"/>
    </row>
    <row r="10" spans="1:14" s="472" customFormat="1" ht="13.5" customHeight="1">
      <c r="A10" s="466"/>
      <c r="B10" s="467"/>
      <c r="C10" s="473"/>
      <c r="D10" s="483"/>
      <c r="E10" s="2222"/>
      <c r="F10" s="1327" t="s">
        <v>327</v>
      </c>
      <c r="G10" s="1303">
        <f t="shared" ca="1" si="1"/>
        <v>0</v>
      </c>
      <c r="H10" s="545">
        <f t="shared" ref="H10:I11" ca="1" si="6">H7-H13</f>
        <v>0</v>
      </c>
      <c r="I10" s="545">
        <f t="shared" ca="1" si="6"/>
        <v>0</v>
      </c>
      <c r="J10" s="471"/>
      <c r="K10" s="471"/>
      <c r="L10" s="471"/>
      <c r="M10" s="471"/>
      <c r="N10" s="471"/>
    </row>
    <row r="11" spans="1:14" s="472" customFormat="1" ht="13.5" customHeight="1">
      <c r="A11" s="466"/>
      <c r="B11" s="467"/>
      <c r="C11" s="473"/>
      <c r="D11" s="483"/>
      <c r="E11" s="2223"/>
      <c r="F11" s="1325" t="s">
        <v>325</v>
      </c>
      <c r="G11" s="1301">
        <f t="shared" ca="1" si="1"/>
        <v>0</v>
      </c>
      <c r="H11" s="481">
        <f t="shared" ca="1" si="6"/>
        <v>0</v>
      </c>
      <c r="I11" s="481">
        <f t="shared" ref="I11" ca="1" si="7">I8-I14</f>
        <v>0</v>
      </c>
      <c r="J11" s="471"/>
      <c r="K11" s="471"/>
      <c r="L11" s="471"/>
      <c r="M11" s="471"/>
      <c r="N11" s="471"/>
    </row>
    <row r="12" spans="1:14" s="472" customFormat="1" ht="13.5" customHeight="1">
      <c r="A12" s="466"/>
      <c r="B12" s="467"/>
      <c r="C12" s="473"/>
      <c r="D12" s="484"/>
      <c r="E12" s="2221" t="s">
        <v>328</v>
      </c>
      <c r="F12" s="1326" t="s">
        <v>323</v>
      </c>
      <c r="G12" s="1304">
        <f t="shared" ca="1" si="1"/>
        <v>0</v>
      </c>
      <c r="H12" s="1122">
        <f t="shared" ref="H12:I12" ca="1" si="8">IFERROR(IF(H$1&gt;0,IF(H4="費用",H5,SUMIF(INDIRECT(H$2&amp;"!$ｊ:$ｊ"),"うち費用",INDIRECT(H$2&amp;"!$ｋ:$ｋ"))),0),0)</f>
        <v>0</v>
      </c>
      <c r="I12" s="1122">
        <f t="shared" ca="1" si="8"/>
        <v>0</v>
      </c>
      <c r="J12" s="471"/>
      <c r="K12" s="471"/>
      <c r="L12" s="471"/>
      <c r="M12" s="471"/>
      <c r="N12" s="471"/>
    </row>
    <row r="13" spans="1:14" s="472" customFormat="1" ht="13.5" customHeight="1">
      <c r="A13" s="466"/>
      <c r="B13" s="467"/>
      <c r="C13" s="473"/>
      <c r="D13" s="483"/>
      <c r="E13" s="2222"/>
      <c r="F13" s="1327" t="s">
        <v>327</v>
      </c>
      <c r="G13" s="1305">
        <f t="shared" ca="1" si="1"/>
        <v>0</v>
      </c>
      <c r="H13" s="1123">
        <f t="shared" ref="H13:I13" ca="1" si="9">IFERROR(IF(H$1&gt;0,IF(H4="費用",H7,SUMIF(INDIRECT(H$2&amp;"!$ｊ:$ｊ"),"）うち費用",INDIRECT(H$2&amp;"!$ｋ:$ｋ"))),0),0)</f>
        <v>0</v>
      </c>
      <c r="I13" s="1123">
        <f t="shared" ca="1" si="9"/>
        <v>0</v>
      </c>
      <c r="J13" s="471"/>
      <c r="K13" s="471"/>
      <c r="L13" s="471"/>
      <c r="M13" s="471"/>
      <c r="N13" s="471"/>
    </row>
    <row r="14" spans="1:14" s="472" customFormat="1" ht="13.5" customHeight="1">
      <c r="A14" s="466"/>
      <c r="B14" s="467"/>
      <c r="C14" s="473"/>
      <c r="D14" s="485"/>
      <c r="E14" s="2223"/>
      <c r="F14" s="1328" t="s">
        <v>325</v>
      </c>
      <c r="G14" s="1301">
        <f t="shared" ca="1" si="1"/>
        <v>0</v>
      </c>
      <c r="H14" s="481">
        <f t="shared" ref="H14:I14" ca="1" si="10">IF(H4="費用",H12-H13-H6,H12-H13)</f>
        <v>0</v>
      </c>
      <c r="I14" s="481">
        <f t="shared" ca="1" si="10"/>
        <v>0</v>
      </c>
      <c r="J14" s="471"/>
      <c r="K14" s="471"/>
      <c r="L14" s="471"/>
      <c r="M14" s="471"/>
      <c r="N14" s="471"/>
    </row>
    <row r="15" spans="1:14" s="472" customFormat="1" ht="13.5" customHeight="1">
      <c r="A15" s="466"/>
      <c r="B15" s="467"/>
      <c r="C15" s="486"/>
      <c r="D15" s="469" t="s">
        <v>329</v>
      </c>
      <c r="E15" s="470"/>
      <c r="F15" s="1322"/>
      <c r="G15" s="1298">
        <f t="shared" ca="1" si="1"/>
        <v>0</v>
      </c>
      <c r="H15" s="487">
        <f t="shared" ref="H15:I15" ca="1" si="11">SUM(H16:H18)</f>
        <v>0</v>
      </c>
      <c r="I15" s="487">
        <f t="shared" ca="1" si="11"/>
        <v>0</v>
      </c>
      <c r="J15" s="471"/>
      <c r="K15" s="471"/>
      <c r="L15" s="471"/>
      <c r="M15" s="471"/>
      <c r="N15" s="471"/>
    </row>
    <row r="16" spans="1:14" s="472" customFormat="1" ht="13.5" customHeight="1">
      <c r="A16" s="466"/>
      <c r="B16" s="467"/>
      <c r="C16" s="473"/>
      <c r="D16" s="474"/>
      <c r="E16" s="475"/>
      <c r="F16" s="1323" t="s">
        <v>330</v>
      </c>
      <c r="G16" s="1299">
        <f t="shared" ca="1" si="1"/>
        <v>0</v>
      </c>
      <c r="H16" s="476">
        <f t="shared" ref="H16:I16" ca="1" si="12">IFERROR(IF(H$1&gt;0,SUMIF(INDIRECT(H$2&amp;"!$ｄ:$ｄ"),"共通仮設費",INDIRECT(H$2&amp;"!$I:$ｉ")),0),0)</f>
        <v>0</v>
      </c>
      <c r="I16" s="476">
        <f t="shared" ca="1" si="12"/>
        <v>0</v>
      </c>
      <c r="J16" s="471"/>
      <c r="K16" s="471"/>
      <c r="L16" s="471"/>
      <c r="M16" s="471"/>
      <c r="N16" s="471"/>
    </row>
    <row r="17" spans="1:14" ht="13.5" customHeight="1">
      <c r="A17" s="466"/>
      <c r="B17" s="467"/>
      <c r="C17" s="473"/>
      <c r="D17" s="488"/>
      <c r="E17" s="489"/>
      <c r="F17" s="1329" t="s">
        <v>331</v>
      </c>
      <c r="G17" s="1306">
        <f t="shared" ca="1" si="1"/>
        <v>0</v>
      </c>
      <c r="H17" s="1123">
        <f t="shared" ref="H17:I17" ca="1" si="13">IFERROR(IF(H$1&gt;0,SUMIF(INDIRECT(H$2&amp;"!$ｄ:$ｄ"),"現場管理費",INDIRECT(H$2&amp;"!$I:$ｉ")),0),0)</f>
        <v>0</v>
      </c>
      <c r="I17" s="1123">
        <f t="shared" ca="1" si="13"/>
        <v>0</v>
      </c>
    </row>
    <row r="18" spans="1:14" ht="13.5" customHeight="1">
      <c r="A18" s="466"/>
      <c r="B18" s="467"/>
      <c r="C18" s="473"/>
      <c r="D18" s="479"/>
      <c r="E18" s="480"/>
      <c r="F18" s="1330" t="s">
        <v>332</v>
      </c>
      <c r="G18" s="1307">
        <f t="shared" ca="1" si="1"/>
        <v>0</v>
      </c>
      <c r="H18" s="1124">
        <f t="shared" ref="H18:I18" ca="1" si="14">IFERROR(IF(H$1&gt;0,SUMIF(INDIRECT(H$2&amp;"!$ｄ:$ｄ"),"一般管理費等",INDIRECT(H$2&amp;"!$I:$ｉ")),0),0)</f>
        <v>0</v>
      </c>
      <c r="I18" s="1124">
        <f t="shared" ca="1" si="14"/>
        <v>0</v>
      </c>
    </row>
    <row r="19" spans="1:14" s="490" customFormat="1" ht="13.5" customHeight="1">
      <c r="A19" s="491"/>
      <c r="B19" s="492"/>
      <c r="C19" s="493"/>
      <c r="D19" s="494" t="s">
        <v>333</v>
      </c>
      <c r="E19" s="495"/>
      <c r="F19" s="1331" t="s">
        <v>2882</v>
      </c>
      <c r="G19" s="1308">
        <f t="shared" ca="1" si="1"/>
        <v>0</v>
      </c>
      <c r="H19" s="1125">
        <f t="shared" ref="H19:I19" ca="1" si="15">IF(H1&gt;0,IF((H15+H5)&lt;0,ROUNDUP((H15+H5),-($E$3)),ROUNDDOWN((H15+H5),-($E$3))),0)</f>
        <v>0</v>
      </c>
      <c r="I19" s="1125">
        <f t="shared" ca="1" si="15"/>
        <v>0</v>
      </c>
      <c r="J19" s="496"/>
      <c r="K19" s="496"/>
      <c r="L19" s="496"/>
      <c r="M19" s="496"/>
      <c r="N19" s="496"/>
    </row>
    <row r="20" spans="1:14" s="490" customFormat="1" ht="13.5" customHeight="1">
      <c r="A20" s="497"/>
      <c r="B20" s="499"/>
      <c r="C20" s="546"/>
      <c r="D20" s="547"/>
      <c r="E20" s="499"/>
      <c r="F20" s="1332"/>
      <c r="G20" s="1062" t="str">
        <f>IF(表紙!$V$12="初回",IF(G$19=変更諸経費表!G$78,"","↑error"),IF(表紙!$V$12="２回目以降",IF(G$19='変更諸経費表 (第2回変更以降)'!G$78,"","↑error"),""))</f>
        <v/>
      </c>
      <c r="H20" s="1062" t="str">
        <f>IF(表紙!$V$12="初回",IF(H$19=変更諸経費表!H$78,"","↑error"),IF(表紙!$V$12="２回目以降",IF(H$19='変更諸経費表 (第2回変更以降)'!H$78,"","↑error"),""))</f>
        <v/>
      </c>
      <c r="I20" s="1062" t="str">
        <f>IF(表紙!$V$12="初回",IF(I$19=変更諸経費表!I$78,"","↑error"),IF(表紙!$V$12="２回目以降",IF(I$19='変更諸経費表 (第2回変更以降)'!I$78,"","↑error"),""))</f>
        <v/>
      </c>
      <c r="J20" s="496"/>
      <c r="K20" s="496"/>
      <c r="L20" s="496"/>
      <c r="M20" s="496"/>
      <c r="N20" s="496"/>
    </row>
    <row r="21" spans="1:14" s="490" customFormat="1" ht="13.5" customHeight="1">
      <c r="A21" s="498" t="s">
        <v>334</v>
      </c>
      <c r="B21" s="499"/>
      <c r="C21" s="500"/>
      <c r="D21" s="499"/>
      <c r="E21" s="2216" t="s">
        <v>335</v>
      </c>
      <c r="F21" s="1333"/>
      <c r="G21" s="1309" t="s">
        <v>336</v>
      </c>
      <c r="H21" s="501" t="s">
        <v>337</v>
      </c>
      <c r="I21" s="501" t="s">
        <v>2862</v>
      </c>
      <c r="J21" s="496"/>
      <c r="K21" s="496"/>
      <c r="L21" s="496"/>
      <c r="M21" s="496"/>
      <c r="N21" s="496"/>
    </row>
    <row r="22" spans="1:14" s="490" customFormat="1" ht="13.5" customHeight="1">
      <c r="A22" s="502"/>
      <c r="B22" s="2218" t="s">
        <v>338</v>
      </c>
      <c r="C22" s="2219"/>
      <c r="D22" s="2220"/>
      <c r="E22" s="2217"/>
      <c r="F22" s="1334"/>
      <c r="G22" s="1310" t="s">
        <v>2887</v>
      </c>
      <c r="H22" s="503"/>
      <c r="I22" s="503"/>
      <c r="J22" s="496"/>
      <c r="K22" s="496"/>
      <c r="L22" s="496"/>
      <c r="M22" s="496"/>
      <c r="N22" s="496"/>
    </row>
    <row r="23" spans="1:14" ht="13.5" customHeight="1">
      <c r="A23" s="466"/>
      <c r="B23" s="504"/>
      <c r="C23" s="505" t="s">
        <v>340</v>
      </c>
      <c r="D23" s="506" t="s">
        <v>341</v>
      </c>
      <c r="E23" s="507">
        <v>38</v>
      </c>
      <c r="F23" s="1335" t="s">
        <v>342</v>
      </c>
      <c r="G23" s="1311">
        <f t="shared" ref="G23:G54" ca="1" si="16">SUM(H23:J23)</f>
        <v>0</v>
      </c>
      <c r="H23" s="1122">
        <f ca="1">IF(OR(H$1=0,H$4="費用",H$22=入力規則マスタ!$K10,H126="附帯"),0,H11-SUM(H24:H31)-SUM(H59:H77)-H117-H99)</f>
        <v>0</v>
      </c>
      <c r="I23" s="1122">
        <f ca="1">IF(OR(I$1=0,I$4="費用",I$22=入力規則マスタ!$K10,I126="附帯"),0,I11-SUM(I24:I31)-SUM(I59:I77)-I117-I99)</f>
        <v>0</v>
      </c>
    </row>
    <row r="24" spans="1:14" ht="13.5" customHeight="1">
      <c r="A24" s="466"/>
      <c r="B24" s="467"/>
      <c r="C24" s="508" t="s">
        <v>343</v>
      </c>
      <c r="D24" s="509" t="s">
        <v>341</v>
      </c>
      <c r="E24" s="510">
        <v>34</v>
      </c>
      <c r="F24" s="1336" t="s">
        <v>344</v>
      </c>
      <c r="G24" s="1312">
        <f t="shared" si="16"/>
        <v>0</v>
      </c>
      <c r="H24" s="1119"/>
      <c r="I24" s="1119"/>
    </row>
    <row r="25" spans="1:14" ht="13.5" customHeight="1">
      <c r="A25" s="466"/>
      <c r="B25" s="467"/>
      <c r="C25" s="505" t="s">
        <v>345</v>
      </c>
      <c r="D25" s="509" t="s">
        <v>341</v>
      </c>
      <c r="E25" s="510">
        <v>31</v>
      </c>
      <c r="F25" s="1336" t="s">
        <v>346</v>
      </c>
      <c r="G25" s="1312">
        <f t="shared" si="16"/>
        <v>0</v>
      </c>
      <c r="H25" s="1119"/>
      <c r="I25" s="1119"/>
    </row>
    <row r="26" spans="1:14" ht="13.5" customHeight="1">
      <c r="A26" s="466"/>
      <c r="B26" s="467"/>
      <c r="C26" s="508" t="s">
        <v>347</v>
      </c>
      <c r="D26" s="509" t="s">
        <v>341</v>
      </c>
      <c r="E26" s="510">
        <v>25</v>
      </c>
      <c r="F26" s="1336" t="s">
        <v>348</v>
      </c>
      <c r="G26" s="1312">
        <f t="shared" si="16"/>
        <v>0</v>
      </c>
      <c r="H26" s="1119"/>
      <c r="I26" s="1119"/>
    </row>
    <row r="27" spans="1:14" ht="13.5" customHeight="1">
      <c r="A27" s="466"/>
      <c r="B27" s="467"/>
      <c r="C27" s="505" t="s">
        <v>349</v>
      </c>
      <c r="D27" s="509" t="s">
        <v>341</v>
      </c>
      <c r="E27" s="510">
        <v>19</v>
      </c>
      <c r="F27" s="1336" t="s">
        <v>350</v>
      </c>
      <c r="G27" s="1312">
        <f t="shared" si="16"/>
        <v>0</v>
      </c>
      <c r="H27" s="1119"/>
      <c r="I27" s="1119"/>
    </row>
    <row r="28" spans="1:14" ht="13.5" customHeight="1">
      <c r="A28" s="466"/>
      <c r="B28" s="467"/>
      <c r="C28" s="508" t="s">
        <v>351</v>
      </c>
      <c r="D28" s="509" t="s">
        <v>341</v>
      </c>
      <c r="E28" s="510">
        <v>17</v>
      </c>
      <c r="F28" s="1336" t="s">
        <v>352</v>
      </c>
      <c r="G28" s="1312">
        <f t="shared" si="16"/>
        <v>0</v>
      </c>
      <c r="H28" s="1119"/>
      <c r="I28" s="1119"/>
    </row>
    <row r="29" spans="1:14" ht="13.5" customHeight="1">
      <c r="A29" s="466"/>
      <c r="B29" s="467"/>
      <c r="C29" s="505" t="s">
        <v>353</v>
      </c>
      <c r="D29" s="509" t="s">
        <v>341</v>
      </c>
      <c r="E29" s="510">
        <v>15</v>
      </c>
      <c r="F29" s="1336" t="s">
        <v>354</v>
      </c>
      <c r="G29" s="1312">
        <f t="shared" si="16"/>
        <v>0</v>
      </c>
      <c r="H29" s="1119"/>
      <c r="I29" s="1119"/>
    </row>
    <row r="30" spans="1:14" ht="13.5" customHeight="1">
      <c r="A30" s="466"/>
      <c r="B30" s="467"/>
      <c r="C30" s="508" t="s">
        <v>355</v>
      </c>
      <c r="D30" s="509" t="s">
        <v>341</v>
      </c>
      <c r="E30" s="510">
        <v>10</v>
      </c>
      <c r="F30" s="1336" t="s">
        <v>356</v>
      </c>
      <c r="G30" s="1312">
        <f t="shared" si="16"/>
        <v>0</v>
      </c>
      <c r="H30" s="1119"/>
      <c r="I30" s="1119"/>
    </row>
    <row r="31" spans="1:14" ht="13.5" customHeight="1">
      <c r="A31" s="466"/>
      <c r="B31" s="467"/>
      <c r="C31" s="505" t="s">
        <v>357</v>
      </c>
      <c r="D31" s="509" t="s">
        <v>341</v>
      </c>
      <c r="E31" s="510">
        <v>7</v>
      </c>
      <c r="F31" s="1336" t="s">
        <v>358</v>
      </c>
      <c r="G31" s="1312">
        <f t="shared" si="16"/>
        <v>0</v>
      </c>
      <c r="H31" s="1119"/>
      <c r="I31" s="1119"/>
    </row>
    <row r="32" spans="1:14" ht="13.5" customHeight="1">
      <c r="A32" s="466"/>
      <c r="B32" s="467"/>
      <c r="C32" s="1053" t="s">
        <v>2752</v>
      </c>
      <c r="D32" s="1054" t="s">
        <v>2753</v>
      </c>
      <c r="E32" s="510">
        <v>50</v>
      </c>
      <c r="F32" s="1336" t="s">
        <v>2754</v>
      </c>
      <c r="G32" s="1312">
        <f t="shared" ca="1" si="16"/>
        <v>0</v>
      </c>
      <c r="H32" s="512">
        <f ca="1">IF(OR(H$1=0,H$4="費用",H$126="附帯"),0,IF(H$22=入力規則マスタ!$K$10,H$11-SUM(H$33:H$77)-H$117-H$99,0))</f>
        <v>0</v>
      </c>
      <c r="I32" s="512">
        <f ca="1">IF(OR(I$1=0,I$4="費用",I$126="附帯"),0,IF(I$22=入力規則マスタ!$K$10,I$11-SUM(I$33:I$77)-I$117-I$99,0))</f>
        <v>0</v>
      </c>
      <c r="J32" s="1060"/>
      <c r="K32" s="1139"/>
      <c r="L32" s="1139"/>
      <c r="M32" s="1139"/>
      <c r="N32" s="1139"/>
    </row>
    <row r="33" spans="1:14" ht="13.5" customHeight="1">
      <c r="A33" s="466"/>
      <c r="B33" s="467"/>
      <c r="C33" s="1053" t="s">
        <v>2755</v>
      </c>
      <c r="D33" s="1054" t="s">
        <v>2756</v>
      </c>
      <c r="E33" s="510">
        <v>47</v>
      </c>
      <c r="F33" s="1336" t="s">
        <v>598</v>
      </c>
      <c r="G33" s="1312">
        <f t="shared" si="16"/>
        <v>0</v>
      </c>
      <c r="H33" s="1119"/>
      <c r="I33" s="1119"/>
      <c r="J33" s="1060"/>
      <c r="K33" s="1139"/>
      <c r="L33" s="1139"/>
      <c r="M33" s="1139"/>
      <c r="N33" s="1139"/>
    </row>
    <row r="34" spans="1:14" ht="13.5" customHeight="1">
      <c r="A34" s="466"/>
      <c r="B34" s="467"/>
      <c r="C34" s="1053" t="s">
        <v>2757</v>
      </c>
      <c r="D34" s="1054" t="s">
        <v>2758</v>
      </c>
      <c r="E34" s="510">
        <v>41</v>
      </c>
      <c r="F34" s="1336" t="s">
        <v>2759</v>
      </c>
      <c r="G34" s="1312">
        <f t="shared" si="16"/>
        <v>0</v>
      </c>
      <c r="H34" s="1119"/>
      <c r="I34" s="1119"/>
      <c r="J34" s="1060"/>
      <c r="K34" s="1139"/>
      <c r="L34" s="1139"/>
      <c r="M34" s="1139"/>
      <c r="N34" s="1139"/>
    </row>
    <row r="35" spans="1:14" ht="13.5" customHeight="1">
      <c r="A35" s="466"/>
      <c r="B35" s="467"/>
      <c r="C35" s="1053" t="s">
        <v>2760</v>
      </c>
      <c r="D35" s="1054" t="s">
        <v>2761</v>
      </c>
      <c r="E35" s="510">
        <v>39</v>
      </c>
      <c r="F35" s="1336" t="s">
        <v>600</v>
      </c>
      <c r="G35" s="1312">
        <f t="shared" si="16"/>
        <v>0</v>
      </c>
      <c r="H35" s="1119"/>
      <c r="I35" s="1119"/>
      <c r="J35" s="1060"/>
      <c r="K35" s="1139"/>
      <c r="L35" s="1139"/>
      <c r="M35" s="1139"/>
      <c r="N35" s="1139"/>
    </row>
    <row r="36" spans="1:14" ht="27" customHeight="1">
      <c r="A36" s="466"/>
      <c r="B36" s="467"/>
      <c r="C36" s="1055" t="s">
        <v>2762</v>
      </c>
      <c r="D36" s="1056" t="s">
        <v>2763</v>
      </c>
      <c r="E36" s="510">
        <v>38</v>
      </c>
      <c r="F36" s="1337" t="s">
        <v>2764</v>
      </c>
      <c r="G36" s="1312">
        <f t="shared" si="16"/>
        <v>0</v>
      </c>
      <c r="H36" s="1119"/>
      <c r="I36" s="1119"/>
      <c r="J36" s="1060"/>
      <c r="K36" s="1139"/>
      <c r="L36" s="1139"/>
      <c r="M36" s="1139"/>
      <c r="N36" s="1139"/>
    </row>
    <row r="37" spans="1:14" ht="13.5" customHeight="1">
      <c r="A37" s="466"/>
      <c r="B37" s="467"/>
      <c r="C37" s="1053" t="s">
        <v>2765</v>
      </c>
      <c r="D37" s="1054" t="s">
        <v>2766</v>
      </c>
      <c r="E37" s="510">
        <v>36</v>
      </c>
      <c r="F37" s="1336" t="s">
        <v>602</v>
      </c>
      <c r="G37" s="1312">
        <f t="shared" si="16"/>
        <v>0</v>
      </c>
      <c r="H37" s="1119"/>
      <c r="I37" s="1119"/>
      <c r="J37" s="1060"/>
      <c r="K37" s="1139"/>
      <c r="L37" s="1139"/>
      <c r="M37" s="1139"/>
      <c r="N37" s="1139"/>
    </row>
    <row r="38" spans="1:14" ht="13.5" customHeight="1">
      <c r="A38" s="466"/>
      <c r="B38" s="467"/>
      <c r="C38" s="1053" t="s">
        <v>2767</v>
      </c>
      <c r="D38" s="1054" t="s">
        <v>2768</v>
      </c>
      <c r="E38" s="510">
        <v>34</v>
      </c>
      <c r="F38" s="1338" t="s">
        <v>2769</v>
      </c>
      <c r="G38" s="1312">
        <f t="shared" si="16"/>
        <v>0</v>
      </c>
      <c r="H38" s="1119"/>
      <c r="I38" s="1119"/>
      <c r="J38" s="1060"/>
      <c r="K38" s="1139"/>
      <c r="L38" s="1139"/>
      <c r="M38" s="1139"/>
      <c r="N38" s="1139"/>
    </row>
    <row r="39" spans="1:14" ht="13.5" customHeight="1">
      <c r="A39" s="466"/>
      <c r="B39" s="467"/>
      <c r="C39" s="1053" t="s">
        <v>2770</v>
      </c>
      <c r="D39" s="1054" t="s">
        <v>2771</v>
      </c>
      <c r="E39" s="510">
        <v>31</v>
      </c>
      <c r="F39" s="1338" t="s">
        <v>2772</v>
      </c>
      <c r="G39" s="1312">
        <f t="shared" si="16"/>
        <v>0</v>
      </c>
      <c r="H39" s="1119"/>
      <c r="I39" s="1119"/>
      <c r="J39" s="1060"/>
      <c r="K39" s="1139"/>
      <c r="L39" s="1139"/>
      <c r="M39" s="1139"/>
      <c r="N39" s="1139"/>
    </row>
    <row r="40" spans="1:14" ht="13.5" customHeight="1">
      <c r="A40" s="466"/>
      <c r="B40" s="467"/>
      <c r="C40" s="1053" t="s">
        <v>2773</v>
      </c>
      <c r="D40" s="1054" t="s">
        <v>2774</v>
      </c>
      <c r="E40" s="510">
        <v>30</v>
      </c>
      <c r="F40" s="1336" t="s">
        <v>2775</v>
      </c>
      <c r="G40" s="1312">
        <f t="shared" si="16"/>
        <v>0</v>
      </c>
      <c r="H40" s="1119"/>
      <c r="I40" s="1119"/>
      <c r="J40" s="1060"/>
      <c r="K40" s="1139"/>
      <c r="L40" s="1139"/>
      <c r="M40" s="1139"/>
      <c r="N40" s="1139"/>
    </row>
    <row r="41" spans="1:14" ht="13.5" customHeight="1">
      <c r="A41" s="466"/>
      <c r="B41" s="467"/>
      <c r="C41" s="1053" t="s">
        <v>2288</v>
      </c>
      <c r="D41" s="1054" t="s">
        <v>2776</v>
      </c>
      <c r="E41" s="510">
        <v>29</v>
      </c>
      <c r="F41" s="1336" t="s">
        <v>606</v>
      </c>
      <c r="G41" s="1312">
        <f t="shared" si="16"/>
        <v>0</v>
      </c>
      <c r="H41" s="1119"/>
      <c r="I41" s="1119"/>
      <c r="J41" s="1060"/>
      <c r="K41" s="1139"/>
      <c r="L41" s="1139"/>
      <c r="M41" s="1139"/>
      <c r="N41" s="1139"/>
    </row>
    <row r="42" spans="1:14" ht="13.5" customHeight="1">
      <c r="A42" s="466"/>
      <c r="B42" s="467"/>
      <c r="C42" s="1053" t="s">
        <v>2777</v>
      </c>
      <c r="D42" s="1054" t="s">
        <v>2778</v>
      </c>
      <c r="E42" s="510">
        <v>28</v>
      </c>
      <c r="F42" s="1336" t="s">
        <v>607</v>
      </c>
      <c r="G42" s="1312">
        <f t="shared" si="16"/>
        <v>0</v>
      </c>
      <c r="H42" s="1119"/>
      <c r="I42" s="1119"/>
      <c r="J42" s="1060"/>
      <c r="K42" s="1139"/>
      <c r="L42" s="1139"/>
      <c r="M42" s="1139"/>
      <c r="N42" s="1139"/>
    </row>
    <row r="43" spans="1:14" ht="13.5" customHeight="1">
      <c r="A43" s="466"/>
      <c r="B43" s="467"/>
      <c r="C43" s="1053" t="s">
        <v>2779</v>
      </c>
      <c r="D43" s="1054" t="s">
        <v>2780</v>
      </c>
      <c r="E43" s="510">
        <v>27</v>
      </c>
      <c r="F43" s="1336" t="s">
        <v>608</v>
      </c>
      <c r="G43" s="1312">
        <f t="shared" si="16"/>
        <v>0</v>
      </c>
      <c r="H43" s="1119"/>
      <c r="I43" s="1119"/>
      <c r="J43" s="1060"/>
      <c r="K43" s="1139"/>
      <c r="L43" s="1139"/>
      <c r="M43" s="1139"/>
      <c r="N43" s="1139"/>
    </row>
    <row r="44" spans="1:14" ht="13.5" customHeight="1">
      <c r="A44" s="466"/>
      <c r="B44" s="467"/>
      <c r="C44" s="1053" t="s">
        <v>2781</v>
      </c>
      <c r="D44" s="1054" t="s">
        <v>2782</v>
      </c>
      <c r="E44" s="510">
        <v>26</v>
      </c>
      <c r="F44" s="1336" t="s">
        <v>609</v>
      </c>
      <c r="G44" s="1312">
        <f t="shared" si="16"/>
        <v>0</v>
      </c>
      <c r="H44" s="1119"/>
      <c r="I44" s="1119"/>
      <c r="J44" s="1060"/>
      <c r="K44" s="1139"/>
      <c r="L44" s="1139"/>
      <c r="M44" s="1139"/>
      <c r="N44" s="1139"/>
    </row>
    <row r="45" spans="1:14" ht="13.5" customHeight="1">
      <c r="A45" s="466"/>
      <c r="B45" s="467"/>
      <c r="C45" s="1053" t="s">
        <v>2783</v>
      </c>
      <c r="D45" s="1054" t="s">
        <v>2784</v>
      </c>
      <c r="E45" s="510">
        <v>25</v>
      </c>
      <c r="F45" s="1338" t="s">
        <v>2785</v>
      </c>
      <c r="G45" s="1312">
        <f t="shared" si="16"/>
        <v>0</v>
      </c>
      <c r="H45" s="1119"/>
      <c r="I45" s="1119"/>
      <c r="J45" s="1060"/>
      <c r="K45" s="1139"/>
      <c r="L45" s="1139"/>
      <c r="M45" s="1139"/>
      <c r="N45" s="1139"/>
    </row>
    <row r="46" spans="1:14" ht="13.5" customHeight="1">
      <c r="A46" s="466"/>
      <c r="B46" s="467"/>
      <c r="C46" s="1053" t="s">
        <v>2786</v>
      </c>
      <c r="D46" s="1054" t="s">
        <v>2787</v>
      </c>
      <c r="E46" s="510">
        <v>24</v>
      </c>
      <c r="F46" s="1336" t="s">
        <v>2788</v>
      </c>
      <c r="G46" s="1312">
        <f t="shared" si="16"/>
        <v>0</v>
      </c>
      <c r="H46" s="1119"/>
      <c r="I46" s="1119"/>
      <c r="J46" s="1060"/>
      <c r="K46" s="1139"/>
      <c r="L46" s="1139"/>
      <c r="M46" s="1139"/>
      <c r="N46" s="1139"/>
    </row>
    <row r="47" spans="1:14" ht="27" customHeight="1">
      <c r="A47" s="466"/>
      <c r="B47" s="467"/>
      <c r="C47" s="1053" t="s">
        <v>2789</v>
      </c>
      <c r="D47" s="1054" t="s">
        <v>2790</v>
      </c>
      <c r="E47" s="510">
        <v>22</v>
      </c>
      <c r="F47" s="1339" t="s">
        <v>2791</v>
      </c>
      <c r="G47" s="1312">
        <f t="shared" si="16"/>
        <v>0</v>
      </c>
      <c r="H47" s="1119"/>
      <c r="I47" s="1119"/>
      <c r="J47" s="1060"/>
      <c r="K47" s="1139"/>
      <c r="L47" s="1139"/>
      <c r="M47" s="1139"/>
      <c r="N47" s="1139"/>
    </row>
    <row r="48" spans="1:14" ht="13.5" customHeight="1">
      <c r="A48" s="466"/>
      <c r="B48" s="467"/>
      <c r="C48" s="1053" t="s">
        <v>2792</v>
      </c>
      <c r="D48" s="1054" t="s">
        <v>2793</v>
      </c>
      <c r="E48" s="510">
        <v>21</v>
      </c>
      <c r="F48" s="1336" t="s">
        <v>613</v>
      </c>
      <c r="G48" s="1312">
        <f t="shared" si="16"/>
        <v>0</v>
      </c>
      <c r="H48" s="1119"/>
      <c r="I48" s="1119"/>
      <c r="J48" s="1060"/>
      <c r="K48" s="1139"/>
      <c r="L48" s="1139"/>
      <c r="M48" s="1139"/>
      <c r="N48" s="1139"/>
    </row>
    <row r="49" spans="1:14" ht="13.5" customHeight="1">
      <c r="A49" s="466"/>
      <c r="B49" s="467"/>
      <c r="C49" s="1053" t="s">
        <v>2794</v>
      </c>
      <c r="D49" s="1054" t="s">
        <v>2795</v>
      </c>
      <c r="E49" s="510">
        <v>20</v>
      </c>
      <c r="F49" s="1336" t="s">
        <v>614</v>
      </c>
      <c r="G49" s="1312">
        <f t="shared" si="16"/>
        <v>0</v>
      </c>
      <c r="H49" s="1119"/>
      <c r="I49" s="1119"/>
      <c r="J49" s="1060"/>
      <c r="K49" s="1139"/>
      <c r="L49" s="1139"/>
      <c r="M49" s="1139"/>
      <c r="N49" s="1139"/>
    </row>
    <row r="50" spans="1:14" ht="13.5" customHeight="1">
      <c r="A50" s="466"/>
      <c r="B50" s="467"/>
      <c r="C50" s="1053" t="s">
        <v>2796</v>
      </c>
      <c r="D50" s="1054" t="s">
        <v>2797</v>
      </c>
      <c r="E50" s="510">
        <v>19</v>
      </c>
      <c r="F50" s="1336" t="s">
        <v>2798</v>
      </c>
      <c r="G50" s="1312">
        <f t="shared" si="16"/>
        <v>0</v>
      </c>
      <c r="H50" s="1119"/>
      <c r="I50" s="1119"/>
      <c r="J50" s="1060"/>
      <c r="K50" s="1139"/>
      <c r="L50" s="1139"/>
      <c r="M50" s="1139"/>
      <c r="N50" s="1139"/>
    </row>
    <row r="51" spans="1:14" ht="13.5" customHeight="1">
      <c r="A51" s="466"/>
      <c r="B51" s="467"/>
      <c r="C51" s="1053" t="s">
        <v>2799</v>
      </c>
      <c r="D51" s="1054" t="s">
        <v>2800</v>
      </c>
      <c r="E51" s="510">
        <v>17</v>
      </c>
      <c r="F51" s="1336" t="s">
        <v>2801</v>
      </c>
      <c r="G51" s="1312">
        <f t="shared" si="16"/>
        <v>0</v>
      </c>
      <c r="H51" s="1119"/>
      <c r="I51" s="1119"/>
      <c r="J51" s="1060"/>
      <c r="K51" s="1139"/>
      <c r="L51" s="1139"/>
      <c r="M51" s="1139"/>
      <c r="N51" s="1139"/>
    </row>
    <row r="52" spans="1:14" ht="13.5" customHeight="1">
      <c r="A52" s="466"/>
      <c r="B52" s="467"/>
      <c r="C52" s="1053" t="s">
        <v>2802</v>
      </c>
      <c r="D52" s="1054" t="s">
        <v>2803</v>
      </c>
      <c r="E52" s="510">
        <v>15</v>
      </c>
      <c r="F52" s="1336" t="s">
        <v>2804</v>
      </c>
      <c r="G52" s="1312">
        <f t="shared" si="16"/>
        <v>0</v>
      </c>
      <c r="H52" s="1119"/>
      <c r="I52" s="1119"/>
      <c r="J52" s="1060"/>
      <c r="K52" s="1139"/>
      <c r="L52" s="1139"/>
      <c r="M52" s="1139"/>
      <c r="N52" s="1139"/>
    </row>
    <row r="53" spans="1:14" ht="13.5" customHeight="1">
      <c r="A53" s="466"/>
      <c r="B53" s="467"/>
      <c r="C53" s="1053" t="s">
        <v>2805</v>
      </c>
      <c r="D53" s="1054" t="s">
        <v>2806</v>
      </c>
      <c r="E53" s="510">
        <v>14</v>
      </c>
      <c r="F53" s="1336" t="s">
        <v>618</v>
      </c>
      <c r="G53" s="1312">
        <f t="shared" si="16"/>
        <v>0</v>
      </c>
      <c r="H53" s="1119"/>
      <c r="I53" s="1119"/>
      <c r="J53" s="1060"/>
      <c r="K53" s="1139"/>
      <c r="L53" s="1139"/>
      <c r="M53" s="1139"/>
      <c r="N53" s="1139"/>
    </row>
    <row r="54" spans="1:14" ht="13.5" customHeight="1">
      <c r="A54" s="466"/>
      <c r="B54" s="467"/>
      <c r="C54" s="1053" t="s">
        <v>2807</v>
      </c>
      <c r="D54" s="1054" t="s">
        <v>2808</v>
      </c>
      <c r="E54" s="510">
        <v>12</v>
      </c>
      <c r="F54" s="1336" t="s">
        <v>619</v>
      </c>
      <c r="G54" s="1312">
        <f t="shared" si="16"/>
        <v>0</v>
      </c>
      <c r="H54" s="1119"/>
      <c r="I54" s="1119"/>
      <c r="J54" s="1060"/>
      <c r="K54" s="1139"/>
      <c r="L54" s="1139"/>
      <c r="M54" s="1139"/>
      <c r="N54" s="1139"/>
    </row>
    <row r="55" spans="1:14" ht="13.5" customHeight="1">
      <c r="A55" s="466"/>
      <c r="B55" s="467"/>
      <c r="C55" s="1053" t="s">
        <v>2809</v>
      </c>
      <c r="D55" s="1054" t="s">
        <v>2810</v>
      </c>
      <c r="E55" s="510">
        <v>11</v>
      </c>
      <c r="F55" s="1336" t="s">
        <v>620</v>
      </c>
      <c r="G55" s="1312">
        <f t="shared" ref="G55:G77" si="17">SUM(H55:J55)</f>
        <v>0</v>
      </c>
      <c r="H55" s="1119"/>
      <c r="I55" s="1119"/>
      <c r="J55" s="1060"/>
      <c r="K55" s="1139"/>
      <c r="L55" s="1139"/>
      <c r="M55" s="1139"/>
      <c r="N55" s="1139"/>
    </row>
    <row r="56" spans="1:14" ht="13.5" customHeight="1">
      <c r="A56" s="466"/>
      <c r="B56" s="467"/>
      <c r="C56" s="1053" t="s">
        <v>2811</v>
      </c>
      <c r="D56" s="1054" t="s">
        <v>2812</v>
      </c>
      <c r="E56" s="510">
        <v>10</v>
      </c>
      <c r="F56" s="1336" t="s">
        <v>2813</v>
      </c>
      <c r="G56" s="1312">
        <f t="shared" si="17"/>
        <v>0</v>
      </c>
      <c r="H56" s="1119"/>
      <c r="I56" s="1119"/>
      <c r="J56" s="1060"/>
      <c r="K56" s="1139"/>
      <c r="L56" s="1139"/>
      <c r="M56" s="1139"/>
      <c r="N56" s="1139"/>
    </row>
    <row r="57" spans="1:14" ht="13.5" customHeight="1">
      <c r="A57" s="466"/>
      <c r="B57" s="467"/>
      <c r="C57" s="1053" t="s">
        <v>2814</v>
      </c>
      <c r="D57" s="1054" t="s">
        <v>2815</v>
      </c>
      <c r="E57" s="510">
        <v>9</v>
      </c>
      <c r="F57" s="1336" t="s">
        <v>622</v>
      </c>
      <c r="G57" s="1312">
        <f t="shared" si="17"/>
        <v>0</v>
      </c>
      <c r="H57" s="1119"/>
      <c r="I57" s="1119"/>
      <c r="J57" s="1060"/>
      <c r="K57" s="1139"/>
      <c r="L57" s="1139"/>
      <c r="M57" s="1139"/>
      <c r="N57" s="1139"/>
    </row>
    <row r="58" spans="1:14" ht="13.5" customHeight="1">
      <c r="A58" s="466"/>
      <c r="B58" s="467"/>
      <c r="C58" s="1053" t="s">
        <v>2816</v>
      </c>
      <c r="D58" s="1054" t="s">
        <v>2817</v>
      </c>
      <c r="E58" s="510">
        <v>7</v>
      </c>
      <c r="F58" s="1336" t="s">
        <v>2818</v>
      </c>
      <c r="G58" s="1312">
        <f t="shared" si="17"/>
        <v>0</v>
      </c>
      <c r="H58" s="1119"/>
      <c r="I58" s="1119"/>
      <c r="J58" s="1060"/>
      <c r="K58" s="1139"/>
      <c r="L58" s="1139"/>
      <c r="M58" s="1139"/>
      <c r="N58" s="1139"/>
    </row>
    <row r="59" spans="1:14" s="463" customFormat="1" ht="13.5" customHeight="1">
      <c r="A59" s="466"/>
      <c r="B59" s="467"/>
      <c r="C59" s="1053" t="s">
        <v>2839</v>
      </c>
      <c r="D59" s="511" t="s">
        <v>359</v>
      </c>
      <c r="E59" s="510">
        <v>6</v>
      </c>
      <c r="F59" s="1340" t="s">
        <v>360</v>
      </c>
      <c r="G59" s="1312">
        <f t="shared" si="17"/>
        <v>0</v>
      </c>
      <c r="H59" s="1119"/>
      <c r="I59" s="1119"/>
    </row>
    <row r="60" spans="1:14" s="463" customFormat="1" ht="13.5" customHeight="1">
      <c r="A60" s="466"/>
      <c r="B60" s="467"/>
      <c r="C60" s="1053" t="s">
        <v>2840</v>
      </c>
      <c r="D60" s="511" t="s">
        <v>359</v>
      </c>
      <c r="E60" s="510">
        <v>15</v>
      </c>
      <c r="F60" s="1340" t="s">
        <v>361</v>
      </c>
      <c r="G60" s="1312">
        <f t="shared" si="17"/>
        <v>0</v>
      </c>
      <c r="H60" s="1119"/>
      <c r="I60" s="1119"/>
    </row>
    <row r="61" spans="1:14" s="463" customFormat="1" ht="13.5" customHeight="1">
      <c r="A61" s="466"/>
      <c r="B61" s="467"/>
      <c r="C61" s="1053" t="s">
        <v>2841</v>
      </c>
      <c r="D61" s="511" t="s">
        <v>359</v>
      </c>
      <c r="E61" s="510">
        <v>15</v>
      </c>
      <c r="F61" s="1340" t="s">
        <v>362</v>
      </c>
      <c r="G61" s="1312">
        <f t="shared" si="17"/>
        <v>0</v>
      </c>
      <c r="H61" s="1119"/>
      <c r="I61" s="1119"/>
    </row>
    <row r="62" spans="1:14" s="463" customFormat="1" ht="13.5" customHeight="1">
      <c r="A62" s="466"/>
      <c r="B62" s="467"/>
      <c r="C62" s="1053" t="s">
        <v>2842</v>
      </c>
      <c r="D62" s="511" t="s">
        <v>359</v>
      </c>
      <c r="E62" s="510">
        <v>13</v>
      </c>
      <c r="F62" s="1340" t="s">
        <v>363</v>
      </c>
      <c r="G62" s="1312">
        <f t="shared" si="17"/>
        <v>0</v>
      </c>
      <c r="H62" s="1119"/>
      <c r="I62" s="1119"/>
    </row>
    <row r="63" spans="1:14" s="463" customFormat="1" ht="13.5" customHeight="1">
      <c r="A63" s="466"/>
      <c r="B63" s="467"/>
      <c r="C63" s="1053" t="s">
        <v>2843</v>
      </c>
      <c r="D63" s="511" t="s">
        <v>359</v>
      </c>
      <c r="E63" s="510">
        <v>15</v>
      </c>
      <c r="F63" s="1340" t="s">
        <v>364</v>
      </c>
      <c r="G63" s="1312">
        <f t="shared" si="17"/>
        <v>0</v>
      </c>
      <c r="H63" s="1119"/>
      <c r="I63" s="1119"/>
    </row>
    <row r="64" spans="1:14" s="463" customFormat="1" ht="13.5" customHeight="1">
      <c r="A64" s="466"/>
      <c r="B64" s="467"/>
      <c r="C64" s="1053" t="s">
        <v>2844</v>
      </c>
      <c r="D64" s="511" t="s">
        <v>359</v>
      </c>
      <c r="E64" s="510">
        <v>17</v>
      </c>
      <c r="F64" s="1340" t="s">
        <v>365</v>
      </c>
      <c r="G64" s="1312">
        <f t="shared" si="17"/>
        <v>0</v>
      </c>
      <c r="H64" s="1119"/>
      <c r="I64" s="1119"/>
    </row>
    <row r="65" spans="1:14" s="463" customFormat="1" ht="13.5" customHeight="1">
      <c r="A65" s="466"/>
      <c r="B65" s="467"/>
      <c r="C65" s="1053" t="s">
        <v>2845</v>
      </c>
      <c r="D65" s="511" t="s">
        <v>359</v>
      </c>
      <c r="E65" s="510">
        <v>15</v>
      </c>
      <c r="F65" s="1340" t="s">
        <v>366</v>
      </c>
      <c r="G65" s="1312">
        <f t="shared" si="17"/>
        <v>0</v>
      </c>
      <c r="H65" s="1119"/>
      <c r="I65" s="1119"/>
    </row>
    <row r="66" spans="1:14" ht="13.5" customHeight="1">
      <c r="A66" s="466"/>
      <c r="B66" s="467"/>
      <c r="C66" s="1053" t="s">
        <v>2846</v>
      </c>
      <c r="D66" s="509"/>
      <c r="E66" s="510">
        <v>8</v>
      </c>
      <c r="F66" s="1336" t="s">
        <v>367</v>
      </c>
      <c r="G66" s="1312">
        <f t="shared" si="17"/>
        <v>0</v>
      </c>
      <c r="H66" s="1119"/>
      <c r="I66" s="1119"/>
    </row>
    <row r="67" spans="1:14" ht="13.5" customHeight="1">
      <c r="A67" s="1058"/>
      <c r="B67" s="1128"/>
      <c r="C67" s="1132" t="s">
        <v>2825</v>
      </c>
      <c r="D67" s="1127" t="s">
        <v>368</v>
      </c>
      <c r="E67" s="1126">
        <v>12</v>
      </c>
      <c r="F67" s="1340" t="s">
        <v>369</v>
      </c>
      <c r="G67" s="1312">
        <f t="shared" ca="1" si="17"/>
        <v>0</v>
      </c>
      <c r="H67" s="512">
        <f ca="1">IFERROR(IF(OR(H$1=0,H$4="費用",H$126="附帯"),0,SUMIF(INDIRECT(H$2&amp;"!$ｎ:$ｎ"),入力規則マスタ!$J3,INDIRECT(H$2&amp;"!$i:$i"))),0)</f>
        <v>0</v>
      </c>
      <c r="I67" s="512">
        <f ca="1">IFERROR(IF(OR(I$1=0,I$4="費用",I$126="附帯"),0,SUMIF(INDIRECT(I$2&amp;"!$ｎ:$ｎ"),入力規則マスタ!$J3,INDIRECT(I$2&amp;"!$i:$i"))),0)</f>
        <v>0</v>
      </c>
    </row>
    <row r="68" spans="1:14" ht="13.5" customHeight="1">
      <c r="A68" s="1058"/>
      <c r="B68" s="1128"/>
      <c r="C68" s="1132" t="s">
        <v>2826</v>
      </c>
      <c r="D68" s="1127" t="s">
        <v>368</v>
      </c>
      <c r="E68" s="1126">
        <v>15</v>
      </c>
      <c r="F68" s="1340" t="s">
        <v>370</v>
      </c>
      <c r="G68" s="1312">
        <f t="shared" ca="1" si="17"/>
        <v>0</v>
      </c>
      <c r="H68" s="512">
        <f ca="1">IFERROR(IF(OR(H$1=0,H$4="費用",H$126="附帯"),0,SUMIF(INDIRECT(H$2&amp;"!$ｎ:$ｎ"),入力規則マスタ!$J4,INDIRECT(H$2&amp;"!$i:$i"))),0)</f>
        <v>0</v>
      </c>
      <c r="I68" s="512">
        <f ca="1">IFERROR(IF(OR(I$1=0,I$4="費用",I$126="附帯"),0,SUMIF(INDIRECT(I$2&amp;"!$ｎ:$ｎ"),入力規則マスタ!$J4,INDIRECT(I$2&amp;"!$i:$i"))),0)</f>
        <v>0</v>
      </c>
    </row>
    <row r="69" spans="1:14" ht="13.5" customHeight="1">
      <c r="A69" s="1058"/>
      <c r="B69" s="1128"/>
      <c r="C69" s="1132" t="s">
        <v>2827</v>
      </c>
      <c r="D69" s="1127" t="s">
        <v>368</v>
      </c>
      <c r="E69" s="1126">
        <v>8</v>
      </c>
      <c r="F69" s="1340" t="s">
        <v>2828</v>
      </c>
      <c r="G69" s="1312">
        <f t="shared" ca="1" si="17"/>
        <v>0</v>
      </c>
      <c r="H69" s="512">
        <f ca="1">IFERROR(IF(OR(H$1=0,H$4="費用",H$126="附帯"),0,SUMIF(INDIRECT(H$2&amp;"!$ｎ:$ｎ"),入力規則マスタ!$J5,INDIRECT(H$2&amp;"!$i:$i"))),0)</f>
        <v>0</v>
      </c>
      <c r="I69" s="512">
        <f ca="1">IFERROR(IF(OR(I$1=0,I$4="費用",I$126="附帯"),0,SUMIF(INDIRECT(I$2&amp;"!$ｎ:$ｎ"),入力規則マスタ!$J5,INDIRECT(I$2&amp;"!$i:$i"))),0)</f>
        <v>0</v>
      </c>
    </row>
    <row r="70" spans="1:14" ht="13.5" customHeight="1">
      <c r="A70" s="1058"/>
      <c r="B70" s="1128"/>
      <c r="C70" s="1132" t="s">
        <v>2829</v>
      </c>
      <c r="D70" s="1127" t="s">
        <v>368</v>
      </c>
      <c r="E70" s="1126">
        <v>3</v>
      </c>
      <c r="F70" s="1340" t="s">
        <v>2830</v>
      </c>
      <c r="G70" s="1312">
        <f t="shared" ca="1" si="17"/>
        <v>0</v>
      </c>
      <c r="H70" s="512">
        <f ca="1">IFERROR(IF(OR(H$1=0,H$4="費用",H$126="附帯"),0,SUMIF(INDIRECT(H$2&amp;"!$ｎ:$ｎ"),入力規則マスタ!$J6,INDIRECT(H$2&amp;"!$i:$i"))),0)</f>
        <v>0</v>
      </c>
      <c r="I70" s="512">
        <f ca="1">IFERROR(IF(OR(I$1=0,I$4="費用",I$126="附帯"),0,SUMIF(INDIRECT(I$2&amp;"!$ｎ:$ｎ"),入力規則マスタ!$J6,INDIRECT(I$2&amp;"!$i:$i"))),0)</f>
        <v>0</v>
      </c>
    </row>
    <row r="71" spans="1:14" ht="13.5" customHeight="1">
      <c r="A71" s="1058"/>
      <c r="B71" s="1128"/>
      <c r="C71" s="1132" t="s">
        <v>2831</v>
      </c>
      <c r="D71" s="1127" t="s">
        <v>368</v>
      </c>
      <c r="E71" s="1126">
        <v>3</v>
      </c>
      <c r="F71" s="1340" t="s">
        <v>2832</v>
      </c>
      <c r="G71" s="1312">
        <f t="shared" ca="1" si="17"/>
        <v>0</v>
      </c>
      <c r="H71" s="512">
        <f ca="1">IFERROR(IF(OR(H$1=0,H$4="費用",H$126="附帯"),0,SUMIF(INDIRECT(H$2&amp;"!$ｎ:$ｎ"),入力規則マスタ!$J7,INDIRECT(H$2&amp;"!$i:$i"))),0)</f>
        <v>0</v>
      </c>
      <c r="I71" s="512">
        <f ca="1">IFERROR(IF(OR(I$1=0,I$4="費用",I$126="附帯"),0,SUMIF(INDIRECT(I$2&amp;"!$ｎ:$ｎ"),入力規則マスタ!$J7,INDIRECT(I$2&amp;"!$i:$i"))),0)</f>
        <v>0</v>
      </c>
    </row>
    <row r="72" spans="1:14" ht="13.5" customHeight="1">
      <c r="A72" s="1058"/>
      <c r="B72" s="1059"/>
      <c r="C72" s="1132" t="s">
        <v>2833</v>
      </c>
      <c r="D72" s="1127" t="s">
        <v>368</v>
      </c>
      <c r="E72" s="1126">
        <v>15</v>
      </c>
      <c r="F72" s="1340" t="s">
        <v>2834</v>
      </c>
      <c r="G72" s="1312">
        <f t="shared" ca="1" si="17"/>
        <v>0</v>
      </c>
      <c r="H72" s="512">
        <f ca="1">IFERROR(IF(OR(H$1=0,H$4="費用",H$126="附帯"),0,SUMIF(INDIRECT(H$2&amp;"!$ｎ:$ｎ"),入力規則マスタ!$J8,INDIRECT(H$2&amp;"!$i:$i"))),0)</f>
        <v>0</v>
      </c>
      <c r="I72" s="512">
        <f ca="1">IFERROR(IF(OR(I$1=0,I$4="費用",I$126="附帯"),0,SUMIF(INDIRECT(I$2&amp;"!$ｎ:$ｎ"),入力規則マスタ!$J8,INDIRECT(I$2&amp;"!$i:$i"))),0)</f>
        <v>0</v>
      </c>
    </row>
    <row r="73" spans="1:14" s="463" customFormat="1" ht="13.5" customHeight="1">
      <c r="A73" s="1058"/>
      <c r="B73" s="1128"/>
      <c r="C73" s="1132" t="s">
        <v>2835</v>
      </c>
      <c r="D73" s="1127" t="s">
        <v>368</v>
      </c>
      <c r="E73" s="1126">
        <v>18</v>
      </c>
      <c r="F73" s="1340" t="s">
        <v>2836</v>
      </c>
      <c r="G73" s="1312">
        <f t="shared" ca="1" si="17"/>
        <v>0</v>
      </c>
      <c r="H73" s="512">
        <f ca="1">IFERROR(IF(OR(H$1=0,H$4="費用",H$126="附帯"),0,SUMIF(INDIRECT(H$2&amp;"!$ｎ:$ｎ"),入力規則マスタ!$J9,INDIRECT(H$2&amp;"!$i:$i"))),0)</f>
        <v>0</v>
      </c>
      <c r="I73" s="512">
        <f ca="1">IFERROR(IF(OR(I$1=0,I$4="費用",I$126="附帯"),0,SUMIF(INDIRECT(I$2&amp;"!$ｎ:$ｎ"),入力規則マスタ!$J9,INDIRECT(I$2&amp;"!$i:$i"))),0)</f>
        <v>0</v>
      </c>
    </row>
    <row r="74" spans="1:14" s="463" customFormat="1" ht="13.5" customHeight="1">
      <c r="A74" s="1058"/>
      <c r="B74" s="1128"/>
      <c r="C74" s="1132" t="s">
        <v>2819</v>
      </c>
      <c r="D74" s="1127" t="s">
        <v>368</v>
      </c>
      <c r="E74" s="1126">
        <v>18</v>
      </c>
      <c r="F74" s="1340" t="s">
        <v>2820</v>
      </c>
      <c r="G74" s="1312">
        <f t="shared" ca="1" si="17"/>
        <v>0</v>
      </c>
      <c r="H74" s="512">
        <f ca="1">IFERROR(IF(OR(H$1=0,H$4="費用",H$126="附帯"),0,SUMIF(INDIRECT(H$2&amp;"!$ｎ:$ｎ"),入力規則マスタ!$J10,INDIRECT(H$2&amp;"!$i:$i"))),0)</f>
        <v>0</v>
      </c>
      <c r="I74" s="512">
        <f ca="1">IFERROR(IF(OR(I$1=0,I$4="費用",I$126="附帯"),0,SUMIF(INDIRECT(I$2&amp;"!$ｎ:$ｎ"),入力規則マスタ!$J10,INDIRECT(I$2&amp;"!$i:$i"))),0)</f>
        <v>0</v>
      </c>
      <c r="J74" s="1061"/>
      <c r="K74" s="1140"/>
      <c r="L74" s="1140"/>
      <c r="M74" s="1140"/>
      <c r="N74" s="1140"/>
    </row>
    <row r="75" spans="1:14" s="463" customFormat="1" ht="13.5" customHeight="1">
      <c r="A75" s="1058"/>
      <c r="B75" s="1128"/>
      <c r="C75" s="1132" t="s">
        <v>2821</v>
      </c>
      <c r="D75" s="1127" t="s">
        <v>368</v>
      </c>
      <c r="E75" s="1126">
        <v>18</v>
      </c>
      <c r="F75" s="1340" t="s">
        <v>2822</v>
      </c>
      <c r="G75" s="1312">
        <f t="shared" ca="1" si="17"/>
        <v>0</v>
      </c>
      <c r="H75" s="512">
        <f ca="1">IFERROR(IF(OR(H$1=0,H$4="費用",H$126="附帯"),0,SUMIF(INDIRECT(H$2&amp;"!$ｎ:$ｎ"),入力規則マスタ!$J11,INDIRECT(H$2&amp;"!$i:$i"))),0)</f>
        <v>0</v>
      </c>
      <c r="I75" s="512">
        <f ca="1">IFERROR(IF(OR(I$1=0,I$4="費用",I$126="附帯"),0,SUMIF(INDIRECT(I$2&amp;"!$ｎ:$ｎ"),入力規則マスタ!$J11,INDIRECT(I$2&amp;"!$i:$i"))),0)</f>
        <v>0</v>
      </c>
      <c r="J75" s="1061"/>
      <c r="K75" s="1140"/>
      <c r="L75" s="1140"/>
      <c r="M75" s="1140"/>
      <c r="N75" s="1140"/>
    </row>
    <row r="76" spans="1:14" s="463" customFormat="1" ht="13.5" customHeight="1">
      <c r="A76" s="1058"/>
      <c r="B76" s="1128"/>
      <c r="C76" s="1132" t="s">
        <v>2837</v>
      </c>
      <c r="D76" s="1127" t="s">
        <v>368</v>
      </c>
      <c r="E76" s="1133">
        <v>10</v>
      </c>
      <c r="F76" s="1340" t="s">
        <v>2838</v>
      </c>
      <c r="G76" s="1312">
        <f t="shared" ca="1" si="17"/>
        <v>0</v>
      </c>
      <c r="H76" s="512">
        <f ca="1">IFERROR(IF(OR(H$1=0,H$4="費用",H$126="附帯"),0,SUMIF(INDIRECT(H$2&amp;"!$ｎ:$ｎ"),入力規則マスタ!$J12,INDIRECT(H$2&amp;"!$i:$i"))),0)</f>
        <v>0</v>
      </c>
      <c r="I76" s="512">
        <f ca="1">IFERROR(IF(OR(I$1=0,I$4="費用",I$126="附帯"),0,SUMIF(INDIRECT(I$2&amp;"!$ｎ:$ｎ"),入力規則マスタ!$J12,INDIRECT(I$2&amp;"!$i:$i"))),0)</f>
        <v>0</v>
      </c>
    </row>
    <row r="77" spans="1:14" s="463" customFormat="1" ht="13.5" customHeight="1">
      <c r="A77" s="1058"/>
      <c r="B77" s="1128"/>
      <c r="C77" s="1132" t="s">
        <v>2823</v>
      </c>
      <c r="D77" s="1127" t="s">
        <v>368</v>
      </c>
      <c r="E77" s="1133">
        <v>10</v>
      </c>
      <c r="F77" s="1340" t="s">
        <v>2824</v>
      </c>
      <c r="G77" s="1312">
        <f t="shared" ca="1" si="17"/>
        <v>0</v>
      </c>
      <c r="H77" s="512">
        <f ca="1">IFERROR(IF(OR(H$1=0,H$4="費用",H$126="附帯"),0,SUMIF(INDIRECT(H$2&amp;"!$ｎ:$ｎ"),入力規則マスタ!$J13,INDIRECT(H$2&amp;"!$i:$i"))),0)</f>
        <v>0</v>
      </c>
      <c r="I77" s="512">
        <f ca="1">IFERROR(IF(OR(I$1=0,I$4="費用",I$126="附帯"),0,SUMIF(INDIRECT(I$2&amp;"!$ｎ:$ｎ"),入力規則マスタ!$J13,INDIRECT(I$2&amp;"!$i:$i"))),0)</f>
        <v>0</v>
      </c>
      <c r="J77" s="1061"/>
      <c r="K77" s="1140"/>
      <c r="L77" s="1140"/>
      <c r="M77" s="1140"/>
      <c r="N77" s="1140"/>
    </row>
    <row r="78" spans="1:14" s="463" customFormat="1" ht="13.5" customHeight="1">
      <c r="A78" s="1058"/>
      <c r="B78" s="1128"/>
      <c r="C78" s="1134"/>
      <c r="D78" s="1127"/>
      <c r="E78" s="1133"/>
      <c r="F78" s="1340"/>
      <c r="G78" s="1312"/>
      <c r="H78" s="512"/>
      <c r="I78" s="512"/>
    </row>
    <row r="79" spans="1:14" s="463" customFormat="1" ht="13.5" customHeight="1">
      <c r="A79" s="1141"/>
      <c r="B79" s="1142"/>
      <c r="C79" s="1142"/>
      <c r="D79" s="1142"/>
      <c r="E79" s="1143"/>
      <c r="F79" s="1341" t="s">
        <v>371</v>
      </c>
      <c r="G79" s="1313">
        <f ca="1">SUM(H79:J79)</f>
        <v>0</v>
      </c>
      <c r="H79" s="487">
        <f t="shared" ref="H79:I79" ca="1" si="18">SUM(H23:H78)</f>
        <v>0</v>
      </c>
      <c r="I79" s="487">
        <f t="shared" ca="1" si="18"/>
        <v>0</v>
      </c>
    </row>
    <row r="80" spans="1:14" s="490" customFormat="1" ht="13.5" customHeight="1">
      <c r="A80" s="498" t="s">
        <v>372</v>
      </c>
      <c r="B80" s="499"/>
      <c r="C80" s="500"/>
      <c r="D80" s="499"/>
      <c r="E80" s="2216" t="s">
        <v>335</v>
      </c>
      <c r="F80" s="1333"/>
      <c r="G80" s="1309" t="s">
        <v>336</v>
      </c>
      <c r="H80" s="501" t="s">
        <v>373</v>
      </c>
      <c r="I80" s="501" t="s">
        <v>2863</v>
      </c>
      <c r="J80" s="496"/>
      <c r="K80" s="496"/>
      <c r="L80" s="496"/>
      <c r="M80" s="496"/>
      <c r="N80" s="496"/>
    </row>
    <row r="81" spans="1:14" s="490" customFormat="1" ht="13.5" customHeight="1">
      <c r="A81" s="502"/>
      <c r="B81" s="2218" t="s">
        <v>338</v>
      </c>
      <c r="C81" s="2219"/>
      <c r="D81" s="2220"/>
      <c r="E81" s="2217"/>
      <c r="F81" s="1334"/>
      <c r="G81" s="1314" t="s">
        <v>374</v>
      </c>
      <c r="H81" s="516" t="str">
        <f>入力規則マスタ!$L$3</f>
        <v>024雑設備</v>
      </c>
      <c r="I81" s="516" t="str">
        <f>入力規則マスタ!$L$3</f>
        <v>024雑設備</v>
      </c>
      <c r="J81" s="496"/>
      <c r="K81" s="496"/>
      <c r="L81" s="496"/>
      <c r="M81" s="496"/>
      <c r="N81" s="496"/>
    </row>
    <row r="82" spans="1:14" ht="13.5" customHeight="1">
      <c r="A82" s="466"/>
      <c r="B82" s="504"/>
      <c r="C82" s="506" t="s">
        <v>376</v>
      </c>
      <c r="D82" s="506"/>
      <c r="E82" s="507">
        <v>32</v>
      </c>
      <c r="F82" s="1335"/>
      <c r="G82" s="1312">
        <f>SUM(H82:J82)</f>
        <v>0</v>
      </c>
      <c r="H82" s="512">
        <f t="shared" ref="H82:I82" si="19">SUM(H83:H84)</f>
        <v>0</v>
      </c>
      <c r="I82" s="512">
        <f t="shared" si="19"/>
        <v>0</v>
      </c>
    </row>
    <row r="83" spans="1:14" ht="13.5" customHeight="1">
      <c r="A83" s="466"/>
      <c r="B83" s="467"/>
      <c r="C83" s="508" t="s">
        <v>340</v>
      </c>
      <c r="D83" s="509" t="s">
        <v>377</v>
      </c>
      <c r="E83" s="510"/>
      <c r="F83" s="1336" t="s">
        <v>378</v>
      </c>
      <c r="G83" s="1312">
        <f>SUM(H83:J83)</f>
        <v>0</v>
      </c>
      <c r="H83" s="1119"/>
      <c r="I83" s="1119"/>
    </row>
    <row r="84" spans="1:14" ht="13.5" customHeight="1">
      <c r="A84" s="466"/>
      <c r="B84" s="467"/>
      <c r="C84" s="517" t="s">
        <v>379</v>
      </c>
      <c r="D84" s="518" t="s">
        <v>380</v>
      </c>
      <c r="E84" s="519"/>
      <c r="F84" s="1342" t="s">
        <v>380</v>
      </c>
      <c r="G84" s="1315">
        <f>SUM(H84:J84)</f>
        <v>0</v>
      </c>
      <c r="H84" s="1120"/>
      <c r="I84" s="1120"/>
    </row>
    <row r="85" spans="1:14" ht="13.5" customHeight="1">
      <c r="A85" s="466"/>
      <c r="B85" s="467"/>
      <c r="C85" s="520"/>
      <c r="D85" s="521"/>
      <c r="E85" s="522"/>
      <c r="F85" s="1343"/>
      <c r="G85" s="1316" t="s">
        <v>336</v>
      </c>
      <c r="H85" s="523" t="s">
        <v>373</v>
      </c>
      <c r="I85" s="523" t="s">
        <v>2863</v>
      </c>
    </row>
    <row r="86" spans="1:14" ht="13.5" customHeight="1">
      <c r="A86" s="466"/>
      <c r="B86" s="467"/>
      <c r="C86" s="524"/>
      <c r="D86" s="525"/>
      <c r="E86" s="526"/>
      <c r="F86" s="1344"/>
      <c r="G86" s="1314" t="s">
        <v>339</v>
      </c>
      <c r="H86" s="503"/>
      <c r="I86" s="503"/>
    </row>
    <row r="87" spans="1:14" ht="13.5" customHeight="1">
      <c r="A87" s="466"/>
      <c r="B87" s="467"/>
      <c r="C87" s="527" t="s">
        <v>381</v>
      </c>
      <c r="D87" s="527"/>
      <c r="E87" s="528"/>
      <c r="F87" s="1345"/>
      <c r="G87" s="1317"/>
      <c r="H87" s="476"/>
      <c r="I87" s="476"/>
    </row>
    <row r="88" spans="1:14" ht="13.5" customHeight="1">
      <c r="A88" s="466"/>
      <c r="B88" s="467"/>
      <c r="C88" s="508" t="s">
        <v>340</v>
      </c>
      <c r="D88" s="509" t="s">
        <v>377</v>
      </c>
      <c r="E88" s="510">
        <v>15</v>
      </c>
      <c r="F88" s="1336" t="s">
        <v>382</v>
      </c>
      <c r="G88" s="1312">
        <f t="shared" ref="G88:G99" si="20">SUM(H88:J88)</f>
        <v>0</v>
      </c>
      <c r="H88" s="1119"/>
      <c r="I88" s="1119"/>
    </row>
    <row r="89" spans="1:14" ht="13.5" customHeight="1">
      <c r="A89" s="466"/>
      <c r="B89" s="467"/>
      <c r="C89" s="508" t="s">
        <v>379</v>
      </c>
      <c r="D89" s="509" t="s">
        <v>377</v>
      </c>
      <c r="E89" s="510">
        <v>10</v>
      </c>
      <c r="F89" s="1336" t="s">
        <v>383</v>
      </c>
      <c r="G89" s="1312">
        <f t="shared" si="20"/>
        <v>0</v>
      </c>
      <c r="H89" s="1119"/>
      <c r="I89" s="1119"/>
    </row>
    <row r="90" spans="1:14" ht="13.5" customHeight="1">
      <c r="A90" s="466"/>
      <c r="B90" s="467"/>
      <c r="C90" s="508" t="s">
        <v>384</v>
      </c>
      <c r="D90" s="509" t="s">
        <v>377</v>
      </c>
      <c r="E90" s="510">
        <v>3</v>
      </c>
      <c r="F90" s="1340" t="s">
        <v>385</v>
      </c>
      <c r="G90" s="1312">
        <f t="shared" si="20"/>
        <v>0</v>
      </c>
      <c r="H90" s="1119"/>
      <c r="I90" s="1119"/>
    </row>
    <row r="91" spans="1:14" ht="13.5" customHeight="1">
      <c r="A91" s="466"/>
      <c r="B91" s="467"/>
      <c r="C91" s="508" t="s">
        <v>386</v>
      </c>
      <c r="D91" s="509" t="s">
        <v>387</v>
      </c>
      <c r="E91" s="510">
        <v>30</v>
      </c>
      <c r="F91" s="1340" t="s">
        <v>388</v>
      </c>
      <c r="G91" s="1312">
        <f t="shared" si="20"/>
        <v>0</v>
      </c>
      <c r="H91" s="1119"/>
      <c r="I91" s="1119"/>
    </row>
    <row r="92" spans="1:14" ht="13.5" customHeight="1">
      <c r="A92" s="466"/>
      <c r="B92" s="467"/>
      <c r="C92" s="508" t="s">
        <v>389</v>
      </c>
      <c r="D92" s="509" t="s">
        <v>390</v>
      </c>
      <c r="E92" s="510">
        <v>60</v>
      </c>
      <c r="F92" s="1340" t="s">
        <v>388</v>
      </c>
      <c r="G92" s="1312">
        <f t="shared" si="20"/>
        <v>0</v>
      </c>
      <c r="H92" s="1119"/>
      <c r="I92" s="1119"/>
    </row>
    <row r="93" spans="1:14" ht="13.5" customHeight="1">
      <c r="A93" s="466"/>
      <c r="B93" s="467"/>
      <c r="C93" s="508" t="s">
        <v>391</v>
      </c>
      <c r="D93" s="509" t="s">
        <v>387</v>
      </c>
      <c r="E93" s="510">
        <v>15</v>
      </c>
      <c r="F93" s="1340" t="s">
        <v>392</v>
      </c>
      <c r="G93" s="1312">
        <f t="shared" si="20"/>
        <v>0</v>
      </c>
      <c r="H93" s="1119"/>
      <c r="I93" s="1119"/>
    </row>
    <row r="94" spans="1:14" ht="13.5" customHeight="1">
      <c r="A94" s="466"/>
      <c r="B94" s="467"/>
      <c r="C94" s="508" t="s">
        <v>393</v>
      </c>
      <c r="D94" s="509" t="s">
        <v>390</v>
      </c>
      <c r="E94" s="510">
        <v>40</v>
      </c>
      <c r="F94" s="1340" t="s">
        <v>392</v>
      </c>
      <c r="G94" s="1312">
        <f t="shared" si="20"/>
        <v>0</v>
      </c>
      <c r="H94" s="1119"/>
      <c r="I94" s="1119"/>
    </row>
    <row r="95" spans="1:14" ht="13.5" customHeight="1">
      <c r="A95" s="466"/>
      <c r="B95" s="467"/>
      <c r="C95" s="508" t="s">
        <v>394</v>
      </c>
      <c r="D95" s="509" t="s">
        <v>387</v>
      </c>
      <c r="E95" s="510">
        <v>10</v>
      </c>
      <c r="F95" s="1340" t="s">
        <v>395</v>
      </c>
      <c r="G95" s="1312">
        <f t="shared" si="20"/>
        <v>0</v>
      </c>
      <c r="H95" s="1119"/>
      <c r="I95" s="1119"/>
    </row>
    <row r="96" spans="1:14" ht="13.5" customHeight="1">
      <c r="A96" s="466"/>
      <c r="B96" s="467"/>
      <c r="C96" s="508" t="s">
        <v>396</v>
      </c>
      <c r="D96" s="509" t="s">
        <v>390</v>
      </c>
      <c r="E96" s="510">
        <v>45</v>
      </c>
      <c r="F96" s="1340" t="s">
        <v>395</v>
      </c>
      <c r="G96" s="1312">
        <f t="shared" si="20"/>
        <v>0</v>
      </c>
      <c r="H96" s="1119"/>
      <c r="I96" s="1119"/>
    </row>
    <row r="97" spans="1:14" ht="13.5" customHeight="1">
      <c r="A97" s="466"/>
      <c r="B97" s="467"/>
      <c r="C97" s="508" t="s">
        <v>397</v>
      </c>
      <c r="D97" s="509" t="s">
        <v>387</v>
      </c>
      <c r="E97" s="510">
        <v>10</v>
      </c>
      <c r="F97" s="1340" t="s">
        <v>398</v>
      </c>
      <c r="G97" s="1312">
        <f t="shared" si="20"/>
        <v>0</v>
      </c>
      <c r="H97" s="1119"/>
      <c r="I97" s="1119"/>
    </row>
    <row r="98" spans="1:14" ht="13.5" customHeight="1">
      <c r="A98" s="466"/>
      <c r="B98" s="467"/>
      <c r="C98" s="508" t="s">
        <v>399</v>
      </c>
      <c r="D98" s="509" t="s">
        <v>390</v>
      </c>
      <c r="E98" s="510">
        <v>15</v>
      </c>
      <c r="F98" s="1340" t="s">
        <v>398</v>
      </c>
      <c r="G98" s="1312">
        <f t="shared" si="20"/>
        <v>0</v>
      </c>
      <c r="H98" s="1119"/>
      <c r="I98" s="1119"/>
    </row>
    <row r="99" spans="1:14" ht="13.5" customHeight="1">
      <c r="A99" s="513"/>
      <c r="B99" s="514"/>
      <c r="C99" s="514"/>
      <c r="D99" s="514"/>
      <c r="E99" s="515"/>
      <c r="F99" s="1346" t="s">
        <v>400</v>
      </c>
      <c r="G99" s="1313">
        <f t="shared" si="20"/>
        <v>0</v>
      </c>
      <c r="H99" s="487">
        <f t="shared" ref="H99:I99" si="21">IF(H$4="費用",0,SUM(H82,H88:H98))</f>
        <v>0</v>
      </c>
      <c r="I99" s="487">
        <f t="shared" si="21"/>
        <v>0</v>
      </c>
    </row>
    <row r="100" spans="1:14" ht="13.5" customHeight="1">
      <c r="A100" s="467"/>
      <c r="B100" s="504"/>
      <c r="C100" s="504"/>
      <c r="D100" s="504"/>
      <c r="E100" s="504"/>
      <c r="F100" s="1347"/>
      <c r="G100" s="1356"/>
      <c r="H100" s="1357"/>
      <c r="I100" s="1358"/>
    </row>
    <row r="101" spans="1:14" ht="13.5" customHeight="1">
      <c r="A101" s="524"/>
      <c r="B101" s="494"/>
      <c r="C101" s="494"/>
      <c r="D101" s="494"/>
      <c r="E101" s="494"/>
      <c r="F101" s="1348"/>
      <c r="G101" s="1359"/>
      <c r="H101" s="1360"/>
      <c r="I101" s="529"/>
    </row>
    <row r="102" spans="1:14" s="490" customFormat="1" ht="13.5" customHeight="1">
      <c r="A102" s="530" t="s">
        <v>401</v>
      </c>
      <c r="B102" s="499"/>
      <c r="C102" s="500"/>
      <c r="D102" s="499"/>
      <c r="E102" s="2216" t="s">
        <v>335</v>
      </c>
      <c r="F102" s="1333"/>
      <c r="G102" s="1309" t="s">
        <v>336</v>
      </c>
      <c r="H102" s="501" t="s">
        <v>402</v>
      </c>
      <c r="I102" s="501" t="s">
        <v>2864</v>
      </c>
      <c r="J102" s="496"/>
      <c r="K102" s="496"/>
      <c r="L102" s="496"/>
      <c r="M102" s="496"/>
      <c r="N102" s="496"/>
    </row>
    <row r="103" spans="1:14" s="490" customFormat="1" ht="13.5" customHeight="1">
      <c r="A103" s="502"/>
      <c r="B103" s="2218" t="s">
        <v>338</v>
      </c>
      <c r="C103" s="2219"/>
      <c r="D103" s="2220"/>
      <c r="E103" s="2217"/>
      <c r="F103" s="1334"/>
      <c r="G103" s="1314" t="s">
        <v>374</v>
      </c>
      <c r="H103" s="516" t="s">
        <v>403</v>
      </c>
      <c r="I103" s="516" t="s">
        <v>2865</v>
      </c>
      <c r="J103" s="496"/>
      <c r="K103" s="496"/>
      <c r="L103" s="496"/>
      <c r="M103" s="496"/>
      <c r="N103" s="496"/>
    </row>
    <row r="104" spans="1:14" ht="13.5" customHeight="1">
      <c r="A104" s="466"/>
      <c r="B104" s="504"/>
      <c r="C104" s="1057" t="s">
        <v>404</v>
      </c>
      <c r="D104" s="1130" t="s">
        <v>2847</v>
      </c>
      <c r="E104" s="1126">
        <v>10</v>
      </c>
      <c r="F104" s="1349" t="s">
        <v>2848</v>
      </c>
      <c r="G104" s="1311">
        <f t="shared" ref="G104:G115" ca="1" si="22">SUM(H104:J104)</f>
        <v>0</v>
      </c>
      <c r="H104" s="512">
        <f ca="1">IFERROR(IF(OR(H$1=0,H$4="費用",H$126="附帯"),0,SUMIF(INDIRECT(H$2&amp;"!$ｎ:$ｎ"),入力規則マスタ!$J14,INDIRECT(H$2&amp;"!$i:$i"))),0)</f>
        <v>0</v>
      </c>
      <c r="I104" s="512">
        <f ca="1">IFERROR(IF(OR(I$1=0,I$4="費用",I$126="附帯"),0,SUMIF(INDIRECT(I$2&amp;"!$ｎ:$ｎ"),入力規則マスタ!$J14,INDIRECT(I$2&amp;"!$i:$i"))),0)</f>
        <v>0</v>
      </c>
    </row>
    <row r="105" spans="1:14" ht="13.5" customHeight="1">
      <c r="A105" s="466"/>
      <c r="B105" s="467"/>
      <c r="C105" s="1057" t="s">
        <v>404</v>
      </c>
      <c r="D105" s="1130" t="s">
        <v>2847</v>
      </c>
      <c r="E105" s="1126">
        <v>10</v>
      </c>
      <c r="F105" s="1349" t="s">
        <v>2849</v>
      </c>
      <c r="G105" s="1312">
        <f t="shared" ca="1" si="22"/>
        <v>0</v>
      </c>
      <c r="H105" s="512">
        <f ca="1">IFERROR(IF(OR(H$1=0,H$4="費用",H$126="附帯"),0,SUMIF(INDIRECT(H$2&amp;"!$ｎ:$ｎ"),入力規則マスタ!$J15,INDIRECT(H$2&amp;"!$i:$i"))),0)</f>
        <v>0</v>
      </c>
      <c r="I105" s="512">
        <f ca="1">IFERROR(IF(OR(I$1=0,I$4="費用",I$126="附帯"),0,SUMIF(INDIRECT(I$2&amp;"!$ｎ:$ｎ"),入力規則マスタ!$J15,INDIRECT(I$2&amp;"!$i:$i"))),0)</f>
        <v>0</v>
      </c>
    </row>
    <row r="106" spans="1:14" ht="13.5" customHeight="1">
      <c r="A106" s="466"/>
      <c r="B106" s="467"/>
      <c r="C106" s="1057" t="s">
        <v>404</v>
      </c>
      <c r="D106" s="1130" t="s">
        <v>2847</v>
      </c>
      <c r="E106" s="1126">
        <v>10</v>
      </c>
      <c r="F106" s="1349" t="s">
        <v>2850</v>
      </c>
      <c r="G106" s="1312">
        <f t="shared" ca="1" si="22"/>
        <v>0</v>
      </c>
      <c r="H106" s="512">
        <f ca="1">IFERROR(IF(OR(H$1=0,H$4="費用",H$126="附帯"),0,SUMIF(INDIRECT(H$2&amp;"!$ｎ:$ｎ"),入力規則マスタ!$J16,INDIRECT(H$2&amp;"!$i:$i"))),0)</f>
        <v>0</v>
      </c>
      <c r="I106" s="512">
        <f ca="1">IFERROR(IF(OR(I$1=0,I$4="費用",I$126="附帯"),0,SUMIF(INDIRECT(I$2&amp;"!$ｎ:$ｎ"),入力規則マスタ!$J16,INDIRECT(I$2&amp;"!$i:$i"))),0)</f>
        <v>0</v>
      </c>
    </row>
    <row r="107" spans="1:14" ht="13.5" customHeight="1">
      <c r="A107" s="466"/>
      <c r="B107" s="467"/>
      <c r="C107" s="1057" t="s">
        <v>404</v>
      </c>
      <c r="D107" s="1130" t="s">
        <v>2847</v>
      </c>
      <c r="E107" s="1126">
        <v>10</v>
      </c>
      <c r="F107" s="1349" t="s">
        <v>2851</v>
      </c>
      <c r="G107" s="1312">
        <f t="shared" ca="1" si="22"/>
        <v>0</v>
      </c>
      <c r="H107" s="512">
        <f ca="1">IFERROR(IF(OR(H$1=0,H$4="費用",H$126="附帯"),0,SUMIF(INDIRECT(H$2&amp;"!$ｎ:$ｎ"),入力規則マスタ!$J17,INDIRECT(H$2&amp;"!$i:$i"))),0)</f>
        <v>0</v>
      </c>
      <c r="I107" s="512">
        <f ca="1">IFERROR(IF(OR(I$1=0,I$4="費用",I$126="附帯"),0,SUMIF(INDIRECT(I$2&amp;"!$ｎ:$ｎ"),入力規則マスタ!$J17,INDIRECT(I$2&amp;"!$i:$i"))),0)</f>
        <v>0</v>
      </c>
    </row>
    <row r="108" spans="1:14" s="463" customFormat="1" ht="13.5" customHeight="1">
      <c r="A108" s="466"/>
      <c r="B108" s="467"/>
      <c r="C108" s="1057" t="s">
        <v>404</v>
      </c>
      <c r="D108" s="1130" t="s">
        <v>405</v>
      </c>
      <c r="E108" s="1126">
        <v>5</v>
      </c>
      <c r="F108" s="1349"/>
      <c r="G108" s="1312">
        <f t="shared" ca="1" si="22"/>
        <v>0</v>
      </c>
      <c r="H108" s="512">
        <f ca="1">IFERROR(IF(OR(H$1=0,H$4="費用",H$126="附帯"),0,SUMIF(INDIRECT(H$2&amp;"!$ｎ:$ｎ"),入力規則マスタ!$J18,INDIRECT(H$2&amp;"!$i:$i"))),0)</f>
        <v>0</v>
      </c>
      <c r="I108" s="512">
        <f ca="1">IFERROR(IF(OR(I$1=0,I$4="費用",I$126="附帯"),0,SUMIF(INDIRECT(I$2&amp;"!$ｎ:$ｎ"),入力規則マスタ!$J18,INDIRECT(I$2&amp;"!$i:$i"))),0)</f>
        <v>0</v>
      </c>
    </row>
    <row r="109" spans="1:14" s="463" customFormat="1" ht="13.5" customHeight="1">
      <c r="A109" s="466"/>
      <c r="B109" s="467"/>
      <c r="C109" s="531" t="s">
        <v>406</v>
      </c>
      <c r="D109" s="1130" t="s">
        <v>2847</v>
      </c>
      <c r="E109" s="1126">
        <v>5</v>
      </c>
      <c r="F109" s="1349" t="s">
        <v>2852</v>
      </c>
      <c r="G109" s="1312">
        <f t="shared" ca="1" si="22"/>
        <v>0</v>
      </c>
      <c r="H109" s="512">
        <f ca="1">IFERROR(IF(OR(H$1=0,H$4="費用",H$126="附帯"),0,SUMIF(INDIRECT(H$2&amp;"!$ｎ:$ｎ"),入力規則マスタ!$J19,INDIRECT(H$2&amp;"!$i:$i"))),0)</f>
        <v>0</v>
      </c>
      <c r="I109" s="512">
        <f ca="1">IFERROR(IF(OR(I$1=0,I$4="費用",I$126="附帯"),0,SUMIF(INDIRECT(I$2&amp;"!$ｎ:$ｎ"),入力規則マスタ!$J19,INDIRECT(I$2&amp;"!$i:$i"))),0)</f>
        <v>0</v>
      </c>
    </row>
    <row r="110" spans="1:14" ht="13.5" customHeight="1">
      <c r="A110" s="466"/>
      <c r="B110" s="467"/>
      <c r="C110" s="531" t="s">
        <v>406</v>
      </c>
      <c r="D110" s="1130" t="s">
        <v>2847</v>
      </c>
      <c r="E110" s="1126">
        <v>5</v>
      </c>
      <c r="F110" s="1349" t="s">
        <v>2853</v>
      </c>
      <c r="G110" s="1312">
        <f t="shared" ca="1" si="22"/>
        <v>0</v>
      </c>
      <c r="H110" s="512">
        <f ca="1">IFERROR(IF(OR(H$1=0,H$4="費用",H$126="附帯"),0,SUMIF(INDIRECT(H$2&amp;"!$ｎ:$ｎ"),入力規則マスタ!$J20,INDIRECT(H$2&amp;"!$i:$i"))),0)</f>
        <v>0</v>
      </c>
      <c r="I110" s="512">
        <f ca="1">IFERROR(IF(OR(I$1=0,I$4="費用",I$126="附帯"),0,SUMIF(INDIRECT(I$2&amp;"!$ｎ:$ｎ"),入力規則マスタ!$J20,INDIRECT(I$2&amp;"!$i:$i"))),0)</f>
        <v>0</v>
      </c>
    </row>
    <row r="111" spans="1:14" ht="13.5" customHeight="1">
      <c r="A111" s="466"/>
      <c r="B111" s="467"/>
      <c r="C111" s="531" t="s">
        <v>406</v>
      </c>
      <c r="D111" s="1130" t="s">
        <v>2847</v>
      </c>
      <c r="E111" s="1126">
        <v>5</v>
      </c>
      <c r="F111" s="1349" t="s">
        <v>2854</v>
      </c>
      <c r="G111" s="1312">
        <f t="shared" ca="1" si="22"/>
        <v>0</v>
      </c>
      <c r="H111" s="512">
        <f ca="1">IFERROR(IF(OR(H$1=0,H$4="費用",H$126="附帯"),0,SUMIF(INDIRECT(H$2&amp;"!$ｎ:$ｎ"),入力規則マスタ!$J21,INDIRECT(H$2&amp;"!$i:$i"))),0)</f>
        <v>0</v>
      </c>
      <c r="I111" s="512">
        <f ca="1">IFERROR(IF(OR(I$1=0,I$4="費用",I$126="附帯"),0,SUMIF(INDIRECT(I$2&amp;"!$ｎ:$ｎ"),入力規則マスタ!$J21,INDIRECT(I$2&amp;"!$i:$i"))),0)</f>
        <v>0</v>
      </c>
    </row>
    <row r="112" spans="1:14" ht="13.5" customHeight="1">
      <c r="A112" s="466"/>
      <c r="B112" s="467"/>
      <c r="C112" s="531" t="s">
        <v>406</v>
      </c>
      <c r="D112" s="1130" t="s">
        <v>2847</v>
      </c>
      <c r="E112" s="1126">
        <v>5</v>
      </c>
      <c r="F112" s="1349" t="s">
        <v>2855</v>
      </c>
      <c r="G112" s="1312">
        <f t="shared" ca="1" si="22"/>
        <v>0</v>
      </c>
      <c r="H112" s="512">
        <f ca="1">IFERROR(IF(OR(H$1=0,H$4="費用",H$126="附帯"),0,SUMIF(INDIRECT(H$2&amp;"!$ｎ:$ｎ"),入力規則マスタ!$J22,INDIRECT(H$2&amp;"!$i:$i"))),0)</f>
        <v>0</v>
      </c>
      <c r="I112" s="512">
        <f ca="1">IFERROR(IF(OR(I$1=0,I$4="費用",I$126="附帯"),0,SUMIF(INDIRECT(I$2&amp;"!$ｎ:$ｎ"),入力規則マスタ!$J22,INDIRECT(I$2&amp;"!$i:$i"))),0)</f>
        <v>0</v>
      </c>
    </row>
    <row r="113" spans="1:9" ht="13.5" customHeight="1">
      <c r="A113" s="466"/>
      <c r="B113" s="467"/>
      <c r="C113" s="532" t="s">
        <v>407</v>
      </c>
      <c r="D113" s="1130" t="s">
        <v>408</v>
      </c>
      <c r="E113" s="1126">
        <v>5</v>
      </c>
      <c r="F113" s="1349"/>
      <c r="G113" s="1312">
        <f t="shared" ca="1" si="22"/>
        <v>0</v>
      </c>
      <c r="H113" s="512">
        <f ca="1">IFERROR(IF(OR(H$1=0,H$4="費用",H$126="附帯"),0,SUMIF(INDIRECT(H$2&amp;"!$ｎ:$ｎ"),入力規則マスタ!$J23,INDIRECT(H$2&amp;"!$i:$i"))),0)</f>
        <v>0</v>
      </c>
      <c r="I113" s="512">
        <f ca="1">IFERROR(IF(OR(I$1=0,I$4="費用",I$126="附帯"),0,SUMIF(INDIRECT(I$2&amp;"!$ｎ:$ｎ"),入力規則マスタ!$J23,INDIRECT(I$2&amp;"!$i:$i"))),0)</f>
        <v>0</v>
      </c>
    </row>
    <row r="114" spans="1:9" ht="13.5" customHeight="1">
      <c r="A114" s="466"/>
      <c r="B114" s="467"/>
      <c r="C114" s="532" t="s">
        <v>409</v>
      </c>
      <c r="D114" s="1130" t="s">
        <v>410</v>
      </c>
      <c r="E114" s="1126">
        <v>10</v>
      </c>
      <c r="F114" s="1349"/>
      <c r="G114" s="1312">
        <f t="shared" ca="1" si="22"/>
        <v>0</v>
      </c>
      <c r="H114" s="512">
        <f ca="1">IFERROR(IF(OR(H$1=0,H$4="費用",H$126="附帯"),0,SUMIF(INDIRECT(H$2&amp;"!$ｎ:$ｎ"),入力規則マスタ!$J24,INDIRECT(H$2&amp;"!$i:$i"))),0)</f>
        <v>0</v>
      </c>
      <c r="I114" s="512">
        <f ca="1">IFERROR(IF(OR(I$1=0,I$4="費用",I$126="附帯"),0,SUMIF(INDIRECT(I$2&amp;"!$ｎ:$ｎ"),入力規則マスタ!$J24,INDIRECT(I$2&amp;"!$i:$i"))),0)</f>
        <v>0</v>
      </c>
    </row>
    <row r="115" spans="1:9" ht="13.5" customHeight="1">
      <c r="A115" s="466"/>
      <c r="B115" s="467"/>
      <c r="C115" s="532" t="s">
        <v>411</v>
      </c>
      <c r="D115" s="1130" t="s">
        <v>412</v>
      </c>
      <c r="E115" s="1126">
        <v>5</v>
      </c>
      <c r="F115" s="1349"/>
      <c r="G115" s="1312">
        <f t="shared" ca="1" si="22"/>
        <v>0</v>
      </c>
      <c r="H115" s="512">
        <f ca="1">IFERROR(IF(OR(H$1=0,H$4="費用",H$126="附帯"),0,SUMIF(INDIRECT(H$2&amp;"!$ｎ:$ｎ"),入力規則マスタ!$J25,INDIRECT(H$2&amp;"!$i:$i"))),0)</f>
        <v>0</v>
      </c>
      <c r="I115" s="512">
        <f ca="1">IFERROR(IF(OR(I$1=0,I$4="費用",I$126="附帯"),0,SUMIF(INDIRECT(I$2&amp;"!$ｎ:$ｎ"),入力規則マスタ!$J25,INDIRECT(I$2&amp;"!$i:$i"))),0)</f>
        <v>0</v>
      </c>
    </row>
    <row r="116" spans="1:9" ht="13.5" customHeight="1">
      <c r="A116" s="466"/>
      <c r="B116" s="467"/>
      <c r="C116" s="1129"/>
      <c r="D116" s="1127"/>
      <c r="E116" s="1126"/>
      <c r="F116" s="1349"/>
      <c r="G116" s="1318"/>
      <c r="H116" s="512"/>
      <c r="I116" s="512"/>
    </row>
    <row r="117" spans="1:9" ht="13.5" customHeight="1" thickBot="1">
      <c r="A117" s="533"/>
      <c r="B117" s="534"/>
      <c r="C117" s="534"/>
      <c r="D117" s="534"/>
      <c r="E117" s="534"/>
      <c r="F117" s="1350" t="s">
        <v>413</v>
      </c>
      <c r="G117" s="1319">
        <f ca="1">SUM(H117:J117)</f>
        <v>0</v>
      </c>
      <c r="H117" s="1148">
        <f t="shared" ref="H117:I117" ca="1" si="23">SUM(H104:H116)</f>
        <v>0</v>
      </c>
      <c r="I117" s="1148">
        <f t="shared" ca="1" si="23"/>
        <v>0</v>
      </c>
    </row>
    <row r="118" spans="1:9" ht="13.5" customHeight="1" thickTop="1">
      <c r="A118" s="535"/>
      <c r="B118" s="536"/>
      <c r="C118" s="536"/>
      <c r="D118" s="536"/>
      <c r="E118" s="536"/>
      <c r="F118" s="1351" t="s">
        <v>414</v>
      </c>
      <c r="G118" s="1320">
        <f ca="1">SUM(H118:J118)</f>
        <v>0</v>
      </c>
      <c r="H118" s="537">
        <f t="shared" ref="H118:I118" ca="1" si="24">SUM(H79,H99,H117)</f>
        <v>0</v>
      </c>
      <c r="I118" s="537">
        <f t="shared" ca="1" si="24"/>
        <v>0</v>
      </c>
    </row>
    <row r="119" spans="1:9" ht="13.5" customHeight="1">
      <c r="F119" s="467" t="s">
        <v>2856</v>
      </c>
      <c r="G119" s="1150">
        <f>SUM(H119:J119)</f>
        <v>0</v>
      </c>
      <c r="H119" s="1063" t="str">
        <f>IF(表紙!$V$12="初回",変更諸経費表!H$81,IF(表紙!$V$12="２回目以降",'変更諸経費表 (第2回変更以降)'!H$81,""))</f>
        <v/>
      </c>
      <c r="I119" s="1063" t="str">
        <f>IF(表紙!$V$12="初回",変更諸経費表!I$81,IF(表紙!$V$12="２回目以降",'変更諸経費表 (第2回変更以降)'!I$81,""))</f>
        <v/>
      </c>
    </row>
    <row r="120" spans="1:9" ht="13.5" customHeight="1">
      <c r="F120" s="467" t="s">
        <v>2884</v>
      </c>
      <c r="G120" s="1150">
        <f>SUM(H120:J120)</f>
        <v>0</v>
      </c>
      <c r="H120" s="1063" t="str">
        <f>IF(表紙!$V$12="初回",SUM(変更諸経費表!H$8:H$9),IF(表紙!$V$12="２回目以降",SUM('変更諸経費表 (第2回変更以降)'!H$8:H9),""))</f>
        <v/>
      </c>
      <c r="I120" s="1063" t="str">
        <f>IF(表紙!$V$12="初回",SUM(変更諸経費表!I$8:I$9),IF(表紙!$V$12="２回目以降",SUM('変更諸経費表 (第2回変更以降)'!I$8:I9),""))</f>
        <v/>
      </c>
    </row>
    <row r="121" spans="1:9" s="463" customFormat="1" ht="13.5" customHeight="1">
      <c r="F121" s="1352" t="s">
        <v>2940</v>
      </c>
      <c r="H121" s="1353" t="b">
        <f>IF(表紙!$V$12="初回",変更諸経費表!H$304,IF(表紙!$V$12="２回目以降",'変更諸経費表 (第2回変更以降)'!H$304))</f>
        <v>0</v>
      </c>
      <c r="I121" s="1353" t="b">
        <f>IF(表紙!$V$12="初回",変更諸経費表!I$304,IF(表紙!$V$12="２回目以降",'変更諸経費表 (第2回変更以降)'!I$304))</f>
        <v>0</v>
      </c>
    </row>
    <row r="122" spans="1:9" s="463" customFormat="1" ht="13.5" customHeight="1">
      <c r="F122" s="1354" t="s">
        <v>2941</v>
      </c>
      <c r="H122" s="1353" t="b">
        <f>IF(表紙!$V$12="初回",変更諸経費表!H$3,IF(表紙!$V$12="２回目以降",'変更諸経費表 (第2回変更以降)'!H$3))</f>
        <v>0</v>
      </c>
      <c r="I122" s="1353" t="b">
        <f>IF(表紙!$V$12="初回",変更諸経費表!I$3,IF(表紙!$V$12="２回目以降",'変更諸経費表 (第2回変更以降)'!I$3))</f>
        <v>0</v>
      </c>
    </row>
    <row r="123" spans="1:9" s="463" customFormat="1" ht="13.5" customHeight="1">
      <c r="H123" s="1353" t="b">
        <f>IF(表紙!$V$12="初回",変更諸経費表!H$4,IF(表紙!$V$12="２回目以降",'変更諸経費表 (第2回変更以降)'!H$4))</f>
        <v>0</v>
      </c>
      <c r="I123" s="1353" t="b">
        <f>IF(表紙!$V$12="初回",変更諸経費表!I$4,IF(表紙!$V$12="２回目以降",'変更諸経費表 (第2回変更以降)'!I$4))</f>
        <v>0</v>
      </c>
    </row>
    <row r="124" spans="1:9" s="463" customFormat="1" ht="13.5" customHeight="1">
      <c r="H124" s="1355"/>
      <c r="I124" s="1355"/>
    </row>
    <row r="125" spans="1:9" s="463" customFormat="1" ht="13.5" customHeight="1">
      <c r="H125" s="1355"/>
      <c r="I125" s="1355"/>
    </row>
    <row r="126" spans="1:9" s="463" customFormat="1" ht="13.5" customHeight="1">
      <c r="F126" s="1128"/>
      <c r="G126" s="1128" t="s">
        <v>2942</v>
      </c>
      <c r="H126" s="1355" t="str">
        <f t="shared" ref="H126:I126" ca="1" si="25">IFERROR(IF((INDIRECT(H$2&amp;"!＄n＄1"))="附帯工事明細","附帯","建築"),"")</f>
        <v/>
      </c>
      <c r="I126" s="1355" t="str">
        <f t="shared" ca="1" si="25"/>
        <v/>
      </c>
    </row>
  </sheetData>
  <sheetProtection selectLockedCells="1" selectUnlockedCells="1"/>
  <mergeCells count="9">
    <mergeCell ref="L1:M1"/>
    <mergeCell ref="E102:E103"/>
    <mergeCell ref="B103:D103"/>
    <mergeCell ref="E9:E11"/>
    <mergeCell ref="E12:E14"/>
    <mergeCell ref="E21:E22"/>
    <mergeCell ref="B22:D22"/>
    <mergeCell ref="E80:E81"/>
    <mergeCell ref="B81:D81"/>
  </mergeCells>
  <phoneticPr fontId="6"/>
  <conditionalFormatting sqref="G102:G103 G21:G22">
    <cfRule type="expression" dxfId="3" priority="4" stopIfTrue="1">
      <formula>AND($G$79&gt;5000000,OR($F$18="無し",$F$18="なし"))</formula>
    </cfRule>
  </conditionalFormatting>
  <conditionalFormatting sqref="G80">
    <cfRule type="expression" dxfId="2" priority="3" stopIfTrue="1">
      <formula>AND($G$79&gt;5000000,OR($F$18="無し",$F$18="なし"))</formula>
    </cfRule>
  </conditionalFormatting>
  <conditionalFormatting sqref="G81">
    <cfRule type="expression" dxfId="1" priority="2" stopIfTrue="1">
      <formula>AND($G$79&gt;5000000,OR($F$18="無し",$F$18="なし"))</formula>
    </cfRule>
  </conditionalFormatting>
  <conditionalFormatting sqref="G86">
    <cfRule type="expression" dxfId="0" priority="1" stopIfTrue="1">
      <formula>AND($G$79&gt;5000000,OR($F$18="無し",$F$18="なし"))</formula>
    </cfRule>
  </conditionalFormatting>
  <dataValidations count="3">
    <dataValidation type="list" allowBlank="1" showInputMessage="1" showErrorMessage="1" sqref="H86:I86" xr:uid="{00000000-0002-0000-0600-000000000000}">
      <formula1>OFFSET(INDIRECT("入力規則マスタ!$L$3"),0,0,COUNTA(INDIRECT("入力規則マスタ!$L:$L"))-1,1)</formula1>
    </dataValidation>
    <dataValidation type="list" allowBlank="1" showInputMessage="1" showErrorMessage="1" sqref="H4:I4" xr:uid="{00000000-0002-0000-0600-000001000000}">
      <formula1>"資産,費用"</formula1>
    </dataValidation>
    <dataValidation type="list" allowBlank="1" showInputMessage="1" showErrorMessage="1" sqref="H22:I22" xr:uid="{00000000-0002-0000-0600-000002000000}">
      <formula1>OFFSET(INDIRECT("入力規則マスタ!$K$3"),0,0,COUNTA(INDIRECT("入力規則マスタ!$K:$K"))-1,1)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48" fitToHeight="0" orientation="portrait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22" r:id="rId4" name="Button 26">
              <controlPr defaultSize="0" print="0" autoFill="0" autoPict="0" macro="[0]!資産クラス入力フォーム呼出し">
                <anchor moveWithCells="1" sizeWithCells="1">
                  <from>
                    <xdr:col>12</xdr:col>
                    <xdr:colOff>317500</xdr:colOff>
                    <xdr:row>1</xdr:row>
                    <xdr:rowOff>152400</xdr:rowOff>
                  </from>
                  <to>
                    <xdr:col>12</xdr:col>
                    <xdr:colOff>1955800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AI94"/>
  <sheetViews>
    <sheetView zoomScale="80" zoomScaleNormal="80" zoomScaleSheetLayoutView="70" workbookViewId="0"/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5" style="1" customWidth="1"/>
    <col min="14" max="14" width="19.6640625" style="1" customWidth="1"/>
    <col min="15" max="16" width="5.33203125" style="39" customWidth="1"/>
    <col min="17" max="34" width="5.33203125" style="1" customWidth="1"/>
    <col min="35" max="16384" width="6.6640625" style="1"/>
  </cols>
  <sheetData>
    <row r="1" spans="1:34" ht="26.25" customHeight="1" thickBot="1">
      <c r="J1" s="917" t="str">
        <f ca="1">J5&amp;"の工期"</f>
        <v>工事1の工期</v>
      </c>
      <c r="K1" s="1402"/>
      <c r="L1" s="1075"/>
      <c r="M1" s="1076" t="s">
        <v>2858</v>
      </c>
    </row>
    <row r="2" spans="1:34" ht="26.25" customHeight="1">
      <c r="C2" s="37" t="s">
        <v>3087</v>
      </c>
      <c r="E2" s="36" t="s">
        <v>49</v>
      </c>
      <c r="F2" s="79">
        <f>VLOOKUP("EOL",表紙!$P$4:$Q$65467,2,FALSE)</f>
        <v>3</v>
      </c>
      <c r="G2" s="1" t="s">
        <v>188</v>
      </c>
      <c r="H2" s="4">
        <f>表紙!H25</f>
        <v>7</v>
      </c>
      <c r="I2" s="4" t="s">
        <v>55</v>
      </c>
      <c r="J2" s="39">
        <f>VLOOKUP("EOL",$M$25:$N$65329,2,FALSE)</f>
        <v>7</v>
      </c>
      <c r="K2" s="1076" t="s">
        <v>2857</v>
      </c>
    </row>
    <row r="3" spans="1:34" ht="26.25" customHeight="1" thickBot="1">
      <c r="C3" s="2224" t="s">
        <v>3133</v>
      </c>
      <c r="D3" s="2224"/>
      <c r="E3" s="2224"/>
      <c r="F3" s="2224"/>
      <c r="G3" s="2224"/>
      <c r="H3" s="2224"/>
      <c r="I3" s="2224"/>
      <c r="J3" s="2224"/>
      <c r="K3" s="2224"/>
      <c r="L3" s="2224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4" ht="42" customHeight="1">
      <c r="A4" s="5" t="s">
        <v>10</v>
      </c>
      <c r="B4" s="5" t="s">
        <v>9</v>
      </c>
      <c r="C4" s="1650" t="s">
        <v>0</v>
      </c>
      <c r="D4" s="1651"/>
      <c r="E4" s="1652" t="s">
        <v>1</v>
      </c>
      <c r="F4" s="1653" t="s">
        <v>2</v>
      </c>
      <c r="G4" s="1653" t="s">
        <v>3</v>
      </c>
      <c r="H4" s="1654" t="s">
        <v>4</v>
      </c>
      <c r="I4" s="1654" t="s">
        <v>5</v>
      </c>
      <c r="J4" s="2225" t="s">
        <v>6</v>
      </c>
      <c r="K4" s="2226"/>
      <c r="L4" s="2227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4" ht="24" customHeight="1" thickBot="1">
      <c r="A5" s="38"/>
      <c r="B5" s="38"/>
      <c r="C5" s="1655" t="str">
        <f>+C2</f>
        <v>建築工事</v>
      </c>
      <c r="D5" s="1656"/>
      <c r="E5" s="1657"/>
      <c r="F5" s="1658"/>
      <c r="G5" s="1659"/>
      <c r="H5" s="1660" t="s">
        <v>11</v>
      </c>
      <c r="I5" s="1660" t="s">
        <v>11</v>
      </c>
      <c r="J5" s="2233" t="str">
        <f ca="1">RIGHT(CELL("filename",$A$1),LEN(CELL("filename",$A$1))-FIND("]",CELL("filename",$A$1)))</f>
        <v>工事1</v>
      </c>
      <c r="K5" s="2234"/>
      <c r="L5" s="2235"/>
      <c r="M5" s="39"/>
      <c r="N5" s="39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</row>
    <row r="6" spans="1:34" ht="24" customHeight="1" thickBot="1">
      <c r="A6" s="38"/>
      <c r="B6" s="38"/>
      <c r="C6" s="185" t="s">
        <v>141</v>
      </c>
      <c r="D6" s="62"/>
      <c r="E6" s="95"/>
      <c r="F6" s="263"/>
      <c r="G6" s="111"/>
      <c r="H6" s="97"/>
      <c r="I6" s="97"/>
      <c r="J6" s="917" t="str">
        <f ca="1">+$J$1</f>
        <v>工事1の工期</v>
      </c>
      <c r="K6" s="918">
        <f>+$K$1</f>
        <v>0</v>
      </c>
      <c r="L6" s="919">
        <f>+$L$1</f>
        <v>0</v>
      </c>
      <c r="M6" s="1077"/>
      <c r="N6" s="39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</row>
    <row r="7" spans="1:34" ht="24" customHeight="1">
      <c r="A7" s="38"/>
      <c r="B7" s="38"/>
      <c r="C7" s="98"/>
      <c r="D7" s="62" t="s">
        <v>2159</v>
      </c>
      <c r="E7" s="95"/>
      <c r="F7" s="263">
        <v>1</v>
      </c>
      <c r="G7" s="111" t="s">
        <v>7</v>
      </c>
      <c r="H7" s="97"/>
      <c r="I7" s="97">
        <f>I70</f>
        <v>0</v>
      </c>
      <c r="J7" s="62"/>
      <c r="K7" s="62"/>
      <c r="L7" s="63"/>
      <c r="M7" s="1077"/>
      <c r="N7" s="39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</row>
    <row r="8" spans="1:34" ht="24" customHeight="1">
      <c r="A8" s="38"/>
      <c r="B8" s="38"/>
      <c r="C8" s="98"/>
      <c r="D8" s="62" t="s">
        <v>3136</v>
      </c>
      <c r="E8" s="95"/>
      <c r="F8" s="263">
        <v>1</v>
      </c>
      <c r="G8" s="111" t="s">
        <v>7</v>
      </c>
      <c r="H8" s="97"/>
      <c r="I8" s="97">
        <f>I93</f>
        <v>0</v>
      </c>
      <c r="J8" s="62"/>
      <c r="K8" s="62"/>
      <c r="L8" s="63"/>
      <c r="M8" s="1077"/>
      <c r="N8" s="39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</row>
    <row r="9" spans="1:34" ht="24" customHeight="1">
      <c r="A9" s="38"/>
      <c r="B9" s="38"/>
      <c r="C9" s="98"/>
      <c r="D9" s="62"/>
      <c r="E9" s="95"/>
      <c r="F9" s="263"/>
      <c r="G9" s="111"/>
      <c r="H9" s="97"/>
      <c r="I9" s="97"/>
      <c r="J9" s="62"/>
      <c r="K9" s="62"/>
      <c r="L9" s="63"/>
      <c r="M9" s="1077"/>
      <c r="N9" s="3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</row>
    <row r="10" spans="1:34" ht="24" customHeight="1">
      <c r="A10" s="38"/>
      <c r="B10" s="38"/>
      <c r="C10" s="98"/>
      <c r="D10" s="62"/>
      <c r="E10" s="95"/>
      <c r="F10" s="263"/>
      <c r="G10" s="111"/>
      <c r="H10" s="97"/>
      <c r="I10" s="97"/>
      <c r="J10" s="62"/>
      <c r="K10" s="62"/>
      <c r="L10" s="63"/>
      <c r="M10" s="1077"/>
      <c r="N10" s="39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34" ht="24" customHeight="1">
      <c r="A11" s="38"/>
      <c r="B11" s="38"/>
      <c r="C11" s="98"/>
      <c r="D11" s="62"/>
      <c r="E11" s="95"/>
      <c r="F11" s="263"/>
      <c r="G11" s="111"/>
      <c r="H11" s="97"/>
      <c r="I11" s="97"/>
      <c r="J11" s="62"/>
      <c r="K11" s="62"/>
      <c r="L11" s="63"/>
      <c r="M11" s="1077"/>
      <c r="N11" s="39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12" spans="1:34" s="39" customFormat="1" ht="24" customHeight="1">
      <c r="A12" s="38"/>
      <c r="B12" s="38"/>
      <c r="C12" s="98"/>
      <c r="D12" s="62"/>
      <c r="E12" s="95"/>
      <c r="F12" s="263"/>
      <c r="G12" s="111"/>
      <c r="H12" s="97"/>
      <c r="I12" s="97"/>
      <c r="J12" s="62"/>
      <c r="K12" s="62"/>
      <c r="L12" s="63"/>
      <c r="M12" s="1077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34" ht="24" customHeight="1">
      <c r="A13" s="38"/>
      <c r="B13" s="38"/>
      <c r="C13" s="98"/>
      <c r="D13" s="62"/>
      <c r="E13" s="95"/>
      <c r="F13" s="263"/>
      <c r="G13" s="111"/>
      <c r="H13" s="97"/>
      <c r="I13" s="97"/>
      <c r="J13" s="62"/>
      <c r="K13" s="62"/>
      <c r="L13" s="63"/>
      <c r="M13" s="1077"/>
      <c r="N13" s="39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  <row r="14" spans="1:34" ht="24" customHeight="1">
      <c r="A14" s="38"/>
      <c r="B14" s="38"/>
      <c r="C14" s="98"/>
      <c r="D14" s="62"/>
      <c r="E14" s="95"/>
      <c r="F14" s="263"/>
      <c r="G14" s="111"/>
      <c r="H14" s="97"/>
      <c r="I14" s="97"/>
      <c r="J14" s="62"/>
      <c r="K14" s="62"/>
      <c r="L14" s="63"/>
      <c r="M14" s="1077"/>
      <c r="N14" s="39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</row>
    <row r="15" spans="1:34" s="39" customFormat="1" ht="24" customHeight="1">
      <c r="A15" s="38"/>
      <c r="B15" s="38"/>
      <c r="C15" s="98"/>
      <c r="D15" s="62"/>
      <c r="E15" s="95"/>
      <c r="F15" s="263"/>
      <c r="G15" s="111"/>
      <c r="H15" s="97"/>
      <c r="I15" s="97"/>
      <c r="J15" s="62"/>
      <c r="K15" s="62"/>
      <c r="L15" s="63"/>
      <c r="M15" s="1077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</row>
    <row r="16" spans="1:34" ht="24" customHeight="1">
      <c r="A16" s="38"/>
      <c r="B16" s="38"/>
      <c r="C16" s="98"/>
      <c r="D16" s="62" t="s">
        <v>47</v>
      </c>
      <c r="E16" s="95"/>
      <c r="F16" s="263"/>
      <c r="G16" s="111"/>
      <c r="H16" s="97"/>
      <c r="I16" s="97">
        <f>SUM(I7:I15)</f>
        <v>0</v>
      </c>
      <c r="J16" s="566" t="str">
        <f>IF(COUNTIF(N:N,"費用")=0,"","うち費用")</f>
        <v/>
      </c>
      <c r="K16" s="567" t="str">
        <f>IF(COUNTIF(N:N,"費用")=0,"",SUMIF(N:N,"費用",I:I))</f>
        <v/>
      </c>
      <c r="L16" s="63"/>
      <c r="M16" s="1077" t="s">
        <v>2371</v>
      </c>
      <c r="N16" s="39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</row>
    <row r="17" spans="1:35" s="39" customFormat="1" ht="24" customHeight="1">
      <c r="A17" s="38"/>
      <c r="B17" s="38"/>
      <c r="C17" s="98"/>
      <c r="D17" s="112"/>
      <c r="E17" s="95"/>
      <c r="F17" s="263"/>
      <c r="G17" s="111"/>
      <c r="H17" s="97"/>
      <c r="I17" s="97"/>
      <c r="J17" s="62"/>
      <c r="K17" s="62"/>
      <c r="L17" s="63"/>
      <c r="M17" s="107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5" ht="24" customHeight="1">
      <c r="A18" s="38"/>
      <c r="B18" s="38"/>
      <c r="C18" s="185" t="s">
        <v>142</v>
      </c>
      <c r="D18" s="62"/>
      <c r="E18" s="95"/>
      <c r="F18" s="263"/>
      <c r="G18" s="111"/>
      <c r="H18" s="97"/>
      <c r="I18" s="97"/>
      <c r="J18" s="62"/>
      <c r="K18" s="62"/>
      <c r="L18" s="63"/>
      <c r="M18" s="1077"/>
      <c r="N18" s="39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5" ht="24" customHeight="1">
      <c r="A19" s="38"/>
      <c r="B19" s="38"/>
      <c r="C19" s="98"/>
      <c r="D19" s="62" t="s">
        <v>143</v>
      </c>
      <c r="E19" s="95"/>
      <c r="F19" s="263">
        <v>1</v>
      </c>
      <c r="G19" s="111" t="s">
        <v>2143</v>
      </c>
      <c r="H19" s="97"/>
      <c r="I19" s="97" t="e">
        <f>I47</f>
        <v>#VALUE!</v>
      </c>
      <c r="J19" s="62"/>
      <c r="K19" s="62"/>
      <c r="L19" s="63"/>
      <c r="M19" s="1077"/>
      <c r="N19" s="3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5" ht="24" customHeight="1">
      <c r="A20" s="38"/>
      <c r="B20" s="38"/>
      <c r="C20" s="98"/>
      <c r="D20" s="1080" t="s">
        <v>2386</v>
      </c>
      <c r="E20" s="95"/>
      <c r="F20" s="263">
        <v>1</v>
      </c>
      <c r="G20" s="111" t="s">
        <v>2143</v>
      </c>
      <c r="H20" s="97"/>
      <c r="I20" s="1078" t="str">
        <f>IF(表紙!$V$12="初回",HLOOKUP($J$5,変更諸経費表!$3:$83,66,FALSE),IF(表紙!$V$12="２回目以降",HLOOKUP($J$5,'変更諸経費表 (第2回変更以降)'!$3:$83,66,FALSE),""))</f>
        <v/>
      </c>
      <c r="J20" s="1219"/>
      <c r="K20" s="1080"/>
      <c r="L20" s="63"/>
      <c r="M20" s="1077"/>
      <c r="N20" s="39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5" ht="24" customHeight="1">
      <c r="A21" s="38"/>
      <c r="B21" s="38"/>
      <c r="C21" s="98"/>
      <c r="D21" s="1080" t="s">
        <v>2387</v>
      </c>
      <c r="E21" s="95"/>
      <c r="F21" s="263">
        <v>1</v>
      </c>
      <c r="G21" s="111" t="s">
        <v>2143</v>
      </c>
      <c r="H21" s="97"/>
      <c r="I21" s="1078" t="str">
        <f>IF(表紙!$V$12="初回",HLOOKUP($J$5,変更諸経費表!$3:$83,74,FALSE),IF(表紙!$V$12="２回目以降",HLOOKUP($J$5,'変更諸経費表 (第2回変更以降)'!$3:$83,74,FALSE),""))</f>
        <v/>
      </c>
      <c r="J21" s="1080"/>
      <c r="K21" s="1080"/>
      <c r="L21" s="63"/>
      <c r="M21" s="1077"/>
      <c r="N21" s="39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5" ht="24" customHeight="1">
      <c r="A22" s="38"/>
      <c r="B22" s="38"/>
      <c r="C22" s="98"/>
      <c r="D22" s="1080" t="s">
        <v>2388</v>
      </c>
      <c r="E22" s="95"/>
      <c r="F22" s="263"/>
      <c r="G22" s="111"/>
      <c r="H22" s="97"/>
      <c r="I22" s="1078" t="e">
        <f>SUM(I19:I21)</f>
        <v>#VALUE!</v>
      </c>
      <c r="J22" s="1080"/>
      <c r="K22" s="1080"/>
      <c r="L22" s="63"/>
      <c r="M22" s="1077"/>
      <c r="N22" s="39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5" s="39" customFormat="1" ht="24" customHeight="1">
      <c r="A23" s="38"/>
      <c r="B23" s="38"/>
      <c r="C23" s="98"/>
      <c r="D23" s="1080" t="s">
        <v>2389</v>
      </c>
      <c r="E23" s="95"/>
      <c r="F23" s="263"/>
      <c r="G23" s="111"/>
      <c r="H23" s="97"/>
      <c r="I23" s="1078" t="e">
        <f>I16+I22</f>
        <v>#VALUE!</v>
      </c>
      <c r="J23" s="2067" t="s">
        <v>2943</v>
      </c>
      <c r="K23" s="2068" t="str">
        <f>IF(表紙!$V$12="初回",変更諸経費表!$G$4,IF(表紙!$V$12="２回目以降",'変更諸経費表 (第2回変更以降)'!$G$4,""))</f>
        <v/>
      </c>
      <c r="L23" s="2069" t="str">
        <f>IF(表紙!$V$12="初回",HLOOKUP($J$5,変更諸経費表!$3:$83,79,FALSE),IF(表紙!$V$12="２回目以降",HLOOKUP($J$5,'変更諸経費表 (第2回変更以降)'!$3:$83,79,FALSE),""))</f>
        <v/>
      </c>
      <c r="M23" s="1077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5" ht="24" customHeight="1" thickBot="1">
      <c r="A24" s="38"/>
      <c r="B24" s="38"/>
      <c r="C24" s="99"/>
      <c r="D24" s="1081" t="s">
        <v>3140</v>
      </c>
      <c r="E24" s="100"/>
      <c r="F24" s="264"/>
      <c r="G24" s="114"/>
      <c r="H24" s="115"/>
      <c r="I24" s="1220" t="e">
        <f>IF(I23&lt;0,ROUNDUP(I23*K23,-3),ROUNDDOWN(I23*K23,-3))</f>
        <v>#VALUE!</v>
      </c>
      <c r="J24" s="1081" t="e">
        <f>IF(I24=L23,"","←ERROR")</f>
        <v>#VALUE!</v>
      </c>
      <c r="K24" s="1221"/>
      <c r="L24" s="116"/>
      <c r="M24" s="1085" t="s">
        <v>2746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5" ht="14.25" customHeight="1">
      <c r="E25" s="117" t="s">
        <v>84</v>
      </c>
      <c r="F25" s="118">
        <f>+F2+1</f>
        <v>4</v>
      </c>
      <c r="G25" s="119" t="s">
        <v>48</v>
      </c>
      <c r="H25" s="120">
        <f>H2</f>
        <v>7</v>
      </c>
      <c r="M25" s="33" t="str">
        <f>IF(A27="","EOL","")</f>
        <v/>
      </c>
      <c r="N25" s="1">
        <f>+F25</f>
        <v>4</v>
      </c>
    </row>
    <row r="26" spans="1:35" ht="26.25" customHeight="1" thickBot="1">
      <c r="C26" s="2224" t="s">
        <v>3133</v>
      </c>
      <c r="D26" s="2224"/>
      <c r="E26" s="2224"/>
      <c r="F26" s="2224"/>
      <c r="G26" s="2224"/>
      <c r="H26" s="2224"/>
      <c r="I26" s="2224"/>
      <c r="J26" s="2224"/>
      <c r="K26" s="2224"/>
      <c r="L26" s="2224"/>
      <c r="O26" s="2228" t="s">
        <v>129</v>
      </c>
      <c r="P26" s="2228"/>
      <c r="Q26" s="2228"/>
      <c r="R26" s="2228"/>
      <c r="S26" s="2228"/>
      <c r="T26" s="2228"/>
      <c r="U26" s="2228"/>
      <c r="V26" s="2228"/>
      <c r="W26" s="2228"/>
      <c r="X26" s="2228"/>
      <c r="Y26" s="2228"/>
      <c r="Z26" s="2228"/>
      <c r="AA26" s="2228"/>
      <c r="AB26" s="2228"/>
      <c r="AC26" s="2228"/>
      <c r="AD26" s="2228"/>
      <c r="AE26" s="2228"/>
      <c r="AF26" s="2228"/>
      <c r="AG26" s="2228"/>
      <c r="AH26" s="2229"/>
    </row>
    <row r="27" spans="1:35" ht="42" customHeight="1">
      <c r="A27" s="5" t="s">
        <v>10</v>
      </c>
      <c r="B27" s="5" t="s">
        <v>9</v>
      </c>
      <c r="C27" s="1661" t="s">
        <v>0</v>
      </c>
      <c r="D27" s="1662"/>
      <c r="E27" s="1663" t="s">
        <v>1</v>
      </c>
      <c r="F27" s="1664" t="s">
        <v>2</v>
      </c>
      <c r="G27" s="1664" t="s">
        <v>3</v>
      </c>
      <c r="H27" s="1665" t="s">
        <v>4</v>
      </c>
      <c r="I27" s="1665" t="s">
        <v>5</v>
      </c>
      <c r="J27" s="1662" t="s">
        <v>6</v>
      </c>
      <c r="K27" s="1662"/>
      <c r="L27" s="1666"/>
      <c r="M27" s="39"/>
      <c r="N27" s="39"/>
      <c r="O27" s="148" t="s">
        <v>66</v>
      </c>
      <c r="P27" s="359" t="s">
        <v>259</v>
      </c>
      <c r="Q27" s="265" t="s">
        <v>299</v>
      </c>
      <c r="R27" s="265" t="s">
        <v>208</v>
      </c>
      <c r="S27" s="265" t="s">
        <v>209</v>
      </c>
      <c r="T27" s="265" t="s">
        <v>260</v>
      </c>
      <c r="U27" s="265" t="s">
        <v>123</v>
      </c>
      <c r="V27" s="147" t="s">
        <v>122</v>
      </c>
      <c r="W27" s="265" t="s">
        <v>261</v>
      </c>
      <c r="X27" s="214" t="s">
        <v>210</v>
      </c>
      <c r="Y27" s="214" t="s">
        <v>211</v>
      </c>
      <c r="Z27" s="214" t="s">
        <v>212</v>
      </c>
      <c r="AA27" s="214" t="s">
        <v>213</v>
      </c>
      <c r="AB27" s="214" t="s">
        <v>262</v>
      </c>
      <c r="AC27" s="426" t="s">
        <v>308</v>
      </c>
      <c r="AD27" s="427" t="s">
        <v>309</v>
      </c>
      <c r="AE27" s="428" t="s">
        <v>125</v>
      </c>
      <c r="AF27" s="146" t="s">
        <v>128</v>
      </c>
      <c r="AG27" s="146" t="s">
        <v>126</v>
      </c>
      <c r="AH27" s="146" t="s">
        <v>127</v>
      </c>
    </row>
    <row r="28" spans="1:35" ht="24" customHeight="1">
      <c r="A28" s="38"/>
      <c r="B28" s="38"/>
      <c r="C28" s="1667" t="s">
        <v>144</v>
      </c>
      <c r="D28" s="1668"/>
      <c r="E28" s="1657"/>
      <c r="F28" s="1658"/>
      <c r="G28" s="1669"/>
      <c r="H28" s="1670" t="s">
        <v>11</v>
      </c>
      <c r="I28" s="1670" t="s">
        <v>11</v>
      </c>
      <c r="J28" s="2230"/>
      <c r="K28" s="2231"/>
      <c r="L28" s="2232"/>
      <c r="O28" s="217"/>
      <c r="P28" s="218"/>
      <c r="Q28" s="219"/>
      <c r="R28" s="219"/>
      <c r="S28" s="219"/>
      <c r="T28" s="219"/>
      <c r="U28" s="219"/>
      <c r="V28" s="219"/>
      <c r="W28" s="219"/>
      <c r="X28" s="220"/>
      <c r="Y28" s="220"/>
      <c r="Z28" s="220"/>
      <c r="AA28" s="220"/>
      <c r="AB28" s="220"/>
      <c r="AC28" s="219"/>
      <c r="AD28" s="429"/>
      <c r="AE28" s="430"/>
      <c r="AF28" s="219"/>
      <c r="AG28" s="219"/>
      <c r="AH28" s="431"/>
    </row>
    <row r="29" spans="1:35" s="39" customFormat="1" ht="24" customHeight="1">
      <c r="A29" s="38"/>
      <c r="B29" s="38"/>
      <c r="C29" s="98"/>
      <c r="D29" s="62" t="s">
        <v>2144</v>
      </c>
      <c r="E29" s="95"/>
      <c r="F29" s="263"/>
      <c r="G29" s="111"/>
      <c r="H29" s="130"/>
      <c r="I29" s="97" t="str">
        <f t="shared" ref="I29:I46" si="0">IF(F29="","",INT(F29*H29))</f>
        <v/>
      </c>
      <c r="J29" s="62"/>
      <c r="K29" s="62"/>
      <c r="L29" s="63"/>
      <c r="O29" s="217"/>
      <c r="P29" s="218"/>
      <c r="Q29" s="219"/>
      <c r="R29" s="219"/>
      <c r="S29" s="219"/>
      <c r="T29" s="219"/>
      <c r="U29" s="219"/>
      <c r="V29" s="219"/>
      <c r="W29" s="219"/>
      <c r="X29" s="220"/>
      <c r="Y29" s="220"/>
      <c r="Z29" s="220"/>
      <c r="AA29" s="220"/>
      <c r="AB29" s="220"/>
      <c r="AC29" s="219"/>
      <c r="AD29" s="429"/>
      <c r="AE29" s="430"/>
      <c r="AF29" s="219"/>
      <c r="AG29" s="219"/>
      <c r="AH29" s="219"/>
      <c r="AI29" s="548"/>
    </row>
    <row r="30" spans="1:35" s="39" customFormat="1" ht="24" customHeight="1">
      <c r="A30" s="38"/>
      <c r="B30" s="38"/>
      <c r="C30" s="98"/>
      <c r="D30" s="62" t="s">
        <v>2141</v>
      </c>
      <c r="E30" s="95"/>
      <c r="F30" s="263">
        <v>1</v>
      </c>
      <c r="G30" s="111" t="s">
        <v>2142</v>
      </c>
      <c r="H30" s="1222" t="str">
        <f>IF(表紙!$V$12="初回",HLOOKUP($J$5,変更諸経費表!$3:$83,21,FALSE),IF(表紙!$V$12="２回目以降",HLOOKUP($J$5,'変更諸経費表 (第2回変更以降)'!$3:$83,21,FALSE),""))</f>
        <v/>
      </c>
      <c r="I30" s="97" t="e">
        <f t="shared" si="0"/>
        <v>#VALUE!</v>
      </c>
      <c r="J30" s="62"/>
      <c r="K30" s="62"/>
      <c r="L30" s="63"/>
      <c r="O30" s="217"/>
      <c r="P30" s="218"/>
      <c r="Q30" s="219"/>
      <c r="R30" s="219"/>
      <c r="S30" s="219"/>
      <c r="T30" s="219"/>
      <c r="U30" s="219"/>
      <c r="V30" s="219"/>
      <c r="W30" s="219"/>
      <c r="X30" s="220"/>
      <c r="Y30" s="220"/>
      <c r="Z30" s="220"/>
      <c r="AA30" s="220"/>
      <c r="AB30" s="220"/>
      <c r="AC30" s="219"/>
      <c r="AD30" s="429"/>
      <c r="AE30" s="430"/>
      <c r="AF30" s="219"/>
      <c r="AG30" s="219"/>
      <c r="AH30" s="219"/>
      <c r="AI30" s="548"/>
    </row>
    <row r="31" spans="1:35" s="39" customFormat="1" ht="24" customHeight="1">
      <c r="A31" s="38"/>
      <c r="B31" s="38"/>
      <c r="C31" s="98"/>
      <c r="D31" s="62"/>
      <c r="E31" s="95"/>
      <c r="F31" s="263"/>
      <c r="G31" s="111"/>
      <c r="H31" s="130"/>
      <c r="I31" s="97" t="str">
        <f t="shared" si="0"/>
        <v/>
      </c>
      <c r="J31" s="62"/>
      <c r="K31" s="62"/>
      <c r="L31" s="63"/>
      <c r="O31" s="217"/>
      <c r="P31" s="218"/>
      <c r="Q31" s="219"/>
      <c r="R31" s="219"/>
      <c r="S31" s="219"/>
      <c r="T31" s="219"/>
      <c r="U31" s="219"/>
      <c r="V31" s="219"/>
      <c r="W31" s="219"/>
      <c r="X31" s="220"/>
      <c r="Y31" s="220"/>
      <c r="Z31" s="220"/>
      <c r="AA31" s="220"/>
      <c r="AB31" s="220"/>
      <c r="AC31" s="219"/>
      <c r="AD31" s="429"/>
      <c r="AE31" s="430"/>
      <c r="AF31" s="219"/>
      <c r="AG31" s="219"/>
      <c r="AH31" s="219"/>
      <c r="AI31" s="548"/>
    </row>
    <row r="32" spans="1:35" s="39" customFormat="1" ht="24" customHeight="1">
      <c r="A32" s="38"/>
      <c r="B32" s="38"/>
      <c r="C32" s="1390"/>
      <c r="D32" s="1391" t="s">
        <v>2145</v>
      </c>
      <c r="E32" s="1392"/>
      <c r="F32" s="1393"/>
      <c r="G32" s="1394"/>
      <c r="H32" s="1395"/>
      <c r="I32" s="1396" t="e">
        <f>SUM(I30:I31)</f>
        <v>#VALUE!</v>
      </c>
      <c r="J32" s="1391"/>
      <c r="K32" s="1391"/>
      <c r="L32" s="1397"/>
      <c r="O32" s="217"/>
      <c r="P32" s="218"/>
      <c r="Q32" s="219"/>
      <c r="R32" s="219"/>
      <c r="S32" s="219"/>
      <c r="T32" s="219"/>
      <c r="U32" s="219"/>
      <c r="V32" s="219"/>
      <c r="W32" s="219"/>
      <c r="X32" s="220"/>
      <c r="Y32" s="220"/>
      <c r="Z32" s="220"/>
      <c r="AA32" s="220"/>
      <c r="AB32" s="220"/>
      <c r="AC32" s="219"/>
      <c r="AD32" s="429"/>
      <c r="AE32" s="430"/>
      <c r="AF32" s="219"/>
      <c r="AG32" s="219"/>
      <c r="AH32" s="219"/>
      <c r="AI32" s="548"/>
    </row>
    <row r="33" spans="1:35" s="39" customFormat="1" ht="24" customHeight="1">
      <c r="A33" s="38"/>
      <c r="B33" s="38"/>
      <c r="C33" s="1671"/>
      <c r="D33" s="1668"/>
      <c r="E33" s="1657"/>
      <c r="F33" s="1672"/>
      <c r="G33" s="1669"/>
      <c r="H33" s="1673"/>
      <c r="I33" s="1674" t="str">
        <f t="shared" si="0"/>
        <v/>
      </c>
      <c r="J33" s="1668"/>
      <c r="K33" s="1668"/>
      <c r="L33" s="1675"/>
      <c r="O33" s="217"/>
      <c r="P33" s="218"/>
      <c r="Q33" s="219"/>
      <c r="R33" s="219"/>
      <c r="S33" s="219"/>
      <c r="T33" s="219"/>
      <c r="U33" s="219"/>
      <c r="V33" s="219"/>
      <c r="W33" s="219"/>
      <c r="X33" s="220"/>
      <c r="Y33" s="220"/>
      <c r="Z33" s="220"/>
      <c r="AA33" s="220"/>
      <c r="AB33" s="220"/>
      <c r="AC33" s="219"/>
      <c r="AD33" s="429"/>
      <c r="AE33" s="430"/>
      <c r="AF33" s="219"/>
      <c r="AG33" s="219"/>
      <c r="AH33" s="219"/>
      <c r="AI33" s="548"/>
    </row>
    <row r="34" spans="1:35" s="39" customFormat="1" ht="24" customHeight="1">
      <c r="A34" s="38"/>
      <c r="B34" s="38"/>
      <c r="C34" s="98"/>
      <c r="D34" s="62" t="s">
        <v>2146</v>
      </c>
      <c r="E34" s="95"/>
      <c r="F34" s="263"/>
      <c r="G34" s="111"/>
      <c r="H34" s="130"/>
      <c r="I34" s="97" t="str">
        <f t="shared" si="0"/>
        <v/>
      </c>
      <c r="J34" s="62"/>
      <c r="K34" s="62"/>
      <c r="L34" s="63"/>
      <c r="O34" s="217"/>
      <c r="P34" s="218"/>
      <c r="Q34" s="219"/>
      <c r="R34" s="219"/>
      <c r="S34" s="219"/>
      <c r="T34" s="219"/>
      <c r="U34" s="219"/>
      <c r="V34" s="219"/>
      <c r="W34" s="219"/>
      <c r="X34" s="220"/>
      <c r="Y34" s="220"/>
      <c r="Z34" s="220"/>
      <c r="AA34" s="220"/>
      <c r="AB34" s="220"/>
      <c r="AC34" s="219"/>
      <c r="AD34" s="429"/>
      <c r="AE34" s="430"/>
      <c r="AF34" s="219"/>
      <c r="AG34" s="219"/>
      <c r="AH34" s="219"/>
      <c r="AI34" s="548"/>
    </row>
    <row r="35" spans="1:35" s="39" customFormat="1" ht="24" customHeight="1">
      <c r="A35" s="38"/>
      <c r="B35" s="38"/>
      <c r="C35" s="98"/>
      <c r="D35" s="62" t="s">
        <v>2147</v>
      </c>
      <c r="E35" s="95"/>
      <c r="F35" s="263">
        <v>1</v>
      </c>
      <c r="G35" s="111" t="s">
        <v>7</v>
      </c>
      <c r="H35" s="130"/>
      <c r="I35" s="97">
        <f t="shared" si="0"/>
        <v>0</v>
      </c>
      <c r="J35" s="62"/>
      <c r="K35" s="62"/>
      <c r="L35" s="63"/>
      <c r="O35" s="217"/>
      <c r="P35" s="218"/>
      <c r="Q35" s="219"/>
      <c r="R35" s="219"/>
      <c r="S35" s="219"/>
      <c r="T35" s="219"/>
      <c r="U35" s="219"/>
      <c r="V35" s="219"/>
      <c r="W35" s="219"/>
      <c r="X35" s="220"/>
      <c r="Y35" s="220"/>
      <c r="Z35" s="220"/>
      <c r="AA35" s="220"/>
      <c r="AB35" s="220"/>
      <c r="AC35" s="219"/>
      <c r="AD35" s="429"/>
      <c r="AE35" s="430"/>
      <c r="AF35" s="219"/>
      <c r="AG35" s="219"/>
      <c r="AH35" s="219"/>
      <c r="AI35" s="548"/>
    </row>
    <row r="36" spans="1:35" s="39" customFormat="1" ht="24" customHeight="1">
      <c r="A36" s="38"/>
      <c r="B36" s="38"/>
      <c r="C36" s="98"/>
      <c r="D36" s="62" t="s">
        <v>2148</v>
      </c>
      <c r="E36" s="95"/>
      <c r="F36" s="263">
        <v>1</v>
      </c>
      <c r="G36" s="111" t="s">
        <v>7</v>
      </c>
      <c r="H36" s="130"/>
      <c r="I36" s="97">
        <f t="shared" si="0"/>
        <v>0</v>
      </c>
      <c r="J36" s="62"/>
      <c r="K36" s="62"/>
      <c r="L36" s="63"/>
      <c r="O36" s="217"/>
      <c r="P36" s="218"/>
      <c r="Q36" s="219"/>
      <c r="R36" s="219"/>
      <c r="S36" s="219"/>
      <c r="T36" s="219"/>
      <c r="U36" s="219"/>
      <c r="V36" s="219"/>
      <c r="W36" s="219"/>
      <c r="X36" s="220"/>
      <c r="Y36" s="220"/>
      <c r="Z36" s="220"/>
      <c r="AA36" s="220"/>
      <c r="AB36" s="220"/>
      <c r="AC36" s="219"/>
      <c r="AD36" s="429"/>
      <c r="AE36" s="430"/>
      <c r="AF36" s="219"/>
      <c r="AG36" s="219"/>
      <c r="AH36" s="219"/>
      <c r="AI36" s="548"/>
    </row>
    <row r="37" spans="1:35" s="39" customFormat="1" ht="24" customHeight="1">
      <c r="A37" s="38"/>
      <c r="B37" s="38"/>
      <c r="C37" s="98"/>
      <c r="D37" s="1676" t="s">
        <v>3081</v>
      </c>
      <c r="E37" s="95"/>
      <c r="F37" s="263">
        <v>1</v>
      </c>
      <c r="G37" s="111" t="s">
        <v>7</v>
      </c>
      <c r="H37" s="130"/>
      <c r="I37" s="97">
        <f>IF(F37="","",INT(F37*H37))</f>
        <v>0</v>
      </c>
      <c r="J37" s="62"/>
      <c r="K37" s="62"/>
      <c r="L37" s="63"/>
      <c r="O37" s="217"/>
      <c r="P37" s="218"/>
      <c r="Q37" s="219"/>
      <c r="R37" s="219"/>
      <c r="S37" s="219"/>
      <c r="T37" s="219"/>
      <c r="U37" s="219"/>
      <c r="V37" s="219"/>
      <c r="W37" s="219"/>
      <c r="X37" s="220"/>
      <c r="Y37" s="220"/>
      <c r="Z37" s="220"/>
      <c r="AA37" s="220"/>
      <c r="AB37" s="220"/>
      <c r="AC37" s="219"/>
      <c r="AD37" s="429"/>
      <c r="AE37" s="430"/>
      <c r="AF37" s="219"/>
      <c r="AG37" s="219"/>
      <c r="AH37" s="219"/>
      <c r="AI37" s="548"/>
    </row>
    <row r="38" spans="1:35" s="39" customFormat="1" ht="24" customHeight="1">
      <c r="A38" s="38"/>
      <c r="B38" s="38"/>
      <c r="C38" s="98"/>
      <c r="D38" s="62" t="s">
        <v>2150</v>
      </c>
      <c r="E38" s="95"/>
      <c r="F38" s="263">
        <v>1</v>
      </c>
      <c r="G38" s="111" t="s">
        <v>7</v>
      </c>
      <c r="H38" s="130"/>
      <c r="I38" s="97">
        <f t="shared" si="0"/>
        <v>0</v>
      </c>
      <c r="J38" s="62"/>
      <c r="K38" s="62"/>
      <c r="L38" s="63"/>
      <c r="O38" s="217"/>
      <c r="P38" s="218"/>
      <c r="Q38" s="219"/>
      <c r="R38" s="219"/>
      <c r="S38" s="219"/>
      <c r="T38" s="219"/>
      <c r="U38" s="219"/>
      <c r="V38" s="219"/>
      <c r="W38" s="219"/>
      <c r="X38" s="220"/>
      <c r="Y38" s="220"/>
      <c r="Z38" s="220"/>
      <c r="AA38" s="220"/>
      <c r="AB38" s="220"/>
      <c r="AC38" s="219"/>
      <c r="AD38" s="429"/>
      <c r="AE38" s="430"/>
      <c r="AF38" s="219"/>
      <c r="AG38" s="219"/>
      <c r="AH38" s="219"/>
      <c r="AI38" s="548"/>
    </row>
    <row r="39" spans="1:35" s="39" customFormat="1" ht="24" customHeight="1">
      <c r="A39" s="38"/>
      <c r="B39" s="38"/>
      <c r="C39" s="98"/>
      <c r="D39" s="62" t="s">
        <v>2151</v>
      </c>
      <c r="E39" s="95"/>
      <c r="F39" s="263">
        <v>1</v>
      </c>
      <c r="G39" s="111" t="s">
        <v>7</v>
      </c>
      <c r="H39" s="130"/>
      <c r="I39" s="97">
        <f t="shared" si="0"/>
        <v>0</v>
      </c>
      <c r="J39" s="62"/>
      <c r="K39" s="62"/>
      <c r="L39" s="63"/>
      <c r="O39" s="217"/>
      <c r="P39" s="218"/>
      <c r="Q39" s="219"/>
      <c r="R39" s="219"/>
      <c r="S39" s="219"/>
      <c r="T39" s="219"/>
      <c r="U39" s="219"/>
      <c r="V39" s="219"/>
      <c r="W39" s="219"/>
      <c r="X39" s="220"/>
      <c r="Y39" s="220"/>
      <c r="Z39" s="220"/>
      <c r="AA39" s="220"/>
      <c r="AB39" s="220"/>
      <c r="AC39" s="219"/>
      <c r="AD39" s="429"/>
      <c r="AE39" s="430"/>
      <c r="AF39" s="219"/>
      <c r="AG39" s="219"/>
      <c r="AH39" s="219"/>
      <c r="AI39" s="548"/>
    </row>
    <row r="40" spans="1:35" s="39" customFormat="1" ht="24" customHeight="1">
      <c r="A40" s="38"/>
      <c r="B40" s="38"/>
      <c r="C40" s="98"/>
      <c r="D40" s="62" t="s">
        <v>2152</v>
      </c>
      <c r="E40" s="95"/>
      <c r="F40" s="263">
        <v>1</v>
      </c>
      <c r="G40" s="111" t="s">
        <v>7</v>
      </c>
      <c r="H40" s="130"/>
      <c r="I40" s="97">
        <f t="shared" si="0"/>
        <v>0</v>
      </c>
      <c r="J40" s="62"/>
      <c r="K40" s="62"/>
      <c r="L40" s="63"/>
      <c r="O40" s="217"/>
      <c r="P40" s="218"/>
      <c r="Q40" s="219"/>
      <c r="R40" s="219"/>
      <c r="S40" s="219"/>
      <c r="T40" s="219"/>
      <c r="U40" s="219"/>
      <c r="V40" s="219"/>
      <c r="W40" s="219"/>
      <c r="X40" s="220"/>
      <c r="Y40" s="220"/>
      <c r="Z40" s="220"/>
      <c r="AA40" s="220"/>
      <c r="AB40" s="220"/>
      <c r="AC40" s="219"/>
      <c r="AD40" s="429"/>
      <c r="AE40" s="430"/>
      <c r="AF40" s="219"/>
      <c r="AG40" s="219"/>
      <c r="AH40" s="219"/>
      <c r="AI40" s="548"/>
    </row>
    <row r="41" spans="1:35" s="39" customFormat="1" ht="24" customHeight="1">
      <c r="A41" s="38"/>
      <c r="B41" s="38"/>
      <c r="C41" s="98"/>
      <c r="D41" s="62" t="s">
        <v>2153</v>
      </c>
      <c r="E41" s="95"/>
      <c r="F41" s="263">
        <v>1</v>
      </c>
      <c r="G41" s="111" t="s">
        <v>7</v>
      </c>
      <c r="H41" s="130"/>
      <c r="I41" s="97">
        <f t="shared" si="0"/>
        <v>0</v>
      </c>
      <c r="J41" s="62"/>
      <c r="K41" s="62"/>
      <c r="L41" s="63"/>
      <c r="O41" s="217"/>
      <c r="P41" s="218"/>
      <c r="Q41" s="219"/>
      <c r="R41" s="219"/>
      <c r="S41" s="219"/>
      <c r="T41" s="219"/>
      <c r="U41" s="219"/>
      <c r="V41" s="219"/>
      <c r="W41" s="219"/>
      <c r="X41" s="220"/>
      <c r="Y41" s="220"/>
      <c r="Z41" s="220"/>
      <c r="AA41" s="220"/>
      <c r="AB41" s="220"/>
      <c r="AC41" s="219"/>
      <c r="AD41" s="429"/>
      <c r="AE41" s="430"/>
      <c r="AF41" s="219"/>
      <c r="AG41" s="219"/>
      <c r="AH41" s="219"/>
      <c r="AI41" s="548"/>
    </row>
    <row r="42" spans="1:35" s="39" customFormat="1" ht="24" customHeight="1">
      <c r="A42" s="38"/>
      <c r="B42" s="38"/>
      <c r="C42" s="98"/>
      <c r="D42" s="62" t="s">
        <v>2154</v>
      </c>
      <c r="E42" s="95"/>
      <c r="F42" s="263">
        <v>1</v>
      </c>
      <c r="G42" s="111" t="s">
        <v>7</v>
      </c>
      <c r="H42" s="130"/>
      <c r="I42" s="97">
        <f t="shared" si="0"/>
        <v>0</v>
      </c>
      <c r="J42" s="62"/>
      <c r="K42" s="62"/>
      <c r="L42" s="63"/>
      <c r="O42" s="217"/>
      <c r="P42" s="218"/>
      <c r="Q42" s="219"/>
      <c r="R42" s="219"/>
      <c r="S42" s="219"/>
      <c r="T42" s="219"/>
      <c r="U42" s="219"/>
      <c r="V42" s="219"/>
      <c r="W42" s="219"/>
      <c r="X42" s="220"/>
      <c r="Y42" s="220"/>
      <c r="Z42" s="220"/>
      <c r="AA42" s="220"/>
      <c r="AB42" s="220"/>
      <c r="AC42" s="219"/>
      <c r="AD42" s="429"/>
      <c r="AE42" s="430"/>
      <c r="AF42" s="219"/>
      <c r="AG42" s="219"/>
      <c r="AH42" s="219"/>
      <c r="AI42" s="548"/>
    </row>
    <row r="43" spans="1:35" s="39" customFormat="1" ht="24" customHeight="1">
      <c r="A43" s="38"/>
      <c r="B43" s="38"/>
      <c r="C43" s="98"/>
      <c r="D43" s="62" t="s">
        <v>2155</v>
      </c>
      <c r="E43" s="95"/>
      <c r="F43" s="263">
        <v>1</v>
      </c>
      <c r="G43" s="111" t="s">
        <v>7</v>
      </c>
      <c r="H43" s="130"/>
      <c r="I43" s="97">
        <f t="shared" si="0"/>
        <v>0</v>
      </c>
      <c r="J43" s="62"/>
      <c r="K43" s="62"/>
      <c r="L43" s="63"/>
      <c r="O43" s="217"/>
      <c r="P43" s="218"/>
      <c r="Q43" s="219"/>
      <c r="R43" s="219"/>
      <c r="S43" s="219"/>
      <c r="T43" s="219"/>
      <c r="U43" s="219"/>
      <c r="V43" s="219"/>
      <c r="W43" s="219"/>
      <c r="X43" s="220"/>
      <c r="Y43" s="220"/>
      <c r="Z43" s="220"/>
      <c r="AA43" s="220"/>
      <c r="AB43" s="220"/>
      <c r="AC43" s="219"/>
      <c r="AD43" s="429"/>
      <c r="AE43" s="430"/>
      <c r="AF43" s="219"/>
      <c r="AG43" s="219"/>
      <c r="AH43" s="219"/>
      <c r="AI43" s="548"/>
    </row>
    <row r="44" spans="1:35" s="39" customFormat="1" ht="24" customHeight="1">
      <c r="A44" s="38"/>
      <c r="B44" s="38"/>
      <c r="C44" s="98"/>
      <c r="D44" s="62"/>
      <c r="E44" s="95"/>
      <c r="F44" s="263"/>
      <c r="G44" s="111"/>
      <c r="H44" s="130"/>
      <c r="I44" s="97" t="str">
        <f t="shared" si="0"/>
        <v/>
      </c>
      <c r="J44" s="62"/>
      <c r="K44" s="62"/>
      <c r="L44" s="63"/>
      <c r="O44" s="217"/>
      <c r="P44" s="218"/>
      <c r="Q44" s="219"/>
      <c r="R44" s="219"/>
      <c r="S44" s="219"/>
      <c r="T44" s="219"/>
      <c r="U44" s="219"/>
      <c r="V44" s="219"/>
      <c r="W44" s="219"/>
      <c r="X44" s="220"/>
      <c r="Y44" s="220"/>
      <c r="Z44" s="220"/>
      <c r="AA44" s="220"/>
      <c r="AB44" s="220"/>
      <c r="AC44" s="219"/>
      <c r="AD44" s="429"/>
      <c r="AE44" s="430"/>
      <c r="AF44" s="219"/>
      <c r="AG44" s="219"/>
      <c r="AH44" s="219"/>
      <c r="AI44" s="548"/>
    </row>
    <row r="45" spans="1:35" s="39" customFormat="1" ht="24" customHeight="1">
      <c r="A45" s="38"/>
      <c r="B45" s="38"/>
      <c r="C45" s="1398"/>
      <c r="D45" s="1391" t="s">
        <v>2156</v>
      </c>
      <c r="E45" s="1392"/>
      <c r="F45" s="1393"/>
      <c r="G45" s="1394"/>
      <c r="H45" s="1395"/>
      <c r="I45" s="1396">
        <f>SUM(I35:I44)</f>
        <v>0</v>
      </c>
      <c r="J45" s="1391"/>
      <c r="K45" s="1391"/>
      <c r="L45" s="1397"/>
      <c r="M45" s="39" t="s">
        <v>2743</v>
      </c>
      <c r="O45" s="217"/>
      <c r="P45" s="218"/>
      <c r="Q45" s="219"/>
      <c r="R45" s="219"/>
      <c r="S45" s="219"/>
      <c r="T45" s="219"/>
      <c r="U45" s="219"/>
      <c r="V45" s="219"/>
      <c r="W45" s="219"/>
      <c r="X45" s="220"/>
      <c r="Y45" s="220"/>
      <c r="Z45" s="220"/>
      <c r="AA45" s="220"/>
      <c r="AB45" s="220"/>
      <c r="AC45" s="219"/>
      <c r="AD45" s="429"/>
      <c r="AE45" s="430"/>
      <c r="AF45" s="219"/>
      <c r="AG45" s="219"/>
      <c r="AH45" s="219"/>
      <c r="AI45" s="548"/>
    </row>
    <row r="46" spans="1:35" s="39" customFormat="1" ht="24" customHeight="1">
      <c r="A46" s="38"/>
      <c r="B46" s="38"/>
      <c r="C46" s="1671"/>
      <c r="D46" s="1668"/>
      <c r="E46" s="1657"/>
      <c r="F46" s="1672"/>
      <c r="G46" s="1669"/>
      <c r="H46" s="1673"/>
      <c r="I46" s="1674" t="str">
        <f t="shared" si="0"/>
        <v/>
      </c>
      <c r="J46" s="1668"/>
      <c r="K46" s="1668"/>
      <c r="L46" s="1675"/>
      <c r="O46" s="217"/>
      <c r="P46" s="218"/>
      <c r="Q46" s="219"/>
      <c r="R46" s="219"/>
      <c r="S46" s="219"/>
      <c r="T46" s="219"/>
      <c r="U46" s="219"/>
      <c r="V46" s="219"/>
      <c r="W46" s="219"/>
      <c r="X46" s="220"/>
      <c r="Y46" s="220"/>
      <c r="Z46" s="220"/>
      <c r="AA46" s="220"/>
      <c r="AB46" s="220"/>
      <c r="AC46" s="219"/>
      <c r="AD46" s="429"/>
      <c r="AE46" s="430"/>
      <c r="AF46" s="219"/>
      <c r="AG46" s="219"/>
      <c r="AH46" s="219"/>
      <c r="AI46" s="548"/>
    </row>
    <row r="47" spans="1:35" ht="24" customHeight="1" thickBot="1">
      <c r="A47" s="38"/>
      <c r="B47" s="38"/>
      <c r="C47" s="99"/>
      <c r="D47" s="1389" t="s">
        <v>8</v>
      </c>
      <c r="E47" s="100"/>
      <c r="F47" s="264"/>
      <c r="G47" s="114"/>
      <c r="H47" s="124" t="s">
        <v>69</v>
      </c>
      <c r="I47" s="101" t="e">
        <f>I32+I45</f>
        <v>#VALUE!</v>
      </c>
      <c r="J47" s="1399" t="str">
        <f>IF(C28="部分撤去工事","）うち費用",")")</f>
        <v>)</v>
      </c>
      <c r="K47" s="1400">
        <f>IF(C28="部分撤去工事",(#REF!+L47),0)</f>
        <v>0</v>
      </c>
      <c r="L47" s="1401">
        <f>IF(C28="部分撤去工事",SUMIF(N29:N46,"費用",I29:I46),0)</f>
        <v>0</v>
      </c>
      <c r="M47" s="1238"/>
      <c r="O47" s="217"/>
      <c r="P47" s="218"/>
      <c r="Q47" s="219"/>
      <c r="R47" s="219"/>
      <c r="S47" s="219"/>
      <c r="T47" s="219"/>
      <c r="U47" s="219"/>
      <c r="V47" s="219"/>
      <c r="W47" s="219"/>
      <c r="X47" s="220"/>
      <c r="Y47" s="220"/>
      <c r="Z47" s="220"/>
      <c r="AA47" s="220"/>
      <c r="AB47" s="220"/>
      <c r="AC47" s="219"/>
      <c r="AD47" s="429"/>
      <c r="AE47" s="430"/>
      <c r="AF47" s="219"/>
      <c r="AG47" s="219"/>
      <c r="AH47" s="219"/>
      <c r="AI47" s="548"/>
    </row>
    <row r="48" spans="1:35" ht="14.25" customHeight="1">
      <c r="C48" s="154"/>
      <c r="D48" s="154"/>
      <c r="E48" s="117" t="s">
        <v>84</v>
      </c>
      <c r="F48" s="118">
        <f>+F25+1</f>
        <v>5</v>
      </c>
      <c r="G48" s="119" t="s">
        <v>48</v>
      </c>
      <c r="H48" s="120">
        <f>+H25</f>
        <v>7</v>
      </c>
      <c r="I48" s="120"/>
      <c r="M48" s="33" t="str">
        <f>IF(A50="","EOL","")</f>
        <v/>
      </c>
      <c r="N48" s="1">
        <f>+F48</f>
        <v>5</v>
      </c>
      <c r="O48" s="1"/>
      <c r="P48" s="1"/>
    </row>
    <row r="49" spans="1:34" ht="26.25" customHeight="1" thickBot="1">
      <c r="C49" s="2224" t="s">
        <v>3134</v>
      </c>
      <c r="D49" s="2224"/>
      <c r="E49" s="2224"/>
      <c r="F49" s="2224"/>
      <c r="G49" s="2224"/>
      <c r="H49" s="2224"/>
      <c r="I49" s="2224"/>
      <c r="J49" s="2224"/>
      <c r="K49" s="2224"/>
      <c r="L49" s="2224"/>
      <c r="O49" s="2228" t="s">
        <v>129</v>
      </c>
      <c r="P49" s="2228"/>
      <c r="Q49" s="2228"/>
      <c r="R49" s="2228"/>
      <c r="S49" s="2228"/>
      <c r="T49" s="2228"/>
      <c r="U49" s="2228"/>
      <c r="V49" s="2228"/>
      <c r="W49" s="2228"/>
      <c r="X49" s="2228"/>
      <c r="Y49" s="2228"/>
      <c r="Z49" s="2228"/>
      <c r="AA49" s="2228"/>
      <c r="AB49" s="2228"/>
      <c r="AC49" s="2228"/>
      <c r="AD49" s="2228"/>
      <c r="AE49" s="2228"/>
      <c r="AF49" s="2228"/>
      <c r="AG49" s="2228"/>
      <c r="AH49" s="2229"/>
    </row>
    <row r="50" spans="1:34" ht="41.25" customHeight="1">
      <c r="A50" s="5" t="s">
        <v>10</v>
      </c>
      <c r="B50" s="5" t="s">
        <v>43</v>
      </c>
      <c r="C50" s="1650" t="s">
        <v>0</v>
      </c>
      <c r="D50" s="1651"/>
      <c r="E50" s="1652" t="s">
        <v>1</v>
      </c>
      <c r="F50" s="1653" t="s">
        <v>2</v>
      </c>
      <c r="G50" s="1653" t="s">
        <v>3</v>
      </c>
      <c r="H50" s="1654" t="s">
        <v>4</v>
      </c>
      <c r="I50" s="1654" t="s">
        <v>5</v>
      </c>
      <c r="J50" s="2225" t="s">
        <v>6</v>
      </c>
      <c r="K50" s="2226"/>
      <c r="L50" s="2227"/>
      <c r="M50" s="1677"/>
      <c r="N50" s="1678" t="s">
        <v>322</v>
      </c>
      <c r="O50" s="148" t="s">
        <v>66</v>
      </c>
      <c r="P50" s="359" t="s">
        <v>259</v>
      </c>
      <c r="Q50" s="265" t="s">
        <v>299</v>
      </c>
      <c r="R50" s="265" t="s">
        <v>208</v>
      </c>
      <c r="S50" s="265" t="s">
        <v>209</v>
      </c>
      <c r="T50" s="265" t="s">
        <v>260</v>
      </c>
      <c r="U50" s="265" t="s">
        <v>123</v>
      </c>
      <c r="V50" s="147" t="s">
        <v>122</v>
      </c>
      <c r="W50" s="265" t="s">
        <v>261</v>
      </c>
      <c r="X50" s="214" t="s">
        <v>210</v>
      </c>
      <c r="Y50" s="214" t="s">
        <v>211</v>
      </c>
      <c r="Z50" s="214" t="s">
        <v>212</v>
      </c>
      <c r="AA50" s="214" t="s">
        <v>213</v>
      </c>
      <c r="AB50" s="214" t="s">
        <v>262</v>
      </c>
      <c r="AC50" s="426" t="s">
        <v>308</v>
      </c>
      <c r="AD50" s="427" t="s">
        <v>309</v>
      </c>
      <c r="AE50" s="428" t="s">
        <v>125</v>
      </c>
      <c r="AF50" s="146" t="s">
        <v>128</v>
      </c>
      <c r="AG50" s="146" t="s">
        <v>126</v>
      </c>
      <c r="AH50" s="146" t="s">
        <v>127</v>
      </c>
    </row>
    <row r="51" spans="1:34" ht="24" customHeight="1">
      <c r="A51" s="38"/>
      <c r="B51" s="38"/>
      <c r="C51" s="1667" t="s">
        <v>2160</v>
      </c>
      <c r="D51" s="1679"/>
      <c r="E51" s="1680"/>
      <c r="F51" s="1658"/>
      <c r="G51" s="1681"/>
      <c r="H51" s="1682" t="s">
        <v>11</v>
      </c>
      <c r="I51" s="1682" t="s">
        <v>11</v>
      </c>
      <c r="J51" s="2230"/>
      <c r="K51" s="2231"/>
      <c r="L51" s="2232"/>
      <c r="M51" s="1683"/>
      <c r="N51" s="949"/>
      <c r="O51" s="217"/>
      <c r="P51" s="218"/>
      <c r="Q51" s="219"/>
      <c r="R51" s="219"/>
      <c r="S51" s="219"/>
      <c r="T51" s="219"/>
      <c r="U51" s="219"/>
      <c r="V51" s="219"/>
      <c r="W51" s="219"/>
      <c r="X51" s="220"/>
      <c r="Y51" s="220"/>
      <c r="Z51" s="220"/>
      <c r="AA51" s="220"/>
      <c r="AB51" s="220"/>
      <c r="AC51" s="219"/>
      <c r="AD51" s="429"/>
      <c r="AE51" s="430"/>
      <c r="AF51" s="219"/>
      <c r="AG51" s="219"/>
      <c r="AH51" s="431"/>
    </row>
    <row r="52" spans="1:34" s="39" customFormat="1" ht="24" customHeight="1">
      <c r="A52" s="38"/>
      <c r="B52" s="38"/>
      <c r="C52" s="121"/>
      <c r="D52" s="1455"/>
      <c r="E52" s="110"/>
      <c r="F52" s="263"/>
      <c r="G52" s="111"/>
      <c r="H52" s="128"/>
      <c r="I52" s="97" t="str">
        <f t="shared" ref="I52:I69" si="1">IF(F52="","",INT(F52*H52))</f>
        <v/>
      </c>
      <c r="J52" s="1286"/>
      <c r="K52" s="62"/>
      <c r="L52" s="63"/>
      <c r="M52" s="1684"/>
      <c r="N52" s="949"/>
      <c r="O52" s="217"/>
      <c r="P52" s="218"/>
      <c r="Q52" s="219"/>
      <c r="R52" s="219"/>
      <c r="S52" s="219"/>
      <c r="T52" s="219"/>
      <c r="U52" s="219"/>
      <c r="V52" s="219"/>
      <c r="W52" s="219"/>
      <c r="X52" s="220"/>
      <c r="Y52" s="220"/>
      <c r="Z52" s="220"/>
      <c r="AA52" s="220"/>
      <c r="AB52" s="220"/>
      <c r="AC52" s="219"/>
      <c r="AD52" s="429"/>
      <c r="AE52" s="430"/>
      <c r="AF52" s="219"/>
      <c r="AG52" s="219"/>
      <c r="AH52" s="207"/>
    </row>
    <row r="53" spans="1:34" s="39" customFormat="1" ht="24" customHeight="1">
      <c r="A53" s="38"/>
      <c r="B53" s="38"/>
      <c r="C53" s="121"/>
      <c r="D53" s="955" t="s">
        <v>2726</v>
      </c>
      <c r="E53" s="110"/>
      <c r="F53" s="263">
        <v>1</v>
      </c>
      <c r="G53" s="111" t="s">
        <v>7</v>
      </c>
      <c r="H53" s="1685"/>
      <c r="I53" s="97">
        <f t="shared" si="1"/>
        <v>0</v>
      </c>
      <c r="J53" s="1286"/>
      <c r="K53" s="62"/>
      <c r="L53" s="63"/>
      <c r="M53" s="1684"/>
      <c r="N53" s="949"/>
      <c r="O53" s="217"/>
      <c r="P53" s="218"/>
      <c r="Q53" s="219"/>
      <c r="R53" s="219"/>
      <c r="S53" s="219"/>
      <c r="T53" s="219"/>
      <c r="U53" s="219"/>
      <c r="V53" s="219"/>
      <c r="W53" s="219"/>
      <c r="X53" s="220"/>
      <c r="Y53" s="220"/>
      <c r="Z53" s="220"/>
      <c r="AA53" s="220"/>
      <c r="AB53" s="220"/>
      <c r="AC53" s="219"/>
      <c r="AD53" s="429"/>
      <c r="AE53" s="430"/>
      <c r="AF53" s="219"/>
      <c r="AG53" s="219"/>
      <c r="AH53" s="207"/>
    </row>
    <row r="54" spans="1:34" s="39" customFormat="1" ht="24" customHeight="1">
      <c r="A54" s="38"/>
      <c r="B54" s="38"/>
      <c r="C54" s="121"/>
      <c r="D54" s="955" t="s">
        <v>2727</v>
      </c>
      <c r="E54" s="110"/>
      <c r="F54" s="263">
        <v>1</v>
      </c>
      <c r="G54" s="111" t="s">
        <v>7</v>
      </c>
      <c r="H54" s="1685"/>
      <c r="I54" s="97">
        <f t="shared" si="1"/>
        <v>0</v>
      </c>
      <c r="J54" s="1286"/>
      <c r="K54" s="62"/>
      <c r="L54" s="63"/>
      <c r="M54" s="1684"/>
      <c r="N54" s="949"/>
      <c r="O54" s="217"/>
      <c r="P54" s="218"/>
      <c r="Q54" s="219"/>
      <c r="R54" s="219"/>
      <c r="S54" s="219"/>
      <c r="T54" s="219"/>
      <c r="U54" s="219"/>
      <c r="V54" s="219"/>
      <c r="W54" s="219"/>
      <c r="X54" s="220"/>
      <c r="Y54" s="220"/>
      <c r="Z54" s="220"/>
      <c r="AA54" s="220"/>
      <c r="AB54" s="220"/>
      <c r="AC54" s="219"/>
      <c r="AD54" s="429"/>
      <c r="AE54" s="430"/>
      <c r="AF54" s="219"/>
      <c r="AG54" s="219"/>
      <c r="AH54" s="207"/>
    </row>
    <row r="55" spans="1:34" s="39" customFormat="1" ht="24" customHeight="1">
      <c r="A55" s="38"/>
      <c r="B55" s="38"/>
      <c r="C55" s="121"/>
      <c r="D55" s="955" t="s">
        <v>2728</v>
      </c>
      <c r="E55" s="110"/>
      <c r="F55" s="263">
        <v>1</v>
      </c>
      <c r="G55" s="111" t="s">
        <v>7</v>
      </c>
      <c r="H55" s="1685"/>
      <c r="I55" s="97">
        <f t="shared" si="1"/>
        <v>0</v>
      </c>
      <c r="J55" s="1286"/>
      <c r="K55" s="62"/>
      <c r="L55" s="63"/>
      <c r="M55" s="1684"/>
      <c r="N55" s="949"/>
      <c r="O55" s="217"/>
      <c r="P55" s="218"/>
      <c r="Q55" s="219"/>
      <c r="R55" s="219"/>
      <c r="S55" s="219"/>
      <c r="T55" s="219"/>
      <c r="U55" s="219"/>
      <c r="V55" s="219"/>
      <c r="W55" s="219"/>
      <c r="X55" s="220"/>
      <c r="Y55" s="220"/>
      <c r="Z55" s="220"/>
      <c r="AA55" s="220"/>
      <c r="AB55" s="220"/>
      <c r="AC55" s="219"/>
      <c r="AD55" s="429"/>
      <c r="AE55" s="430"/>
      <c r="AF55" s="219"/>
      <c r="AG55" s="219"/>
      <c r="AH55" s="207"/>
    </row>
    <row r="56" spans="1:34" s="39" customFormat="1" ht="24" customHeight="1">
      <c r="A56" s="38"/>
      <c r="B56" s="38"/>
      <c r="C56" s="121"/>
      <c r="D56" s="955" t="s">
        <v>2729</v>
      </c>
      <c r="E56" s="110"/>
      <c r="F56" s="263">
        <v>1</v>
      </c>
      <c r="G56" s="111" t="s">
        <v>7</v>
      </c>
      <c r="H56" s="1685"/>
      <c r="I56" s="97">
        <f t="shared" si="1"/>
        <v>0</v>
      </c>
      <c r="J56" s="1286"/>
      <c r="K56" s="62"/>
      <c r="L56" s="63"/>
      <c r="M56" s="1684"/>
      <c r="N56" s="949"/>
      <c r="O56" s="217"/>
      <c r="P56" s="218"/>
      <c r="Q56" s="219"/>
      <c r="R56" s="219"/>
      <c r="S56" s="219"/>
      <c r="T56" s="219"/>
      <c r="U56" s="219"/>
      <c r="V56" s="219"/>
      <c r="W56" s="219"/>
      <c r="X56" s="220"/>
      <c r="Y56" s="220"/>
      <c r="Z56" s="220"/>
      <c r="AA56" s="220"/>
      <c r="AB56" s="220"/>
      <c r="AC56" s="219"/>
      <c r="AD56" s="429"/>
      <c r="AE56" s="430"/>
      <c r="AF56" s="219"/>
      <c r="AG56" s="219"/>
      <c r="AH56" s="207"/>
    </row>
    <row r="57" spans="1:34" s="39" customFormat="1" ht="24" customHeight="1">
      <c r="A57" s="38"/>
      <c r="B57" s="38"/>
      <c r="C57" s="121"/>
      <c r="D57" s="955" t="s">
        <v>2730</v>
      </c>
      <c r="E57" s="110"/>
      <c r="F57" s="263">
        <v>1</v>
      </c>
      <c r="G57" s="111" t="s">
        <v>7</v>
      </c>
      <c r="H57" s="1685"/>
      <c r="I57" s="97">
        <f t="shared" si="1"/>
        <v>0</v>
      </c>
      <c r="J57" s="1286"/>
      <c r="K57" s="62"/>
      <c r="L57" s="63"/>
      <c r="M57" s="1684"/>
      <c r="N57" s="949"/>
      <c r="O57" s="217"/>
      <c r="P57" s="218"/>
      <c r="Q57" s="219"/>
      <c r="R57" s="219"/>
      <c r="S57" s="219"/>
      <c r="T57" s="219"/>
      <c r="U57" s="219"/>
      <c r="V57" s="219"/>
      <c r="W57" s="219"/>
      <c r="X57" s="220"/>
      <c r="Y57" s="220"/>
      <c r="Z57" s="220"/>
      <c r="AA57" s="220"/>
      <c r="AB57" s="220"/>
      <c r="AC57" s="219"/>
      <c r="AD57" s="429"/>
      <c r="AE57" s="430"/>
      <c r="AF57" s="219"/>
      <c r="AG57" s="219"/>
      <c r="AH57" s="207"/>
    </row>
    <row r="58" spans="1:34" s="39" customFormat="1" ht="24" customHeight="1">
      <c r="A58" s="38"/>
      <c r="B58" s="38"/>
      <c r="C58" s="121"/>
      <c r="D58" s="955" t="s">
        <v>2731</v>
      </c>
      <c r="E58" s="110"/>
      <c r="F58" s="263">
        <v>1</v>
      </c>
      <c r="G58" s="111" t="s">
        <v>7</v>
      </c>
      <c r="H58" s="1685"/>
      <c r="I58" s="97">
        <f t="shared" si="1"/>
        <v>0</v>
      </c>
      <c r="J58" s="1286"/>
      <c r="K58" s="62"/>
      <c r="L58" s="63"/>
      <c r="M58" s="1684"/>
      <c r="N58" s="949"/>
      <c r="O58" s="217"/>
      <c r="P58" s="218"/>
      <c r="Q58" s="219"/>
      <c r="R58" s="219"/>
      <c r="S58" s="219"/>
      <c r="T58" s="219"/>
      <c r="U58" s="219"/>
      <c r="V58" s="219"/>
      <c r="W58" s="219"/>
      <c r="X58" s="220"/>
      <c r="Y58" s="220"/>
      <c r="Z58" s="220"/>
      <c r="AA58" s="220"/>
      <c r="AB58" s="220"/>
      <c r="AC58" s="219"/>
      <c r="AD58" s="429"/>
      <c r="AE58" s="430"/>
      <c r="AF58" s="219"/>
      <c r="AG58" s="219"/>
      <c r="AH58" s="207"/>
    </row>
    <row r="59" spans="1:34" s="39" customFormat="1" ht="24" customHeight="1">
      <c r="A59" s="38"/>
      <c r="B59" s="38"/>
      <c r="C59" s="121"/>
      <c r="D59" s="1455"/>
      <c r="E59" s="110"/>
      <c r="F59" s="263"/>
      <c r="G59" s="111"/>
      <c r="H59" s="128"/>
      <c r="I59" s="97" t="str">
        <f t="shared" si="1"/>
        <v/>
      </c>
      <c r="J59" s="1286"/>
      <c r="K59" s="62"/>
      <c r="L59" s="63"/>
      <c r="M59" s="1684"/>
      <c r="N59" s="949"/>
      <c r="O59" s="217"/>
      <c r="P59" s="218"/>
      <c r="Q59" s="219"/>
      <c r="R59" s="219"/>
      <c r="S59" s="219"/>
      <c r="T59" s="219"/>
      <c r="U59" s="219"/>
      <c r="V59" s="219"/>
      <c r="W59" s="219"/>
      <c r="X59" s="220"/>
      <c r="Y59" s="220"/>
      <c r="Z59" s="220"/>
      <c r="AA59" s="220"/>
      <c r="AB59" s="220"/>
      <c r="AC59" s="219"/>
      <c r="AD59" s="429"/>
      <c r="AE59" s="430"/>
      <c r="AF59" s="219"/>
      <c r="AG59" s="219"/>
      <c r="AH59" s="207"/>
    </row>
    <row r="60" spans="1:34" s="39" customFormat="1" ht="24" customHeight="1">
      <c r="A60" s="38"/>
      <c r="B60" s="38"/>
      <c r="C60" s="121"/>
      <c r="D60" s="1455"/>
      <c r="E60" s="110"/>
      <c r="F60" s="263"/>
      <c r="G60" s="111"/>
      <c r="H60" s="128"/>
      <c r="I60" s="97" t="str">
        <f t="shared" si="1"/>
        <v/>
      </c>
      <c r="J60" s="1286"/>
      <c r="K60" s="62"/>
      <c r="L60" s="63"/>
      <c r="M60" s="1684"/>
      <c r="N60" s="949"/>
      <c r="O60" s="217"/>
      <c r="P60" s="218"/>
      <c r="Q60" s="219"/>
      <c r="R60" s="219"/>
      <c r="S60" s="219"/>
      <c r="T60" s="219"/>
      <c r="U60" s="219"/>
      <c r="V60" s="219"/>
      <c r="W60" s="219"/>
      <c r="X60" s="220"/>
      <c r="Y60" s="220"/>
      <c r="Z60" s="220"/>
      <c r="AA60" s="220"/>
      <c r="AB60" s="220"/>
      <c r="AC60" s="219"/>
      <c r="AD60" s="429"/>
      <c r="AE60" s="430"/>
      <c r="AF60" s="219"/>
      <c r="AG60" s="219"/>
      <c r="AH60" s="207"/>
    </row>
    <row r="61" spans="1:34" s="39" customFormat="1" ht="24" customHeight="1">
      <c r="A61" s="38"/>
      <c r="B61" s="38"/>
      <c r="C61" s="121"/>
      <c r="D61" s="1455"/>
      <c r="E61" s="110"/>
      <c r="F61" s="263"/>
      <c r="G61" s="111"/>
      <c r="H61" s="128"/>
      <c r="I61" s="97" t="str">
        <f t="shared" si="1"/>
        <v/>
      </c>
      <c r="J61" s="1286"/>
      <c r="K61" s="62"/>
      <c r="L61" s="63"/>
      <c r="M61" s="1684"/>
      <c r="N61" s="949"/>
      <c r="O61" s="217"/>
      <c r="P61" s="218"/>
      <c r="Q61" s="219"/>
      <c r="R61" s="219"/>
      <c r="S61" s="219"/>
      <c r="T61" s="219"/>
      <c r="U61" s="219"/>
      <c r="V61" s="219"/>
      <c r="W61" s="219"/>
      <c r="X61" s="220"/>
      <c r="Y61" s="220"/>
      <c r="Z61" s="220"/>
      <c r="AA61" s="220"/>
      <c r="AB61" s="220"/>
      <c r="AC61" s="219"/>
      <c r="AD61" s="429"/>
      <c r="AE61" s="430"/>
      <c r="AF61" s="219"/>
      <c r="AG61" s="219"/>
      <c r="AH61" s="207"/>
    </row>
    <row r="62" spans="1:34" s="39" customFormat="1" ht="24" customHeight="1">
      <c r="A62" s="38"/>
      <c r="B62" s="38"/>
      <c r="C62" s="121"/>
      <c r="D62" s="1455"/>
      <c r="E62" s="110"/>
      <c r="F62" s="263"/>
      <c r="G62" s="111"/>
      <c r="H62" s="128"/>
      <c r="I62" s="97" t="str">
        <f t="shared" si="1"/>
        <v/>
      </c>
      <c r="J62" s="1286"/>
      <c r="K62" s="62"/>
      <c r="L62" s="63"/>
      <c r="M62" s="1684"/>
      <c r="N62" s="949"/>
      <c r="O62" s="217"/>
      <c r="P62" s="218"/>
      <c r="Q62" s="219"/>
      <c r="R62" s="219"/>
      <c r="S62" s="219"/>
      <c r="T62" s="219"/>
      <c r="U62" s="219"/>
      <c r="V62" s="219"/>
      <c r="W62" s="219"/>
      <c r="X62" s="220"/>
      <c r="Y62" s="220"/>
      <c r="Z62" s="220"/>
      <c r="AA62" s="220"/>
      <c r="AB62" s="220"/>
      <c r="AC62" s="219"/>
      <c r="AD62" s="429"/>
      <c r="AE62" s="430"/>
      <c r="AF62" s="219"/>
      <c r="AG62" s="219"/>
      <c r="AH62" s="207"/>
    </row>
    <row r="63" spans="1:34" s="39" customFormat="1" ht="24" customHeight="1">
      <c r="A63" s="38"/>
      <c r="B63" s="38"/>
      <c r="C63" s="121"/>
      <c r="D63" s="1455"/>
      <c r="E63" s="110"/>
      <c r="F63" s="263"/>
      <c r="G63" s="111"/>
      <c r="H63" s="128"/>
      <c r="I63" s="97" t="str">
        <f t="shared" si="1"/>
        <v/>
      </c>
      <c r="J63" s="1286"/>
      <c r="K63" s="62"/>
      <c r="L63" s="63"/>
      <c r="M63" s="1684"/>
      <c r="N63" s="949"/>
      <c r="O63" s="217"/>
      <c r="P63" s="218"/>
      <c r="Q63" s="219"/>
      <c r="R63" s="219"/>
      <c r="S63" s="219"/>
      <c r="T63" s="219"/>
      <c r="U63" s="219"/>
      <c r="V63" s="219"/>
      <c r="W63" s="219"/>
      <c r="X63" s="220"/>
      <c r="Y63" s="220"/>
      <c r="Z63" s="220"/>
      <c r="AA63" s="220"/>
      <c r="AB63" s="220"/>
      <c r="AC63" s="219"/>
      <c r="AD63" s="429"/>
      <c r="AE63" s="430"/>
      <c r="AF63" s="219"/>
      <c r="AG63" s="219"/>
      <c r="AH63" s="207"/>
    </row>
    <row r="64" spans="1:34" s="39" customFormat="1" ht="24" customHeight="1">
      <c r="A64" s="38"/>
      <c r="B64" s="38"/>
      <c r="C64" s="121"/>
      <c r="D64" s="1455"/>
      <c r="E64" s="110"/>
      <c r="F64" s="263"/>
      <c r="G64" s="111"/>
      <c r="H64" s="128"/>
      <c r="I64" s="97" t="str">
        <f t="shared" si="1"/>
        <v/>
      </c>
      <c r="J64" s="1286"/>
      <c r="K64" s="62"/>
      <c r="L64" s="63"/>
      <c r="M64" s="1684"/>
      <c r="N64" s="949"/>
      <c r="O64" s="217"/>
      <c r="P64" s="218"/>
      <c r="Q64" s="219"/>
      <c r="R64" s="219"/>
      <c r="S64" s="219"/>
      <c r="T64" s="219"/>
      <c r="U64" s="219"/>
      <c r="V64" s="219"/>
      <c r="W64" s="219"/>
      <c r="X64" s="220"/>
      <c r="Y64" s="220"/>
      <c r="Z64" s="220"/>
      <c r="AA64" s="220"/>
      <c r="AB64" s="220"/>
      <c r="AC64" s="219"/>
      <c r="AD64" s="429"/>
      <c r="AE64" s="430"/>
      <c r="AF64" s="219"/>
      <c r="AG64" s="219"/>
      <c r="AH64" s="207"/>
    </row>
    <row r="65" spans="1:34" s="39" customFormat="1" ht="24" customHeight="1">
      <c r="A65" s="38"/>
      <c r="B65" s="38"/>
      <c r="C65" s="121"/>
      <c r="D65" s="1455"/>
      <c r="E65" s="110"/>
      <c r="F65" s="263"/>
      <c r="G65" s="111"/>
      <c r="H65" s="128"/>
      <c r="I65" s="97" t="str">
        <f t="shared" si="1"/>
        <v/>
      </c>
      <c r="J65" s="1286"/>
      <c r="K65" s="62"/>
      <c r="L65" s="63"/>
      <c r="M65" s="1684"/>
      <c r="N65" s="949"/>
      <c r="O65" s="217"/>
      <c r="P65" s="218"/>
      <c r="Q65" s="219"/>
      <c r="R65" s="219"/>
      <c r="S65" s="219"/>
      <c r="T65" s="219"/>
      <c r="U65" s="219"/>
      <c r="V65" s="219"/>
      <c r="W65" s="219"/>
      <c r="X65" s="220"/>
      <c r="Y65" s="220"/>
      <c r="Z65" s="220"/>
      <c r="AA65" s="220"/>
      <c r="AB65" s="220"/>
      <c r="AC65" s="219"/>
      <c r="AD65" s="429"/>
      <c r="AE65" s="430"/>
      <c r="AF65" s="219"/>
      <c r="AG65" s="219"/>
      <c r="AH65" s="207"/>
    </row>
    <row r="66" spans="1:34" s="39" customFormat="1" ht="24" customHeight="1">
      <c r="A66" s="38"/>
      <c r="B66" s="38"/>
      <c r="C66" s="121"/>
      <c r="D66" s="1455"/>
      <c r="E66" s="110"/>
      <c r="F66" s="263"/>
      <c r="G66" s="111"/>
      <c r="H66" s="128"/>
      <c r="I66" s="97" t="str">
        <f t="shared" si="1"/>
        <v/>
      </c>
      <c r="J66" s="1286"/>
      <c r="K66" s="62"/>
      <c r="L66" s="63"/>
      <c r="M66" s="1684"/>
      <c r="N66" s="949"/>
      <c r="O66" s="217"/>
      <c r="P66" s="218"/>
      <c r="Q66" s="219"/>
      <c r="R66" s="219"/>
      <c r="S66" s="219"/>
      <c r="T66" s="219"/>
      <c r="U66" s="219"/>
      <c r="V66" s="219"/>
      <c r="W66" s="219"/>
      <c r="X66" s="220"/>
      <c r="Y66" s="220"/>
      <c r="Z66" s="220"/>
      <c r="AA66" s="220"/>
      <c r="AB66" s="220"/>
      <c r="AC66" s="219"/>
      <c r="AD66" s="429"/>
      <c r="AE66" s="430"/>
      <c r="AF66" s="219"/>
      <c r="AG66" s="219"/>
      <c r="AH66" s="207"/>
    </row>
    <row r="67" spans="1:34" s="39" customFormat="1" ht="24" customHeight="1">
      <c r="A67" s="38"/>
      <c r="B67" s="38"/>
      <c r="C67" s="121"/>
      <c r="D67" s="1455"/>
      <c r="E67" s="110"/>
      <c r="F67" s="263"/>
      <c r="G67" s="111"/>
      <c r="H67" s="128"/>
      <c r="I67" s="97" t="str">
        <f t="shared" si="1"/>
        <v/>
      </c>
      <c r="J67" s="1286"/>
      <c r="K67" s="62"/>
      <c r="L67" s="63"/>
      <c r="M67" s="1684"/>
      <c r="N67" s="949"/>
      <c r="O67" s="217"/>
      <c r="P67" s="218"/>
      <c r="Q67" s="219"/>
      <c r="R67" s="219"/>
      <c r="S67" s="219"/>
      <c r="T67" s="219"/>
      <c r="U67" s="219"/>
      <c r="V67" s="219"/>
      <c r="W67" s="219"/>
      <c r="X67" s="220"/>
      <c r="Y67" s="220"/>
      <c r="Z67" s="220"/>
      <c r="AA67" s="220"/>
      <c r="AB67" s="220"/>
      <c r="AC67" s="219"/>
      <c r="AD67" s="429"/>
      <c r="AE67" s="430"/>
      <c r="AF67" s="219"/>
      <c r="AG67" s="219"/>
      <c r="AH67" s="207"/>
    </row>
    <row r="68" spans="1:34" s="39" customFormat="1" ht="24" customHeight="1">
      <c r="A68" s="38"/>
      <c r="B68" s="38"/>
      <c r="C68" s="121"/>
      <c r="D68" s="1455"/>
      <c r="E68" s="110"/>
      <c r="F68" s="263"/>
      <c r="G68" s="111"/>
      <c r="H68" s="128"/>
      <c r="I68" s="97" t="str">
        <f t="shared" si="1"/>
        <v/>
      </c>
      <c r="J68" s="1286"/>
      <c r="K68" s="62"/>
      <c r="L68" s="63"/>
      <c r="M68" s="1684"/>
      <c r="N68" s="949"/>
      <c r="O68" s="217"/>
      <c r="P68" s="218"/>
      <c r="Q68" s="219"/>
      <c r="R68" s="219"/>
      <c r="S68" s="219"/>
      <c r="T68" s="219"/>
      <c r="U68" s="219"/>
      <c r="V68" s="219"/>
      <c r="W68" s="219"/>
      <c r="X68" s="220"/>
      <c r="Y68" s="220"/>
      <c r="Z68" s="220"/>
      <c r="AA68" s="220"/>
      <c r="AB68" s="220"/>
      <c r="AC68" s="219"/>
      <c r="AD68" s="429"/>
      <c r="AE68" s="430"/>
      <c r="AF68" s="219"/>
      <c r="AG68" s="219"/>
      <c r="AH68" s="207"/>
    </row>
    <row r="69" spans="1:34" s="39" customFormat="1" ht="24" customHeight="1">
      <c r="A69" s="38"/>
      <c r="B69" s="38"/>
      <c r="C69" s="121"/>
      <c r="D69" s="1455"/>
      <c r="E69" s="110"/>
      <c r="F69" s="263"/>
      <c r="G69" s="111"/>
      <c r="H69" s="128"/>
      <c r="I69" s="97" t="str">
        <f t="shared" si="1"/>
        <v/>
      </c>
      <c r="J69" s="1286"/>
      <c r="K69" s="62"/>
      <c r="L69" s="63"/>
      <c r="M69" s="1684"/>
      <c r="N69" s="949"/>
      <c r="O69" s="217"/>
      <c r="P69" s="218"/>
      <c r="Q69" s="219"/>
      <c r="R69" s="219"/>
      <c r="S69" s="219"/>
      <c r="T69" s="219"/>
      <c r="U69" s="219"/>
      <c r="V69" s="219"/>
      <c r="W69" s="219"/>
      <c r="X69" s="220"/>
      <c r="Y69" s="220"/>
      <c r="Z69" s="220"/>
      <c r="AA69" s="220"/>
      <c r="AB69" s="220"/>
      <c r="AC69" s="219"/>
      <c r="AD69" s="429"/>
      <c r="AE69" s="430"/>
      <c r="AF69" s="219"/>
      <c r="AG69" s="219"/>
      <c r="AH69" s="207"/>
    </row>
    <row r="70" spans="1:34" ht="24" customHeight="1" thickBot="1">
      <c r="A70" s="38"/>
      <c r="B70" s="38"/>
      <c r="C70" s="99"/>
      <c r="D70" s="1389" t="s">
        <v>8</v>
      </c>
      <c r="E70" s="100"/>
      <c r="F70" s="264"/>
      <c r="G70" s="114"/>
      <c r="H70" s="124" t="s">
        <v>69</v>
      </c>
      <c r="I70" s="101">
        <f>SUM(I52:I69)</f>
        <v>0</v>
      </c>
      <c r="J70" s="1399" t="str">
        <f>IF(C51="部分撤去工事","）うち費用",")")</f>
        <v>)</v>
      </c>
      <c r="K70" s="1400">
        <f>IF(C51="部分撤去工事",(K47+L70),0)</f>
        <v>0</v>
      </c>
      <c r="L70" s="1401">
        <f>IF(C51="部分撤去工事",SUMIF(N52:N69,"費用",I52:I69),0)</f>
        <v>0</v>
      </c>
      <c r="M70" s="1238"/>
      <c r="N70" s="954"/>
      <c r="O70" s="217"/>
      <c r="P70" s="218"/>
      <c r="Q70" s="219"/>
      <c r="R70" s="219"/>
      <c r="S70" s="219"/>
      <c r="T70" s="219"/>
      <c r="U70" s="219"/>
      <c r="V70" s="219"/>
      <c r="W70" s="219"/>
      <c r="X70" s="220"/>
      <c r="Y70" s="220"/>
      <c r="Z70" s="220"/>
      <c r="AA70" s="220"/>
      <c r="AB70" s="220"/>
      <c r="AC70" s="219"/>
      <c r="AD70" s="429"/>
      <c r="AE70" s="430"/>
      <c r="AF70" s="219"/>
      <c r="AG70" s="219"/>
      <c r="AH70" s="431"/>
    </row>
    <row r="71" spans="1:34" ht="14.25" customHeight="1">
      <c r="E71" s="117" t="s">
        <v>84</v>
      </c>
      <c r="F71" s="118">
        <f>+F48+1</f>
        <v>6</v>
      </c>
      <c r="G71" s="119" t="s">
        <v>48</v>
      </c>
      <c r="H71" s="120">
        <f>+H48</f>
        <v>7</v>
      </c>
      <c r="I71" s="120"/>
      <c r="M71" s="33" t="str">
        <f>IF(A73="","EOL","")</f>
        <v/>
      </c>
      <c r="N71" s="1">
        <f>+F71</f>
        <v>6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224" t="s">
        <v>3134</v>
      </c>
      <c r="D72" s="2224"/>
      <c r="E72" s="2224"/>
      <c r="F72" s="2224"/>
      <c r="G72" s="2224"/>
      <c r="H72" s="2224"/>
      <c r="I72" s="2224"/>
      <c r="J72" s="2224"/>
      <c r="K72" s="2224"/>
      <c r="L72" s="2224"/>
      <c r="O72" s="2228" t="s">
        <v>129</v>
      </c>
      <c r="P72" s="2228"/>
      <c r="Q72" s="2228"/>
      <c r="R72" s="2228"/>
      <c r="S72" s="2228"/>
      <c r="T72" s="2228"/>
      <c r="U72" s="2228"/>
      <c r="V72" s="2228"/>
      <c r="W72" s="2228"/>
      <c r="X72" s="2228"/>
      <c r="Y72" s="2228"/>
      <c r="Z72" s="2228"/>
      <c r="AA72" s="2228"/>
      <c r="AB72" s="2228"/>
      <c r="AC72" s="2228"/>
      <c r="AD72" s="2228"/>
      <c r="AE72" s="2228"/>
      <c r="AF72" s="2228"/>
      <c r="AG72" s="2228"/>
      <c r="AH72" s="2229"/>
    </row>
    <row r="73" spans="1:34" ht="41.25" customHeight="1">
      <c r="A73" s="5" t="s">
        <v>10</v>
      </c>
      <c r="B73" s="5" t="s">
        <v>43</v>
      </c>
      <c r="C73" s="1650" t="s">
        <v>0</v>
      </c>
      <c r="D73" s="1651"/>
      <c r="E73" s="1652" t="s">
        <v>1</v>
      </c>
      <c r="F73" s="1653" t="s">
        <v>2</v>
      </c>
      <c r="G73" s="1653" t="s">
        <v>3</v>
      </c>
      <c r="H73" s="1654" t="s">
        <v>4</v>
      </c>
      <c r="I73" s="1654" t="s">
        <v>5</v>
      </c>
      <c r="J73" s="2225" t="s">
        <v>6</v>
      </c>
      <c r="K73" s="2226"/>
      <c r="L73" s="2227"/>
      <c r="M73" s="1677"/>
      <c r="N73" s="1678" t="s">
        <v>322</v>
      </c>
      <c r="O73" s="148" t="s">
        <v>66</v>
      </c>
      <c r="P73" s="359" t="s">
        <v>259</v>
      </c>
      <c r="Q73" s="265" t="s">
        <v>299</v>
      </c>
      <c r="R73" s="265" t="s">
        <v>208</v>
      </c>
      <c r="S73" s="265" t="s">
        <v>209</v>
      </c>
      <c r="T73" s="265" t="s">
        <v>260</v>
      </c>
      <c r="U73" s="265" t="s">
        <v>123</v>
      </c>
      <c r="V73" s="147" t="s">
        <v>122</v>
      </c>
      <c r="W73" s="265" t="s">
        <v>261</v>
      </c>
      <c r="X73" s="214" t="s">
        <v>210</v>
      </c>
      <c r="Y73" s="214" t="s">
        <v>211</v>
      </c>
      <c r="Z73" s="214" t="s">
        <v>212</v>
      </c>
      <c r="AA73" s="214" t="s">
        <v>213</v>
      </c>
      <c r="AB73" s="214" t="s">
        <v>262</v>
      </c>
      <c r="AC73" s="426" t="s">
        <v>308</v>
      </c>
      <c r="AD73" s="427" t="s">
        <v>309</v>
      </c>
      <c r="AE73" s="428" t="s">
        <v>125</v>
      </c>
      <c r="AF73" s="146" t="s">
        <v>128</v>
      </c>
      <c r="AG73" s="146" t="s">
        <v>126</v>
      </c>
      <c r="AH73" s="146" t="s">
        <v>127</v>
      </c>
    </row>
    <row r="74" spans="1:34" ht="24" customHeight="1">
      <c r="A74" s="38"/>
      <c r="B74" s="38"/>
      <c r="C74" s="1667" t="s">
        <v>2404</v>
      </c>
      <c r="D74" s="1679"/>
      <c r="E74" s="1680"/>
      <c r="F74" s="1658"/>
      <c r="G74" s="1681"/>
      <c r="H74" s="1682" t="s">
        <v>11</v>
      </c>
      <c r="I74" s="1682" t="s">
        <v>11</v>
      </c>
      <c r="J74" s="2230"/>
      <c r="K74" s="2231"/>
      <c r="L74" s="2232"/>
      <c r="M74" s="1683"/>
      <c r="N74" s="949"/>
      <c r="O74" s="217"/>
      <c r="P74" s="218"/>
      <c r="Q74" s="219"/>
      <c r="R74" s="219"/>
      <c r="S74" s="219"/>
      <c r="T74" s="219"/>
      <c r="U74" s="219"/>
      <c r="V74" s="219"/>
      <c r="W74" s="219"/>
      <c r="X74" s="220"/>
      <c r="Y74" s="220"/>
      <c r="Z74" s="220"/>
      <c r="AA74" s="220"/>
      <c r="AB74" s="220"/>
      <c r="AC74" s="219"/>
      <c r="AD74" s="429"/>
      <c r="AE74" s="430"/>
      <c r="AF74" s="219"/>
      <c r="AG74" s="219"/>
      <c r="AH74" s="431"/>
    </row>
    <row r="75" spans="1:34" s="39" customFormat="1" ht="24" customHeight="1">
      <c r="A75" s="38"/>
      <c r="B75" s="38"/>
      <c r="C75" s="121"/>
      <c r="D75" s="1455"/>
      <c r="E75" s="110"/>
      <c r="F75" s="263"/>
      <c r="G75" s="111"/>
      <c r="H75" s="128"/>
      <c r="I75" s="97" t="str">
        <f t="shared" ref="I75:I92" si="2">IF(F75="","",INT(F75*H75))</f>
        <v/>
      </c>
      <c r="J75" s="1286"/>
      <c r="K75" s="62"/>
      <c r="L75" s="63"/>
      <c r="M75" s="1684"/>
      <c r="N75" s="949"/>
      <c r="O75" s="217"/>
      <c r="P75" s="218"/>
      <c r="Q75" s="219"/>
      <c r="R75" s="219"/>
      <c r="S75" s="219"/>
      <c r="T75" s="219"/>
      <c r="U75" s="219"/>
      <c r="V75" s="219"/>
      <c r="W75" s="219"/>
      <c r="X75" s="220"/>
      <c r="Y75" s="220"/>
      <c r="Z75" s="220"/>
      <c r="AA75" s="220"/>
      <c r="AB75" s="220"/>
      <c r="AC75" s="219"/>
      <c r="AD75" s="429"/>
      <c r="AE75" s="430"/>
      <c r="AF75" s="219"/>
      <c r="AG75" s="219"/>
      <c r="AH75" s="207"/>
    </row>
    <row r="76" spans="1:34" s="39" customFormat="1" ht="24" customHeight="1">
      <c r="A76" s="38"/>
      <c r="B76" s="38"/>
      <c r="C76" s="121"/>
      <c r="D76" s="1708"/>
      <c r="E76" s="110"/>
      <c r="F76" s="263"/>
      <c r="G76" s="111"/>
      <c r="H76" s="128"/>
      <c r="I76" s="97" t="str">
        <f t="shared" ref="I76" si="3">IF(F76="","",INT(F76*H76))</f>
        <v/>
      </c>
      <c r="J76" s="1286"/>
      <c r="K76" s="62"/>
      <c r="L76" s="63"/>
      <c r="M76" s="1684"/>
      <c r="N76" s="949"/>
      <c r="O76" s="217"/>
      <c r="P76" s="218"/>
      <c r="Q76" s="219"/>
      <c r="R76" s="219"/>
      <c r="S76" s="219"/>
      <c r="T76" s="219"/>
      <c r="U76" s="219"/>
      <c r="V76" s="219"/>
      <c r="W76" s="219"/>
      <c r="X76" s="220"/>
      <c r="Y76" s="220"/>
      <c r="Z76" s="220"/>
      <c r="AA76" s="220"/>
      <c r="AB76" s="220"/>
      <c r="AC76" s="219"/>
      <c r="AD76" s="429"/>
      <c r="AE76" s="430"/>
      <c r="AF76" s="219"/>
      <c r="AG76" s="219"/>
      <c r="AH76" s="207"/>
    </row>
    <row r="77" spans="1:34" s="39" customFormat="1" ht="24" customHeight="1">
      <c r="A77" s="38"/>
      <c r="B77" s="38"/>
      <c r="C77" s="121"/>
      <c r="D77" s="1455"/>
      <c r="E77" s="110"/>
      <c r="F77" s="263"/>
      <c r="G77" s="111"/>
      <c r="H77" s="128"/>
      <c r="I77" s="97" t="str">
        <f t="shared" si="2"/>
        <v/>
      </c>
      <c r="J77" s="1286"/>
      <c r="K77" s="62"/>
      <c r="L77" s="63"/>
      <c r="M77" s="1684"/>
      <c r="N77" s="949"/>
      <c r="O77" s="217"/>
      <c r="P77" s="218"/>
      <c r="Q77" s="219"/>
      <c r="R77" s="219"/>
      <c r="S77" s="219"/>
      <c r="T77" s="219"/>
      <c r="U77" s="219"/>
      <c r="V77" s="219"/>
      <c r="W77" s="219"/>
      <c r="X77" s="220"/>
      <c r="Y77" s="220"/>
      <c r="Z77" s="220"/>
      <c r="AA77" s="220"/>
      <c r="AB77" s="220"/>
      <c r="AC77" s="219"/>
      <c r="AD77" s="429"/>
      <c r="AE77" s="430"/>
      <c r="AF77" s="219"/>
      <c r="AG77" s="219"/>
      <c r="AH77" s="207"/>
    </row>
    <row r="78" spans="1:34" s="39" customFormat="1" ht="24" customHeight="1">
      <c r="A78" s="38"/>
      <c r="B78" s="38"/>
      <c r="C78" s="121"/>
      <c r="D78" s="1455"/>
      <c r="E78" s="110"/>
      <c r="F78" s="263"/>
      <c r="G78" s="111"/>
      <c r="H78" s="128"/>
      <c r="I78" s="97" t="str">
        <f t="shared" si="2"/>
        <v/>
      </c>
      <c r="J78" s="1286"/>
      <c r="K78" s="62"/>
      <c r="L78" s="63"/>
      <c r="M78" s="1684"/>
      <c r="N78" s="949"/>
      <c r="O78" s="217"/>
      <c r="P78" s="218"/>
      <c r="Q78" s="219"/>
      <c r="R78" s="219"/>
      <c r="S78" s="219"/>
      <c r="T78" s="219"/>
      <c r="U78" s="219"/>
      <c r="V78" s="219"/>
      <c r="W78" s="219"/>
      <c r="X78" s="220"/>
      <c r="Y78" s="220"/>
      <c r="Z78" s="220"/>
      <c r="AA78" s="220"/>
      <c r="AB78" s="220"/>
      <c r="AC78" s="219"/>
      <c r="AD78" s="429"/>
      <c r="AE78" s="430"/>
      <c r="AF78" s="219"/>
      <c r="AG78" s="219"/>
      <c r="AH78" s="207"/>
    </row>
    <row r="79" spans="1:34" s="39" customFormat="1" ht="24" customHeight="1">
      <c r="A79" s="38"/>
      <c r="B79" s="38"/>
      <c r="C79" s="121"/>
      <c r="D79" s="1455"/>
      <c r="E79" s="110"/>
      <c r="F79" s="263"/>
      <c r="G79" s="111"/>
      <c r="H79" s="128"/>
      <c r="I79" s="97" t="str">
        <f t="shared" si="2"/>
        <v/>
      </c>
      <c r="J79" s="1286"/>
      <c r="K79" s="62"/>
      <c r="L79" s="63"/>
      <c r="M79" s="1684"/>
      <c r="N79" s="949"/>
      <c r="O79" s="217"/>
      <c r="P79" s="218"/>
      <c r="Q79" s="219"/>
      <c r="R79" s="219"/>
      <c r="S79" s="219"/>
      <c r="T79" s="219"/>
      <c r="U79" s="219"/>
      <c r="V79" s="219"/>
      <c r="W79" s="219"/>
      <c r="X79" s="220"/>
      <c r="Y79" s="220"/>
      <c r="Z79" s="220"/>
      <c r="AA79" s="220"/>
      <c r="AB79" s="220"/>
      <c r="AC79" s="219"/>
      <c r="AD79" s="429"/>
      <c r="AE79" s="430"/>
      <c r="AF79" s="219"/>
      <c r="AG79" s="219"/>
      <c r="AH79" s="207"/>
    </row>
    <row r="80" spans="1:34" s="39" customFormat="1" ht="24" customHeight="1">
      <c r="A80" s="38"/>
      <c r="B80" s="38"/>
      <c r="C80" s="121"/>
      <c r="D80" s="1455"/>
      <c r="E80" s="110"/>
      <c r="F80" s="263"/>
      <c r="G80" s="111"/>
      <c r="H80" s="128"/>
      <c r="I80" s="97" t="str">
        <f t="shared" si="2"/>
        <v/>
      </c>
      <c r="J80" s="1286"/>
      <c r="K80" s="62"/>
      <c r="L80" s="63"/>
      <c r="M80" s="1684"/>
      <c r="N80" s="949"/>
      <c r="O80" s="217"/>
      <c r="P80" s="218"/>
      <c r="Q80" s="219"/>
      <c r="R80" s="219"/>
      <c r="S80" s="219"/>
      <c r="T80" s="219"/>
      <c r="U80" s="219"/>
      <c r="V80" s="219"/>
      <c r="W80" s="219"/>
      <c r="X80" s="220"/>
      <c r="Y80" s="220"/>
      <c r="Z80" s="220"/>
      <c r="AA80" s="220"/>
      <c r="AB80" s="220"/>
      <c r="AC80" s="219"/>
      <c r="AD80" s="429"/>
      <c r="AE80" s="430"/>
      <c r="AF80" s="219"/>
      <c r="AG80" s="219"/>
      <c r="AH80" s="207"/>
    </row>
    <row r="81" spans="1:34" s="39" customFormat="1" ht="24" customHeight="1">
      <c r="A81" s="38"/>
      <c r="B81" s="38"/>
      <c r="C81" s="121"/>
      <c r="D81" s="1455"/>
      <c r="E81" s="110"/>
      <c r="F81" s="263"/>
      <c r="G81" s="111"/>
      <c r="H81" s="128"/>
      <c r="I81" s="97" t="str">
        <f t="shared" si="2"/>
        <v/>
      </c>
      <c r="J81" s="1286"/>
      <c r="K81" s="62"/>
      <c r="L81" s="63"/>
      <c r="M81" s="1684"/>
      <c r="N81" s="949"/>
      <c r="O81" s="217"/>
      <c r="P81" s="218"/>
      <c r="Q81" s="219"/>
      <c r="R81" s="219"/>
      <c r="S81" s="219"/>
      <c r="T81" s="219"/>
      <c r="U81" s="219"/>
      <c r="V81" s="219"/>
      <c r="W81" s="219"/>
      <c r="X81" s="220"/>
      <c r="Y81" s="220"/>
      <c r="Z81" s="220"/>
      <c r="AA81" s="220"/>
      <c r="AB81" s="220"/>
      <c r="AC81" s="219"/>
      <c r="AD81" s="429"/>
      <c r="AE81" s="430"/>
      <c r="AF81" s="219"/>
      <c r="AG81" s="219"/>
      <c r="AH81" s="207"/>
    </row>
    <row r="82" spans="1:34" s="39" customFormat="1" ht="24" customHeight="1">
      <c r="A82" s="38"/>
      <c r="B82" s="38"/>
      <c r="C82" s="121"/>
      <c r="D82" s="1455"/>
      <c r="E82" s="110"/>
      <c r="F82" s="263"/>
      <c r="G82" s="111"/>
      <c r="H82" s="128"/>
      <c r="I82" s="97" t="str">
        <f t="shared" si="2"/>
        <v/>
      </c>
      <c r="J82" s="1286"/>
      <c r="K82" s="62"/>
      <c r="L82" s="63"/>
      <c r="M82" s="1684"/>
      <c r="N82" s="949"/>
      <c r="O82" s="217"/>
      <c r="P82" s="218"/>
      <c r="Q82" s="219"/>
      <c r="R82" s="219"/>
      <c r="S82" s="219"/>
      <c r="T82" s="219"/>
      <c r="U82" s="219"/>
      <c r="V82" s="219"/>
      <c r="W82" s="219"/>
      <c r="X82" s="220"/>
      <c r="Y82" s="220"/>
      <c r="Z82" s="220"/>
      <c r="AA82" s="220"/>
      <c r="AB82" s="220"/>
      <c r="AC82" s="219"/>
      <c r="AD82" s="429"/>
      <c r="AE82" s="430"/>
      <c r="AF82" s="219"/>
      <c r="AG82" s="219"/>
      <c r="AH82" s="207"/>
    </row>
    <row r="83" spans="1:34" s="39" customFormat="1" ht="24" customHeight="1">
      <c r="A83" s="38"/>
      <c r="B83" s="38"/>
      <c r="C83" s="121"/>
      <c r="D83" s="1455"/>
      <c r="E83" s="110"/>
      <c r="F83" s="263"/>
      <c r="G83" s="111"/>
      <c r="H83" s="128"/>
      <c r="I83" s="97" t="str">
        <f t="shared" si="2"/>
        <v/>
      </c>
      <c r="J83" s="1286"/>
      <c r="K83" s="62"/>
      <c r="L83" s="63"/>
      <c r="M83" s="1684"/>
      <c r="N83" s="949"/>
      <c r="O83" s="217"/>
      <c r="P83" s="218"/>
      <c r="Q83" s="219"/>
      <c r="R83" s="219"/>
      <c r="S83" s="219"/>
      <c r="T83" s="219"/>
      <c r="U83" s="219"/>
      <c r="V83" s="219"/>
      <c r="W83" s="219"/>
      <c r="X83" s="220"/>
      <c r="Y83" s="220"/>
      <c r="Z83" s="220"/>
      <c r="AA83" s="220"/>
      <c r="AB83" s="220"/>
      <c r="AC83" s="219"/>
      <c r="AD83" s="429"/>
      <c r="AE83" s="430"/>
      <c r="AF83" s="219"/>
      <c r="AG83" s="219"/>
      <c r="AH83" s="207"/>
    </row>
    <row r="84" spans="1:34" s="39" customFormat="1" ht="24" customHeight="1">
      <c r="A84" s="38"/>
      <c r="B84" s="38"/>
      <c r="C84" s="121"/>
      <c r="D84" s="1455"/>
      <c r="E84" s="110"/>
      <c r="F84" s="263"/>
      <c r="G84" s="111"/>
      <c r="H84" s="128"/>
      <c r="I84" s="97" t="str">
        <f t="shared" si="2"/>
        <v/>
      </c>
      <c r="J84" s="1286"/>
      <c r="K84" s="62"/>
      <c r="L84" s="63"/>
      <c r="M84" s="1684"/>
      <c r="N84" s="949"/>
      <c r="O84" s="217"/>
      <c r="P84" s="218"/>
      <c r="Q84" s="219"/>
      <c r="R84" s="219"/>
      <c r="S84" s="219"/>
      <c r="T84" s="219"/>
      <c r="U84" s="219"/>
      <c r="V84" s="219"/>
      <c r="W84" s="219"/>
      <c r="X84" s="220"/>
      <c r="Y84" s="220"/>
      <c r="Z84" s="220"/>
      <c r="AA84" s="220"/>
      <c r="AB84" s="220"/>
      <c r="AC84" s="219"/>
      <c r="AD84" s="429"/>
      <c r="AE84" s="430"/>
      <c r="AF84" s="219"/>
      <c r="AG84" s="219"/>
      <c r="AH84" s="207"/>
    </row>
    <row r="85" spans="1:34" s="39" customFormat="1" ht="24" customHeight="1">
      <c r="A85" s="38"/>
      <c r="B85" s="38"/>
      <c r="C85" s="121"/>
      <c r="D85" s="1455"/>
      <c r="E85" s="110"/>
      <c r="F85" s="263"/>
      <c r="G85" s="111"/>
      <c r="H85" s="128"/>
      <c r="I85" s="97" t="str">
        <f t="shared" si="2"/>
        <v/>
      </c>
      <c r="J85" s="1286"/>
      <c r="K85" s="62"/>
      <c r="L85" s="63"/>
      <c r="M85" s="1684"/>
      <c r="N85" s="949"/>
      <c r="O85" s="217"/>
      <c r="P85" s="218"/>
      <c r="Q85" s="219"/>
      <c r="R85" s="219"/>
      <c r="S85" s="219"/>
      <c r="T85" s="219"/>
      <c r="U85" s="219"/>
      <c r="V85" s="219"/>
      <c r="W85" s="219"/>
      <c r="X85" s="220"/>
      <c r="Y85" s="220"/>
      <c r="Z85" s="220"/>
      <c r="AA85" s="220"/>
      <c r="AB85" s="220"/>
      <c r="AC85" s="219"/>
      <c r="AD85" s="429"/>
      <c r="AE85" s="430"/>
      <c r="AF85" s="219"/>
      <c r="AG85" s="219"/>
      <c r="AH85" s="207"/>
    </row>
    <row r="86" spans="1:34" s="39" customFormat="1" ht="24" customHeight="1">
      <c r="A86" s="38"/>
      <c r="B86" s="38"/>
      <c r="C86" s="121"/>
      <c r="D86" s="1455"/>
      <c r="E86" s="110"/>
      <c r="F86" s="263"/>
      <c r="G86" s="111"/>
      <c r="H86" s="128"/>
      <c r="I86" s="97" t="str">
        <f t="shared" si="2"/>
        <v/>
      </c>
      <c r="J86" s="1286"/>
      <c r="K86" s="62"/>
      <c r="L86" s="63"/>
      <c r="M86" s="1684"/>
      <c r="N86" s="949"/>
      <c r="O86" s="217"/>
      <c r="P86" s="218"/>
      <c r="Q86" s="219"/>
      <c r="R86" s="219"/>
      <c r="S86" s="219"/>
      <c r="T86" s="219"/>
      <c r="U86" s="219"/>
      <c r="V86" s="219"/>
      <c r="W86" s="219"/>
      <c r="X86" s="220"/>
      <c r="Y86" s="220"/>
      <c r="Z86" s="220"/>
      <c r="AA86" s="220"/>
      <c r="AB86" s="220"/>
      <c r="AC86" s="219"/>
      <c r="AD86" s="429"/>
      <c r="AE86" s="430"/>
      <c r="AF86" s="219"/>
      <c r="AG86" s="219"/>
      <c r="AH86" s="207"/>
    </row>
    <row r="87" spans="1:34" s="39" customFormat="1" ht="24" customHeight="1">
      <c r="A87" s="38"/>
      <c r="B87" s="38"/>
      <c r="C87" s="121"/>
      <c r="D87" s="1455"/>
      <c r="E87" s="110"/>
      <c r="F87" s="263"/>
      <c r="G87" s="111"/>
      <c r="H87" s="128"/>
      <c r="I87" s="97" t="str">
        <f t="shared" si="2"/>
        <v/>
      </c>
      <c r="J87" s="1286"/>
      <c r="K87" s="62"/>
      <c r="L87" s="63"/>
      <c r="M87" s="1684"/>
      <c r="N87" s="949"/>
      <c r="O87" s="217"/>
      <c r="P87" s="218"/>
      <c r="Q87" s="219"/>
      <c r="R87" s="219"/>
      <c r="S87" s="219"/>
      <c r="T87" s="219"/>
      <c r="U87" s="219"/>
      <c r="V87" s="219"/>
      <c r="W87" s="219"/>
      <c r="X87" s="220"/>
      <c r="Y87" s="220"/>
      <c r="Z87" s="220"/>
      <c r="AA87" s="220"/>
      <c r="AB87" s="220"/>
      <c r="AC87" s="219"/>
      <c r="AD87" s="429"/>
      <c r="AE87" s="430"/>
      <c r="AF87" s="219"/>
      <c r="AG87" s="219"/>
      <c r="AH87" s="207"/>
    </row>
    <row r="88" spans="1:34" s="39" customFormat="1" ht="24" customHeight="1">
      <c r="A88" s="38"/>
      <c r="B88" s="38"/>
      <c r="C88" s="121"/>
      <c r="D88" s="1455"/>
      <c r="E88" s="110"/>
      <c r="F88" s="263"/>
      <c r="G88" s="111"/>
      <c r="H88" s="128"/>
      <c r="I88" s="97" t="str">
        <f t="shared" si="2"/>
        <v/>
      </c>
      <c r="J88" s="1286"/>
      <c r="K88" s="62"/>
      <c r="L88" s="63"/>
      <c r="M88" s="1684"/>
      <c r="N88" s="949"/>
      <c r="O88" s="217"/>
      <c r="P88" s="218"/>
      <c r="Q88" s="219"/>
      <c r="R88" s="219"/>
      <c r="S88" s="219"/>
      <c r="T88" s="219"/>
      <c r="U88" s="219"/>
      <c r="V88" s="219"/>
      <c r="W88" s="219"/>
      <c r="X88" s="220"/>
      <c r="Y88" s="220"/>
      <c r="Z88" s="220"/>
      <c r="AA88" s="220"/>
      <c r="AB88" s="220"/>
      <c r="AC88" s="219"/>
      <c r="AD88" s="429"/>
      <c r="AE88" s="430"/>
      <c r="AF88" s="219"/>
      <c r="AG88" s="219"/>
      <c r="AH88" s="207"/>
    </row>
    <row r="89" spans="1:34" s="39" customFormat="1" ht="24" customHeight="1">
      <c r="A89" s="38"/>
      <c r="B89" s="38"/>
      <c r="C89" s="121"/>
      <c r="D89" s="1455"/>
      <c r="E89" s="110"/>
      <c r="F89" s="263"/>
      <c r="G89" s="111"/>
      <c r="H89" s="128"/>
      <c r="I89" s="97" t="str">
        <f t="shared" si="2"/>
        <v/>
      </c>
      <c r="J89" s="1286"/>
      <c r="K89" s="62"/>
      <c r="L89" s="63"/>
      <c r="M89" s="1684"/>
      <c r="N89" s="949"/>
      <c r="O89" s="217"/>
      <c r="P89" s="218"/>
      <c r="Q89" s="219"/>
      <c r="R89" s="219"/>
      <c r="S89" s="219"/>
      <c r="T89" s="219"/>
      <c r="U89" s="219"/>
      <c r="V89" s="219"/>
      <c r="W89" s="219"/>
      <c r="X89" s="220"/>
      <c r="Y89" s="220"/>
      <c r="Z89" s="220"/>
      <c r="AA89" s="220"/>
      <c r="AB89" s="220"/>
      <c r="AC89" s="219"/>
      <c r="AD89" s="429"/>
      <c r="AE89" s="430"/>
      <c r="AF89" s="219"/>
      <c r="AG89" s="219"/>
      <c r="AH89" s="207"/>
    </row>
    <row r="90" spans="1:34" s="39" customFormat="1" ht="24" customHeight="1">
      <c r="A90" s="38"/>
      <c r="B90" s="38"/>
      <c r="C90" s="121"/>
      <c r="D90" s="1455"/>
      <c r="E90" s="110"/>
      <c r="F90" s="263"/>
      <c r="G90" s="111"/>
      <c r="H90" s="128"/>
      <c r="I90" s="97" t="str">
        <f t="shared" si="2"/>
        <v/>
      </c>
      <c r="J90" s="1286"/>
      <c r="K90" s="62"/>
      <c r="L90" s="63"/>
      <c r="M90" s="1684"/>
      <c r="N90" s="949"/>
      <c r="O90" s="217"/>
      <c r="P90" s="218"/>
      <c r="Q90" s="219"/>
      <c r="R90" s="219"/>
      <c r="S90" s="219"/>
      <c r="T90" s="219"/>
      <c r="U90" s="219"/>
      <c r="V90" s="219"/>
      <c r="W90" s="219"/>
      <c r="X90" s="220"/>
      <c r="Y90" s="220"/>
      <c r="Z90" s="220"/>
      <c r="AA90" s="220"/>
      <c r="AB90" s="220"/>
      <c r="AC90" s="219"/>
      <c r="AD90" s="429"/>
      <c r="AE90" s="430"/>
      <c r="AF90" s="219"/>
      <c r="AG90" s="219"/>
      <c r="AH90" s="207"/>
    </row>
    <row r="91" spans="1:34" s="39" customFormat="1" ht="24" customHeight="1">
      <c r="A91" s="38"/>
      <c r="B91" s="38"/>
      <c r="C91" s="121"/>
      <c r="D91" s="1455"/>
      <c r="E91" s="110"/>
      <c r="F91" s="263"/>
      <c r="G91" s="111"/>
      <c r="H91" s="128"/>
      <c r="I91" s="97" t="str">
        <f t="shared" si="2"/>
        <v/>
      </c>
      <c r="J91" s="1286"/>
      <c r="K91" s="62"/>
      <c r="L91" s="63"/>
      <c r="M91" s="1684"/>
      <c r="N91" s="949"/>
      <c r="O91" s="217"/>
      <c r="P91" s="218"/>
      <c r="Q91" s="219"/>
      <c r="R91" s="219"/>
      <c r="S91" s="219"/>
      <c r="T91" s="219"/>
      <c r="U91" s="219"/>
      <c r="V91" s="219"/>
      <c r="W91" s="219"/>
      <c r="X91" s="220"/>
      <c r="Y91" s="220"/>
      <c r="Z91" s="220"/>
      <c r="AA91" s="220"/>
      <c r="AB91" s="220"/>
      <c r="AC91" s="219"/>
      <c r="AD91" s="429"/>
      <c r="AE91" s="430"/>
      <c r="AF91" s="219"/>
      <c r="AG91" s="219"/>
      <c r="AH91" s="207"/>
    </row>
    <row r="92" spans="1:34" s="39" customFormat="1" ht="24" customHeight="1">
      <c r="A92" s="38"/>
      <c r="B92" s="38"/>
      <c r="C92" s="121"/>
      <c r="D92" s="1455"/>
      <c r="E92" s="110"/>
      <c r="F92" s="263"/>
      <c r="G92" s="111"/>
      <c r="H92" s="128"/>
      <c r="I92" s="97" t="str">
        <f t="shared" si="2"/>
        <v/>
      </c>
      <c r="J92" s="1286"/>
      <c r="K92" s="62"/>
      <c r="L92" s="63"/>
      <c r="M92" s="1684"/>
      <c r="N92" s="949"/>
      <c r="O92" s="217"/>
      <c r="P92" s="218"/>
      <c r="Q92" s="219"/>
      <c r="R92" s="219"/>
      <c r="S92" s="219"/>
      <c r="T92" s="219"/>
      <c r="U92" s="219"/>
      <c r="V92" s="219"/>
      <c r="W92" s="219"/>
      <c r="X92" s="220"/>
      <c r="Y92" s="220"/>
      <c r="Z92" s="220"/>
      <c r="AA92" s="220"/>
      <c r="AB92" s="220"/>
      <c r="AC92" s="219"/>
      <c r="AD92" s="429"/>
      <c r="AE92" s="430"/>
      <c r="AF92" s="219"/>
      <c r="AG92" s="219"/>
      <c r="AH92" s="207"/>
    </row>
    <row r="93" spans="1:34" ht="24" customHeight="1" thickBot="1">
      <c r="A93" s="38"/>
      <c r="B93" s="38"/>
      <c r="C93" s="99"/>
      <c r="D93" s="89" t="s">
        <v>8</v>
      </c>
      <c r="E93" s="100"/>
      <c r="F93" s="264"/>
      <c r="G93" s="114"/>
      <c r="H93" s="124" t="s">
        <v>69</v>
      </c>
      <c r="I93" s="101">
        <f>SUM(I75:I92)</f>
        <v>0</v>
      </c>
      <c r="J93" s="570" t="str">
        <f>IF(C74="部分撤去工事","）うち費用",")")</f>
        <v>)</v>
      </c>
      <c r="K93" s="569">
        <f>IF(C74="部分撤去工事",(K70+L93),0)</f>
        <v>0</v>
      </c>
      <c r="L93" s="568">
        <f>IF(C74="部分撤去工事",SUMIF(N75:N92,"費用",I75:I92),0)</f>
        <v>0</v>
      </c>
      <c r="M93" s="953"/>
      <c r="N93" s="954"/>
      <c r="O93" s="217"/>
      <c r="P93" s="218"/>
      <c r="Q93" s="219"/>
      <c r="R93" s="219"/>
      <c r="S93" s="219"/>
      <c r="T93" s="219"/>
      <c r="U93" s="219"/>
      <c r="V93" s="219"/>
      <c r="W93" s="219"/>
      <c r="X93" s="220"/>
      <c r="Y93" s="220"/>
      <c r="Z93" s="220"/>
      <c r="AA93" s="220"/>
      <c r="AB93" s="220"/>
      <c r="AC93" s="219"/>
      <c r="AD93" s="429"/>
      <c r="AE93" s="430"/>
      <c r="AF93" s="219"/>
      <c r="AG93" s="219"/>
      <c r="AH93" s="431"/>
    </row>
    <row r="94" spans="1:34" ht="14.25" customHeight="1">
      <c r="E94" s="117" t="s">
        <v>84</v>
      </c>
      <c r="F94" s="118">
        <f>+F71+1</f>
        <v>7</v>
      </c>
      <c r="G94" s="119" t="s">
        <v>48</v>
      </c>
      <c r="H94" s="120">
        <f>+H71</f>
        <v>7</v>
      </c>
      <c r="I94" s="120"/>
      <c r="M94" s="33" t="str">
        <f>IF(A96="","EOL","")</f>
        <v>EOL</v>
      </c>
      <c r="N94" s="1">
        <f>+F94</f>
        <v>7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</sheetData>
  <mergeCells count="14">
    <mergeCell ref="C72:L72"/>
    <mergeCell ref="O72:AH72"/>
    <mergeCell ref="J73:L73"/>
    <mergeCell ref="J74:L74"/>
    <mergeCell ref="J5:L5"/>
    <mergeCell ref="J51:L51"/>
    <mergeCell ref="C3:L3"/>
    <mergeCell ref="J4:L4"/>
    <mergeCell ref="C49:L49"/>
    <mergeCell ref="O49:AH49"/>
    <mergeCell ref="J50:L50"/>
    <mergeCell ref="C26:L26"/>
    <mergeCell ref="O26:AH26"/>
    <mergeCell ref="J28:L28"/>
  </mergeCells>
  <phoneticPr fontId="6"/>
  <dataValidations count="3">
    <dataValidation type="list" allowBlank="1" showInputMessage="1" showErrorMessage="1" prompt="費用/建物附属設備/工具・器具・備品の場合、選択してください。" sqref="N51:N69 N74:N92" xr:uid="{00000000-0002-0000-0700-000000000000}">
      <formula1>OFFSET(INDIRECT("入力規則マスタ!$J$3"),0,0,COUNTA(INDIRECT("入力規則マスタ!$J:$J"))-1,1)</formula1>
    </dataValidation>
    <dataValidation type="list" allowBlank="1" showInputMessage="1" showErrorMessage="1" sqref="M16" xr:uid="{00000000-0002-0000-0700-000001000000}">
      <formula1>"直"</formula1>
    </dataValidation>
    <dataValidation type="whole" allowBlank="1" showInputMessage="1" showErrorMessage="1" sqref="A75:B92 A52:B69 A29:B46 A5:B5" xr:uid="{00000000-0002-0000-0700-000002000000}">
      <formula1>1</formula1>
      <formula2>4</formula2>
    </dataValidation>
  </dataValidations>
  <printOptions horizontalCentered="1" verticalCentered="1"/>
  <pageMargins left="0.98425196850393704" right="0.39370078740157499" top="0.78740157480314998" bottom="0.78740157480314998" header="0.511811023622047" footer="0.511811023622047"/>
  <pageSetup paperSize="9" scale="31" orientation="portrait" horizontalDpi="300" verticalDpi="300" r:id="rId1"/>
  <headerFooter alignWithMargins="0"/>
  <rowBreaks count="1" manualBreakCount="1">
    <brk id="2" max="16383" man="1"/>
  </rowBreaks>
  <colBreaks count="1" manualBreakCount="1">
    <brk id="12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BA48"/>
  <sheetViews>
    <sheetView topLeftCell="A3" zoomScale="80" zoomScaleNormal="80" workbookViewId="0">
      <selection activeCell="A3" sqref="A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4" width="3.6640625" style="1" customWidth="1"/>
    <col min="15" max="33" width="5.33203125" style="39" customWidth="1"/>
    <col min="34" max="34" width="3.5" style="1" customWidth="1"/>
    <col min="35" max="53" width="4.33203125" style="1" customWidth="1"/>
    <col min="54" max="16384" width="6.6640625" style="1"/>
  </cols>
  <sheetData>
    <row r="1" spans="1:53" ht="25.5" hidden="1" customHeight="1"/>
    <row r="2" spans="1:53" ht="24" hidden="1" customHeight="1">
      <c r="C2" s="37"/>
      <c r="E2" s="36" t="s">
        <v>49</v>
      </c>
      <c r="F2" s="79">
        <v>0</v>
      </c>
      <c r="G2" s="1"/>
      <c r="I2" s="4" t="s">
        <v>55</v>
      </c>
      <c r="J2" s="39">
        <f>VLOOKUP("EOL",$M$25:$N$65536,2,FALSE)</f>
        <v>2</v>
      </c>
    </row>
    <row r="3" spans="1:53" ht="26.25" customHeight="1" thickBot="1">
      <c r="C3" s="2224" t="s">
        <v>3135</v>
      </c>
      <c r="D3" s="2224"/>
      <c r="E3" s="2224"/>
      <c r="F3" s="2224"/>
      <c r="G3" s="2224"/>
      <c r="H3" s="2224"/>
      <c r="I3" s="2224"/>
      <c r="J3" s="2224"/>
      <c r="K3" s="2224"/>
      <c r="L3" s="2224"/>
      <c r="O3" s="2236" t="s">
        <v>129</v>
      </c>
      <c r="P3" s="2237"/>
      <c r="Q3" s="2237"/>
      <c r="R3" s="2237"/>
      <c r="S3" s="2237"/>
      <c r="T3" s="2237"/>
      <c r="U3" s="2237"/>
      <c r="V3" s="2237"/>
      <c r="W3" s="2237"/>
      <c r="X3" s="2237"/>
      <c r="Y3" s="2237"/>
      <c r="Z3" s="2237"/>
      <c r="AA3" s="2237"/>
      <c r="AB3" s="2237"/>
      <c r="AC3" s="2237"/>
      <c r="AD3" s="2237"/>
      <c r="AE3" s="2237"/>
      <c r="AF3" s="2237"/>
      <c r="AG3" s="2238"/>
    </row>
    <row r="4" spans="1:53" ht="42" customHeight="1">
      <c r="A4" s="5" t="s">
        <v>145</v>
      </c>
      <c r="B4" s="5" t="s">
        <v>9</v>
      </c>
      <c r="C4" s="106" t="s">
        <v>0</v>
      </c>
      <c r="D4" s="102"/>
      <c r="E4" s="103" t="s">
        <v>1</v>
      </c>
      <c r="F4" s="104" t="s">
        <v>2</v>
      </c>
      <c r="G4" s="104" t="s">
        <v>3</v>
      </c>
      <c r="H4" s="105" t="s">
        <v>4</v>
      </c>
      <c r="I4" s="105" t="s">
        <v>5</v>
      </c>
      <c r="J4" s="2239" t="s">
        <v>6</v>
      </c>
      <c r="K4" s="2240"/>
      <c r="L4" s="2241"/>
      <c r="O4" s="148" t="s">
        <v>66</v>
      </c>
      <c r="P4" s="358" t="s">
        <v>259</v>
      </c>
      <c r="Q4" s="147" t="s">
        <v>206</v>
      </c>
      <c r="R4" s="265" t="s">
        <v>208</v>
      </c>
      <c r="S4" s="265" t="s">
        <v>209</v>
      </c>
      <c r="T4" s="265" t="s">
        <v>260</v>
      </c>
      <c r="U4" s="265" t="s">
        <v>123</v>
      </c>
      <c r="V4" s="147" t="s">
        <v>122</v>
      </c>
      <c r="W4" s="265" t="s">
        <v>261</v>
      </c>
      <c r="X4" s="214" t="s">
        <v>210</v>
      </c>
      <c r="Y4" s="214" t="s">
        <v>211</v>
      </c>
      <c r="Z4" s="214" t="s">
        <v>212</v>
      </c>
      <c r="AA4" s="214" t="s">
        <v>213</v>
      </c>
      <c r="AB4" s="152" t="s">
        <v>262</v>
      </c>
      <c r="AC4" s="149" t="s">
        <v>125</v>
      </c>
      <c r="AD4" s="146" t="s">
        <v>128</v>
      </c>
      <c r="AE4" s="146" t="s">
        <v>126</v>
      </c>
      <c r="AF4" s="146" t="s">
        <v>127</v>
      </c>
      <c r="AG4" s="146"/>
    </row>
    <row r="5" spans="1:53" ht="24" customHeight="1">
      <c r="A5" s="226">
        <v>1</v>
      </c>
      <c r="B5" s="226">
        <v>1</v>
      </c>
      <c r="C5" s="125" t="s">
        <v>183</v>
      </c>
      <c r="D5" s="203" t="s">
        <v>150</v>
      </c>
      <c r="E5" s="204" t="s">
        <v>150</v>
      </c>
      <c r="F5" s="205" t="s">
        <v>150</v>
      </c>
      <c r="G5" s="206" t="s">
        <v>150</v>
      </c>
      <c r="H5" s="80" t="s">
        <v>11</v>
      </c>
      <c r="I5" s="88" t="s">
        <v>11</v>
      </c>
      <c r="J5" s="2230"/>
      <c r="K5" s="2231"/>
      <c r="L5" s="2232"/>
      <c r="M5" s="39"/>
      <c r="N5" s="39"/>
      <c r="O5" s="150"/>
      <c r="P5" s="151"/>
      <c r="Q5" s="276"/>
      <c r="R5" s="276"/>
      <c r="S5" s="276"/>
      <c r="T5" s="276"/>
      <c r="U5" s="276"/>
      <c r="V5" s="207"/>
      <c r="W5" s="207"/>
      <c r="X5" s="207"/>
      <c r="Y5" s="207"/>
      <c r="Z5" s="207"/>
      <c r="AA5" s="207"/>
      <c r="AB5" s="150"/>
      <c r="AC5" s="151"/>
      <c r="AD5" s="207"/>
      <c r="AE5" s="207"/>
      <c r="AF5" s="207"/>
      <c r="AG5" s="207"/>
    </row>
    <row r="6" spans="1:53" ht="24" customHeight="1">
      <c r="A6" s="38"/>
      <c r="B6" s="38"/>
      <c r="C6" s="185"/>
      <c r="D6" s="62"/>
      <c r="E6" s="95"/>
      <c r="F6" s="110"/>
      <c r="G6" s="111"/>
      <c r="H6" s="97"/>
      <c r="I6" s="97" t="str">
        <f t="shared" ref="I6:I23" si="0">IF(F6="","",ROUNDDOWN(F6*H6,0))</f>
        <v/>
      </c>
      <c r="J6" s="62"/>
      <c r="K6" s="62"/>
      <c r="L6" s="63"/>
      <c r="M6" s="39"/>
      <c r="N6" s="39"/>
      <c r="O6" s="150"/>
      <c r="P6" s="151"/>
      <c r="Q6" s="276"/>
      <c r="R6" s="276"/>
      <c r="S6" s="276"/>
      <c r="T6" s="276"/>
      <c r="U6" s="276"/>
      <c r="V6" s="207"/>
      <c r="W6" s="207"/>
      <c r="X6" s="207"/>
      <c r="Y6" s="207"/>
      <c r="Z6" s="207"/>
      <c r="AA6" s="207"/>
      <c r="AB6" s="150"/>
      <c r="AC6" s="151"/>
      <c r="AD6" s="207"/>
      <c r="AE6" s="207"/>
      <c r="AF6" s="207"/>
      <c r="AG6" s="207"/>
      <c r="AI6" s="199">
        <f>$F6*O6</f>
        <v>0</v>
      </c>
      <c r="AJ6" s="199">
        <f t="shared" ref="AJ6:BA6" si="1">$F6*P6</f>
        <v>0</v>
      </c>
      <c r="AK6" s="199">
        <f t="shared" si="1"/>
        <v>0</v>
      </c>
      <c r="AL6" s="199">
        <f t="shared" si="1"/>
        <v>0</v>
      </c>
      <c r="AM6" s="199">
        <f t="shared" si="1"/>
        <v>0</v>
      </c>
      <c r="AN6" s="199">
        <f t="shared" si="1"/>
        <v>0</v>
      </c>
      <c r="AO6" s="199">
        <f t="shared" si="1"/>
        <v>0</v>
      </c>
      <c r="AP6" s="199">
        <f t="shared" si="1"/>
        <v>0</v>
      </c>
      <c r="AQ6" s="199">
        <f t="shared" si="1"/>
        <v>0</v>
      </c>
      <c r="AR6" s="199">
        <f t="shared" si="1"/>
        <v>0</v>
      </c>
      <c r="AS6" s="199">
        <f t="shared" si="1"/>
        <v>0</v>
      </c>
      <c r="AT6" s="199">
        <f t="shared" si="1"/>
        <v>0</v>
      </c>
      <c r="AU6" s="199">
        <f t="shared" si="1"/>
        <v>0</v>
      </c>
      <c r="AV6" s="199">
        <f t="shared" si="1"/>
        <v>0</v>
      </c>
      <c r="AW6" s="199">
        <f t="shared" si="1"/>
        <v>0</v>
      </c>
      <c r="AX6" s="199">
        <f t="shared" si="1"/>
        <v>0</v>
      </c>
      <c r="AY6" s="199">
        <f t="shared" si="1"/>
        <v>0</v>
      </c>
      <c r="AZ6" s="199">
        <f t="shared" si="1"/>
        <v>0</v>
      </c>
      <c r="BA6" s="199">
        <f t="shared" si="1"/>
        <v>0</v>
      </c>
    </row>
    <row r="7" spans="1:53" ht="24" customHeight="1">
      <c r="A7" s="38"/>
      <c r="B7" s="38"/>
      <c r="C7" s="98"/>
      <c r="D7" s="62"/>
      <c r="E7" s="95"/>
      <c r="F7" s="110"/>
      <c r="G7" s="111"/>
      <c r="H7" s="97"/>
      <c r="I7" s="97" t="str">
        <f t="shared" si="0"/>
        <v/>
      </c>
      <c r="J7" s="62"/>
      <c r="K7" s="62"/>
      <c r="L7" s="63"/>
      <c r="M7" s="39"/>
      <c r="N7" s="39"/>
      <c r="O7" s="150"/>
      <c r="P7" s="151"/>
      <c r="Q7" s="276"/>
      <c r="R7" s="276"/>
      <c r="S7" s="276"/>
      <c r="T7" s="276"/>
      <c r="U7" s="276"/>
      <c r="V7" s="207"/>
      <c r="W7" s="207"/>
      <c r="X7" s="207"/>
      <c r="Y7" s="207"/>
      <c r="Z7" s="207"/>
      <c r="AA7" s="207"/>
      <c r="AB7" s="150"/>
      <c r="AC7" s="151"/>
      <c r="AD7" s="207"/>
      <c r="AE7" s="207"/>
      <c r="AF7" s="207"/>
      <c r="AG7" s="207"/>
      <c r="AI7" s="199">
        <f t="shared" ref="AI7:AI23" si="2">$F7*O7</f>
        <v>0</v>
      </c>
      <c r="AJ7" s="199">
        <f t="shared" ref="AJ7:AJ23" si="3">$F7*P7</f>
        <v>0</v>
      </c>
      <c r="AK7" s="199">
        <f t="shared" ref="AK7:AK23" si="4">$F7*Q7</f>
        <v>0</v>
      </c>
      <c r="AL7" s="199">
        <f t="shared" ref="AL7:AL23" si="5">$F7*R7</f>
        <v>0</v>
      </c>
      <c r="AM7" s="199">
        <f t="shared" ref="AM7:AM23" si="6">$F7*S7</f>
        <v>0</v>
      </c>
      <c r="AN7" s="199">
        <f t="shared" ref="AN7:AN23" si="7">$F7*T7</f>
        <v>0</v>
      </c>
      <c r="AO7" s="199">
        <f t="shared" ref="AO7:AO23" si="8">$F7*U7</f>
        <v>0</v>
      </c>
      <c r="AP7" s="199">
        <f t="shared" ref="AP7:AP23" si="9">$F7*V7</f>
        <v>0</v>
      </c>
      <c r="AQ7" s="199">
        <f t="shared" ref="AQ7:AQ23" si="10">$F7*W7</f>
        <v>0</v>
      </c>
      <c r="AR7" s="199">
        <f t="shared" ref="AR7:AR23" si="11">$F7*X7</f>
        <v>0</v>
      </c>
      <c r="AS7" s="199">
        <f t="shared" ref="AS7:AS23" si="12">$F7*Y7</f>
        <v>0</v>
      </c>
      <c r="AT7" s="199">
        <f t="shared" ref="AT7:AT23" si="13">$F7*Z7</f>
        <v>0</v>
      </c>
      <c r="AU7" s="199">
        <f t="shared" ref="AU7:AU23" si="14">$F7*AA7</f>
        <v>0</v>
      </c>
      <c r="AV7" s="199">
        <f t="shared" ref="AV7:AV23" si="15">$F7*AB7</f>
        <v>0</v>
      </c>
      <c r="AW7" s="199">
        <f t="shared" ref="AW7:AW23" si="16">$F7*AC7</f>
        <v>0</v>
      </c>
      <c r="AX7" s="199">
        <f t="shared" ref="AX7:AX23" si="17">$F7*AD7</f>
        <v>0</v>
      </c>
      <c r="AY7" s="199">
        <f t="shared" ref="AY7:AY23" si="18">$F7*AE7</f>
        <v>0</v>
      </c>
      <c r="AZ7" s="199">
        <f t="shared" ref="AZ7:AZ23" si="19">$F7*AF7</f>
        <v>0</v>
      </c>
      <c r="BA7" s="199">
        <f t="shared" ref="BA7:BA23" si="20">$F7*AG7</f>
        <v>0</v>
      </c>
    </row>
    <row r="8" spans="1:53" ht="24" customHeight="1">
      <c r="A8" s="38"/>
      <c r="B8" s="38"/>
      <c r="C8" s="98"/>
      <c r="D8" s="62"/>
      <c r="E8" s="95"/>
      <c r="F8" s="110"/>
      <c r="G8" s="111"/>
      <c r="H8" s="97"/>
      <c r="I8" s="97" t="str">
        <f t="shared" si="0"/>
        <v/>
      </c>
      <c r="J8" s="62"/>
      <c r="K8" s="62"/>
      <c r="L8" s="63"/>
      <c r="M8" s="39"/>
      <c r="N8" s="39"/>
      <c r="O8" s="150"/>
      <c r="P8" s="151"/>
      <c r="Q8" s="276"/>
      <c r="R8" s="276"/>
      <c r="S8" s="276"/>
      <c r="T8" s="276"/>
      <c r="U8" s="276"/>
      <c r="V8" s="207"/>
      <c r="W8" s="207"/>
      <c r="X8" s="207"/>
      <c r="Y8" s="207"/>
      <c r="Z8" s="207"/>
      <c r="AA8" s="207"/>
      <c r="AB8" s="150"/>
      <c r="AC8" s="151"/>
      <c r="AD8" s="207"/>
      <c r="AE8" s="207"/>
      <c r="AF8" s="207"/>
      <c r="AG8" s="207"/>
      <c r="AI8" s="199">
        <f t="shared" si="2"/>
        <v>0</v>
      </c>
      <c r="AJ8" s="199">
        <f t="shared" si="3"/>
        <v>0</v>
      </c>
      <c r="AK8" s="199">
        <f t="shared" si="4"/>
        <v>0</v>
      </c>
      <c r="AL8" s="199">
        <f t="shared" si="5"/>
        <v>0</v>
      </c>
      <c r="AM8" s="199">
        <f t="shared" si="6"/>
        <v>0</v>
      </c>
      <c r="AN8" s="199">
        <f t="shared" si="7"/>
        <v>0</v>
      </c>
      <c r="AO8" s="199">
        <f t="shared" si="8"/>
        <v>0</v>
      </c>
      <c r="AP8" s="199">
        <f t="shared" si="9"/>
        <v>0</v>
      </c>
      <c r="AQ8" s="199">
        <f t="shared" si="10"/>
        <v>0</v>
      </c>
      <c r="AR8" s="199">
        <f t="shared" si="11"/>
        <v>0</v>
      </c>
      <c r="AS8" s="199">
        <f t="shared" si="12"/>
        <v>0</v>
      </c>
      <c r="AT8" s="199">
        <f t="shared" si="13"/>
        <v>0</v>
      </c>
      <c r="AU8" s="199">
        <f t="shared" si="14"/>
        <v>0</v>
      </c>
      <c r="AV8" s="199">
        <f t="shared" si="15"/>
        <v>0</v>
      </c>
      <c r="AW8" s="199">
        <f t="shared" si="16"/>
        <v>0</v>
      </c>
      <c r="AX8" s="199">
        <f t="shared" si="17"/>
        <v>0</v>
      </c>
      <c r="AY8" s="199">
        <f t="shared" si="18"/>
        <v>0</v>
      </c>
      <c r="AZ8" s="199">
        <f t="shared" si="19"/>
        <v>0</v>
      </c>
      <c r="BA8" s="199">
        <f t="shared" si="20"/>
        <v>0</v>
      </c>
    </row>
    <row r="9" spans="1:53" ht="24" customHeight="1">
      <c r="A9" s="38"/>
      <c r="B9" s="38"/>
      <c r="C9" s="98"/>
      <c r="D9" s="62"/>
      <c r="E9" s="95"/>
      <c r="F9" s="110"/>
      <c r="G9" s="111"/>
      <c r="H9" s="97"/>
      <c r="I9" s="97" t="str">
        <f t="shared" si="0"/>
        <v/>
      </c>
      <c r="J9" s="62"/>
      <c r="K9" s="62"/>
      <c r="L9" s="63"/>
      <c r="M9" s="39"/>
      <c r="N9" s="39"/>
      <c r="O9" s="150"/>
      <c r="P9" s="151"/>
      <c r="Q9" s="276"/>
      <c r="R9" s="276"/>
      <c r="S9" s="276"/>
      <c r="T9" s="276"/>
      <c r="U9" s="276"/>
      <c r="V9" s="207"/>
      <c r="W9" s="207"/>
      <c r="X9" s="207"/>
      <c r="Y9" s="207"/>
      <c r="Z9" s="207"/>
      <c r="AA9" s="207"/>
      <c r="AB9" s="150"/>
      <c r="AC9" s="151"/>
      <c r="AD9" s="207"/>
      <c r="AE9" s="207"/>
      <c r="AF9" s="207"/>
      <c r="AG9" s="207"/>
      <c r="AI9" s="199">
        <f t="shared" si="2"/>
        <v>0</v>
      </c>
      <c r="AJ9" s="199">
        <f t="shared" si="3"/>
        <v>0</v>
      </c>
      <c r="AK9" s="199">
        <f t="shared" si="4"/>
        <v>0</v>
      </c>
      <c r="AL9" s="199">
        <f t="shared" si="5"/>
        <v>0</v>
      </c>
      <c r="AM9" s="199">
        <f t="shared" si="6"/>
        <v>0</v>
      </c>
      <c r="AN9" s="199">
        <f t="shared" si="7"/>
        <v>0</v>
      </c>
      <c r="AO9" s="199">
        <f t="shared" si="8"/>
        <v>0</v>
      </c>
      <c r="AP9" s="199">
        <f t="shared" si="9"/>
        <v>0</v>
      </c>
      <c r="AQ9" s="199">
        <f t="shared" si="10"/>
        <v>0</v>
      </c>
      <c r="AR9" s="199">
        <f t="shared" si="11"/>
        <v>0</v>
      </c>
      <c r="AS9" s="199">
        <f t="shared" si="12"/>
        <v>0</v>
      </c>
      <c r="AT9" s="199">
        <f t="shared" si="13"/>
        <v>0</v>
      </c>
      <c r="AU9" s="199">
        <f t="shared" si="14"/>
        <v>0</v>
      </c>
      <c r="AV9" s="199">
        <f t="shared" si="15"/>
        <v>0</v>
      </c>
      <c r="AW9" s="199">
        <f t="shared" si="16"/>
        <v>0</v>
      </c>
      <c r="AX9" s="199">
        <f t="shared" si="17"/>
        <v>0</v>
      </c>
      <c r="AY9" s="199">
        <f t="shared" si="18"/>
        <v>0</v>
      </c>
      <c r="AZ9" s="199">
        <f t="shared" si="19"/>
        <v>0</v>
      </c>
      <c r="BA9" s="199">
        <f t="shared" si="20"/>
        <v>0</v>
      </c>
    </row>
    <row r="10" spans="1:53" ht="24" customHeight="1">
      <c r="A10" s="38"/>
      <c r="B10" s="38"/>
      <c r="C10" s="98"/>
      <c r="D10" s="62"/>
      <c r="E10" s="95"/>
      <c r="F10" s="110"/>
      <c r="G10" s="111"/>
      <c r="H10" s="97"/>
      <c r="I10" s="97" t="str">
        <f t="shared" si="0"/>
        <v/>
      </c>
      <c r="J10" s="62"/>
      <c r="K10" s="62"/>
      <c r="L10" s="63"/>
      <c r="M10" s="39"/>
      <c r="N10" s="39"/>
      <c r="O10" s="150"/>
      <c r="P10" s="151"/>
      <c r="Q10" s="276"/>
      <c r="R10" s="276"/>
      <c r="S10" s="276"/>
      <c r="T10" s="276"/>
      <c r="U10" s="276"/>
      <c r="V10" s="207"/>
      <c r="W10" s="207"/>
      <c r="X10" s="207"/>
      <c r="Y10" s="207"/>
      <c r="Z10" s="207"/>
      <c r="AA10" s="207"/>
      <c r="AB10" s="150"/>
      <c r="AC10" s="151"/>
      <c r="AD10" s="207"/>
      <c r="AE10" s="207"/>
      <c r="AF10" s="207"/>
      <c r="AG10" s="207"/>
      <c r="AI10" s="199">
        <f t="shared" si="2"/>
        <v>0</v>
      </c>
      <c r="AJ10" s="199">
        <f t="shared" si="3"/>
        <v>0</v>
      </c>
      <c r="AK10" s="199">
        <f t="shared" si="4"/>
        <v>0</v>
      </c>
      <c r="AL10" s="199">
        <f t="shared" si="5"/>
        <v>0</v>
      </c>
      <c r="AM10" s="199">
        <f t="shared" si="6"/>
        <v>0</v>
      </c>
      <c r="AN10" s="199">
        <f t="shared" si="7"/>
        <v>0</v>
      </c>
      <c r="AO10" s="199">
        <f t="shared" si="8"/>
        <v>0</v>
      </c>
      <c r="AP10" s="199">
        <f t="shared" si="9"/>
        <v>0</v>
      </c>
      <c r="AQ10" s="199">
        <f t="shared" si="10"/>
        <v>0</v>
      </c>
      <c r="AR10" s="199">
        <f t="shared" si="11"/>
        <v>0</v>
      </c>
      <c r="AS10" s="199">
        <f t="shared" si="12"/>
        <v>0</v>
      </c>
      <c r="AT10" s="199">
        <f t="shared" si="13"/>
        <v>0</v>
      </c>
      <c r="AU10" s="199">
        <f t="shared" si="14"/>
        <v>0</v>
      </c>
      <c r="AV10" s="199">
        <f t="shared" si="15"/>
        <v>0</v>
      </c>
      <c r="AW10" s="199">
        <f t="shared" si="16"/>
        <v>0</v>
      </c>
      <c r="AX10" s="199">
        <f t="shared" si="17"/>
        <v>0</v>
      </c>
      <c r="AY10" s="199">
        <f t="shared" si="18"/>
        <v>0</v>
      </c>
      <c r="AZ10" s="199">
        <f t="shared" si="19"/>
        <v>0</v>
      </c>
      <c r="BA10" s="199">
        <f t="shared" si="20"/>
        <v>0</v>
      </c>
    </row>
    <row r="11" spans="1:53" ht="24" customHeight="1">
      <c r="A11" s="38"/>
      <c r="B11" s="38"/>
      <c r="C11" s="98"/>
      <c r="D11" s="62"/>
      <c r="E11" s="95"/>
      <c r="F11" s="110"/>
      <c r="G11" s="111"/>
      <c r="H11" s="97"/>
      <c r="I11" s="97" t="str">
        <f t="shared" si="0"/>
        <v/>
      </c>
      <c r="J11" s="62"/>
      <c r="K11" s="62"/>
      <c r="L11" s="63"/>
      <c r="M11" s="39"/>
      <c r="N11" s="39"/>
      <c r="O11" s="150"/>
      <c r="P11" s="151"/>
      <c r="Q11" s="276"/>
      <c r="R11" s="276"/>
      <c r="S11" s="276"/>
      <c r="T11" s="276"/>
      <c r="U11" s="276"/>
      <c r="V11" s="207"/>
      <c r="W11" s="207"/>
      <c r="X11" s="207"/>
      <c r="Y11" s="207"/>
      <c r="Z11" s="207"/>
      <c r="AA11" s="207"/>
      <c r="AB11" s="150"/>
      <c r="AC11" s="151"/>
      <c r="AD11" s="207"/>
      <c r="AE11" s="207"/>
      <c r="AF11" s="207"/>
      <c r="AG11" s="207"/>
      <c r="AI11" s="199">
        <f t="shared" si="2"/>
        <v>0</v>
      </c>
      <c r="AJ11" s="199">
        <f t="shared" si="3"/>
        <v>0</v>
      </c>
      <c r="AK11" s="199">
        <f t="shared" si="4"/>
        <v>0</v>
      </c>
      <c r="AL11" s="199">
        <f t="shared" si="5"/>
        <v>0</v>
      </c>
      <c r="AM11" s="199">
        <f t="shared" si="6"/>
        <v>0</v>
      </c>
      <c r="AN11" s="199">
        <f t="shared" si="7"/>
        <v>0</v>
      </c>
      <c r="AO11" s="199">
        <f t="shared" si="8"/>
        <v>0</v>
      </c>
      <c r="AP11" s="199">
        <f t="shared" si="9"/>
        <v>0</v>
      </c>
      <c r="AQ11" s="199">
        <f t="shared" si="10"/>
        <v>0</v>
      </c>
      <c r="AR11" s="199">
        <f t="shared" si="11"/>
        <v>0</v>
      </c>
      <c r="AS11" s="199">
        <f t="shared" si="12"/>
        <v>0</v>
      </c>
      <c r="AT11" s="199">
        <f t="shared" si="13"/>
        <v>0</v>
      </c>
      <c r="AU11" s="199">
        <f t="shared" si="14"/>
        <v>0</v>
      </c>
      <c r="AV11" s="199">
        <f t="shared" si="15"/>
        <v>0</v>
      </c>
      <c r="AW11" s="199">
        <f t="shared" si="16"/>
        <v>0</v>
      </c>
      <c r="AX11" s="199">
        <f t="shared" si="17"/>
        <v>0</v>
      </c>
      <c r="AY11" s="199">
        <f t="shared" si="18"/>
        <v>0</v>
      </c>
      <c r="AZ11" s="199">
        <f t="shared" si="19"/>
        <v>0</v>
      </c>
      <c r="BA11" s="199">
        <f t="shared" si="20"/>
        <v>0</v>
      </c>
    </row>
    <row r="12" spans="1:53" s="39" customFormat="1" ht="24" customHeight="1">
      <c r="A12" s="38"/>
      <c r="B12" s="38"/>
      <c r="C12" s="98"/>
      <c r="D12" s="62"/>
      <c r="E12" s="95"/>
      <c r="F12" s="110"/>
      <c r="G12" s="111"/>
      <c r="H12" s="97"/>
      <c r="I12" s="97" t="str">
        <f t="shared" si="0"/>
        <v/>
      </c>
      <c r="J12" s="62"/>
      <c r="K12" s="62"/>
      <c r="L12" s="63"/>
      <c r="O12" s="150"/>
      <c r="P12" s="151"/>
      <c r="Q12" s="276"/>
      <c r="R12" s="276"/>
      <c r="S12" s="276"/>
      <c r="T12" s="276"/>
      <c r="U12" s="276"/>
      <c r="V12" s="207"/>
      <c r="W12" s="207"/>
      <c r="X12" s="207"/>
      <c r="Y12" s="207"/>
      <c r="Z12" s="207"/>
      <c r="AA12" s="207"/>
      <c r="AB12" s="150"/>
      <c r="AC12" s="151"/>
      <c r="AD12" s="207"/>
      <c r="AE12" s="207"/>
      <c r="AF12" s="207"/>
      <c r="AG12" s="207"/>
      <c r="AI12" s="199">
        <f t="shared" si="2"/>
        <v>0</v>
      </c>
      <c r="AJ12" s="199">
        <f t="shared" si="3"/>
        <v>0</v>
      </c>
      <c r="AK12" s="199">
        <f t="shared" si="4"/>
        <v>0</v>
      </c>
      <c r="AL12" s="199">
        <f t="shared" si="5"/>
        <v>0</v>
      </c>
      <c r="AM12" s="199">
        <f t="shared" si="6"/>
        <v>0</v>
      </c>
      <c r="AN12" s="199">
        <f t="shared" si="7"/>
        <v>0</v>
      </c>
      <c r="AO12" s="199">
        <f t="shared" si="8"/>
        <v>0</v>
      </c>
      <c r="AP12" s="199">
        <f t="shared" si="9"/>
        <v>0</v>
      </c>
      <c r="AQ12" s="199">
        <f t="shared" si="10"/>
        <v>0</v>
      </c>
      <c r="AR12" s="199">
        <f t="shared" si="11"/>
        <v>0</v>
      </c>
      <c r="AS12" s="199">
        <f t="shared" si="12"/>
        <v>0</v>
      </c>
      <c r="AT12" s="199">
        <f t="shared" si="13"/>
        <v>0</v>
      </c>
      <c r="AU12" s="199">
        <f t="shared" si="14"/>
        <v>0</v>
      </c>
      <c r="AV12" s="199">
        <f t="shared" si="15"/>
        <v>0</v>
      </c>
      <c r="AW12" s="199">
        <f t="shared" si="16"/>
        <v>0</v>
      </c>
      <c r="AX12" s="199">
        <f t="shared" si="17"/>
        <v>0</v>
      </c>
      <c r="AY12" s="199">
        <f t="shared" si="18"/>
        <v>0</v>
      </c>
      <c r="AZ12" s="199">
        <f t="shared" si="19"/>
        <v>0</v>
      </c>
      <c r="BA12" s="199">
        <f t="shared" si="20"/>
        <v>0</v>
      </c>
    </row>
    <row r="13" spans="1:53" ht="24" customHeight="1">
      <c r="A13" s="38"/>
      <c r="B13" s="38"/>
      <c r="C13" s="98"/>
      <c r="D13" s="62"/>
      <c r="E13" s="95"/>
      <c r="F13" s="110"/>
      <c r="G13" s="111"/>
      <c r="H13" s="97"/>
      <c r="I13" s="97" t="str">
        <f t="shared" si="0"/>
        <v/>
      </c>
      <c r="J13" s="62"/>
      <c r="K13" s="62"/>
      <c r="L13" s="63"/>
      <c r="M13" s="39"/>
      <c r="N13" s="39"/>
      <c r="O13" s="150"/>
      <c r="P13" s="151"/>
      <c r="Q13" s="276"/>
      <c r="R13" s="276"/>
      <c r="S13" s="276"/>
      <c r="T13" s="276"/>
      <c r="U13" s="276"/>
      <c r="V13" s="207"/>
      <c r="W13" s="207"/>
      <c r="X13" s="207"/>
      <c r="Y13" s="207"/>
      <c r="Z13" s="207"/>
      <c r="AA13" s="207"/>
      <c r="AB13" s="150"/>
      <c r="AC13" s="151"/>
      <c r="AD13" s="207"/>
      <c r="AE13" s="207"/>
      <c r="AF13" s="207"/>
      <c r="AG13" s="207"/>
      <c r="AI13" s="199">
        <f t="shared" si="2"/>
        <v>0</v>
      </c>
      <c r="AJ13" s="199">
        <f t="shared" si="3"/>
        <v>0</v>
      </c>
      <c r="AK13" s="199">
        <f t="shared" si="4"/>
        <v>0</v>
      </c>
      <c r="AL13" s="199">
        <f t="shared" si="5"/>
        <v>0</v>
      </c>
      <c r="AM13" s="199">
        <f t="shared" si="6"/>
        <v>0</v>
      </c>
      <c r="AN13" s="199">
        <f t="shared" si="7"/>
        <v>0</v>
      </c>
      <c r="AO13" s="199">
        <f t="shared" si="8"/>
        <v>0</v>
      </c>
      <c r="AP13" s="199">
        <f t="shared" si="9"/>
        <v>0</v>
      </c>
      <c r="AQ13" s="199">
        <f t="shared" si="10"/>
        <v>0</v>
      </c>
      <c r="AR13" s="199">
        <f t="shared" si="11"/>
        <v>0</v>
      </c>
      <c r="AS13" s="199">
        <f t="shared" si="12"/>
        <v>0</v>
      </c>
      <c r="AT13" s="199">
        <f t="shared" si="13"/>
        <v>0</v>
      </c>
      <c r="AU13" s="199">
        <f t="shared" si="14"/>
        <v>0</v>
      </c>
      <c r="AV13" s="199">
        <f t="shared" si="15"/>
        <v>0</v>
      </c>
      <c r="AW13" s="199">
        <f t="shared" si="16"/>
        <v>0</v>
      </c>
      <c r="AX13" s="199">
        <f t="shared" si="17"/>
        <v>0</v>
      </c>
      <c r="AY13" s="199">
        <f t="shared" si="18"/>
        <v>0</v>
      </c>
      <c r="AZ13" s="199">
        <f t="shared" si="19"/>
        <v>0</v>
      </c>
      <c r="BA13" s="199">
        <f t="shared" si="20"/>
        <v>0</v>
      </c>
    </row>
    <row r="14" spans="1:53" ht="24" customHeight="1">
      <c r="A14" s="38"/>
      <c r="B14" s="38"/>
      <c r="C14" s="98"/>
      <c r="D14" s="62"/>
      <c r="E14" s="202"/>
      <c r="F14" s="110"/>
      <c r="G14" s="111"/>
      <c r="H14" s="97"/>
      <c r="I14" s="97" t="str">
        <f t="shared" si="0"/>
        <v/>
      </c>
      <c r="J14" s="62"/>
      <c r="K14" s="62"/>
      <c r="L14" s="63"/>
      <c r="M14" s="39"/>
      <c r="N14" s="39"/>
      <c r="O14" s="150"/>
      <c r="P14" s="151"/>
      <c r="Q14" s="276"/>
      <c r="R14" s="276"/>
      <c r="S14" s="276"/>
      <c r="T14" s="276"/>
      <c r="U14" s="276"/>
      <c r="V14" s="207"/>
      <c r="W14" s="207"/>
      <c r="X14" s="207"/>
      <c r="Y14" s="207"/>
      <c r="Z14" s="207"/>
      <c r="AA14" s="207"/>
      <c r="AB14" s="150"/>
      <c r="AC14" s="151"/>
      <c r="AD14" s="207"/>
      <c r="AE14" s="207"/>
      <c r="AF14" s="207"/>
      <c r="AG14" s="207"/>
      <c r="AI14" s="199">
        <f t="shared" si="2"/>
        <v>0</v>
      </c>
      <c r="AJ14" s="199">
        <f t="shared" si="3"/>
        <v>0</v>
      </c>
      <c r="AK14" s="199">
        <f t="shared" si="4"/>
        <v>0</v>
      </c>
      <c r="AL14" s="199">
        <f t="shared" si="5"/>
        <v>0</v>
      </c>
      <c r="AM14" s="199">
        <f t="shared" si="6"/>
        <v>0</v>
      </c>
      <c r="AN14" s="199">
        <f t="shared" si="7"/>
        <v>0</v>
      </c>
      <c r="AO14" s="199">
        <f t="shared" si="8"/>
        <v>0</v>
      </c>
      <c r="AP14" s="199">
        <f t="shared" si="9"/>
        <v>0</v>
      </c>
      <c r="AQ14" s="199">
        <f t="shared" si="10"/>
        <v>0</v>
      </c>
      <c r="AR14" s="199">
        <f t="shared" si="11"/>
        <v>0</v>
      </c>
      <c r="AS14" s="199">
        <f t="shared" si="12"/>
        <v>0</v>
      </c>
      <c r="AT14" s="199">
        <f t="shared" si="13"/>
        <v>0</v>
      </c>
      <c r="AU14" s="199">
        <f t="shared" si="14"/>
        <v>0</v>
      </c>
      <c r="AV14" s="199">
        <f t="shared" si="15"/>
        <v>0</v>
      </c>
      <c r="AW14" s="199">
        <f t="shared" si="16"/>
        <v>0</v>
      </c>
      <c r="AX14" s="199">
        <f t="shared" si="17"/>
        <v>0</v>
      </c>
      <c r="AY14" s="199">
        <f t="shared" si="18"/>
        <v>0</v>
      </c>
      <c r="AZ14" s="199">
        <f t="shared" si="19"/>
        <v>0</v>
      </c>
      <c r="BA14" s="199">
        <f t="shared" si="20"/>
        <v>0</v>
      </c>
    </row>
    <row r="15" spans="1:53" s="39" customFormat="1" ht="24" customHeight="1">
      <c r="A15" s="38"/>
      <c r="B15" s="38"/>
      <c r="C15" s="98"/>
      <c r="D15" s="62"/>
      <c r="E15" s="95"/>
      <c r="F15" s="110"/>
      <c r="G15" s="111"/>
      <c r="H15" s="97"/>
      <c r="I15" s="97" t="str">
        <f t="shared" si="0"/>
        <v/>
      </c>
      <c r="J15" s="62"/>
      <c r="K15" s="62"/>
      <c r="L15" s="63"/>
      <c r="O15" s="150"/>
      <c r="P15" s="151"/>
      <c r="Q15" s="276"/>
      <c r="R15" s="276"/>
      <c r="S15" s="276"/>
      <c r="T15" s="276"/>
      <c r="U15" s="276"/>
      <c r="V15" s="207"/>
      <c r="W15" s="207"/>
      <c r="X15" s="207"/>
      <c r="Y15" s="207"/>
      <c r="Z15" s="207"/>
      <c r="AA15" s="207"/>
      <c r="AB15" s="150"/>
      <c r="AC15" s="151"/>
      <c r="AD15" s="207"/>
      <c r="AE15" s="207"/>
      <c r="AF15" s="207"/>
      <c r="AG15" s="207"/>
      <c r="AI15" s="199">
        <f t="shared" si="2"/>
        <v>0</v>
      </c>
      <c r="AJ15" s="199">
        <f t="shared" si="3"/>
        <v>0</v>
      </c>
      <c r="AK15" s="199">
        <f t="shared" si="4"/>
        <v>0</v>
      </c>
      <c r="AL15" s="199">
        <f t="shared" si="5"/>
        <v>0</v>
      </c>
      <c r="AM15" s="199">
        <f t="shared" si="6"/>
        <v>0</v>
      </c>
      <c r="AN15" s="199">
        <f t="shared" si="7"/>
        <v>0</v>
      </c>
      <c r="AO15" s="199">
        <f t="shared" si="8"/>
        <v>0</v>
      </c>
      <c r="AP15" s="199">
        <f t="shared" si="9"/>
        <v>0</v>
      </c>
      <c r="AQ15" s="199">
        <f t="shared" si="10"/>
        <v>0</v>
      </c>
      <c r="AR15" s="199">
        <f t="shared" si="11"/>
        <v>0</v>
      </c>
      <c r="AS15" s="199">
        <f t="shared" si="12"/>
        <v>0</v>
      </c>
      <c r="AT15" s="199">
        <f t="shared" si="13"/>
        <v>0</v>
      </c>
      <c r="AU15" s="199">
        <f t="shared" si="14"/>
        <v>0</v>
      </c>
      <c r="AV15" s="199">
        <f t="shared" si="15"/>
        <v>0</v>
      </c>
      <c r="AW15" s="199">
        <f t="shared" si="16"/>
        <v>0</v>
      </c>
      <c r="AX15" s="199">
        <f t="shared" si="17"/>
        <v>0</v>
      </c>
      <c r="AY15" s="199">
        <f t="shared" si="18"/>
        <v>0</v>
      </c>
      <c r="AZ15" s="199">
        <f t="shared" si="19"/>
        <v>0</v>
      </c>
      <c r="BA15" s="199">
        <f t="shared" si="20"/>
        <v>0</v>
      </c>
    </row>
    <row r="16" spans="1:53" ht="24" customHeight="1">
      <c r="A16" s="38"/>
      <c r="B16" s="38"/>
      <c r="C16" s="98"/>
      <c r="D16" s="62"/>
      <c r="E16" s="95"/>
      <c r="F16" s="110"/>
      <c r="G16" s="111"/>
      <c r="H16" s="97"/>
      <c r="I16" s="97" t="str">
        <f t="shared" si="0"/>
        <v/>
      </c>
      <c r="J16" s="62"/>
      <c r="K16" s="62"/>
      <c r="L16" s="63"/>
      <c r="M16" s="39"/>
      <c r="N16" s="39"/>
      <c r="O16" s="150"/>
      <c r="P16" s="151"/>
      <c r="Q16" s="276"/>
      <c r="R16" s="276"/>
      <c r="S16" s="276"/>
      <c r="T16" s="276"/>
      <c r="U16" s="276"/>
      <c r="V16" s="207"/>
      <c r="W16" s="207"/>
      <c r="X16" s="207"/>
      <c r="Y16" s="207"/>
      <c r="Z16" s="207"/>
      <c r="AA16" s="207"/>
      <c r="AB16" s="150"/>
      <c r="AC16" s="151"/>
      <c r="AD16" s="207"/>
      <c r="AE16" s="207"/>
      <c r="AF16" s="207"/>
      <c r="AG16" s="207"/>
      <c r="AI16" s="199">
        <f t="shared" si="2"/>
        <v>0</v>
      </c>
      <c r="AJ16" s="199">
        <f t="shared" si="3"/>
        <v>0</v>
      </c>
      <c r="AK16" s="199">
        <f t="shared" si="4"/>
        <v>0</v>
      </c>
      <c r="AL16" s="199">
        <f t="shared" si="5"/>
        <v>0</v>
      </c>
      <c r="AM16" s="199">
        <f t="shared" si="6"/>
        <v>0</v>
      </c>
      <c r="AN16" s="199">
        <f t="shared" si="7"/>
        <v>0</v>
      </c>
      <c r="AO16" s="199">
        <f t="shared" si="8"/>
        <v>0</v>
      </c>
      <c r="AP16" s="199">
        <f t="shared" si="9"/>
        <v>0</v>
      </c>
      <c r="AQ16" s="199">
        <f t="shared" si="10"/>
        <v>0</v>
      </c>
      <c r="AR16" s="199">
        <f t="shared" si="11"/>
        <v>0</v>
      </c>
      <c r="AS16" s="199">
        <f t="shared" si="12"/>
        <v>0</v>
      </c>
      <c r="AT16" s="199">
        <f t="shared" si="13"/>
        <v>0</v>
      </c>
      <c r="AU16" s="199">
        <f t="shared" si="14"/>
        <v>0</v>
      </c>
      <c r="AV16" s="199">
        <f t="shared" si="15"/>
        <v>0</v>
      </c>
      <c r="AW16" s="199">
        <f t="shared" si="16"/>
        <v>0</v>
      </c>
      <c r="AX16" s="199">
        <f t="shared" si="17"/>
        <v>0</v>
      </c>
      <c r="AY16" s="199">
        <f t="shared" si="18"/>
        <v>0</v>
      </c>
      <c r="AZ16" s="199">
        <f t="shared" si="19"/>
        <v>0</v>
      </c>
      <c r="BA16" s="199">
        <f t="shared" si="20"/>
        <v>0</v>
      </c>
    </row>
    <row r="17" spans="1:53" s="39" customFormat="1" ht="24" customHeight="1">
      <c r="A17" s="38"/>
      <c r="B17" s="38"/>
      <c r="C17" s="98"/>
      <c r="D17" s="62"/>
      <c r="E17" s="95"/>
      <c r="F17" s="110"/>
      <c r="G17" s="111"/>
      <c r="H17" s="97"/>
      <c r="I17" s="97" t="str">
        <f t="shared" si="0"/>
        <v/>
      </c>
      <c r="J17" s="62"/>
      <c r="K17" s="62"/>
      <c r="L17" s="63"/>
      <c r="O17" s="150"/>
      <c r="P17" s="151"/>
      <c r="Q17" s="276"/>
      <c r="R17" s="276"/>
      <c r="S17" s="276"/>
      <c r="T17" s="276"/>
      <c r="U17" s="276"/>
      <c r="V17" s="207"/>
      <c r="W17" s="207"/>
      <c r="X17" s="207"/>
      <c r="Y17" s="207"/>
      <c r="Z17" s="207"/>
      <c r="AA17" s="207"/>
      <c r="AB17" s="150"/>
      <c r="AC17" s="151"/>
      <c r="AD17" s="207"/>
      <c r="AE17" s="207"/>
      <c r="AF17" s="207"/>
      <c r="AG17" s="207"/>
      <c r="AI17" s="199">
        <f t="shared" si="2"/>
        <v>0</v>
      </c>
      <c r="AJ17" s="199">
        <f t="shared" si="3"/>
        <v>0</v>
      </c>
      <c r="AK17" s="199">
        <f t="shared" si="4"/>
        <v>0</v>
      </c>
      <c r="AL17" s="199">
        <f t="shared" si="5"/>
        <v>0</v>
      </c>
      <c r="AM17" s="199">
        <f t="shared" si="6"/>
        <v>0</v>
      </c>
      <c r="AN17" s="199">
        <f t="shared" si="7"/>
        <v>0</v>
      </c>
      <c r="AO17" s="199">
        <f t="shared" si="8"/>
        <v>0</v>
      </c>
      <c r="AP17" s="199">
        <f t="shared" si="9"/>
        <v>0</v>
      </c>
      <c r="AQ17" s="199">
        <f t="shared" si="10"/>
        <v>0</v>
      </c>
      <c r="AR17" s="199">
        <f t="shared" si="11"/>
        <v>0</v>
      </c>
      <c r="AS17" s="199">
        <f t="shared" si="12"/>
        <v>0</v>
      </c>
      <c r="AT17" s="199">
        <f t="shared" si="13"/>
        <v>0</v>
      </c>
      <c r="AU17" s="199">
        <f t="shared" si="14"/>
        <v>0</v>
      </c>
      <c r="AV17" s="199">
        <f t="shared" si="15"/>
        <v>0</v>
      </c>
      <c r="AW17" s="199">
        <f t="shared" si="16"/>
        <v>0</v>
      </c>
      <c r="AX17" s="199">
        <f t="shared" si="17"/>
        <v>0</v>
      </c>
      <c r="AY17" s="199">
        <f t="shared" si="18"/>
        <v>0</v>
      </c>
      <c r="AZ17" s="199">
        <f t="shared" si="19"/>
        <v>0</v>
      </c>
      <c r="BA17" s="199">
        <f t="shared" si="20"/>
        <v>0</v>
      </c>
    </row>
    <row r="18" spans="1:53" ht="24" customHeight="1">
      <c r="A18" s="38"/>
      <c r="B18" s="38"/>
      <c r="C18" s="185"/>
      <c r="D18" s="62"/>
      <c r="E18" s="95"/>
      <c r="F18" s="110"/>
      <c r="G18" s="111"/>
      <c r="H18" s="97"/>
      <c r="I18" s="97" t="str">
        <f t="shared" si="0"/>
        <v/>
      </c>
      <c r="J18" s="62"/>
      <c r="K18" s="62"/>
      <c r="L18" s="63"/>
      <c r="M18" s="39"/>
      <c r="N18" s="39"/>
      <c r="O18" s="150"/>
      <c r="P18" s="151"/>
      <c r="Q18" s="276"/>
      <c r="R18" s="276"/>
      <c r="S18" s="276"/>
      <c r="T18" s="276"/>
      <c r="U18" s="276"/>
      <c r="V18" s="207"/>
      <c r="W18" s="207"/>
      <c r="X18" s="207"/>
      <c r="Y18" s="207"/>
      <c r="Z18" s="207"/>
      <c r="AA18" s="207"/>
      <c r="AB18" s="150"/>
      <c r="AC18" s="151"/>
      <c r="AD18" s="207"/>
      <c r="AE18" s="207"/>
      <c r="AF18" s="207"/>
      <c r="AG18" s="207"/>
      <c r="AI18" s="199">
        <f t="shared" si="2"/>
        <v>0</v>
      </c>
      <c r="AJ18" s="199">
        <f t="shared" si="3"/>
        <v>0</v>
      </c>
      <c r="AK18" s="199">
        <f t="shared" si="4"/>
        <v>0</v>
      </c>
      <c r="AL18" s="199">
        <f t="shared" si="5"/>
        <v>0</v>
      </c>
      <c r="AM18" s="199">
        <f t="shared" si="6"/>
        <v>0</v>
      </c>
      <c r="AN18" s="199">
        <f t="shared" si="7"/>
        <v>0</v>
      </c>
      <c r="AO18" s="199">
        <f t="shared" si="8"/>
        <v>0</v>
      </c>
      <c r="AP18" s="199">
        <f t="shared" si="9"/>
        <v>0</v>
      </c>
      <c r="AQ18" s="199">
        <f t="shared" si="10"/>
        <v>0</v>
      </c>
      <c r="AR18" s="199">
        <f t="shared" si="11"/>
        <v>0</v>
      </c>
      <c r="AS18" s="199">
        <f t="shared" si="12"/>
        <v>0</v>
      </c>
      <c r="AT18" s="199">
        <f t="shared" si="13"/>
        <v>0</v>
      </c>
      <c r="AU18" s="199">
        <f t="shared" si="14"/>
        <v>0</v>
      </c>
      <c r="AV18" s="199">
        <f t="shared" si="15"/>
        <v>0</v>
      </c>
      <c r="AW18" s="199">
        <f t="shared" si="16"/>
        <v>0</v>
      </c>
      <c r="AX18" s="199">
        <f t="shared" si="17"/>
        <v>0</v>
      </c>
      <c r="AY18" s="199">
        <f t="shared" si="18"/>
        <v>0</v>
      </c>
      <c r="AZ18" s="199">
        <f t="shared" si="19"/>
        <v>0</v>
      </c>
      <c r="BA18" s="199">
        <f t="shared" si="20"/>
        <v>0</v>
      </c>
    </row>
    <row r="19" spans="1:53" ht="24" customHeight="1">
      <c r="A19" s="38"/>
      <c r="B19" s="38"/>
      <c r="C19" s="98"/>
      <c r="D19" s="62"/>
      <c r="E19" s="95"/>
      <c r="F19" s="110"/>
      <c r="G19" s="111"/>
      <c r="H19" s="97"/>
      <c r="I19" s="97" t="str">
        <f t="shared" si="0"/>
        <v/>
      </c>
      <c r="J19" s="62"/>
      <c r="K19" s="62"/>
      <c r="L19" s="63"/>
      <c r="M19" s="39"/>
      <c r="N19" s="39"/>
      <c r="O19" s="150"/>
      <c r="P19" s="151"/>
      <c r="Q19" s="276"/>
      <c r="R19" s="276"/>
      <c r="S19" s="276"/>
      <c r="T19" s="276"/>
      <c r="U19" s="276"/>
      <c r="V19" s="207"/>
      <c r="W19" s="207"/>
      <c r="X19" s="207"/>
      <c r="Y19" s="207"/>
      <c r="Z19" s="207"/>
      <c r="AA19" s="207"/>
      <c r="AB19" s="150"/>
      <c r="AC19" s="151"/>
      <c r="AD19" s="207"/>
      <c r="AE19" s="207"/>
      <c r="AF19" s="207"/>
      <c r="AG19" s="207"/>
      <c r="AI19" s="199">
        <f t="shared" si="2"/>
        <v>0</v>
      </c>
      <c r="AJ19" s="199">
        <f t="shared" si="3"/>
        <v>0</v>
      </c>
      <c r="AK19" s="199">
        <f t="shared" si="4"/>
        <v>0</v>
      </c>
      <c r="AL19" s="199">
        <f t="shared" si="5"/>
        <v>0</v>
      </c>
      <c r="AM19" s="199">
        <f t="shared" si="6"/>
        <v>0</v>
      </c>
      <c r="AN19" s="199">
        <f t="shared" si="7"/>
        <v>0</v>
      </c>
      <c r="AO19" s="199">
        <f t="shared" si="8"/>
        <v>0</v>
      </c>
      <c r="AP19" s="199">
        <f t="shared" si="9"/>
        <v>0</v>
      </c>
      <c r="AQ19" s="199">
        <f t="shared" si="10"/>
        <v>0</v>
      </c>
      <c r="AR19" s="199">
        <f t="shared" si="11"/>
        <v>0</v>
      </c>
      <c r="AS19" s="199">
        <f t="shared" si="12"/>
        <v>0</v>
      </c>
      <c r="AT19" s="199">
        <f t="shared" si="13"/>
        <v>0</v>
      </c>
      <c r="AU19" s="199">
        <f t="shared" si="14"/>
        <v>0</v>
      </c>
      <c r="AV19" s="199">
        <f t="shared" si="15"/>
        <v>0</v>
      </c>
      <c r="AW19" s="199">
        <f t="shared" si="16"/>
        <v>0</v>
      </c>
      <c r="AX19" s="199">
        <f t="shared" si="17"/>
        <v>0</v>
      </c>
      <c r="AY19" s="199">
        <f t="shared" si="18"/>
        <v>0</v>
      </c>
      <c r="AZ19" s="199">
        <f t="shared" si="19"/>
        <v>0</v>
      </c>
      <c r="BA19" s="199">
        <f t="shared" si="20"/>
        <v>0</v>
      </c>
    </row>
    <row r="20" spans="1:53" ht="24" customHeight="1">
      <c r="A20" s="38"/>
      <c r="B20" s="38"/>
      <c r="C20" s="98"/>
      <c r="D20" s="62"/>
      <c r="E20" s="95"/>
      <c r="F20" s="110"/>
      <c r="G20" s="111"/>
      <c r="H20" s="97"/>
      <c r="I20" s="97" t="str">
        <f t="shared" si="0"/>
        <v/>
      </c>
      <c r="J20" s="186"/>
      <c r="K20" s="62"/>
      <c r="L20" s="63"/>
      <c r="M20" s="39"/>
      <c r="N20" s="39"/>
      <c r="O20" s="150"/>
      <c r="P20" s="151"/>
      <c r="Q20" s="276"/>
      <c r="R20" s="276"/>
      <c r="S20" s="276"/>
      <c r="T20" s="276"/>
      <c r="U20" s="276"/>
      <c r="V20" s="207"/>
      <c r="W20" s="207"/>
      <c r="X20" s="207"/>
      <c r="Y20" s="207"/>
      <c r="Z20" s="207"/>
      <c r="AA20" s="207"/>
      <c r="AB20" s="150"/>
      <c r="AC20" s="151"/>
      <c r="AD20" s="207"/>
      <c r="AE20" s="207"/>
      <c r="AF20" s="207"/>
      <c r="AG20" s="207"/>
      <c r="AI20" s="199">
        <f t="shared" si="2"/>
        <v>0</v>
      </c>
      <c r="AJ20" s="199">
        <f t="shared" si="3"/>
        <v>0</v>
      </c>
      <c r="AK20" s="199">
        <f t="shared" si="4"/>
        <v>0</v>
      </c>
      <c r="AL20" s="199">
        <f t="shared" si="5"/>
        <v>0</v>
      </c>
      <c r="AM20" s="199">
        <f t="shared" si="6"/>
        <v>0</v>
      </c>
      <c r="AN20" s="199">
        <f t="shared" si="7"/>
        <v>0</v>
      </c>
      <c r="AO20" s="199">
        <f t="shared" si="8"/>
        <v>0</v>
      </c>
      <c r="AP20" s="199">
        <f t="shared" si="9"/>
        <v>0</v>
      </c>
      <c r="AQ20" s="199">
        <f t="shared" si="10"/>
        <v>0</v>
      </c>
      <c r="AR20" s="199">
        <f t="shared" si="11"/>
        <v>0</v>
      </c>
      <c r="AS20" s="199">
        <f t="shared" si="12"/>
        <v>0</v>
      </c>
      <c r="AT20" s="199">
        <f t="shared" si="13"/>
        <v>0</v>
      </c>
      <c r="AU20" s="199">
        <f t="shared" si="14"/>
        <v>0</v>
      </c>
      <c r="AV20" s="199">
        <f t="shared" si="15"/>
        <v>0</v>
      </c>
      <c r="AW20" s="199">
        <f t="shared" si="16"/>
        <v>0</v>
      </c>
      <c r="AX20" s="199">
        <f t="shared" si="17"/>
        <v>0</v>
      </c>
      <c r="AY20" s="199">
        <f t="shared" si="18"/>
        <v>0</v>
      </c>
      <c r="AZ20" s="199">
        <f t="shared" si="19"/>
        <v>0</v>
      </c>
      <c r="BA20" s="199">
        <f t="shared" si="20"/>
        <v>0</v>
      </c>
    </row>
    <row r="21" spans="1:53" ht="24" customHeight="1">
      <c r="A21" s="38"/>
      <c r="B21" s="38"/>
      <c r="C21" s="98"/>
      <c r="D21" s="62"/>
      <c r="E21" s="95"/>
      <c r="F21" s="110"/>
      <c r="G21" s="111"/>
      <c r="H21" s="97"/>
      <c r="I21" s="97" t="str">
        <f t="shared" si="0"/>
        <v/>
      </c>
      <c r="J21" s="62"/>
      <c r="K21" s="62"/>
      <c r="L21" s="63"/>
      <c r="M21" s="39"/>
      <c r="N21" s="39"/>
      <c r="O21" s="150"/>
      <c r="P21" s="151"/>
      <c r="Q21" s="276"/>
      <c r="R21" s="276"/>
      <c r="S21" s="276"/>
      <c r="T21" s="276"/>
      <c r="U21" s="276"/>
      <c r="V21" s="207"/>
      <c r="W21" s="207"/>
      <c r="X21" s="207"/>
      <c r="Y21" s="207"/>
      <c r="Z21" s="207"/>
      <c r="AA21" s="207"/>
      <c r="AB21" s="150"/>
      <c r="AC21" s="151"/>
      <c r="AD21" s="207"/>
      <c r="AE21" s="207"/>
      <c r="AF21" s="207"/>
      <c r="AG21" s="207"/>
      <c r="AI21" s="199">
        <f t="shared" si="2"/>
        <v>0</v>
      </c>
      <c r="AJ21" s="199">
        <f t="shared" si="3"/>
        <v>0</v>
      </c>
      <c r="AK21" s="199">
        <f t="shared" si="4"/>
        <v>0</v>
      </c>
      <c r="AL21" s="199">
        <f t="shared" si="5"/>
        <v>0</v>
      </c>
      <c r="AM21" s="199">
        <f t="shared" si="6"/>
        <v>0</v>
      </c>
      <c r="AN21" s="199">
        <f t="shared" si="7"/>
        <v>0</v>
      </c>
      <c r="AO21" s="199">
        <f t="shared" si="8"/>
        <v>0</v>
      </c>
      <c r="AP21" s="199">
        <f t="shared" si="9"/>
        <v>0</v>
      </c>
      <c r="AQ21" s="199">
        <f t="shared" si="10"/>
        <v>0</v>
      </c>
      <c r="AR21" s="199">
        <f t="shared" si="11"/>
        <v>0</v>
      </c>
      <c r="AS21" s="199">
        <f t="shared" si="12"/>
        <v>0</v>
      </c>
      <c r="AT21" s="199">
        <f t="shared" si="13"/>
        <v>0</v>
      </c>
      <c r="AU21" s="199">
        <f t="shared" si="14"/>
        <v>0</v>
      </c>
      <c r="AV21" s="199">
        <f t="shared" si="15"/>
        <v>0</v>
      </c>
      <c r="AW21" s="199">
        <f t="shared" si="16"/>
        <v>0</v>
      </c>
      <c r="AX21" s="199">
        <f t="shared" si="17"/>
        <v>0</v>
      </c>
      <c r="AY21" s="199">
        <f t="shared" si="18"/>
        <v>0</v>
      </c>
      <c r="AZ21" s="199">
        <f t="shared" si="19"/>
        <v>0</v>
      </c>
      <c r="BA21" s="199">
        <f t="shared" si="20"/>
        <v>0</v>
      </c>
    </row>
    <row r="22" spans="1:53" ht="24" customHeight="1">
      <c r="A22" s="38"/>
      <c r="B22" s="38"/>
      <c r="C22" s="98"/>
      <c r="D22" s="62"/>
      <c r="E22" s="95"/>
      <c r="F22" s="110"/>
      <c r="G22" s="111"/>
      <c r="H22" s="97"/>
      <c r="I22" s="97" t="str">
        <f t="shared" si="0"/>
        <v/>
      </c>
      <c r="J22" s="62"/>
      <c r="K22" s="62"/>
      <c r="L22" s="63"/>
      <c r="M22" s="39"/>
      <c r="N22" s="39"/>
      <c r="O22" s="150"/>
      <c r="P22" s="151"/>
      <c r="Q22" s="276"/>
      <c r="R22" s="276"/>
      <c r="S22" s="276"/>
      <c r="T22" s="276"/>
      <c r="U22" s="276"/>
      <c r="V22" s="207"/>
      <c r="W22" s="207"/>
      <c r="X22" s="207"/>
      <c r="Y22" s="207"/>
      <c r="Z22" s="207"/>
      <c r="AA22" s="207"/>
      <c r="AB22" s="150"/>
      <c r="AC22" s="151"/>
      <c r="AD22" s="207"/>
      <c r="AE22" s="207"/>
      <c r="AF22" s="207"/>
      <c r="AG22" s="207"/>
      <c r="AI22" s="199">
        <f t="shared" si="2"/>
        <v>0</v>
      </c>
      <c r="AJ22" s="199">
        <f t="shared" si="3"/>
        <v>0</v>
      </c>
      <c r="AK22" s="199">
        <f t="shared" si="4"/>
        <v>0</v>
      </c>
      <c r="AL22" s="199">
        <f t="shared" si="5"/>
        <v>0</v>
      </c>
      <c r="AM22" s="199">
        <f t="shared" si="6"/>
        <v>0</v>
      </c>
      <c r="AN22" s="199">
        <f t="shared" si="7"/>
        <v>0</v>
      </c>
      <c r="AO22" s="199">
        <f t="shared" si="8"/>
        <v>0</v>
      </c>
      <c r="AP22" s="199">
        <f t="shared" si="9"/>
        <v>0</v>
      </c>
      <c r="AQ22" s="199">
        <f t="shared" si="10"/>
        <v>0</v>
      </c>
      <c r="AR22" s="199">
        <f t="shared" si="11"/>
        <v>0</v>
      </c>
      <c r="AS22" s="199">
        <f t="shared" si="12"/>
        <v>0</v>
      </c>
      <c r="AT22" s="199">
        <f t="shared" si="13"/>
        <v>0</v>
      </c>
      <c r="AU22" s="199">
        <f t="shared" si="14"/>
        <v>0</v>
      </c>
      <c r="AV22" s="199">
        <f t="shared" si="15"/>
        <v>0</v>
      </c>
      <c r="AW22" s="199">
        <f t="shared" si="16"/>
        <v>0</v>
      </c>
      <c r="AX22" s="199">
        <f t="shared" si="17"/>
        <v>0</v>
      </c>
      <c r="AY22" s="199">
        <f t="shared" si="18"/>
        <v>0</v>
      </c>
      <c r="AZ22" s="199">
        <f t="shared" si="19"/>
        <v>0</v>
      </c>
      <c r="BA22" s="199">
        <f t="shared" si="20"/>
        <v>0</v>
      </c>
    </row>
    <row r="23" spans="1:53" s="39" customFormat="1" ht="24" customHeight="1">
      <c r="A23" s="38"/>
      <c r="B23" s="38"/>
      <c r="C23" s="98"/>
      <c r="D23" s="62"/>
      <c r="E23" s="95"/>
      <c r="F23" s="110"/>
      <c r="G23" s="111"/>
      <c r="H23" s="97"/>
      <c r="I23" s="97" t="str">
        <f t="shared" si="0"/>
        <v/>
      </c>
      <c r="J23" s="62"/>
      <c r="K23" s="62"/>
      <c r="L23" s="63"/>
      <c r="O23" s="150"/>
      <c r="P23" s="151"/>
      <c r="Q23" s="276"/>
      <c r="R23" s="276"/>
      <c r="S23" s="276"/>
      <c r="T23" s="276"/>
      <c r="U23" s="276"/>
      <c r="V23" s="207"/>
      <c r="W23" s="207"/>
      <c r="X23" s="207"/>
      <c r="Y23" s="207"/>
      <c r="Z23" s="207"/>
      <c r="AA23" s="207"/>
      <c r="AB23" s="150"/>
      <c r="AC23" s="151"/>
      <c r="AD23" s="207"/>
      <c r="AE23" s="207"/>
      <c r="AF23" s="207"/>
      <c r="AG23" s="207"/>
      <c r="AI23" s="199">
        <f t="shared" si="2"/>
        <v>0</v>
      </c>
      <c r="AJ23" s="199">
        <f t="shared" si="3"/>
        <v>0</v>
      </c>
      <c r="AK23" s="199">
        <f t="shared" si="4"/>
        <v>0</v>
      </c>
      <c r="AL23" s="199">
        <f t="shared" si="5"/>
        <v>0</v>
      </c>
      <c r="AM23" s="199">
        <f t="shared" si="6"/>
        <v>0</v>
      </c>
      <c r="AN23" s="199">
        <f t="shared" si="7"/>
        <v>0</v>
      </c>
      <c r="AO23" s="199">
        <f t="shared" si="8"/>
        <v>0</v>
      </c>
      <c r="AP23" s="199">
        <f t="shared" si="9"/>
        <v>0</v>
      </c>
      <c r="AQ23" s="199">
        <f t="shared" si="10"/>
        <v>0</v>
      </c>
      <c r="AR23" s="199">
        <f t="shared" si="11"/>
        <v>0</v>
      </c>
      <c r="AS23" s="199">
        <f t="shared" si="12"/>
        <v>0</v>
      </c>
      <c r="AT23" s="199">
        <f t="shared" si="13"/>
        <v>0</v>
      </c>
      <c r="AU23" s="199">
        <f t="shared" si="14"/>
        <v>0</v>
      </c>
      <c r="AV23" s="199">
        <f t="shared" si="15"/>
        <v>0</v>
      </c>
      <c r="AW23" s="199">
        <f t="shared" si="16"/>
        <v>0</v>
      </c>
      <c r="AX23" s="199">
        <f t="shared" si="17"/>
        <v>0</v>
      </c>
      <c r="AY23" s="199">
        <f t="shared" si="18"/>
        <v>0</v>
      </c>
      <c r="AZ23" s="199">
        <f t="shared" si="19"/>
        <v>0</v>
      </c>
      <c r="BA23" s="199">
        <f t="shared" si="20"/>
        <v>0</v>
      </c>
    </row>
    <row r="24" spans="1:53" ht="24" customHeight="1" thickBot="1">
      <c r="A24" s="38"/>
      <c r="B24" s="38"/>
      <c r="C24" s="99"/>
      <c r="D24" s="89" t="s">
        <v>8</v>
      </c>
      <c r="E24" s="100"/>
      <c r="F24" s="113"/>
      <c r="G24" s="114"/>
      <c r="H24" s="124" t="s">
        <v>86</v>
      </c>
      <c r="I24" s="201">
        <f>SUM(I6:I23)</f>
        <v>0</v>
      </c>
      <c r="J24" s="89" t="s">
        <v>87</v>
      </c>
      <c r="K24" s="89"/>
      <c r="L24" s="116"/>
      <c r="O24" s="277">
        <f>AI24</f>
        <v>0</v>
      </c>
      <c r="P24" s="278">
        <f t="shared" ref="P24:AG24" si="21">AJ24</f>
        <v>0</v>
      </c>
      <c r="Q24" s="279">
        <f t="shared" si="21"/>
        <v>0</v>
      </c>
      <c r="R24" s="279">
        <f t="shared" si="21"/>
        <v>0</v>
      </c>
      <c r="S24" s="279">
        <f t="shared" si="21"/>
        <v>0</v>
      </c>
      <c r="T24" s="279">
        <f t="shared" si="21"/>
        <v>0</v>
      </c>
      <c r="U24" s="279">
        <f t="shared" si="21"/>
        <v>0</v>
      </c>
      <c r="V24" s="280">
        <f t="shared" si="21"/>
        <v>0</v>
      </c>
      <c r="W24" s="280">
        <f t="shared" si="21"/>
        <v>0</v>
      </c>
      <c r="X24" s="280">
        <f t="shared" si="21"/>
        <v>0</v>
      </c>
      <c r="Y24" s="280">
        <f t="shared" si="21"/>
        <v>0</v>
      </c>
      <c r="Z24" s="280">
        <f t="shared" si="21"/>
        <v>0</v>
      </c>
      <c r="AA24" s="280">
        <f t="shared" si="21"/>
        <v>0</v>
      </c>
      <c r="AB24" s="277">
        <f t="shared" si="21"/>
        <v>0</v>
      </c>
      <c r="AC24" s="278">
        <f t="shared" si="21"/>
        <v>0</v>
      </c>
      <c r="AD24" s="280">
        <f t="shared" si="21"/>
        <v>0</v>
      </c>
      <c r="AE24" s="280">
        <f t="shared" si="21"/>
        <v>0</v>
      </c>
      <c r="AF24" s="280">
        <f>AZ24</f>
        <v>0</v>
      </c>
      <c r="AG24" s="280">
        <f t="shared" si="21"/>
        <v>0</v>
      </c>
      <c r="AI24" s="200">
        <f>SUM(AI6:AI23)</f>
        <v>0</v>
      </c>
      <c r="AJ24" s="200">
        <f t="shared" ref="AJ24:AS24" si="22">SUM(AJ6:AJ23)</f>
        <v>0</v>
      </c>
      <c r="AK24" s="200">
        <f t="shared" si="22"/>
        <v>0</v>
      </c>
      <c r="AL24" s="200">
        <f t="shared" si="22"/>
        <v>0</v>
      </c>
      <c r="AM24" s="200">
        <f>SUM(AM6:AM23)</f>
        <v>0</v>
      </c>
      <c r="AN24" s="200">
        <f>SUM(AN6:AN23)</f>
        <v>0</v>
      </c>
      <c r="AO24" s="200">
        <f t="shared" si="22"/>
        <v>0</v>
      </c>
      <c r="AP24" s="200">
        <f t="shared" si="22"/>
        <v>0</v>
      </c>
      <c r="AQ24" s="200">
        <f t="shared" si="22"/>
        <v>0</v>
      </c>
      <c r="AR24" s="200">
        <f t="shared" si="22"/>
        <v>0</v>
      </c>
      <c r="AS24" s="200">
        <f t="shared" si="22"/>
        <v>0</v>
      </c>
      <c r="AT24" s="200">
        <f>SUM(AT6:AT23)</f>
        <v>0</v>
      </c>
      <c r="AU24" s="200">
        <f t="shared" ref="AU24:BA24" si="23">SUM(AU6:AU23)</f>
        <v>0</v>
      </c>
      <c r="AV24" s="200">
        <f t="shared" si="23"/>
        <v>0</v>
      </c>
      <c r="AW24" s="200">
        <f t="shared" si="23"/>
        <v>0</v>
      </c>
      <c r="AX24" s="200">
        <f t="shared" si="23"/>
        <v>0</v>
      </c>
      <c r="AY24" s="200">
        <f t="shared" si="23"/>
        <v>0</v>
      </c>
      <c r="AZ24" s="200">
        <f t="shared" si="23"/>
        <v>0</v>
      </c>
      <c r="BA24" s="200">
        <f t="shared" si="23"/>
        <v>0</v>
      </c>
    </row>
    <row r="25" spans="1:53" ht="14.25" customHeight="1">
      <c r="E25" s="117" t="s">
        <v>146</v>
      </c>
      <c r="F25" s="118">
        <f>+F2+1</f>
        <v>1</v>
      </c>
      <c r="G25" s="119" t="s">
        <v>147</v>
      </c>
      <c r="H25" s="120">
        <f>+J2</f>
        <v>2</v>
      </c>
      <c r="M25" s="33" t="str">
        <f>IF(A27="","EOL","")</f>
        <v/>
      </c>
      <c r="N25" s="1">
        <f>+F25</f>
        <v>1</v>
      </c>
    </row>
    <row r="26" spans="1:53" ht="26.25" customHeight="1" thickBot="1">
      <c r="C26" s="2224" t="s">
        <v>3135</v>
      </c>
      <c r="D26" s="2224"/>
      <c r="E26" s="2224"/>
      <c r="F26" s="2224"/>
      <c r="G26" s="2224"/>
      <c r="H26" s="2224"/>
      <c r="I26" s="2224"/>
      <c r="J26" s="2224"/>
      <c r="K26" s="2224"/>
      <c r="L26" s="2224"/>
      <c r="O26" s="2236" t="s">
        <v>129</v>
      </c>
      <c r="P26" s="2237"/>
      <c r="Q26" s="2237"/>
      <c r="R26" s="2237"/>
      <c r="S26" s="2237"/>
      <c r="T26" s="2237"/>
      <c r="U26" s="2237"/>
      <c r="V26" s="2237"/>
      <c r="W26" s="2237"/>
      <c r="X26" s="2237"/>
      <c r="Y26" s="2237"/>
      <c r="Z26" s="2237"/>
      <c r="AA26" s="2237"/>
      <c r="AB26" s="2237"/>
      <c r="AC26" s="2237"/>
      <c r="AD26" s="2237"/>
      <c r="AE26" s="2237"/>
      <c r="AF26" s="2237"/>
      <c r="AG26" s="2238"/>
    </row>
    <row r="27" spans="1:53" ht="41.25" customHeight="1">
      <c r="A27" s="5" t="s">
        <v>12</v>
      </c>
      <c r="B27" s="5" t="s">
        <v>43</v>
      </c>
      <c r="C27" s="106" t="s">
        <v>0</v>
      </c>
      <c r="D27" s="102"/>
      <c r="E27" s="103" t="s">
        <v>1</v>
      </c>
      <c r="F27" s="104" t="s">
        <v>2</v>
      </c>
      <c r="G27" s="104" t="s">
        <v>3</v>
      </c>
      <c r="H27" s="105" t="s">
        <v>4</v>
      </c>
      <c r="I27" s="105" t="s">
        <v>5</v>
      </c>
      <c r="J27" s="2239" t="s">
        <v>6</v>
      </c>
      <c r="K27" s="2240"/>
      <c r="L27" s="2241"/>
      <c r="O27" s="148" t="s">
        <v>66</v>
      </c>
      <c r="P27" s="358" t="s">
        <v>259</v>
      </c>
      <c r="Q27" s="147" t="s">
        <v>206</v>
      </c>
      <c r="R27" s="265" t="s">
        <v>208</v>
      </c>
      <c r="S27" s="265" t="s">
        <v>209</v>
      </c>
      <c r="T27" s="265" t="s">
        <v>260</v>
      </c>
      <c r="U27" s="265" t="s">
        <v>123</v>
      </c>
      <c r="V27" s="147" t="s">
        <v>122</v>
      </c>
      <c r="W27" s="265" t="s">
        <v>261</v>
      </c>
      <c r="X27" s="214" t="s">
        <v>210</v>
      </c>
      <c r="Y27" s="214" t="s">
        <v>211</v>
      </c>
      <c r="Z27" s="214" t="s">
        <v>212</v>
      </c>
      <c r="AA27" s="214" t="s">
        <v>213</v>
      </c>
      <c r="AB27" s="152" t="s">
        <v>262</v>
      </c>
      <c r="AC27" s="149" t="s">
        <v>125</v>
      </c>
      <c r="AD27" s="146" t="s">
        <v>128</v>
      </c>
      <c r="AE27" s="146" t="s">
        <v>126</v>
      </c>
      <c r="AF27" s="146" t="s">
        <v>127</v>
      </c>
      <c r="AG27" s="146"/>
    </row>
    <row r="28" spans="1:53" ht="24" customHeight="1">
      <c r="A28" s="226">
        <v>1</v>
      </c>
      <c r="B28" s="226">
        <v>1</v>
      </c>
      <c r="C28" s="125" t="s">
        <v>149</v>
      </c>
      <c r="D28" s="203" t="s">
        <v>148</v>
      </c>
      <c r="E28" s="204" t="s">
        <v>154</v>
      </c>
      <c r="F28" s="205">
        <v>1</v>
      </c>
      <c r="G28" s="206" t="s">
        <v>111</v>
      </c>
      <c r="H28" s="87" t="s">
        <v>11</v>
      </c>
      <c r="I28" s="87" t="s">
        <v>11</v>
      </c>
      <c r="J28" s="2230"/>
      <c r="K28" s="2231"/>
      <c r="L28" s="2232"/>
      <c r="O28" s="150"/>
      <c r="P28" s="151"/>
      <c r="Q28" s="276"/>
      <c r="R28" s="276"/>
      <c r="S28" s="276"/>
      <c r="T28" s="276"/>
      <c r="U28" s="276"/>
      <c r="V28" s="207"/>
      <c r="W28" s="207"/>
      <c r="X28" s="207"/>
      <c r="Y28" s="207"/>
      <c r="Z28" s="207"/>
      <c r="AA28" s="207"/>
      <c r="AB28" s="150"/>
      <c r="AC28" s="151"/>
      <c r="AD28" s="207"/>
      <c r="AE28" s="207"/>
      <c r="AF28" s="207"/>
      <c r="AG28" s="207"/>
    </row>
    <row r="29" spans="1:53" s="39" customFormat="1" ht="24" customHeight="1">
      <c r="A29" s="38"/>
      <c r="B29" s="38"/>
      <c r="C29" s="121"/>
      <c r="D29" s="122"/>
      <c r="E29" s="110"/>
      <c r="F29" s="110"/>
      <c r="G29" s="111"/>
      <c r="H29" s="128"/>
      <c r="I29" s="97" t="str">
        <f t="shared" ref="I29:I40" si="24">IF(F29="","",ROUNDDOWN(F29*H29,0))</f>
        <v/>
      </c>
      <c r="J29" s="61"/>
      <c r="K29" s="62"/>
      <c r="L29" s="63"/>
      <c r="O29" s="150"/>
      <c r="P29" s="151"/>
      <c r="Q29" s="276"/>
      <c r="R29" s="276"/>
      <c r="S29" s="276"/>
      <c r="T29" s="276"/>
      <c r="U29" s="276"/>
      <c r="V29" s="207"/>
      <c r="W29" s="207"/>
      <c r="X29" s="207"/>
      <c r="Y29" s="207"/>
      <c r="Z29" s="207"/>
      <c r="AA29" s="207"/>
      <c r="AB29" s="150"/>
      <c r="AC29" s="151"/>
      <c r="AD29" s="207"/>
      <c r="AE29" s="207"/>
      <c r="AF29" s="207"/>
      <c r="AG29" s="207"/>
      <c r="AI29" s="199">
        <f>$F29*O29</f>
        <v>0</v>
      </c>
      <c r="AJ29" s="199">
        <f t="shared" ref="AJ29:AJ46" si="25">$F29*P29</f>
        <v>0</v>
      </c>
      <c r="AK29" s="199">
        <f t="shared" ref="AK29:AK46" si="26">$F29*Q29</f>
        <v>0</v>
      </c>
      <c r="AL29" s="199">
        <f t="shared" ref="AL29:AL46" si="27">$F29*R29</f>
        <v>0</v>
      </c>
      <c r="AM29" s="199">
        <f t="shared" ref="AM29:AM46" si="28">$F29*S29</f>
        <v>0</v>
      </c>
      <c r="AN29" s="199">
        <f t="shared" ref="AN29:AN46" si="29">$F29*T29</f>
        <v>0</v>
      </c>
      <c r="AO29" s="199">
        <f t="shared" ref="AO29:AO46" si="30">$F29*U29</f>
        <v>0</v>
      </c>
      <c r="AP29" s="199">
        <f t="shared" ref="AP29:AP46" si="31">$F29*V29</f>
        <v>0</v>
      </c>
      <c r="AQ29" s="199">
        <f t="shared" ref="AQ29:AQ46" si="32">$F29*W29</f>
        <v>0</v>
      </c>
      <c r="AR29" s="199">
        <f t="shared" ref="AR29:AR46" si="33">$F29*X29</f>
        <v>0</v>
      </c>
      <c r="AS29" s="199">
        <f t="shared" ref="AS29:AS46" si="34">$F29*Y29</f>
        <v>0</v>
      </c>
      <c r="AT29" s="199">
        <f t="shared" ref="AT29:AT46" si="35">$F29*Z29</f>
        <v>0</v>
      </c>
      <c r="AU29" s="199">
        <f t="shared" ref="AU29:AU46" si="36">$F29*AA29</f>
        <v>0</v>
      </c>
      <c r="AV29" s="199">
        <f t="shared" ref="AV29:AV46" si="37">$F29*AB29</f>
        <v>0</v>
      </c>
      <c r="AW29" s="199">
        <f t="shared" ref="AW29:AW46" si="38">$F29*AC29</f>
        <v>0</v>
      </c>
      <c r="AX29" s="199">
        <f t="shared" ref="AX29:AX46" si="39">$F29*AD29</f>
        <v>0</v>
      </c>
      <c r="AY29" s="199">
        <f t="shared" ref="AY29:AY46" si="40">$F29*AE29</f>
        <v>0</v>
      </c>
      <c r="AZ29" s="199">
        <f t="shared" ref="AZ29:AZ46" si="41">$F29*AF29</f>
        <v>0</v>
      </c>
      <c r="BA29" s="199">
        <f t="shared" ref="BA29:BA46" si="42">$F29*AG29</f>
        <v>0</v>
      </c>
    </row>
    <row r="30" spans="1:53" ht="24" customHeight="1">
      <c r="A30" s="38">
        <v>1</v>
      </c>
      <c r="B30" s="38">
        <v>1</v>
      </c>
      <c r="C30" s="98">
        <v>300901</v>
      </c>
      <c r="D30" s="62" t="s">
        <v>151</v>
      </c>
      <c r="E30" s="95" t="s">
        <v>152</v>
      </c>
      <c r="F30" s="110">
        <v>0.4</v>
      </c>
      <c r="G30" s="111" t="s">
        <v>59</v>
      </c>
      <c r="H30" s="97"/>
      <c r="I30" s="97">
        <f t="shared" si="24"/>
        <v>0</v>
      </c>
      <c r="J30" s="62" t="s">
        <v>153</v>
      </c>
      <c r="K30" s="62"/>
      <c r="L30" s="63"/>
      <c r="M30" s="39"/>
      <c r="N30" s="39"/>
      <c r="O30" s="150">
        <v>0</v>
      </c>
      <c r="P30" s="151"/>
      <c r="Q30" s="276"/>
      <c r="R30" s="276"/>
      <c r="S30" s="276"/>
      <c r="T30" s="276"/>
      <c r="U30" s="276"/>
      <c r="V30" s="207"/>
      <c r="W30" s="207"/>
      <c r="X30" s="207"/>
      <c r="Y30" s="207"/>
      <c r="Z30" s="207"/>
      <c r="AA30" s="207"/>
      <c r="AB30" s="150"/>
      <c r="AC30" s="151"/>
      <c r="AD30" s="207"/>
      <c r="AE30" s="207"/>
      <c r="AF30" s="207"/>
      <c r="AG30" s="207"/>
      <c r="AI30" s="199">
        <f t="shared" ref="AI30:AI46" si="43">$F30*O30</f>
        <v>0</v>
      </c>
      <c r="AJ30" s="199">
        <f t="shared" si="25"/>
        <v>0</v>
      </c>
      <c r="AK30" s="199">
        <f t="shared" si="26"/>
        <v>0</v>
      </c>
      <c r="AL30" s="199">
        <f t="shared" si="27"/>
        <v>0</v>
      </c>
      <c r="AM30" s="199">
        <f t="shared" si="28"/>
        <v>0</v>
      </c>
      <c r="AN30" s="199">
        <f t="shared" si="29"/>
        <v>0</v>
      </c>
      <c r="AO30" s="199">
        <f t="shared" si="30"/>
        <v>0</v>
      </c>
      <c r="AP30" s="199">
        <f t="shared" si="31"/>
        <v>0</v>
      </c>
      <c r="AQ30" s="199">
        <f t="shared" si="32"/>
        <v>0</v>
      </c>
      <c r="AR30" s="199">
        <f t="shared" si="33"/>
        <v>0</v>
      </c>
      <c r="AS30" s="199">
        <f t="shared" si="34"/>
        <v>0</v>
      </c>
      <c r="AT30" s="199">
        <f t="shared" si="35"/>
        <v>0</v>
      </c>
      <c r="AU30" s="199">
        <f t="shared" si="36"/>
        <v>0</v>
      </c>
      <c r="AV30" s="199">
        <f t="shared" si="37"/>
        <v>0</v>
      </c>
      <c r="AW30" s="199">
        <f t="shared" si="38"/>
        <v>0</v>
      </c>
      <c r="AX30" s="199">
        <f t="shared" si="39"/>
        <v>0</v>
      </c>
      <c r="AY30" s="199">
        <f t="shared" si="40"/>
        <v>0</v>
      </c>
      <c r="AZ30" s="199">
        <f t="shared" si="41"/>
        <v>0</v>
      </c>
      <c r="BA30" s="199">
        <f t="shared" si="42"/>
        <v>0</v>
      </c>
    </row>
    <row r="31" spans="1:53" ht="24" customHeight="1">
      <c r="A31" s="38">
        <v>1</v>
      </c>
      <c r="B31" s="38">
        <v>1</v>
      </c>
      <c r="C31" s="98">
        <v>3011</v>
      </c>
      <c r="D31" s="62" t="s">
        <v>155</v>
      </c>
      <c r="E31" s="95" t="s">
        <v>156</v>
      </c>
      <c r="F31" s="110">
        <v>0.1</v>
      </c>
      <c r="G31" s="111" t="s">
        <v>59</v>
      </c>
      <c r="H31" s="97"/>
      <c r="I31" s="97">
        <f t="shared" si="24"/>
        <v>0</v>
      </c>
      <c r="J31" s="62" t="s">
        <v>157</v>
      </c>
      <c r="K31" s="62"/>
      <c r="L31" s="63"/>
      <c r="M31" s="39"/>
      <c r="N31" s="39"/>
      <c r="O31" s="150">
        <v>0</v>
      </c>
      <c r="P31" s="151"/>
      <c r="Q31" s="276"/>
      <c r="R31" s="276"/>
      <c r="S31" s="276"/>
      <c r="T31" s="276"/>
      <c r="U31" s="276"/>
      <c r="V31" s="207"/>
      <c r="W31" s="207"/>
      <c r="X31" s="207"/>
      <c r="Y31" s="207"/>
      <c r="Z31" s="207"/>
      <c r="AA31" s="207"/>
      <c r="AB31" s="150"/>
      <c r="AC31" s="151"/>
      <c r="AD31" s="207"/>
      <c r="AE31" s="207"/>
      <c r="AF31" s="207"/>
      <c r="AG31" s="207"/>
      <c r="AI31" s="199">
        <f t="shared" si="43"/>
        <v>0</v>
      </c>
      <c r="AJ31" s="199">
        <f t="shared" si="25"/>
        <v>0</v>
      </c>
      <c r="AK31" s="199">
        <f t="shared" si="26"/>
        <v>0</v>
      </c>
      <c r="AL31" s="199">
        <f t="shared" si="27"/>
        <v>0</v>
      </c>
      <c r="AM31" s="199">
        <f t="shared" si="28"/>
        <v>0</v>
      </c>
      <c r="AN31" s="199">
        <f t="shared" si="29"/>
        <v>0</v>
      </c>
      <c r="AO31" s="199">
        <f t="shared" si="30"/>
        <v>0</v>
      </c>
      <c r="AP31" s="199">
        <f t="shared" si="31"/>
        <v>0</v>
      </c>
      <c r="AQ31" s="199">
        <f t="shared" si="32"/>
        <v>0</v>
      </c>
      <c r="AR31" s="199">
        <f t="shared" si="33"/>
        <v>0</v>
      </c>
      <c r="AS31" s="199">
        <f t="shared" si="34"/>
        <v>0</v>
      </c>
      <c r="AT31" s="199">
        <f t="shared" si="35"/>
        <v>0</v>
      </c>
      <c r="AU31" s="199">
        <f t="shared" si="36"/>
        <v>0</v>
      </c>
      <c r="AV31" s="199">
        <f t="shared" si="37"/>
        <v>0</v>
      </c>
      <c r="AW31" s="199">
        <f t="shared" si="38"/>
        <v>0</v>
      </c>
      <c r="AX31" s="199">
        <f t="shared" si="39"/>
        <v>0</v>
      </c>
      <c r="AY31" s="199">
        <f t="shared" si="40"/>
        <v>0</v>
      </c>
      <c r="AZ31" s="199">
        <f t="shared" si="41"/>
        <v>0</v>
      </c>
      <c r="BA31" s="199">
        <f t="shared" si="42"/>
        <v>0</v>
      </c>
    </row>
    <row r="32" spans="1:53" ht="24" customHeight="1">
      <c r="A32" s="38">
        <v>1</v>
      </c>
      <c r="B32" s="38">
        <v>1</v>
      </c>
      <c r="C32" s="98">
        <v>301004</v>
      </c>
      <c r="D32" s="62" t="s">
        <v>158</v>
      </c>
      <c r="E32" s="95" t="s">
        <v>159</v>
      </c>
      <c r="F32" s="110">
        <v>0.3</v>
      </c>
      <c r="G32" s="111" t="s">
        <v>59</v>
      </c>
      <c r="H32" s="97"/>
      <c r="I32" s="97">
        <f t="shared" si="24"/>
        <v>0</v>
      </c>
      <c r="J32" s="62"/>
      <c r="K32" s="62"/>
      <c r="L32" s="63"/>
      <c r="M32" s="39"/>
      <c r="N32" s="39"/>
      <c r="O32" s="150">
        <v>0</v>
      </c>
      <c r="P32" s="151"/>
      <c r="Q32" s="276"/>
      <c r="R32" s="276"/>
      <c r="S32" s="276"/>
      <c r="T32" s="276"/>
      <c r="U32" s="276"/>
      <c r="V32" s="207"/>
      <c r="W32" s="207"/>
      <c r="X32" s="207"/>
      <c r="Y32" s="207"/>
      <c r="Z32" s="207"/>
      <c r="AA32" s="207"/>
      <c r="AB32" s="150"/>
      <c r="AC32" s="151"/>
      <c r="AD32" s="207"/>
      <c r="AE32" s="207"/>
      <c r="AF32" s="207"/>
      <c r="AG32" s="207"/>
      <c r="AI32" s="199">
        <f t="shared" si="43"/>
        <v>0</v>
      </c>
      <c r="AJ32" s="199">
        <f t="shared" si="25"/>
        <v>0</v>
      </c>
      <c r="AK32" s="199">
        <f t="shared" si="26"/>
        <v>0</v>
      </c>
      <c r="AL32" s="199">
        <f t="shared" si="27"/>
        <v>0</v>
      </c>
      <c r="AM32" s="199">
        <f t="shared" si="28"/>
        <v>0</v>
      </c>
      <c r="AN32" s="199">
        <f t="shared" si="29"/>
        <v>0</v>
      </c>
      <c r="AO32" s="199">
        <f t="shared" si="30"/>
        <v>0</v>
      </c>
      <c r="AP32" s="199">
        <f t="shared" si="31"/>
        <v>0</v>
      </c>
      <c r="AQ32" s="199">
        <f t="shared" si="32"/>
        <v>0</v>
      </c>
      <c r="AR32" s="199">
        <f t="shared" si="33"/>
        <v>0</v>
      </c>
      <c r="AS32" s="199">
        <f t="shared" si="34"/>
        <v>0</v>
      </c>
      <c r="AT32" s="199">
        <f t="shared" si="35"/>
        <v>0</v>
      </c>
      <c r="AU32" s="199">
        <f t="shared" si="36"/>
        <v>0</v>
      </c>
      <c r="AV32" s="199">
        <f t="shared" si="37"/>
        <v>0</v>
      </c>
      <c r="AW32" s="199">
        <f t="shared" si="38"/>
        <v>0</v>
      </c>
      <c r="AX32" s="199">
        <f t="shared" si="39"/>
        <v>0</v>
      </c>
      <c r="AY32" s="199">
        <f t="shared" si="40"/>
        <v>0</v>
      </c>
      <c r="AZ32" s="199">
        <f t="shared" si="41"/>
        <v>0</v>
      </c>
      <c r="BA32" s="199">
        <f t="shared" si="42"/>
        <v>0</v>
      </c>
    </row>
    <row r="33" spans="1:53" ht="24" customHeight="1">
      <c r="A33" s="38">
        <v>1</v>
      </c>
      <c r="B33" s="38">
        <v>1</v>
      </c>
      <c r="C33" s="98">
        <v>3045</v>
      </c>
      <c r="D33" s="62" t="s">
        <v>160</v>
      </c>
      <c r="E33" s="95" t="s">
        <v>161</v>
      </c>
      <c r="F33" s="110">
        <v>0.3</v>
      </c>
      <c r="G33" s="111" t="s">
        <v>59</v>
      </c>
      <c r="H33" s="97"/>
      <c r="I33" s="97">
        <f t="shared" si="24"/>
        <v>0</v>
      </c>
      <c r="J33" s="62"/>
      <c r="K33" s="62"/>
      <c r="L33" s="63"/>
      <c r="M33" s="39"/>
      <c r="N33" s="39"/>
      <c r="O33" s="150">
        <v>0</v>
      </c>
      <c r="P33" s="151"/>
      <c r="Q33" s="276"/>
      <c r="R33" s="276"/>
      <c r="S33" s="276"/>
      <c r="T33" s="276"/>
      <c r="U33" s="276"/>
      <c r="V33" s="207"/>
      <c r="W33" s="207"/>
      <c r="X33" s="207"/>
      <c r="Y33" s="207"/>
      <c r="Z33" s="207"/>
      <c r="AA33" s="207"/>
      <c r="AB33" s="150"/>
      <c r="AC33" s="151"/>
      <c r="AD33" s="207"/>
      <c r="AE33" s="207"/>
      <c r="AF33" s="207"/>
      <c r="AG33" s="207"/>
      <c r="AI33" s="199">
        <f t="shared" si="43"/>
        <v>0</v>
      </c>
      <c r="AJ33" s="199">
        <f t="shared" si="25"/>
        <v>0</v>
      </c>
      <c r="AK33" s="199">
        <f t="shared" si="26"/>
        <v>0</v>
      </c>
      <c r="AL33" s="199">
        <f t="shared" si="27"/>
        <v>0</v>
      </c>
      <c r="AM33" s="199">
        <f t="shared" si="28"/>
        <v>0</v>
      </c>
      <c r="AN33" s="199">
        <f t="shared" si="29"/>
        <v>0</v>
      </c>
      <c r="AO33" s="199">
        <f t="shared" si="30"/>
        <v>0</v>
      </c>
      <c r="AP33" s="199">
        <f t="shared" si="31"/>
        <v>0</v>
      </c>
      <c r="AQ33" s="199">
        <f t="shared" si="32"/>
        <v>0</v>
      </c>
      <c r="AR33" s="199">
        <f t="shared" si="33"/>
        <v>0</v>
      </c>
      <c r="AS33" s="199">
        <f t="shared" si="34"/>
        <v>0</v>
      </c>
      <c r="AT33" s="199">
        <f t="shared" si="35"/>
        <v>0</v>
      </c>
      <c r="AU33" s="199">
        <f t="shared" si="36"/>
        <v>0</v>
      </c>
      <c r="AV33" s="199">
        <f t="shared" si="37"/>
        <v>0</v>
      </c>
      <c r="AW33" s="199">
        <f t="shared" si="38"/>
        <v>0</v>
      </c>
      <c r="AX33" s="199">
        <f t="shared" si="39"/>
        <v>0</v>
      </c>
      <c r="AY33" s="199">
        <f t="shared" si="40"/>
        <v>0</v>
      </c>
      <c r="AZ33" s="199">
        <f t="shared" si="41"/>
        <v>0</v>
      </c>
      <c r="BA33" s="199">
        <f t="shared" si="42"/>
        <v>0</v>
      </c>
    </row>
    <row r="34" spans="1:53" ht="24" customHeight="1">
      <c r="A34" s="38">
        <v>1</v>
      </c>
      <c r="B34" s="38">
        <v>1</v>
      </c>
      <c r="C34" s="98">
        <v>102</v>
      </c>
      <c r="D34" s="62" t="s">
        <v>162</v>
      </c>
      <c r="E34" s="95" t="s">
        <v>70</v>
      </c>
      <c r="F34" s="110">
        <v>0.01</v>
      </c>
      <c r="G34" s="111" t="s">
        <v>163</v>
      </c>
      <c r="H34" s="97"/>
      <c r="I34" s="97">
        <f t="shared" si="24"/>
        <v>0</v>
      </c>
      <c r="J34" s="62"/>
      <c r="K34" s="62"/>
      <c r="L34" s="63"/>
      <c r="M34" s="39"/>
      <c r="N34" s="39"/>
      <c r="O34" s="150">
        <v>1000</v>
      </c>
      <c r="P34" s="151"/>
      <c r="Q34" s="276"/>
      <c r="R34" s="276"/>
      <c r="S34" s="276"/>
      <c r="T34" s="276"/>
      <c r="U34" s="276"/>
      <c r="V34" s="207"/>
      <c r="W34" s="207"/>
      <c r="X34" s="207"/>
      <c r="Y34" s="207"/>
      <c r="Z34" s="207"/>
      <c r="AA34" s="207"/>
      <c r="AB34" s="150"/>
      <c r="AC34" s="151"/>
      <c r="AD34" s="207"/>
      <c r="AE34" s="207"/>
      <c r="AF34" s="207"/>
      <c r="AG34" s="207"/>
      <c r="AI34" s="199">
        <f t="shared" si="43"/>
        <v>10</v>
      </c>
      <c r="AJ34" s="199">
        <f t="shared" si="25"/>
        <v>0</v>
      </c>
      <c r="AK34" s="199">
        <f t="shared" si="26"/>
        <v>0</v>
      </c>
      <c r="AL34" s="199">
        <f t="shared" si="27"/>
        <v>0</v>
      </c>
      <c r="AM34" s="199">
        <f t="shared" si="28"/>
        <v>0</v>
      </c>
      <c r="AN34" s="199">
        <f t="shared" si="29"/>
        <v>0</v>
      </c>
      <c r="AO34" s="199">
        <f t="shared" si="30"/>
        <v>0</v>
      </c>
      <c r="AP34" s="199">
        <f t="shared" si="31"/>
        <v>0</v>
      </c>
      <c r="AQ34" s="199">
        <f t="shared" si="32"/>
        <v>0</v>
      </c>
      <c r="AR34" s="199">
        <f t="shared" si="33"/>
        <v>0</v>
      </c>
      <c r="AS34" s="199">
        <f t="shared" si="34"/>
        <v>0</v>
      </c>
      <c r="AT34" s="199">
        <f t="shared" si="35"/>
        <v>0</v>
      </c>
      <c r="AU34" s="199">
        <f t="shared" si="36"/>
        <v>0</v>
      </c>
      <c r="AV34" s="199">
        <f t="shared" si="37"/>
        <v>0</v>
      </c>
      <c r="AW34" s="199">
        <f t="shared" si="38"/>
        <v>0</v>
      </c>
      <c r="AX34" s="199">
        <f t="shared" si="39"/>
        <v>0</v>
      </c>
      <c r="AY34" s="199">
        <f t="shared" si="40"/>
        <v>0</v>
      </c>
      <c r="AZ34" s="199">
        <f t="shared" si="41"/>
        <v>0</v>
      </c>
      <c r="BA34" s="199">
        <f t="shared" si="42"/>
        <v>0</v>
      </c>
    </row>
    <row r="35" spans="1:53" s="39" customFormat="1" ht="24" customHeight="1">
      <c r="A35" s="38">
        <v>1</v>
      </c>
      <c r="B35" s="38">
        <v>1</v>
      </c>
      <c r="C35" s="98">
        <v>411102</v>
      </c>
      <c r="D35" s="62" t="s">
        <v>164</v>
      </c>
      <c r="E35" s="95" t="s">
        <v>165</v>
      </c>
      <c r="F35" s="110">
        <v>0.01</v>
      </c>
      <c r="G35" s="111" t="s">
        <v>163</v>
      </c>
      <c r="H35" s="97"/>
      <c r="I35" s="97">
        <f t="shared" si="24"/>
        <v>0</v>
      </c>
      <c r="J35" s="62"/>
      <c r="K35" s="62"/>
      <c r="L35" s="63"/>
      <c r="O35" s="150">
        <v>0</v>
      </c>
      <c r="P35" s="151"/>
      <c r="Q35" s="276"/>
      <c r="R35" s="276"/>
      <c r="S35" s="276"/>
      <c r="T35" s="276"/>
      <c r="U35" s="276"/>
      <c r="V35" s="207"/>
      <c r="W35" s="207"/>
      <c r="X35" s="207"/>
      <c r="Y35" s="207"/>
      <c r="Z35" s="207"/>
      <c r="AA35" s="207"/>
      <c r="AB35" s="150"/>
      <c r="AC35" s="151"/>
      <c r="AD35" s="207"/>
      <c r="AE35" s="207"/>
      <c r="AF35" s="207"/>
      <c r="AG35" s="207"/>
      <c r="AI35" s="199">
        <f t="shared" si="43"/>
        <v>0</v>
      </c>
      <c r="AJ35" s="199">
        <f t="shared" si="25"/>
        <v>0</v>
      </c>
      <c r="AK35" s="199">
        <f t="shared" si="26"/>
        <v>0</v>
      </c>
      <c r="AL35" s="199">
        <f t="shared" si="27"/>
        <v>0</v>
      </c>
      <c r="AM35" s="199">
        <f t="shared" si="28"/>
        <v>0</v>
      </c>
      <c r="AN35" s="199">
        <f t="shared" si="29"/>
        <v>0</v>
      </c>
      <c r="AO35" s="199">
        <f t="shared" si="30"/>
        <v>0</v>
      </c>
      <c r="AP35" s="199">
        <f t="shared" si="31"/>
        <v>0</v>
      </c>
      <c r="AQ35" s="199">
        <f t="shared" si="32"/>
        <v>0</v>
      </c>
      <c r="AR35" s="199">
        <f t="shared" si="33"/>
        <v>0</v>
      </c>
      <c r="AS35" s="199">
        <f t="shared" si="34"/>
        <v>0</v>
      </c>
      <c r="AT35" s="199">
        <f t="shared" si="35"/>
        <v>0</v>
      </c>
      <c r="AU35" s="199">
        <f t="shared" si="36"/>
        <v>0</v>
      </c>
      <c r="AV35" s="199">
        <f t="shared" si="37"/>
        <v>0</v>
      </c>
      <c r="AW35" s="199">
        <f t="shared" si="38"/>
        <v>0</v>
      </c>
      <c r="AX35" s="199">
        <f t="shared" si="39"/>
        <v>0</v>
      </c>
      <c r="AY35" s="199">
        <f t="shared" si="40"/>
        <v>0</v>
      </c>
      <c r="AZ35" s="199">
        <f t="shared" si="41"/>
        <v>0</v>
      </c>
      <c r="BA35" s="199">
        <f t="shared" si="42"/>
        <v>0</v>
      </c>
    </row>
    <row r="36" spans="1:53" ht="24" customHeight="1">
      <c r="A36" s="38">
        <v>1</v>
      </c>
      <c r="B36" s="38">
        <v>1</v>
      </c>
      <c r="C36" s="98">
        <v>7022</v>
      </c>
      <c r="D36" s="62" t="s">
        <v>166</v>
      </c>
      <c r="E36" s="95" t="s">
        <v>167</v>
      </c>
      <c r="F36" s="110">
        <v>0.01</v>
      </c>
      <c r="G36" s="111" t="s">
        <v>163</v>
      </c>
      <c r="H36" s="97"/>
      <c r="I36" s="97">
        <f t="shared" si="24"/>
        <v>0</v>
      </c>
      <c r="J36" s="62"/>
      <c r="K36" s="62"/>
      <c r="L36" s="63"/>
      <c r="M36" s="39"/>
      <c r="N36" s="39"/>
      <c r="O36" s="150">
        <v>0</v>
      </c>
      <c r="P36" s="151"/>
      <c r="Q36" s="276"/>
      <c r="R36" s="276"/>
      <c r="S36" s="276"/>
      <c r="T36" s="276"/>
      <c r="U36" s="276"/>
      <c r="V36" s="207"/>
      <c r="W36" s="207"/>
      <c r="X36" s="207"/>
      <c r="Y36" s="207"/>
      <c r="Z36" s="207"/>
      <c r="AA36" s="207"/>
      <c r="AB36" s="150"/>
      <c r="AC36" s="151"/>
      <c r="AD36" s="207"/>
      <c r="AE36" s="207"/>
      <c r="AF36" s="207"/>
      <c r="AG36" s="207"/>
      <c r="AI36" s="199">
        <f t="shared" si="43"/>
        <v>0</v>
      </c>
      <c r="AJ36" s="199">
        <f t="shared" si="25"/>
        <v>0</v>
      </c>
      <c r="AK36" s="199">
        <f t="shared" si="26"/>
        <v>0</v>
      </c>
      <c r="AL36" s="199">
        <f t="shared" si="27"/>
        <v>0</v>
      </c>
      <c r="AM36" s="199">
        <f t="shared" si="28"/>
        <v>0</v>
      </c>
      <c r="AN36" s="199">
        <f t="shared" si="29"/>
        <v>0</v>
      </c>
      <c r="AO36" s="199">
        <f t="shared" si="30"/>
        <v>0</v>
      </c>
      <c r="AP36" s="199">
        <f t="shared" si="31"/>
        <v>0</v>
      </c>
      <c r="AQ36" s="199">
        <f t="shared" si="32"/>
        <v>0</v>
      </c>
      <c r="AR36" s="199">
        <f t="shared" si="33"/>
        <v>0</v>
      </c>
      <c r="AS36" s="199">
        <f t="shared" si="34"/>
        <v>0</v>
      </c>
      <c r="AT36" s="199">
        <f t="shared" si="35"/>
        <v>0</v>
      </c>
      <c r="AU36" s="199">
        <f t="shared" si="36"/>
        <v>0</v>
      </c>
      <c r="AV36" s="199">
        <f t="shared" si="37"/>
        <v>0</v>
      </c>
      <c r="AW36" s="199">
        <f t="shared" si="38"/>
        <v>0</v>
      </c>
      <c r="AX36" s="199">
        <f t="shared" si="39"/>
        <v>0</v>
      </c>
      <c r="AY36" s="199">
        <f t="shared" si="40"/>
        <v>0</v>
      </c>
      <c r="AZ36" s="199">
        <f t="shared" si="41"/>
        <v>0</v>
      </c>
      <c r="BA36" s="199">
        <f t="shared" si="42"/>
        <v>0</v>
      </c>
    </row>
    <row r="37" spans="1:53" ht="24" customHeight="1">
      <c r="A37" s="38">
        <v>1</v>
      </c>
      <c r="B37" s="38">
        <v>1</v>
      </c>
      <c r="C37" s="98">
        <v>518200</v>
      </c>
      <c r="D37" s="62" t="s">
        <v>168</v>
      </c>
      <c r="E37" s="212" t="s">
        <v>185</v>
      </c>
      <c r="F37" s="110">
        <v>0.2</v>
      </c>
      <c r="G37" s="111" t="s">
        <v>59</v>
      </c>
      <c r="H37" s="97"/>
      <c r="I37" s="97">
        <f t="shared" si="24"/>
        <v>0</v>
      </c>
      <c r="J37" s="62" t="s">
        <v>169</v>
      </c>
      <c r="K37" s="62"/>
      <c r="L37" s="63"/>
      <c r="M37" s="39"/>
      <c r="N37" s="39"/>
      <c r="O37" s="150">
        <v>2300</v>
      </c>
      <c r="P37" s="151"/>
      <c r="Q37" s="276"/>
      <c r="R37" s="276"/>
      <c r="S37" s="276"/>
      <c r="T37" s="276"/>
      <c r="U37" s="276"/>
      <c r="V37" s="207"/>
      <c r="W37" s="207"/>
      <c r="X37" s="207"/>
      <c r="Y37" s="207"/>
      <c r="Z37" s="207"/>
      <c r="AA37" s="207"/>
      <c r="AB37" s="150"/>
      <c r="AC37" s="151"/>
      <c r="AD37" s="207"/>
      <c r="AE37" s="207"/>
      <c r="AF37" s="207"/>
      <c r="AG37" s="207"/>
      <c r="AI37" s="199">
        <f t="shared" si="43"/>
        <v>460</v>
      </c>
      <c r="AJ37" s="199">
        <f t="shared" si="25"/>
        <v>0</v>
      </c>
      <c r="AK37" s="199">
        <f t="shared" si="26"/>
        <v>0</v>
      </c>
      <c r="AL37" s="199">
        <f t="shared" si="27"/>
        <v>0</v>
      </c>
      <c r="AM37" s="199">
        <f t="shared" si="28"/>
        <v>0</v>
      </c>
      <c r="AN37" s="199">
        <f t="shared" si="29"/>
        <v>0</v>
      </c>
      <c r="AO37" s="199">
        <f t="shared" si="30"/>
        <v>0</v>
      </c>
      <c r="AP37" s="199">
        <f t="shared" si="31"/>
        <v>0</v>
      </c>
      <c r="AQ37" s="199">
        <f t="shared" si="32"/>
        <v>0</v>
      </c>
      <c r="AR37" s="199">
        <f t="shared" si="33"/>
        <v>0</v>
      </c>
      <c r="AS37" s="199">
        <f t="shared" si="34"/>
        <v>0</v>
      </c>
      <c r="AT37" s="199">
        <f t="shared" si="35"/>
        <v>0</v>
      </c>
      <c r="AU37" s="199">
        <f t="shared" si="36"/>
        <v>0</v>
      </c>
      <c r="AV37" s="199">
        <f t="shared" si="37"/>
        <v>0</v>
      </c>
      <c r="AW37" s="199">
        <f t="shared" si="38"/>
        <v>0</v>
      </c>
      <c r="AX37" s="199">
        <f t="shared" si="39"/>
        <v>0</v>
      </c>
      <c r="AY37" s="199">
        <f t="shared" si="40"/>
        <v>0</v>
      </c>
      <c r="AZ37" s="199">
        <f t="shared" si="41"/>
        <v>0</v>
      </c>
      <c r="BA37" s="199">
        <f t="shared" si="42"/>
        <v>0</v>
      </c>
    </row>
    <row r="38" spans="1:53" s="39" customFormat="1" ht="24" customHeight="1">
      <c r="A38" s="38">
        <v>1</v>
      </c>
      <c r="B38" s="38">
        <v>1</v>
      </c>
      <c r="C38" s="98">
        <v>5008</v>
      </c>
      <c r="D38" s="62" t="s">
        <v>170</v>
      </c>
      <c r="E38" s="95" t="s">
        <v>171</v>
      </c>
      <c r="F38" s="110">
        <v>0.2</v>
      </c>
      <c r="G38" s="111" t="s">
        <v>59</v>
      </c>
      <c r="H38" s="97"/>
      <c r="I38" s="97">
        <f t="shared" si="24"/>
        <v>0</v>
      </c>
      <c r="J38" s="62"/>
      <c r="K38" s="62"/>
      <c r="L38" s="63"/>
      <c r="O38" s="150">
        <v>0</v>
      </c>
      <c r="P38" s="151"/>
      <c r="Q38" s="276"/>
      <c r="R38" s="276"/>
      <c r="S38" s="276"/>
      <c r="T38" s="276"/>
      <c r="U38" s="276"/>
      <c r="V38" s="207"/>
      <c r="W38" s="207"/>
      <c r="X38" s="207"/>
      <c r="Y38" s="207"/>
      <c r="Z38" s="207"/>
      <c r="AA38" s="207"/>
      <c r="AB38" s="150"/>
      <c r="AC38" s="151"/>
      <c r="AD38" s="207"/>
      <c r="AE38" s="207"/>
      <c r="AF38" s="207"/>
      <c r="AG38" s="207"/>
      <c r="AI38" s="199">
        <f t="shared" si="43"/>
        <v>0</v>
      </c>
      <c r="AJ38" s="199">
        <f t="shared" si="25"/>
        <v>0</v>
      </c>
      <c r="AK38" s="199">
        <f t="shared" si="26"/>
        <v>0</v>
      </c>
      <c r="AL38" s="199">
        <f t="shared" si="27"/>
        <v>0</v>
      </c>
      <c r="AM38" s="199">
        <f t="shared" si="28"/>
        <v>0</v>
      </c>
      <c r="AN38" s="199">
        <f t="shared" si="29"/>
        <v>0</v>
      </c>
      <c r="AO38" s="199">
        <f t="shared" si="30"/>
        <v>0</v>
      </c>
      <c r="AP38" s="199">
        <f t="shared" si="31"/>
        <v>0</v>
      </c>
      <c r="AQ38" s="199">
        <f t="shared" si="32"/>
        <v>0</v>
      </c>
      <c r="AR38" s="199">
        <f t="shared" si="33"/>
        <v>0</v>
      </c>
      <c r="AS38" s="199">
        <f t="shared" si="34"/>
        <v>0</v>
      </c>
      <c r="AT38" s="199">
        <f t="shared" si="35"/>
        <v>0</v>
      </c>
      <c r="AU38" s="199">
        <f t="shared" si="36"/>
        <v>0</v>
      </c>
      <c r="AV38" s="199">
        <f t="shared" si="37"/>
        <v>0</v>
      </c>
      <c r="AW38" s="199">
        <f t="shared" si="38"/>
        <v>0</v>
      </c>
      <c r="AX38" s="199">
        <f t="shared" si="39"/>
        <v>0</v>
      </c>
      <c r="AY38" s="199">
        <f t="shared" si="40"/>
        <v>0</v>
      </c>
      <c r="AZ38" s="199">
        <f t="shared" si="41"/>
        <v>0</v>
      </c>
      <c r="BA38" s="199">
        <f t="shared" si="42"/>
        <v>0</v>
      </c>
    </row>
    <row r="39" spans="1:53" ht="24" customHeight="1">
      <c r="A39" s="38">
        <v>1</v>
      </c>
      <c r="B39" s="38">
        <v>1</v>
      </c>
      <c r="C39" s="98">
        <v>6001</v>
      </c>
      <c r="D39" s="62" t="s">
        <v>172</v>
      </c>
      <c r="E39" s="95" t="s">
        <v>171</v>
      </c>
      <c r="F39" s="110">
        <v>0.2</v>
      </c>
      <c r="G39" s="111" t="s">
        <v>140</v>
      </c>
      <c r="H39" s="97"/>
      <c r="I39" s="97">
        <f t="shared" si="24"/>
        <v>0</v>
      </c>
      <c r="J39" s="62"/>
      <c r="K39" s="62"/>
      <c r="L39" s="63"/>
      <c r="M39" s="39"/>
      <c r="N39" s="39"/>
      <c r="O39" s="150">
        <v>36</v>
      </c>
      <c r="P39" s="151"/>
      <c r="Q39" s="276"/>
      <c r="R39" s="276"/>
      <c r="S39" s="276"/>
      <c r="T39" s="276"/>
      <c r="U39" s="276"/>
      <c r="V39" s="207"/>
      <c r="W39" s="207"/>
      <c r="X39" s="207"/>
      <c r="Y39" s="207"/>
      <c r="Z39" s="207"/>
      <c r="AA39" s="207"/>
      <c r="AB39" s="150"/>
      <c r="AC39" s="151"/>
      <c r="AD39" s="207"/>
      <c r="AE39" s="207"/>
      <c r="AF39" s="207"/>
      <c r="AG39" s="207"/>
      <c r="AI39" s="199">
        <f t="shared" si="43"/>
        <v>7.2</v>
      </c>
      <c r="AJ39" s="199">
        <f t="shared" si="25"/>
        <v>0</v>
      </c>
      <c r="AK39" s="199">
        <f t="shared" si="26"/>
        <v>0</v>
      </c>
      <c r="AL39" s="199">
        <f t="shared" si="27"/>
        <v>0</v>
      </c>
      <c r="AM39" s="199">
        <f t="shared" si="28"/>
        <v>0</v>
      </c>
      <c r="AN39" s="199">
        <f t="shared" si="29"/>
        <v>0</v>
      </c>
      <c r="AO39" s="199">
        <f t="shared" si="30"/>
        <v>0</v>
      </c>
      <c r="AP39" s="199">
        <f t="shared" si="31"/>
        <v>0</v>
      </c>
      <c r="AQ39" s="199">
        <f t="shared" si="32"/>
        <v>0</v>
      </c>
      <c r="AR39" s="199">
        <f t="shared" si="33"/>
        <v>0</v>
      </c>
      <c r="AS39" s="199">
        <f t="shared" si="34"/>
        <v>0</v>
      </c>
      <c r="AT39" s="199">
        <f t="shared" si="35"/>
        <v>0</v>
      </c>
      <c r="AU39" s="199">
        <f t="shared" si="36"/>
        <v>0</v>
      </c>
      <c r="AV39" s="199">
        <f t="shared" si="37"/>
        <v>0</v>
      </c>
      <c r="AW39" s="199">
        <f t="shared" si="38"/>
        <v>0</v>
      </c>
      <c r="AX39" s="199">
        <f t="shared" si="39"/>
        <v>0</v>
      </c>
      <c r="AY39" s="199">
        <f t="shared" si="40"/>
        <v>0</v>
      </c>
      <c r="AZ39" s="199">
        <f t="shared" si="41"/>
        <v>0</v>
      </c>
      <c r="BA39" s="199">
        <f t="shared" si="42"/>
        <v>0</v>
      </c>
    </row>
    <row r="40" spans="1:53" s="39" customFormat="1" ht="24" customHeight="1">
      <c r="A40" s="38">
        <v>1</v>
      </c>
      <c r="B40" s="38">
        <v>1</v>
      </c>
      <c r="C40" s="98">
        <v>6020</v>
      </c>
      <c r="D40" s="62" t="s">
        <v>223</v>
      </c>
      <c r="E40" s="95" t="s">
        <v>177</v>
      </c>
      <c r="F40" s="110">
        <v>0.2</v>
      </c>
      <c r="G40" s="111" t="s">
        <v>178</v>
      </c>
      <c r="H40" s="97"/>
      <c r="I40" s="97">
        <f t="shared" si="24"/>
        <v>0</v>
      </c>
      <c r="J40" s="62" t="s">
        <v>179</v>
      </c>
      <c r="K40" s="62"/>
      <c r="L40" s="63"/>
      <c r="O40" s="150">
        <v>0</v>
      </c>
      <c r="P40" s="151"/>
      <c r="Q40" s="276"/>
      <c r="R40" s="276"/>
      <c r="S40" s="276"/>
      <c r="T40" s="276"/>
      <c r="U40" s="276"/>
      <c r="V40" s="207"/>
      <c r="W40" s="207"/>
      <c r="X40" s="207"/>
      <c r="Y40" s="207"/>
      <c r="Z40" s="207"/>
      <c r="AA40" s="207"/>
      <c r="AB40" s="150"/>
      <c r="AC40" s="151"/>
      <c r="AD40" s="207"/>
      <c r="AE40" s="207"/>
      <c r="AF40" s="207"/>
      <c r="AG40" s="207"/>
      <c r="AI40" s="199">
        <f t="shared" si="43"/>
        <v>0</v>
      </c>
      <c r="AJ40" s="199">
        <f t="shared" si="25"/>
        <v>0</v>
      </c>
      <c r="AK40" s="199">
        <f t="shared" si="26"/>
        <v>0</v>
      </c>
      <c r="AL40" s="199">
        <f t="shared" si="27"/>
        <v>0</v>
      </c>
      <c r="AM40" s="199">
        <f t="shared" si="28"/>
        <v>0</v>
      </c>
      <c r="AN40" s="199">
        <f t="shared" si="29"/>
        <v>0</v>
      </c>
      <c r="AO40" s="199">
        <f t="shared" si="30"/>
        <v>0</v>
      </c>
      <c r="AP40" s="199">
        <f t="shared" si="31"/>
        <v>0</v>
      </c>
      <c r="AQ40" s="199">
        <f t="shared" si="32"/>
        <v>0</v>
      </c>
      <c r="AR40" s="199">
        <f t="shared" si="33"/>
        <v>0</v>
      </c>
      <c r="AS40" s="199">
        <f t="shared" si="34"/>
        <v>0</v>
      </c>
      <c r="AT40" s="199">
        <f t="shared" si="35"/>
        <v>0</v>
      </c>
      <c r="AU40" s="199">
        <f t="shared" si="36"/>
        <v>0</v>
      </c>
      <c r="AV40" s="199">
        <f t="shared" si="37"/>
        <v>0</v>
      </c>
      <c r="AW40" s="199">
        <f t="shared" si="38"/>
        <v>0</v>
      </c>
      <c r="AX40" s="199">
        <f t="shared" si="39"/>
        <v>0</v>
      </c>
      <c r="AY40" s="199">
        <f t="shared" si="40"/>
        <v>0</v>
      </c>
      <c r="AZ40" s="199">
        <f t="shared" si="41"/>
        <v>0</v>
      </c>
      <c r="BA40" s="199">
        <f t="shared" si="42"/>
        <v>0</v>
      </c>
    </row>
    <row r="41" spans="1:53" s="39" customFormat="1" ht="24" customHeight="1">
      <c r="A41" s="38"/>
      <c r="B41" s="38"/>
      <c r="C41" s="121"/>
      <c r="D41" s="181"/>
      <c r="E41" s="110"/>
      <c r="F41" s="110"/>
      <c r="G41" s="111"/>
      <c r="H41" s="128"/>
      <c r="I41" s="97" t="str">
        <f>IF(F41="","",ROUNDDOWN(F41*H41,0))</f>
        <v/>
      </c>
      <c r="J41" s="61"/>
      <c r="K41" s="62"/>
      <c r="L41" s="63"/>
      <c r="O41" s="150"/>
      <c r="P41" s="151"/>
      <c r="Q41" s="276"/>
      <c r="R41" s="276"/>
      <c r="S41" s="276"/>
      <c r="T41" s="276"/>
      <c r="U41" s="276"/>
      <c r="V41" s="207"/>
      <c r="W41" s="207"/>
      <c r="X41" s="207"/>
      <c r="Y41" s="207"/>
      <c r="Z41" s="207"/>
      <c r="AA41" s="207"/>
      <c r="AB41" s="150"/>
      <c r="AC41" s="151"/>
      <c r="AD41" s="207"/>
      <c r="AE41" s="207"/>
      <c r="AF41" s="207"/>
      <c r="AG41" s="207"/>
      <c r="AI41" s="199">
        <f t="shared" si="43"/>
        <v>0</v>
      </c>
      <c r="AJ41" s="199">
        <f t="shared" si="25"/>
        <v>0</v>
      </c>
      <c r="AK41" s="199">
        <f t="shared" si="26"/>
        <v>0</v>
      </c>
      <c r="AL41" s="199">
        <f t="shared" si="27"/>
        <v>0</v>
      </c>
      <c r="AM41" s="199">
        <f t="shared" si="28"/>
        <v>0</v>
      </c>
      <c r="AN41" s="199">
        <f t="shared" si="29"/>
        <v>0</v>
      </c>
      <c r="AO41" s="199">
        <f t="shared" si="30"/>
        <v>0</v>
      </c>
      <c r="AP41" s="199">
        <f t="shared" si="31"/>
        <v>0</v>
      </c>
      <c r="AQ41" s="199">
        <f t="shared" si="32"/>
        <v>0</v>
      </c>
      <c r="AR41" s="199">
        <f t="shared" si="33"/>
        <v>0</v>
      </c>
      <c r="AS41" s="199">
        <f t="shared" si="34"/>
        <v>0</v>
      </c>
      <c r="AT41" s="199">
        <f t="shared" si="35"/>
        <v>0</v>
      </c>
      <c r="AU41" s="199">
        <f t="shared" si="36"/>
        <v>0</v>
      </c>
      <c r="AV41" s="199">
        <f t="shared" si="37"/>
        <v>0</v>
      </c>
      <c r="AW41" s="199">
        <f t="shared" si="38"/>
        <v>0</v>
      </c>
      <c r="AX41" s="199">
        <f t="shared" si="39"/>
        <v>0</v>
      </c>
      <c r="AY41" s="199">
        <f t="shared" si="40"/>
        <v>0</v>
      </c>
      <c r="AZ41" s="199">
        <f t="shared" si="41"/>
        <v>0</v>
      </c>
      <c r="BA41" s="199">
        <f t="shared" si="42"/>
        <v>0</v>
      </c>
    </row>
    <row r="42" spans="1:53" s="39" customFormat="1" ht="24" customHeight="1">
      <c r="A42" s="38"/>
      <c r="B42" s="38"/>
      <c r="C42" s="121"/>
      <c r="D42" s="122" t="s">
        <v>173</v>
      </c>
      <c r="E42" s="110"/>
      <c r="F42" s="110"/>
      <c r="G42" s="111"/>
      <c r="H42" s="128"/>
      <c r="I42" s="97" t="str">
        <f>IF(F42="","",ROUNDDOWN(F42*H42,0))</f>
        <v/>
      </c>
      <c r="J42" s="61"/>
      <c r="K42" s="62"/>
      <c r="L42" s="63"/>
      <c r="O42" s="150"/>
      <c r="P42" s="151"/>
      <c r="Q42" s="276"/>
      <c r="R42" s="276"/>
      <c r="S42" s="276"/>
      <c r="T42" s="276"/>
      <c r="U42" s="276"/>
      <c r="V42" s="207"/>
      <c r="W42" s="207"/>
      <c r="X42" s="207"/>
      <c r="Y42" s="207"/>
      <c r="Z42" s="207"/>
      <c r="AA42" s="207"/>
      <c r="AB42" s="150"/>
      <c r="AC42" s="151"/>
      <c r="AD42" s="207"/>
      <c r="AE42" s="207"/>
      <c r="AF42" s="207"/>
      <c r="AG42" s="207"/>
      <c r="AI42" s="199">
        <f t="shared" si="43"/>
        <v>0</v>
      </c>
      <c r="AJ42" s="199">
        <f t="shared" si="25"/>
        <v>0</v>
      </c>
      <c r="AK42" s="199">
        <f t="shared" si="26"/>
        <v>0</v>
      </c>
      <c r="AL42" s="199">
        <f t="shared" si="27"/>
        <v>0</v>
      </c>
      <c r="AM42" s="199">
        <f t="shared" si="28"/>
        <v>0</v>
      </c>
      <c r="AN42" s="199">
        <f t="shared" si="29"/>
        <v>0</v>
      </c>
      <c r="AO42" s="199">
        <f t="shared" si="30"/>
        <v>0</v>
      </c>
      <c r="AP42" s="199">
        <f t="shared" si="31"/>
        <v>0</v>
      </c>
      <c r="AQ42" s="199">
        <f t="shared" si="32"/>
        <v>0</v>
      </c>
      <c r="AR42" s="199">
        <f t="shared" si="33"/>
        <v>0</v>
      </c>
      <c r="AS42" s="199">
        <f t="shared" si="34"/>
        <v>0</v>
      </c>
      <c r="AT42" s="199">
        <f t="shared" si="35"/>
        <v>0</v>
      </c>
      <c r="AU42" s="199">
        <f t="shared" si="36"/>
        <v>0</v>
      </c>
      <c r="AV42" s="199">
        <f t="shared" si="37"/>
        <v>0</v>
      </c>
      <c r="AW42" s="199">
        <f t="shared" si="38"/>
        <v>0</v>
      </c>
      <c r="AX42" s="199">
        <f t="shared" si="39"/>
        <v>0</v>
      </c>
      <c r="AY42" s="199">
        <f t="shared" si="40"/>
        <v>0</v>
      </c>
      <c r="AZ42" s="199">
        <f t="shared" si="41"/>
        <v>0</v>
      </c>
      <c r="BA42" s="199">
        <f t="shared" si="42"/>
        <v>0</v>
      </c>
    </row>
    <row r="43" spans="1:53" s="39" customFormat="1" ht="24" customHeight="1">
      <c r="A43" s="38"/>
      <c r="B43" s="38"/>
      <c r="C43" s="121"/>
      <c r="D43" s="122" t="s">
        <v>174</v>
      </c>
      <c r="E43" s="96" t="s">
        <v>184</v>
      </c>
      <c r="F43" s="96"/>
      <c r="G43" s="111"/>
      <c r="H43" s="128"/>
      <c r="I43" s="97" t="str">
        <f>IF(F43="","",ROUNDDOWN(F43*H43,0))</f>
        <v/>
      </c>
      <c r="J43" s="61"/>
      <c r="K43" s="62"/>
      <c r="L43" s="63"/>
      <c r="O43" s="150"/>
      <c r="P43" s="151"/>
      <c r="Q43" s="276"/>
      <c r="R43" s="276"/>
      <c r="S43" s="276"/>
      <c r="T43" s="276"/>
      <c r="U43" s="276"/>
      <c r="V43" s="207"/>
      <c r="W43" s="207"/>
      <c r="X43" s="207"/>
      <c r="Y43" s="207"/>
      <c r="Z43" s="207"/>
      <c r="AA43" s="207"/>
      <c r="AB43" s="150"/>
      <c r="AC43" s="151"/>
      <c r="AD43" s="207"/>
      <c r="AE43" s="207"/>
      <c r="AF43" s="207"/>
      <c r="AG43" s="207"/>
      <c r="AI43" s="199">
        <f t="shared" si="43"/>
        <v>0</v>
      </c>
      <c r="AJ43" s="199">
        <f t="shared" si="25"/>
        <v>0</v>
      </c>
      <c r="AK43" s="199">
        <f t="shared" si="26"/>
        <v>0</v>
      </c>
      <c r="AL43" s="199">
        <f t="shared" si="27"/>
        <v>0</v>
      </c>
      <c r="AM43" s="199">
        <f t="shared" si="28"/>
        <v>0</v>
      </c>
      <c r="AN43" s="199">
        <f t="shared" si="29"/>
        <v>0</v>
      </c>
      <c r="AO43" s="199">
        <f t="shared" si="30"/>
        <v>0</v>
      </c>
      <c r="AP43" s="199">
        <f t="shared" si="31"/>
        <v>0</v>
      </c>
      <c r="AQ43" s="199">
        <f t="shared" si="32"/>
        <v>0</v>
      </c>
      <c r="AR43" s="199">
        <f t="shared" si="33"/>
        <v>0</v>
      </c>
      <c r="AS43" s="199">
        <f t="shared" si="34"/>
        <v>0</v>
      </c>
      <c r="AT43" s="199">
        <f t="shared" si="35"/>
        <v>0</v>
      </c>
      <c r="AU43" s="199">
        <f t="shared" si="36"/>
        <v>0</v>
      </c>
      <c r="AV43" s="199">
        <f t="shared" si="37"/>
        <v>0</v>
      </c>
      <c r="AW43" s="199">
        <f t="shared" si="38"/>
        <v>0</v>
      </c>
      <c r="AX43" s="199">
        <f t="shared" si="39"/>
        <v>0</v>
      </c>
      <c r="AY43" s="199">
        <f t="shared" si="40"/>
        <v>0</v>
      </c>
      <c r="AZ43" s="199">
        <f t="shared" si="41"/>
        <v>0</v>
      </c>
      <c r="BA43" s="199">
        <f t="shared" si="42"/>
        <v>0</v>
      </c>
    </row>
    <row r="44" spans="1:53" s="39" customFormat="1" ht="24" customHeight="1">
      <c r="A44" s="38"/>
      <c r="B44" s="38"/>
      <c r="C44" s="121"/>
      <c r="D44" s="122" t="s">
        <v>175</v>
      </c>
      <c r="E44" s="110"/>
      <c r="F44" s="110"/>
      <c r="G44" s="111"/>
      <c r="H44" s="128"/>
      <c r="I44" s="97" t="str">
        <f>IF(F44="","",ROUNDDOWN(F44*H44,0))</f>
        <v/>
      </c>
      <c r="J44" s="61"/>
      <c r="K44" s="62"/>
      <c r="L44" s="63"/>
      <c r="O44" s="150"/>
      <c r="P44" s="151"/>
      <c r="Q44" s="276"/>
      <c r="R44" s="276"/>
      <c r="S44" s="276"/>
      <c r="T44" s="276"/>
      <c r="U44" s="276"/>
      <c r="V44" s="207"/>
      <c r="W44" s="207"/>
      <c r="X44" s="207"/>
      <c r="Y44" s="207"/>
      <c r="Z44" s="207"/>
      <c r="AA44" s="207"/>
      <c r="AB44" s="150"/>
      <c r="AC44" s="151"/>
      <c r="AD44" s="207"/>
      <c r="AE44" s="207"/>
      <c r="AF44" s="207"/>
      <c r="AG44" s="207"/>
      <c r="AI44" s="199">
        <f t="shared" si="43"/>
        <v>0</v>
      </c>
      <c r="AJ44" s="199">
        <f t="shared" si="25"/>
        <v>0</v>
      </c>
      <c r="AK44" s="199">
        <f t="shared" si="26"/>
        <v>0</v>
      </c>
      <c r="AL44" s="199">
        <f t="shared" si="27"/>
        <v>0</v>
      </c>
      <c r="AM44" s="199">
        <f t="shared" si="28"/>
        <v>0</v>
      </c>
      <c r="AN44" s="199">
        <f t="shared" si="29"/>
        <v>0</v>
      </c>
      <c r="AO44" s="199">
        <f t="shared" si="30"/>
        <v>0</v>
      </c>
      <c r="AP44" s="199">
        <f t="shared" si="31"/>
        <v>0</v>
      </c>
      <c r="AQ44" s="199">
        <f t="shared" si="32"/>
        <v>0</v>
      </c>
      <c r="AR44" s="199">
        <f t="shared" si="33"/>
        <v>0</v>
      </c>
      <c r="AS44" s="199">
        <f t="shared" si="34"/>
        <v>0</v>
      </c>
      <c r="AT44" s="199">
        <f t="shared" si="35"/>
        <v>0</v>
      </c>
      <c r="AU44" s="199">
        <f t="shared" si="36"/>
        <v>0</v>
      </c>
      <c r="AV44" s="199">
        <f t="shared" si="37"/>
        <v>0</v>
      </c>
      <c r="AW44" s="199">
        <f t="shared" si="38"/>
        <v>0</v>
      </c>
      <c r="AX44" s="199">
        <f t="shared" si="39"/>
        <v>0</v>
      </c>
      <c r="AY44" s="199">
        <f t="shared" si="40"/>
        <v>0</v>
      </c>
      <c r="AZ44" s="199">
        <f t="shared" si="41"/>
        <v>0</v>
      </c>
      <c r="BA44" s="199">
        <f t="shared" si="42"/>
        <v>0</v>
      </c>
    </row>
    <row r="45" spans="1:53" s="39" customFormat="1" ht="24" customHeight="1">
      <c r="A45" s="38"/>
      <c r="B45" s="38"/>
      <c r="C45" s="121"/>
      <c r="D45" s="122" t="s">
        <v>176</v>
      </c>
      <c r="E45" s="96" t="s">
        <v>186</v>
      </c>
      <c r="F45" s="110"/>
      <c r="G45" s="111"/>
      <c r="H45" s="128"/>
      <c r="I45" s="97" t="str">
        <f>IF(F45="","",ROUNDDOWN(F45*H45,0))</f>
        <v/>
      </c>
      <c r="J45" s="61"/>
      <c r="K45" s="62"/>
      <c r="L45" s="63"/>
      <c r="O45" s="150"/>
      <c r="P45" s="151"/>
      <c r="Q45" s="276"/>
      <c r="R45" s="276"/>
      <c r="S45" s="276"/>
      <c r="T45" s="276"/>
      <c r="U45" s="276"/>
      <c r="V45" s="207"/>
      <c r="W45" s="207"/>
      <c r="X45" s="207"/>
      <c r="Y45" s="207"/>
      <c r="Z45" s="207"/>
      <c r="AA45" s="207"/>
      <c r="AB45" s="150"/>
      <c r="AC45" s="151"/>
      <c r="AD45" s="207"/>
      <c r="AE45" s="207"/>
      <c r="AF45" s="207"/>
      <c r="AG45" s="207"/>
      <c r="AI45" s="199">
        <f t="shared" si="43"/>
        <v>0</v>
      </c>
      <c r="AJ45" s="199">
        <f t="shared" si="25"/>
        <v>0</v>
      </c>
      <c r="AK45" s="199">
        <f t="shared" si="26"/>
        <v>0</v>
      </c>
      <c r="AL45" s="199">
        <f t="shared" si="27"/>
        <v>0</v>
      </c>
      <c r="AM45" s="199">
        <f t="shared" si="28"/>
        <v>0</v>
      </c>
      <c r="AN45" s="199">
        <f t="shared" si="29"/>
        <v>0</v>
      </c>
      <c r="AO45" s="199">
        <f t="shared" si="30"/>
        <v>0</v>
      </c>
      <c r="AP45" s="199">
        <f t="shared" si="31"/>
        <v>0</v>
      </c>
      <c r="AQ45" s="199">
        <f t="shared" si="32"/>
        <v>0</v>
      </c>
      <c r="AR45" s="199">
        <f t="shared" si="33"/>
        <v>0</v>
      </c>
      <c r="AS45" s="199">
        <f t="shared" si="34"/>
        <v>0</v>
      </c>
      <c r="AT45" s="199">
        <f t="shared" si="35"/>
        <v>0</v>
      </c>
      <c r="AU45" s="199">
        <f t="shared" si="36"/>
        <v>0</v>
      </c>
      <c r="AV45" s="199">
        <f t="shared" si="37"/>
        <v>0</v>
      </c>
      <c r="AW45" s="199">
        <f t="shared" si="38"/>
        <v>0</v>
      </c>
      <c r="AX45" s="199">
        <f t="shared" si="39"/>
        <v>0</v>
      </c>
      <c r="AY45" s="199">
        <f t="shared" si="40"/>
        <v>0</v>
      </c>
      <c r="AZ45" s="199">
        <f t="shared" si="41"/>
        <v>0</v>
      </c>
      <c r="BA45" s="199">
        <f t="shared" si="42"/>
        <v>0</v>
      </c>
    </row>
    <row r="46" spans="1:53" s="39" customFormat="1" ht="24" customHeight="1">
      <c r="A46" s="38"/>
      <c r="B46" s="38"/>
      <c r="C46" s="121"/>
      <c r="D46" s="122"/>
      <c r="E46" s="96" t="s">
        <v>187</v>
      </c>
      <c r="F46" s="110"/>
      <c r="G46" s="111"/>
      <c r="H46" s="128"/>
      <c r="I46" s="97"/>
      <c r="J46" s="61"/>
      <c r="K46" s="62"/>
      <c r="L46" s="63"/>
      <c r="O46" s="150"/>
      <c r="P46" s="151"/>
      <c r="Q46" s="276"/>
      <c r="R46" s="276"/>
      <c r="S46" s="276"/>
      <c r="T46" s="276"/>
      <c r="U46" s="276"/>
      <c r="V46" s="207"/>
      <c r="W46" s="207"/>
      <c r="X46" s="207"/>
      <c r="Y46" s="207"/>
      <c r="Z46" s="207"/>
      <c r="AA46" s="207"/>
      <c r="AB46" s="150"/>
      <c r="AC46" s="151"/>
      <c r="AD46" s="207"/>
      <c r="AE46" s="207"/>
      <c r="AF46" s="207"/>
      <c r="AG46" s="207"/>
      <c r="AI46" s="199">
        <f t="shared" si="43"/>
        <v>0</v>
      </c>
      <c r="AJ46" s="199">
        <f t="shared" si="25"/>
        <v>0</v>
      </c>
      <c r="AK46" s="199">
        <f t="shared" si="26"/>
        <v>0</v>
      </c>
      <c r="AL46" s="199">
        <f t="shared" si="27"/>
        <v>0</v>
      </c>
      <c r="AM46" s="199">
        <f t="shared" si="28"/>
        <v>0</v>
      </c>
      <c r="AN46" s="199">
        <f t="shared" si="29"/>
        <v>0</v>
      </c>
      <c r="AO46" s="199">
        <f t="shared" si="30"/>
        <v>0</v>
      </c>
      <c r="AP46" s="199">
        <f t="shared" si="31"/>
        <v>0</v>
      </c>
      <c r="AQ46" s="199">
        <f t="shared" si="32"/>
        <v>0</v>
      </c>
      <c r="AR46" s="199">
        <f t="shared" si="33"/>
        <v>0</v>
      </c>
      <c r="AS46" s="199">
        <f t="shared" si="34"/>
        <v>0</v>
      </c>
      <c r="AT46" s="199">
        <f t="shared" si="35"/>
        <v>0</v>
      </c>
      <c r="AU46" s="199">
        <f t="shared" si="36"/>
        <v>0</v>
      </c>
      <c r="AV46" s="199">
        <f t="shared" si="37"/>
        <v>0</v>
      </c>
      <c r="AW46" s="199">
        <f t="shared" si="38"/>
        <v>0</v>
      </c>
      <c r="AX46" s="199">
        <f t="shared" si="39"/>
        <v>0</v>
      </c>
      <c r="AY46" s="199">
        <f t="shared" si="40"/>
        <v>0</v>
      </c>
      <c r="AZ46" s="199">
        <f t="shared" si="41"/>
        <v>0</v>
      </c>
      <c r="BA46" s="199">
        <f t="shared" si="42"/>
        <v>0</v>
      </c>
    </row>
    <row r="47" spans="1:53" ht="24" customHeight="1" thickBot="1">
      <c r="A47" s="38"/>
      <c r="B47" s="38"/>
      <c r="C47" s="99"/>
      <c r="D47" s="89" t="s">
        <v>8</v>
      </c>
      <c r="E47" s="100"/>
      <c r="F47" s="264"/>
      <c r="G47" s="114"/>
      <c r="H47" s="124" t="s">
        <v>86</v>
      </c>
      <c r="I47" s="201">
        <f>SUM(I29:I46)</f>
        <v>0</v>
      </c>
      <c r="J47" s="89" t="s">
        <v>87</v>
      </c>
      <c r="K47" s="89"/>
      <c r="L47" s="116"/>
      <c r="N47"/>
      <c r="O47" s="277">
        <f t="shared" ref="O47:AG47" si="44">AI47</f>
        <v>477.2</v>
      </c>
      <c r="P47" s="278">
        <f t="shared" si="44"/>
        <v>0</v>
      </c>
      <c r="Q47" s="279">
        <f t="shared" si="44"/>
        <v>0</v>
      </c>
      <c r="R47" s="279">
        <f t="shared" si="44"/>
        <v>0</v>
      </c>
      <c r="S47" s="279">
        <f t="shared" si="44"/>
        <v>0</v>
      </c>
      <c r="T47" s="279">
        <f t="shared" si="44"/>
        <v>0</v>
      </c>
      <c r="U47" s="279">
        <f t="shared" si="44"/>
        <v>0</v>
      </c>
      <c r="V47" s="280">
        <f t="shared" si="44"/>
        <v>0</v>
      </c>
      <c r="W47" s="280">
        <f t="shared" si="44"/>
        <v>0</v>
      </c>
      <c r="X47" s="280">
        <f t="shared" si="44"/>
        <v>0</v>
      </c>
      <c r="Y47" s="280">
        <f t="shared" si="44"/>
        <v>0</v>
      </c>
      <c r="Z47" s="280">
        <f t="shared" si="44"/>
        <v>0</v>
      </c>
      <c r="AA47" s="280">
        <f t="shared" si="44"/>
        <v>0</v>
      </c>
      <c r="AB47" s="277">
        <f t="shared" si="44"/>
        <v>0</v>
      </c>
      <c r="AC47" s="278">
        <f t="shared" si="44"/>
        <v>0</v>
      </c>
      <c r="AD47" s="280">
        <f t="shared" si="44"/>
        <v>0</v>
      </c>
      <c r="AE47" s="280">
        <f t="shared" si="44"/>
        <v>0</v>
      </c>
      <c r="AF47" s="280">
        <f t="shared" si="44"/>
        <v>0</v>
      </c>
      <c r="AG47" s="280">
        <f t="shared" si="44"/>
        <v>0</v>
      </c>
      <c r="AI47" s="200">
        <f t="shared" ref="AI47:BA47" si="45">SUM(AI29:AI46)</f>
        <v>477.2</v>
      </c>
      <c r="AJ47" s="200">
        <f t="shared" si="45"/>
        <v>0</v>
      </c>
      <c r="AK47" s="200">
        <f t="shared" si="45"/>
        <v>0</v>
      </c>
      <c r="AL47" s="200">
        <f t="shared" si="45"/>
        <v>0</v>
      </c>
      <c r="AM47" s="200">
        <f t="shared" si="45"/>
        <v>0</v>
      </c>
      <c r="AN47" s="200">
        <f t="shared" si="45"/>
        <v>0</v>
      </c>
      <c r="AO47" s="200">
        <f t="shared" si="45"/>
        <v>0</v>
      </c>
      <c r="AP47" s="200">
        <f t="shared" si="45"/>
        <v>0</v>
      </c>
      <c r="AQ47" s="200">
        <f t="shared" si="45"/>
        <v>0</v>
      </c>
      <c r="AR47" s="200">
        <f t="shared" si="45"/>
        <v>0</v>
      </c>
      <c r="AS47" s="200">
        <f t="shared" si="45"/>
        <v>0</v>
      </c>
      <c r="AT47" s="200">
        <f t="shared" si="45"/>
        <v>0</v>
      </c>
      <c r="AU47" s="200">
        <f t="shared" si="45"/>
        <v>0</v>
      </c>
      <c r="AV47" s="200">
        <f t="shared" si="45"/>
        <v>0</v>
      </c>
      <c r="AW47" s="200">
        <f t="shared" si="45"/>
        <v>0</v>
      </c>
      <c r="AX47" s="200">
        <f t="shared" si="45"/>
        <v>0</v>
      </c>
      <c r="AY47" s="200">
        <f t="shared" si="45"/>
        <v>0</v>
      </c>
      <c r="AZ47" s="200">
        <f t="shared" si="45"/>
        <v>0</v>
      </c>
      <c r="BA47" s="200">
        <f t="shared" si="45"/>
        <v>0</v>
      </c>
    </row>
    <row r="48" spans="1:53" ht="14.25" customHeight="1">
      <c r="E48" s="117" t="s">
        <v>84</v>
      </c>
      <c r="F48" s="118">
        <f>+F25+1</f>
        <v>2</v>
      </c>
      <c r="G48" s="119" t="s">
        <v>85</v>
      </c>
      <c r="H48" s="120">
        <f>+H25</f>
        <v>2</v>
      </c>
      <c r="I48" s="120"/>
      <c r="M48" s="33" t="str">
        <f>IF(A50="","EOL","")</f>
        <v>EOL</v>
      </c>
      <c r="N48" s="1">
        <f>+F48</f>
        <v>2</v>
      </c>
    </row>
  </sheetData>
  <mergeCells count="8">
    <mergeCell ref="O3:AG3"/>
    <mergeCell ref="O26:AG26"/>
    <mergeCell ref="C26:L26"/>
    <mergeCell ref="J27:L27"/>
    <mergeCell ref="J28:L28"/>
    <mergeCell ref="J5:L5"/>
    <mergeCell ref="C3:L3"/>
    <mergeCell ref="J4:L4"/>
  </mergeCells>
  <phoneticPr fontId="6"/>
  <printOptions horizontalCentered="1" verticalCentered="1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colBreaks count="1" manualBreakCount="1">
    <brk id="12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Q27"/>
  <sheetViews>
    <sheetView zoomScale="90" zoomScaleNormal="90" workbookViewId="0">
      <selection sqref="A1:M1"/>
    </sheetView>
  </sheetViews>
  <sheetFormatPr baseColWidth="10" defaultColWidth="9" defaultRowHeight="20.25" customHeight="1"/>
  <cols>
    <col min="1" max="1" width="6.1640625" style="208" customWidth="1"/>
    <col min="2" max="3" width="4.1640625" style="208" customWidth="1"/>
    <col min="4" max="4" width="24" style="209" customWidth="1"/>
    <col min="5" max="5" width="21.1640625" style="209" customWidth="1"/>
    <col min="6" max="6" width="4.6640625" style="209" customWidth="1"/>
    <col min="7" max="7" width="4.33203125" style="208" customWidth="1"/>
    <col min="8" max="15" width="9.33203125" style="210" customWidth="1"/>
    <col min="16" max="16" width="9.33203125" style="209" bestFit="1" customWidth="1"/>
    <col min="17" max="17" width="5.83203125" style="209" customWidth="1"/>
    <col min="18" max="19" width="10.6640625" style="209" customWidth="1"/>
    <col min="20" max="16384" width="9" style="209"/>
  </cols>
  <sheetData>
    <row r="1" spans="1:17" s="20" customFormat="1" ht="20.25" customHeight="1" thickBot="1">
      <c r="A1" s="2244" t="s">
        <v>14</v>
      </c>
      <c r="B1" s="2244"/>
      <c r="C1" s="2244"/>
      <c r="D1" s="2244"/>
      <c r="E1" s="2244"/>
      <c r="F1" s="2244"/>
      <c r="G1" s="2244"/>
      <c r="H1" s="2244"/>
      <c r="I1" s="2244"/>
      <c r="J1" s="2244"/>
      <c r="K1" s="2244"/>
      <c r="L1" s="2244"/>
      <c r="M1" s="2244"/>
      <c r="N1" s="24" t="s">
        <v>83</v>
      </c>
      <c r="O1" s="211">
        <v>1</v>
      </c>
      <c r="P1" s="20" t="s">
        <v>61</v>
      </c>
      <c r="Q1" s="1">
        <f>VLOOKUP("EOL",$N$27:$O$65455,2,FALSE)</f>
        <v>1</v>
      </c>
    </row>
    <row r="2" spans="1:17" s="24" customFormat="1" ht="20.25" customHeight="1">
      <c r="A2" s="1616"/>
      <c r="B2" s="1617" t="s">
        <v>15</v>
      </c>
      <c r="C2" s="1618" t="s">
        <v>17</v>
      </c>
      <c r="D2" s="1618"/>
      <c r="E2" s="1619"/>
      <c r="F2" s="1620"/>
      <c r="G2" s="1621"/>
      <c r="H2" s="2245" t="s">
        <v>3074</v>
      </c>
      <c r="I2" s="2246"/>
      <c r="J2" s="2246" t="s">
        <v>3075</v>
      </c>
      <c r="K2" s="2247"/>
      <c r="L2" s="2246" t="s">
        <v>24</v>
      </c>
      <c r="M2" s="2248"/>
      <c r="N2" s="2242" t="str">
        <f>IF(G53="",IF(O26=I26,H2,IF(O26=K26,J2,L2)),N29)</f>
        <v>B:YKKap㈱</v>
      </c>
      <c r="O2" s="2243"/>
    </row>
    <row r="3" spans="1:17" s="24" customFormat="1" ht="20.25" customHeight="1" thickBot="1">
      <c r="A3" s="25" t="s">
        <v>25</v>
      </c>
      <c r="B3" s="26" t="s">
        <v>16</v>
      </c>
      <c r="C3" s="27" t="s">
        <v>16</v>
      </c>
      <c r="D3" s="27" t="s">
        <v>18</v>
      </c>
      <c r="E3" s="73" t="s">
        <v>19</v>
      </c>
      <c r="F3" s="56" t="s">
        <v>20</v>
      </c>
      <c r="G3" s="68" t="s">
        <v>21</v>
      </c>
      <c r="H3" s="434" t="s">
        <v>22</v>
      </c>
      <c r="I3" s="435" t="s">
        <v>23</v>
      </c>
      <c r="J3" s="436" t="s">
        <v>22</v>
      </c>
      <c r="K3" s="435" t="s">
        <v>23</v>
      </c>
      <c r="L3" s="436" t="s">
        <v>22</v>
      </c>
      <c r="M3" s="435" t="s">
        <v>23</v>
      </c>
      <c r="N3" s="434" t="s">
        <v>26</v>
      </c>
      <c r="O3" s="437" t="s">
        <v>27</v>
      </c>
    </row>
    <row r="4" spans="1:17" s="20" customFormat="1" ht="20.25" customHeight="1">
      <c r="A4" s="52"/>
      <c r="B4" s="81"/>
      <c r="C4" s="82"/>
      <c r="D4" s="64"/>
      <c r="E4" s="74"/>
      <c r="F4" s="57"/>
      <c r="G4" s="69"/>
      <c r="H4" s="438"/>
      <c r="I4" s="439" t="str">
        <f t="shared" ref="I4:I25" si="0">IF(H4="","",ROUNDDOWN(H4*F4,0))</f>
        <v/>
      </c>
      <c r="J4" s="440"/>
      <c r="K4" s="439" t="str">
        <f t="shared" ref="K4:K25" si="1">IF(J4="","",ROUNDDOWN(J4*$F4,0))</f>
        <v/>
      </c>
      <c r="L4" s="440"/>
      <c r="M4" s="441" t="str">
        <f t="shared" ref="M4:M25" si="2">IF(L4="","",ROUNDDOWN(L4*$F4,0))</f>
        <v/>
      </c>
      <c r="N4" s="438" t="str">
        <f>IF(F4="","",INT(HLOOKUP(N2,H2:M25,3,FALSE)*O1))</f>
        <v/>
      </c>
      <c r="O4" s="442" t="str">
        <f t="shared" ref="O4:O25" si="3">IF(N4="","",IF(N4&lt;10,INT(N4),IF(N4&lt;10000,ROUNDDOWN(N4,-1),ROUNDDOWN(N4,-2))))</f>
        <v/>
      </c>
    </row>
    <row r="5" spans="1:17" s="20" customFormat="1" ht="20.25" customHeight="1">
      <c r="A5" s="53">
        <v>500</v>
      </c>
      <c r="B5" s="83">
        <v>1</v>
      </c>
      <c r="C5" s="84">
        <v>1</v>
      </c>
      <c r="D5" s="65" t="s">
        <v>3076</v>
      </c>
      <c r="E5" s="75" t="s">
        <v>180</v>
      </c>
      <c r="F5" s="59">
        <v>1</v>
      </c>
      <c r="G5" s="70" t="s">
        <v>3077</v>
      </c>
      <c r="H5" s="443">
        <v>110000</v>
      </c>
      <c r="I5" s="444">
        <f t="shared" si="0"/>
        <v>110000</v>
      </c>
      <c r="J5" s="445">
        <v>105400</v>
      </c>
      <c r="K5" s="444">
        <f t="shared" si="1"/>
        <v>105400</v>
      </c>
      <c r="L5" s="445"/>
      <c r="M5" s="446" t="str">
        <f t="shared" si="2"/>
        <v/>
      </c>
      <c r="N5" s="443">
        <f>IF(F5="","",INT(HLOOKUP(N2,H2:M25,4,FALSE)*O1))</f>
        <v>105400</v>
      </c>
      <c r="O5" s="447">
        <f t="shared" si="3"/>
        <v>105400</v>
      </c>
    </row>
    <row r="6" spans="1:17" s="20" customFormat="1" ht="20.25" customHeight="1">
      <c r="A6" s="53"/>
      <c r="B6" s="83"/>
      <c r="C6" s="84"/>
      <c r="D6" s="65"/>
      <c r="E6" s="75"/>
      <c r="F6" s="59"/>
      <c r="G6" s="70"/>
      <c r="H6" s="443"/>
      <c r="I6" s="444" t="str">
        <f t="shared" si="0"/>
        <v/>
      </c>
      <c r="J6" s="445"/>
      <c r="K6" s="444" t="str">
        <f t="shared" si="1"/>
        <v/>
      </c>
      <c r="L6" s="445"/>
      <c r="M6" s="446" t="str">
        <f t="shared" si="2"/>
        <v/>
      </c>
      <c r="N6" s="443" t="str">
        <f>IF(F6="","",INT(HLOOKUP(N2,H2:M25,5,FALSE)*O1))</f>
        <v/>
      </c>
      <c r="O6" s="447" t="str">
        <f t="shared" si="3"/>
        <v/>
      </c>
    </row>
    <row r="7" spans="1:17" s="20" customFormat="1" ht="20.25" customHeight="1">
      <c r="A7" s="53"/>
      <c r="B7" s="83"/>
      <c r="C7" s="84"/>
      <c r="D7" s="65"/>
      <c r="E7" s="75"/>
      <c r="F7" s="59"/>
      <c r="G7" s="70"/>
      <c r="H7" s="443"/>
      <c r="I7" s="444" t="str">
        <f t="shared" si="0"/>
        <v/>
      </c>
      <c r="J7" s="445"/>
      <c r="K7" s="444" t="str">
        <f t="shared" si="1"/>
        <v/>
      </c>
      <c r="L7" s="445"/>
      <c r="M7" s="446" t="str">
        <f t="shared" si="2"/>
        <v/>
      </c>
      <c r="N7" s="443" t="str">
        <f>IF(F7="","",INT(HLOOKUP(N2,H2:M25,6,FALSE)*O1))</f>
        <v/>
      </c>
      <c r="O7" s="447" t="str">
        <f t="shared" si="3"/>
        <v/>
      </c>
    </row>
    <row r="8" spans="1:17" s="20" customFormat="1" ht="20.25" customHeight="1">
      <c r="A8" s="53"/>
      <c r="B8" s="83"/>
      <c r="C8" s="84"/>
      <c r="D8" s="65"/>
      <c r="E8" s="75"/>
      <c r="F8" s="59"/>
      <c r="G8" s="70"/>
      <c r="H8" s="443"/>
      <c r="I8" s="444" t="str">
        <f t="shared" si="0"/>
        <v/>
      </c>
      <c r="J8" s="445"/>
      <c r="K8" s="444" t="str">
        <f t="shared" si="1"/>
        <v/>
      </c>
      <c r="L8" s="445"/>
      <c r="M8" s="446" t="str">
        <f t="shared" si="2"/>
        <v/>
      </c>
      <c r="N8" s="443" t="str">
        <f>IF(F8="","",INT(HLOOKUP(N2,H2:M25,7,FALSE)*O1))</f>
        <v/>
      </c>
      <c r="O8" s="447" t="str">
        <f t="shared" si="3"/>
        <v/>
      </c>
    </row>
    <row r="9" spans="1:17" s="20" customFormat="1" ht="20.25" customHeight="1">
      <c r="A9" s="53"/>
      <c r="B9" s="83"/>
      <c r="C9" s="84"/>
      <c r="D9" s="65"/>
      <c r="E9" s="75"/>
      <c r="F9" s="59"/>
      <c r="G9" s="70"/>
      <c r="H9" s="443"/>
      <c r="I9" s="444" t="str">
        <f t="shared" si="0"/>
        <v/>
      </c>
      <c r="J9" s="445"/>
      <c r="K9" s="444" t="str">
        <f t="shared" si="1"/>
        <v/>
      </c>
      <c r="L9" s="445"/>
      <c r="M9" s="446" t="str">
        <f t="shared" si="2"/>
        <v/>
      </c>
      <c r="N9" s="443" t="str">
        <f>IF(F9="","",INT(HLOOKUP(N2,H2:M25,8,FALSE)*O1))</f>
        <v/>
      </c>
      <c r="O9" s="447" t="str">
        <f t="shared" si="3"/>
        <v/>
      </c>
    </row>
    <row r="10" spans="1:17" s="20" customFormat="1" ht="20.25" customHeight="1">
      <c r="A10" s="53"/>
      <c r="B10" s="83"/>
      <c r="C10" s="84"/>
      <c r="D10" s="65"/>
      <c r="E10" s="75"/>
      <c r="F10" s="59"/>
      <c r="G10" s="70"/>
      <c r="H10" s="443"/>
      <c r="I10" s="444" t="str">
        <f t="shared" si="0"/>
        <v/>
      </c>
      <c r="J10" s="445"/>
      <c r="K10" s="444" t="str">
        <f t="shared" si="1"/>
        <v/>
      </c>
      <c r="L10" s="445"/>
      <c r="M10" s="446" t="str">
        <f t="shared" si="2"/>
        <v/>
      </c>
      <c r="N10" s="443" t="str">
        <f>IF(F10="","",INT(HLOOKUP(N2,H2:M25,9,FALSE)*O1))</f>
        <v/>
      </c>
      <c r="O10" s="447" t="str">
        <f t="shared" si="3"/>
        <v/>
      </c>
    </row>
    <row r="11" spans="1:17" s="20" customFormat="1" ht="20.25" customHeight="1">
      <c r="A11" s="53"/>
      <c r="B11" s="83"/>
      <c r="C11" s="84"/>
      <c r="D11" s="65"/>
      <c r="E11" s="75"/>
      <c r="F11" s="59"/>
      <c r="G11" s="70"/>
      <c r="H11" s="443"/>
      <c r="I11" s="444" t="str">
        <f t="shared" si="0"/>
        <v/>
      </c>
      <c r="J11" s="445"/>
      <c r="K11" s="444" t="str">
        <f t="shared" si="1"/>
        <v/>
      </c>
      <c r="L11" s="445"/>
      <c r="M11" s="446" t="str">
        <f t="shared" si="2"/>
        <v/>
      </c>
      <c r="N11" s="443" t="str">
        <f>IF(F11="","",INT(HLOOKUP(N2,H2:M25,10,FALSE)*O1))</f>
        <v/>
      </c>
      <c r="O11" s="447" t="str">
        <f t="shared" si="3"/>
        <v/>
      </c>
    </row>
    <row r="12" spans="1:17" s="20" customFormat="1" ht="20.25" customHeight="1">
      <c r="A12" s="53"/>
      <c r="B12" s="83"/>
      <c r="C12" s="84"/>
      <c r="D12" s="65"/>
      <c r="E12" s="75"/>
      <c r="F12" s="59"/>
      <c r="G12" s="70"/>
      <c r="H12" s="443"/>
      <c r="I12" s="444" t="str">
        <f t="shared" si="0"/>
        <v/>
      </c>
      <c r="J12" s="445"/>
      <c r="K12" s="444" t="str">
        <f t="shared" si="1"/>
        <v/>
      </c>
      <c r="L12" s="445"/>
      <c r="M12" s="446" t="str">
        <f t="shared" si="2"/>
        <v/>
      </c>
      <c r="N12" s="443" t="str">
        <f>IF(F12="","",INT(HLOOKUP(N2,H2:M25,11,FALSE)*O1))</f>
        <v/>
      </c>
      <c r="O12" s="447" t="str">
        <f t="shared" si="3"/>
        <v/>
      </c>
    </row>
    <row r="13" spans="1:17" s="20" customFormat="1" ht="20.25" customHeight="1">
      <c r="A13" s="53"/>
      <c r="B13" s="83"/>
      <c r="C13" s="84"/>
      <c r="D13" s="65"/>
      <c r="E13" s="75"/>
      <c r="F13" s="59"/>
      <c r="G13" s="70"/>
      <c r="H13" s="443"/>
      <c r="I13" s="444" t="str">
        <f t="shared" si="0"/>
        <v/>
      </c>
      <c r="J13" s="445"/>
      <c r="K13" s="444" t="str">
        <f t="shared" si="1"/>
        <v/>
      </c>
      <c r="L13" s="445"/>
      <c r="M13" s="446" t="str">
        <f t="shared" si="2"/>
        <v/>
      </c>
      <c r="N13" s="443" t="str">
        <f>IF(F13="","",INT(HLOOKUP(N2,H2:M25,12,FALSE)*O1))</f>
        <v/>
      </c>
      <c r="O13" s="447" t="str">
        <f t="shared" si="3"/>
        <v/>
      </c>
    </row>
    <row r="14" spans="1:17" s="20" customFormat="1" ht="20.25" customHeight="1">
      <c r="A14" s="53"/>
      <c r="B14" s="83"/>
      <c r="C14" s="84"/>
      <c r="D14" s="65"/>
      <c r="E14" s="75"/>
      <c r="F14" s="59"/>
      <c r="G14" s="70"/>
      <c r="H14" s="443"/>
      <c r="I14" s="444" t="str">
        <f t="shared" si="0"/>
        <v/>
      </c>
      <c r="J14" s="445"/>
      <c r="K14" s="444" t="str">
        <f t="shared" si="1"/>
        <v/>
      </c>
      <c r="L14" s="445"/>
      <c r="M14" s="446" t="str">
        <f t="shared" si="2"/>
        <v/>
      </c>
      <c r="N14" s="443" t="str">
        <f>IF(F14="","",INT(HLOOKUP(N2,H2:M25,13,FALSE)*O1))</f>
        <v/>
      </c>
      <c r="O14" s="447" t="str">
        <f t="shared" si="3"/>
        <v/>
      </c>
    </row>
    <row r="15" spans="1:17" s="20" customFormat="1" ht="20.25" customHeight="1">
      <c r="A15" s="53"/>
      <c r="B15" s="83"/>
      <c r="C15" s="84"/>
      <c r="D15" s="65"/>
      <c r="E15" s="75"/>
      <c r="F15" s="59"/>
      <c r="G15" s="70"/>
      <c r="H15" s="443"/>
      <c r="I15" s="444" t="str">
        <f t="shared" si="0"/>
        <v/>
      </c>
      <c r="J15" s="445"/>
      <c r="K15" s="444" t="str">
        <f t="shared" si="1"/>
        <v/>
      </c>
      <c r="L15" s="445"/>
      <c r="M15" s="446" t="str">
        <f t="shared" si="2"/>
        <v/>
      </c>
      <c r="N15" s="443" t="str">
        <f>IF(F15="","",INT(HLOOKUP(N2,H2:M25,14,FALSE)*O1))</f>
        <v/>
      </c>
      <c r="O15" s="447" t="str">
        <f t="shared" si="3"/>
        <v/>
      </c>
    </row>
    <row r="16" spans="1:17" s="20" customFormat="1" ht="20.25" customHeight="1">
      <c r="A16" s="53"/>
      <c r="B16" s="83"/>
      <c r="C16" s="84"/>
      <c r="D16" s="65"/>
      <c r="E16" s="75"/>
      <c r="F16" s="59"/>
      <c r="G16" s="70"/>
      <c r="H16" s="443"/>
      <c r="I16" s="444" t="str">
        <f t="shared" si="0"/>
        <v/>
      </c>
      <c r="J16" s="445"/>
      <c r="K16" s="444" t="str">
        <f t="shared" si="1"/>
        <v/>
      </c>
      <c r="L16" s="445"/>
      <c r="M16" s="446" t="str">
        <f t="shared" si="2"/>
        <v/>
      </c>
      <c r="N16" s="443" t="str">
        <f>IF(F16="","",INT(HLOOKUP(N2,H2:M25,15,FALSE)*O1))</f>
        <v/>
      </c>
      <c r="O16" s="447" t="str">
        <f t="shared" si="3"/>
        <v/>
      </c>
    </row>
    <row r="17" spans="1:15" s="20" customFormat="1" ht="20.25" customHeight="1">
      <c r="A17" s="53"/>
      <c r="B17" s="83"/>
      <c r="C17" s="84"/>
      <c r="D17" s="65"/>
      <c r="E17" s="75"/>
      <c r="F17" s="59"/>
      <c r="G17" s="70"/>
      <c r="H17" s="443"/>
      <c r="I17" s="444" t="str">
        <f t="shared" si="0"/>
        <v/>
      </c>
      <c r="J17" s="445"/>
      <c r="K17" s="444" t="str">
        <f t="shared" si="1"/>
        <v/>
      </c>
      <c r="L17" s="445"/>
      <c r="M17" s="446" t="str">
        <f t="shared" si="2"/>
        <v/>
      </c>
      <c r="N17" s="443" t="str">
        <f>IF(F17="","",INT(HLOOKUP(N2,H2:M25,16,FALSE)*O1))</f>
        <v/>
      </c>
      <c r="O17" s="447" t="str">
        <f t="shared" si="3"/>
        <v/>
      </c>
    </row>
    <row r="18" spans="1:15" s="20" customFormat="1" ht="20.25" customHeight="1">
      <c r="A18" s="53"/>
      <c r="B18" s="83"/>
      <c r="C18" s="84"/>
      <c r="D18" s="65"/>
      <c r="E18" s="75"/>
      <c r="F18" s="59"/>
      <c r="G18" s="70"/>
      <c r="H18" s="443"/>
      <c r="I18" s="444" t="str">
        <f t="shared" si="0"/>
        <v/>
      </c>
      <c r="J18" s="445"/>
      <c r="K18" s="444" t="str">
        <f t="shared" si="1"/>
        <v/>
      </c>
      <c r="L18" s="445"/>
      <c r="M18" s="446" t="str">
        <f t="shared" si="2"/>
        <v/>
      </c>
      <c r="N18" s="443" t="str">
        <f>IF(F18="","",INT(HLOOKUP(N2,H2:M25,17,FALSE)*O1))</f>
        <v/>
      </c>
      <c r="O18" s="447" t="str">
        <f t="shared" si="3"/>
        <v/>
      </c>
    </row>
    <row r="19" spans="1:15" s="20" customFormat="1" ht="20.25" customHeight="1">
      <c r="A19" s="53"/>
      <c r="B19" s="83"/>
      <c r="C19" s="84"/>
      <c r="D19" s="65"/>
      <c r="E19" s="75"/>
      <c r="F19" s="59"/>
      <c r="G19" s="70"/>
      <c r="H19" s="443"/>
      <c r="I19" s="444" t="str">
        <f t="shared" si="0"/>
        <v/>
      </c>
      <c r="J19" s="445"/>
      <c r="K19" s="444" t="str">
        <f t="shared" si="1"/>
        <v/>
      </c>
      <c r="L19" s="445"/>
      <c r="M19" s="446" t="str">
        <f t="shared" si="2"/>
        <v/>
      </c>
      <c r="N19" s="443" t="str">
        <f>IF(F19="","",INT(HLOOKUP(N2,H2:M25,18,FALSE)*O1))</f>
        <v/>
      </c>
      <c r="O19" s="447" t="str">
        <f t="shared" si="3"/>
        <v/>
      </c>
    </row>
    <row r="20" spans="1:15" s="20" customFormat="1" ht="20.25" customHeight="1">
      <c r="A20" s="53"/>
      <c r="B20" s="83"/>
      <c r="C20" s="84"/>
      <c r="D20" s="65"/>
      <c r="E20" s="75"/>
      <c r="F20" s="59"/>
      <c r="G20" s="70"/>
      <c r="H20" s="443"/>
      <c r="I20" s="444" t="str">
        <f t="shared" si="0"/>
        <v/>
      </c>
      <c r="J20" s="445"/>
      <c r="K20" s="444" t="str">
        <f t="shared" si="1"/>
        <v/>
      </c>
      <c r="L20" s="445"/>
      <c r="M20" s="446" t="str">
        <f t="shared" si="2"/>
        <v/>
      </c>
      <c r="N20" s="443" t="str">
        <f>IF(F20="","",INT(HLOOKUP(N2,H2:M25,19,FALSE)*O1))</f>
        <v/>
      </c>
      <c r="O20" s="447" t="str">
        <f t="shared" si="3"/>
        <v/>
      </c>
    </row>
    <row r="21" spans="1:15" s="20" customFormat="1" ht="20.25" customHeight="1">
      <c r="A21" s="53"/>
      <c r="B21" s="83"/>
      <c r="C21" s="84"/>
      <c r="D21" s="65"/>
      <c r="E21" s="75"/>
      <c r="F21" s="59"/>
      <c r="G21" s="70"/>
      <c r="H21" s="443"/>
      <c r="I21" s="444" t="str">
        <f t="shared" si="0"/>
        <v/>
      </c>
      <c r="J21" s="445"/>
      <c r="K21" s="444" t="str">
        <f t="shared" si="1"/>
        <v/>
      </c>
      <c r="L21" s="445"/>
      <c r="M21" s="446" t="str">
        <f t="shared" si="2"/>
        <v/>
      </c>
      <c r="N21" s="443" t="str">
        <f>IF(F21="","",INT(HLOOKUP(N2,H2:M25,20,FALSE)*O1))</f>
        <v/>
      </c>
      <c r="O21" s="447" t="str">
        <f t="shared" si="3"/>
        <v/>
      </c>
    </row>
    <row r="22" spans="1:15" s="20" customFormat="1" ht="20.25" customHeight="1">
      <c r="A22" s="53"/>
      <c r="B22" s="83"/>
      <c r="C22" s="84"/>
      <c r="D22" s="65"/>
      <c r="E22" s="75"/>
      <c r="F22" s="59"/>
      <c r="G22" s="70"/>
      <c r="H22" s="443"/>
      <c r="I22" s="444" t="str">
        <f t="shared" si="0"/>
        <v/>
      </c>
      <c r="J22" s="445"/>
      <c r="K22" s="444" t="str">
        <f t="shared" si="1"/>
        <v/>
      </c>
      <c r="L22" s="445"/>
      <c r="M22" s="446" t="str">
        <f t="shared" si="2"/>
        <v/>
      </c>
      <c r="N22" s="443" t="str">
        <f>IF(F22="","",INT(HLOOKUP(N2,H2:M25,21,FALSE)*O1))</f>
        <v/>
      </c>
      <c r="O22" s="447" t="str">
        <f t="shared" si="3"/>
        <v/>
      </c>
    </row>
    <row r="23" spans="1:15" s="20" customFormat="1" ht="20.25" customHeight="1">
      <c r="A23" s="53"/>
      <c r="B23" s="83"/>
      <c r="C23" s="84"/>
      <c r="D23" s="65"/>
      <c r="E23" s="75"/>
      <c r="F23" s="59"/>
      <c r="G23" s="70"/>
      <c r="H23" s="443"/>
      <c r="I23" s="444" t="str">
        <f t="shared" si="0"/>
        <v/>
      </c>
      <c r="J23" s="445"/>
      <c r="K23" s="444" t="str">
        <f t="shared" si="1"/>
        <v/>
      </c>
      <c r="L23" s="445"/>
      <c r="M23" s="446" t="str">
        <f t="shared" si="2"/>
        <v/>
      </c>
      <c r="N23" s="443" t="str">
        <f>IF(F23="","",INT(HLOOKUP(N2,H2:M25,22,FALSE)*O1))</f>
        <v/>
      </c>
      <c r="O23" s="447" t="str">
        <f t="shared" si="3"/>
        <v/>
      </c>
    </row>
    <row r="24" spans="1:15" s="20" customFormat="1" ht="20.25" customHeight="1">
      <c r="A24" s="53"/>
      <c r="B24" s="83"/>
      <c r="C24" s="84"/>
      <c r="D24" s="65"/>
      <c r="E24" s="75"/>
      <c r="F24" s="59"/>
      <c r="G24" s="70"/>
      <c r="H24" s="443"/>
      <c r="I24" s="444" t="str">
        <f t="shared" si="0"/>
        <v/>
      </c>
      <c r="J24" s="445"/>
      <c r="K24" s="444" t="str">
        <f t="shared" si="1"/>
        <v/>
      </c>
      <c r="L24" s="445"/>
      <c r="M24" s="446" t="str">
        <f t="shared" si="2"/>
        <v/>
      </c>
      <c r="N24" s="443" t="str">
        <f>IF(F24="","",INT(HLOOKUP(N2,H2:M25,23,FALSE)*O1))</f>
        <v/>
      </c>
      <c r="O24" s="447" t="str">
        <f t="shared" si="3"/>
        <v/>
      </c>
    </row>
    <row r="25" spans="1:15" s="20" customFormat="1" ht="20.25" customHeight="1" thickBot="1">
      <c r="A25" s="54"/>
      <c r="B25" s="85"/>
      <c r="C25" s="86"/>
      <c r="D25" s="66"/>
      <c r="E25" s="76"/>
      <c r="F25" s="60"/>
      <c r="G25" s="71"/>
      <c r="H25" s="448"/>
      <c r="I25" s="449" t="str">
        <f t="shared" si="0"/>
        <v/>
      </c>
      <c r="J25" s="450"/>
      <c r="K25" s="449" t="str">
        <f t="shared" si="1"/>
        <v/>
      </c>
      <c r="L25" s="450"/>
      <c r="M25" s="451" t="str">
        <f t="shared" si="2"/>
        <v/>
      </c>
      <c r="N25" s="448" t="str">
        <f>IF(F25="","",INT(HLOOKUP(N2,H2:M25,24,FALSE)*O1))</f>
        <v/>
      </c>
      <c r="O25" s="452" t="str">
        <f t="shared" si="3"/>
        <v/>
      </c>
    </row>
    <row r="26" spans="1:15" s="20" customFormat="1" ht="20.25" customHeight="1" thickTop="1" thickBot="1">
      <c r="A26" s="28"/>
      <c r="B26" s="29"/>
      <c r="C26" s="29"/>
      <c r="D26" s="30" t="str">
        <f>IF(G26="","合      計","")</f>
        <v>合      計</v>
      </c>
      <c r="E26" s="31" t="s">
        <v>60</v>
      </c>
      <c r="F26" s="31"/>
      <c r="G26" s="51"/>
      <c r="H26" s="453"/>
      <c r="I26" s="454">
        <f>IF($G26="",IF(SUM(I4:I25)=0,"",SUM(I4:I25)),IF(#REF!="","",SUM(I4:I25)+#REF!))</f>
        <v>110000</v>
      </c>
      <c r="J26" s="455"/>
      <c r="K26" s="454">
        <f>IF(G26="",IF(SUM(K4:K25)=0,"",SUM(K4:K25)),IF(#REF!="","",SUM(K4:K25)+#REF!))</f>
        <v>105400</v>
      </c>
      <c r="L26" s="455"/>
      <c r="M26" s="456" t="str">
        <f>IF(G26="",IF(SUM(M4:M25)=0,"",SUM(M4:M25)),IF(#REF!="","",SUM(M4:M25)+#REF!))</f>
        <v/>
      </c>
      <c r="N26" s="457" t="s">
        <v>28</v>
      </c>
      <c r="O26" s="458">
        <f>IF(G53="",MIN(I26,K26,M26),"")</f>
        <v>105400</v>
      </c>
    </row>
    <row r="27" spans="1:15" s="20" customFormat="1" ht="20.25" customHeight="1">
      <c r="A27" s="24"/>
      <c r="B27" s="24"/>
      <c r="C27" s="24"/>
      <c r="G27" s="24"/>
      <c r="H27" s="32"/>
      <c r="I27" s="32"/>
      <c r="J27" s="32"/>
      <c r="K27" s="32"/>
      <c r="L27" s="32"/>
      <c r="M27" s="32"/>
      <c r="N27" s="20" t="str">
        <f>IF(B29="","EOL","")</f>
        <v>EOL</v>
      </c>
      <c r="O27" s="32">
        <v>1</v>
      </c>
    </row>
  </sheetData>
  <mergeCells count="5">
    <mergeCell ref="N2:O2"/>
    <mergeCell ref="A1:M1"/>
    <mergeCell ref="H2:I2"/>
    <mergeCell ref="J2:K2"/>
    <mergeCell ref="L2:M2"/>
  </mergeCells>
  <phoneticPr fontId="6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V27"/>
  <sheetViews>
    <sheetView workbookViewId="0">
      <selection sqref="A1:L1"/>
    </sheetView>
  </sheetViews>
  <sheetFormatPr baseColWidth="10" defaultColWidth="9" defaultRowHeight="20.25" customHeight="1"/>
  <cols>
    <col min="1" max="1" width="4.5" style="24" customWidth="1"/>
    <col min="2" max="3" width="3.33203125" style="24" customWidth="1"/>
    <col min="4" max="4" width="16.6640625" style="20" customWidth="1"/>
    <col min="5" max="5" width="16.5" style="20" customWidth="1"/>
    <col min="6" max="6" width="4.1640625" style="20" customWidth="1"/>
    <col min="7" max="7" width="4.1640625" style="24" customWidth="1"/>
    <col min="8" max="9" width="6.5" style="32" customWidth="1"/>
    <col min="10" max="11" width="3.33203125" style="24" customWidth="1"/>
    <col min="12" max="13" width="16.6640625" style="20" customWidth="1"/>
    <col min="14" max="14" width="4.1640625" style="20" customWidth="1"/>
    <col min="15" max="15" width="4" style="24" customWidth="1"/>
    <col min="16" max="20" width="6.5" style="32" customWidth="1"/>
    <col min="21" max="21" width="9.33203125" style="20" bestFit="1" customWidth="1"/>
    <col min="22" max="22" width="5.83203125" style="20" customWidth="1"/>
    <col min="23" max="24" width="10.6640625" style="20" customWidth="1"/>
    <col min="25" max="16384" width="9" style="20"/>
  </cols>
  <sheetData>
    <row r="1" spans="1:22" ht="20.25" customHeight="1" thickBot="1">
      <c r="A1" s="2249" t="s">
        <v>235</v>
      </c>
      <c r="B1" s="2249"/>
      <c r="C1" s="2249"/>
      <c r="D1" s="2249"/>
      <c r="E1" s="2249"/>
      <c r="F1" s="2249"/>
      <c r="G1" s="2249"/>
      <c r="H1" s="2249"/>
      <c r="I1" s="2249"/>
      <c r="J1" s="2249"/>
      <c r="K1" s="2249"/>
      <c r="L1" s="2249"/>
      <c r="M1" s="227" t="s">
        <v>199</v>
      </c>
      <c r="N1" s="2250" t="s">
        <v>200</v>
      </c>
      <c r="O1" s="2250"/>
      <c r="P1" s="2250"/>
      <c r="Q1" s="228"/>
      <c r="R1" s="20"/>
      <c r="S1" s="1"/>
      <c r="T1" s="20"/>
      <c r="U1" s="20" t="s">
        <v>61</v>
      </c>
      <c r="V1" s="1">
        <f>VLOOKUP("EOL",$N$1:$O$65509,2,FALSE)</f>
        <v>1</v>
      </c>
    </row>
    <row r="2" spans="1:22" s="24" customFormat="1" ht="20.25" customHeight="1">
      <c r="A2" s="282"/>
      <c r="B2" s="1587"/>
      <c r="C2" s="1587"/>
      <c r="D2" s="2251" t="s">
        <v>201</v>
      </c>
      <c r="E2" s="2251"/>
      <c r="F2" s="2251"/>
      <c r="G2" s="2251"/>
      <c r="H2" s="386"/>
      <c r="I2" s="1586"/>
      <c r="J2" s="2254" t="s">
        <v>278</v>
      </c>
      <c r="K2" s="2255"/>
      <c r="L2" s="2255"/>
      <c r="M2" s="2255"/>
      <c r="N2" s="2255"/>
      <c r="O2" s="2255"/>
      <c r="P2" s="2255"/>
      <c r="Q2" s="2255"/>
      <c r="R2" s="2255"/>
      <c r="S2" s="2255"/>
      <c r="T2" s="2256"/>
    </row>
    <row r="3" spans="1:22" s="24" customFormat="1" ht="20.25" customHeight="1" thickBot="1">
      <c r="A3" s="283"/>
      <c r="B3" s="284"/>
      <c r="C3" s="284"/>
      <c r="D3" s="285"/>
      <c r="E3" s="286" t="s">
        <v>236</v>
      </c>
      <c r="F3" s="2252">
        <v>1</v>
      </c>
      <c r="G3" s="2253"/>
      <c r="H3" s="387"/>
      <c r="I3" s="388"/>
      <c r="J3" s="2257"/>
      <c r="K3" s="2258"/>
      <c r="L3" s="2258"/>
      <c r="M3" s="2258"/>
      <c r="N3" s="2258"/>
      <c r="O3" s="2258"/>
      <c r="P3" s="2258"/>
      <c r="Q3" s="2258"/>
      <c r="R3" s="2258"/>
      <c r="S3" s="2258"/>
      <c r="T3" s="2259"/>
    </row>
    <row r="4" spans="1:22" ht="20.25" customHeight="1">
      <c r="A4" s="1622" t="s">
        <v>237</v>
      </c>
      <c r="B4" s="1623" t="s">
        <v>238</v>
      </c>
      <c r="C4" s="1624" t="s">
        <v>239</v>
      </c>
      <c r="D4" s="1625"/>
      <c r="E4" s="1626"/>
      <c r="F4" s="1626"/>
      <c r="G4" s="1627"/>
      <c r="H4" s="1628" t="s">
        <v>2158</v>
      </c>
      <c r="I4" s="1629" t="s">
        <v>203</v>
      </c>
      <c r="J4" s="1630" t="s">
        <v>15</v>
      </c>
      <c r="K4" s="1631" t="s">
        <v>17</v>
      </c>
      <c r="L4" s="1632"/>
      <c r="M4" s="1633"/>
      <c r="N4" s="1634"/>
      <c r="O4" s="1635"/>
      <c r="P4" s="1629" t="s">
        <v>204</v>
      </c>
      <c r="Q4" s="1636"/>
      <c r="R4" s="1636"/>
      <c r="S4" s="1637" t="s">
        <v>273</v>
      </c>
      <c r="T4" s="1638" t="s">
        <v>274</v>
      </c>
    </row>
    <row r="5" spans="1:22" ht="20.25" customHeight="1" thickBot="1">
      <c r="A5" s="233" t="s">
        <v>205</v>
      </c>
      <c r="B5" s="234" t="s">
        <v>16</v>
      </c>
      <c r="C5" s="235" t="s">
        <v>16</v>
      </c>
      <c r="D5" s="236" t="s">
        <v>18</v>
      </c>
      <c r="E5" s="237" t="s">
        <v>19</v>
      </c>
      <c r="F5" s="298" t="s">
        <v>20</v>
      </c>
      <c r="G5" s="299" t="s">
        <v>21</v>
      </c>
      <c r="H5" s="238" t="s">
        <v>240</v>
      </c>
      <c r="I5" s="239" t="s">
        <v>22</v>
      </c>
      <c r="J5" s="240" t="s">
        <v>16</v>
      </c>
      <c r="K5" s="234" t="s">
        <v>16</v>
      </c>
      <c r="L5" s="241" t="s">
        <v>18</v>
      </c>
      <c r="M5" s="237" t="s">
        <v>19</v>
      </c>
      <c r="N5" s="298" t="s">
        <v>20</v>
      </c>
      <c r="O5" s="237" t="s">
        <v>21</v>
      </c>
      <c r="P5" s="239" t="s">
        <v>22</v>
      </c>
      <c r="Q5" s="242" t="s">
        <v>27</v>
      </c>
      <c r="R5" s="242" t="s">
        <v>276</v>
      </c>
      <c r="S5" s="362" t="s">
        <v>275</v>
      </c>
      <c r="T5" s="242" t="s">
        <v>275</v>
      </c>
    </row>
    <row r="6" spans="1:22" ht="20.25" customHeight="1">
      <c r="A6" s="243"/>
      <c r="B6" s="244"/>
      <c r="C6" s="245"/>
      <c r="D6" s="246"/>
      <c r="E6" s="247"/>
      <c r="F6" s="394"/>
      <c r="G6" s="249"/>
      <c r="H6" s="300"/>
      <c r="I6" s="250"/>
      <c r="J6" s="251"/>
      <c r="K6" s="245"/>
      <c r="L6" s="246"/>
      <c r="M6" s="247"/>
      <c r="N6" s="248"/>
      <c r="O6" s="249"/>
      <c r="P6" s="250"/>
      <c r="Q6" s="261" t="str">
        <f>IF(I6&lt;P6,IF(P6="","",IF(S27&lt;T27,R6,IF((H6+(P6-I6)*F$3)&lt;10000,ROUNDDOWN(H6+(P6-I6)*F$3,-1),ROUNDDOWN(H6+(P6-I6)*F$3,-2)))),R6)</f>
        <v/>
      </c>
      <c r="R6" s="382" t="str">
        <f t="shared" ref="R6:R25" si="0">IF(P6="","",IF(I6&lt;&gt;"",IF((P6/I6*H6)&lt;10,INT(P6/I6*H6),IF((P6/I6*H6)&lt;10000,ROUNDDOWN(P6/I6*H6,-1),ROUNDDOWN(P6/I6*H6,-2)))))</f>
        <v/>
      </c>
      <c r="S6" s="383" t="str">
        <f>IF(P6="","",(R6*N6-H6*F6))</f>
        <v/>
      </c>
      <c r="T6" s="382" t="str">
        <f>IF(P6="","",(P6*N6-I6*F6)*F3)</f>
        <v/>
      </c>
    </row>
    <row r="7" spans="1:22" ht="20.25" customHeight="1">
      <c r="A7" s="252">
        <v>600</v>
      </c>
      <c r="B7" s="253">
        <v>3</v>
      </c>
      <c r="C7" s="254">
        <v>3</v>
      </c>
      <c r="D7" s="255" t="s">
        <v>3078</v>
      </c>
      <c r="E7" s="256" t="s">
        <v>3079</v>
      </c>
      <c r="F7" s="395">
        <v>1</v>
      </c>
      <c r="G7" s="258" t="s">
        <v>256</v>
      </c>
      <c r="H7" s="301">
        <v>48000</v>
      </c>
      <c r="I7" s="259">
        <v>80000</v>
      </c>
      <c r="J7" s="260">
        <v>4</v>
      </c>
      <c r="K7" s="254">
        <v>4</v>
      </c>
      <c r="L7" s="255" t="s">
        <v>3078</v>
      </c>
      <c r="M7" s="256" t="s">
        <v>3080</v>
      </c>
      <c r="N7" s="257">
        <v>1</v>
      </c>
      <c r="O7" s="258" t="s">
        <v>256</v>
      </c>
      <c r="P7" s="259">
        <v>100000</v>
      </c>
      <c r="Q7" s="261">
        <f ca="1">IF(I7&lt;P7,IF(P7="","",IF(S27&lt;T27,R7,IF((H7+(P7-I7)*F$3)&lt;10000,ROUNDDOWN(H7+(P7-I7)*F$3,-1),ROUNDDOWN(H7+(P7-I7)*F$3,-2)))),R7)</f>
        <v>60000</v>
      </c>
      <c r="R7" s="382">
        <f t="shared" si="0"/>
        <v>60000</v>
      </c>
      <c r="S7" s="383">
        <f t="shared" ref="S7:S25" si="1">IF(P7="","",(R7*N7-H7*F7))</f>
        <v>12000</v>
      </c>
      <c r="T7" s="382">
        <f>IF(P7="","",(P7*N7-I7*F7)*F3)</f>
        <v>20000</v>
      </c>
    </row>
    <row r="8" spans="1:22" ht="20.25" customHeight="1">
      <c r="A8" s="252"/>
      <c r="B8" s="253"/>
      <c r="C8" s="254"/>
      <c r="D8" s="255"/>
      <c r="E8" s="256"/>
      <c r="F8" s="395"/>
      <c r="G8" s="258"/>
      <c r="H8" s="301"/>
      <c r="I8" s="259"/>
      <c r="J8" s="260"/>
      <c r="K8" s="254"/>
      <c r="L8" s="255"/>
      <c r="M8" s="256"/>
      <c r="N8" s="257"/>
      <c r="O8" s="258"/>
      <c r="P8" s="259"/>
      <c r="Q8" s="261" t="str">
        <f>IF(I8&lt;P8,IF(P8="","",IF(S27&lt;T27,R8,IF((H8+(P8-I8)*F$3)&lt;10000,ROUNDDOWN(H8+(P8-I8)*F$3,-1),ROUNDDOWN(H8+(P8-I8)*F$3,-2)))),R8)</f>
        <v/>
      </c>
      <c r="R8" s="382" t="str">
        <f t="shared" si="0"/>
        <v/>
      </c>
      <c r="S8" s="383" t="str">
        <f t="shared" si="1"/>
        <v/>
      </c>
      <c r="T8" s="382" t="str">
        <f>IF(P8="","",(P8*N8-I8*F8)*F3)</f>
        <v/>
      </c>
    </row>
    <row r="9" spans="1:22" ht="20.25" customHeight="1">
      <c r="A9" s="252"/>
      <c r="B9" s="253"/>
      <c r="C9" s="254"/>
      <c r="D9" s="255"/>
      <c r="E9" s="256"/>
      <c r="F9" s="395"/>
      <c r="G9" s="258"/>
      <c r="H9" s="301"/>
      <c r="I9" s="259"/>
      <c r="J9" s="260"/>
      <c r="K9" s="254"/>
      <c r="L9" s="255"/>
      <c r="M9" s="256"/>
      <c r="N9" s="257"/>
      <c r="O9" s="258"/>
      <c r="P9" s="259"/>
      <c r="Q9" s="261" t="str">
        <f>IF(I9&lt;P9,IF(P9="","",IF(S27&lt;T27,R9,IF((H9+(P9-I9)*F$3)&lt;10000,ROUNDDOWN(H9+(P9-I9)*F$3,-1),ROUNDDOWN(H9+(P9-I9)*F$3,-2)))),R9)</f>
        <v/>
      </c>
      <c r="R9" s="382" t="str">
        <f t="shared" si="0"/>
        <v/>
      </c>
      <c r="S9" s="383" t="str">
        <f t="shared" si="1"/>
        <v/>
      </c>
      <c r="T9" s="382" t="str">
        <f>IF(P9="","",(P9*N9-I9*F9)*F3)</f>
        <v/>
      </c>
    </row>
    <row r="10" spans="1:22" ht="20.25" customHeight="1">
      <c r="A10" s="252"/>
      <c r="B10" s="253"/>
      <c r="C10" s="254"/>
      <c r="D10" s="255"/>
      <c r="E10" s="256"/>
      <c r="F10" s="395"/>
      <c r="G10" s="258"/>
      <c r="H10" s="301"/>
      <c r="I10" s="259"/>
      <c r="J10" s="260"/>
      <c r="K10" s="254"/>
      <c r="L10" s="255"/>
      <c r="M10" s="256"/>
      <c r="N10" s="257"/>
      <c r="O10" s="258"/>
      <c r="P10" s="259"/>
      <c r="Q10" s="261" t="str">
        <f>IF(I10&lt;P10,IF(P10="","",IF(S27&lt;T27,R10,IF((H10+(P10-I10)*F$3)&lt;10000,ROUNDDOWN(H10+(P10-I10)*F$3,-1),ROUNDDOWN(H10+(P10-I10)*F$3,-2)))),R10)</f>
        <v/>
      </c>
      <c r="R10" s="382" t="str">
        <f t="shared" si="0"/>
        <v/>
      </c>
      <c r="S10" s="383" t="str">
        <f t="shared" si="1"/>
        <v/>
      </c>
      <c r="T10" s="382" t="str">
        <f>IF(P10="","",(P10*N10-I10*F10)*F3)</f>
        <v/>
      </c>
    </row>
    <row r="11" spans="1:22" ht="20.25" customHeight="1">
      <c r="A11" s="252"/>
      <c r="B11" s="253"/>
      <c r="C11" s="254"/>
      <c r="D11" s="255"/>
      <c r="E11" s="256"/>
      <c r="F11" s="395"/>
      <c r="G11" s="258"/>
      <c r="H11" s="301"/>
      <c r="I11" s="259"/>
      <c r="J11" s="260"/>
      <c r="K11" s="254"/>
      <c r="L11" s="255"/>
      <c r="M11" s="256"/>
      <c r="N11" s="257"/>
      <c r="O11" s="258"/>
      <c r="P11" s="259"/>
      <c r="Q11" s="261" t="str">
        <f>IF(I11&lt;P11,IF(P11="","",IF(S27&lt;T27,R11,IF((H11+(P11-I11)*F$3)&lt;10000,ROUNDDOWN(H11+(P11-I11)*F$3,-1),ROUNDDOWN(H11+(P11-I11)*F$3,-2)))),R11)</f>
        <v/>
      </c>
      <c r="R11" s="382" t="str">
        <f t="shared" si="0"/>
        <v/>
      </c>
      <c r="S11" s="383" t="str">
        <f t="shared" si="1"/>
        <v/>
      </c>
      <c r="T11" s="382" t="str">
        <f>IF(P11="","",(P11*N11-I11*F11)*F3)</f>
        <v/>
      </c>
    </row>
    <row r="12" spans="1:22" ht="20.25" customHeight="1">
      <c r="A12" s="252"/>
      <c r="B12" s="253"/>
      <c r="C12" s="254"/>
      <c r="D12" s="255"/>
      <c r="E12" s="256"/>
      <c r="F12" s="395"/>
      <c r="G12" s="258"/>
      <c r="H12" s="301"/>
      <c r="I12" s="259"/>
      <c r="J12" s="260"/>
      <c r="K12" s="254"/>
      <c r="L12" s="255"/>
      <c r="M12" s="256"/>
      <c r="N12" s="257"/>
      <c r="O12" s="258"/>
      <c r="P12" s="259"/>
      <c r="Q12" s="261" t="str">
        <f>IF(I12&lt;P12,IF(P12="","",IF(S27&lt;T27,R12,IF((H12+(P12-I12)*F$3)&lt;10000,ROUNDDOWN(H12+(P12-I12)*F$3,-1),ROUNDDOWN(H12+(P12-I12)*F$3,-2)))),R12)</f>
        <v/>
      </c>
      <c r="R12" s="382" t="str">
        <f t="shared" si="0"/>
        <v/>
      </c>
      <c r="S12" s="383" t="str">
        <f t="shared" si="1"/>
        <v/>
      </c>
      <c r="T12" s="382" t="str">
        <f>IF(P12="","",(P12*N12-I12*F12)*F3)</f>
        <v/>
      </c>
    </row>
    <row r="13" spans="1:22" ht="20.25" customHeight="1">
      <c r="A13" s="252"/>
      <c r="B13" s="253"/>
      <c r="C13" s="254"/>
      <c r="D13" s="255"/>
      <c r="E13" s="256"/>
      <c r="F13" s="395"/>
      <c r="G13" s="258"/>
      <c r="H13" s="301"/>
      <c r="I13" s="259"/>
      <c r="J13" s="260"/>
      <c r="K13" s="254"/>
      <c r="L13" s="255"/>
      <c r="M13" s="256"/>
      <c r="N13" s="257"/>
      <c r="O13" s="258"/>
      <c r="P13" s="259"/>
      <c r="Q13" s="261" t="str">
        <f>IF(I13&lt;P13,IF(P13="","",IF(S27&lt;T27,R13,IF((H13+(P13-I13)*F$3)&lt;10000,ROUNDDOWN(H13+(P13-I13)*F$3,-1),ROUNDDOWN(H13+(P13-I13)*F$3,-2)))),R13)</f>
        <v/>
      </c>
      <c r="R13" s="382" t="str">
        <f t="shared" si="0"/>
        <v/>
      </c>
      <c r="S13" s="383" t="str">
        <f t="shared" si="1"/>
        <v/>
      </c>
      <c r="T13" s="382" t="str">
        <f>IF(P13="","",(P13*N13-I13*F13)*F3)</f>
        <v/>
      </c>
    </row>
    <row r="14" spans="1:22" ht="20.25" customHeight="1">
      <c r="A14" s="252"/>
      <c r="B14" s="253"/>
      <c r="C14" s="254"/>
      <c r="D14" s="255"/>
      <c r="E14" s="256"/>
      <c r="F14" s="395"/>
      <c r="G14" s="258"/>
      <c r="H14" s="301"/>
      <c r="I14" s="259"/>
      <c r="J14" s="260"/>
      <c r="K14" s="254"/>
      <c r="L14" s="255"/>
      <c r="M14" s="256"/>
      <c r="N14" s="257"/>
      <c r="O14" s="258"/>
      <c r="P14" s="259"/>
      <c r="Q14" s="261" t="str">
        <f>IF(I14&lt;P14,IF(P14="","",IF(S27&lt;T27,R14,IF((H14+(P14-I14)*F$3)&lt;10000,ROUNDDOWN(H14+(P14-I14)*F$3,-1),ROUNDDOWN(H14+(P14-I14)*F$3,-2)))),R14)</f>
        <v/>
      </c>
      <c r="R14" s="382" t="str">
        <f t="shared" si="0"/>
        <v/>
      </c>
      <c r="S14" s="383" t="str">
        <f t="shared" si="1"/>
        <v/>
      </c>
      <c r="T14" s="382" t="str">
        <f>IF(P14="","",(P14*N14-I14*F14)*F3)</f>
        <v/>
      </c>
    </row>
    <row r="15" spans="1:22" ht="20.25" customHeight="1">
      <c r="A15" s="252"/>
      <c r="B15" s="253"/>
      <c r="C15" s="254"/>
      <c r="D15" s="255"/>
      <c r="E15" s="256"/>
      <c r="F15" s="395"/>
      <c r="G15" s="258"/>
      <c r="H15" s="301"/>
      <c r="I15" s="259"/>
      <c r="J15" s="260"/>
      <c r="K15" s="254"/>
      <c r="L15" s="255"/>
      <c r="M15" s="256"/>
      <c r="N15" s="257"/>
      <c r="O15" s="258"/>
      <c r="P15" s="259"/>
      <c r="Q15" s="261" t="str">
        <f>IF(I15&lt;P15,IF(P15="","",IF(S27&lt;T27,R15,IF((H15+(P15-I15)*F$3)&lt;10000,ROUNDDOWN(H15+(P15-I15)*F$3,-1),ROUNDDOWN(H15+(P15-I15)*F$3,-2)))),R15)</f>
        <v/>
      </c>
      <c r="R15" s="382" t="str">
        <f t="shared" si="0"/>
        <v/>
      </c>
      <c r="S15" s="383" t="str">
        <f t="shared" si="1"/>
        <v/>
      </c>
      <c r="T15" s="382" t="str">
        <f>IF(P15="","",(P15*N15-I15*F15)*F3)</f>
        <v/>
      </c>
    </row>
    <row r="16" spans="1:22" ht="20.25" customHeight="1">
      <c r="A16" s="252"/>
      <c r="B16" s="253"/>
      <c r="C16" s="254"/>
      <c r="D16" s="255"/>
      <c r="E16" s="256"/>
      <c r="F16" s="395"/>
      <c r="G16" s="258"/>
      <c r="H16" s="301"/>
      <c r="I16" s="259"/>
      <c r="J16" s="260"/>
      <c r="K16" s="254"/>
      <c r="L16" s="255"/>
      <c r="M16" s="256"/>
      <c r="N16" s="257"/>
      <c r="O16" s="258"/>
      <c r="P16" s="259"/>
      <c r="Q16" s="261" t="str">
        <f>IF(I16&lt;P16,IF(P16="","",IF(S27&lt;T27,R16,IF((H16+(P16-I16)*F$3)&lt;10000,ROUNDDOWN(H16+(P16-I16)*F$3,-1),ROUNDDOWN(H16+(P16-I16)*F$3,-2)))),R16)</f>
        <v/>
      </c>
      <c r="R16" s="382" t="str">
        <f t="shared" si="0"/>
        <v/>
      </c>
      <c r="S16" s="383" t="str">
        <f t="shared" si="1"/>
        <v/>
      </c>
      <c r="T16" s="382" t="str">
        <f>IF(P16="","",(P16*N16-I16*F16)*F3)</f>
        <v/>
      </c>
    </row>
    <row r="17" spans="1:20" ht="20.25" customHeight="1">
      <c r="A17" s="252"/>
      <c r="B17" s="253"/>
      <c r="C17" s="254"/>
      <c r="D17" s="255"/>
      <c r="E17" s="256"/>
      <c r="F17" s="395"/>
      <c r="G17" s="258"/>
      <c r="H17" s="301"/>
      <c r="I17" s="259"/>
      <c r="J17" s="260"/>
      <c r="K17" s="254"/>
      <c r="L17" s="255"/>
      <c r="M17" s="256"/>
      <c r="N17" s="257"/>
      <c r="O17" s="258"/>
      <c r="P17" s="259"/>
      <c r="Q17" s="261" t="str">
        <f>IF(I17&lt;P17,IF(P17="","",IF(S27&lt;T27,R17,IF((H17+(P17-I17)*F$3)&lt;10000,ROUNDDOWN(H17+(P17-I17)*F$3,-1),ROUNDDOWN(H17+(P17-I17)*F$3,-2)))),R17)</f>
        <v/>
      </c>
      <c r="R17" s="382" t="str">
        <f t="shared" si="0"/>
        <v/>
      </c>
      <c r="S17" s="383" t="str">
        <f t="shared" si="1"/>
        <v/>
      </c>
      <c r="T17" s="382" t="str">
        <f>IF(P17="","",(P17*N17-I17*F17)*F3)</f>
        <v/>
      </c>
    </row>
    <row r="18" spans="1:20" ht="20.25" customHeight="1">
      <c r="A18" s="252"/>
      <c r="B18" s="253"/>
      <c r="C18" s="254"/>
      <c r="D18" s="255"/>
      <c r="E18" s="256"/>
      <c r="F18" s="395"/>
      <c r="G18" s="258"/>
      <c r="H18" s="301"/>
      <c r="I18" s="259"/>
      <c r="J18" s="260"/>
      <c r="K18" s="254"/>
      <c r="L18" s="255"/>
      <c r="M18" s="256"/>
      <c r="N18" s="257"/>
      <c r="O18" s="258"/>
      <c r="P18" s="259"/>
      <c r="Q18" s="261" t="str">
        <f>IF(I18&lt;P18,IF(P18="","",IF(S27&lt;T27,R18,IF((H18+(P18-I18)*F$3)&lt;10000,ROUNDDOWN(H18+(P18-I18)*F$3,-1),ROUNDDOWN(H18+(P18-I18)*F$3,-2)))),R18)</f>
        <v/>
      </c>
      <c r="R18" s="382" t="str">
        <f t="shared" si="0"/>
        <v/>
      </c>
      <c r="S18" s="383" t="str">
        <f t="shared" si="1"/>
        <v/>
      </c>
      <c r="T18" s="382" t="str">
        <f>IF(P18="","",(P18*N18-I18*F18)*F3)</f>
        <v/>
      </c>
    </row>
    <row r="19" spans="1:20" ht="20.25" customHeight="1">
      <c r="A19" s="252"/>
      <c r="B19" s="253"/>
      <c r="C19" s="254"/>
      <c r="D19" s="255"/>
      <c r="E19" s="256"/>
      <c r="F19" s="395"/>
      <c r="G19" s="258"/>
      <c r="H19" s="301"/>
      <c r="I19" s="259"/>
      <c r="J19" s="260"/>
      <c r="K19" s="254"/>
      <c r="L19" s="255"/>
      <c r="M19" s="256"/>
      <c r="N19" s="257"/>
      <c r="O19" s="258"/>
      <c r="P19" s="259"/>
      <c r="Q19" s="261" t="str">
        <f>IF(I19&lt;P19,IF(P19="","",IF(S27&lt;T27,R19,IF((H19+(P19-I19)*F$3)&lt;10000,ROUNDDOWN(H19+(P19-I19)*F$3,-1),ROUNDDOWN(H19+(P19-I19)*F$3,-2)))),R19)</f>
        <v/>
      </c>
      <c r="R19" s="382" t="str">
        <f t="shared" si="0"/>
        <v/>
      </c>
      <c r="S19" s="383" t="str">
        <f t="shared" si="1"/>
        <v/>
      </c>
      <c r="T19" s="382" t="str">
        <f>IF(P19="","",(P19*N19-I19*F19)*F3)</f>
        <v/>
      </c>
    </row>
    <row r="20" spans="1:20" ht="20.25" customHeight="1">
      <c r="A20" s="252"/>
      <c r="B20" s="253"/>
      <c r="C20" s="254"/>
      <c r="D20" s="255"/>
      <c r="E20" s="256"/>
      <c r="F20" s="395"/>
      <c r="G20" s="258"/>
      <c r="H20" s="301"/>
      <c r="I20" s="259"/>
      <c r="J20" s="260"/>
      <c r="K20" s="254"/>
      <c r="L20" s="255"/>
      <c r="M20" s="256"/>
      <c r="N20" s="257"/>
      <c r="O20" s="258"/>
      <c r="P20" s="259"/>
      <c r="Q20" s="261" t="str">
        <f>IF(I20&lt;P20,IF(P20="","",IF(S27&lt;T27,R20,IF((H20+(P20-I20)*F$3)&lt;10000,ROUNDDOWN(H20+(P20-I20)*F$3,-1),ROUNDDOWN(H20+(P20-I20)*F$3,-2)))),R20)</f>
        <v/>
      </c>
      <c r="R20" s="382" t="str">
        <f t="shared" si="0"/>
        <v/>
      </c>
      <c r="S20" s="383" t="str">
        <f t="shared" si="1"/>
        <v/>
      </c>
      <c r="T20" s="382" t="str">
        <f>IF(P20="","",(P20*N20-I20*F20)*F3)</f>
        <v/>
      </c>
    </row>
    <row r="21" spans="1:20" ht="20.25" customHeight="1">
      <c r="A21" s="252"/>
      <c r="B21" s="253"/>
      <c r="C21" s="254"/>
      <c r="D21" s="255"/>
      <c r="E21" s="256"/>
      <c r="F21" s="395"/>
      <c r="G21" s="258"/>
      <c r="H21" s="301"/>
      <c r="I21" s="259"/>
      <c r="J21" s="260"/>
      <c r="K21" s="254"/>
      <c r="L21" s="255"/>
      <c r="M21" s="256"/>
      <c r="N21" s="257"/>
      <c r="O21" s="258"/>
      <c r="P21" s="259"/>
      <c r="Q21" s="261" t="str">
        <f>IF(I21&lt;P21,IF(P21="","",IF(S27&lt;T27,R21,IF((H21+(P21-I21)*F$3)&lt;10000,ROUNDDOWN(H21+(P21-I21)*F$3,-1),ROUNDDOWN(H21+(P21-I21)*F$3,-2)))),R21)</f>
        <v/>
      </c>
      <c r="R21" s="382" t="str">
        <f t="shared" si="0"/>
        <v/>
      </c>
      <c r="S21" s="383" t="str">
        <f t="shared" si="1"/>
        <v/>
      </c>
      <c r="T21" s="382" t="str">
        <f>IF(P21="","",(P21*N21-I21*F21)*F3)</f>
        <v/>
      </c>
    </row>
    <row r="22" spans="1:20" ht="20.25" customHeight="1">
      <c r="A22" s="252"/>
      <c r="B22" s="253"/>
      <c r="C22" s="254"/>
      <c r="D22" s="255"/>
      <c r="E22" s="256"/>
      <c r="F22" s="395"/>
      <c r="G22" s="258"/>
      <c r="H22" s="301"/>
      <c r="I22" s="259"/>
      <c r="J22" s="260"/>
      <c r="K22" s="254"/>
      <c r="L22" s="255"/>
      <c r="M22" s="256"/>
      <c r="N22" s="257"/>
      <c r="O22" s="258"/>
      <c r="P22" s="259"/>
      <c r="Q22" s="261" t="str">
        <f>IF(I22&lt;P22,IF(P22="","",IF(S27&lt;T27,R22,IF((H22+(P22-I22)*F$3)&lt;10000,ROUNDDOWN(H22+(P22-I22)*F$3,-1),ROUNDDOWN(H22+(P22-I22)*F$3,-2)))),R22)</f>
        <v/>
      </c>
      <c r="R22" s="382" t="str">
        <f t="shared" si="0"/>
        <v/>
      </c>
      <c r="S22" s="383" t="str">
        <f t="shared" si="1"/>
        <v/>
      </c>
      <c r="T22" s="382" t="str">
        <f>IF(P22="","",(P22*N22-I22*F22)*F3)</f>
        <v/>
      </c>
    </row>
    <row r="23" spans="1:20" ht="20.25" customHeight="1">
      <c r="A23" s="252"/>
      <c r="B23" s="253"/>
      <c r="C23" s="254"/>
      <c r="D23" s="255"/>
      <c r="E23" s="256"/>
      <c r="F23" s="395"/>
      <c r="G23" s="258"/>
      <c r="H23" s="301"/>
      <c r="I23" s="259"/>
      <c r="J23" s="260"/>
      <c r="K23" s="254"/>
      <c r="L23" s="255"/>
      <c r="M23" s="256"/>
      <c r="N23" s="257"/>
      <c r="O23" s="258"/>
      <c r="P23" s="259"/>
      <c r="Q23" s="261" t="str">
        <f>IF(I23&lt;P23,IF(P23="","",IF(S27&lt;T27,R23,IF((H23+(P23-I23)*F$3)&lt;10000,ROUNDDOWN(H23+(P23-I23)*F$3,-1),ROUNDDOWN(H23+(P23-I23)*F$3,-2)))),R23)</f>
        <v/>
      </c>
      <c r="R23" s="382" t="str">
        <f t="shared" si="0"/>
        <v/>
      </c>
      <c r="S23" s="383" t="str">
        <f t="shared" si="1"/>
        <v/>
      </c>
      <c r="T23" s="382" t="str">
        <f>IF(P23="","",(P23*N23-I23*F23)*F3)</f>
        <v/>
      </c>
    </row>
    <row r="24" spans="1:20" ht="20.25" customHeight="1">
      <c r="A24" s="252"/>
      <c r="B24" s="253"/>
      <c r="C24" s="254"/>
      <c r="D24" s="255"/>
      <c r="E24" s="256"/>
      <c r="F24" s="395"/>
      <c r="G24" s="258"/>
      <c r="H24" s="301"/>
      <c r="I24" s="259"/>
      <c r="J24" s="260"/>
      <c r="K24" s="254"/>
      <c r="L24" s="255"/>
      <c r="M24" s="256"/>
      <c r="N24" s="257"/>
      <c r="O24" s="258"/>
      <c r="P24" s="259"/>
      <c r="Q24" s="261" t="str">
        <f>IF(I24&lt;P24,IF(P24="","",IF(S27&lt;T27,R24,IF((H24+(P24-I24)*F$3)&lt;10000,ROUNDDOWN(H24+(P24-I24)*F$3,-1),ROUNDDOWN(H24+(P24-I24)*F$3,-2)))),R24)</f>
        <v/>
      </c>
      <c r="R24" s="382" t="str">
        <f t="shared" si="0"/>
        <v/>
      </c>
      <c r="S24" s="383" t="str">
        <f t="shared" si="1"/>
        <v/>
      </c>
      <c r="T24" s="382" t="str">
        <f>IF(P24="","",(P24*N24-I24*F24)*F3)</f>
        <v/>
      </c>
    </row>
    <row r="25" spans="1:20" ht="20.25" customHeight="1" thickBot="1">
      <c r="A25" s="364"/>
      <c r="B25" s="365"/>
      <c r="C25" s="366"/>
      <c r="D25" s="367"/>
      <c r="E25" s="368"/>
      <c r="F25" s="396"/>
      <c r="G25" s="370"/>
      <c r="H25" s="287"/>
      <c r="I25" s="371"/>
      <c r="J25" s="372"/>
      <c r="K25" s="366"/>
      <c r="L25" s="367"/>
      <c r="M25" s="368"/>
      <c r="N25" s="369"/>
      <c r="O25" s="370"/>
      <c r="P25" s="371"/>
      <c r="Q25" s="261" t="str">
        <f>IF(I25&lt;P25,IF(P25="","",IF(S27&lt;T27,R25,IF((H25+(P25-I25)*F$3)&lt;10000,ROUNDDOWN(H25+(P25-I25)*F$3,-1),ROUNDDOWN(H25+(P25-I25)*F$3,-2)))),R25)</f>
        <v/>
      </c>
      <c r="R25" s="384" t="str">
        <f t="shared" si="0"/>
        <v/>
      </c>
      <c r="S25" s="383" t="str">
        <f t="shared" si="1"/>
        <v/>
      </c>
      <c r="T25" s="382" t="str">
        <f>IF(P25="","",(P25*N25-I25*F25)*F3)</f>
        <v/>
      </c>
    </row>
    <row r="26" spans="1:20" ht="20.25" customHeight="1" thickBot="1">
      <c r="A26" s="373"/>
      <c r="B26" s="1639"/>
      <c r="C26" s="1639"/>
      <c r="D26" s="1640"/>
      <c r="E26" s="1640"/>
      <c r="F26" s="1640"/>
      <c r="G26" s="1641"/>
      <c r="H26" s="1642"/>
      <c r="I26" s="1643"/>
      <c r="J26" s="1639"/>
      <c r="K26" s="1639"/>
      <c r="L26" s="1640"/>
      <c r="M26" s="1644"/>
      <c r="N26" s="1645"/>
      <c r="O26" s="1645"/>
      <c r="P26" s="1646" t="s">
        <v>279</v>
      </c>
      <c r="Q26" s="1647"/>
      <c r="R26" s="379" t="s">
        <v>277</v>
      </c>
      <c r="S26" s="1648">
        <f>IF(SUM(S6:S25)=0,"",SUM(S6:S25))</f>
        <v>12000</v>
      </c>
      <c r="T26" s="381">
        <f>IF(SUM(T6:T25)=0,"",SUM(T6:T25))</f>
        <v>20000</v>
      </c>
    </row>
    <row r="27" spans="1:20" ht="20.25" customHeight="1" thickBot="1">
      <c r="N27" s="20" t="str">
        <f>IF(A31="","EOL","")</f>
        <v>EOL</v>
      </c>
      <c r="O27" s="32">
        <v>1</v>
      </c>
      <c r="P27" s="432"/>
      <c r="Q27" s="433"/>
      <c r="R27" s="379" t="s">
        <v>281</v>
      </c>
      <c r="S27" s="1649">
        <f ca="1">IF(INDIRECT("Q"&amp;53)="",S26,INDIRECT("s"&amp;54))</f>
        <v>12000</v>
      </c>
      <c r="T27" s="381">
        <f ca="1">IF(INDIRECT("Q"&amp;53)="",T26,INDIRECT("t"&amp;54))</f>
        <v>20000</v>
      </c>
    </row>
  </sheetData>
  <mergeCells count="6">
    <mergeCell ref="A1:L1"/>
    <mergeCell ref="N1:P1"/>
    <mergeCell ref="D2:G2"/>
    <mergeCell ref="F3:G3"/>
    <mergeCell ref="J2:T2"/>
    <mergeCell ref="J3:T3"/>
  </mergeCells>
  <phoneticPr fontId="6"/>
  <dataValidations xWindow="413" yWindow="154" count="44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" xr:uid="{00000000-0002-0000-0A00-000000000000}">
      <formula1>IF(SUM(H6:I26)&gt;0,H3=0,TRUE)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6" xr:uid="{00000000-0002-0000-0A00-000001000000}">
      <formula1>IF(SUM(H3:I3)&gt;0,H6=0,TRUE)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6" xr:uid="{00000000-0002-0000-0A00-000002000000}">
      <formula1>IF(SUM(H3:I3)&gt;0,I6=0,TRUE)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7" xr:uid="{00000000-0002-0000-0A00-000003000000}">
      <formula1>IF(SUM(H3:I3)&gt;0,H7=0,TRUE)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7" xr:uid="{00000000-0002-0000-0A00-000004000000}">
      <formula1>IF(SUM(H3:I3)&gt;0,I7=0,TRUE)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8" xr:uid="{00000000-0002-0000-0A00-000005000000}">
      <formula1>IF(SUM(H3:I3)&gt;0,I8=0,TRUE)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8" xr:uid="{00000000-0002-0000-0A00-000006000000}">
      <formula1>IF(SUM(H3:I3)&gt;0,H8=0,TRUE)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9" xr:uid="{00000000-0002-0000-0A00-000007000000}">
      <formula1>IF(SUM(H3:I3)&gt;0,H9=0,TRUE)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0" xr:uid="{00000000-0002-0000-0A00-000008000000}">
      <formula1>IF(SUM(H3:I3)&gt;0,I10=0,TRUE)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" xr:uid="{00000000-0002-0000-0A00-000009000000}">
      <formula1>IF(SUM(H3:I3)&gt;0,H11=0,TRUE)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" xr:uid="{00000000-0002-0000-0A00-00000A000000}">
      <formula1>IF(SUM(H3:I3)&gt;0,H12=0,TRUE)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" xr:uid="{00000000-0002-0000-0A00-00000B000000}">
      <formula1>IF(SUM(H3:I3)&gt;0,I12=0,TRUE)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" xr:uid="{00000000-0002-0000-0A00-00000C000000}">
      <formula1>IF(SUM(H3:I3)&gt;0,H13=0,TRUE)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" xr:uid="{00000000-0002-0000-0A00-00000D000000}">
      <formula1>IF(SUM(H3:I3)&gt;0,I13=0,TRUE)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4" xr:uid="{00000000-0002-0000-0A00-00000E000000}">
      <formula1>IF(SUM(H3:I3)&gt;0,H14=0,TRUE)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4" xr:uid="{00000000-0002-0000-0A00-00000F000000}">
      <formula1>IF(SUM(H3:I3)&gt;0,I14=0,TRUE)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5" xr:uid="{00000000-0002-0000-0A00-000010000000}">
      <formula1>IF(SUM(H3:I3)&gt;0,H15=0,TRUE)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5" xr:uid="{00000000-0002-0000-0A00-000011000000}">
      <formula1>IF(SUM(H3:I3)&gt;0,I15=0,TRUE)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6" xr:uid="{00000000-0002-0000-0A00-000012000000}">
      <formula1>IF(SUM(H3:I3)&gt;0,H16=0,TRUE)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6" xr:uid="{00000000-0002-0000-0A00-000013000000}">
      <formula1>IF(SUM(H3:I3)&gt;0,I16=0,TRUE)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7" xr:uid="{00000000-0002-0000-0A00-000014000000}">
      <formula1>IF(SUM(H3:I3)&gt;0,H17=0,TRUE)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7" xr:uid="{00000000-0002-0000-0A00-000015000000}">
      <formula1>IF(SUM(H3:I3)&gt;0,I17=0,TRUE)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8" xr:uid="{00000000-0002-0000-0A00-000016000000}">
      <formula1>IF(SUM(H3:I3)&gt;0,H18=0,TRUE)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8" xr:uid="{00000000-0002-0000-0A00-000017000000}">
      <formula1>IF(SUM(H3:I3)&gt;0,I18=0,TRUE)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9" xr:uid="{00000000-0002-0000-0A00-000018000000}">
      <formula1>IF(SUM(H3:I3)&gt;0,H19=0,TRUE)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9" xr:uid="{00000000-0002-0000-0A00-000019000000}">
      <formula1>IF(SUM(H3:I3)&gt;0,I19=0,TRUE)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0" xr:uid="{00000000-0002-0000-0A00-00001A000000}">
      <formula1>IF(SUM(H3:I3)&gt;0,H20=0,TRUE)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0" xr:uid="{00000000-0002-0000-0A00-00001B000000}">
      <formula1>IF(SUM(H3:I3)&gt;0,I20=0,TRUE)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1" xr:uid="{00000000-0002-0000-0A00-00001C000000}">
      <formula1>IF(SUM(H3:I3)&gt;0,H21=0,TRUE)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1" xr:uid="{00000000-0002-0000-0A00-00001D000000}">
      <formula1>IF(SUM(H3:I3)&gt;0,I21=0,TRUE)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2" xr:uid="{00000000-0002-0000-0A00-00001E000000}">
      <formula1>IF(SUM(H3:I3)&gt;0,H22=0,TRUE)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2" xr:uid="{00000000-0002-0000-0A00-00001F000000}">
      <formula1>IF(SUM(H3:I3)&gt;0,I22=0,TRUE)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3" xr:uid="{00000000-0002-0000-0A00-000020000000}">
      <formula1>IF(SUM(H3:I3)&gt;0,I23=0,TRUE)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4" xr:uid="{00000000-0002-0000-0A00-000021000000}">
      <formula1>IF(SUM(H3:I3)&gt;0,H24=0,TRUE)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4" xr:uid="{00000000-0002-0000-0A00-000022000000}">
      <formula1>IF(SUM(H3:I3)&gt;0,I24=0,TRUE)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5" xr:uid="{00000000-0002-0000-0A00-000023000000}">
      <formula1>IF(SUM(H3:I3)&gt;0,H25=0,TRUE)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5" xr:uid="{00000000-0002-0000-0A00-000024000000}">
      <formula1>IF(SUM(H3:I3)&gt;0,I25=0,TRUE)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6" xr:uid="{00000000-0002-0000-0A00-000025000000}">
      <formula1>IF(SUM(H3:I3)&gt;0,H26=0,TRUE)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6" xr:uid="{00000000-0002-0000-0A00-000026000000}">
      <formula1>IF(SUM(H3:I3)&gt;0,I26=0,TRUE)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3" xr:uid="{00000000-0002-0000-0A00-000027000000}">
      <formula1>IF(SUM(H6:I26)&gt;0,I3=0,TRUE)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0" xr:uid="{00000000-0002-0000-0A00-000028000000}">
      <formula1>IF(SUM(H3:I3)&gt;0,H10=0,TRUE)</formula1>
    </dataValidation>
    <dataValidation type="custom" allowBlank="1" showInputMessage="1" showErrorMessage="1" errorTitle="各項目での比較時のみ記入" error="採用業者全体金額が踐⚩_x0000__x0000__x0000__x0000__xffff__x000f__x000b__x0000_䀀_x0000__x0000__x0000__xffff__xffff_記入できません。" sqref="I9" xr:uid="{00000000-0002-0000-0A00-000029000000}">
      <formula1>IF(SUM(H3:I3)&gt;0,I9=0,TRUE)</formula1>
    </dataValidation>
    <dataValidation type="custom" allowBlank="1" showInputMessage="1" showErrorMessage="1" errorTitle="各項目での比較時のみ記入" error="採用業者全体金額がᴯ_x0000__x0000__x0000__x0000__xffff__x000f__x000a__x0000_䀀_x0000__x0000__x0000__xffff__xffff_記入できません。" sqref="I11" xr:uid="{00000000-0002-0000-0A00-00002A000000}">
      <formula1>IF(SUM(H3:I3)&gt;0,I11=0,TRUE)</formula1>
    </dataValidation>
    <dataValidation type="custom" allowBlank="1" showInputMessage="1" showErrorMessage="1" errorTitle="各項目での比較時のみ記入" error="採用業者全体金額が㋐ヨ_x0000__x0000__x0000__x0000__xffff__x000f__x0009__x0000_䀀_x0000__x0000__x0000__xffff__xffff_記入できません。" sqref="H23" xr:uid="{00000000-0002-0000-0A00-00002B000000}">
      <formula1>IF(SUM(H3:I3)&gt;0,H23=0,TRUE)</formula1>
    </dataValidation>
  </dataValidations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E21"/>
  <sheetViews>
    <sheetView topLeftCell="B1" workbookViewId="0">
      <selection activeCell="B1" sqref="B1"/>
    </sheetView>
  </sheetViews>
  <sheetFormatPr baseColWidth="10" defaultColWidth="9" defaultRowHeight="13"/>
  <cols>
    <col min="1" max="1" width="2.6640625" style="153" hidden="1" customWidth="1"/>
    <col min="2" max="2" width="19.33203125" style="78" customWidth="1"/>
    <col min="3" max="3" width="22.5" style="78" customWidth="1"/>
    <col min="4" max="4" width="5.1640625" style="78" customWidth="1"/>
    <col min="5" max="5" width="5.1640625" style="90" customWidth="1"/>
    <col min="6" max="22" width="5.1640625" style="78" customWidth="1"/>
    <col min="23" max="27" width="4.6640625" style="78" customWidth="1"/>
    <col min="28" max="16384" width="9" style="78"/>
  </cols>
  <sheetData>
    <row r="1" spans="1:31" ht="15" customHeight="1">
      <c r="B1" s="168" t="s">
        <v>138</v>
      </c>
      <c r="F1" s="153"/>
      <c r="G1" s="332"/>
      <c r="H1" s="333"/>
      <c r="I1" s="333"/>
      <c r="J1" s="334"/>
      <c r="K1" s="335" t="s">
        <v>282</v>
      </c>
      <c r="L1" s="336" t="s">
        <v>283</v>
      </c>
      <c r="M1" s="336" t="s">
        <v>284</v>
      </c>
      <c r="N1" s="337" t="s">
        <v>285</v>
      </c>
      <c r="O1" s="338"/>
      <c r="P1" s="339"/>
      <c r="Q1" s="339"/>
      <c r="R1" s="340"/>
      <c r="S1" s="335" t="s">
        <v>282</v>
      </c>
      <c r="T1" s="336" t="s">
        <v>283</v>
      </c>
      <c r="U1" s="336" t="s">
        <v>284</v>
      </c>
      <c r="V1" s="337" t="s">
        <v>285</v>
      </c>
      <c r="W1" s="341"/>
    </row>
    <row r="2" spans="1:31" ht="15" customHeight="1">
      <c r="B2" s="168"/>
      <c r="E2" s="342"/>
      <c r="G2" s="2269" t="s">
        <v>286</v>
      </c>
      <c r="H2" s="2270"/>
      <c r="I2" s="2270"/>
      <c r="J2" s="2271"/>
      <c r="K2" s="343">
        <f>+H9+L9</f>
        <v>0</v>
      </c>
      <c r="L2" s="344">
        <f>+I9+M9</f>
        <v>0</v>
      </c>
      <c r="M2" s="344">
        <f>+J9+N9</f>
        <v>0</v>
      </c>
      <c r="N2" s="345">
        <f>+K9+O9</f>
        <v>0</v>
      </c>
      <c r="O2" s="2272" t="s">
        <v>263</v>
      </c>
      <c r="P2" s="2273"/>
      <c r="Q2" s="2273"/>
      <c r="R2" s="2274"/>
      <c r="S2" s="343">
        <f>+P9+T9+X9</f>
        <v>0</v>
      </c>
      <c r="T2" s="344">
        <f>+Q9+U9+Y9</f>
        <v>0</v>
      </c>
      <c r="U2" s="344">
        <f>+R9+V9+Z9</f>
        <v>0</v>
      </c>
      <c r="V2" s="345">
        <f>+S9+W9+AA9</f>
        <v>0</v>
      </c>
      <c r="W2" s="346"/>
    </row>
    <row r="3" spans="1:31" ht="15" customHeight="1">
      <c r="B3" s="168"/>
      <c r="E3" s="342"/>
      <c r="G3" s="2278" t="s">
        <v>287</v>
      </c>
      <c r="H3" s="2279"/>
      <c r="I3" s="2279"/>
      <c r="J3" s="2280"/>
      <c r="K3" s="347">
        <f>+H9</f>
        <v>0</v>
      </c>
      <c r="L3" s="348">
        <f>+I9</f>
        <v>0</v>
      </c>
      <c r="M3" s="348">
        <f>+J9</f>
        <v>0</v>
      </c>
      <c r="N3" s="349">
        <f>+K9</f>
        <v>0</v>
      </c>
      <c r="O3" s="2281" t="s">
        <v>264</v>
      </c>
      <c r="P3" s="2282"/>
      <c r="Q3" s="2282"/>
      <c r="R3" s="2283"/>
      <c r="S3" s="347">
        <f>+P9</f>
        <v>0</v>
      </c>
      <c r="T3" s="348">
        <f>+Q9</f>
        <v>0</v>
      </c>
      <c r="U3" s="348">
        <f>+R9</f>
        <v>0</v>
      </c>
      <c r="V3" s="349">
        <f>+S9</f>
        <v>0</v>
      </c>
      <c r="W3" s="346"/>
    </row>
    <row r="4" spans="1:31" ht="15" customHeight="1">
      <c r="B4" s="168"/>
      <c r="E4" s="342"/>
      <c r="G4" s="2278" t="s">
        <v>288</v>
      </c>
      <c r="H4" s="2279"/>
      <c r="I4" s="2279"/>
      <c r="J4" s="2280"/>
      <c r="K4" s="347">
        <f>+L9</f>
        <v>0</v>
      </c>
      <c r="L4" s="348">
        <f>+M9</f>
        <v>0</v>
      </c>
      <c r="M4" s="348">
        <f>+N9</f>
        <v>0</v>
      </c>
      <c r="N4" s="349">
        <f>+O9</f>
        <v>0</v>
      </c>
      <c r="O4" s="2281" t="s">
        <v>265</v>
      </c>
      <c r="P4" s="2282"/>
      <c r="Q4" s="2282"/>
      <c r="R4" s="2283"/>
      <c r="S4" s="347">
        <f>+T9</f>
        <v>0</v>
      </c>
      <c r="T4" s="348">
        <f>+U9</f>
        <v>0</v>
      </c>
      <c r="U4" s="348">
        <f>+V9</f>
        <v>0</v>
      </c>
      <c r="V4" s="349">
        <f>+W9</f>
        <v>0</v>
      </c>
      <c r="W4" s="346"/>
    </row>
    <row r="5" spans="1:31" ht="15" customHeight="1">
      <c r="B5" s="168"/>
      <c r="E5" s="342"/>
      <c r="G5" s="2275"/>
      <c r="H5" s="2276"/>
      <c r="I5" s="2276"/>
      <c r="J5" s="2277"/>
      <c r="K5" s="350"/>
      <c r="L5" s="350"/>
      <c r="M5" s="350"/>
      <c r="N5" s="350"/>
      <c r="O5" s="2275" t="s">
        <v>289</v>
      </c>
      <c r="P5" s="2276"/>
      <c r="Q5" s="2276"/>
      <c r="R5" s="2277"/>
      <c r="S5" s="350">
        <f>X9</f>
        <v>0</v>
      </c>
      <c r="T5" s="350">
        <f>Y9</f>
        <v>0</v>
      </c>
      <c r="U5" s="350">
        <f>Z9</f>
        <v>0</v>
      </c>
      <c r="V5" s="351">
        <f>AA9</f>
        <v>0</v>
      </c>
      <c r="W5" s="346"/>
      <c r="AB5" s="357"/>
      <c r="AC5" s="357"/>
      <c r="AD5" s="357"/>
      <c r="AE5" s="357"/>
    </row>
    <row r="6" spans="1:31" ht="7.5" customHeight="1">
      <c r="B6" s="168"/>
      <c r="E6" s="352"/>
      <c r="F6" s="353"/>
      <c r="G6" s="354"/>
      <c r="H6" s="354"/>
      <c r="I6" s="354"/>
      <c r="J6" s="354"/>
      <c r="K6" s="355"/>
      <c r="L6" s="353"/>
      <c r="M6" s="353"/>
      <c r="N6" s="353"/>
      <c r="O6" s="353"/>
      <c r="P6" s="353"/>
      <c r="Q6" s="353"/>
      <c r="R6" s="353"/>
      <c r="S6" s="356"/>
      <c r="T6" s="356"/>
      <c r="U6" s="356"/>
      <c r="V6" s="356"/>
      <c r="W6" s="346"/>
    </row>
    <row r="7" spans="1:31" ht="15" customHeight="1">
      <c r="B7" s="160"/>
      <c r="C7" s="161"/>
      <c r="D7" s="162"/>
      <c r="E7" s="175"/>
      <c r="F7" s="397"/>
      <c r="G7" s="398"/>
      <c r="H7" s="2260" t="s">
        <v>258</v>
      </c>
      <c r="I7" s="2261"/>
      <c r="J7" s="2261"/>
      <c r="K7" s="2262"/>
      <c r="L7" s="2260" t="s">
        <v>290</v>
      </c>
      <c r="M7" s="2261"/>
      <c r="N7" s="2261"/>
      <c r="O7" s="2262"/>
      <c r="P7" s="2260" t="s">
        <v>291</v>
      </c>
      <c r="Q7" s="2261"/>
      <c r="R7" s="2261"/>
      <c r="S7" s="2262"/>
      <c r="T7" s="2260" t="s">
        <v>266</v>
      </c>
      <c r="U7" s="2261"/>
      <c r="V7" s="2261"/>
      <c r="W7" s="2262"/>
      <c r="X7" s="2260" t="s">
        <v>292</v>
      </c>
      <c r="Y7" s="2261"/>
      <c r="Z7" s="2261"/>
      <c r="AA7" s="2262"/>
    </row>
    <row r="8" spans="1:31">
      <c r="B8" s="159" t="s">
        <v>66</v>
      </c>
      <c r="C8" s="140" t="s">
        <v>67</v>
      </c>
      <c r="D8" s="156" t="s">
        <v>20</v>
      </c>
      <c r="E8" s="176" t="s">
        <v>68</v>
      </c>
      <c r="F8" s="399" t="s">
        <v>139</v>
      </c>
      <c r="G8" s="400" t="s">
        <v>293</v>
      </c>
      <c r="H8" s="157" t="s">
        <v>282</v>
      </c>
      <c r="I8" s="58" t="s">
        <v>283</v>
      </c>
      <c r="J8" s="58" t="s">
        <v>284</v>
      </c>
      <c r="K8" s="158" t="s">
        <v>285</v>
      </c>
      <c r="L8" s="157" t="s">
        <v>282</v>
      </c>
      <c r="M8" s="58" t="s">
        <v>283</v>
      </c>
      <c r="N8" s="58" t="s">
        <v>284</v>
      </c>
      <c r="O8" s="158" t="s">
        <v>285</v>
      </c>
      <c r="P8" s="157" t="s">
        <v>282</v>
      </c>
      <c r="Q8" s="58" t="s">
        <v>283</v>
      </c>
      <c r="R8" s="58" t="s">
        <v>284</v>
      </c>
      <c r="S8" s="158" t="s">
        <v>285</v>
      </c>
      <c r="T8" s="157" t="s">
        <v>282</v>
      </c>
      <c r="U8" s="58" t="s">
        <v>283</v>
      </c>
      <c r="V8" s="58" t="s">
        <v>284</v>
      </c>
      <c r="W8" s="158" t="s">
        <v>285</v>
      </c>
      <c r="X8" s="157" t="s">
        <v>282</v>
      </c>
      <c r="Y8" s="58" t="s">
        <v>283</v>
      </c>
      <c r="Z8" s="58" t="s">
        <v>284</v>
      </c>
      <c r="AA8" s="158" t="s">
        <v>285</v>
      </c>
    </row>
    <row r="9" spans="1:31" s="166" customFormat="1" ht="11.25" customHeight="1">
      <c r="A9" s="163"/>
      <c r="B9" s="164"/>
      <c r="C9" s="165"/>
      <c r="D9" s="167"/>
      <c r="E9" s="330" t="s">
        <v>294</v>
      </c>
      <c r="F9" s="401" t="s">
        <v>295</v>
      </c>
      <c r="G9" s="402"/>
      <c r="H9" s="187">
        <f t="shared" ref="H9:AA9" si="0">SUM(H10:H12)</f>
        <v>0</v>
      </c>
      <c r="I9" s="188">
        <f t="shared" si="0"/>
        <v>0</v>
      </c>
      <c r="J9" s="188">
        <f t="shared" si="0"/>
        <v>0</v>
      </c>
      <c r="K9" s="189">
        <f t="shared" si="0"/>
        <v>0</v>
      </c>
      <c r="L9" s="187">
        <f t="shared" si="0"/>
        <v>0</v>
      </c>
      <c r="M9" s="188">
        <f t="shared" si="0"/>
        <v>0</v>
      </c>
      <c r="N9" s="188">
        <f t="shared" si="0"/>
        <v>0</v>
      </c>
      <c r="O9" s="189">
        <f t="shared" si="0"/>
        <v>0</v>
      </c>
      <c r="P9" s="187">
        <f t="shared" si="0"/>
        <v>0</v>
      </c>
      <c r="Q9" s="188">
        <f t="shared" si="0"/>
        <v>0</v>
      </c>
      <c r="R9" s="188">
        <f t="shared" si="0"/>
        <v>0</v>
      </c>
      <c r="S9" s="189">
        <f t="shared" si="0"/>
        <v>0</v>
      </c>
      <c r="T9" s="188">
        <f t="shared" si="0"/>
        <v>0</v>
      </c>
      <c r="U9" s="188">
        <f t="shared" si="0"/>
        <v>0</v>
      </c>
      <c r="V9" s="188">
        <f t="shared" si="0"/>
        <v>0</v>
      </c>
      <c r="W9" s="189">
        <f t="shared" si="0"/>
        <v>0</v>
      </c>
      <c r="X9" s="188">
        <f t="shared" si="0"/>
        <v>0</v>
      </c>
      <c r="Y9" s="188">
        <f t="shared" si="0"/>
        <v>0</v>
      </c>
      <c r="Z9" s="188">
        <f t="shared" si="0"/>
        <v>0</v>
      </c>
      <c r="AA9" s="189">
        <f t="shared" si="0"/>
        <v>0</v>
      </c>
    </row>
    <row r="10" spans="1:31" s="166" customFormat="1" ht="11.25" customHeight="1">
      <c r="B10" s="178"/>
      <c r="C10" s="179"/>
      <c r="D10" s="180"/>
      <c r="E10" s="182"/>
      <c r="F10" s="1182"/>
      <c r="G10" s="403"/>
      <c r="H10" s="190"/>
      <c r="I10" s="191"/>
      <c r="J10" s="191"/>
      <c r="K10" s="192"/>
      <c r="L10" s="190"/>
      <c r="M10" s="191"/>
      <c r="N10" s="191"/>
      <c r="O10" s="192"/>
      <c r="P10" s="190"/>
      <c r="Q10" s="191"/>
      <c r="R10" s="191"/>
      <c r="S10" s="192"/>
      <c r="T10" s="190"/>
      <c r="U10" s="191"/>
      <c r="V10" s="191"/>
      <c r="W10" s="192"/>
      <c r="X10" s="190"/>
      <c r="Y10" s="191"/>
      <c r="Z10" s="191"/>
      <c r="AA10" s="192"/>
    </row>
    <row r="11" spans="1:31" s="166" customFormat="1" ht="11.25" customHeight="1">
      <c r="A11" s="153" t="s">
        <v>296</v>
      </c>
      <c r="B11" s="172"/>
      <c r="C11" s="173"/>
      <c r="D11" s="174"/>
      <c r="E11" s="183"/>
      <c r="F11" s="404"/>
      <c r="G11" s="405"/>
      <c r="H11" s="193">
        <f>D11*E11</f>
        <v>0</v>
      </c>
      <c r="I11" s="194"/>
      <c r="J11" s="194"/>
      <c r="K11" s="195"/>
      <c r="L11" s="193"/>
      <c r="M11" s="194"/>
      <c r="N11" s="194"/>
      <c r="O11" s="195"/>
      <c r="P11" s="193"/>
      <c r="Q11" s="194"/>
      <c r="R11" s="194"/>
      <c r="S11" s="195"/>
      <c r="T11" s="193"/>
      <c r="U11" s="194"/>
      <c r="V11" s="194"/>
      <c r="W11" s="195"/>
      <c r="X11" s="193"/>
      <c r="Y11" s="194"/>
      <c r="Z11" s="194"/>
      <c r="AA11" s="195"/>
    </row>
    <row r="12" spans="1:31">
      <c r="A12" s="78"/>
      <c r="B12" s="170"/>
      <c r="C12" s="171"/>
      <c r="D12" s="177"/>
      <c r="E12" s="184"/>
      <c r="F12" s="406"/>
      <c r="G12" s="407"/>
      <c r="H12" s="196"/>
      <c r="I12" s="197"/>
      <c r="J12" s="197"/>
      <c r="K12" s="198"/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ht="14">
      <c r="B13" s="169" t="s">
        <v>137</v>
      </c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31" ht="15" customHeight="1">
      <c r="B14" s="160" t="s">
        <v>135</v>
      </c>
      <c r="C14" s="161"/>
      <c r="D14" s="162"/>
      <c r="E14" s="2263" t="s">
        <v>124</v>
      </c>
      <c r="F14" s="2264"/>
      <c r="G14" s="2264"/>
      <c r="H14" s="2264"/>
      <c r="I14" s="2264"/>
      <c r="J14" s="2264"/>
      <c r="K14" s="2264"/>
      <c r="L14" s="2264"/>
      <c r="M14" s="2264"/>
      <c r="N14" s="2264"/>
      <c r="O14" s="2264"/>
      <c r="P14" s="2264"/>
      <c r="Q14" s="2264"/>
      <c r="R14" s="2265"/>
      <c r="S14" s="2266"/>
      <c r="T14" s="2260" t="s">
        <v>297</v>
      </c>
      <c r="U14" s="2267"/>
      <c r="V14" s="2267"/>
      <c r="W14" s="2268"/>
    </row>
    <row r="15" spans="1:31" ht="13.5" customHeight="1">
      <c r="B15" s="223"/>
      <c r="C15" s="224"/>
      <c r="D15" s="225"/>
      <c r="E15" s="266" t="s">
        <v>298</v>
      </c>
      <c r="F15" s="267" t="s">
        <v>299</v>
      </c>
      <c r="G15" s="267" t="s">
        <v>207</v>
      </c>
      <c r="H15" s="267" t="s">
        <v>207</v>
      </c>
      <c r="I15" s="267" t="s">
        <v>300</v>
      </c>
      <c r="J15" s="268" t="s">
        <v>301</v>
      </c>
      <c r="K15" s="270" t="s">
        <v>217</v>
      </c>
      <c r="L15" s="267" t="s">
        <v>120</v>
      </c>
      <c r="M15" s="267" t="s">
        <v>218</v>
      </c>
      <c r="N15" s="267" t="s">
        <v>302</v>
      </c>
      <c r="O15" s="271" t="s">
        <v>219</v>
      </c>
      <c r="P15" s="272" t="s">
        <v>221</v>
      </c>
      <c r="Q15" s="408" t="s">
        <v>119</v>
      </c>
      <c r="R15" s="409" t="s">
        <v>210</v>
      </c>
      <c r="S15" s="410" t="s">
        <v>211</v>
      </c>
      <c r="T15" s="411" t="s">
        <v>125</v>
      </c>
      <c r="U15" s="267" t="s">
        <v>128</v>
      </c>
      <c r="V15" s="409" t="s">
        <v>303</v>
      </c>
      <c r="W15" s="410" t="s">
        <v>127</v>
      </c>
    </row>
    <row r="16" spans="1:31" ht="12.75" customHeight="1">
      <c r="B16" s="159" t="s">
        <v>66</v>
      </c>
      <c r="C16" s="140" t="s">
        <v>67</v>
      </c>
      <c r="D16" s="155" t="s">
        <v>20</v>
      </c>
      <c r="E16" s="331"/>
      <c r="F16" s="269"/>
      <c r="G16" s="269" t="s">
        <v>214</v>
      </c>
      <c r="H16" s="269" t="s">
        <v>215</v>
      </c>
      <c r="I16" s="269"/>
      <c r="J16" s="269" t="s">
        <v>216</v>
      </c>
      <c r="K16" s="269" t="s">
        <v>304</v>
      </c>
      <c r="L16" s="269"/>
      <c r="M16" s="269" t="s">
        <v>267</v>
      </c>
      <c r="N16" s="269" t="s">
        <v>268</v>
      </c>
      <c r="O16" s="269" t="s">
        <v>220</v>
      </c>
      <c r="P16" s="269" t="s">
        <v>222</v>
      </c>
      <c r="Q16" s="412" t="s">
        <v>269</v>
      </c>
      <c r="R16" s="225" t="s">
        <v>305</v>
      </c>
      <c r="S16" s="413" t="s">
        <v>305</v>
      </c>
      <c r="T16" s="414"/>
      <c r="U16" s="224"/>
      <c r="V16" s="415"/>
      <c r="W16" s="413"/>
    </row>
    <row r="17" spans="1:23" s="166" customFormat="1">
      <c r="A17" s="163"/>
      <c r="B17" s="164"/>
      <c r="C17" s="165"/>
      <c r="D17" s="167"/>
      <c r="E17" s="187">
        <f t="shared" ref="E17:W17" si="1">SUM(E18:E24)</f>
        <v>0</v>
      </c>
      <c r="F17" s="188">
        <f t="shared" si="1"/>
        <v>0</v>
      </c>
      <c r="G17" s="188">
        <f t="shared" si="1"/>
        <v>0</v>
      </c>
      <c r="H17" s="188">
        <f t="shared" si="1"/>
        <v>0</v>
      </c>
      <c r="I17" s="188">
        <f t="shared" si="1"/>
        <v>0</v>
      </c>
      <c r="J17" s="188">
        <f t="shared" si="1"/>
        <v>0</v>
      </c>
      <c r="K17" s="188">
        <f t="shared" si="1"/>
        <v>0</v>
      </c>
      <c r="L17" s="188">
        <f t="shared" si="1"/>
        <v>0</v>
      </c>
      <c r="M17" s="188">
        <f t="shared" si="1"/>
        <v>0</v>
      </c>
      <c r="N17" s="188">
        <f t="shared" si="1"/>
        <v>0</v>
      </c>
      <c r="O17" s="275">
        <f t="shared" si="1"/>
        <v>0</v>
      </c>
      <c r="P17" s="188">
        <f t="shared" si="1"/>
        <v>0</v>
      </c>
      <c r="Q17" s="416">
        <f t="shared" si="1"/>
        <v>0</v>
      </c>
      <c r="R17" s="188">
        <f t="shared" si="1"/>
        <v>0</v>
      </c>
      <c r="S17" s="189">
        <f t="shared" si="1"/>
        <v>0</v>
      </c>
      <c r="T17" s="417">
        <f t="shared" si="1"/>
        <v>0</v>
      </c>
      <c r="U17" s="188">
        <f t="shared" si="1"/>
        <v>0</v>
      </c>
      <c r="V17" s="416">
        <f t="shared" si="1"/>
        <v>0</v>
      </c>
      <c r="W17" s="189">
        <f t="shared" si="1"/>
        <v>0</v>
      </c>
    </row>
    <row r="18" spans="1:23" s="166" customFormat="1" ht="11.25" customHeight="1">
      <c r="B18" s="172"/>
      <c r="C18" s="173"/>
      <c r="D18" s="174"/>
      <c r="E18" s="193"/>
      <c r="F18" s="194"/>
      <c r="G18" s="194"/>
      <c r="H18" s="194"/>
      <c r="I18" s="194"/>
      <c r="J18" s="194"/>
      <c r="K18" s="194"/>
      <c r="L18" s="194"/>
      <c r="M18" s="194"/>
      <c r="N18" s="194"/>
      <c r="O18" s="273"/>
      <c r="P18" s="194"/>
      <c r="Q18" s="418"/>
      <c r="R18" s="194"/>
      <c r="S18" s="195"/>
      <c r="T18" s="419"/>
      <c r="U18" s="194"/>
      <c r="V18" s="418"/>
      <c r="W18" s="420"/>
    </row>
    <row r="19" spans="1:23" s="166" customFormat="1" ht="11.25" customHeight="1">
      <c r="A19" s="153" t="s">
        <v>270</v>
      </c>
      <c r="B19" s="172"/>
      <c r="C19" s="173"/>
      <c r="D19" s="174"/>
      <c r="E19" s="193"/>
      <c r="F19" s="194"/>
      <c r="G19" s="194"/>
      <c r="H19" s="194"/>
      <c r="I19" s="194"/>
      <c r="J19" s="194"/>
      <c r="K19" s="194"/>
      <c r="L19" s="194"/>
      <c r="M19" s="194"/>
      <c r="N19" s="194"/>
      <c r="O19" s="273"/>
      <c r="P19" s="194"/>
      <c r="Q19" s="418"/>
      <c r="R19" s="194"/>
      <c r="S19" s="195"/>
      <c r="T19" s="419"/>
      <c r="U19" s="194">
        <f>$D19*O19</f>
        <v>0</v>
      </c>
      <c r="V19" s="418">
        <f>$D19*P19</f>
        <v>0</v>
      </c>
      <c r="W19" s="421"/>
    </row>
    <row r="20" spans="1:23">
      <c r="A20" s="78"/>
      <c r="B20" s="170"/>
      <c r="C20" s="171"/>
      <c r="D20" s="177"/>
      <c r="E20" s="196"/>
      <c r="F20" s="197"/>
      <c r="G20" s="197"/>
      <c r="H20" s="274"/>
      <c r="I20" s="274"/>
      <c r="J20" s="274"/>
      <c r="K20" s="274"/>
      <c r="L20" s="274"/>
      <c r="M20" s="274"/>
      <c r="N20" s="274"/>
      <c r="O20" s="274"/>
      <c r="P20" s="274"/>
      <c r="Q20" s="422"/>
      <c r="R20" s="197"/>
      <c r="S20" s="198"/>
      <c r="T20" s="423"/>
      <c r="U20" s="197">
        <f>$D20*O20</f>
        <v>0</v>
      </c>
      <c r="V20" s="424">
        <f>$D20*P20</f>
        <v>0</v>
      </c>
      <c r="W20" s="425"/>
    </row>
    <row r="21" spans="1:23">
      <c r="E21" s="78"/>
    </row>
  </sheetData>
  <mergeCells count="15">
    <mergeCell ref="X7:AA7"/>
    <mergeCell ref="E14:S14"/>
    <mergeCell ref="T14:W14"/>
    <mergeCell ref="G2:J2"/>
    <mergeCell ref="O2:R2"/>
    <mergeCell ref="G5:J5"/>
    <mergeCell ref="O5:R5"/>
    <mergeCell ref="G3:J3"/>
    <mergeCell ref="O3:R3"/>
    <mergeCell ref="G4:J4"/>
    <mergeCell ref="O4:R4"/>
    <mergeCell ref="H7:K7"/>
    <mergeCell ref="L7:O7"/>
    <mergeCell ref="P7:S7"/>
    <mergeCell ref="T7:W7"/>
  </mergeCells>
  <phoneticPr fontId="6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F13"/>
  <sheetViews>
    <sheetView workbookViewId="0"/>
  </sheetViews>
  <sheetFormatPr baseColWidth="10" defaultColWidth="9" defaultRowHeight="14"/>
  <cols>
    <col min="1" max="1" width="3.6640625" style="132" customWidth="1"/>
    <col min="2" max="2" width="4.83203125" style="132" customWidth="1"/>
    <col min="3" max="3" width="16.33203125" style="132" customWidth="1"/>
    <col min="4" max="4" width="16.6640625" style="132" customWidth="1"/>
    <col min="5" max="5" width="5.33203125" style="132" bestFit="1" customWidth="1"/>
    <col min="6" max="6" width="23.6640625" style="132" bestFit="1" customWidth="1"/>
    <col min="7" max="13" width="4.6640625" style="132" customWidth="1"/>
    <col min="14" max="32" width="5.6640625" style="132" customWidth="1"/>
    <col min="33" max="16384" width="9" style="132"/>
  </cols>
  <sheetData>
    <row r="1" spans="1:32">
      <c r="A1" s="132" t="s">
        <v>38</v>
      </c>
      <c r="B1" s="132" t="s">
        <v>29</v>
      </c>
      <c r="C1" s="132" t="s">
        <v>58</v>
      </c>
      <c r="D1" s="132" t="s">
        <v>30</v>
      </c>
      <c r="E1" s="132" t="s">
        <v>31</v>
      </c>
      <c r="F1" s="132" t="s">
        <v>37</v>
      </c>
      <c r="G1" s="132" t="s">
        <v>32</v>
      </c>
      <c r="H1" s="132" t="s">
        <v>33</v>
      </c>
      <c r="I1" s="132" t="s">
        <v>88</v>
      </c>
      <c r="J1" s="132" t="s">
        <v>89</v>
      </c>
      <c r="K1" s="132" t="s">
        <v>34</v>
      </c>
      <c r="L1" s="132" t="s">
        <v>35</v>
      </c>
      <c r="M1" s="132" t="s">
        <v>36</v>
      </c>
      <c r="N1" s="132" t="s">
        <v>136</v>
      </c>
      <c r="O1" s="132" t="s">
        <v>259</v>
      </c>
      <c r="P1" s="132" t="s">
        <v>206</v>
      </c>
      <c r="Q1" s="132" t="s">
        <v>224</v>
      </c>
      <c r="R1" s="132" t="s">
        <v>225</v>
      </c>
      <c r="S1" s="132" t="s">
        <v>119</v>
      </c>
      <c r="T1" s="132" t="s">
        <v>130</v>
      </c>
      <c r="U1" s="132" t="s">
        <v>121</v>
      </c>
      <c r="V1" s="132" t="s">
        <v>120</v>
      </c>
      <c r="W1" s="132" t="s">
        <v>226</v>
      </c>
      <c r="X1" s="132" t="s">
        <v>227</v>
      </c>
      <c r="Y1" s="132" t="s">
        <v>228</v>
      </c>
      <c r="Z1" s="132" t="s">
        <v>213</v>
      </c>
      <c r="AA1" s="132" t="s">
        <v>271</v>
      </c>
      <c r="AB1" s="132" t="s">
        <v>131</v>
      </c>
      <c r="AC1" s="132" t="s">
        <v>132</v>
      </c>
      <c r="AD1" s="132" t="s">
        <v>133</v>
      </c>
      <c r="AE1" s="132" t="s">
        <v>134</v>
      </c>
    </row>
    <row r="2" spans="1:32">
      <c r="A2" s="132">
        <v>3</v>
      </c>
      <c r="B2" s="132">
        <v>101</v>
      </c>
      <c r="C2" s="132" t="s">
        <v>107</v>
      </c>
      <c r="D2" s="132" t="s">
        <v>90</v>
      </c>
      <c r="E2" s="132" t="s">
        <v>91</v>
      </c>
      <c r="N2" s="132">
        <v>1000</v>
      </c>
    </row>
    <row r="3" spans="1:32">
      <c r="A3" s="132">
        <v>3</v>
      </c>
      <c r="B3" s="132">
        <v>102</v>
      </c>
      <c r="C3" s="132" t="s">
        <v>107</v>
      </c>
      <c r="D3" s="132" t="s">
        <v>70</v>
      </c>
      <c r="E3" s="132" t="s">
        <v>91</v>
      </c>
      <c r="N3" s="132">
        <v>1000</v>
      </c>
    </row>
    <row r="4" spans="1:32">
      <c r="A4" s="132">
        <v>3</v>
      </c>
      <c r="B4" s="132">
        <v>103</v>
      </c>
      <c r="C4" s="132" t="s">
        <v>107</v>
      </c>
      <c r="D4" s="132" t="s">
        <v>71</v>
      </c>
      <c r="E4" s="132" t="s">
        <v>91</v>
      </c>
      <c r="N4" s="132">
        <v>1000</v>
      </c>
    </row>
    <row r="5" spans="1:32">
      <c r="A5" s="132">
        <v>3</v>
      </c>
      <c r="B5" s="132">
        <v>104</v>
      </c>
      <c r="C5" s="132" t="s">
        <v>108</v>
      </c>
      <c r="D5" s="132" t="s">
        <v>72</v>
      </c>
      <c r="E5" s="132" t="s">
        <v>91</v>
      </c>
      <c r="N5" s="132">
        <v>1000</v>
      </c>
    </row>
    <row r="6" spans="1:32">
      <c r="A6" s="132">
        <v>3</v>
      </c>
      <c r="B6" s="132">
        <v>105</v>
      </c>
      <c r="C6" s="132" t="s">
        <v>108</v>
      </c>
      <c r="D6" s="132" t="s">
        <v>73</v>
      </c>
      <c r="E6" s="132" t="s">
        <v>91</v>
      </c>
      <c r="N6" s="132">
        <v>1000</v>
      </c>
    </row>
    <row r="7" spans="1:32">
      <c r="A7" s="132">
        <v>4</v>
      </c>
      <c r="B7" s="132">
        <v>106</v>
      </c>
      <c r="C7" s="132" t="s">
        <v>74</v>
      </c>
      <c r="D7" s="132" t="s">
        <v>75</v>
      </c>
      <c r="E7" s="132" t="s">
        <v>59</v>
      </c>
      <c r="N7" s="132">
        <v>0</v>
      </c>
    </row>
    <row r="8" spans="1:32">
      <c r="A8" s="132">
        <v>4</v>
      </c>
      <c r="B8" s="132">
        <v>107</v>
      </c>
      <c r="C8" s="132" t="s">
        <v>74</v>
      </c>
      <c r="D8" s="132" t="s">
        <v>76</v>
      </c>
      <c r="E8" s="132" t="s">
        <v>59</v>
      </c>
      <c r="N8" s="132">
        <v>0</v>
      </c>
    </row>
    <row r="9" spans="1:32">
      <c r="A9" s="132">
        <v>4</v>
      </c>
      <c r="B9" s="132">
        <v>109</v>
      </c>
      <c r="C9" s="132" t="s">
        <v>74</v>
      </c>
      <c r="D9" s="132" t="s">
        <v>104</v>
      </c>
      <c r="E9" s="132" t="s">
        <v>59</v>
      </c>
      <c r="N9" s="132">
        <v>0</v>
      </c>
    </row>
    <row r="10" spans="1:32">
      <c r="A10" s="132">
        <v>3</v>
      </c>
      <c r="B10" s="132">
        <v>110</v>
      </c>
      <c r="C10" s="132" t="s">
        <v>74</v>
      </c>
      <c r="D10" s="132" t="s">
        <v>181</v>
      </c>
      <c r="E10" s="132" t="s">
        <v>59</v>
      </c>
      <c r="N10" s="132">
        <v>0</v>
      </c>
    </row>
    <row r="11" spans="1:32">
      <c r="A11" s="132">
        <v>4</v>
      </c>
      <c r="B11" s="132">
        <v>108</v>
      </c>
      <c r="C11" s="132" t="s">
        <v>74</v>
      </c>
      <c r="D11" s="132" t="s">
        <v>82</v>
      </c>
      <c r="E11" s="132" t="s">
        <v>59</v>
      </c>
      <c r="N11" s="132">
        <v>0</v>
      </c>
    </row>
    <row r="12" spans="1:32">
      <c r="A12" s="132">
        <v>99</v>
      </c>
      <c r="B12" s="132">
        <v>1</v>
      </c>
      <c r="C12" s="132" t="str">
        <f>代価!$D$5</f>
        <v>未記入</v>
      </c>
      <c r="D12" s="132" t="str">
        <f>代価!$E$5</f>
        <v>未記入</v>
      </c>
      <c r="E12" s="132" t="str">
        <f>代価!$G$5</f>
        <v>未記入</v>
      </c>
      <c r="F12" s="132">
        <f>代価!$J$5</f>
        <v>0</v>
      </c>
      <c r="H12" s="132">
        <f>代価!$I24</f>
        <v>0</v>
      </c>
      <c r="I12" s="132" t="s">
        <v>182</v>
      </c>
      <c r="J12" s="132" t="s">
        <v>182</v>
      </c>
      <c r="K12" s="132" t="s">
        <v>182</v>
      </c>
      <c r="L12" s="132" t="s">
        <v>182</v>
      </c>
      <c r="M12" s="132" t="s">
        <v>182</v>
      </c>
      <c r="N12" s="132">
        <f>代価!$O$24</f>
        <v>0</v>
      </c>
      <c r="O12" s="132">
        <f>代価!$P$24</f>
        <v>0</v>
      </c>
      <c r="P12" s="132">
        <f>代価!$Q$24</f>
        <v>0</v>
      </c>
      <c r="Q12" s="132">
        <f>代価!$R$24</f>
        <v>0</v>
      </c>
      <c r="R12" s="132">
        <f>代価!$S$24</f>
        <v>0</v>
      </c>
      <c r="S12" s="132">
        <f>代価!$T$24</f>
        <v>0</v>
      </c>
      <c r="T12" s="132">
        <f>代価!$U$24</f>
        <v>0</v>
      </c>
      <c r="U12" s="132">
        <f>代価!$V$24</f>
        <v>0</v>
      </c>
      <c r="V12" s="132">
        <f>代価!$W$24</f>
        <v>0</v>
      </c>
      <c r="W12" s="132">
        <f>代価!$X$24</f>
        <v>0</v>
      </c>
      <c r="X12" s="132">
        <f>代価!$Y$24</f>
        <v>0</v>
      </c>
      <c r="Y12" s="132">
        <f>代価!$Z$24</f>
        <v>0</v>
      </c>
      <c r="Z12" s="132">
        <f>代価!$AA$24</f>
        <v>0</v>
      </c>
      <c r="AA12" s="132">
        <f>代価!$AB$24</f>
        <v>0</v>
      </c>
      <c r="AB12" s="132">
        <f>代価!$AC$24</f>
        <v>0</v>
      </c>
      <c r="AC12" s="132">
        <f>代価!$AD$24</f>
        <v>0</v>
      </c>
      <c r="AD12" s="132">
        <f>代価!$AE$24</f>
        <v>0</v>
      </c>
      <c r="AE12" s="132">
        <f>代価!$AF$24</f>
        <v>0</v>
      </c>
      <c r="AF12" s="132">
        <f>代価!$AG$24</f>
        <v>0</v>
      </c>
    </row>
    <row r="13" spans="1:32">
      <c r="A13" s="132">
        <v>99</v>
      </c>
      <c r="B13" s="132">
        <v>2</v>
      </c>
      <c r="C13" s="132" t="str">
        <f>代価!$D$28</f>
        <v>会所４００角</v>
      </c>
      <c r="D13" s="132" t="str">
        <f>代価!$E$28</f>
        <v xml:space="preserve"> H=1200 根切共</v>
      </c>
      <c r="E13" s="132" t="str">
        <f>代価!$G$28</f>
        <v>ヵ所</v>
      </c>
      <c r="F13" s="132">
        <f>代価!$J$28</f>
        <v>0</v>
      </c>
      <c r="H13" s="132">
        <f>代価!$I47</f>
        <v>0</v>
      </c>
      <c r="I13" s="132" t="s">
        <v>182</v>
      </c>
      <c r="J13" s="132" t="s">
        <v>182</v>
      </c>
      <c r="K13" s="132" t="s">
        <v>182</v>
      </c>
      <c r="L13" s="132" t="s">
        <v>182</v>
      </c>
      <c r="M13" s="132" t="s">
        <v>182</v>
      </c>
      <c r="N13" s="132">
        <f>代価!$O$47</f>
        <v>477.2</v>
      </c>
      <c r="O13" s="132">
        <f>代価!$P$47</f>
        <v>0</v>
      </c>
      <c r="P13" s="132">
        <f>代価!$Q$47</f>
        <v>0</v>
      </c>
      <c r="Q13" s="132">
        <f>代価!$R$47</f>
        <v>0</v>
      </c>
      <c r="R13" s="132">
        <f>代価!$S$47</f>
        <v>0</v>
      </c>
      <c r="S13" s="132">
        <f>代価!$T$47</f>
        <v>0</v>
      </c>
      <c r="T13" s="132">
        <f>代価!$U$47</f>
        <v>0</v>
      </c>
      <c r="U13" s="132">
        <f>代価!$V$47</f>
        <v>0</v>
      </c>
      <c r="V13" s="132">
        <f>代価!$W$47</f>
        <v>0</v>
      </c>
      <c r="W13" s="132">
        <f>代価!$X$47</f>
        <v>0</v>
      </c>
      <c r="X13" s="132">
        <f>代価!$Y$47</f>
        <v>0</v>
      </c>
      <c r="Y13" s="132">
        <f>代価!$Z$47</f>
        <v>0</v>
      </c>
      <c r="Z13" s="132">
        <f>代価!$AA$47</f>
        <v>0</v>
      </c>
      <c r="AA13" s="132">
        <f>代価!$AB$47</f>
        <v>0</v>
      </c>
      <c r="AB13" s="132">
        <f>代価!$AC$47</f>
        <v>0</v>
      </c>
      <c r="AC13" s="132">
        <f>代価!$AD$47</f>
        <v>0</v>
      </c>
      <c r="AD13" s="132">
        <f>代価!$AE$47</f>
        <v>0</v>
      </c>
      <c r="AE13" s="132">
        <f>代価!$AF$47</f>
        <v>0</v>
      </c>
      <c r="AF13" s="132">
        <f>代価!$AG$47</f>
        <v>0</v>
      </c>
    </row>
  </sheetData>
  <phoneticPr fontId="6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"/>
  <sheetViews>
    <sheetView workbookViewId="0">
      <selection sqref="A1:XFD1048576"/>
    </sheetView>
  </sheetViews>
  <sheetFormatPr baseColWidth="10" defaultColWidth="9" defaultRowHeight="14"/>
  <cols>
    <col min="1" max="6" width="9" style="647"/>
    <col min="7" max="12" width="9" style="957"/>
    <col min="13" max="16384" width="9" style="956"/>
  </cols>
  <sheetData/>
  <phoneticPr fontId="6"/>
  <printOptions headings="1" gridLines="1"/>
  <pageMargins left="0.70866141732283472" right="0.70866141732283472" top="0.74803149606299213" bottom="0.74803149606299213" header="0.31496062992125984" footer="0.31496062992125984"/>
  <pageSetup paperSize="9" fitToHeight="7" orientation="landscape" cellComments="asDisplayed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FF00"/>
  </sheetPr>
  <dimension ref="G1:N1"/>
  <sheetViews>
    <sheetView workbookViewId="0">
      <selection sqref="A1:XFD1048576"/>
    </sheetView>
  </sheetViews>
  <sheetFormatPr baseColWidth="10" defaultColWidth="9" defaultRowHeight="13.5" customHeight="1"/>
  <cols>
    <col min="1" max="6" width="9" style="911"/>
    <col min="7" max="14" width="9" style="912"/>
    <col min="15" max="16384" width="9" style="911"/>
  </cols>
  <sheetData/>
  <phoneticPr fontId="6"/>
  <pageMargins left="0.78700000000000003" right="0.78700000000000003" top="0.98399999999999999" bottom="0.98399999999999999" header="0.51200000000000001" footer="0.51200000000000001"/>
  <pageSetup paperSize="9" scale="64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AH209"/>
  <sheetViews>
    <sheetView zoomScale="70" zoomScaleNormal="70" workbookViewId="0">
      <selection activeCell="H16" sqref="H16"/>
    </sheetView>
  </sheetViews>
  <sheetFormatPr baseColWidth="10" defaultColWidth="9" defaultRowHeight="14"/>
  <cols>
    <col min="1" max="1" width="6.83203125" customWidth="1"/>
    <col min="6" max="6" width="8" customWidth="1"/>
    <col min="9" max="9" width="9.5" customWidth="1"/>
    <col min="12" max="12" width="4.33203125" customWidth="1"/>
    <col min="13" max="13" width="14.6640625" customWidth="1"/>
    <col min="14" max="14" width="15.33203125" customWidth="1"/>
  </cols>
  <sheetData>
    <row r="1" spans="1:15">
      <c r="A1" s="41"/>
      <c r="B1" t="s">
        <v>110</v>
      </c>
      <c r="E1" s="41"/>
      <c r="F1" s="41"/>
      <c r="G1" s="41"/>
      <c r="H1" s="41"/>
      <c r="I1" s="41"/>
    </row>
    <row r="2" spans="1:15">
      <c r="A2" s="41"/>
      <c r="C2" t="s">
        <v>109</v>
      </c>
      <c r="D2" s="133">
        <v>0</v>
      </c>
      <c r="E2" s="41"/>
      <c r="F2" s="46" t="s">
        <v>39</v>
      </c>
      <c r="G2" s="47"/>
      <c r="H2" s="97" t="str">
        <f>IF(E2="","",INT(E2*G2))</f>
        <v/>
      </c>
      <c r="I2" s="41"/>
      <c r="J2" s="141"/>
      <c r="K2" s="141"/>
      <c r="L2" s="141"/>
      <c r="M2" s="142"/>
      <c r="N2" s="141"/>
      <c r="O2" s="141"/>
    </row>
    <row r="3" spans="1:15">
      <c r="A3" s="41"/>
      <c r="B3" t="s">
        <v>92</v>
      </c>
      <c r="E3" s="49"/>
      <c r="F3" s="41"/>
      <c r="G3" s="41"/>
      <c r="H3" s="41"/>
      <c r="I3" s="41"/>
      <c r="J3" s="141"/>
      <c r="K3" s="143"/>
      <c r="L3" s="141"/>
      <c r="M3" s="141"/>
      <c r="N3" s="141"/>
      <c r="O3" s="141"/>
    </row>
    <row r="4" spans="1:15">
      <c r="A4" s="41"/>
      <c r="C4" t="s">
        <v>93</v>
      </c>
      <c r="D4" s="133">
        <v>3</v>
      </c>
      <c r="E4" s="41"/>
      <c r="F4" s="44" t="s">
        <v>40</v>
      </c>
      <c r="G4" s="44"/>
      <c r="H4" s="42" t="str">
        <f>+表紙!W5</f>
        <v>標準単価金額無2020.xls</v>
      </c>
      <c r="I4" s="41"/>
      <c r="J4" s="141"/>
      <c r="K4" s="144"/>
      <c r="L4" s="144"/>
      <c r="M4" s="142"/>
      <c r="N4" s="142"/>
      <c r="O4" s="141"/>
    </row>
    <row r="5" spans="1:15">
      <c r="A5" s="41"/>
      <c r="B5" t="s">
        <v>94</v>
      </c>
      <c r="D5" s="41"/>
      <c r="E5" s="41"/>
      <c r="F5" s="48" t="s">
        <v>41</v>
      </c>
      <c r="G5" s="44"/>
      <c r="H5" s="43" t="str">
        <f>+表紙!W6</f>
        <v>\\svfile92\k1_eizen$\建築グループ共有\０８）予算、資金計画、長期計画、積算関連\５．積算資料\標準単価\標準単価2020\</v>
      </c>
      <c r="I5" s="41"/>
      <c r="J5" s="141"/>
      <c r="K5" s="144"/>
      <c r="L5" s="144"/>
      <c r="M5" s="142"/>
      <c r="N5" s="142"/>
      <c r="O5" s="141"/>
    </row>
    <row r="6" spans="1:15">
      <c r="A6" s="41"/>
      <c r="C6" t="s">
        <v>97</v>
      </c>
      <c r="D6" s="133">
        <v>3</v>
      </c>
      <c r="E6" s="41"/>
      <c r="F6" s="41"/>
      <c r="G6" s="41"/>
      <c r="H6" s="41"/>
      <c r="I6" s="41"/>
      <c r="J6" s="141"/>
      <c r="K6" s="144"/>
      <c r="L6" s="144"/>
      <c r="M6" s="142"/>
      <c r="N6" s="142"/>
      <c r="O6" s="141"/>
    </row>
    <row r="7" spans="1:15">
      <c r="A7" s="41"/>
      <c r="B7" t="s">
        <v>95</v>
      </c>
      <c r="D7" s="41"/>
      <c r="E7" s="41"/>
      <c r="F7" s="41" t="s">
        <v>100</v>
      </c>
      <c r="G7" s="41"/>
      <c r="H7" s="41"/>
      <c r="I7" s="41"/>
      <c r="J7" s="141"/>
      <c r="K7" s="144"/>
      <c r="L7" s="144"/>
      <c r="M7" s="142"/>
      <c r="N7" s="142"/>
      <c r="O7" s="141"/>
    </row>
    <row r="8" spans="1:15">
      <c r="A8" s="41"/>
      <c r="C8" t="s">
        <v>98</v>
      </c>
      <c r="D8" s="133">
        <v>19</v>
      </c>
      <c r="E8" s="41"/>
      <c r="F8" s="41"/>
      <c r="G8" s="41" t="s">
        <v>44</v>
      </c>
      <c r="H8" s="135">
        <v>1</v>
      </c>
      <c r="I8" s="41"/>
      <c r="J8" s="141"/>
      <c r="K8" s="144"/>
      <c r="L8" s="144"/>
      <c r="M8" s="142"/>
      <c r="N8" s="142"/>
      <c r="O8" s="141"/>
    </row>
    <row r="9" spans="1:15">
      <c r="A9" s="41"/>
      <c r="B9" t="s">
        <v>96</v>
      </c>
      <c r="D9" s="41"/>
      <c r="E9" s="41"/>
      <c r="F9" s="41" t="s">
        <v>42</v>
      </c>
      <c r="G9" s="41"/>
      <c r="H9" s="41"/>
      <c r="I9" s="41"/>
      <c r="J9" s="141"/>
      <c r="K9" s="144"/>
      <c r="L9" s="144"/>
      <c r="M9" s="142"/>
      <c r="N9" s="142"/>
      <c r="O9" s="141"/>
    </row>
    <row r="10" spans="1:15">
      <c r="A10" s="41"/>
      <c r="C10" t="s">
        <v>99</v>
      </c>
      <c r="D10" s="133">
        <v>1</v>
      </c>
      <c r="E10" s="41"/>
      <c r="F10" s="41"/>
      <c r="G10" s="41" t="s">
        <v>45</v>
      </c>
      <c r="H10" s="45">
        <v>5000</v>
      </c>
      <c r="I10" s="41"/>
      <c r="J10" s="141"/>
      <c r="K10" s="144"/>
      <c r="L10" s="144"/>
      <c r="M10" s="142"/>
      <c r="N10" s="142"/>
      <c r="O10" s="141"/>
    </row>
    <row r="11" spans="1:15">
      <c r="A11" s="41"/>
      <c r="B11" t="s">
        <v>106</v>
      </c>
      <c r="D11" s="41"/>
      <c r="E11" s="41"/>
      <c r="F11" s="41" t="s">
        <v>79</v>
      </c>
      <c r="G11" s="41"/>
      <c r="H11" s="41"/>
      <c r="I11" s="41"/>
      <c r="J11" s="141"/>
      <c r="K11" s="144"/>
      <c r="L11" s="144"/>
      <c r="M11" s="142"/>
      <c r="N11" s="142"/>
      <c r="O11" s="141"/>
    </row>
    <row r="12" spans="1:15">
      <c r="A12" s="41"/>
      <c r="C12" t="s">
        <v>103</v>
      </c>
      <c r="D12" s="133">
        <v>0</v>
      </c>
      <c r="E12" s="41"/>
      <c r="F12" s="41"/>
      <c r="G12" s="49" t="s">
        <v>46</v>
      </c>
      <c r="H12" s="134">
        <v>3</v>
      </c>
      <c r="I12" s="41"/>
      <c r="J12" s="141"/>
      <c r="K12" s="144"/>
      <c r="L12" s="144"/>
      <c r="M12" s="142"/>
      <c r="N12" s="142"/>
      <c r="O12" s="141"/>
    </row>
    <row r="13" spans="1:15">
      <c r="A13" s="41"/>
      <c r="B13" t="s">
        <v>102</v>
      </c>
      <c r="D13" s="41"/>
      <c r="E13" s="41"/>
      <c r="F13" s="41" t="s">
        <v>50</v>
      </c>
      <c r="G13" s="41"/>
      <c r="H13" s="41"/>
      <c r="I13" s="41"/>
      <c r="J13" s="141"/>
      <c r="K13" s="144"/>
      <c r="L13" s="144"/>
      <c r="M13" s="142"/>
      <c r="N13" s="142"/>
      <c r="O13" s="141"/>
    </row>
    <row r="14" spans="1:15">
      <c r="A14" s="41"/>
      <c r="C14" t="s">
        <v>105</v>
      </c>
      <c r="D14" s="135">
        <v>16</v>
      </c>
      <c r="E14" s="41"/>
      <c r="F14" s="41"/>
      <c r="G14" s="41" t="s">
        <v>51</v>
      </c>
      <c r="H14" s="45">
        <f>+表紙!S9</f>
        <v>1</v>
      </c>
      <c r="I14" s="41"/>
      <c r="J14" s="141"/>
      <c r="K14" s="144"/>
      <c r="L14" s="144"/>
      <c r="M14" s="142"/>
      <c r="N14" s="142"/>
      <c r="O14" s="141"/>
    </row>
    <row r="15" spans="1:15">
      <c r="A15" s="41"/>
      <c r="B15" t="s">
        <v>197</v>
      </c>
      <c r="D15" s="41"/>
      <c r="E15" s="41"/>
      <c r="F15" s="41" t="s">
        <v>52</v>
      </c>
      <c r="G15" s="41"/>
      <c r="H15" s="41"/>
      <c r="I15" s="41"/>
      <c r="J15" s="141"/>
      <c r="K15" s="144"/>
      <c r="L15" s="144"/>
      <c r="M15" s="142"/>
      <c r="N15" s="142"/>
      <c r="O15" s="141"/>
    </row>
    <row r="16" spans="1:15">
      <c r="A16" s="41"/>
      <c r="C16" t="s">
        <v>189</v>
      </c>
      <c r="D16" s="45">
        <v>1</v>
      </c>
      <c r="E16" s="41"/>
      <c r="F16" s="41"/>
      <c r="G16" s="41" t="s">
        <v>198</v>
      </c>
      <c r="H16" s="135">
        <v>1</v>
      </c>
      <c r="I16" s="41"/>
      <c r="J16" s="141"/>
      <c r="K16" s="144"/>
      <c r="L16" s="144"/>
      <c r="M16" s="142"/>
      <c r="N16" s="142"/>
      <c r="O16" s="141"/>
    </row>
    <row r="17" spans="1:15">
      <c r="A17" s="41"/>
      <c r="B17" t="s">
        <v>190</v>
      </c>
      <c r="D17" s="41"/>
      <c r="E17" s="41"/>
      <c r="F17" s="41" t="s">
        <v>53</v>
      </c>
      <c r="G17" s="41"/>
      <c r="H17" s="136"/>
      <c r="I17" s="41"/>
      <c r="J17" s="141"/>
      <c r="K17" s="144"/>
      <c r="L17" s="144"/>
      <c r="M17" s="142"/>
      <c r="N17" s="142"/>
      <c r="O17" s="141"/>
    </row>
    <row r="18" spans="1:15">
      <c r="A18" s="41"/>
      <c r="C18" t="s">
        <v>191</v>
      </c>
      <c r="D18" s="213"/>
      <c r="E18" s="41"/>
      <c r="F18" s="41"/>
      <c r="G18" s="41" t="s">
        <v>54</v>
      </c>
      <c r="H18" s="135">
        <f>工事1!J2</f>
        <v>7</v>
      </c>
      <c r="I18" s="41"/>
      <c r="J18" s="141"/>
      <c r="K18" s="144"/>
      <c r="L18" s="144"/>
      <c r="M18" s="142"/>
      <c r="N18" s="142"/>
      <c r="O18" s="141"/>
    </row>
    <row r="19" spans="1:15">
      <c r="A19" s="41"/>
      <c r="C19" t="s">
        <v>192</v>
      </c>
      <c r="D19" s="213"/>
      <c r="E19" s="41"/>
      <c r="F19" s="41" t="s">
        <v>56</v>
      </c>
      <c r="G19" s="41"/>
      <c r="H19" s="136"/>
      <c r="I19" s="41"/>
      <c r="J19" s="141"/>
      <c r="K19" s="144"/>
      <c r="L19" s="144"/>
      <c r="M19" s="142"/>
      <c r="N19" s="142"/>
      <c r="O19" s="141"/>
    </row>
    <row r="20" spans="1:15">
      <c r="A20" s="41"/>
      <c r="D20" s="41"/>
      <c r="E20" s="41"/>
      <c r="F20" s="41"/>
      <c r="G20" s="41" t="s">
        <v>57</v>
      </c>
      <c r="H20" s="135">
        <f>COUNTA(代価一覧!C2:C65536)</f>
        <v>12</v>
      </c>
      <c r="I20" s="41"/>
    </row>
    <row r="21" spans="1:15">
      <c r="A21" s="41"/>
      <c r="D21" s="41"/>
      <c r="E21" s="41"/>
      <c r="F21" s="44" t="s">
        <v>112</v>
      </c>
      <c r="G21" s="44"/>
      <c r="H21" s="42" t="str">
        <f>+表紙!W8</f>
        <v>変更諸経費表2020.xls</v>
      </c>
      <c r="I21" s="41"/>
    </row>
    <row r="22" spans="1:15">
      <c r="A22" s="41"/>
      <c r="D22" s="41"/>
      <c r="E22" s="41"/>
      <c r="F22" s="48" t="s">
        <v>113</v>
      </c>
      <c r="G22" s="44"/>
      <c r="H22" s="43" t="str">
        <f>+表紙!W9</f>
        <v>C:\積算\</v>
      </c>
      <c r="I22" s="41"/>
    </row>
    <row r="23" spans="1:15" ht="17">
      <c r="A23" s="41"/>
      <c r="D23" s="41"/>
      <c r="E23" s="41"/>
      <c r="F23" s="41"/>
      <c r="G23" s="41"/>
      <c r="H23" s="77"/>
      <c r="I23" s="41"/>
    </row>
    <row r="24" spans="1:15">
      <c r="A24" s="41"/>
      <c r="B24" t="s">
        <v>194</v>
      </c>
      <c r="E24" s="41"/>
      <c r="F24" s="41" t="s">
        <v>62</v>
      </c>
      <c r="G24" s="41"/>
      <c r="H24" s="41"/>
      <c r="I24" s="41"/>
    </row>
    <row r="25" spans="1:15">
      <c r="A25" s="41"/>
      <c r="C25" t="s">
        <v>193</v>
      </c>
      <c r="D25" s="133">
        <v>9</v>
      </c>
      <c r="E25" s="41"/>
      <c r="F25" s="41"/>
      <c r="G25" s="41" t="s">
        <v>63</v>
      </c>
      <c r="H25" s="45" t="s">
        <v>272</v>
      </c>
      <c r="I25" s="41"/>
    </row>
    <row r="26" spans="1:15">
      <c r="A26" s="41"/>
      <c r="B26" t="s">
        <v>195</v>
      </c>
      <c r="E26" s="41"/>
      <c r="F26" s="41" t="s">
        <v>118</v>
      </c>
      <c r="G26" s="41"/>
      <c r="H26" s="41"/>
      <c r="I26" s="41"/>
    </row>
    <row r="27" spans="1:15" ht="15" thickBot="1">
      <c r="A27" s="41"/>
      <c r="C27" t="s">
        <v>193</v>
      </c>
      <c r="D27" s="133" t="s">
        <v>196</v>
      </c>
      <c r="E27" s="41"/>
      <c r="F27" s="41"/>
      <c r="G27" s="145" t="s">
        <v>117</v>
      </c>
      <c r="H27" s="101" t="e">
        <f>SUM(H9:H26)+H4</f>
        <v>#VALUE!</v>
      </c>
      <c r="I27" s="101">
        <f>SUM(I9:I26)+I4</f>
        <v>0</v>
      </c>
      <c r="J27" s="569">
        <f>IF(B8="部分撤去工事",(J4+K27),0)</f>
        <v>0</v>
      </c>
      <c r="K27" s="568">
        <f>IF(B8="部分撤去工事",SUMIF(M9:M26,"費用",H9:H26),0)</f>
        <v>0</v>
      </c>
    </row>
    <row r="28" spans="1:15">
      <c r="A28" s="41"/>
      <c r="D28" s="41"/>
      <c r="E28" s="41"/>
      <c r="F28" s="41" t="s">
        <v>80</v>
      </c>
      <c r="G28" s="41"/>
      <c r="H28" s="41"/>
      <c r="I28" s="41"/>
    </row>
    <row r="29" spans="1:15">
      <c r="A29" s="41"/>
      <c r="D29" s="41"/>
      <c r="E29" s="41"/>
      <c r="F29" s="41"/>
      <c r="G29" s="41" t="s">
        <v>81</v>
      </c>
      <c r="H29" s="45">
        <v>0</v>
      </c>
      <c r="I29" s="41"/>
    </row>
    <row r="30" spans="1:15">
      <c r="A30" s="41"/>
      <c r="B30" s="41"/>
      <c r="C30" s="41"/>
      <c r="D30" s="41"/>
      <c r="E30" s="41"/>
      <c r="F30" s="41" t="s">
        <v>3086</v>
      </c>
      <c r="G30" s="41"/>
      <c r="H30" s="41"/>
      <c r="I30" s="41"/>
    </row>
    <row r="31" spans="1:15">
      <c r="G31" s="41" t="s">
        <v>114</v>
      </c>
      <c r="H31" s="360" t="s">
        <v>2161</v>
      </c>
    </row>
    <row r="32" spans="1:15">
      <c r="G32" s="41" t="s">
        <v>115</v>
      </c>
      <c r="H32" s="360" t="s">
        <v>3083</v>
      </c>
    </row>
    <row r="33" spans="7:8">
      <c r="G33" s="41" t="s">
        <v>116</v>
      </c>
      <c r="H33" s="360" t="s">
        <v>3084</v>
      </c>
    </row>
    <row r="34" spans="7:8">
      <c r="G34" s="41" t="s">
        <v>3082</v>
      </c>
      <c r="H34" s="360" t="s">
        <v>3085</v>
      </c>
    </row>
    <row r="35" spans="7:8">
      <c r="G35" s="41"/>
    </row>
    <row r="50" spans="1:34" s="1" customFormat="1" ht="26.25" customHeight="1" thickBot="1">
      <c r="A50" s="6"/>
      <c r="B50" s="6"/>
      <c r="C50" s="2224" t="s">
        <v>3134</v>
      </c>
      <c r="D50" s="2224"/>
      <c r="E50" s="2224"/>
      <c r="F50" s="2224"/>
      <c r="G50" s="2224"/>
      <c r="H50" s="2224"/>
      <c r="I50" s="2224"/>
      <c r="J50" s="2224"/>
      <c r="K50" s="2224"/>
      <c r="L50" s="2224"/>
      <c r="O50" s="2228" t="s">
        <v>129</v>
      </c>
      <c r="P50" s="2228"/>
      <c r="Q50" s="2228"/>
      <c r="R50" s="2228"/>
      <c r="S50" s="2228"/>
      <c r="T50" s="2228"/>
      <c r="U50" s="2228"/>
      <c r="V50" s="2228"/>
      <c r="W50" s="2228"/>
      <c r="X50" s="2228"/>
      <c r="Y50" s="2228"/>
      <c r="Z50" s="2228"/>
      <c r="AA50" s="2228"/>
      <c r="AB50" s="2228"/>
      <c r="AC50" s="2228"/>
      <c r="AD50" s="2228"/>
      <c r="AE50" s="2228"/>
      <c r="AF50" s="2228"/>
      <c r="AG50" s="2228"/>
      <c r="AH50" s="2229"/>
    </row>
    <row r="51" spans="1:34" s="1" customFormat="1" ht="41.25" customHeight="1">
      <c r="A51" s="5" t="s">
        <v>12</v>
      </c>
      <c r="B51" s="5" t="s">
        <v>43</v>
      </c>
      <c r="C51" s="106" t="s">
        <v>0</v>
      </c>
      <c r="D51" s="102"/>
      <c r="E51" s="103" t="s">
        <v>1</v>
      </c>
      <c r="F51" s="104" t="s">
        <v>2</v>
      </c>
      <c r="G51" s="104" t="s">
        <v>3</v>
      </c>
      <c r="H51" s="105" t="s">
        <v>4</v>
      </c>
      <c r="I51" s="105" t="s">
        <v>5</v>
      </c>
      <c r="J51" s="2239" t="s">
        <v>6</v>
      </c>
      <c r="K51" s="2240"/>
      <c r="L51" s="2241"/>
      <c r="M51" s="951" t="s">
        <v>2725</v>
      </c>
      <c r="N51" s="952" t="s">
        <v>322</v>
      </c>
      <c r="O51" s="148" t="s">
        <v>66</v>
      </c>
      <c r="P51" s="359" t="s">
        <v>298</v>
      </c>
      <c r="Q51" s="265" t="s">
        <v>299</v>
      </c>
      <c r="R51" s="265" t="s">
        <v>208</v>
      </c>
      <c r="S51" s="265" t="s">
        <v>209</v>
      </c>
      <c r="T51" s="265" t="s">
        <v>300</v>
      </c>
      <c r="U51" s="265" t="s">
        <v>123</v>
      </c>
      <c r="V51" s="147" t="s">
        <v>122</v>
      </c>
      <c r="W51" s="265" t="s">
        <v>306</v>
      </c>
      <c r="X51" s="214" t="s">
        <v>210</v>
      </c>
      <c r="Y51" s="214" t="s">
        <v>211</v>
      </c>
      <c r="Z51" s="214" t="s">
        <v>212</v>
      </c>
      <c r="AA51" s="214" t="s">
        <v>213</v>
      </c>
      <c r="AB51" s="214" t="s">
        <v>307</v>
      </c>
      <c r="AC51" s="426" t="s">
        <v>308</v>
      </c>
      <c r="AD51" s="427" t="s">
        <v>309</v>
      </c>
      <c r="AE51" s="428" t="s">
        <v>125</v>
      </c>
      <c r="AF51" s="146" t="s">
        <v>310</v>
      </c>
      <c r="AG51" s="146" t="s">
        <v>311</v>
      </c>
      <c r="AH51" s="146" t="s">
        <v>127</v>
      </c>
    </row>
    <row r="52" spans="1:34" s="1" customFormat="1" ht="24" customHeight="1">
      <c r="A52" s="38"/>
      <c r="B52" s="38"/>
      <c r="C52" s="125"/>
      <c r="D52" s="126"/>
      <c r="E52" s="127"/>
      <c r="F52" s="262"/>
      <c r="G52" s="94"/>
      <c r="H52" s="87" t="s">
        <v>11</v>
      </c>
      <c r="I52" s="87" t="s">
        <v>11</v>
      </c>
      <c r="J52" s="2233" t="str">
        <f ca="1">RIGHT(CELL("filename",$A$1),LEN(CELL("filename",$A$1))-FIND("]",CELL("filename",$A$1)))</f>
        <v>work</v>
      </c>
      <c r="K52" s="2234"/>
      <c r="L52" s="2235"/>
      <c r="M52" s="950"/>
      <c r="N52" s="949"/>
      <c r="O52" s="217"/>
      <c r="P52" s="218"/>
      <c r="Q52" s="219"/>
      <c r="R52" s="219"/>
      <c r="S52" s="219"/>
      <c r="T52" s="219"/>
      <c r="U52" s="219"/>
      <c r="V52" s="219"/>
      <c r="W52" s="219"/>
      <c r="X52" s="220"/>
      <c r="Y52" s="220"/>
      <c r="Z52" s="220"/>
      <c r="AA52" s="220"/>
      <c r="AB52" s="220"/>
      <c r="AC52" s="219"/>
      <c r="AD52" s="429"/>
      <c r="AE52" s="430"/>
      <c r="AF52" s="219"/>
      <c r="AG52" s="219"/>
      <c r="AH52" s="431"/>
    </row>
    <row r="53" spans="1:34" s="39" customFormat="1" ht="24" customHeight="1">
      <c r="A53" s="38"/>
      <c r="B53" s="38"/>
      <c r="C53" s="121"/>
      <c r="D53" s="122"/>
      <c r="E53" s="110"/>
      <c r="F53" s="263"/>
      <c r="G53" s="111"/>
      <c r="H53" s="128"/>
      <c r="I53" s="97" t="str">
        <f t="shared" ref="I53:I70" si="0">IF(F53="","",INT(F53*H53))</f>
        <v/>
      </c>
      <c r="J53" s="61"/>
      <c r="K53" s="62"/>
      <c r="L53" s="63"/>
      <c r="M53" s="950"/>
      <c r="N53" s="949"/>
      <c r="O53" s="217"/>
      <c r="P53" s="218"/>
      <c r="Q53" s="219"/>
      <c r="R53" s="219"/>
      <c r="S53" s="219"/>
      <c r="T53" s="219"/>
      <c r="U53" s="219"/>
      <c r="V53" s="219"/>
      <c r="W53" s="219"/>
      <c r="X53" s="220"/>
      <c r="Y53" s="220"/>
      <c r="Z53" s="220"/>
      <c r="AA53" s="220"/>
      <c r="AB53" s="220"/>
      <c r="AC53" s="219"/>
      <c r="AD53" s="429"/>
      <c r="AE53" s="430"/>
      <c r="AF53" s="219"/>
      <c r="AG53" s="219"/>
      <c r="AH53" s="207"/>
    </row>
    <row r="54" spans="1:34" s="39" customFormat="1" ht="24" customHeight="1">
      <c r="A54" s="38"/>
      <c r="B54" s="38"/>
      <c r="C54" s="121"/>
      <c r="D54" s="122"/>
      <c r="E54" s="110"/>
      <c r="F54" s="263"/>
      <c r="G54" s="111"/>
      <c r="H54" s="128"/>
      <c r="I54" s="97" t="str">
        <f t="shared" si="0"/>
        <v/>
      </c>
      <c r="J54" s="61"/>
      <c r="K54" s="62"/>
      <c r="L54" s="63"/>
      <c r="M54" s="950"/>
      <c r="N54" s="949"/>
      <c r="O54" s="217"/>
      <c r="P54" s="218"/>
      <c r="Q54" s="219"/>
      <c r="R54" s="219"/>
      <c r="S54" s="219"/>
      <c r="T54" s="219"/>
      <c r="U54" s="219"/>
      <c r="V54" s="219"/>
      <c r="W54" s="219"/>
      <c r="X54" s="220"/>
      <c r="Y54" s="220"/>
      <c r="Z54" s="220"/>
      <c r="AA54" s="220"/>
      <c r="AB54" s="220"/>
      <c r="AC54" s="219"/>
      <c r="AD54" s="429"/>
      <c r="AE54" s="430"/>
      <c r="AF54" s="219"/>
      <c r="AG54" s="219"/>
      <c r="AH54" s="207"/>
    </row>
    <row r="55" spans="1:34" s="39" customFormat="1" ht="24" customHeight="1">
      <c r="A55" s="38"/>
      <c r="B55" s="38"/>
      <c r="C55" s="121"/>
      <c r="D55" s="122"/>
      <c r="E55" s="110"/>
      <c r="F55" s="263"/>
      <c r="G55" s="111"/>
      <c r="H55" s="128"/>
      <c r="I55" s="97" t="str">
        <f t="shared" si="0"/>
        <v/>
      </c>
      <c r="J55" s="61"/>
      <c r="K55" s="62"/>
      <c r="L55" s="63"/>
      <c r="M55" s="950"/>
      <c r="N55" s="949"/>
      <c r="O55" s="217"/>
      <c r="P55" s="218"/>
      <c r="Q55" s="219"/>
      <c r="R55" s="219"/>
      <c r="S55" s="219"/>
      <c r="T55" s="219"/>
      <c r="U55" s="219"/>
      <c r="V55" s="219"/>
      <c r="W55" s="219"/>
      <c r="X55" s="220"/>
      <c r="Y55" s="220"/>
      <c r="Z55" s="220"/>
      <c r="AA55" s="220"/>
      <c r="AB55" s="220"/>
      <c r="AC55" s="219"/>
      <c r="AD55" s="429"/>
      <c r="AE55" s="430"/>
      <c r="AF55" s="219"/>
      <c r="AG55" s="219"/>
      <c r="AH55" s="207"/>
    </row>
    <row r="56" spans="1:34" s="39" customFormat="1" ht="24" customHeight="1">
      <c r="A56" s="38"/>
      <c r="B56" s="38"/>
      <c r="C56" s="121"/>
      <c r="D56" s="122"/>
      <c r="E56" s="110"/>
      <c r="F56" s="263"/>
      <c r="G56" s="111"/>
      <c r="H56" s="128"/>
      <c r="I56" s="97" t="str">
        <f t="shared" si="0"/>
        <v/>
      </c>
      <c r="J56" s="61"/>
      <c r="K56" s="62"/>
      <c r="L56" s="63"/>
      <c r="M56" s="950"/>
      <c r="N56" s="949"/>
      <c r="O56" s="217"/>
      <c r="P56" s="218"/>
      <c r="Q56" s="219"/>
      <c r="R56" s="219"/>
      <c r="S56" s="219"/>
      <c r="T56" s="219"/>
      <c r="U56" s="219"/>
      <c r="V56" s="219"/>
      <c r="W56" s="219"/>
      <c r="X56" s="220"/>
      <c r="Y56" s="220"/>
      <c r="Z56" s="220"/>
      <c r="AA56" s="220"/>
      <c r="AB56" s="220"/>
      <c r="AC56" s="219"/>
      <c r="AD56" s="429"/>
      <c r="AE56" s="430"/>
      <c r="AF56" s="219"/>
      <c r="AG56" s="219"/>
      <c r="AH56" s="207"/>
    </row>
    <row r="57" spans="1:34" s="39" customFormat="1" ht="24" customHeight="1">
      <c r="A57" s="38"/>
      <c r="B57" s="38"/>
      <c r="C57" s="121"/>
      <c r="D57" s="122"/>
      <c r="E57" s="110"/>
      <c r="F57" s="263"/>
      <c r="G57" s="111"/>
      <c r="H57" s="128"/>
      <c r="I57" s="97" t="str">
        <f t="shared" si="0"/>
        <v/>
      </c>
      <c r="J57" s="61"/>
      <c r="K57" s="62"/>
      <c r="L57" s="63"/>
      <c r="M57" s="950"/>
      <c r="N57" s="949"/>
      <c r="O57" s="217"/>
      <c r="P57" s="218"/>
      <c r="Q57" s="219"/>
      <c r="R57" s="219"/>
      <c r="S57" s="219"/>
      <c r="T57" s="219"/>
      <c r="U57" s="219"/>
      <c r="V57" s="219"/>
      <c r="W57" s="219"/>
      <c r="X57" s="220"/>
      <c r="Y57" s="220"/>
      <c r="Z57" s="220"/>
      <c r="AA57" s="220"/>
      <c r="AB57" s="220"/>
      <c r="AC57" s="219"/>
      <c r="AD57" s="429"/>
      <c r="AE57" s="430"/>
      <c r="AF57" s="219"/>
      <c r="AG57" s="219"/>
      <c r="AH57" s="207"/>
    </row>
    <row r="58" spans="1:34" s="39" customFormat="1" ht="24" customHeight="1">
      <c r="A58" s="38"/>
      <c r="B58" s="38"/>
      <c r="C58" s="121"/>
      <c r="D58" s="122"/>
      <c r="E58" s="110"/>
      <c r="F58" s="263"/>
      <c r="G58" s="111"/>
      <c r="H58" s="128"/>
      <c r="I58" s="97" t="str">
        <f t="shared" si="0"/>
        <v/>
      </c>
      <c r="J58" s="61"/>
      <c r="K58" s="62"/>
      <c r="L58" s="63"/>
      <c r="M58" s="950"/>
      <c r="N58" s="949"/>
      <c r="O58" s="217"/>
      <c r="P58" s="218"/>
      <c r="Q58" s="219"/>
      <c r="R58" s="219"/>
      <c r="S58" s="219"/>
      <c r="T58" s="219"/>
      <c r="U58" s="219"/>
      <c r="V58" s="219"/>
      <c r="W58" s="219"/>
      <c r="X58" s="220"/>
      <c r="Y58" s="220"/>
      <c r="Z58" s="220"/>
      <c r="AA58" s="220"/>
      <c r="AB58" s="220"/>
      <c r="AC58" s="219"/>
      <c r="AD58" s="429"/>
      <c r="AE58" s="430"/>
      <c r="AF58" s="219"/>
      <c r="AG58" s="219"/>
      <c r="AH58" s="207"/>
    </row>
    <row r="59" spans="1:34" s="39" customFormat="1" ht="24" customHeight="1">
      <c r="A59" s="38"/>
      <c r="B59" s="38"/>
      <c r="C59" s="121"/>
      <c r="D59" s="122"/>
      <c r="E59" s="110"/>
      <c r="F59" s="263"/>
      <c r="G59" s="111"/>
      <c r="H59" s="128"/>
      <c r="I59" s="97" t="str">
        <f t="shared" si="0"/>
        <v/>
      </c>
      <c r="J59" s="61"/>
      <c r="K59" s="62"/>
      <c r="L59" s="63"/>
      <c r="M59" s="950"/>
      <c r="N59" s="949"/>
      <c r="O59" s="217"/>
      <c r="P59" s="218"/>
      <c r="Q59" s="219"/>
      <c r="R59" s="219"/>
      <c r="S59" s="219"/>
      <c r="T59" s="219"/>
      <c r="U59" s="219"/>
      <c r="V59" s="219"/>
      <c r="W59" s="219"/>
      <c r="X59" s="220"/>
      <c r="Y59" s="220"/>
      <c r="Z59" s="220"/>
      <c r="AA59" s="220"/>
      <c r="AB59" s="220"/>
      <c r="AC59" s="219"/>
      <c r="AD59" s="429"/>
      <c r="AE59" s="430"/>
      <c r="AF59" s="219"/>
      <c r="AG59" s="219"/>
      <c r="AH59" s="207"/>
    </row>
    <row r="60" spans="1:34" s="39" customFormat="1" ht="24" customHeight="1">
      <c r="A60" s="38"/>
      <c r="B60" s="38"/>
      <c r="C60" s="121"/>
      <c r="D60" s="122"/>
      <c r="E60" s="110"/>
      <c r="F60" s="263"/>
      <c r="G60" s="111"/>
      <c r="H60" s="128"/>
      <c r="I60" s="97" t="str">
        <f t="shared" si="0"/>
        <v/>
      </c>
      <c r="J60" s="61"/>
      <c r="K60" s="62"/>
      <c r="L60" s="63"/>
      <c r="M60" s="950"/>
      <c r="N60" s="949"/>
      <c r="O60" s="217"/>
      <c r="P60" s="218"/>
      <c r="Q60" s="219"/>
      <c r="R60" s="219"/>
      <c r="S60" s="219"/>
      <c r="T60" s="219"/>
      <c r="U60" s="219"/>
      <c r="V60" s="219"/>
      <c r="W60" s="219"/>
      <c r="X60" s="220"/>
      <c r="Y60" s="220"/>
      <c r="Z60" s="220"/>
      <c r="AA60" s="220"/>
      <c r="AB60" s="220"/>
      <c r="AC60" s="219"/>
      <c r="AD60" s="429"/>
      <c r="AE60" s="430"/>
      <c r="AF60" s="219"/>
      <c r="AG60" s="219"/>
      <c r="AH60" s="207"/>
    </row>
    <row r="61" spans="1:34" s="39" customFormat="1" ht="24" customHeight="1">
      <c r="A61" s="38"/>
      <c r="B61" s="38"/>
      <c r="C61" s="121"/>
      <c r="D61" s="122"/>
      <c r="E61" s="110"/>
      <c r="F61" s="263"/>
      <c r="G61" s="111"/>
      <c r="H61" s="128"/>
      <c r="I61" s="97" t="str">
        <f t="shared" si="0"/>
        <v/>
      </c>
      <c r="J61" s="61"/>
      <c r="K61" s="62"/>
      <c r="L61" s="63"/>
      <c r="M61" s="950"/>
      <c r="N61" s="949"/>
      <c r="O61" s="217"/>
      <c r="P61" s="218"/>
      <c r="Q61" s="219"/>
      <c r="R61" s="219"/>
      <c r="S61" s="219"/>
      <c r="T61" s="219"/>
      <c r="U61" s="219"/>
      <c r="V61" s="219"/>
      <c r="W61" s="219"/>
      <c r="X61" s="220"/>
      <c r="Y61" s="220"/>
      <c r="Z61" s="220"/>
      <c r="AA61" s="220"/>
      <c r="AB61" s="220"/>
      <c r="AC61" s="219"/>
      <c r="AD61" s="429"/>
      <c r="AE61" s="430"/>
      <c r="AF61" s="219"/>
      <c r="AG61" s="219"/>
      <c r="AH61" s="207"/>
    </row>
    <row r="62" spans="1:34" s="39" customFormat="1" ht="24" customHeight="1">
      <c r="A62" s="38"/>
      <c r="B62" s="38"/>
      <c r="C62" s="121"/>
      <c r="D62" s="122"/>
      <c r="E62" s="110"/>
      <c r="F62" s="263"/>
      <c r="G62" s="111"/>
      <c r="H62" s="128"/>
      <c r="I62" s="97" t="str">
        <f t="shared" si="0"/>
        <v/>
      </c>
      <c r="J62" s="61"/>
      <c r="K62" s="62"/>
      <c r="L62" s="63"/>
      <c r="M62" s="950"/>
      <c r="N62" s="949"/>
      <c r="O62" s="217"/>
      <c r="P62" s="218"/>
      <c r="Q62" s="219"/>
      <c r="R62" s="219"/>
      <c r="S62" s="219"/>
      <c r="T62" s="219"/>
      <c r="U62" s="219"/>
      <c r="V62" s="219"/>
      <c r="W62" s="219"/>
      <c r="X62" s="220"/>
      <c r="Y62" s="220"/>
      <c r="Z62" s="220"/>
      <c r="AA62" s="220"/>
      <c r="AB62" s="220"/>
      <c r="AC62" s="219"/>
      <c r="AD62" s="429"/>
      <c r="AE62" s="430"/>
      <c r="AF62" s="219"/>
      <c r="AG62" s="219"/>
      <c r="AH62" s="207"/>
    </row>
    <row r="63" spans="1:34" s="39" customFormat="1" ht="24" customHeight="1">
      <c r="A63" s="38"/>
      <c r="B63" s="38"/>
      <c r="C63" s="121"/>
      <c r="D63" s="122"/>
      <c r="E63" s="110"/>
      <c r="F63" s="263"/>
      <c r="G63" s="111"/>
      <c r="H63" s="128"/>
      <c r="I63" s="97" t="str">
        <f t="shared" si="0"/>
        <v/>
      </c>
      <c r="J63" s="61"/>
      <c r="K63" s="62"/>
      <c r="L63" s="63"/>
      <c r="M63" s="950"/>
      <c r="N63" s="949"/>
      <c r="O63" s="217"/>
      <c r="P63" s="218"/>
      <c r="Q63" s="219"/>
      <c r="R63" s="219"/>
      <c r="S63" s="219"/>
      <c r="T63" s="219"/>
      <c r="U63" s="219"/>
      <c r="V63" s="219"/>
      <c r="W63" s="219"/>
      <c r="X63" s="220"/>
      <c r="Y63" s="220"/>
      <c r="Z63" s="220"/>
      <c r="AA63" s="220"/>
      <c r="AB63" s="220"/>
      <c r="AC63" s="219"/>
      <c r="AD63" s="429"/>
      <c r="AE63" s="430"/>
      <c r="AF63" s="219"/>
      <c r="AG63" s="219"/>
      <c r="AH63" s="207"/>
    </row>
    <row r="64" spans="1:34" s="39" customFormat="1" ht="24" customHeight="1">
      <c r="A64" s="38"/>
      <c r="B64" s="38"/>
      <c r="C64" s="121"/>
      <c r="D64" s="122"/>
      <c r="E64" s="110"/>
      <c r="F64" s="263"/>
      <c r="G64" s="111"/>
      <c r="H64" s="128"/>
      <c r="I64" s="97" t="str">
        <f t="shared" si="0"/>
        <v/>
      </c>
      <c r="J64" s="61"/>
      <c r="K64" s="62"/>
      <c r="L64" s="63"/>
      <c r="M64" s="950"/>
      <c r="N64" s="949"/>
      <c r="O64" s="217"/>
      <c r="P64" s="218"/>
      <c r="Q64" s="219"/>
      <c r="R64" s="219"/>
      <c r="S64" s="219"/>
      <c r="T64" s="219"/>
      <c r="U64" s="219"/>
      <c r="V64" s="219"/>
      <c r="W64" s="219"/>
      <c r="X64" s="220"/>
      <c r="Y64" s="220"/>
      <c r="Z64" s="220"/>
      <c r="AA64" s="220"/>
      <c r="AB64" s="220"/>
      <c r="AC64" s="219"/>
      <c r="AD64" s="429"/>
      <c r="AE64" s="430"/>
      <c r="AF64" s="219"/>
      <c r="AG64" s="219"/>
      <c r="AH64" s="207"/>
    </row>
    <row r="65" spans="1:34" s="39" customFormat="1" ht="24" customHeight="1">
      <c r="A65" s="38"/>
      <c r="B65" s="38"/>
      <c r="C65" s="121"/>
      <c r="D65" s="122"/>
      <c r="E65" s="110"/>
      <c r="F65" s="263"/>
      <c r="G65" s="111"/>
      <c r="H65" s="128"/>
      <c r="I65" s="97" t="str">
        <f t="shared" si="0"/>
        <v/>
      </c>
      <c r="J65" s="61"/>
      <c r="K65" s="62"/>
      <c r="L65" s="63"/>
      <c r="M65" s="950"/>
      <c r="N65" s="949"/>
      <c r="O65" s="217"/>
      <c r="P65" s="218"/>
      <c r="Q65" s="219"/>
      <c r="R65" s="219"/>
      <c r="S65" s="219"/>
      <c r="T65" s="219"/>
      <c r="U65" s="219"/>
      <c r="V65" s="219"/>
      <c r="W65" s="219"/>
      <c r="X65" s="220"/>
      <c r="Y65" s="220"/>
      <c r="Z65" s="220"/>
      <c r="AA65" s="220"/>
      <c r="AB65" s="220"/>
      <c r="AC65" s="219"/>
      <c r="AD65" s="429"/>
      <c r="AE65" s="430"/>
      <c r="AF65" s="219"/>
      <c r="AG65" s="219"/>
      <c r="AH65" s="207"/>
    </row>
    <row r="66" spans="1:34" s="39" customFormat="1" ht="24" customHeight="1">
      <c r="A66" s="38"/>
      <c r="B66" s="38"/>
      <c r="C66" s="121"/>
      <c r="D66" s="122"/>
      <c r="E66" s="110"/>
      <c r="F66" s="263"/>
      <c r="G66" s="111"/>
      <c r="H66" s="128"/>
      <c r="I66" s="97" t="str">
        <f t="shared" si="0"/>
        <v/>
      </c>
      <c r="J66" s="61"/>
      <c r="K66" s="62"/>
      <c r="L66" s="63"/>
      <c r="M66" s="950"/>
      <c r="N66" s="949"/>
      <c r="O66" s="217"/>
      <c r="P66" s="218"/>
      <c r="Q66" s="219"/>
      <c r="R66" s="219"/>
      <c r="S66" s="219"/>
      <c r="T66" s="219"/>
      <c r="U66" s="219"/>
      <c r="V66" s="219"/>
      <c r="W66" s="219"/>
      <c r="X66" s="220"/>
      <c r="Y66" s="220"/>
      <c r="Z66" s="220"/>
      <c r="AA66" s="220"/>
      <c r="AB66" s="220"/>
      <c r="AC66" s="219"/>
      <c r="AD66" s="429"/>
      <c r="AE66" s="430"/>
      <c r="AF66" s="219"/>
      <c r="AG66" s="219"/>
      <c r="AH66" s="207"/>
    </row>
    <row r="67" spans="1:34" s="39" customFormat="1" ht="24" customHeight="1">
      <c r="A67" s="38"/>
      <c r="B67" s="38"/>
      <c r="C67" s="121"/>
      <c r="D67" s="122"/>
      <c r="E67" s="110"/>
      <c r="F67" s="263"/>
      <c r="G67" s="111"/>
      <c r="H67" s="128"/>
      <c r="I67" s="97" t="str">
        <f t="shared" si="0"/>
        <v/>
      </c>
      <c r="J67" s="61"/>
      <c r="K67" s="62"/>
      <c r="L67" s="63"/>
      <c r="M67" s="950"/>
      <c r="N67" s="949"/>
      <c r="O67" s="217"/>
      <c r="P67" s="218"/>
      <c r="Q67" s="219"/>
      <c r="R67" s="219"/>
      <c r="S67" s="219"/>
      <c r="T67" s="219"/>
      <c r="U67" s="219"/>
      <c r="V67" s="219"/>
      <c r="W67" s="219"/>
      <c r="X67" s="220"/>
      <c r="Y67" s="220"/>
      <c r="Z67" s="220"/>
      <c r="AA67" s="220"/>
      <c r="AB67" s="220"/>
      <c r="AC67" s="219"/>
      <c r="AD67" s="429"/>
      <c r="AE67" s="430"/>
      <c r="AF67" s="219"/>
      <c r="AG67" s="219"/>
      <c r="AH67" s="207"/>
    </row>
    <row r="68" spans="1:34" s="39" customFormat="1" ht="24" customHeight="1">
      <c r="A68" s="38"/>
      <c r="B68" s="38"/>
      <c r="C68" s="121"/>
      <c r="D68" s="122"/>
      <c r="E68" s="110"/>
      <c r="F68" s="263"/>
      <c r="G68" s="111"/>
      <c r="H68" s="128"/>
      <c r="I68" s="97" t="str">
        <f t="shared" si="0"/>
        <v/>
      </c>
      <c r="J68" s="61"/>
      <c r="K68" s="62"/>
      <c r="L68" s="63"/>
      <c r="M68" s="950"/>
      <c r="N68" s="949"/>
      <c r="O68" s="217"/>
      <c r="P68" s="218"/>
      <c r="Q68" s="219"/>
      <c r="R68" s="219"/>
      <c r="S68" s="219"/>
      <c r="T68" s="219"/>
      <c r="U68" s="219"/>
      <c r="V68" s="219"/>
      <c r="W68" s="219"/>
      <c r="X68" s="220"/>
      <c r="Y68" s="220"/>
      <c r="Z68" s="220"/>
      <c r="AA68" s="220"/>
      <c r="AB68" s="220"/>
      <c r="AC68" s="219"/>
      <c r="AD68" s="429"/>
      <c r="AE68" s="430"/>
      <c r="AF68" s="219"/>
      <c r="AG68" s="219"/>
      <c r="AH68" s="207"/>
    </row>
    <row r="69" spans="1:34" s="39" customFormat="1" ht="24" customHeight="1">
      <c r="A69" s="38"/>
      <c r="B69" s="38"/>
      <c r="C69" s="121"/>
      <c r="D69" s="122"/>
      <c r="E69" s="110"/>
      <c r="F69" s="263"/>
      <c r="G69" s="111"/>
      <c r="H69" s="128"/>
      <c r="I69" s="97" t="str">
        <f t="shared" si="0"/>
        <v/>
      </c>
      <c r="J69" s="61"/>
      <c r="K69" s="62"/>
      <c r="L69" s="63"/>
      <c r="M69" s="950"/>
      <c r="N69" s="949"/>
      <c r="O69" s="217"/>
      <c r="P69" s="218"/>
      <c r="Q69" s="219"/>
      <c r="R69" s="219"/>
      <c r="S69" s="219"/>
      <c r="T69" s="219"/>
      <c r="U69" s="219"/>
      <c r="V69" s="219"/>
      <c r="W69" s="219"/>
      <c r="X69" s="220"/>
      <c r="Y69" s="220"/>
      <c r="Z69" s="220"/>
      <c r="AA69" s="220"/>
      <c r="AB69" s="220"/>
      <c r="AC69" s="219"/>
      <c r="AD69" s="429"/>
      <c r="AE69" s="430"/>
      <c r="AF69" s="219"/>
      <c r="AG69" s="219"/>
      <c r="AH69" s="207"/>
    </row>
    <row r="70" spans="1:34" s="39" customFormat="1" ht="24" customHeight="1">
      <c r="A70" s="38"/>
      <c r="B70" s="38"/>
      <c r="C70" s="121"/>
      <c r="D70" s="122"/>
      <c r="E70" s="110"/>
      <c r="F70" s="263"/>
      <c r="G70" s="111"/>
      <c r="H70" s="128"/>
      <c r="I70" s="97" t="str">
        <f t="shared" si="0"/>
        <v/>
      </c>
      <c r="J70" s="61"/>
      <c r="K70" s="62"/>
      <c r="L70" s="63"/>
      <c r="M70" s="950"/>
      <c r="N70" s="949"/>
      <c r="O70" s="217"/>
      <c r="P70" s="218"/>
      <c r="Q70" s="219"/>
      <c r="R70" s="219"/>
      <c r="S70" s="219"/>
      <c r="T70" s="219"/>
      <c r="U70" s="219"/>
      <c r="V70" s="219"/>
      <c r="W70" s="219"/>
      <c r="X70" s="220"/>
      <c r="Y70" s="220"/>
      <c r="Z70" s="220"/>
      <c r="AA70" s="220"/>
      <c r="AB70" s="220"/>
      <c r="AC70" s="219"/>
      <c r="AD70" s="429"/>
      <c r="AE70" s="430"/>
      <c r="AF70" s="219"/>
      <c r="AG70" s="219"/>
      <c r="AH70" s="207"/>
    </row>
    <row r="71" spans="1:34" s="1" customFormat="1" ht="24" customHeight="1" thickBot="1">
      <c r="A71" s="38"/>
      <c r="B71" s="38"/>
      <c r="C71" s="99"/>
      <c r="D71" s="89" t="s">
        <v>8</v>
      </c>
      <c r="E71" s="100"/>
      <c r="F71" s="264"/>
      <c r="G71" s="114"/>
      <c r="H71" s="124" t="s">
        <v>86</v>
      </c>
      <c r="I71" s="101">
        <f>SUM(I53:I70)</f>
        <v>0</v>
      </c>
      <c r="J71" s="570" t="str">
        <f>IF(C52="部分撤去工事","）うち費用",")")</f>
        <v>)</v>
      </c>
      <c r="K71" s="569">
        <f>IF(C52="部分撤去工事",(K48+L71),0)</f>
        <v>0</v>
      </c>
      <c r="L71" s="568">
        <f>IF(C52="部分撤去工事",SUMIF(N53:N70,"費用",I53:I70),0)</f>
        <v>0</v>
      </c>
      <c r="M71" s="953"/>
      <c r="N71" s="954"/>
      <c r="O71" s="217"/>
      <c r="P71" s="218"/>
      <c r="Q71" s="219"/>
      <c r="R71" s="219"/>
      <c r="S71" s="219"/>
      <c r="T71" s="219"/>
      <c r="U71" s="219"/>
      <c r="V71" s="219"/>
      <c r="W71" s="219"/>
      <c r="X71" s="220"/>
      <c r="Y71" s="220"/>
      <c r="Z71" s="220"/>
      <c r="AA71" s="220"/>
      <c r="AB71" s="220"/>
      <c r="AC71" s="219"/>
      <c r="AD71" s="429"/>
      <c r="AE71" s="430"/>
      <c r="AF71" s="219"/>
      <c r="AG71" s="219"/>
      <c r="AH71" s="431"/>
    </row>
    <row r="72" spans="1:34" s="1" customFormat="1" ht="14.25" customHeight="1">
      <c r="A72" s="6"/>
      <c r="B72" s="6"/>
      <c r="E72" s="117" t="s">
        <v>84</v>
      </c>
      <c r="F72" s="118">
        <f>+F49+1</f>
        <v>1</v>
      </c>
      <c r="G72" s="119" t="s">
        <v>85</v>
      </c>
      <c r="H72" s="120">
        <f>+H49</f>
        <v>0</v>
      </c>
      <c r="I72" s="120"/>
      <c r="M72" s="33" t="str">
        <f>IF(A74="","EOL","")</f>
        <v>EOL</v>
      </c>
      <c r="N72" s="1">
        <f>+F72</f>
        <v>1</v>
      </c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34"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34"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34"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34" s="39" customFormat="1" ht="24" customHeight="1">
      <c r="A76" s="38"/>
      <c r="B76" s="38"/>
      <c r="C76" s="121"/>
      <c r="D76" s="122"/>
      <c r="E76" s="110"/>
      <c r="F76" s="263"/>
      <c r="G76" s="111"/>
      <c r="H76" s="123"/>
      <c r="I76" s="97" t="str">
        <f>IF(F76="","",ROUNDDOWN(F76*H76,0))</f>
        <v/>
      </c>
      <c r="J76" s="61"/>
      <c r="K76" s="62"/>
      <c r="L76" s="63"/>
      <c r="O76" s="217"/>
      <c r="P76" s="218"/>
      <c r="Q76" s="219"/>
      <c r="R76" s="219"/>
      <c r="S76" s="219"/>
      <c r="T76" s="219"/>
      <c r="U76" s="219"/>
      <c r="V76" s="219"/>
      <c r="W76" s="220"/>
      <c r="X76" s="220"/>
      <c r="Y76" s="220"/>
      <c r="Z76" s="220"/>
      <c r="AA76" s="222"/>
      <c r="AB76" s="221"/>
      <c r="AC76" s="219"/>
      <c r="AD76" s="219"/>
      <c r="AE76" s="219"/>
      <c r="AF76" s="219"/>
    </row>
    <row r="77" spans="1:34" s="39" customFormat="1" ht="24" customHeight="1">
      <c r="A77" s="38"/>
      <c r="B77" s="38"/>
      <c r="C77" s="121"/>
      <c r="D77" s="122" t="s">
        <v>8</v>
      </c>
      <c r="E77" s="110"/>
      <c r="F77" s="263"/>
      <c r="G77" s="111"/>
      <c r="H77" s="123" t="s">
        <v>64</v>
      </c>
      <c r="I77" s="97"/>
      <c r="J77" s="61" t="s">
        <v>65</v>
      </c>
      <c r="K77" s="62"/>
      <c r="L77" s="63"/>
      <c r="O77" s="217"/>
      <c r="P77" s="218"/>
      <c r="Q77" s="219"/>
      <c r="R77" s="219"/>
      <c r="S77" s="219"/>
      <c r="T77" s="219"/>
      <c r="U77" s="219"/>
      <c r="V77" s="219"/>
      <c r="W77" s="220"/>
      <c r="X77" s="220"/>
      <c r="Y77" s="220"/>
      <c r="Z77" s="220"/>
      <c r="AA77" s="222"/>
      <c r="AB77" s="221"/>
      <c r="AC77" s="219"/>
      <c r="AD77" s="219"/>
      <c r="AE77" s="219"/>
      <c r="AF77" s="219"/>
    </row>
    <row r="78" spans="1:34" s="39" customFormat="1" ht="24" customHeight="1">
      <c r="A78" s="38"/>
      <c r="B78" s="38"/>
      <c r="C78" s="121"/>
      <c r="D78" s="122"/>
      <c r="E78" s="110"/>
      <c r="F78" s="263"/>
      <c r="G78" s="111"/>
      <c r="H78" s="123"/>
      <c r="I78" s="97"/>
      <c r="J78" s="61"/>
      <c r="K78" s="62"/>
      <c r="L78" s="63"/>
      <c r="O78" s="217"/>
      <c r="P78" s="218"/>
      <c r="Q78" s="219"/>
      <c r="R78" s="219"/>
      <c r="S78" s="219"/>
      <c r="T78" s="219"/>
      <c r="U78" s="219"/>
      <c r="V78" s="219"/>
      <c r="W78" s="220"/>
      <c r="X78" s="220"/>
      <c r="Y78" s="220"/>
      <c r="Z78" s="220"/>
      <c r="AA78" s="222"/>
      <c r="AB78" s="221"/>
      <c r="AC78" s="219"/>
      <c r="AD78" s="219"/>
      <c r="AE78" s="219"/>
      <c r="AF78" s="219"/>
    </row>
    <row r="81" spans="1:15" s="20" customFormat="1" ht="20.25" customHeight="1" thickBot="1">
      <c r="A81" s="2313" t="s">
        <v>14</v>
      </c>
      <c r="B81" s="2313"/>
      <c r="C81" s="2313"/>
      <c r="D81" s="2313"/>
      <c r="E81" s="2313"/>
      <c r="F81" s="2313"/>
      <c r="G81" s="2313"/>
      <c r="H81" s="2313"/>
      <c r="I81" s="2313"/>
      <c r="J81" s="2313"/>
      <c r="K81" s="2313"/>
      <c r="L81" s="2313"/>
      <c r="M81" s="2313"/>
      <c r="N81" s="24" t="s">
        <v>83</v>
      </c>
      <c r="O81" s="211">
        <f>+O54</f>
        <v>0</v>
      </c>
    </row>
    <row r="82" spans="1:15" s="24" customFormat="1" ht="20.25" customHeight="1">
      <c r="A82" s="21"/>
      <c r="B82" s="22" t="s">
        <v>15</v>
      </c>
      <c r="C82" s="23" t="s">
        <v>17</v>
      </c>
      <c r="D82" s="23"/>
      <c r="E82" s="72"/>
      <c r="F82" s="55"/>
      <c r="G82" s="67"/>
      <c r="H82" s="2311" t="s">
        <v>231</v>
      </c>
      <c r="I82" s="2312"/>
      <c r="J82" s="2309" t="s">
        <v>232</v>
      </c>
      <c r="K82" s="2312"/>
      <c r="L82" s="2309" t="s">
        <v>233</v>
      </c>
      <c r="M82" s="2310"/>
      <c r="N82" s="2242" t="str">
        <f>IF(G133="",IF(O106=I106,H82,IF(O106=K106,J82,L82)),N109)</f>
        <v>C:</v>
      </c>
      <c r="O82" s="2243"/>
    </row>
    <row r="83" spans="1:15" s="24" customFormat="1" ht="20.25" customHeight="1" thickBot="1">
      <c r="A83" s="25" t="s">
        <v>234</v>
      </c>
      <c r="B83" s="26" t="s">
        <v>16</v>
      </c>
      <c r="C83" s="27" t="s">
        <v>16</v>
      </c>
      <c r="D83" s="27" t="s">
        <v>18</v>
      </c>
      <c r="E83" s="73" t="s">
        <v>19</v>
      </c>
      <c r="F83" s="56" t="s">
        <v>20</v>
      </c>
      <c r="G83" s="68" t="s">
        <v>21</v>
      </c>
      <c r="H83" s="434" t="s">
        <v>22</v>
      </c>
      <c r="I83" s="435" t="s">
        <v>23</v>
      </c>
      <c r="J83" s="436" t="s">
        <v>22</v>
      </c>
      <c r="K83" s="435" t="s">
        <v>23</v>
      </c>
      <c r="L83" s="436" t="s">
        <v>22</v>
      </c>
      <c r="M83" s="435" t="s">
        <v>23</v>
      </c>
      <c r="N83" s="434" t="s">
        <v>26</v>
      </c>
      <c r="O83" s="437" t="s">
        <v>27</v>
      </c>
    </row>
    <row r="84" spans="1:15" s="20" customFormat="1" ht="20.25" customHeight="1">
      <c r="A84" s="52"/>
      <c r="B84" s="81"/>
      <c r="C84" s="82"/>
      <c r="D84" s="64"/>
      <c r="E84" s="74"/>
      <c r="F84" s="57"/>
      <c r="G84" s="69"/>
      <c r="H84" s="438"/>
      <c r="I84" s="439" t="str">
        <f t="shared" ref="I84:I105" si="1">IF(H84="","",ROUNDDOWN(H84*F84,0))</f>
        <v/>
      </c>
      <c r="J84" s="440"/>
      <c r="K84" s="439" t="str">
        <f t="shared" ref="K84:K105" si="2">IF(J84="","",ROUNDDOWN(J84*$F84,0))</f>
        <v/>
      </c>
      <c r="L84" s="440"/>
      <c r="M84" s="441" t="str">
        <f t="shared" ref="M84:M105" si="3">IF(L84="","",ROUNDDOWN(L84*$F84,0))</f>
        <v/>
      </c>
      <c r="N84" s="438" t="str">
        <f>IF(F84="","",INT(HLOOKUP(N82,H82:M105,3,FALSE)*O81))</f>
        <v/>
      </c>
      <c r="O84" s="442" t="str">
        <f t="shared" ref="O84:O105" si="4">IF(N84="","",IF(N84&lt;10,INT(N84),IF(N84&lt;10000,ROUNDDOWN(N84,-1),ROUNDDOWN(N84,-2))))</f>
        <v/>
      </c>
    </row>
    <row r="85" spans="1:15" s="20" customFormat="1" ht="20.25" customHeight="1">
      <c r="A85" s="53"/>
      <c r="B85" s="83"/>
      <c r="C85" s="84"/>
      <c r="D85" s="65"/>
      <c r="E85" s="75"/>
      <c r="F85" s="59"/>
      <c r="G85" s="70"/>
      <c r="H85" s="443"/>
      <c r="I85" s="444" t="str">
        <f t="shared" si="1"/>
        <v/>
      </c>
      <c r="J85" s="445"/>
      <c r="K85" s="444" t="str">
        <f t="shared" si="2"/>
        <v/>
      </c>
      <c r="L85" s="445"/>
      <c r="M85" s="446" t="str">
        <f t="shared" si="3"/>
        <v/>
      </c>
      <c r="N85" s="443" t="str">
        <f>IF(F85="","",INT(HLOOKUP(N82,H82:M105,4,FALSE)*O81))</f>
        <v/>
      </c>
      <c r="O85" s="447" t="str">
        <f t="shared" si="4"/>
        <v/>
      </c>
    </row>
    <row r="86" spans="1:15" s="20" customFormat="1" ht="20.25" customHeight="1">
      <c r="A86" s="53"/>
      <c r="B86" s="83"/>
      <c r="C86" s="84"/>
      <c r="D86" s="65"/>
      <c r="E86" s="75"/>
      <c r="F86" s="59"/>
      <c r="G86" s="70"/>
      <c r="H86" s="443"/>
      <c r="I86" s="444" t="str">
        <f t="shared" si="1"/>
        <v/>
      </c>
      <c r="J86" s="445"/>
      <c r="K86" s="444" t="str">
        <f t="shared" si="2"/>
        <v/>
      </c>
      <c r="L86" s="445"/>
      <c r="M86" s="446" t="str">
        <f t="shared" si="3"/>
        <v/>
      </c>
      <c r="N86" s="443" t="str">
        <f>IF(F86="","",INT(HLOOKUP(N82,H82:M105,5,FALSE)*O81))</f>
        <v/>
      </c>
      <c r="O86" s="447" t="str">
        <f t="shared" si="4"/>
        <v/>
      </c>
    </row>
    <row r="87" spans="1:15" s="20" customFormat="1" ht="20.25" customHeight="1">
      <c r="A87" s="53"/>
      <c r="B87" s="83"/>
      <c r="C87" s="84"/>
      <c r="D87" s="65"/>
      <c r="E87" s="75"/>
      <c r="F87" s="59"/>
      <c r="G87" s="70"/>
      <c r="H87" s="443"/>
      <c r="I87" s="444" t="str">
        <f t="shared" si="1"/>
        <v/>
      </c>
      <c r="J87" s="445"/>
      <c r="K87" s="444" t="str">
        <f t="shared" si="2"/>
        <v/>
      </c>
      <c r="L87" s="445"/>
      <c r="M87" s="446" t="str">
        <f t="shared" si="3"/>
        <v/>
      </c>
      <c r="N87" s="443" t="str">
        <f>IF(F87="","",INT(HLOOKUP(N82,H82:M105,6,FALSE)*O81))</f>
        <v/>
      </c>
      <c r="O87" s="447" t="str">
        <f t="shared" si="4"/>
        <v/>
      </c>
    </row>
    <row r="88" spans="1:15" s="20" customFormat="1" ht="20.25" customHeight="1">
      <c r="A88" s="53"/>
      <c r="B88" s="83"/>
      <c r="C88" s="84"/>
      <c r="D88" s="65"/>
      <c r="E88" s="75"/>
      <c r="F88" s="59"/>
      <c r="G88" s="70"/>
      <c r="H88" s="443"/>
      <c r="I88" s="444" t="str">
        <f t="shared" si="1"/>
        <v/>
      </c>
      <c r="J88" s="445"/>
      <c r="K88" s="444" t="str">
        <f t="shared" si="2"/>
        <v/>
      </c>
      <c r="L88" s="445"/>
      <c r="M88" s="446" t="str">
        <f t="shared" si="3"/>
        <v/>
      </c>
      <c r="N88" s="443" t="str">
        <f>IF(F88="","",INT(HLOOKUP(N82,H82:M105,7,FALSE)*O81))</f>
        <v/>
      </c>
      <c r="O88" s="447" t="str">
        <f t="shared" si="4"/>
        <v/>
      </c>
    </row>
    <row r="89" spans="1:15" s="20" customFormat="1" ht="20.25" customHeight="1">
      <c r="A89" s="53"/>
      <c r="B89" s="83"/>
      <c r="C89" s="84"/>
      <c r="D89" s="65"/>
      <c r="E89" s="75"/>
      <c r="F89" s="59"/>
      <c r="G89" s="70"/>
      <c r="H89" s="443"/>
      <c r="I89" s="444" t="str">
        <f t="shared" si="1"/>
        <v/>
      </c>
      <c r="J89" s="445"/>
      <c r="K89" s="444" t="str">
        <f t="shared" si="2"/>
        <v/>
      </c>
      <c r="L89" s="445"/>
      <c r="M89" s="446" t="str">
        <f t="shared" si="3"/>
        <v/>
      </c>
      <c r="N89" s="443" t="str">
        <f>IF(F89="","",INT(HLOOKUP(N82,H82:M105,8,FALSE)*O81))</f>
        <v/>
      </c>
      <c r="O89" s="447" t="str">
        <f t="shared" si="4"/>
        <v/>
      </c>
    </row>
    <row r="90" spans="1:15" s="20" customFormat="1" ht="20.25" customHeight="1">
      <c r="A90" s="53"/>
      <c r="B90" s="83"/>
      <c r="C90" s="84"/>
      <c r="D90" s="65"/>
      <c r="E90" s="75"/>
      <c r="F90" s="59"/>
      <c r="G90" s="70"/>
      <c r="H90" s="443"/>
      <c r="I90" s="444" t="str">
        <f t="shared" si="1"/>
        <v/>
      </c>
      <c r="J90" s="445"/>
      <c r="K90" s="444" t="str">
        <f t="shared" si="2"/>
        <v/>
      </c>
      <c r="L90" s="445"/>
      <c r="M90" s="446" t="str">
        <f t="shared" si="3"/>
        <v/>
      </c>
      <c r="N90" s="443" t="str">
        <f>IF(F90="","",INT(HLOOKUP(N82,H82:M105,9,FALSE)*O81))</f>
        <v/>
      </c>
      <c r="O90" s="447" t="str">
        <f t="shared" si="4"/>
        <v/>
      </c>
    </row>
    <row r="91" spans="1:15" s="20" customFormat="1" ht="20.25" customHeight="1">
      <c r="A91" s="53"/>
      <c r="B91" s="83"/>
      <c r="C91" s="84"/>
      <c r="D91" s="65"/>
      <c r="E91" s="75"/>
      <c r="F91" s="59"/>
      <c r="G91" s="70"/>
      <c r="H91" s="443"/>
      <c r="I91" s="444" t="str">
        <f t="shared" si="1"/>
        <v/>
      </c>
      <c r="J91" s="445"/>
      <c r="K91" s="444" t="str">
        <f t="shared" si="2"/>
        <v/>
      </c>
      <c r="L91" s="445"/>
      <c r="M91" s="446" t="str">
        <f t="shared" si="3"/>
        <v/>
      </c>
      <c r="N91" s="443" t="str">
        <f>IF(F91="","",INT(HLOOKUP(N82,H82:M105,10,FALSE)*O81))</f>
        <v/>
      </c>
      <c r="O91" s="447" t="str">
        <f t="shared" si="4"/>
        <v/>
      </c>
    </row>
    <row r="92" spans="1:15" s="20" customFormat="1" ht="20.25" customHeight="1">
      <c r="A92" s="53"/>
      <c r="B92" s="83"/>
      <c r="C92" s="84"/>
      <c r="D92" s="65"/>
      <c r="E92" s="75"/>
      <c r="F92" s="59"/>
      <c r="G92" s="70"/>
      <c r="H92" s="443"/>
      <c r="I92" s="444" t="str">
        <f t="shared" si="1"/>
        <v/>
      </c>
      <c r="J92" s="445"/>
      <c r="K92" s="444" t="str">
        <f t="shared" si="2"/>
        <v/>
      </c>
      <c r="L92" s="445"/>
      <c r="M92" s="446" t="str">
        <f t="shared" si="3"/>
        <v/>
      </c>
      <c r="N92" s="443" t="str">
        <f>IF(F92="","",INT(HLOOKUP(N82,H82:M105,11,FALSE)*O81))</f>
        <v/>
      </c>
      <c r="O92" s="447" t="str">
        <f t="shared" si="4"/>
        <v/>
      </c>
    </row>
    <row r="93" spans="1:15" s="20" customFormat="1" ht="20.25" customHeight="1">
      <c r="A93" s="53"/>
      <c r="B93" s="83"/>
      <c r="C93" s="84"/>
      <c r="D93" s="65"/>
      <c r="E93" s="75"/>
      <c r="F93" s="59"/>
      <c r="G93" s="70"/>
      <c r="H93" s="443"/>
      <c r="I93" s="444" t="str">
        <f t="shared" si="1"/>
        <v/>
      </c>
      <c r="J93" s="445"/>
      <c r="K93" s="444" t="str">
        <f t="shared" si="2"/>
        <v/>
      </c>
      <c r="L93" s="445"/>
      <c r="M93" s="446" t="str">
        <f t="shared" si="3"/>
        <v/>
      </c>
      <c r="N93" s="443" t="str">
        <f>IF(F93="","",INT(HLOOKUP(N82,H82:M105,12,FALSE)*O81))</f>
        <v/>
      </c>
      <c r="O93" s="447" t="str">
        <f t="shared" si="4"/>
        <v/>
      </c>
    </row>
    <row r="94" spans="1:15" s="20" customFormat="1" ht="20.25" customHeight="1">
      <c r="A94" s="53"/>
      <c r="B94" s="83"/>
      <c r="C94" s="84"/>
      <c r="D94" s="65"/>
      <c r="E94" s="75"/>
      <c r="F94" s="59"/>
      <c r="G94" s="70"/>
      <c r="H94" s="443"/>
      <c r="I94" s="444" t="str">
        <f t="shared" si="1"/>
        <v/>
      </c>
      <c r="J94" s="445"/>
      <c r="K94" s="444" t="str">
        <f t="shared" si="2"/>
        <v/>
      </c>
      <c r="L94" s="445"/>
      <c r="M94" s="446" t="str">
        <f t="shared" si="3"/>
        <v/>
      </c>
      <c r="N94" s="443" t="str">
        <f>IF(F94="","",INT(HLOOKUP(N82,H82:M105,13,FALSE)*O81))</f>
        <v/>
      </c>
      <c r="O94" s="447" t="str">
        <f t="shared" si="4"/>
        <v/>
      </c>
    </row>
    <row r="95" spans="1:15" s="20" customFormat="1" ht="20.25" customHeight="1">
      <c r="A95" s="53"/>
      <c r="B95" s="83"/>
      <c r="C95" s="84"/>
      <c r="D95" s="65"/>
      <c r="E95" s="75"/>
      <c r="F95" s="59"/>
      <c r="G95" s="70"/>
      <c r="H95" s="443"/>
      <c r="I95" s="444" t="str">
        <f t="shared" si="1"/>
        <v/>
      </c>
      <c r="J95" s="445"/>
      <c r="K95" s="444" t="str">
        <f t="shared" si="2"/>
        <v/>
      </c>
      <c r="L95" s="445"/>
      <c r="M95" s="446" t="str">
        <f t="shared" si="3"/>
        <v/>
      </c>
      <c r="N95" s="443" t="str">
        <f>IF(F95="","",INT(HLOOKUP(N82,H82:M105,14,FALSE)*O81))</f>
        <v/>
      </c>
      <c r="O95" s="447" t="str">
        <f t="shared" si="4"/>
        <v/>
      </c>
    </row>
    <row r="96" spans="1:15" s="20" customFormat="1" ht="20.25" customHeight="1">
      <c r="A96" s="53"/>
      <c r="B96" s="83"/>
      <c r="C96" s="84"/>
      <c r="D96" s="65"/>
      <c r="E96" s="75"/>
      <c r="F96" s="59"/>
      <c r="G96" s="70"/>
      <c r="H96" s="443"/>
      <c r="I96" s="444" t="str">
        <f t="shared" si="1"/>
        <v/>
      </c>
      <c r="J96" s="445"/>
      <c r="K96" s="444" t="str">
        <f t="shared" si="2"/>
        <v/>
      </c>
      <c r="L96" s="445"/>
      <c r="M96" s="446" t="str">
        <f t="shared" si="3"/>
        <v/>
      </c>
      <c r="N96" s="443" t="str">
        <f>IF(F96="","",INT(HLOOKUP(N82,H82:M105,15,FALSE)*O81))</f>
        <v/>
      </c>
      <c r="O96" s="447" t="str">
        <f t="shared" si="4"/>
        <v/>
      </c>
    </row>
    <row r="97" spans="1:20" s="20" customFormat="1" ht="20.25" customHeight="1">
      <c r="A97" s="53"/>
      <c r="B97" s="83"/>
      <c r="C97" s="84"/>
      <c r="D97" s="65"/>
      <c r="E97" s="75"/>
      <c r="F97" s="59"/>
      <c r="G97" s="70"/>
      <c r="H97" s="443"/>
      <c r="I97" s="444" t="str">
        <f t="shared" si="1"/>
        <v/>
      </c>
      <c r="J97" s="445"/>
      <c r="K97" s="444" t="str">
        <f t="shared" si="2"/>
        <v/>
      </c>
      <c r="L97" s="445"/>
      <c r="M97" s="446" t="str">
        <f t="shared" si="3"/>
        <v/>
      </c>
      <c r="N97" s="443" t="str">
        <f>IF(F97="","",INT(HLOOKUP(N82,H82:M105,16,FALSE)*O81))</f>
        <v/>
      </c>
      <c r="O97" s="447" t="str">
        <f t="shared" si="4"/>
        <v/>
      </c>
    </row>
    <row r="98" spans="1:20" s="20" customFormat="1" ht="20.25" customHeight="1">
      <c r="A98" s="53"/>
      <c r="B98" s="83"/>
      <c r="C98" s="84"/>
      <c r="D98" s="65"/>
      <c r="E98" s="75"/>
      <c r="F98" s="59"/>
      <c r="G98" s="70"/>
      <c r="H98" s="443"/>
      <c r="I98" s="444" t="str">
        <f t="shared" si="1"/>
        <v/>
      </c>
      <c r="J98" s="445"/>
      <c r="K98" s="444" t="str">
        <f t="shared" si="2"/>
        <v/>
      </c>
      <c r="L98" s="445"/>
      <c r="M98" s="446" t="str">
        <f t="shared" si="3"/>
        <v/>
      </c>
      <c r="N98" s="443" t="str">
        <f>IF(F98="","",INT(HLOOKUP(N82,H82:M105,17,FALSE)*O81))</f>
        <v/>
      </c>
      <c r="O98" s="447" t="str">
        <f t="shared" si="4"/>
        <v/>
      </c>
    </row>
    <row r="99" spans="1:20" s="20" customFormat="1" ht="20.25" customHeight="1">
      <c r="A99" s="53"/>
      <c r="B99" s="83"/>
      <c r="C99" s="84"/>
      <c r="D99" s="65"/>
      <c r="E99" s="75"/>
      <c r="F99" s="59"/>
      <c r="G99" s="70"/>
      <c r="H99" s="443"/>
      <c r="I99" s="444" t="str">
        <f t="shared" si="1"/>
        <v/>
      </c>
      <c r="J99" s="445"/>
      <c r="K99" s="444" t="str">
        <f t="shared" si="2"/>
        <v/>
      </c>
      <c r="L99" s="445"/>
      <c r="M99" s="446" t="str">
        <f t="shared" si="3"/>
        <v/>
      </c>
      <c r="N99" s="443" t="str">
        <f>IF(F99="","",INT(HLOOKUP(N82,H82:M105,18,FALSE)*O81))</f>
        <v/>
      </c>
      <c r="O99" s="447" t="str">
        <f t="shared" si="4"/>
        <v/>
      </c>
    </row>
    <row r="100" spans="1:20" s="20" customFormat="1" ht="20.25" customHeight="1">
      <c r="A100" s="53"/>
      <c r="B100" s="83"/>
      <c r="C100" s="84"/>
      <c r="D100" s="65"/>
      <c r="E100" s="75"/>
      <c r="F100" s="59"/>
      <c r="G100" s="70"/>
      <c r="H100" s="443"/>
      <c r="I100" s="444" t="str">
        <f t="shared" si="1"/>
        <v/>
      </c>
      <c r="J100" s="445"/>
      <c r="K100" s="444" t="str">
        <f t="shared" si="2"/>
        <v/>
      </c>
      <c r="L100" s="445"/>
      <c r="M100" s="446" t="str">
        <f t="shared" si="3"/>
        <v/>
      </c>
      <c r="N100" s="443" t="str">
        <f>IF(F100="","",INT(HLOOKUP(N82,H82:M105,19,FALSE)*O81))</f>
        <v/>
      </c>
      <c r="O100" s="447" t="str">
        <f t="shared" si="4"/>
        <v/>
      </c>
    </row>
    <row r="101" spans="1:20" s="20" customFormat="1" ht="20.25" customHeight="1">
      <c r="A101" s="53"/>
      <c r="B101" s="83"/>
      <c r="C101" s="84"/>
      <c r="D101" s="65"/>
      <c r="E101" s="75"/>
      <c r="F101" s="59"/>
      <c r="G101" s="70"/>
      <c r="H101" s="443"/>
      <c r="I101" s="444" t="str">
        <f t="shared" si="1"/>
        <v/>
      </c>
      <c r="J101" s="445"/>
      <c r="K101" s="444" t="str">
        <f t="shared" si="2"/>
        <v/>
      </c>
      <c r="L101" s="445"/>
      <c r="M101" s="446" t="str">
        <f t="shared" si="3"/>
        <v/>
      </c>
      <c r="N101" s="443" t="str">
        <f>IF(F101="","",INT(HLOOKUP(N82,H82:M105,20,FALSE)*O81))</f>
        <v/>
      </c>
      <c r="O101" s="447" t="str">
        <f t="shared" si="4"/>
        <v/>
      </c>
    </row>
    <row r="102" spans="1:20" s="20" customFormat="1" ht="20.25" customHeight="1">
      <c r="A102" s="53"/>
      <c r="B102" s="83"/>
      <c r="C102" s="84"/>
      <c r="D102" s="65"/>
      <c r="E102" s="75"/>
      <c r="F102" s="59"/>
      <c r="G102" s="70"/>
      <c r="H102" s="443"/>
      <c r="I102" s="444" t="str">
        <f t="shared" si="1"/>
        <v/>
      </c>
      <c r="J102" s="445"/>
      <c r="K102" s="444" t="str">
        <f t="shared" si="2"/>
        <v/>
      </c>
      <c r="L102" s="445"/>
      <c r="M102" s="446" t="str">
        <f t="shared" si="3"/>
        <v/>
      </c>
      <c r="N102" s="443" t="str">
        <f>IF(F102="","",INT(HLOOKUP(N82,H82:M105,21,FALSE)*O81))</f>
        <v/>
      </c>
      <c r="O102" s="447" t="str">
        <f t="shared" si="4"/>
        <v/>
      </c>
    </row>
    <row r="103" spans="1:20" s="20" customFormat="1" ht="20.25" customHeight="1">
      <c r="A103" s="53"/>
      <c r="B103" s="83"/>
      <c r="C103" s="84"/>
      <c r="D103" s="65"/>
      <c r="E103" s="75"/>
      <c r="F103" s="59"/>
      <c r="G103" s="70"/>
      <c r="H103" s="443"/>
      <c r="I103" s="444" t="str">
        <f t="shared" si="1"/>
        <v/>
      </c>
      <c r="J103" s="445"/>
      <c r="K103" s="444" t="str">
        <f t="shared" si="2"/>
        <v/>
      </c>
      <c r="L103" s="445"/>
      <c r="M103" s="446" t="str">
        <f t="shared" si="3"/>
        <v/>
      </c>
      <c r="N103" s="443" t="str">
        <f>IF(F103="","",INT(HLOOKUP(N82,H82:M105,22,FALSE)*O81))</f>
        <v/>
      </c>
      <c r="O103" s="447" t="str">
        <f t="shared" si="4"/>
        <v/>
      </c>
    </row>
    <row r="104" spans="1:20" s="20" customFormat="1" ht="20.25" customHeight="1">
      <c r="A104" s="53"/>
      <c r="B104" s="83"/>
      <c r="C104" s="84"/>
      <c r="D104" s="65"/>
      <c r="E104" s="75"/>
      <c r="F104" s="59"/>
      <c r="G104" s="70"/>
      <c r="H104" s="443"/>
      <c r="I104" s="444" t="str">
        <f t="shared" si="1"/>
        <v/>
      </c>
      <c r="J104" s="445"/>
      <c r="K104" s="444" t="str">
        <f t="shared" si="2"/>
        <v/>
      </c>
      <c r="L104" s="445"/>
      <c r="M104" s="446" t="str">
        <f t="shared" si="3"/>
        <v/>
      </c>
      <c r="N104" s="443" t="str">
        <f>IF(F104="","",INT(HLOOKUP(N82,H82:M105,23,FALSE)*O81))</f>
        <v/>
      </c>
      <c r="O104" s="447" t="str">
        <f t="shared" si="4"/>
        <v/>
      </c>
    </row>
    <row r="105" spans="1:20" s="20" customFormat="1" ht="20.25" customHeight="1" thickBot="1">
      <c r="A105" s="54"/>
      <c r="B105" s="85"/>
      <c r="C105" s="86"/>
      <c r="D105" s="66"/>
      <c r="E105" s="76"/>
      <c r="F105" s="60"/>
      <c r="G105" s="71"/>
      <c r="H105" s="448"/>
      <c r="I105" s="449" t="str">
        <f t="shared" si="1"/>
        <v/>
      </c>
      <c r="J105" s="450"/>
      <c r="K105" s="449" t="str">
        <f t="shared" si="2"/>
        <v/>
      </c>
      <c r="L105" s="450"/>
      <c r="M105" s="451" t="str">
        <f t="shared" si="3"/>
        <v/>
      </c>
      <c r="N105" s="448" t="str">
        <f>IF(F105="","",INT(HLOOKUP(N82,H82:M105,24,FALSE)*O81))</f>
        <v/>
      </c>
      <c r="O105" s="452" t="str">
        <f t="shared" si="4"/>
        <v/>
      </c>
    </row>
    <row r="106" spans="1:20" s="20" customFormat="1" ht="20.25" customHeight="1" thickTop="1" thickBot="1">
      <c r="A106" s="28"/>
      <c r="B106" s="29"/>
      <c r="C106" s="29"/>
      <c r="D106" s="30" t="str">
        <f>IF(G106="","合      計","")</f>
        <v>合      計</v>
      </c>
      <c r="E106" s="31" t="s">
        <v>60</v>
      </c>
      <c r="F106" s="31"/>
      <c r="G106" s="51"/>
      <c r="H106" s="453"/>
      <c r="I106" s="454" t="str">
        <f>IF($G106="",IF(SUM(I84:I105)=0,"",SUM(I84:I105)),IF(I79="","",SUM(I84:I105)+I79))</f>
        <v/>
      </c>
      <c r="J106" s="455"/>
      <c r="K106" s="454" t="str">
        <f>IF(G106="",IF(SUM(K84:K105)=0,"",SUM(K84:K105)),IF(K79="","",SUM(K84:K105)+K79))</f>
        <v/>
      </c>
      <c r="L106" s="455"/>
      <c r="M106" s="456" t="str">
        <f>IF(G106="",IF(SUM(M84:M105)=0,"",SUM(M84:M105)),IF(M79="","",SUM(M84:M105)+M79))</f>
        <v/>
      </c>
      <c r="N106" s="457" t="s">
        <v>28</v>
      </c>
      <c r="O106" s="458">
        <f>IF(G133="",MIN(I106,K106,M106),"")</f>
        <v>0</v>
      </c>
    </row>
    <row r="107" spans="1:20" s="20" customFormat="1" ht="20.25" customHeight="1">
      <c r="A107" s="24"/>
      <c r="B107" s="24"/>
      <c r="C107" s="24"/>
      <c r="G107" s="24"/>
      <c r="H107" s="32"/>
      <c r="I107" s="32"/>
      <c r="J107" s="32"/>
      <c r="K107" s="32"/>
      <c r="L107" s="32"/>
      <c r="M107" s="32"/>
      <c r="N107" s="20" t="str">
        <f>IF(B109="","EOL","")</f>
        <v>EOL</v>
      </c>
      <c r="O107" s="32">
        <f>+O80+1</f>
        <v>1</v>
      </c>
    </row>
    <row r="110" spans="1:20" s="20" customFormat="1" ht="20.25" customHeight="1" thickBot="1">
      <c r="A110" s="2313" t="s">
        <v>235</v>
      </c>
      <c r="B110" s="2313"/>
      <c r="C110" s="2313"/>
      <c r="D110" s="2313"/>
      <c r="E110" s="2313"/>
      <c r="F110" s="2313"/>
      <c r="G110" s="2313"/>
      <c r="H110" s="2313"/>
      <c r="I110" s="2313"/>
      <c r="J110" s="2313"/>
      <c r="K110" s="2313"/>
      <c r="L110" s="2313"/>
      <c r="M110" s="227" t="s">
        <v>199</v>
      </c>
      <c r="N110" s="2314" t="s">
        <v>200</v>
      </c>
      <c r="O110" s="2314"/>
      <c r="P110" s="2314"/>
      <c r="Q110" s="228"/>
      <c r="S110" s="1"/>
    </row>
    <row r="111" spans="1:20" s="24" customFormat="1" ht="20.25" customHeight="1">
      <c r="A111" s="282"/>
      <c r="B111" s="385"/>
      <c r="C111" s="385"/>
      <c r="D111" s="2251" t="s">
        <v>201</v>
      </c>
      <c r="E111" s="2251"/>
      <c r="F111" s="2251"/>
      <c r="G111" s="2251"/>
      <c r="H111" s="361"/>
      <c r="I111" s="389"/>
      <c r="J111" s="2254" t="s">
        <v>278</v>
      </c>
      <c r="K111" s="2255"/>
      <c r="L111" s="2255"/>
      <c r="M111" s="2255"/>
      <c r="N111" s="2255"/>
      <c r="O111" s="2255"/>
      <c r="P111" s="2255"/>
      <c r="Q111" s="2255"/>
      <c r="R111" s="2255"/>
      <c r="S111" s="2255"/>
      <c r="T111" s="2256"/>
    </row>
    <row r="112" spans="1:20" s="24" customFormat="1" ht="20.25" customHeight="1" thickBot="1">
      <c r="A112" s="283"/>
      <c r="B112" s="284"/>
      <c r="C112" s="284"/>
      <c r="D112" s="285"/>
      <c r="E112" s="286" t="s">
        <v>236</v>
      </c>
      <c r="F112" s="2252">
        <v>1</v>
      </c>
      <c r="G112" s="2308"/>
      <c r="H112" s="387"/>
      <c r="I112" s="388"/>
      <c r="J112" s="2257"/>
      <c r="K112" s="2258"/>
      <c r="L112" s="2258"/>
      <c r="M112" s="2258"/>
      <c r="N112" s="2258"/>
      <c r="O112" s="2258"/>
      <c r="P112" s="2258"/>
      <c r="Q112" s="2258"/>
      <c r="R112" s="2258"/>
      <c r="S112" s="2258"/>
      <c r="T112" s="2259"/>
    </row>
    <row r="113" spans="1:20" s="20" customFormat="1" ht="20.25" customHeight="1">
      <c r="A113" s="288" t="s">
        <v>237</v>
      </c>
      <c r="B113" s="289" t="s">
        <v>238</v>
      </c>
      <c r="C113" s="290" t="s">
        <v>239</v>
      </c>
      <c r="D113" s="291"/>
      <c r="E113" s="292"/>
      <c r="F113" s="292"/>
      <c r="G113" s="293"/>
      <c r="H113" s="230" t="s">
        <v>202</v>
      </c>
      <c r="I113" s="231" t="s">
        <v>203</v>
      </c>
      <c r="J113" s="232" t="s">
        <v>15</v>
      </c>
      <c r="K113" s="229" t="s">
        <v>17</v>
      </c>
      <c r="L113" s="294"/>
      <c r="M113" s="295"/>
      <c r="N113" s="296"/>
      <c r="O113" s="329"/>
      <c r="P113" s="231" t="s">
        <v>204</v>
      </c>
      <c r="Q113" s="297"/>
      <c r="R113" s="297"/>
      <c r="S113" s="361" t="s">
        <v>273</v>
      </c>
      <c r="T113" s="363" t="s">
        <v>274</v>
      </c>
    </row>
    <row r="114" spans="1:20" s="20" customFormat="1" ht="20.25" customHeight="1" thickBot="1">
      <c r="A114" s="233" t="s">
        <v>205</v>
      </c>
      <c r="B114" s="234" t="s">
        <v>16</v>
      </c>
      <c r="C114" s="235" t="s">
        <v>16</v>
      </c>
      <c r="D114" s="236" t="s">
        <v>18</v>
      </c>
      <c r="E114" s="237" t="s">
        <v>19</v>
      </c>
      <c r="F114" s="298" t="s">
        <v>20</v>
      </c>
      <c r="G114" s="299" t="s">
        <v>21</v>
      </c>
      <c r="H114" s="238" t="s">
        <v>240</v>
      </c>
      <c r="I114" s="239" t="s">
        <v>22</v>
      </c>
      <c r="J114" s="240" t="s">
        <v>16</v>
      </c>
      <c r="K114" s="234" t="s">
        <v>16</v>
      </c>
      <c r="L114" s="241" t="s">
        <v>18</v>
      </c>
      <c r="M114" s="237" t="s">
        <v>19</v>
      </c>
      <c r="N114" s="298" t="s">
        <v>20</v>
      </c>
      <c r="O114" s="237" t="s">
        <v>21</v>
      </c>
      <c r="P114" s="239" t="s">
        <v>22</v>
      </c>
      <c r="Q114" s="242" t="s">
        <v>27</v>
      </c>
      <c r="R114" s="242" t="s">
        <v>276</v>
      </c>
      <c r="S114" s="362" t="s">
        <v>275</v>
      </c>
      <c r="T114" s="242" t="s">
        <v>275</v>
      </c>
    </row>
    <row r="115" spans="1:20" s="20" customFormat="1" ht="20.25" customHeight="1">
      <c r="A115" s="243"/>
      <c r="B115" s="244"/>
      <c r="C115" s="245"/>
      <c r="D115" s="246"/>
      <c r="E115" s="247"/>
      <c r="F115" s="394"/>
      <c r="G115" s="249"/>
      <c r="H115" s="300"/>
      <c r="I115" s="250"/>
      <c r="J115" s="251"/>
      <c r="K115" s="245"/>
      <c r="L115" s="246"/>
      <c r="M115" s="247"/>
      <c r="N115" s="248"/>
      <c r="O115" s="249"/>
      <c r="P115" s="250"/>
      <c r="Q115" s="261" t="str">
        <f>IF(I115&lt;P115,IF(P115="","",IF(S136&lt;T136,R115,IF((H115+(P115-I115)*F112)&lt;10000,ROUNDDOWN(H115+(P115-I115)*F112,-1),ROUNDDOWN(H115+(P115-I115)*F112,-2)))),R115)</f>
        <v/>
      </c>
      <c r="R115" s="382" t="str">
        <f t="shared" ref="R115:R134" si="5">IF(P115="","",IF(I115&lt;&gt;"",IF((P115/I115*H115)&lt;10,INT(P115/I115*H115),IF((P115/I115*H115)&lt;10000,ROUNDDOWN(P115/I115*H115,-1),ROUNDDOWN(P115/I115*H115,-2)))))</f>
        <v/>
      </c>
      <c r="S115" s="383" t="str">
        <f>IF(P115="","",(R115*N115-H115*F115))</f>
        <v/>
      </c>
      <c r="T115" s="382" t="str">
        <f>IF(P115="","",(P115*N115-I115*F115)*F112)</f>
        <v/>
      </c>
    </row>
    <row r="116" spans="1:20" s="20" customFormat="1" ht="20.25" customHeight="1">
      <c r="A116" s="252"/>
      <c r="B116" s="253"/>
      <c r="C116" s="254"/>
      <c r="D116" s="255"/>
      <c r="E116" s="256"/>
      <c r="F116" s="395"/>
      <c r="G116" s="258"/>
      <c r="H116" s="301"/>
      <c r="I116" s="259"/>
      <c r="J116" s="260"/>
      <c r="K116" s="254"/>
      <c r="L116" s="255"/>
      <c r="M116" s="256"/>
      <c r="N116" s="257"/>
      <c r="O116" s="258"/>
      <c r="P116" s="259"/>
      <c r="Q116" s="261" t="str">
        <f>IF(I116&lt;P116,IF(P116="","",IF(S136&lt;T136,R116,IF((H116+(P116-I116)*F112)&lt;10000,ROUNDDOWN(H116+(P116-I116)*F112,-1),ROUNDDOWN(H116+(P116-I116)*F112,-2)))),R116)</f>
        <v/>
      </c>
      <c r="R116" s="382" t="str">
        <f t="shared" si="5"/>
        <v/>
      </c>
      <c r="S116" s="383" t="str">
        <f t="shared" ref="S116:S134" si="6">IF(P116="","",(R116*N116-H116*F116))</f>
        <v/>
      </c>
      <c r="T116" s="382" t="str">
        <f>IF(P116="","",(P116*N116-I116*F116)*F112)</f>
        <v/>
      </c>
    </row>
    <row r="117" spans="1:20" s="20" customFormat="1" ht="20.25" customHeight="1">
      <c r="A117" s="252"/>
      <c r="B117" s="253"/>
      <c r="C117" s="254"/>
      <c r="D117" s="255"/>
      <c r="E117" s="256"/>
      <c r="F117" s="395"/>
      <c r="G117" s="258"/>
      <c r="H117" s="301"/>
      <c r="I117" s="259"/>
      <c r="J117" s="260"/>
      <c r="K117" s="254"/>
      <c r="L117" s="255"/>
      <c r="M117" s="256"/>
      <c r="N117" s="257"/>
      <c r="O117" s="258"/>
      <c r="P117" s="259"/>
      <c r="Q117" s="261" t="str">
        <f>IF(I117&lt;P117,IF(P117="","",IF(S136&lt;T136,R117,IF((H117+(P117-I117)*F112)&lt;10000,ROUNDDOWN(H117+(P117-I117)*F112,-1),ROUNDDOWN(H117+(P117-I117)*F112,-2)))),R117)</f>
        <v/>
      </c>
      <c r="R117" s="382" t="str">
        <f t="shared" si="5"/>
        <v/>
      </c>
      <c r="S117" s="383" t="str">
        <f t="shared" si="6"/>
        <v/>
      </c>
      <c r="T117" s="382" t="str">
        <f>IF(P117="","",(P117*N117-I117*F117)*F112)</f>
        <v/>
      </c>
    </row>
    <row r="118" spans="1:20" s="20" customFormat="1" ht="20.25" customHeight="1">
      <c r="A118" s="252"/>
      <c r="B118" s="253"/>
      <c r="C118" s="254"/>
      <c r="D118" s="255"/>
      <c r="E118" s="256"/>
      <c r="F118" s="395"/>
      <c r="G118" s="258"/>
      <c r="H118" s="301"/>
      <c r="I118" s="259"/>
      <c r="J118" s="260"/>
      <c r="K118" s="254"/>
      <c r="L118" s="255"/>
      <c r="M118" s="256"/>
      <c r="N118" s="257"/>
      <c r="O118" s="258"/>
      <c r="P118" s="259"/>
      <c r="Q118" s="261" t="str">
        <f>IF(I118&lt;P118,IF(P118="","",IF(S136&lt;T136,R118,IF((H118+(P118-I118)*F112)&lt;10000,ROUNDDOWN(H118+(P118-I118)*F112,-1),ROUNDDOWN(H118+(P118-I118)*F112,-2)))),R118)</f>
        <v/>
      </c>
      <c r="R118" s="382" t="str">
        <f t="shared" si="5"/>
        <v/>
      </c>
      <c r="S118" s="383" t="str">
        <f t="shared" si="6"/>
        <v/>
      </c>
      <c r="T118" s="382" t="str">
        <f>IF(P118="","",(P118*N118-I118*F118)*F112)</f>
        <v/>
      </c>
    </row>
    <row r="119" spans="1:20" s="20" customFormat="1" ht="20.25" customHeight="1">
      <c r="A119" s="252"/>
      <c r="B119" s="253"/>
      <c r="C119" s="254"/>
      <c r="D119" s="255"/>
      <c r="E119" s="256"/>
      <c r="F119" s="395"/>
      <c r="G119" s="258"/>
      <c r="H119" s="301"/>
      <c r="I119" s="259"/>
      <c r="J119" s="260"/>
      <c r="K119" s="254"/>
      <c r="L119" s="255"/>
      <c r="M119" s="256"/>
      <c r="N119" s="257"/>
      <c r="O119" s="258"/>
      <c r="P119" s="259"/>
      <c r="Q119" s="261" t="str">
        <f>IF(I119&lt;P119,IF(P119="","",IF(S136&lt;T136,R119,IF((H119+(P119-I119)*F112)&lt;10000,ROUNDDOWN(H119+(P119-I119)*F112,-1),ROUNDDOWN(H119+(P119-I119)*F112,-2)))),R119)</f>
        <v/>
      </c>
      <c r="R119" s="382" t="str">
        <f t="shared" si="5"/>
        <v/>
      </c>
      <c r="S119" s="383" t="str">
        <f t="shared" si="6"/>
        <v/>
      </c>
      <c r="T119" s="382" t="str">
        <f>IF(P119="","",(P119*N119-I119*F119)*F112)</f>
        <v/>
      </c>
    </row>
    <row r="120" spans="1:20" s="20" customFormat="1" ht="20.25" customHeight="1">
      <c r="A120" s="252"/>
      <c r="B120" s="253"/>
      <c r="C120" s="254"/>
      <c r="D120" s="255"/>
      <c r="E120" s="256"/>
      <c r="F120" s="395"/>
      <c r="G120" s="258"/>
      <c r="H120" s="301"/>
      <c r="I120" s="259"/>
      <c r="J120" s="260"/>
      <c r="K120" s="254"/>
      <c r="L120" s="255"/>
      <c r="M120" s="256"/>
      <c r="N120" s="257"/>
      <c r="O120" s="258"/>
      <c r="P120" s="259"/>
      <c r="Q120" s="261" t="str">
        <f>IF(I120&lt;P120,IF(P120="","",IF(S136&lt;T136,R120,IF((H120+(P120-I120)*F112)&lt;10000,ROUNDDOWN(H120+(P120-I120)*F112,-1),ROUNDDOWN(H120+(P120-I120)*F112,-2)))),R120)</f>
        <v/>
      </c>
      <c r="R120" s="382" t="str">
        <f t="shared" si="5"/>
        <v/>
      </c>
      <c r="S120" s="383" t="str">
        <f t="shared" si="6"/>
        <v/>
      </c>
      <c r="T120" s="382" t="str">
        <f>IF(P120="","",(P120*N120-I120*F120)*F112)</f>
        <v/>
      </c>
    </row>
    <row r="121" spans="1:20" s="20" customFormat="1" ht="20.25" customHeight="1">
      <c r="A121" s="252"/>
      <c r="B121" s="253"/>
      <c r="C121" s="254"/>
      <c r="D121" s="255"/>
      <c r="E121" s="256"/>
      <c r="F121" s="395"/>
      <c r="G121" s="258"/>
      <c r="H121" s="301"/>
      <c r="I121" s="259"/>
      <c r="J121" s="260"/>
      <c r="K121" s="254"/>
      <c r="L121" s="255"/>
      <c r="M121" s="256"/>
      <c r="N121" s="257"/>
      <c r="O121" s="258"/>
      <c r="P121" s="259"/>
      <c r="Q121" s="261" t="str">
        <f>IF(I121&lt;P121,IF(P121="","",IF(S136&lt;T136,R121,IF((H121+(P121-I121)*F112)&lt;10000,ROUNDDOWN(H121+(P121-I121)*F112,-1),ROUNDDOWN(H121+(P121-I121)*F112,-2)))),R121)</f>
        <v/>
      </c>
      <c r="R121" s="382" t="str">
        <f t="shared" si="5"/>
        <v/>
      </c>
      <c r="S121" s="383" t="str">
        <f t="shared" si="6"/>
        <v/>
      </c>
      <c r="T121" s="382" t="str">
        <f>IF(P121="","",(P121*N121-I121*F121)*F112)</f>
        <v/>
      </c>
    </row>
    <row r="122" spans="1:20" s="20" customFormat="1" ht="20.25" customHeight="1">
      <c r="A122" s="252"/>
      <c r="B122" s="253"/>
      <c r="C122" s="254"/>
      <c r="D122" s="255"/>
      <c r="E122" s="256"/>
      <c r="F122" s="395"/>
      <c r="G122" s="258"/>
      <c r="H122" s="301"/>
      <c r="I122" s="259"/>
      <c r="J122" s="260"/>
      <c r="K122" s="254"/>
      <c r="L122" s="255"/>
      <c r="M122" s="256"/>
      <c r="N122" s="257"/>
      <c r="O122" s="258"/>
      <c r="P122" s="259"/>
      <c r="Q122" s="261" t="str">
        <f>IF(I122&lt;P122,IF(P122="","",IF(S136&lt;T136,R122,IF((H122+(P122-I122)*F112)&lt;10000,ROUNDDOWN(H122+(P122-I122)*F112,-1),ROUNDDOWN(H122+(P122-I122)*F112,-2)))),R122)</f>
        <v/>
      </c>
      <c r="R122" s="382" t="str">
        <f t="shared" si="5"/>
        <v/>
      </c>
      <c r="S122" s="383" t="str">
        <f t="shared" si="6"/>
        <v/>
      </c>
      <c r="T122" s="382" t="str">
        <f>IF(P122="","",(P122*N122-I122*F122)*F112)</f>
        <v/>
      </c>
    </row>
    <row r="123" spans="1:20" s="20" customFormat="1" ht="20.25" customHeight="1">
      <c r="A123" s="252"/>
      <c r="B123" s="253"/>
      <c r="C123" s="254"/>
      <c r="D123" s="255"/>
      <c r="E123" s="256"/>
      <c r="F123" s="395"/>
      <c r="G123" s="258"/>
      <c r="H123" s="301"/>
      <c r="I123" s="259"/>
      <c r="J123" s="260"/>
      <c r="K123" s="254"/>
      <c r="L123" s="255"/>
      <c r="M123" s="256"/>
      <c r="N123" s="257"/>
      <c r="O123" s="258"/>
      <c r="P123" s="259"/>
      <c r="Q123" s="261" t="str">
        <f>IF(I123&lt;P123,IF(P123="","",IF(S136&lt;T136,R123,IF((H123+(P123-I123)*F112)&lt;10000,ROUNDDOWN(H123+(P123-I123)*F112,-1),ROUNDDOWN(H123+(P123-I123)*F112,-2)))),R123)</f>
        <v/>
      </c>
      <c r="R123" s="382" t="str">
        <f t="shared" si="5"/>
        <v/>
      </c>
      <c r="S123" s="383" t="str">
        <f t="shared" si="6"/>
        <v/>
      </c>
      <c r="T123" s="382" t="str">
        <f>IF(P123="","",(P123*N123-I123*F123)*F122)</f>
        <v/>
      </c>
    </row>
    <row r="124" spans="1:20" s="20" customFormat="1" ht="20.25" customHeight="1">
      <c r="A124" s="252"/>
      <c r="B124" s="253"/>
      <c r="C124" s="254"/>
      <c r="D124" s="255"/>
      <c r="E124" s="256"/>
      <c r="F124" s="395"/>
      <c r="G124" s="258"/>
      <c r="H124" s="301"/>
      <c r="I124" s="259"/>
      <c r="J124" s="260"/>
      <c r="K124" s="254"/>
      <c r="L124" s="255"/>
      <c r="M124" s="256"/>
      <c r="N124" s="257"/>
      <c r="O124" s="258"/>
      <c r="P124" s="259"/>
      <c r="Q124" s="261" t="str">
        <f>IF(I124&lt;P124,IF(P124="","",IF(S136&lt;T136,R124,IF((H124+(P124-I124)*F112)&lt;10000,ROUNDDOWN(H124+(P124-I124)*F112,-1),ROUNDDOWN(H124+(P124-I124)*F112,-2)))),R124)</f>
        <v/>
      </c>
      <c r="R124" s="382" t="str">
        <f t="shared" si="5"/>
        <v/>
      </c>
      <c r="S124" s="383" t="str">
        <f t="shared" si="6"/>
        <v/>
      </c>
      <c r="T124" s="382" t="str">
        <f>IF(P124="","",(P124*N124-I124*F124)*F112)</f>
        <v/>
      </c>
    </row>
    <row r="125" spans="1:20" s="20" customFormat="1" ht="20.25" customHeight="1">
      <c r="A125" s="252"/>
      <c r="B125" s="253"/>
      <c r="C125" s="254"/>
      <c r="D125" s="255"/>
      <c r="E125" s="256"/>
      <c r="F125" s="395"/>
      <c r="G125" s="258"/>
      <c r="H125" s="301"/>
      <c r="I125" s="259"/>
      <c r="J125" s="260"/>
      <c r="K125" s="254"/>
      <c r="L125" s="255"/>
      <c r="M125" s="256"/>
      <c r="N125" s="257"/>
      <c r="O125" s="258"/>
      <c r="P125" s="259"/>
      <c r="Q125" s="261" t="str">
        <f>IF(I125&lt;P125,IF(P125="","",IF(S136&lt;T136,R125,IF((H125+(P125-I125)*F112)&lt;10000,ROUNDDOWN(H125+(P125-I125)*F112,-1),ROUNDDOWN(H125+(P125-I125)*F112,-2)))),R125)</f>
        <v/>
      </c>
      <c r="R125" s="382" t="str">
        <f t="shared" si="5"/>
        <v/>
      </c>
      <c r="S125" s="383" t="str">
        <f t="shared" si="6"/>
        <v/>
      </c>
      <c r="T125" s="382" t="str">
        <f>IF(P125="","",(P125*N125-I125*F125)*F112)</f>
        <v/>
      </c>
    </row>
    <row r="126" spans="1:20" s="20" customFormat="1" ht="20.25" customHeight="1">
      <c r="A126" s="252"/>
      <c r="B126" s="253"/>
      <c r="C126" s="254"/>
      <c r="D126" s="255"/>
      <c r="E126" s="256"/>
      <c r="F126" s="395"/>
      <c r="G126" s="258"/>
      <c r="H126" s="301"/>
      <c r="I126" s="259"/>
      <c r="J126" s="260"/>
      <c r="K126" s="254"/>
      <c r="L126" s="255"/>
      <c r="M126" s="256"/>
      <c r="N126" s="257"/>
      <c r="O126" s="258"/>
      <c r="P126" s="259"/>
      <c r="Q126" s="261" t="str">
        <f>IF(I126&lt;P126,IF(P126="","",IF(S136&lt;T136,R126,IF((H126+(P126-I126)*F112)&lt;10000,ROUNDDOWN(H126+(P126-I126)*F112,-1),ROUNDDOWN(H126+(P126-I126)*F112,-2)))),R126)</f>
        <v/>
      </c>
      <c r="R126" s="382" t="str">
        <f t="shared" si="5"/>
        <v/>
      </c>
      <c r="S126" s="383" t="str">
        <f t="shared" si="6"/>
        <v/>
      </c>
      <c r="T126" s="382" t="str">
        <f>IF(P126="","",(P126*N126-I126*F126)*F112)</f>
        <v/>
      </c>
    </row>
    <row r="127" spans="1:20" s="20" customFormat="1" ht="20.25" customHeight="1">
      <c r="A127" s="252"/>
      <c r="B127" s="253"/>
      <c r="C127" s="254"/>
      <c r="D127" s="255"/>
      <c r="E127" s="256"/>
      <c r="F127" s="395"/>
      <c r="G127" s="258"/>
      <c r="H127" s="301"/>
      <c r="I127" s="259"/>
      <c r="J127" s="260"/>
      <c r="K127" s="254"/>
      <c r="L127" s="255"/>
      <c r="M127" s="256"/>
      <c r="N127" s="257"/>
      <c r="O127" s="258"/>
      <c r="P127" s="259"/>
      <c r="Q127" s="261" t="str">
        <f>IF(I127&lt;P127,IF(P127="","",IF(S136&lt;T136,R127,IF((H127+(P127-I127)*F112)&lt;10000,ROUNDDOWN(H127+(P127-I127)*F112,-1),ROUNDDOWN(H127+(P127-I127)*F112,-2)))),R127)</f>
        <v/>
      </c>
      <c r="R127" s="382" t="str">
        <f t="shared" si="5"/>
        <v/>
      </c>
      <c r="S127" s="383" t="str">
        <f t="shared" si="6"/>
        <v/>
      </c>
      <c r="T127" s="382" t="str">
        <f>IF(P127="","",(P127*N127-I127*F127)*F112)</f>
        <v/>
      </c>
    </row>
    <row r="128" spans="1:20" s="20" customFormat="1" ht="20.25" customHeight="1">
      <c r="A128" s="252"/>
      <c r="B128" s="253"/>
      <c r="C128" s="254"/>
      <c r="D128" s="255"/>
      <c r="E128" s="256"/>
      <c r="F128" s="395"/>
      <c r="G128" s="258"/>
      <c r="H128" s="301"/>
      <c r="I128" s="259"/>
      <c r="J128" s="260"/>
      <c r="K128" s="254"/>
      <c r="L128" s="255"/>
      <c r="M128" s="256"/>
      <c r="N128" s="257"/>
      <c r="O128" s="258"/>
      <c r="P128" s="259"/>
      <c r="Q128" s="261" t="str">
        <f>IF(I128&lt;P128,IF(P128="","",IF(S136&lt;T136,R128,IF((H128+(P128-I128)*F112)&lt;10000,ROUNDDOWN(H128+(P128-I128)*F112,-1),ROUNDDOWN(H128+(P128-I128)*F112,-2)))),R128)</f>
        <v/>
      </c>
      <c r="R128" s="382" t="str">
        <f t="shared" si="5"/>
        <v/>
      </c>
      <c r="S128" s="383" t="str">
        <f t="shared" si="6"/>
        <v/>
      </c>
      <c r="T128" s="382" t="str">
        <f>IF(P128="","",(P128*N128-I128*F128)*F112)</f>
        <v/>
      </c>
    </row>
    <row r="129" spans="1:26" s="20" customFormat="1" ht="20.25" customHeight="1">
      <c r="A129" s="252"/>
      <c r="B129" s="253"/>
      <c r="C129" s="254"/>
      <c r="D129" s="255"/>
      <c r="E129" s="256"/>
      <c r="F129" s="395"/>
      <c r="G129" s="258"/>
      <c r="H129" s="301"/>
      <c r="I129" s="259"/>
      <c r="J129" s="260"/>
      <c r="K129" s="254"/>
      <c r="L129" s="255"/>
      <c r="M129" s="256"/>
      <c r="N129" s="257"/>
      <c r="O129" s="258"/>
      <c r="P129" s="259"/>
      <c r="Q129" s="261" t="str">
        <f>IF(I129&lt;P129,IF(P129="","",IF(S136&lt;T136,R129,IF((H129+(P129-I129)*F112)&lt;10000,ROUNDDOWN(H129+(P129-I129)*F112,-1),ROUNDDOWN(H129+(P129-I129)*F112,-2)))),R129)</f>
        <v/>
      </c>
      <c r="R129" s="382" t="str">
        <f t="shared" si="5"/>
        <v/>
      </c>
      <c r="S129" s="383" t="str">
        <f t="shared" si="6"/>
        <v/>
      </c>
      <c r="T129" s="382" t="str">
        <f>IF(P129="","",(P129*N129-I129*F129)*F112)</f>
        <v/>
      </c>
    </row>
    <row r="130" spans="1:26" s="20" customFormat="1" ht="20.25" customHeight="1">
      <c r="A130" s="252"/>
      <c r="B130" s="253"/>
      <c r="C130" s="254"/>
      <c r="D130" s="255"/>
      <c r="E130" s="256"/>
      <c r="F130" s="395"/>
      <c r="G130" s="258"/>
      <c r="H130" s="301"/>
      <c r="I130" s="259"/>
      <c r="J130" s="260"/>
      <c r="K130" s="254"/>
      <c r="L130" s="255"/>
      <c r="M130" s="256"/>
      <c r="N130" s="257"/>
      <c r="O130" s="258"/>
      <c r="P130" s="259"/>
      <c r="Q130" s="261" t="str">
        <f>IF(I130&lt;P130,IF(P130="","",IF(S136&lt;T136,R130,IF((H130+(P130-I130)*F112)&lt;10000,ROUNDDOWN(H130+(P130-I130)*F112,-1),ROUNDDOWN(H130+(P130-I130)*F112,-2)))),R130)</f>
        <v/>
      </c>
      <c r="R130" s="382" t="str">
        <f t="shared" si="5"/>
        <v/>
      </c>
      <c r="S130" s="383" t="str">
        <f t="shared" si="6"/>
        <v/>
      </c>
      <c r="T130" s="382" t="str">
        <f>IF(P130="","",(P130*N130-I130*F130)*F112)</f>
        <v/>
      </c>
    </row>
    <row r="131" spans="1:26" s="20" customFormat="1" ht="20.25" customHeight="1">
      <c r="A131" s="252"/>
      <c r="B131" s="253"/>
      <c r="C131" s="254"/>
      <c r="D131" s="255"/>
      <c r="E131" s="256"/>
      <c r="F131" s="395"/>
      <c r="G131" s="258"/>
      <c r="H131" s="301"/>
      <c r="I131" s="259"/>
      <c r="J131" s="260"/>
      <c r="K131" s="254"/>
      <c r="L131" s="255"/>
      <c r="M131" s="256"/>
      <c r="N131" s="257"/>
      <c r="O131" s="258"/>
      <c r="P131" s="259"/>
      <c r="Q131" s="261" t="str">
        <f>IF(I131&lt;P131,IF(P131="","",IF(S136&lt;T136,R131,IF((H131+(P131-I131)*F112)&lt;10000,ROUNDDOWN(H131+(P131-I131)*F112,-1),ROUNDDOWN(H131+(P131-I131)*F112,-2)))),R131)</f>
        <v/>
      </c>
      <c r="R131" s="382" t="str">
        <f t="shared" si="5"/>
        <v/>
      </c>
      <c r="S131" s="383" t="str">
        <f t="shared" si="6"/>
        <v/>
      </c>
      <c r="T131" s="382" t="str">
        <f>IF(P131="","",(P131*N131-I131*F131)*F112)</f>
        <v/>
      </c>
    </row>
    <row r="132" spans="1:26" s="20" customFormat="1" ht="20.25" customHeight="1">
      <c r="A132" s="252"/>
      <c r="B132" s="253"/>
      <c r="C132" s="254"/>
      <c r="D132" s="255"/>
      <c r="E132" s="256"/>
      <c r="F132" s="395"/>
      <c r="G132" s="258"/>
      <c r="H132" s="301"/>
      <c r="I132" s="259"/>
      <c r="J132" s="260"/>
      <c r="K132" s="254"/>
      <c r="L132" s="255"/>
      <c r="M132" s="256"/>
      <c r="N132" s="257"/>
      <c r="O132" s="258"/>
      <c r="P132" s="259"/>
      <c r="Q132" s="261" t="str">
        <f>IF(I132&lt;P132,IF(P132="","",IF(S136&lt;T136,R132,IF((H132+(P132-I132)*F112)&lt;10000,ROUNDDOWN(H132+(P132-I132)*F112,-1),ROUNDDOWN(H132+(P132-I132)*F112,-2)))),R132)</f>
        <v/>
      </c>
      <c r="R132" s="382" t="str">
        <f t="shared" si="5"/>
        <v/>
      </c>
      <c r="S132" s="383" t="str">
        <f t="shared" si="6"/>
        <v/>
      </c>
      <c r="T132" s="382" t="str">
        <f>IF(P132="","",(P132*N132-I132*F132)*F112)</f>
        <v/>
      </c>
    </row>
    <row r="133" spans="1:26" s="20" customFormat="1" ht="20.25" customHeight="1">
      <c r="A133" s="252"/>
      <c r="B133" s="253"/>
      <c r="C133" s="254"/>
      <c r="D133" s="255"/>
      <c r="E133" s="256"/>
      <c r="F133" s="395"/>
      <c r="G133" s="258"/>
      <c r="H133" s="301"/>
      <c r="I133" s="259"/>
      <c r="J133" s="260"/>
      <c r="K133" s="254"/>
      <c r="L133" s="255"/>
      <c r="M133" s="256"/>
      <c r="N133" s="257"/>
      <c r="O133" s="258"/>
      <c r="P133" s="259"/>
      <c r="Q133" s="261" t="str">
        <f>IF(I133&lt;P133,IF(P133="","",IF(S136&lt;T136,R133,IF((H133+(P133-I133)*F112)&lt;10000,ROUNDDOWN(H133+(P133-I133)*F112,-1),ROUNDDOWN(H133+(P133-I133)*F112,-2)))),R133)</f>
        <v/>
      </c>
      <c r="R133" s="382" t="str">
        <f t="shared" si="5"/>
        <v/>
      </c>
      <c r="S133" s="383" t="str">
        <f t="shared" si="6"/>
        <v/>
      </c>
      <c r="T133" s="382" t="str">
        <f>IF(P133="","",(P133*N133-I133*F133)*F112)</f>
        <v/>
      </c>
    </row>
    <row r="134" spans="1:26" s="20" customFormat="1" ht="20.25" customHeight="1" thickBot="1">
      <c r="A134" s="364"/>
      <c r="B134" s="365"/>
      <c r="C134" s="366"/>
      <c r="D134" s="367"/>
      <c r="E134" s="368"/>
      <c r="F134" s="396"/>
      <c r="G134" s="370"/>
      <c r="H134" s="287"/>
      <c r="I134" s="371"/>
      <c r="J134" s="372"/>
      <c r="K134" s="366"/>
      <c r="L134" s="367"/>
      <c r="M134" s="368"/>
      <c r="N134" s="369"/>
      <c r="O134" s="370"/>
      <c r="P134" s="371"/>
      <c r="Q134" s="261" t="str">
        <f>IF(I134&lt;P134,IF(P134="","",IF(S136&lt;T136,R134,IF((H134+(P134-I134)*F112)&lt;10000,ROUNDDOWN(H134+(P134-I134)*F112,-1),ROUNDDOWN(H134+(P134-I134)*F112,-2)))),R134)</f>
        <v/>
      </c>
      <c r="R134" s="384" t="str">
        <f t="shared" si="5"/>
        <v/>
      </c>
      <c r="S134" s="383" t="str">
        <f t="shared" si="6"/>
        <v/>
      </c>
      <c r="T134" s="382" t="str">
        <f>IF(P134="","",(P134*N134-I134*F134)*F112)</f>
        <v/>
      </c>
    </row>
    <row r="135" spans="1:26" s="20" customFormat="1" ht="20.25" customHeight="1" thickBot="1">
      <c r="A135" s="373"/>
      <c r="B135" s="374"/>
      <c r="C135" s="374"/>
      <c r="D135" s="375"/>
      <c r="E135" s="375"/>
      <c r="F135" s="375"/>
      <c r="G135" s="376"/>
      <c r="H135" s="377"/>
      <c r="I135" s="378"/>
      <c r="J135" s="374"/>
      <c r="K135" s="374"/>
      <c r="L135" s="375"/>
      <c r="M135" s="391"/>
      <c r="N135" s="392"/>
      <c r="O135" s="392"/>
      <c r="P135" s="393" t="s">
        <v>279</v>
      </c>
      <c r="Q135" s="390"/>
      <c r="R135" s="379" t="s">
        <v>277</v>
      </c>
      <c r="S135" s="380" t="str">
        <f>IF($Q135="",IF(SUM(S115:S134)=0,"",SUM(S115:S134)),IF(S108="","",SUM(S115:S134)+S108))</f>
        <v/>
      </c>
      <c r="T135" s="381" t="str">
        <f>IF($Q135="",IF(SUM(T115:T134)=0,"",SUM(T115:T134)),IF(T108="","",SUM(T115:T134)+T108))</f>
        <v/>
      </c>
    </row>
    <row r="136" spans="1:26" s="20" customFormat="1" ht="20.25" customHeight="1" thickBot="1">
      <c r="A136" s="24"/>
      <c r="B136" s="24"/>
      <c r="C136" s="24"/>
      <c r="G136" s="24"/>
      <c r="H136" s="32"/>
      <c r="I136" s="32"/>
      <c r="J136" s="24"/>
      <c r="K136" s="24"/>
      <c r="N136" s="20" t="str">
        <f>IF(A140="","EOL","")</f>
        <v/>
      </c>
      <c r="O136" s="32">
        <f ca="1">OFFSET(O136,-27,0,1,1)+1</f>
        <v>1</v>
      </c>
      <c r="Q136" s="32"/>
      <c r="R136" s="379" t="s">
        <v>280</v>
      </c>
      <c r="S136" s="380" t="str">
        <f ca="1">IF(OFFSET(Q135,27,0,1,1)="",S135,OFFSET(S135,27,0,1,1))</f>
        <v/>
      </c>
      <c r="T136" s="381" t="str">
        <f ca="1">IF(OFFSET(Q135,27,0,1,1)="",T135,OFFSET(T135,27,0,1,1))</f>
        <v/>
      </c>
    </row>
    <row r="139" spans="1:26" s="1" customFormat="1" ht="26.25" customHeight="1" thickBot="1">
      <c r="A139"/>
      <c r="B139"/>
      <c r="C139"/>
      <c r="D139" s="1589"/>
      <c r="E139" s="1791" t="s">
        <v>3137</v>
      </c>
      <c r="F139"/>
      <c r="G139"/>
      <c r="H139"/>
      <c r="I139"/>
      <c r="J139" s="1589"/>
      <c r="K139" s="1589"/>
      <c r="L139" s="1590" t="s">
        <v>241</v>
      </c>
      <c r="M139" s="1590"/>
      <c r="N139" s="302"/>
      <c r="O139" s="303"/>
      <c r="Z139" s="1755"/>
    </row>
    <row r="140" spans="1:26" s="1" customFormat="1" ht="21" customHeight="1">
      <c r="A140" s="2118" t="s">
        <v>242</v>
      </c>
      <c r="B140" s="2119" t="s">
        <v>9</v>
      </c>
      <c r="C140" s="2120" t="s">
        <v>243</v>
      </c>
      <c r="D140" s="2121"/>
      <c r="E140" s="2116" t="s">
        <v>19</v>
      </c>
      <c r="F140" s="2083" t="s">
        <v>244</v>
      </c>
      <c r="G140" s="2084"/>
      <c r="H140" s="2116" t="s">
        <v>21</v>
      </c>
      <c r="I140" s="2116" t="s">
        <v>245</v>
      </c>
      <c r="J140" s="2083" t="s">
        <v>246</v>
      </c>
      <c r="K140" s="2084"/>
      <c r="L140" s="1760" t="s">
        <v>247</v>
      </c>
      <c r="M140" s="2085" t="s">
        <v>248</v>
      </c>
      <c r="N140" s="2086"/>
      <c r="O140" s="2087"/>
    </row>
    <row r="141" spans="1:26" s="1" customFormat="1" ht="21" customHeight="1">
      <c r="A141" s="2118"/>
      <c r="B141" s="2119"/>
      <c r="C141" s="2122"/>
      <c r="D141" s="2123"/>
      <c r="E141" s="2117"/>
      <c r="F141" s="304" t="s">
        <v>249</v>
      </c>
      <c r="G141" s="1591" t="s">
        <v>250</v>
      </c>
      <c r="H141" s="2117"/>
      <c r="I141" s="2117"/>
      <c r="J141" s="1591" t="s">
        <v>251</v>
      </c>
      <c r="K141" s="304" t="s">
        <v>252</v>
      </c>
      <c r="L141" s="215" t="s">
        <v>253</v>
      </c>
      <c r="M141" s="2088"/>
      <c r="N141" s="2089"/>
      <c r="O141" s="2090"/>
      <c r="Z141" s="1755"/>
    </row>
    <row r="142" spans="1:26" s="1" customFormat="1" ht="25" customHeight="1">
      <c r="A142" s="305"/>
      <c r="B142" s="305"/>
      <c r="C142" s="1615" t="s">
        <v>3088</v>
      </c>
      <c r="D142" s="306"/>
      <c r="E142" s="307"/>
      <c r="F142" s="1761"/>
      <c r="G142" s="308"/>
      <c r="H142" s="309"/>
      <c r="I142" s="310" t="s">
        <v>11</v>
      </c>
      <c r="J142" s="1605" t="s">
        <v>11</v>
      </c>
      <c r="K142" s="1605" t="s">
        <v>11</v>
      </c>
      <c r="L142" s="1605" t="s">
        <v>11</v>
      </c>
      <c r="M142" s="1762"/>
      <c r="N142" s="311"/>
      <c r="O142" s="312"/>
      <c r="Z142" s="1755"/>
    </row>
    <row r="143" spans="1:26" s="1" customFormat="1" ht="25" customHeight="1">
      <c r="A143" s="313"/>
      <c r="B143" s="313"/>
      <c r="C143" s="314"/>
      <c r="D143" s="306"/>
      <c r="E143" s="1592"/>
      <c r="F143" s="1609"/>
      <c r="G143" s="1610"/>
      <c r="H143" s="1611"/>
      <c r="I143" s="318"/>
      <c r="J143" s="318"/>
      <c r="K143" s="318"/>
      <c r="L143" s="318"/>
      <c r="M143" s="1404"/>
      <c r="N143" s="319"/>
      <c r="O143" s="320"/>
      <c r="Z143" s="1755"/>
    </row>
    <row r="144" spans="1:26" s="1" customFormat="1" ht="25" customHeight="1">
      <c r="A144" s="313"/>
      <c r="B144" s="313"/>
      <c r="C144" s="314"/>
      <c r="D144" s="1403"/>
      <c r="E144" s="307" t="s">
        <v>257</v>
      </c>
      <c r="F144" s="315" t="str">
        <f>IF(L144="","",IF(L144&lt;0,"",1))</f>
        <v/>
      </c>
      <c r="G144" s="316" t="str">
        <f>IF(L144="","",IF(L144&lt;0,1,""))</f>
        <v/>
      </c>
      <c r="H144" s="317" t="s">
        <v>2143</v>
      </c>
      <c r="I144" s="318"/>
      <c r="J144" s="318"/>
      <c r="K144" s="318">
        <f>+J144+L144</f>
        <v>0</v>
      </c>
      <c r="L144" s="318"/>
      <c r="M144" s="1404" t="s">
        <v>254</v>
      </c>
      <c r="N144" s="1404"/>
      <c r="O144" s="1406"/>
      <c r="Z144" s="1755"/>
    </row>
    <row r="145" spans="1:26" s="1" customFormat="1" ht="25" customHeight="1">
      <c r="A145" s="313"/>
      <c r="B145" s="313"/>
      <c r="C145" s="314"/>
      <c r="D145" s="1403"/>
      <c r="E145" s="1593"/>
      <c r="F145" s="1612"/>
      <c r="G145" s="1613"/>
      <c r="H145" s="1614"/>
      <c r="I145" s="1597"/>
      <c r="J145" s="1599"/>
      <c r="K145" s="1597"/>
      <c r="L145" s="1599"/>
      <c r="M145" s="1600"/>
      <c r="N145" s="1600"/>
      <c r="O145" s="1601"/>
      <c r="Z145" s="1755"/>
    </row>
    <row r="146" spans="1:26" s="1" customFormat="1" ht="25" customHeight="1">
      <c r="A146" s="313"/>
      <c r="B146" s="313"/>
      <c r="C146" s="314"/>
      <c r="D146" s="1403"/>
      <c r="E146" s="1593"/>
      <c r="F146" s="1612"/>
      <c r="G146" s="1613"/>
      <c r="H146" s="1614"/>
      <c r="I146" s="1597"/>
      <c r="J146" s="1598"/>
      <c r="K146" s="1598"/>
      <c r="L146" s="1598"/>
      <c r="M146" s="1600"/>
      <c r="N146" s="1600"/>
      <c r="O146" s="1602"/>
      <c r="Z146" s="1755"/>
    </row>
    <row r="147" spans="1:26" s="1" customFormat="1" ht="25" customHeight="1">
      <c r="A147" s="313"/>
      <c r="B147" s="313"/>
      <c r="C147" s="314"/>
      <c r="D147" s="306"/>
      <c r="E147" s="1593"/>
      <c r="F147" s="1612"/>
      <c r="G147" s="1613"/>
      <c r="H147" s="1614"/>
      <c r="I147" s="1597"/>
      <c r="J147" s="318"/>
      <c r="K147" s="1603"/>
      <c r="L147" s="1599"/>
      <c r="M147" s="1600"/>
      <c r="N147" s="1600"/>
      <c r="O147" s="1602"/>
      <c r="Z147" s="1755"/>
    </row>
    <row r="148" spans="1:26" s="1" customFormat="1" ht="25" customHeight="1">
      <c r="A148" s="313"/>
      <c r="B148" s="313"/>
      <c r="C148" s="314"/>
      <c r="D148" s="306"/>
      <c r="E148" s="1593"/>
      <c r="F148" s="1612"/>
      <c r="G148" s="1613"/>
      <c r="H148" s="1614"/>
      <c r="I148" s="1597"/>
      <c r="J148" s="1598"/>
      <c r="K148" s="1603"/>
      <c r="L148" s="1599"/>
      <c r="M148" s="1600"/>
      <c r="N148" s="1600"/>
      <c r="O148" s="1602"/>
      <c r="Z148" s="1755"/>
    </row>
    <row r="149" spans="1:26" s="1" customFormat="1" ht="25" customHeight="1">
      <c r="A149" s="313"/>
      <c r="B149" s="313"/>
      <c r="C149" s="314"/>
      <c r="D149" s="1604"/>
      <c r="E149" s="1607"/>
      <c r="F149" s="1612"/>
      <c r="G149" s="1613"/>
      <c r="H149" s="1614"/>
      <c r="I149" s="318"/>
      <c r="J149" s="318"/>
      <c r="K149" s="318"/>
      <c r="L149" s="1599"/>
      <c r="M149" s="1404"/>
      <c r="N149" s="1404"/>
      <c r="O149" s="1406"/>
      <c r="Z149" s="1755"/>
    </row>
    <row r="150" spans="1:26" s="1" customFormat="1" ht="25" customHeight="1">
      <c r="A150" s="313"/>
      <c r="B150" s="313"/>
      <c r="C150" s="314"/>
      <c r="D150" s="1606"/>
      <c r="E150" s="1607"/>
      <c r="F150" s="1612"/>
      <c r="G150" s="1613"/>
      <c r="H150" s="1614"/>
      <c r="I150" s="318"/>
      <c r="J150" s="318"/>
      <c r="K150" s="318"/>
      <c r="L150" s="1599"/>
      <c r="M150" s="1404"/>
      <c r="N150" s="1404"/>
      <c r="O150" s="1406"/>
      <c r="Z150" s="1755"/>
    </row>
    <row r="151" spans="1:26" s="1" customFormat="1" ht="25" customHeight="1">
      <c r="A151" s="313"/>
      <c r="B151" s="313"/>
      <c r="C151" s="314"/>
      <c r="D151" s="1606"/>
      <c r="E151" s="1607"/>
      <c r="F151" s="1612"/>
      <c r="G151" s="1613"/>
      <c r="H151" s="1614"/>
      <c r="I151" s="318"/>
      <c r="J151" s="318"/>
      <c r="K151" s="318"/>
      <c r="L151" s="1599"/>
      <c r="M151" s="1404"/>
      <c r="N151" s="1404"/>
      <c r="O151" s="1406"/>
      <c r="Z151" s="1755"/>
    </row>
    <row r="152" spans="1:26" s="1" customFormat="1" ht="25" customHeight="1">
      <c r="A152" s="313"/>
      <c r="B152" s="313"/>
      <c r="C152" s="314"/>
      <c r="D152" s="1606"/>
      <c r="E152" s="1607"/>
      <c r="F152" s="1594"/>
      <c r="G152" s="1595"/>
      <c r="H152" s="1596"/>
      <c r="I152" s="318"/>
      <c r="J152" s="318"/>
      <c r="K152" s="318"/>
      <c r="L152" s="318"/>
      <c r="M152" s="1404"/>
      <c r="N152" s="319"/>
      <c r="O152" s="320"/>
      <c r="Z152" s="1755"/>
    </row>
    <row r="153" spans="1:26" s="1" customFormat="1" ht="25" customHeight="1">
      <c r="A153" s="313"/>
      <c r="B153" s="313"/>
      <c r="C153" s="314"/>
      <c r="D153" s="306"/>
      <c r="E153" s="307"/>
      <c r="F153" s="315"/>
      <c r="G153" s="316"/>
      <c r="H153" s="317"/>
      <c r="I153" s="318"/>
      <c r="J153" s="318"/>
      <c r="K153" s="318"/>
      <c r="L153" s="318"/>
      <c r="M153" s="1404"/>
      <c r="N153" s="319"/>
      <c r="O153" s="320"/>
      <c r="Z153" s="1755"/>
    </row>
    <row r="154" spans="1:26" s="1" customFormat="1" ht="25" customHeight="1">
      <c r="A154" s="313"/>
      <c r="B154" s="313"/>
      <c r="C154" s="314"/>
      <c r="D154" s="306"/>
      <c r="E154" s="307"/>
      <c r="F154" s="315"/>
      <c r="G154" s="316"/>
      <c r="H154" s="317"/>
      <c r="I154" s="318"/>
      <c r="J154" s="318"/>
      <c r="K154" s="318"/>
      <c r="L154" s="318"/>
      <c r="M154" s="1404"/>
      <c r="N154" s="319"/>
      <c r="O154" s="320"/>
      <c r="Z154" s="1755"/>
    </row>
    <row r="155" spans="1:26" s="1" customFormat="1" ht="25" customHeight="1">
      <c r="A155" s="313"/>
      <c r="B155" s="313"/>
      <c r="C155" s="314"/>
      <c r="D155" s="1608"/>
      <c r="E155" s="307"/>
      <c r="F155" s="315"/>
      <c r="G155" s="316"/>
      <c r="H155" s="317"/>
      <c r="I155" s="318"/>
      <c r="J155" s="318"/>
      <c r="K155" s="318"/>
      <c r="L155" s="318"/>
      <c r="M155" s="1404"/>
      <c r="N155" s="319"/>
      <c r="O155" s="320"/>
      <c r="Z155" s="1755"/>
    </row>
    <row r="156" spans="1:26" s="1" customFormat="1" ht="25" customHeight="1">
      <c r="A156" s="313"/>
      <c r="B156" s="313"/>
      <c r="C156" s="314"/>
      <c r="D156" s="1689" t="s">
        <v>3092</v>
      </c>
      <c r="E156" s="307"/>
      <c r="F156" s="315"/>
      <c r="G156" s="316"/>
      <c r="H156" s="317"/>
      <c r="I156" s="318"/>
      <c r="J156" s="318">
        <f>SUM(J144:J155)</f>
        <v>0</v>
      </c>
      <c r="K156" s="318">
        <f>SUM(K144:K155)</f>
        <v>0</v>
      </c>
      <c r="L156" s="318">
        <f>SUM(L144:L155)</f>
        <v>0</v>
      </c>
      <c r="M156" s="319"/>
      <c r="N156" s="319"/>
      <c r="O156" s="320"/>
      <c r="Z156" s="1755"/>
    </row>
    <row r="157" spans="1:26" s="1" customFormat="1" ht="25" customHeight="1">
      <c r="A157" s="313"/>
      <c r="B157" s="313"/>
      <c r="C157" s="314"/>
      <c r="D157" s="1689"/>
      <c r="E157" s="307"/>
      <c r="F157" s="315"/>
      <c r="G157" s="316"/>
      <c r="H157" s="317"/>
      <c r="I157" s="318"/>
      <c r="J157" s="318"/>
      <c r="K157" s="318"/>
      <c r="L157" s="318"/>
      <c r="M157" s="319"/>
      <c r="N157" s="319"/>
      <c r="O157" s="320"/>
      <c r="Z157" s="1755"/>
    </row>
    <row r="158" spans="1:26" s="1" customFormat="1" ht="25" customHeight="1">
      <c r="A158" s="313"/>
      <c r="B158" s="313"/>
      <c r="C158" s="314"/>
      <c r="D158" s="1689" t="s">
        <v>3093</v>
      </c>
      <c r="E158" s="307"/>
      <c r="F158" s="315">
        <f>IF(L158="","",IF(L158&lt;0,"",1))</f>
        <v>1</v>
      </c>
      <c r="G158" s="316" t="str">
        <f>IF(L158="","",IF(L158&lt;0,1,""))</f>
        <v/>
      </c>
      <c r="H158" s="317" t="str">
        <f>IF(L158="","","式")</f>
        <v>式</v>
      </c>
      <c r="I158" s="318"/>
      <c r="J158" s="318">
        <f>J156*0.1</f>
        <v>0</v>
      </c>
      <c r="K158" s="318">
        <f>K156*0.1</f>
        <v>0</v>
      </c>
      <c r="L158" s="318">
        <f>+L156*0.1</f>
        <v>0</v>
      </c>
      <c r="M158" s="319"/>
      <c r="N158" s="319"/>
      <c r="O158" s="320"/>
      <c r="Z158" s="1755"/>
    </row>
    <row r="159" spans="1:26" s="1" customFormat="1" ht="25" customHeight="1">
      <c r="A159" s="313"/>
      <c r="B159" s="313"/>
      <c r="C159" s="314"/>
      <c r="D159" s="1689"/>
      <c r="E159" s="307"/>
      <c r="F159" s="1404"/>
      <c r="G159" s="318"/>
      <c r="H159" s="317"/>
      <c r="I159" s="318"/>
      <c r="J159" s="318"/>
      <c r="K159" s="1405"/>
      <c r="L159" s="318"/>
      <c r="M159" s="1404"/>
      <c r="N159" s="1404"/>
      <c r="O159" s="1406"/>
      <c r="Z159" s="1755"/>
    </row>
    <row r="160" spans="1:26" s="1" customFormat="1" ht="25" customHeight="1" thickBot="1">
      <c r="A160" s="313"/>
      <c r="B160" s="313"/>
      <c r="C160" s="321"/>
      <c r="D160" s="1767" t="s">
        <v>2990</v>
      </c>
      <c r="E160" s="322"/>
      <c r="F160" s="323"/>
      <c r="G160" s="324"/>
      <c r="H160" s="325"/>
      <c r="I160" s="324"/>
      <c r="J160" s="324">
        <f>J156+J158</f>
        <v>0</v>
      </c>
      <c r="K160" s="1407">
        <f>K156+K158</f>
        <v>0</v>
      </c>
      <c r="L160" s="324">
        <f>+L158+L156</f>
        <v>0</v>
      </c>
      <c r="M160" s="323"/>
      <c r="N160" s="323"/>
      <c r="O160" s="326"/>
      <c r="Z160" s="1755"/>
    </row>
    <row r="161" spans="1:26" s="1" customFormat="1" ht="14.25" customHeight="1">
      <c r="A161"/>
      <c r="B161"/>
      <c r="C161"/>
      <c r="D161"/>
      <c r="E161" s="34" t="s">
        <v>84</v>
      </c>
      <c r="F161" s="91">
        <f>F138+1</f>
        <v>1</v>
      </c>
      <c r="G161" s="35" t="s">
        <v>48</v>
      </c>
      <c r="H161" s="4">
        <f>H138</f>
        <v>0</v>
      </c>
      <c r="I161"/>
      <c r="J161"/>
      <c r="K161"/>
      <c r="L161"/>
      <c r="M161"/>
      <c r="N161"/>
      <c r="O161"/>
      <c r="P161" s="40" t="str">
        <f>IF(A163="","EOL","")</f>
        <v>EOL</v>
      </c>
      <c r="Q161" s="1">
        <f>+F161</f>
        <v>1</v>
      </c>
      <c r="Z161" s="1755"/>
    </row>
    <row r="162" spans="1:26" s="1" customFormat="1" ht="26.25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Z162" s="1755"/>
    </row>
    <row r="163" spans="1:26" s="1" customFormat="1" ht="26.25" customHeight="1" thickBot="1">
      <c r="A163"/>
      <c r="B163"/>
      <c r="C163"/>
      <c r="D163" s="1589"/>
      <c r="E163" s="1791" t="s">
        <v>3138</v>
      </c>
      <c r="F163"/>
      <c r="G163"/>
      <c r="H163"/>
      <c r="I163"/>
      <c r="J163" s="1589"/>
      <c r="K163" s="1589"/>
      <c r="L163" s="1590" t="s">
        <v>241</v>
      </c>
      <c r="M163" s="1590"/>
      <c r="N163" s="302"/>
      <c r="O163" s="303"/>
      <c r="Z163" s="1755"/>
    </row>
    <row r="164" spans="1:26" s="1" customFormat="1" ht="21" customHeight="1">
      <c r="A164" s="2118" t="s">
        <v>242</v>
      </c>
      <c r="B164" s="2119" t="s">
        <v>9</v>
      </c>
      <c r="C164" s="2120" t="s">
        <v>243</v>
      </c>
      <c r="D164" s="2303"/>
      <c r="E164" s="2116" t="s">
        <v>19</v>
      </c>
      <c r="F164" s="2085" t="s">
        <v>244</v>
      </c>
      <c r="G164" s="2121"/>
      <c r="H164" s="2116" t="s">
        <v>21</v>
      </c>
      <c r="I164" s="2085" t="s">
        <v>245</v>
      </c>
      <c r="J164" s="2086"/>
      <c r="K164" s="2086" t="s">
        <v>3121</v>
      </c>
      <c r="L164" s="2121"/>
      <c r="M164" s="2085" t="s">
        <v>248</v>
      </c>
      <c r="N164" s="2292"/>
      <c r="O164" s="2293"/>
      <c r="Z164" s="1755"/>
    </row>
    <row r="165" spans="1:26" s="1" customFormat="1" ht="21" customHeight="1">
      <c r="A165" s="2118"/>
      <c r="B165" s="2119"/>
      <c r="C165" s="2122"/>
      <c r="D165" s="2298"/>
      <c r="E165" s="2117"/>
      <c r="F165" s="2088"/>
      <c r="G165" s="2304"/>
      <c r="H165" s="2117"/>
      <c r="I165" s="2088"/>
      <c r="J165" s="2307"/>
      <c r="K165" s="2089"/>
      <c r="L165" s="2123"/>
      <c r="M165" s="2294"/>
      <c r="N165" s="2295"/>
      <c r="O165" s="2296"/>
      <c r="Z165" s="1755"/>
    </row>
    <row r="166" spans="1:26" s="1" customFormat="1" ht="25" customHeight="1">
      <c r="A166" s="305"/>
      <c r="B166" s="305"/>
      <c r="C166" s="1756"/>
      <c r="D166" s="1768"/>
      <c r="E166" s="1775"/>
      <c r="F166" s="2297"/>
      <c r="G166" s="2298"/>
      <c r="H166" s="1776"/>
      <c r="I166" s="2305" t="s">
        <v>11</v>
      </c>
      <c r="J166" s="2306"/>
      <c r="K166" s="2301" t="s">
        <v>11</v>
      </c>
      <c r="L166" s="2302"/>
      <c r="M166" s="1762"/>
      <c r="N166" s="311"/>
      <c r="O166" s="312"/>
      <c r="Z166" s="1755"/>
    </row>
    <row r="167" spans="1:26" s="1" customFormat="1" ht="25" customHeight="1">
      <c r="A167" s="313"/>
      <c r="B167" s="313"/>
      <c r="C167" s="1757"/>
      <c r="D167" s="1768"/>
      <c r="E167" s="1592"/>
      <c r="F167" s="2284"/>
      <c r="G167" s="2285"/>
      <c r="H167" s="1611"/>
      <c r="I167" s="2286"/>
      <c r="J167" s="2287"/>
      <c r="K167" s="2286"/>
      <c r="L167" s="2287"/>
      <c r="M167" s="1404"/>
      <c r="N167" s="319"/>
      <c r="O167" s="320"/>
      <c r="Z167" s="1755"/>
    </row>
    <row r="168" spans="1:26" s="1" customFormat="1" ht="25" customHeight="1">
      <c r="A168" s="313"/>
      <c r="B168" s="313"/>
      <c r="C168" s="1758">
        <v>1</v>
      </c>
      <c r="D168" s="1769" t="s">
        <v>323</v>
      </c>
      <c r="E168" s="1592"/>
      <c r="F168" s="2284"/>
      <c r="G168" s="2285"/>
      <c r="H168" s="1611"/>
      <c r="I168" s="2286"/>
      <c r="J168" s="2287"/>
      <c r="K168" s="2286"/>
      <c r="L168" s="2287"/>
      <c r="M168" s="1404"/>
      <c r="N168" s="319"/>
      <c r="O168" s="320"/>
      <c r="Z168" s="1755"/>
    </row>
    <row r="169" spans="1:26" s="1" customFormat="1" ht="25" customHeight="1">
      <c r="A169" s="313"/>
      <c r="B169" s="313"/>
      <c r="C169" s="1759"/>
      <c r="D169" s="1769"/>
      <c r="E169" s="1592"/>
      <c r="F169" s="2284"/>
      <c r="G169" s="2285"/>
      <c r="H169" s="1611"/>
      <c r="I169" s="2286"/>
      <c r="J169" s="2287"/>
      <c r="K169" s="2286"/>
      <c r="L169" s="2287"/>
      <c r="M169" s="1404"/>
      <c r="N169" s="319"/>
      <c r="O169" s="320"/>
      <c r="Z169" s="1755"/>
    </row>
    <row r="170" spans="1:26" s="1" customFormat="1" ht="25" customHeight="1">
      <c r="A170" s="313"/>
      <c r="B170" s="313"/>
      <c r="C170" s="1758"/>
      <c r="D170" s="1769"/>
      <c r="E170" s="1592"/>
      <c r="F170" s="2284"/>
      <c r="G170" s="2285"/>
      <c r="H170" s="1611"/>
      <c r="I170" s="2286"/>
      <c r="J170" s="2287"/>
      <c r="K170" s="2286"/>
      <c r="L170" s="2287"/>
      <c r="M170" s="1404"/>
      <c r="N170" s="319"/>
      <c r="O170" s="320"/>
      <c r="Z170" s="1755"/>
    </row>
    <row r="171" spans="1:26" s="1" customFormat="1" ht="25" customHeight="1">
      <c r="A171" s="313"/>
      <c r="B171" s="313"/>
      <c r="C171" s="1759"/>
      <c r="D171" s="1769"/>
      <c r="E171" s="1592"/>
      <c r="F171" s="2284"/>
      <c r="G171" s="2285"/>
      <c r="H171" s="1611"/>
      <c r="I171" s="2286"/>
      <c r="J171" s="2287"/>
      <c r="K171" s="2286"/>
      <c r="L171" s="2287"/>
      <c r="M171" s="1404"/>
      <c r="N171" s="319"/>
      <c r="O171" s="320"/>
      <c r="Z171" s="1755"/>
    </row>
    <row r="172" spans="1:26" s="1" customFormat="1" ht="25" customHeight="1">
      <c r="A172" s="313"/>
      <c r="B172" s="313"/>
      <c r="C172" s="1758">
        <v>2</v>
      </c>
      <c r="D172" s="1769" t="s">
        <v>329</v>
      </c>
      <c r="E172" s="1592"/>
      <c r="F172" s="2284"/>
      <c r="G172" s="2285"/>
      <c r="H172" s="1611"/>
      <c r="I172" s="2286"/>
      <c r="J172" s="2287"/>
      <c r="K172" s="2286"/>
      <c r="L172" s="2287"/>
      <c r="M172" s="1404"/>
      <c r="N172" s="319"/>
      <c r="O172" s="320"/>
      <c r="Z172" s="1755"/>
    </row>
    <row r="173" spans="1:26" s="1" customFormat="1" ht="25" customHeight="1">
      <c r="A173" s="313"/>
      <c r="B173" s="313"/>
      <c r="C173" s="1759"/>
      <c r="D173" s="1770" t="s">
        <v>3117</v>
      </c>
      <c r="E173" s="1592"/>
      <c r="F173" s="2284"/>
      <c r="G173" s="2285"/>
      <c r="H173" s="1611"/>
      <c r="I173" s="2286"/>
      <c r="J173" s="2287"/>
      <c r="K173" s="2286"/>
      <c r="L173" s="2287"/>
      <c r="M173" s="1404"/>
      <c r="N173" s="319"/>
      <c r="O173" s="320"/>
      <c r="Z173" s="1755"/>
    </row>
    <row r="174" spans="1:26" s="1" customFormat="1" ht="25" customHeight="1">
      <c r="A174" s="313"/>
      <c r="B174" s="313"/>
      <c r="C174" s="1759"/>
      <c r="D174" s="1770" t="s">
        <v>3118</v>
      </c>
      <c r="E174" s="1592"/>
      <c r="F174" s="2284"/>
      <c r="G174" s="2285"/>
      <c r="H174" s="1611"/>
      <c r="I174" s="2286"/>
      <c r="J174" s="2287"/>
      <c r="K174" s="2286"/>
      <c r="L174" s="2287"/>
      <c r="M174" s="1404"/>
      <c r="N174" s="319"/>
      <c r="O174" s="320"/>
      <c r="Z174" s="1755"/>
    </row>
    <row r="175" spans="1:26" s="1" customFormat="1" ht="25" customHeight="1">
      <c r="A175" s="313"/>
      <c r="B175" s="313"/>
      <c r="C175" s="1759"/>
      <c r="D175" s="1770" t="s">
        <v>3119</v>
      </c>
      <c r="E175" s="1592"/>
      <c r="F175" s="2284"/>
      <c r="G175" s="2285"/>
      <c r="H175" s="1611"/>
      <c r="I175" s="2286"/>
      <c r="J175" s="2287"/>
      <c r="K175" s="2286"/>
      <c r="L175" s="2287"/>
      <c r="M175" s="1404"/>
      <c r="N175" s="319"/>
      <c r="O175" s="320"/>
      <c r="Z175" s="1755"/>
    </row>
    <row r="176" spans="1:26" s="1" customFormat="1" ht="25" customHeight="1">
      <c r="A176" s="313"/>
      <c r="B176" s="313"/>
      <c r="C176" s="1759"/>
      <c r="D176" s="1770"/>
      <c r="E176" s="1592"/>
      <c r="F176" s="2284"/>
      <c r="G176" s="2285"/>
      <c r="H176" s="1611"/>
      <c r="I176" s="2286"/>
      <c r="J176" s="2287"/>
      <c r="K176" s="2286"/>
      <c r="L176" s="2287"/>
      <c r="M176" s="1404"/>
      <c r="N176" s="319"/>
      <c r="O176" s="320"/>
      <c r="Z176" s="1755"/>
    </row>
    <row r="177" spans="1:26" s="1" customFormat="1" ht="25" customHeight="1">
      <c r="A177" s="313"/>
      <c r="B177" s="313"/>
      <c r="C177" s="1759"/>
      <c r="D177" s="1771" t="s">
        <v>3120</v>
      </c>
      <c r="E177" s="1592"/>
      <c r="F177" s="2284"/>
      <c r="G177" s="2285"/>
      <c r="H177" s="1611"/>
      <c r="I177" s="2286"/>
      <c r="J177" s="2287"/>
      <c r="K177" s="2286"/>
      <c r="L177" s="2287"/>
      <c r="M177" s="1404"/>
      <c r="N177" s="319"/>
      <c r="O177" s="320"/>
      <c r="Z177" s="1755"/>
    </row>
    <row r="178" spans="1:26" s="1" customFormat="1" ht="25" customHeight="1">
      <c r="A178" s="313"/>
      <c r="B178" s="313"/>
      <c r="C178" s="1759"/>
      <c r="D178" s="1769"/>
      <c r="E178" s="1592"/>
      <c r="F178" s="2284"/>
      <c r="G178" s="2285"/>
      <c r="H178" s="1611"/>
      <c r="I178" s="2286"/>
      <c r="J178" s="2287"/>
      <c r="K178" s="2286"/>
      <c r="L178" s="2287"/>
      <c r="M178" s="1404"/>
      <c r="N178" s="319"/>
      <c r="O178" s="320"/>
      <c r="Z178" s="1755"/>
    </row>
    <row r="179" spans="1:26" s="1" customFormat="1" ht="25" customHeight="1">
      <c r="A179" s="313"/>
      <c r="B179" s="313"/>
      <c r="C179" s="1759"/>
      <c r="D179" s="1769" t="s">
        <v>3122</v>
      </c>
      <c r="E179" s="1592"/>
      <c r="F179" s="2284"/>
      <c r="G179" s="2285"/>
      <c r="H179" s="1611"/>
      <c r="I179" s="2286"/>
      <c r="J179" s="2287"/>
      <c r="K179" s="2286"/>
      <c r="L179" s="2287"/>
      <c r="M179" s="1404"/>
      <c r="N179" s="319"/>
      <c r="O179" s="320"/>
      <c r="Z179" s="1755"/>
    </row>
    <row r="180" spans="1:26" s="1" customFormat="1" ht="25" customHeight="1">
      <c r="A180" s="313"/>
      <c r="B180" s="313"/>
      <c r="C180" s="1759"/>
      <c r="D180" s="1769"/>
      <c r="E180" s="1592"/>
      <c r="F180" s="2284"/>
      <c r="G180" s="2285"/>
      <c r="H180" s="1611"/>
      <c r="I180" s="2286"/>
      <c r="J180" s="2287"/>
      <c r="K180" s="2286"/>
      <c r="L180" s="2287"/>
      <c r="M180" s="1404"/>
      <c r="N180" s="319"/>
      <c r="O180" s="320"/>
      <c r="Z180" s="1755"/>
    </row>
    <row r="181" spans="1:26" s="1" customFormat="1" ht="25" customHeight="1">
      <c r="A181" s="313"/>
      <c r="B181" s="313"/>
      <c r="C181" s="1759"/>
      <c r="D181" s="1769" t="s">
        <v>3123</v>
      </c>
      <c r="E181" s="1592"/>
      <c r="F181" s="2284"/>
      <c r="G181" s="2285"/>
      <c r="H181" s="1611"/>
      <c r="I181" s="2286"/>
      <c r="J181" s="2287"/>
      <c r="K181" s="2286"/>
      <c r="L181" s="2287"/>
      <c r="M181" s="1404"/>
      <c r="N181" s="319"/>
      <c r="O181" s="320"/>
      <c r="Z181" s="1755"/>
    </row>
    <row r="182" spans="1:26" s="1" customFormat="1" ht="25" customHeight="1">
      <c r="A182" s="313"/>
      <c r="B182" s="313"/>
      <c r="C182" s="1759"/>
      <c r="D182" s="1769"/>
      <c r="E182" s="1592"/>
      <c r="F182" s="2284"/>
      <c r="G182" s="2285"/>
      <c r="H182" s="1611"/>
      <c r="I182" s="2286"/>
      <c r="J182" s="2287"/>
      <c r="K182" s="2286"/>
      <c r="L182" s="2287"/>
      <c r="M182" s="1404"/>
      <c r="N182" s="319"/>
      <c r="O182" s="320"/>
      <c r="Z182" s="1755"/>
    </row>
    <row r="183" spans="1:26" s="1" customFormat="1" ht="25" customHeight="1">
      <c r="A183" s="313"/>
      <c r="B183" s="313"/>
      <c r="C183" s="1759"/>
      <c r="D183" s="1769"/>
      <c r="E183" s="1592"/>
      <c r="F183" s="2284"/>
      <c r="G183" s="2285"/>
      <c r="H183" s="1611"/>
      <c r="I183" s="2286"/>
      <c r="J183" s="2287"/>
      <c r="K183" s="2286"/>
      <c r="L183" s="2287"/>
      <c r="M183" s="1404"/>
      <c r="N183" s="319"/>
      <c r="O183" s="320"/>
      <c r="Z183" s="1755"/>
    </row>
    <row r="184" spans="1:26" s="1" customFormat="1" ht="25" customHeight="1" thickBot="1">
      <c r="A184" s="313"/>
      <c r="B184" s="313"/>
      <c r="C184" s="321"/>
      <c r="D184" s="1772" t="s">
        <v>3124</v>
      </c>
      <c r="E184" s="1763"/>
      <c r="F184" s="2288"/>
      <c r="G184" s="2289"/>
      <c r="H184" s="1764"/>
      <c r="I184" s="2290"/>
      <c r="J184" s="2291"/>
      <c r="K184" s="2290"/>
      <c r="L184" s="2291"/>
      <c r="M184" s="323"/>
      <c r="N184" s="1765"/>
      <c r="O184" s="1766"/>
      <c r="Z184" s="1755"/>
    </row>
    <row r="185" spans="1:26" ht="15">
      <c r="E185" s="34" t="s">
        <v>84</v>
      </c>
      <c r="F185" s="91">
        <f>F162+1</f>
        <v>1</v>
      </c>
      <c r="G185" s="35" t="s">
        <v>48</v>
      </c>
      <c r="H185" s="4">
        <f>H162</f>
        <v>0</v>
      </c>
      <c r="P185" s="40" t="str">
        <f>IF(A187="","EOL","")</f>
        <v/>
      </c>
      <c r="Q185" s="1">
        <f>+F185</f>
        <v>1</v>
      </c>
    </row>
    <row r="186" spans="1:26" ht="26.25" customHeight="1" thickBot="1">
      <c r="D186" s="1589"/>
      <c r="E186" s="1791" t="s">
        <v>3138</v>
      </c>
      <c r="J186" s="1589"/>
      <c r="K186" s="1589"/>
      <c r="L186" s="1590" t="s">
        <v>241</v>
      </c>
      <c r="M186" s="1590"/>
      <c r="N186" s="302"/>
      <c r="O186" s="303"/>
    </row>
    <row r="187" spans="1:26" ht="21" customHeight="1">
      <c r="A187" s="2118" t="s">
        <v>242</v>
      </c>
      <c r="B187" s="2119" t="s">
        <v>9</v>
      </c>
      <c r="C187" s="2120" t="s">
        <v>243</v>
      </c>
      <c r="D187" s="2303"/>
      <c r="E187" s="2116" t="s">
        <v>19</v>
      </c>
      <c r="F187" s="2085" t="s">
        <v>244</v>
      </c>
      <c r="G187" s="2121"/>
      <c r="H187" s="2116" t="s">
        <v>21</v>
      </c>
      <c r="I187" s="2085" t="s">
        <v>245</v>
      </c>
      <c r="J187" s="2086"/>
      <c r="K187" s="2086" t="s">
        <v>3121</v>
      </c>
      <c r="L187" s="2121"/>
      <c r="M187" s="2085" t="s">
        <v>248</v>
      </c>
      <c r="N187" s="2292"/>
      <c r="O187" s="2293"/>
    </row>
    <row r="188" spans="1:26" ht="21" customHeight="1">
      <c r="A188" s="2118"/>
      <c r="B188" s="2119"/>
      <c r="C188" s="2122"/>
      <c r="D188" s="2298"/>
      <c r="E188" s="2117"/>
      <c r="F188" s="2088"/>
      <c r="G188" s="2304"/>
      <c r="H188" s="2117"/>
      <c r="I188" s="2088"/>
      <c r="J188" s="2089"/>
      <c r="K188" s="2089"/>
      <c r="L188" s="2123"/>
      <c r="M188" s="2294"/>
      <c r="N188" s="2295"/>
      <c r="O188" s="2296"/>
    </row>
    <row r="189" spans="1:26" ht="25" customHeight="1">
      <c r="A189" s="305"/>
      <c r="B189" s="305"/>
      <c r="C189" s="1777"/>
      <c r="D189" s="1778"/>
      <c r="E189" s="1775"/>
      <c r="F189" s="2297"/>
      <c r="G189" s="2298"/>
      <c r="H189" s="1776"/>
      <c r="I189" s="2299" t="s">
        <v>11</v>
      </c>
      <c r="J189" s="2300"/>
      <c r="K189" s="2301" t="s">
        <v>11</v>
      </c>
      <c r="L189" s="2302"/>
      <c r="M189" s="1762"/>
      <c r="N189" s="311"/>
      <c r="O189" s="312"/>
    </row>
    <row r="190" spans="1:26" ht="25" customHeight="1">
      <c r="A190" s="313"/>
      <c r="B190" s="313"/>
      <c r="C190" s="1773"/>
      <c r="D190" s="1774"/>
      <c r="E190" s="1592"/>
      <c r="F190" s="2284"/>
      <c r="G190" s="2285"/>
      <c r="H190" s="1611"/>
      <c r="I190" s="2286"/>
      <c r="J190" s="2287"/>
      <c r="K190" s="2286"/>
      <c r="L190" s="2287"/>
      <c r="M190" s="1404"/>
      <c r="N190" s="319"/>
      <c r="O190" s="320"/>
    </row>
    <row r="191" spans="1:26" ht="25" customHeight="1">
      <c r="A191" s="313"/>
      <c r="B191" s="313"/>
      <c r="C191" s="1773"/>
      <c r="D191" s="1774"/>
      <c r="E191" s="1592"/>
      <c r="F191" s="2284"/>
      <c r="G191" s="2285"/>
      <c r="H191" s="1611"/>
      <c r="I191" s="2286"/>
      <c r="J191" s="2287"/>
      <c r="K191" s="2286"/>
      <c r="L191" s="2287"/>
      <c r="M191" s="1404"/>
      <c r="N191" s="319"/>
      <c r="O191" s="320"/>
    </row>
    <row r="192" spans="1:26" ht="25" customHeight="1">
      <c r="A192" s="313"/>
      <c r="B192" s="313"/>
      <c r="C192" s="1773"/>
      <c r="D192" s="1774"/>
      <c r="E192" s="1592"/>
      <c r="F192" s="2284"/>
      <c r="G192" s="2285"/>
      <c r="H192" s="1611"/>
      <c r="I192" s="2286"/>
      <c r="J192" s="2287"/>
      <c r="K192" s="2286"/>
      <c r="L192" s="2287"/>
      <c r="M192" s="1404"/>
      <c r="N192" s="319"/>
      <c r="O192" s="320"/>
    </row>
    <row r="193" spans="1:17" ht="25" customHeight="1">
      <c r="A193" s="313"/>
      <c r="B193" s="313"/>
      <c r="C193" s="1773"/>
      <c r="D193" s="1774"/>
      <c r="E193" s="1592"/>
      <c r="F193" s="2284"/>
      <c r="G193" s="2285"/>
      <c r="H193" s="1611"/>
      <c r="I193" s="2286"/>
      <c r="J193" s="2287"/>
      <c r="K193" s="2286"/>
      <c r="L193" s="2287"/>
      <c r="M193" s="1404"/>
      <c r="N193" s="319"/>
      <c r="O193" s="320"/>
    </row>
    <row r="194" spans="1:17" ht="25" customHeight="1">
      <c r="A194" s="313"/>
      <c r="B194" s="313"/>
      <c r="C194" s="1773"/>
      <c r="D194" s="1774"/>
      <c r="E194" s="1592"/>
      <c r="F194" s="2284"/>
      <c r="G194" s="2285"/>
      <c r="H194" s="1611"/>
      <c r="I194" s="2286"/>
      <c r="J194" s="2287"/>
      <c r="K194" s="2286"/>
      <c r="L194" s="2287"/>
      <c r="M194" s="1404"/>
      <c r="N194" s="319"/>
      <c r="O194" s="320"/>
    </row>
    <row r="195" spans="1:17" ht="25" customHeight="1">
      <c r="A195" s="313"/>
      <c r="B195" s="313"/>
      <c r="C195" s="1773"/>
      <c r="D195" s="1774"/>
      <c r="E195" s="1592"/>
      <c r="F195" s="2284"/>
      <c r="G195" s="2285"/>
      <c r="H195" s="1611"/>
      <c r="I195" s="2286"/>
      <c r="J195" s="2287"/>
      <c r="K195" s="2286"/>
      <c r="L195" s="2287"/>
      <c r="M195" s="1404"/>
      <c r="N195" s="319"/>
      <c r="O195" s="320"/>
    </row>
    <row r="196" spans="1:17" ht="25" customHeight="1">
      <c r="A196" s="313"/>
      <c r="B196" s="313"/>
      <c r="C196" s="1773"/>
      <c r="D196" s="1774"/>
      <c r="E196" s="1592"/>
      <c r="F196" s="2284"/>
      <c r="G196" s="2285"/>
      <c r="H196" s="1611"/>
      <c r="I196" s="2286"/>
      <c r="J196" s="2287"/>
      <c r="K196" s="2286"/>
      <c r="L196" s="2287"/>
      <c r="M196" s="1404"/>
      <c r="N196" s="319"/>
      <c r="O196" s="320"/>
    </row>
    <row r="197" spans="1:17" ht="25" customHeight="1">
      <c r="A197" s="313"/>
      <c r="B197" s="313"/>
      <c r="C197" s="1773"/>
      <c r="D197" s="1774"/>
      <c r="E197" s="1592"/>
      <c r="F197" s="2284"/>
      <c r="G197" s="2285"/>
      <c r="H197" s="1611"/>
      <c r="I197" s="2286"/>
      <c r="J197" s="2287"/>
      <c r="K197" s="2286"/>
      <c r="L197" s="2287"/>
      <c r="M197" s="1404"/>
      <c r="N197" s="319"/>
      <c r="O197" s="320"/>
    </row>
    <row r="198" spans="1:17" ht="25" customHeight="1">
      <c r="A198" s="313"/>
      <c r="B198" s="313"/>
      <c r="C198" s="1773"/>
      <c r="D198" s="1774"/>
      <c r="E198" s="1592"/>
      <c r="F198" s="2284"/>
      <c r="G198" s="2285"/>
      <c r="H198" s="1611"/>
      <c r="I198" s="2286"/>
      <c r="J198" s="2287"/>
      <c r="K198" s="2286"/>
      <c r="L198" s="2287"/>
      <c r="M198" s="1404"/>
      <c r="N198" s="319"/>
      <c r="O198" s="320"/>
    </row>
    <row r="199" spans="1:17" ht="25" customHeight="1">
      <c r="A199" s="313"/>
      <c r="B199" s="313"/>
      <c r="C199" s="1773"/>
      <c r="D199" s="1774"/>
      <c r="E199" s="1592"/>
      <c r="F199" s="2284"/>
      <c r="G199" s="2285"/>
      <c r="H199" s="1611"/>
      <c r="I199" s="2286"/>
      <c r="J199" s="2287"/>
      <c r="K199" s="2286"/>
      <c r="L199" s="2287"/>
      <c r="M199" s="1404"/>
      <c r="N199" s="319"/>
      <c r="O199" s="320"/>
    </row>
    <row r="200" spans="1:17" ht="25" customHeight="1">
      <c r="A200" s="313"/>
      <c r="B200" s="313"/>
      <c r="C200" s="1773"/>
      <c r="D200" s="1774"/>
      <c r="E200" s="1592"/>
      <c r="F200" s="2284"/>
      <c r="G200" s="2285"/>
      <c r="H200" s="1611"/>
      <c r="I200" s="2286"/>
      <c r="J200" s="2287"/>
      <c r="K200" s="2286"/>
      <c r="L200" s="2287"/>
      <c r="M200" s="1404"/>
      <c r="N200" s="319"/>
      <c r="O200" s="320"/>
    </row>
    <row r="201" spans="1:17" ht="25" customHeight="1">
      <c r="A201" s="313"/>
      <c r="B201" s="313"/>
      <c r="C201" s="1773"/>
      <c r="D201" s="1774"/>
      <c r="E201" s="1592"/>
      <c r="F201" s="2284"/>
      <c r="G201" s="2285"/>
      <c r="H201" s="1611"/>
      <c r="I201" s="2286"/>
      <c r="J201" s="2287"/>
      <c r="K201" s="2286"/>
      <c r="L201" s="2287"/>
      <c r="M201" s="1404"/>
      <c r="N201" s="319"/>
      <c r="O201" s="320"/>
    </row>
    <row r="202" spans="1:17" ht="25" customHeight="1">
      <c r="A202" s="313"/>
      <c r="B202" s="313"/>
      <c r="C202" s="1773"/>
      <c r="D202" s="1774"/>
      <c r="E202" s="1592"/>
      <c r="F202" s="2284"/>
      <c r="G202" s="2285"/>
      <c r="H202" s="1611"/>
      <c r="I202" s="2286"/>
      <c r="J202" s="2287"/>
      <c r="K202" s="2286"/>
      <c r="L202" s="2287"/>
      <c r="M202" s="1404"/>
      <c r="N202" s="319"/>
      <c r="O202" s="320"/>
    </row>
    <row r="203" spans="1:17" ht="25" customHeight="1">
      <c r="A203" s="313"/>
      <c r="B203" s="313"/>
      <c r="C203" s="1773"/>
      <c r="D203" s="1774"/>
      <c r="E203" s="1592"/>
      <c r="F203" s="2284"/>
      <c r="G203" s="2285"/>
      <c r="H203" s="1611"/>
      <c r="I203" s="2286"/>
      <c r="J203" s="2287"/>
      <c r="K203" s="2286"/>
      <c r="L203" s="2287"/>
      <c r="M203" s="1404"/>
      <c r="N203" s="319"/>
      <c r="O203" s="320"/>
    </row>
    <row r="204" spans="1:17" ht="25" customHeight="1">
      <c r="A204" s="313"/>
      <c r="B204" s="313"/>
      <c r="C204" s="1773"/>
      <c r="D204" s="1774"/>
      <c r="E204" s="1592"/>
      <c r="F204" s="2284"/>
      <c r="G204" s="2285"/>
      <c r="H204" s="1611"/>
      <c r="I204" s="2286"/>
      <c r="J204" s="2287"/>
      <c r="K204" s="2286"/>
      <c r="L204" s="2287"/>
      <c r="M204" s="1404"/>
      <c r="N204" s="319"/>
      <c r="O204" s="320"/>
    </row>
    <row r="205" spans="1:17" ht="25" customHeight="1">
      <c r="A205" s="313"/>
      <c r="B205" s="313"/>
      <c r="C205" s="1773"/>
      <c r="D205" s="1774"/>
      <c r="E205" s="1592"/>
      <c r="F205" s="2284"/>
      <c r="G205" s="2285"/>
      <c r="H205" s="1611"/>
      <c r="I205" s="2286"/>
      <c r="J205" s="2287"/>
      <c r="K205" s="2286"/>
      <c r="L205" s="2287"/>
      <c r="M205" s="1404"/>
      <c r="N205" s="319"/>
      <c r="O205" s="320"/>
    </row>
    <row r="206" spans="1:17" ht="25" customHeight="1">
      <c r="A206" s="313"/>
      <c r="B206" s="313"/>
      <c r="C206" s="1773"/>
      <c r="D206" s="1774"/>
      <c r="E206" s="1592"/>
      <c r="F206" s="2284"/>
      <c r="G206" s="2285"/>
      <c r="H206" s="1611"/>
      <c r="I206" s="2286"/>
      <c r="J206" s="2287"/>
      <c r="K206" s="2286"/>
      <c r="L206" s="2287"/>
      <c r="M206" s="1404"/>
      <c r="N206" s="319"/>
      <c r="O206" s="320"/>
    </row>
    <row r="207" spans="1:17" ht="25" customHeight="1" thickBot="1">
      <c r="A207" s="313"/>
      <c r="B207" s="313"/>
      <c r="C207" s="321"/>
      <c r="D207" s="1772"/>
      <c r="E207" s="1763"/>
      <c r="F207" s="2288"/>
      <c r="G207" s="2289"/>
      <c r="H207" s="1764"/>
      <c r="I207" s="2290"/>
      <c r="J207" s="2291"/>
      <c r="K207" s="2290"/>
      <c r="L207" s="2291"/>
      <c r="M207" s="323"/>
      <c r="N207" s="1765"/>
      <c r="O207" s="1766"/>
    </row>
    <row r="208" spans="1:17" ht="15">
      <c r="E208" s="34" t="s">
        <v>84</v>
      </c>
      <c r="F208" s="91">
        <f>F185+1</f>
        <v>2</v>
      </c>
      <c r="G208" s="35" t="s">
        <v>48</v>
      </c>
      <c r="H208" s="4">
        <f>H185</f>
        <v>0</v>
      </c>
      <c r="P208" s="40" t="str">
        <f>IF(A210="","EOL","")</f>
        <v>EOL</v>
      </c>
      <c r="Q208" s="1">
        <f>+F208</f>
        <v>2</v>
      </c>
    </row>
    <row r="209" ht="24" customHeight="1"/>
  </sheetData>
  <mergeCells count="156">
    <mergeCell ref="F167:G167"/>
    <mergeCell ref="I167:J167"/>
    <mergeCell ref="K167:L167"/>
    <mergeCell ref="K178:L178"/>
    <mergeCell ref="K179:L179"/>
    <mergeCell ref="K182:L182"/>
    <mergeCell ref="K183:L183"/>
    <mergeCell ref="K176:L176"/>
    <mergeCell ref="K177:L177"/>
    <mergeCell ref="F170:G170"/>
    <mergeCell ref="I170:J170"/>
    <mergeCell ref="K170:L170"/>
    <mergeCell ref="F171:G171"/>
    <mergeCell ref="I171:J171"/>
    <mergeCell ref="K171:L171"/>
    <mergeCell ref="F168:G168"/>
    <mergeCell ref="I168:J168"/>
    <mergeCell ref="K168:L168"/>
    <mergeCell ref="F169:G169"/>
    <mergeCell ref="I169:J169"/>
    <mergeCell ref="K169:L169"/>
    <mergeCell ref="K174:L174"/>
    <mergeCell ref="F175:G175"/>
    <mergeCell ref="I175:J175"/>
    <mergeCell ref="O50:AH50"/>
    <mergeCell ref="D111:G111"/>
    <mergeCell ref="F112:G112"/>
    <mergeCell ref="N82:O82"/>
    <mergeCell ref="L82:M82"/>
    <mergeCell ref="H82:I82"/>
    <mergeCell ref="J82:K82"/>
    <mergeCell ref="A110:L110"/>
    <mergeCell ref="N110:P110"/>
    <mergeCell ref="J111:T111"/>
    <mergeCell ref="J112:T112"/>
    <mergeCell ref="J52:L52"/>
    <mergeCell ref="C50:L50"/>
    <mergeCell ref="A81:M81"/>
    <mergeCell ref="J51:L51"/>
    <mergeCell ref="I140:I141"/>
    <mergeCell ref="J140:K140"/>
    <mergeCell ref="M140:O141"/>
    <mergeCell ref="M164:O165"/>
    <mergeCell ref="F166:G166"/>
    <mergeCell ref="I166:J166"/>
    <mergeCell ref="K166:L166"/>
    <mergeCell ref="A164:A165"/>
    <mergeCell ref="B164:B165"/>
    <mergeCell ref="C164:D165"/>
    <mergeCell ref="E164:E165"/>
    <mergeCell ref="F164:G165"/>
    <mergeCell ref="H164:H165"/>
    <mergeCell ref="I164:J165"/>
    <mergeCell ref="K164:L165"/>
    <mergeCell ref="A140:A141"/>
    <mergeCell ref="B140:B141"/>
    <mergeCell ref="C140:D141"/>
    <mergeCell ref="E140:E141"/>
    <mergeCell ref="F140:G140"/>
    <mergeCell ref="H140:H141"/>
    <mergeCell ref="K175:L175"/>
    <mergeCell ref="F172:G172"/>
    <mergeCell ref="I172:J172"/>
    <mergeCell ref="K172:L172"/>
    <mergeCell ref="F173:G173"/>
    <mergeCell ref="I173:J173"/>
    <mergeCell ref="K173:L173"/>
    <mergeCell ref="F178:G178"/>
    <mergeCell ref="I178:J178"/>
    <mergeCell ref="F179:G179"/>
    <mergeCell ref="I179:J179"/>
    <mergeCell ref="F176:G176"/>
    <mergeCell ref="I176:J176"/>
    <mergeCell ref="F177:G177"/>
    <mergeCell ref="I177:J177"/>
    <mergeCell ref="F174:G174"/>
    <mergeCell ref="I174:J174"/>
    <mergeCell ref="F182:G182"/>
    <mergeCell ref="I182:J182"/>
    <mergeCell ref="F183:G183"/>
    <mergeCell ref="I183:J183"/>
    <mergeCell ref="F180:G180"/>
    <mergeCell ref="I180:J180"/>
    <mergeCell ref="K180:L180"/>
    <mergeCell ref="F181:G181"/>
    <mergeCell ref="I181:J181"/>
    <mergeCell ref="K181:L181"/>
    <mergeCell ref="F184:G184"/>
    <mergeCell ref="I184:J184"/>
    <mergeCell ref="K184:L184"/>
    <mergeCell ref="A187:A188"/>
    <mergeCell ref="B187:B188"/>
    <mergeCell ref="C187:D188"/>
    <mergeCell ref="E187:E188"/>
    <mergeCell ref="F187:G188"/>
    <mergeCell ref="H187:H188"/>
    <mergeCell ref="I187:J188"/>
    <mergeCell ref="K187:L188"/>
    <mergeCell ref="F190:G190"/>
    <mergeCell ref="I190:J190"/>
    <mergeCell ref="K190:L190"/>
    <mergeCell ref="F191:G191"/>
    <mergeCell ref="I191:J191"/>
    <mergeCell ref="K191:L191"/>
    <mergeCell ref="M187:O188"/>
    <mergeCell ref="F189:G189"/>
    <mergeCell ref="I189:J189"/>
    <mergeCell ref="K189:L189"/>
    <mergeCell ref="F194:G194"/>
    <mergeCell ref="I194:J194"/>
    <mergeCell ref="K194:L194"/>
    <mergeCell ref="F195:G195"/>
    <mergeCell ref="I195:J195"/>
    <mergeCell ref="K195:L195"/>
    <mergeCell ref="F192:G192"/>
    <mergeCell ref="I192:J192"/>
    <mergeCell ref="K192:L192"/>
    <mergeCell ref="F193:G193"/>
    <mergeCell ref="I193:J193"/>
    <mergeCell ref="K193:L193"/>
    <mergeCell ref="F198:G198"/>
    <mergeCell ref="I198:J198"/>
    <mergeCell ref="K198:L198"/>
    <mergeCell ref="F199:G199"/>
    <mergeCell ref="I199:J199"/>
    <mergeCell ref="K199:L199"/>
    <mergeCell ref="F196:G196"/>
    <mergeCell ref="I196:J196"/>
    <mergeCell ref="K196:L196"/>
    <mergeCell ref="F197:G197"/>
    <mergeCell ref="I197:J197"/>
    <mergeCell ref="K197:L197"/>
    <mergeCell ref="F202:G202"/>
    <mergeCell ref="I202:J202"/>
    <mergeCell ref="K202:L202"/>
    <mergeCell ref="F203:G203"/>
    <mergeCell ref="I203:J203"/>
    <mergeCell ref="K203:L203"/>
    <mergeCell ref="F200:G200"/>
    <mergeCell ref="I200:J200"/>
    <mergeCell ref="K200:L200"/>
    <mergeCell ref="F201:G201"/>
    <mergeCell ref="I201:J201"/>
    <mergeCell ref="K201:L201"/>
    <mergeCell ref="F206:G206"/>
    <mergeCell ref="I206:J206"/>
    <mergeCell ref="K206:L206"/>
    <mergeCell ref="F207:G207"/>
    <mergeCell ref="I207:J207"/>
    <mergeCell ref="K207:L207"/>
    <mergeCell ref="F204:G204"/>
    <mergeCell ref="I204:J204"/>
    <mergeCell ref="K204:L204"/>
    <mergeCell ref="F205:G205"/>
    <mergeCell ref="I205:J205"/>
    <mergeCell ref="K205:L205"/>
  </mergeCells>
  <phoneticPr fontId="6"/>
  <dataValidations disablePrompts="1" count="46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112" xr:uid="{00000000-0002-0000-0F00-000000000000}">
      <formula1>IF(SUM(H115:I135)&gt;0,H112=0,TRUE)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5" xr:uid="{00000000-0002-0000-0F00-000001000000}">
      <formula1>IF(SUM(H112:I112)&gt;0,H115=0,TRUE)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5" xr:uid="{00000000-0002-0000-0F00-000002000000}">
      <formula1>IF(SUM(H112:I112)&gt;0,I115=0,TRUE)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6" xr:uid="{00000000-0002-0000-0F00-000003000000}">
      <formula1>IF(SUM(H112:I112)&gt;0,H116=0,TRUE)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6" xr:uid="{00000000-0002-0000-0F00-000004000000}">
      <formula1>IF(SUM(H112:I112)&gt;0,I116=0,TRUE)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7" xr:uid="{00000000-0002-0000-0F00-000005000000}">
      <formula1>IF(SUM(H112:I112)&gt;0,I117=0,TRUE)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7" xr:uid="{00000000-0002-0000-0F00-000006000000}">
      <formula1>IF(SUM(H112:I112)&gt;0,H117=0,TRUE)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8" xr:uid="{00000000-0002-0000-0F00-000007000000}">
      <formula1>IF(SUM(H112:I112)&gt;0,H118=0,TRUE)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8" xr:uid="{00000000-0002-0000-0F00-000008000000}">
      <formula1>IF(SUM(H112:I112)&gt;0,I118=0,TRUE)</formula1>
    </dataValidation>
    <dataValidation type="custom" allowBlank="1" showInputMessage="1" showErrorMessage="1" errorTitle="各項目での比較時のみ記入" error="採用業者全体金額が䳈㿂_x0000__x0000__x0000__x0000__xffff__x000f__x000a__x0000_䀀_x0000__x0000__x0000__xffff__xffff_記入できません。" sqref="H119" xr:uid="{00000000-0002-0000-0F00-000009000000}">
      <formula1>IF(SUM(H112:I112)&gt;0,H119=0,TRUE)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9" xr:uid="{00000000-0002-0000-0F00-00000A000000}">
      <formula1>IF(SUM(H112:I112)&gt;0,I119=0,TRUE)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0" xr:uid="{00000000-0002-0000-0F00-00000B000000}">
      <formula1>IF(SUM(H112:I112)&gt;0,H120=0,TRUE)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0" xr:uid="{00000000-0002-0000-0F00-00000C000000}">
      <formula1>IF(SUM(H112:I112)&gt;0,I120=0,TRUE)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1" xr:uid="{00000000-0002-0000-0F00-00000D000000}">
      <formula1>IF(SUM(H112:I112)&gt;0,H121=0,TRUE)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1" xr:uid="{00000000-0002-0000-0F00-00000E000000}">
      <formula1>IF(SUM(H112:I112)&gt;0,I121=0,TRUE)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2" xr:uid="{00000000-0002-0000-0F00-00000F000000}">
      <formula1>IF(SUM(H112:I112)&gt;0,H122=0,TRUE)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2" xr:uid="{00000000-0002-0000-0F00-000010000000}">
      <formula1>IF(SUM(H112:I112)&gt;0,I122=0,TRUE)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3" xr:uid="{00000000-0002-0000-0F00-000011000000}">
      <formula1>IF(SUM(H112:I112)&gt;0,H123=0,TRUE)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3" xr:uid="{00000000-0002-0000-0F00-000012000000}">
      <formula1>IF(SUM(H112:I112)&gt;0,I123=0,TRUE)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4" xr:uid="{00000000-0002-0000-0F00-000013000000}">
      <formula1>IF(SUM(H112:I112)&gt;0,H124=0,TRUE)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4" xr:uid="{00000000-0002-0000-0F00-000014000000}">
      <formula1>IF(SUM(H112:I112)&gt;0,I124=0,TRUE)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5" xr:uid="{00000000-0002-0000-0F00-000015000000}">
      <formula1>IF(SUM(H112:I112)&gt;0,H125=0,TRUE)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5" xr:uid="{00000000-0002-0000-0F00-000016000000}">
      <formula1>IF(SUM(H112:I112)&gt;0,I125=0,TRUE)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6" xr:uid="{00000000-0002-0000-0F00-000017000000}">
      <formula1>IF(SUM(H112:I112)&gt;0,H126=0,TRUE)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6" xr:uid="{00000000-0002-0000-0F00-000018000000}">
      <formula1>IF(SUM(H112:I112)&gt;0,I126=0,TRUE)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7" xr:uid="{00000000-0002-0000-0F00-000019000000}">
      <formula1>IF(SUM(H112:I112)&gt;0,H127=0,TRUE)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7" xr:uid="{00000000-0002-0000-0F00-00001A000000}">
      <formula1>IF(SUM(H112:I112)&gt;0,I127=0,TRUE)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8" xr:uid="{00000000-0002-0000-0F00-00001B000000}">
      <formula1>IF(SUM(H112:I112)&gt;0,H128=0,TRUE)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8" xr:uid="{00000000-0002-0000-0F00-00001C000000}">
      <formula1>IF(SUM(H112:I112)&gt;0,I128=0,TRUE)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9" xr:uid="{00000000-0002-0000-0F00-00001D000000}">
      <formula1>IF(SUM(H112:I112)&gt;0,H129=0,TRUE)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9" xr:uid="{00000000-0002-0000-0F00-00001E000000}">
      <formula1>IF(SUM(H112:I112)&gt;0,I129=0,TRUE)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0" xr:uid="{00000000-0002-0000-0F00-00001F000000}">
      <formula1>IF(SUM(H112:I112)&gt;0,H130=0,TRUE)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0" xr:uid="{00000000-0002-0000-0F00-000020000000}">
      <formula1>IF(SUM(H112:I112)&gt;0,I130=0,TRUE)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1" xr:uid="{00000000-0002-0000-0F00-000021000000}">
      <formula1>IF(SUM(H112:I112)&gt;0,H131=0,TRUE)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1" xr:uid="{00000000-0002-0000-0F00-000022000000}">
      <formula1>IF(SUM(H112:I112)&gt;0,I131=0,TRUE)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2" xr:uid="{00000000-0002-0000-0F00-000023000000}">
      <formula1>IF(SUM(H112:I112)&gt;0,H132=0,TRUE)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2" xr:uid="{00000000-0002-0000-0F00-000024000000}">
      <formula1>IF(SUM(H112:I112)&gt;0,I132=0,TRUE)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3" xr:uid="{00000000-0002-0000-0F00-000025000000}">
      <formula1>IF(SUM(H112:I112)&gt;0,H133=0,TRUE)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3" xr:uid="{00000000-0002-0000-0F00-000026000000}">
      <formula1>IF(SUM(H112:I112)&gt;0,I133=0,TRUE)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4" xr:uid="{00000000-0002-0000-0F00-000027000000}">
      <formula1>IF(SUM(H112:I112)&gt;0,H134=0,TRUE)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4" xr:uid="{00000000-0002-0000-0F00-000028000000}">
      <formula1>IF(SUM(H112:I112)&gt;0,I134=0,TRUE)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5" xr:uid="{00000000-0002-0000-0F00-000029000000}">
      <formula1>IF(SUM(H112:I112)&gt;0,H135=0,TRUE)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5" xr:uid="{00000000-0002-0000-0F00-00002A000000}">
      <formula1>IF(SUM(H112:I112)&gt;0,I135=0,TRUE)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112" xr:uid="{00000000-0002-0000-0F00-00002B000000}">
      <formula1>IF(SUM(H115:I135)&gt;0,I112=0,TRUE)</formula1>
    </dataValidation>
    <dataValidation type="list" allowBlank="1" showInputMessage="1" showErrorMessage="1" sqref="M53:M70" xr:uid="{00000000-0002-0000-0F00-00002C000000}">
      <formula1>OFFSET(INDIRECT("入力規則マスタ!$N$3"),0,0,COUNTA(INDIRECT("入力規則マスタ!$N:$N"))-1,1)</formula1>
    </dataValidation>
    <dataValidation type="list" allowBlank="1" showInputMessage="1" showErrorMessage="1" prompt="費用/建物附属設備/工具・器具・備品の場合、選択してください。" sqref="N53:N70" xr:uid="{00000000-0002-0000-0F00-00002D000000}">
      <formula1>OFFSET(INDIRECT("入力規則マスタ!$J$3"),0,0,COUNTA(INDIRECT("入力規則マスタ!$J:$J"))-1,1)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S202"/>
  <sheetViews>
    <sheetView topLeftCell="Q1" workbookViewId="0">
      <selection activeCell="Q1" sqref="A1:XFD1048576"/>
    </sheetView>
  </sheetViews>
  <sheetFormatPr baseColWidth="10" defaultColWidth="9" defaultRowHeight="16"/>
  <cols>
    <col min="1" max="1" width="9" style="921"/>
    <col min="2" max="2" width="1.83203125" style="921" customWidth="1"/>
    <col min="3" max="3" width="9" style="921"/>
    <col min="4" max="4" width="32.1640625" style="921" bestFit="1" customWidth="1"/>
    <col min="5" max="5" width="22.1640625" style="921" bestFit="1" customWidth="1"/>
    <col min="6" max="6" width="9" style="921"/>
    <col min="7" max="7" width="16.6640625" style="921" bestFit="1" customWidth="1"/>
    <col min="8" max="8" width="31.5" style="921" bestFit="1" customWidth="1"/>
    <col min="9" max="9" width="22.5" style="921" bestFit="1" customWidth="1"/>
    <col min="10" max="10" width="30.5" style="921" customWidth="1"/>
    <col min="11" max="11" width="22.5" style="921" bestFit="1" customWidth="1"/>
    <col min="12" max="12" width="30.5" style="921" customWidth="1"/>
    <col min="13" max="13" width="38.33203125" style="921" bestFit="1" customWidth="1"/>
    <col min="14" max="17" width="30.5" style="921" customWidth="1"/>
    <col min="18" max="16384" width="9" style="921"/>
  </cols>
  <sheetData>
    <row r="1" spans="1:19">
      <c r="A1" s="920" t="s">
        <v>2405</v>
      </c>
      <c r="C1" s="922" t="s">
        <v>2406</v>
      </c>
      <c r="D1" s="922"/>
      <c r="E1" s="922"/>
      <c r="G1" s="923" t="s">
        <v>2407</v>
      </c>
      <c r="H1" s="923"/>
      <c r="I1" s="923"/>
      <c r="J1" s="920" t="s">
        <v>2408</v>
      </c>
      <c r="K1" s="923"/>
      <c r="L1" s="924"/>
      <c r="M1" s="924"/>
      <c r="N1" s="924"/>
      <c r="O1" s="924"/>
      <c r="P1" s="924"/>
      <c r="Q1" s="924" t="s">
        <v>38</v>
      </c>
      <c r="R1" s="924"/>
    </row>
    <row r="2" spans="1:19" ht="18">
      <c r="A2" s="925" t="s">
        <v>2409</v>
      </c>
      <c r="C2" s="926" t="s">
        <v>2410</v>
      </c>
      <c r="D2" s="927" t="s">
        <v>2411</v>
      </c>
      <c r="E2" s="927" t="s">
        <v>2412</v>
      </c>
      <c r="G2" s="925" t="s">
        <v>2410</v>
      </c>
      <c r="H2" s="928" t="s">
        <v>2411</v>
      </c>
      <c r="I2" s="928" t="s">
        <v>2412</v>
      </c>
      <c r="J2" s="928" t="s">
        <v>2413</v>
      </c>
      <c r="K2" s="929" t="s">
        <v>2414</v>
      </c>
      <c r="L2" s="929" t="s">
        <v>2415</v>
      </c>
      <c r="M2" s="930"/>
      <c r="N2" s="930" t="s">
        <v>2416</v>
      </c>
      <c r="O2" s="1292" t="s">
        <v>2911</v>
      </c>
      <c r="P2" s="1292"/>
      <c r="Q2" s="930" t="s">
        <v>2945</v>
      </c>
      <c r="R2" s="921">
        <f>COUNTA(L:L)</f>
        <v>5</v>
      </c>
    </row>
    <row r="3" spans="1:19">
      <c r="A3" s="921" t="s">
        <v>2417</v>
      </c>
      <c r="C3" s="931" t="s">
        <v>2418</v>
      </c>
      <c r="D3" s="932" t="s">
        <v>2419</v>
      </c>
      <c r="E3" s="921" t="str">
        <f>C3&amp;"_"&amp;D3</f>
        <v>1_資産【自己調達資金】</v>
      </c>
      <c r="G3" s="933" t="s">
        <v>2420</v>
      </c>
      <c r="H3" s="921" t="s">
        <v>2421</v>
      </c>
      <c r="I3" s="921" t="str">
        <f>G3&amp;"_"&amp;H3</f>
        <v>1_経営戦略部</v>
      </c>
      <c r="J3" s="934" t="s">
        <v>2422</v>
      </c>
      <c r="K3" s="935" t="s">
        <v>2423</v>
      </c>
      <c r="L3" s="936" t="s">
        <v>375</v>
      </c>
      <c r="M3" s="936" t="s">
        <v>2424</v>
      </c>
      <c r="N3" s="936" t="s">
        <v>2372</v>
      </c>
      <c r="O3" s="936" t="s">
        <v>2912</v>
      </c>
      <c r="P3" s="936" t="s">
        <v>2913</v>
      </c>
      <c r="Q3" s="1291" t="s">
        <v>3067</v>
      </c>
      <c r="R3" s="921">
        <f>COUNTA(I:I)</f>
        <v>27</v>
      </c>
      <c r="S3" s="921">
        <f ca="1">+COUNTA(INDIRECT("入力規則マスタ!$K:$K"))</f>
        <v>9</v>
      </c>
    </row>
    <row r="4" spans="1:19">
      <c r="A4" s="921" t="s">
        <v>2425</v>
      </c>
      <c r="C4" s="931" t="s">
        <v>2426</v>
      </c>
      <c r="D4" s="932" t="s">
        <v>2427</v>
      </c>
      <c r="E4" s="921" t="str">
        <f t="shared" ref="E4:E19" si="0">C4&amp;"_"&amp;D4</f>
        <v>2_費用（撤去費)【自己調達資金】</v>
      </c>
      <c r="G4" s="933" t="s">
        <v>2428</v>
      </c>
      <c r="H4" s="921" t="s">
        <v>2429</v>
      </c>
      <c r="I4" s="921" t="str">
        <f t="shared" ref="I4:I28" si="1">G4&amp;"_"&amp;H4</f>
        <v>2_都市開発事業部</v>
      </c>
      <c r="J4" s="937" t="s">
        <v>2430</v>
      </c>
      <c r="K4" s="935" t="s">
        <v>2431</v>
      </c>
      <c r="L4" s="936" t="s">
        <v>2432</v>
      </c>
      <c r="M4" s="938" t="s">
        <v>2184</v>
      </c>
      <c r="N4" s="936" t="s">
        <v>2373</v>
      </c>
      <c r="O4" s="936" t="s">
        <v>2914</v>
      </c>
      <c r="P4" s="936" t="s">
        <v>2915</v>
      </c>
      <c r="Q4" s="1291" t="s">
        <v>2946</v>
      </c>
    </row>
    <row r="5" spans="1:19">
      <c r="A5" s="921" t="s">
        <v>2433</v>
      </c>
      <c r="C5" s="931" t="s">
        <v>2434</v>
      </c>
      <c r="D5" s="932" t="s">
        <v>2435</v>
      </c>
      <c r="E5" s="921" t="str">
        <f t="shared" si="0"/>
        <v>3_費用（修繕費)【自己調達資金】</v>
      </c>
      <c r="G5" s="933" t="s">
        <v>2434</v>
      </c>
      <c r="H5" s="921" t="s">
        <v>2436</v>
      </c>
      <c r="I5" s="921" t="str">
        <f t="shared" si="1"/>
        <v>3_法務・総務部</v>
      </c>
      <c r="J5" s="937" t="s">
        <v>2437</v>
      </c>
      <c r="K5" s="935" t="s">
        <v>2438</v>
      </c>
      <c r="L5" s="936" t="s">
        <v>2439</v>
      </c>
      <c r="M5" s="938" t="s">
        <v>2277</v>
      </c>
      <c r="N5" s="936" t="s">
        <v>2374</v>
      </c>
      <c r="O5" s="936" t="s">
        <v>2916</v>
      </c>
      <c r="P5" s="936" t="s">
        <v>2917</v>
      </c>
      <c r="Q5" s="1291" t="s">
        <v>2947</v>
      </c>
    </row>
    <row r="6" spans="1:19">
      <c r="A6" s="921" t="s">
        <v>2440</v>
      </c>
      <c r="C6" s="931" t="s">
        <v>2441</v>
      </c>
      <c r="D6" s="932" t="s">
        <v>2442</v>
      </c>
      <c r="E6" s="921" t="str">
        <f t="shared" si="0"/>
        <v>4_費用（保守費)【自己調達資金】</v>
      </c>
      <c r="G6" s="933" t="s">
        <v>2441</v>
      </c>
      <c r="H6" s="921" t="s">
        <v>2443</v>
      </c>
      <c r="I6" s="921" t="str">
        <f t="shared" si="1"/>
        <v>4_経理部</v>
      </c>
      <c r="J6" s="937" t="s">
        <v>2444</v>
      </c>
      <c r="K6" s="935" t="s">
        <v>2445</v>
      </c>
      <c r="L6" s="936" t="s">
        <v>2446</v>
      </c>
      <c r="M6" s="939" t="s">
        <v>2190</v>
      </c>
      <c r="N6" s="936" t="s">
        <v>2375</v>
      </c>
      <c r="O6" s="936" t="s">
        <v>2918</v>
      </c>
      <c r="P6" s="936" t="s">
        <v>2919</v>
      </c>
      <c r="Q6" s="921" t="s">
        <v>2948</v>
      </c>
    </row>
    <row r="7" spans="1:19">
      <c r="A7" s="921" t="s">
        <v>2447</v>
      </c>
      <c r="C7" s="931" t="s">
        <v>2448</v>
      </c>
      <c r="D7" s="932" t="s">
        <v>2449</v>
      </c>
      <c r="E7" s="921" t="str">
        <f t="shared" si="0"/>
        <v>6_資産【その他調達資金】</v>
      </c>
      <c r="G7" s="933" t="s">
        <v>2450</v>
      </c>
      <c r="H7" s="921" t="s">
        <v>2451</v>
      </c>
      <c r="I7" s="921" t="str">
        <f t="shared" si="1"/>
        <v>5_調達部</v>
      </c>
      <c r="J7" s="937" t="s">
        <v>2452</v>
      </c>
      <c r="K7" s="935" t="s">
        <v>2453</v>
      </c>
      <c r="L7" s="936"/>
      <c r="M7" s="939" t="s">
        <v>2279</v>
      </c>
      <c r="N7" s="936" t="s">
        <v>2376</v>
      </c>
      <c r="O7" s="1293" t="s">
        <v>2938</v>
      </c>
      <c r="P7" s="936" t="s">
        <v>2920</v>
      </c>
      <c r="Q7" s="921" t="s">
        <v>2949</v>
      </c>
    </row>
    <row r="8" spans="1:19">
      <c r="A8" s="921" t="s">
        <v>2454</v>
      </c>
      <c r="C8" s="931" t="s">
        <v>2455</v>
      </c>
      <c r="D8" s="932" t="s">
        <v>2456</v>
      </c>
      <c r="E8" s="921" t="str">
        <f t="shared" si="0"/>
        <v>7_費用（撤去費)【その他調達資金】</v>
      </c>
      <c r="G8" s="933" t="s">
        <v>2448</v>
      </c>
      <c r="H8" s="921" t="s">
        <v>2457</v>
      </c>
      <c r="I8" s="921" t="str">
        <f t="shared" si="1"/>
        <v>6_統括部</v>
      </c>
      <c r="J8" s="937" t="s">
        <v>2458</v>
      </c>
      <c r="K8" s="935" t="s">
        <v>2459</v>
      </c>
      <c r="L8" s="936"/>
      <c r="M8" s="940" t="s">
        <v>2193</v>
      </c>
      <c r="N8" s="936" t="s">
        <v>2377</v>
      </c>
      <c r="O8" s="1293" t="s">
        <v>2939</v>
      </c>
      <c r="P8" s="936" t="s">
        <v>2921</v>
      </c>
      <c r="Q8" s="921" t="s">
        <v>2950</v>
      </c>
    </row>
    <row r="9" spans="1:19">
      <c r="A9" s="921" t="s">
        <v>2460</v>
      </c>
      <c r="C9" s="931" t="s">
        <v>2461</v>
      </c>
      <c r="D9" s="932" t="s">
        <v>2462</v>
      </c>
      <c r="E9" s="921" t="str">
        <f t="shared" si="0"/>
        <v>8_費用（修繕費)【その他調達資金】</v>
      </c>
      <c r="G9" s="933" t="s">
        <v>2455</v>
      </c>
      <c r="H9" s="921" t="s">
        <v>2463</v>
      </c>
      <c r="I9" s="921" t="str">
        <f t="shared" si="1"/>
        <v>7_駅務部</v>
      </c>
      <c r="J9" s="937" t="s">
        <v>2464</v>
      </c>
      <c r="K9" s="935" t="s">
        <v>2465</v>
      </c>
      <c r="L9" s="936"/>
      <c r="M9" s="940" t="s">
        <v>2194</v>
      </c>
      <c r="N9" s="936" t="s">
        <v>2378</v>
      </c>
      <c r="O9" s="1293" t="s">
        <v>2922</v>
      </c>
      <c r="P9" s="936" t="s">
        <v>2923</v>
      </c>
      <c r="Q9" s="921" t="s">
        <v>2951</v>
      </c>
    </row>
    <row r="10" spans="1:19">
      <c r="A10" s="921" t="s">
        <v>2466</v>
      </c>
      <c r="C10" s="931" t="s">
        <v>2467</v>
      </c>
      <c r="D10" s="932" t="s">
        <v>2468</v>
      </c>
      <c r="E10" s="921" t="str">
        <f t="shared" si="0"/>
        <v>9_費用（保守費)【その他調達資金】</v>
      </c>
      <c r="G10" s="933" t="s">
        <v>2461</v>
      </c>
      <c r="H10" s="921" t="s">
        <v>2469</v>
      </c>
      <c r="I10" s="921" t="str">
        <f t="shared" si="1"/>
        <v>8_運転部</v>
      </c>
      <c r="J10" s="937" t="s">
        <v>2470</v>
      </c>
      <c r="K10" s="935" t="s">
        <v>2471</v>
      </c>
      <c r="L10" s="936"/>
      <c r="M10" s="941" t="s">
        <v>2197</v>
      </c>
      <c r="N10" s="936" t="s">
        <v>2399</v>
      </c>
      <c r="O10" s="936" t="s">
        <v>2924</v>
      </c>
      <c r="P10" s="936" t="s">
        <v>2925</v>
      </c>
      <c r="Q10" s="921" t="s">
        <v>2952</v>
      </c>
    </row>
    <row r="11" spans="1:19">
      <c r="A11" s="921" t="s">
        <v>2472</v>
      </c>
      <c r="C11" s="931" t="s">
        <v>2473</v>
      </c>
      <c r="D11" s="932" t="s">
        <v>2474</v>
      </c>
      <c r="E11" s="921" t="str">
        <f t="shared" si="0"/>
        <v>A_他流動資産（受託工事）</v>
      </c>
      <c r="G11" s="933" t="s">
        <v>2467</v>
      </c>
      <c r="H11" s="921" t="s">
        <v>2475</v>
      </c>
      <c r="I11" s="921" t="str">
        <f t="shared" si="1"/>
        <v>9_営業部</v>
      </c>
      <c r="J11" s="937" t="s">
        <v>2476</v>
      </c>
      <c r="K11" s="936"/>
      <c r="L11" s="936"/>
      <c r="M11" s="941" t="s">
        <v>2200</v>
      </c>
      <c r="N11" s="936" t="s">
        <v>2379</v>
      </c>
      <c r="O11" s="936" t="s">
        <v>2926</v>
      </c>
      <c r="P11" s="936" t="s">
        <v>2927</v>
      </c>
      <c r="Q11" s="921" t="s">
        <v>2953</v>
      </c>
    </row>
    <row r="12" spans="1:19">
      <c r="A12" s="921" t="s">
        <v>2477</v>
      </c>
      <c r="C12" s="931" t="s">
        <v>2478</v>
      </c>
      <c r="D12" s="932" t="s">
        <v>2479</v>
      </c>
      <c r="E12" s="921" t="str">
        <f t="shared" si="0"/>
        <v xml:space="preserve">B_資産【補助金対象】 </v>
      </c>
      <c r="G12" s="933" t="s">
        <v>2473</v>
      </c>
      <c r="H12" s="921" t="s">
        <v>2480</v>
      </c>
      <c r="I12" s="921" t="str">
        <f t="shared" si="1"/>
        <v>A_電気部</v>
      </c>
      <c r="J12" s="937" t="s">
        <v>2481</v>
      </c>
      <c r="K12" s="936"/>
      <c r="L12" s="936"/>
      <c r="M12" s="941" t="s">
        <v>2202</v>
      </c>
      <c r="N12" s="936" t="s">
        <v>2380</v>
      </c>
      <c r="O12" s="936" t="s">
        <v>2928</v>
      </c>
      <c r="P12" s="936" t="s">
        <v>2929</v>
      </c>
      <c r="Q12" s="1291" t="s">
        <v>2954</v>
      </c>
    </row>
    <row r="13" spans="1:19">
      <c r="A13" s="921" t="s">
        <v>2482</v>
      </c>
      <c r="C13" s="931" t="s">
        <v>2483</v>
      </c>
      <c r="D13" s="932" t="s">
        <v>2484</v>
      </c>
      <c r="E13" s="921" t="str">
        <f t="shared" si="0"/>
        <v xml:space="preserve">C_費用（撤去費） 【補助金対象】 </v>
      </c>
      <c r="G13" s="933" t="s">
        <v>2478</v>
      </c>
      <c r="H13" s="921" t="s">
        <v>2485</v>
      </c>
      <c r="I13" s="921" t="str">
        <f t="shared" si="1"/>
        <v>B_車両部</v>
      </c>
      <c r="J13" s="937" t="s">
        <v>2486</v>
      </c>
      <c r="K13" s="936"/>
      <c r="L13" s="936"/>
      <c r="M13" s="941" t="s">
        <v>2381</v>
      </c>
      <c r="N13" s="936" t="s">
        <v>2382</v>
      </c>
      <c r="O13" s="936" t="s">
        <v>2930</v>
      </c>
      <c r="P13" s="936" t="s">
        <v>2931</v>
      </c>
      <c r="Q13" s="1291" t="s">
        <v>2955</v>
      </c>
    </row>
    <row r="14" spans="1:19">
      <c r="A14" s="921" t="s">
        <v>2487</v>
      </c>
      <c r="C14" s="931" t="s">
        <v>2488</v>
      </c>
      <c r="D14" s="932" t="s">
        <v>2489</v>
      </c>
      <c r="E14" s="921" t="str">
        <f t="shared" si="0"/>
        <v xml:space="preserve">D_費用（修繕費） 【補助金対象】 </v>
      </c>
      <c r="G14" s="933" t="s">
        <v>2483</v>
      </c>
      <c r="H14" s="921" t="s">
        <v>2490</v>
      </c>
      <c r="I14" s="921" t="str">
        <f t="shared" si="1"/>
        <v>C_工務部</v>
      </c>
      <c r="J14" s="937" t="s">
        <v>2491</v>
      </c>
      <c r="K14" s="936"/>
      <c r="L14" s="936"/>
      <c r="M14" s="942" t="s">
        <v>2208</v>
      </c>
      <c r="N14" s="936" t="s">
        <v>2383</v>
      </c>
      <c r="O14" s="936" t="s">
        <v>2932</v>
      </c>
      <c r="P14" s="936" t="s">
        <v>2933</v>
      </c>
      <c r="Q14" s="1291" t="s">
        <v>2956</v>
      </c>
    </row>
    <row r="15" spans="1:19">
      <c r="A15" s="921" t="s">
        <v>2492</v>
      </c>
      <c r="C15" s="931" t="s">
        <v>2493</v>
      </c>
      <c r="D15" s="932" t="s">
        <v>2494</v>
      </c>
      <c r="E15" s="921" t="str">
        <f t="shared" si="0"/>
        <v xml:space="preserve">E_費用（保守費） 【補助金対象】 </v>
      </c>
      <c r="G15" s="933" t="s">
        <v>2488</v>
      </c>
      <c r="H15" s="921" t="s">
        <v>2495</v>
      </c>
      <c r="I15" s="921" t="str">
        <f t="shared" si="1"/>
        <v>D_建築部</v>
      </c>
      <c r="J15" s="937" t="s">
        <v>2496</v>
      </c>
      <c r="K15" s="936"/>
      <c r="L15" s="936"/>
      <c r="M15" s="943"/>
      <c r="N15" s="936"/>
      <c r="O15" s="936" t="s">
        <v>2934</v>
      </c>
      <c r="P15" s="936" t="s">
        <v>2935</v>
      </c>
      <c r="Q15" s="1291" t="s">
        <v>2957</v>
      </c>
    </row>
    <row r="16" spans="1:19">
      <c r="A16" s="921" t="s">
        <v>2497</v>
      </c>
      <c r="C16" s="931" t="s">
        <v>2498</v>
      </c>
      <c r="D16" s="932" t="s">
        <v>2499</v>
      </c>
      <c r="E16" s="921" t="str">
        <f t="shared" si="0"/>
        <v>W_費用（原価企画）【自己調達資金】</v>
      </c>
      <c r="G16" s="933" t="s">
        <v>2493</v>
      </c>
      <c r="H16" s="921" t="s">
        <v>2500</v>
      </c>
      <c r="I16" s="921" t="str">
        <f t="shared" si="1"/>
        <v>E_安全監理部</v>
      </c>
      <c r="J16" s="937" t="s">
        <v>2501</v>
      </c>
      <c r="K16" s="936"/>
      <c r="L16" s="936"/>
      <c r="M16" s="941"/>
      <c r="N16" s="936"/>
      <c r="O16" s="936" t="s">
        <v>2936</v>
      </c>
      <c r="P16" s="936" t="s">
        <v>2937</v>
      </c>
      <c r="Q16" s="1291" t="s">
        <v>2958</v>
      </c>
    </row>
    <row r="17" spans="1:17">
      <c r="A17" s="921" t="s">
        <v>2502</v>
      </c>
      <c r="C17" s="931" t="s">
        <v>2503</v>
      </c>
      <c r="D17" s="932" t="s">
        <v>2504</v>
      </c>
      <c r="E17" s="921" t="str">
        <f t="shared" si="0"/>
        <v>X_費用【その他調達資金】</v>
      </c>
      <c r="G17" s="933" t="s">
        <v>2505</v>
      </c>
      <c r="H17" s="921" t="s">
        <v>2506</v>
      </c>
      <c r="I17" s="921" t="str">
        <f t="shared" si="1"/>
        <v>F_グループ監査部</v>
      </c>
      <c r="J17" s="937" t="s">
        <v>2507</v>
      </c>
      <c r="K17" s="936"/>
      <c r="L17" s="936"/>
      <c r="M17" s="939"/>
      <c r="N17" s="936"/>
      <c r="O17" s="1291"/>
      <c r="P17" s="1291"/>
      <c r="Q17" s="1291" t="s">
        <v>2959</v>
      </c>
    </row>
    <row r="18" spans="1:17">
      <c r="A18" s="921" t="s">
        <v>2508</v>
      </c>
      <c r="C18" s="931" t="s">
        <v>2509</v>
      </c>
      <c r="D18" s="932" t="s">
        <v>2510</v>
      </c>
      <c r="E18" s="921" t="str">
        <f t="shared" si="0"/>
        <v>Y_収入（その他収入）</v>
      </c>
      <c r="G18" s="933" t="s">
        <v>2511</v>
      </c>
      <c r="H18" s="921" t="s">
        <v>2512</v>
      </c>
      <c r="I18" s="921" t="str">
        <f t="shared" si="1"/>
        <v>G_人事部</v>
      </c>
      <c r="J18" s="937" t="s">
        <v>405</v>
      </c>
      <c r="K18" s="936"/>
      <c r="L18" s="936"/>
      <c r="M18" s="939"/>
      <c r="N18" s="936"/>
      <c r="O18" s="1291"/>
      <c r="P18" s="1291"/>
      <c r="Q18" s="1291" t="s">
        <v>2960</v>
      </c>
    </row>
    <row r="19" spans="1:17">
      <c r="A19" s="921" t="s">
        <v>2513</v>
      </c>
      <c r="C19" s="931" t="s">
        <v>2514</v>
      </c>
      <c r="D19" s="932" t="s">
        <v>2515</v>
      </c>
      <c r="E19" s="921" t="str">
        <f t="shared" si="0"/>
        <v>Z_収入（運輸収入）</v>
      </c>
      <c r="G19" s="933" t="s">
        <v>2516</v>
      </c>
      <c r="H19" s="921" t="s">
        <v>2517</v>
      </c>
      <c r="I19" s="921" t="str">
        <f t="shared" si="1"/>
        <v>H_監査役</v>
      </c>
      <c r="J19" s="937" t="s">
        <v>2518</v>
      </c>
      <c r="K19" s="936"/>
      <c r="L19" s="936"/>
      <c r="M19" s="944"/>
      <c r="N19" s="945"/>
      <c r="O19" s="1291"/>
      <c r="P19" s="1291"/>
      <c r="Q19" s="1291" t="s">
        <v>2961</v>
      </c>
    </row>
    <row r="20" spans="1:17">
      <c r="A20" s="921" t="s">
        <v>2519</v>
      </c>
      <c r="G20" s="921" t="s">
        <v>2520</v>
      </c>
      <c r="H20" s="921" t="s">
        <v>2521</v>
      </c>
      <c r="I20" s="921" t="str">
        <f t="shared" si="1"/>
        <v>I_リテール事業部</v>
      </c>
      <c r="J20" s="937" t="s">
        <v>2522</v>
      </c>
      <c r="K20" s="936"/>
      <c r="L20" s="936"/>
      <c r="M20" s="944"/>
      <c r="N20" s="945"/>
      <c r="O20" s="1291"/>
      <c r="P20" s="1291"/>
      <c r="Q20" s="1291" t="s">
        <v>2962</v>
      </c>
    </row>
    <row r="21" spans="1:17">
      <c r="A21" s="921" t="s">
        <v>2523</v>
      </c>
      <c r="G21" s="921" t="s">
        <v>2524</v>
      </c>
      <c r="H21" s="921" t="s">
        <v>2525</v>
      </c>
      <c r="I21" s="921" t="str">
        <f t="shared" si="1"/>
        <v>J_先端技術研究所</v>
      </c>
      <c r="J21" s="937" t="s">
        <v>2526</v>
      </c>
      <c r="K21" s="936"/>
      <c r="L21" s="936"/>
      <c r="M21" s="941"/>
      <c r="N21" s="945"/>
      <c r="O21" s="1291"/>
      <c r="P21" s="1291"/>
      <c r="Q21" s="1291" t="s">
        <v>2963</v>
      </c>
    </row>
    <row r="22" spans="1:17">
      <c r="A22" s="921" t="s">
        <v>2527</v>
      </c>
      <c r="G22" s="921" t="s">
        <v>2528</v>
      </c>
      <c r="H22" s="921" t="s">
        <v>2529</v>
      </c>
      <c r="I22" s="921" t="str">
        <f t="shared" si="1"/>
        <v>K_計画部</v>
      </c>
      <c r="J22" s="937" t="s">
        <v>2530</v>
      </c>
      <c r="K22" s="936"/>
      <c r="L22" s="936"/>
      <c r="M22" s="941"/>
      <c r="N22" s="945"/>
      <c r="O22" s="1291"/>
      <c r="P22" s="1291"/>
      <c r="Q22" s="1291" t="s">
        <v>2964</v>
      </c>
    </row>
    <row r="23" spans="1:17">
      <c r="A23" s="921" t="s">
        <v>2531</v>
      </c>
      <c r="G23" s="921" t="s">
        <v>2532</v>
      </c>
      <c r="H23" s="921" t="s">
        <v>2533</v>
      </c>
      <c r="I23" s="921" t="str">
        <f t="shared" si="1"/>
        <v>L_経営管理部</v>
      </c>
      <c r="J23" s="937" t="s">
        <v>408</v>
      </c>
      <c r="K23" s="936"/>
      <c r="L23" s="936"/>
      <c r="M23" s="941"/>
      <c r="N23" s="945"/>
      <c r="O23" s="1291"/>
      <c r="P23" s="1291"/>
      <c r="Q23" s="1291" t="s">
        <v>2965</v>
      </c>
    </row>
    <row r="24" spans="1:17">
      <c r="A24" s="921" t="s">
        <v>2534</v>
      </c>
      <c r="G24" s="921" t="s">
        <v>2535</v>
      </c>
      <c r="H24" s="921" t="s">
        <v>2536</v>
      </c>
      <c r="I24" s="921" t="str">
        <f t="shared" si="1"/>
        <v>M_活力インフラ部</v>
      </c>
      <c r="J24" s="937" t="s">
        <v>2537</v>
      </c>
      <c r="K24" s="936"/>
      <c r="L24" s="936"/>
      <c r="M24" s="936"/>
      <c r="N24" s="945"/>
      <c r="O24" s="1291"/>
      <c r="P24" s="1291"/>
      <c r="Q24" s="1291" t="s">
        <v>2966</v>
      </c>
    </row>
    <row r="25" spans="1:17">
      <c r="A25" s="921" t="s">
        <v>2538</v>
      </c>
      <c r="G25" s="921" t="s">
        <v>2539</v>
      </c>
      <c r="H25" s="921" t="s">
        <v>2540</v>
      </c>
      <c r="I25" s="921" t="str">
        <f t="shared" si="1"/>
        <v>N_新規事業部</v>
      </c>
      <c r="J25" s="937" t="s">
        <v>2541</v>
      </c>
      <c r="K25" s="936"/>
      <c r="L25" s="936"/>
      <c r="M25" s="936"/>
      <c r="N25" s="945"/>
      <c r="O25" s="1291"/>
      <c r="P25" s="1291"/>
      <c r="Q25" s="1291" t="s">
        <v>2967</v>
      </c>
    </row>
    <row r="26" spans="1:17">
      <c r="A26" s="921" t="s">
        <v>2542</v>
      </c>
      <c r="G26" s="921" t="s">
        <v>2543</v>
      </c>
      <c r="H26" s="921" t="s">
        <v>2544</v>
      </c>
      <c r="I26" s="921" t="str">
        <f t="shared" si="1"/>
        <v>P_デジタルマーケティング部</v>
      </c>
      <c r="J26" s="937"/>
      <c r="K26" s="936"/>
      <c r="L26" s="936"/>
      <c r="M26" s="936"/>
      <c r="N26" s="945"/>
      <c r="O26" s="1291"/>
      <c r="P26" s="1291"/>
      <c r="Q26" s="1291" t="s">
        <v>2968</v>
      </c>
    </row>
    <row r="27" spans="1:17">
      <c r="A27" s="921" t="s">
        <v>2545</v>
      </c>
      <c r="G27" s="921" t="s">
        <v>2546</v>
      </c>
      <c r="H27" s="921" t="s">
        <v>2547</v>
      </c>
      <c r="I27" s="921" t="str">
        <f t="shared" si="1"/>
        <v>Q_ＩＣＴ戦略部</v>
      </c>
      <c r="J27" s="946" t="s">
        <v>328</v>
      </c>
      <c r="K27" s="947"/>
      <c r="L27" s="947"/>
      <c r="M27" s="947"/>
      <c r="N27" s="948"/>
      <c r="O27" s="1291"/>
      <c r="P27" s="1291"/>
      <c r="Q27" s="1291" t="s">
        <v>2969</v>
      </c>
    </row>
    <row r="28" spans="1:17">
      <c r="A28" s="921" t="s">
        <v>2548</v>
      </c>
      <c r="G28" s="921" t="s">
        <v>2549</v>
      </c>
      <c r="H28" s="921" t="s">
        <v>2550</v>
      </c>
      <c r="I28" s="921" t="str">
        <f t="shared" si="1"/>
        <v>R_広報戦略部</v>
      </c>
    </row>
    <row r="29" spans="1:17">
      <c r="A29" s="921" t="s">
        <v>2551</v>
      </c>
    </row>
    <row r="30" spans="1:17">
      <c r="A30" s="921" t="s">
        <v>2552</v>
      </c>
    </row>
    <row r="31" spans="1:17">
      <c r="A31" s="921" t="s">
        <v>2553</v>
      </c>
    </row>
    <row r="32" spans="1:17">
      <c r="A32" s="921" t="s">
        <v>2554</v>
      </c>
    </row>
    <row r="33" spans="1:1">
      <c r="A33" s="921" t="s">
        <v>2555</v>
      </c>
    </row>
    <row r="34" spans="1:1">
      <c r="A34" s="921" t="s">
        <v>2556</v>
      </c>
    </row>
    <row r="35" spans="1:1">
      <c r="A35" s="921" t="s">
        <v>2557</v>
      </c>
    </row>
    <row r="36" spans="1:1">
      <c r="A36" s="921" t="s">
        <v>2558</v>
      </c>
    </row>
    <row r="37" spans="1:1">
      <c r="A37" s="921" t="s">
        <v>2559</v>
      </c>
    </row>
    <row r="38" spans="1:1">
      <c r="A38" s="921" t="s">
        <v>2560</v>
      </c>
    </row>
    <row r="39" spans="1:1">
      <c r="A39" s="921" t="s">
        <v>2561</v>
      </c>
    </row>
    <row r="40" spans="1:1">
      <c r="A40" s="921" t="s">
        <v>2562</v>
      </c>
    </row>
    <row r="41" spans="1:1">
      <c r="A41" s="921" t="s">
        <v>2563</v>
      </c>
    </row>
    <row r="42" spans="1:1">
      <c r="A42" s="921" t="s">
        <v>2564</v>
      </c>
    </row>
    <row r="43" spans="1:1">
      <c r="A43" s="921" t="s">
        <v>2565</v>
      </c>
    </row>
    <row r="44" spans="1:1">
      <c r="A44" s="921" t="s">
        <v>2566</v>
      </c>
    </row>
    <row r="45" spans="1:1">
      <c r="A45" s="921" t="s">
        <v>2567</v>
      </c>
    </row>
    <row r="46" spans="1:1">
      <c r="A46" s="921" t="s">
        <v>2568</v>
      </c>
    </row>
    <row r="47" spans="1:1">
      <c r="A47" s="921" t="s">
        <v>2569</v>
      </c>
    </row>
    <row r="48" spans="1:1">
      <c r="A48" s="921" t="s">
        <v>2570</v>
      </c>
    </row>
    <row r="49" spans="1:1">
      <c r="A49" s="921" t="s">
        <v>2571</v>
      </c>
    </row>
    <row r="50" spans="1:1">
      <c r="A50" s="921" t="s">
        <v>2572</v>
      </c>
    </row>
    <row r="51" spans="1:1">
      <c r="A51" s="921" t="s">
        <v>2573</v>
      </c>
    </row>
    <row r="52" spans="1:1">
      <c r="A52" s="921" t="s">
        <v>2574</v>
      </c>
    </row>
    <row r="53" spans="1:1">
      <c r="A53" s="921" t="s">
        <v>2575</v>
      </c>
    </row>
    <row r="54" spans="1:1">
      <c r="A54" s="921" t="s">
        <v>2576</v>
      </c>
    </row>
    <row r="55" spans="1:1">
      <c r="A55" s="921" t="s">
        <v>2577</v>
      </c>
    </row>
    <row r="56" spans="1:1">
      <c r="A56" s="921" t="s">
        <v>2578</v>
      </c>
    </row>
    <row r="57" spans="1:1">
      <c r="A57" s="921" t="s">
        <v>2579</v>
      </c>
    </row>
    <row r="58" spans="1:1">
      <c r="A58" s="921" t="s">
        <v>2580</v>
      </c>
    </row>
    <row r="59" spans="1:1">
      <c r="A59" s="921" t="s">
        <v>2581</v>
      </c>
    </row>
    <row r="60" spans="1:1">
      <c r="A60" s="921" t="s">
        <v>2582</v>
      </c>
    </row>
    <row r="61" spans="1:1">
      <c r="A61" s="921" t="s">
        <v>2583</v>
      </c>
    </row>
    <row r="62" spans="1:1">
      <c r="A62" s="921" t="s">
        <v>2584</v>
      </c>
    </row>
    <row r="63" spans="1:1">
      <c r="A63" s="921" t="s">
        <v>2585</v>
      </c>
    </row>
    <row r="64" spans="1:1">
      <c r="A64" s="921" t="s">
        <v>2586</v>
      </c>
    </row>
    <row r="65" spans="1:1">
      <c r="A65" s="921" t="s">
        <v>2587</v>
      </c>
    </row>
    <row r="66" spans="1:1">
      <c r="A66" s="921" t="s">
        <v>2588</v>
      </c>
    </row>
    <row r="67" spans="1:1">
      <c r="A67" s="921" t="s">
        <v>2589</v>
      </c>
    </row>
    <row r="68" spans="1:1">
      <c r="A68" s="921" t="s">
        <v>2590</v>
      </c>
    </row>
    <row r="69" spans="1:1">
      <c r="A69" s="921" t="s">
        <v>2591</v>
      </c>
    </row>
    <row r="70" spans="1:1">
      <c r="A70" s="921" t="s">
        <v>2592</v>
      </c>
    </row>
    <row r="71" spans="1:1">
      <c r="A71" s="921" t="s">
        <v>2593</v>
      </c>
    </row>
    <row r="72" spans="1:1">
      <c r="A72" s="921" t="s">
        <v>2594</v>
      </c>
    </row>
    <row r="73" spans="1:1">
      <c r="A73" s="921" t="s">
        <v>2595</v>
      </c>
    </row>
    <row r="74" spans="1:1">
      <c r="A74" s="921" t="s">
        <v>2596</v>
      </c>
    </row>
    <row r="75" spans="1:1">
      <c r="A75" s="921" t="s">
        <v>2597</v>
      </c>
    </row>
    <row r="76" spans="1:1">
      <c r="A76" s="921" t="s">
        <v>2598</v>
      </c>
    </row>
    <row r="77" spans="1:1">
      <c r="A77" s="921" t="s">
        <v>2599</v>
      </c>
    </row>
    <row r="78" spans="1:1">
      <c r="A78" s="921" t="s">
        <v>2600</v>
      </c>
    </row>
    <row r="79" spans="1:1">
      <c r="A79" s="921" t="s">
        <v>2601</v>
      </c>
    </row>
    <row r="80" spans="1:1">
      <c r="A80" s="921" t="s">
        <v>2602</v>
      </c>
    </row>
    <row r="81" spans="1:1">
      <c r="A81" s="921" t="s">
        <v>2603</v>
      </c>
    </row>
    <row r="82" spans="1:1">
      <c r="A82" s="921" t="s">
        <v>2604</v>
      </c>
    </row>
    <row r="83" spans="1:1">
      <c r="A83" s="921" t="s">
        <v>2605</v>
      </c>
    </row>
    <row r="84" spans="1:1">
      <c r="A84" s="921" t="s">
        <v>2606</v>
      </c>
    </row>
    <row r="85" spans="1:1">
      <c r="A85" s="921" t="s">
        <v>2607</v>
      </c>
    </row>
    <row r="86" spans="1:1">
      <c r="A86" s="921" t="s">
        <v>2608</v>
      </c>
    </row>
    <row r="87" spans="1:1">
      <c r="A87" s="921" t="s">
        <v>2609</v>
      </c>
    </row>
    <row r="88" spans="1:1">
      <c r="A88" s="921" t="s">
        <v>2610</v>
      </c>
    </row>
    <row r="89" spans="1:1">
      <c r="A89" s="921" t="s">
        <v>2611</v>
      </c>
    </row>
    <row r="90" spans="1:1">
      <c r="A90" s="921" t="s">
        <v>2612</v>
      </c>
    </row>
    <row r="91" spans="1:1">
      <c r="A91" s="921" t="s">
        <v>2613</v>
      </c>
    </row>
    <row r="92" spans="1:1">
      <c r="A92" s="921" t="s">
        <v>2614</v>
      </c>
    </row>
    <row r="93" spans="1:1">
      <c r="A93" s="921" t="s">
        <v>2615</v>
      </c>
    </row>
    <row r="94" spans="1:1">
      <c r="A94" s="921" t="s">
        <v>2616</v>
      </c>
    </row>
    <row r="95" spans="1:1">
      <c r="A95" s="921" t="s">
        <v>2617</v>
      </c>
    </row>
    <row r="96" spans="1:1">
      <c r="A96" s="921" t="s">
        <v>2618</v>
      </c>
    </row>
    <row r="97" spans="1:1">
      <c r="A97" s="921" t="s">
        <v>2619</v>
      </c>
    </row>
    <row r="98" spans="1:1">
      <c r="A98" s="921" t="s">
        <v>2620</v>
      </c>
    </row>
    <row r="99" spans="1:1">
      <c r="A99" s="921" t="s">
        <v>2621</v>
      </c>
    </row>
    <row r="100" spans="1:1">
      <c r="A100" s="921" t="s">
        <v>2622</v>
      </c>
    </row>
    <row r="101" spans="1:1">
      <c r="A101" s="921" t="s">
        <v>2623</v>
      </c>
    </row>
    <row r="102" spans="1:1">
      <c r="A102" s="921" t="s">
        <v>2624</v>
      </c>
    </row>
    <row r="103" spans="1:1">
      <c r="A103" s="921" t="s">
        <v>2625</v>
      </c>
    </row>
    <row r="104" spans="1:1">
      <c r="A104" s="921" t="s">
        <v>2626</v>
      </c>
    </row>
    <row r="105" spans="1:1">
      <c r="A105" s="921" t="s">
        <v>2627</v>
      </c>
    </row>
    <row r="106" spans="1:1">
      <c r="A106" s="921" t="s">
        <v>2628</v>
      </c>
    </row>
    <row r="107" spans="1:1">
      <c r="A107" s="921" t="s">
        <v>2629</v>
      </c>
    </row>
    <row r="108" spans="1:1">
      <c r="A108" s="921" t="s">
        <v>2630</v>
      </c>
    </row>
    <row r="109" spans="1:1">
      <c r="A109" s="921" t="s">
        <v>2631</v>
      </c>
    </row>
    <row r="110" spans="1:1">
      <c r="A110" s="921" t="s">
        <v>2632</v>
      </c>
    </row>
    <row r="111" spans="1:1">
      <c r="A111" s="921" t="s">
        <v>2633</v>
      </c>
    </row>
    <row r="112" spans="1:1">
      <c r="A112" s="921" t="s">
        <v>2634</v>
      </c>
    </row>
    <row r="113" spans="1:1">
      <c r="A113" s="921" t="s">
        <v>2635</v>
      </c>
    </row>
    <row r="114" spans="1:1">
      <c r="A114" s="921" t="s">
        <v>2636</v>
      </c>
    </row>
    <row r="115" spans="1:1">
      <c r="A115" s="921" t="s">
        <v>2637</v>
      </c>
    </row>
    <row r="116" spans="1:1">
      <c r="A116" s="921" t="s">
        <v>2638</v>
      </c>
    </row>
    <row r="117" spans="1:1">
      <c r="A117" s="921" t="s">
        <v>2639</v>
      </c>
    </row>
    <row r="118" spans="1:1">
      <c r="A118" s="921" t="s">
        <v>2640</v>
      </c>
    </row>
    <row r="119" spans="1:1">
      <c r="A119" s="921" t="s">
        <v>2641</v>
      </c>
    </row>
    <row r="120" spans="1:1">
      <c r="A120" s="921" t="s">
        <v>2642</v>
      </c>
    </row>
    <row r="121" spans="1:1">
      <c r="A121" s="921" t="s">
        <v>2643</v>
      </c>
    </row>
    <row r="122" spans="1:1">
      <c r="A122" s="921" t="s">
        <v>2644</v>
      </c>
    </row>
    <row r="123" spans="1:1">
      <c r="A123" s="921" t="s">
        <v>2645</v>
      </c>
    </row>
    <row r="124" spans="1:1">
      <c r="A124" s="921" t="s">
        <v>2646</v>
      </c>
    </row>
    <row r="125" spans="1:1">
      <c r="A125" s="921" t="s">
        <v>2647</v>
      </c>
    </row>
    <row r="126" spans="1:1">
      <c r="A126" s="921" t="s">
        <v>2648</v>
      </c>
    </row>
    <row r="127" spans="1:1">
      <c r="A127" s="921" t="s">
        <v>2649</v>
      </c>
    </row>
    <row r="128" spans="1:1">
      <c r="A128" s="921" t="s">
        <v>2650</v>
      </c>
    </row>
    <row r="129" spans="1:1">
      <c r="A129" s="921" t="s">
        <v>2651</v>
      </c>
    </row>
    <row r="130" spans="1:1">
      <c r="A130" s="921" t="s">
        <v>2652</v>
      </c>
    </row>
    <row r="131" spans="1:1">
      <c r="A131" s="921" t="s">
        <v>2653</v>
      </c>
    </row>
    <row r="132" spans="1:1">
      <c r="A132" s="921" t="s">
        <v>2654</v>
      </c>
    </row>
    <row r="133" spans="1:1">
      <c r="A133" s="921" t="s">
        <v>2655</v>
      </c>
    </row>
    <row r="134" spans="1:1">
      <c r="A134" s="921" t="s">
        <v>2656</v>
      </c>
    </row>
    <row r="135" spans="1:1">
      <c r="A135" s="921" t="s">
        <v>2657</v>
      </c>
    </row>
    <row r="136" spans="1:1">
      <c r="A136" s="921" t="s">
        <v>2658</v>
      </c>
    </row>
    <row r="137" spans="1:1">
      <c r="A137" s="921" t="s">
        <v>2659</v>
      </c>
    </row>
    <row r="138" spans="1:1">
      <c r="A138" s="921" t="s">
        <v>2660</v>
      </c>
    </row>
    <row r="139" spans="1:1">
      <c r="A139" s="921" t="s">
        <v>2661</v>
      </c>
    </row>
    <row r="140" spans="1:1">
      <c r="A140" s="921" t="s">
        <v>2662</v>
      </c>
    </row>
    <row r="141" spans="1:1">
      <c r="A141" s="921" t="s">
        <v>2663</v>
      </c>
    </row>
    <row r="142" spans="1:1">
      <c r="A142" s="921" t="s">
        <v>2664</v>
      </c>
    </row>
    <row r="143" spans="1:1">
      <c r="A143" s="921" t="s">
        <v>2665</v>
      </c>
    </row>
    <row r="144" spans="1:1">
      <c r="A144" s="921" t="s">
        <v>2666</v>
      </c>
    </row>
    <row r="145" spans="1:1">
      <c r="A145" s="921" t="s">
        <v>2667</v>
      </c>
    </row>
    <row r="146" spans="1:1">
      <c r="A146" s="921" t="s">
        <v>2668</v>
      </c>
    </row>
    <row r="147" spans="1:1">
      <c r="A147" s="921" t="s">
        <v>2669</v>
      </c>
    </row>
    <row r="148" spans="1:1">
      <c r="A148" s="921" t="s">
        <v>2670</v>
      </c>
    </row>
    <row r="149" spans="1:1">
      <c r="A149" s="921" t="s">
        <v>2671</v>
      </c>
    </row>
    <row r="150" spans="1:1">
      <c r="A150" s="921" t="s">
        <v>2672</v>
      </c>
    </row>
    <row r="151" spans="1:1">
      <c r="A151" s="921" t="s">
        <v>2673</v>
      </c>
    </row>
    <row r="152" spans="1:1">
      <c r="A152" s="921" t="s">
        <v>2674</v>
      </c>
    </row>
    <row r="153" spans="1:1">
      <c r="A153" s="921" t="s">
        <v>2675</v>
      </c>
    </row>
    <row r="154" spans="1:1">
      <c r="A154" s="921" t="s">
        <v>2676</v>
      </c>
    </row>
    <row r="155" spans="1:1">
      <c r="A155" s="921" t="s">
        <v>2677</v>
      </c>
    </row>
    <row r="156" spans="1:1">
      <c r="A156" s="921" t="s">
        <v>2678</v>
      </c>
    </row>
    <row r="157" spans="1:1">
      <c r="A157" s="921" t="s">
        <v>2679</v>
      </c>
    </row>
    <row r="158" spans="1:1">
      <c r="A158" s="921" t="s">
        <v>2680</v>
      </c>
    </row>
    <row r="159" spans="1:1">
      <c r="A159" s="921" t="s">
        <v>2681</v>
      </c>
    </row>
    <row r="160" spans="1:1">
      <c r="A160" s="921" t="s">
        <v>2682</v>
      </c>
    </row>
    <row r="161" spans="1:1">
      <c r="A161" s="921" t="s">
        <v>2683</v>
      </c>
    </row>
    <row r="162" spans="1:1">
      <c r="A162" s="921" t="s">
        <v>2684</v>
      </c>
    </row>
    <row r="163" spans="1:1">
      <c r="A163" s="921" t="s">
        <v>2685</v>
      </c>
    </row>
    <row r="164" spans="1:1">
      <c r="A164" s="921" t="s">
        <v>2686</v>
      </c>
    </row>
    <row r="165" spans="1:1">
      <c r="A165" s="921" t="s">
        <v>2687</v>
      </c>
    </row>
    <row r="166" spans="1:1">
      <c r="A166" s="921" t="s">
        <v>2688</v>
      </c>
    </row>
    <row r="167" spans="1:1">
      <c r="A167" s="921" t="s">
        <v>2689</v>
      </c>
    </row>
    <row r="168" spans="1:1">
      <c r="A168" s="921" t="s">
        <v>2690</v>
      </c>
    </row>
    <row r="169" spans="1:1">
      <c r="A169" s="921" t="s">
        <v>2691</v>
      </c>
    </row>
    <row r="170" spans="1:1">
      <c r="A170" s="921" t="s">
        <v>2692</v>
      </c>
    </row>
    <row r="171" spans="1:1">
      <c r="A171" s="921" t="s">
        <v>2693</v>
      </c>
    </row>
    <row r="172" spans="1:1">
      <c r="A172" s="921" t="s">
        <v>2694</v>
      </c>
    </row>
    <row r="173" spans="1:1">
      <c r="A173" s="921" t="s">
        <v>2695</v>
      </c>
    </row>
    <row r="174" spans="1:1">
      <c r="A174" s="921" t="s">
        <v>2696</v>
      </c>
    </row>
    <row r="175" spans="1:1">
      <c r="A175" s="921" t="s">
        <v>2697</v>
      </c>
    </row>
    <row r="176" spans="1:1">
      <c r="A176" s="921" t="s">
        <v>2698</v>
      </c>
    </row>
    <row r="177" spans="1:1">
      <c r="A177" s="921" t="s">
        <v>2699</v>
      </c>
    </row>
    <row r="178" spans="1:1">
      <c r="A178" s="921" t="s">
        <v>2700</v>
      </c>
    </row>
    <row r="179" spans="1:1">
      <c r="A179" s="921" t="s">
        <v>2701</v>
      </c>
    </row>
    <row r="180" spans="1:1">
      <c r="A180" s="921" t="s">
        <v>2702</v>
      </c>
    </row>
    <row r="181" spans="1:1">
      <c r="A181" s="921" t="s">
        <v>2703</v>
      </c>
    </row>
    <row r="182" spans="1:1">
      <c r="A182" s="921" t="s">
        <v>2704</v>
      </c>
    </row>
    <row r="183" spans="1:1">
      <c r="A183" s="921" t="s">
        <v>2705</v>
      </c>
    </row>
    <row r="184" spans="1:1">
      <c r="A184" s="921" t="s">
        <v>2706</v>
      </c>
    </row>
    <row r="185" spans="1:1">
      <c r="A185" s="921" t="s">
        <v>2707</v>
      </c>
    </row>
    <row r="186" spans="1:1">
      <c r="A186" s="921" t="s">
        <v>2708</v>
      </c>
    </row>
    <row r="187" spans="1:1">
      <c r="A187" s="921" t="s">
        <v>2709</v>
      </c>
    </row>
    <row r="188" spans="1:1">
      <c r="A188" s="921" t="s">
        <v>2710</v>
      </c>
    </row>
    <row r="189" spans="1:1">
      <c r="A189" s="921" t="s">
        <v>2711</v>
      </c>
    </row>
    <row r="190" spans="1:1">
      <c r="A190" s="921" t="s">
        <v>2712</v>
      </c>
    </row>
    <row r="191" spans="1:1">
      <c r="A191" s="921" t="s">
        <v>2713</v>
      </c>
    </row>
    <row r="192" spans="1:1">
      <c r="A192" s="921" t="s">
        <v>2714</v>
      </c>
    </row>
    <row r="193" spans="1:1">
      <c r="A193" s="921" t="s">
        <v>2715</v>
      </c>
    </row>
    <row r="194" spans="1:1">
      <c r="A194" s="921" t="s">
        <v>2716</v>
      </c>
    </row>
    <row r="195" spans="1:1">
      <c r="A195" s="921" t="s">
        <v>2717</v>
      </c>
    </row>
    <row r="196" spans="1:1">
      <c r="A196" s="921" t="s">
        <v>2718</v>
      </c>
    </row>
    <row r="197" spans="1:1">
      <c r="A197" s="921" t="s">
        <v>2719</v>
      </c>
    </row>
    <row r="198" spans="1:1">
      <c r="A198" s="921" t="s">
        <v>2720</v>
      </c>
    </row>
    <row r="199" spans="1:1">
      <c r="A199" s="921" t="s">
        <v>2721</v>
      </c>
    </row>
    <row r="200" spans="1:1">
      <c r="A200" s="921" t="s">
        <v>2722</v>
      </c>
    </row>
    <row r="201" spans="1:1">
      <c r="A201" s="921" t="s">
        <v>2723</v>
      </c>
    </row>
    <row r="202" spans="1:1">
      <c r="A202" s="921" t="s">
        <v>2724</v>
      </c>
    </row>
  </sheetData>
  <phoneticPr fontId="6"/>
  <printOptions headings="1"/>
  <pageMargins left="0.70866141732283472" right="0.70866141732283472" top="0.74803149606299213" bottom="0.74803149606299213" header="0.31496062992125984" footer="0.31496062992125984"/>
  <pageSetup paperSize="9" scale="59" orientation="landscape" r:id="rId1"/>
  <colBreaks count="3" manualBreakCount="3">
    <brk id="6" max="35" man="1"/>
    <brk id="9" max="35" man="1"/>
    <brk id="17" max="3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AI94"/>
  <sheetViews>
    <sheetView zoomScale="80" zoomScaleNormal="80" workbookViewId="0"/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5" style="1085" customWidth="1"/>
    <col min="14" max="14" width="19.83203125" style="1" customWidth="1"/>
    <col min="15" max="16" width="5.33203125" style="39" customWidth="1"/>
    <col min="17" max="34" width="5.33203125" style="1" customWidth="1"/>
    <col min="35" max="16384" width="6.6640625" style="1"/>
  </cols>
  <sheetData>
    <row r="1" spans="1:34" ht="26.25" customHeight="1" thickBot="1">
      <c r="J1" s="917" t="str">
        <f ca="1">J5&amp;"の工期"</f>
        <v>新規シートの工期</v>
      </c>
      <c r="K1" s="1074" t="s">
        <v>2859</v>
      </c>
      <c r="L1" s="1075"/>
      <c r="M1" s="1084" t="s">
        <v>2858</v>
      </c>
    </row>
    <row r="2" spans="1:34" ht="26.25" customHeight="1">
      <c r="C2" s="37" t="s">
        <v>13</v>
      </c>
      <c r="E2" s="36" t="s">
        <v>49</v>
      </c>
      <c r="F2" s="39">
        <v>0</v>
      </c>
      <c r="G2" s="1" t="s">
        <v>188</v>
      </c>
      <c r="H2" s="4">
        <f>表紙!H25</f>
        <v>7</v>
      </c>
      <c r="I2" s="4" t="s">
        <v>55</v>
      </c>
      <c r="J2" s="39">
        <f>VLOOKUP("EOL",$M$25:$N$65559,2,FALSE)</f>
        <v>3</v>
      </c>
      <c r="K2" s="1076" t="s">
        <v>2857</v>
      </c>
    </row>
    <row r="3" spans="1:34" ht="26.25" customHeight="1" thickBot="1">
      <c r="C3" s="2224" t="s">
        <v>3135</v>
      </c>
      <c r="D3" s="2224"/>
      <c r="E3" s="2224"/>
      <c r="F3" s="2224"/>
      <c r="G3" s="2224"/>
      <c r="H3" s="2224"/>
      <c r="I3" s="2224"/>
      <c r="J3" s="2224"/>
      <c r="K3" s="2224"/>
      <c r="L3" s="2224"/>
      <c r="O3" s="2074"/>
      <c r="P3" s="2074"/>
      <c r="Q3" s="2074"/>
      <c r="R3" s="2074"/>
      <c r="S3" s="2074"/>
      <c r="T3" s="2074"/>
      <c r="U3" s="2074"/>
      <c r="V3" s="2074"/>
      <c r="W3" s="2074"/>
      <c r="X3" s="2074"/>
      <c r="Y3" s="2074"/>
      <c r="Z3" s="2074"/>
      <c r="AA3" s="2074"/>
      <c r="AB3" s="2074"/>
      <c r="AC3" s="2074"/>
      <c r="AD3" s="2074"/>
      <c r="AE3" s="2074"/>
      <c r="AF3" s="2074"/>
      <c r="AG3" s="2074"/>
      <c r="AH3" s="216"/>
    </row>
    <row r="4" spans="1:34" ht="42" customHeight="1">
      <c r="A4" s="5" t="s">
        <v>10</v>
      </c>
      <c r="B4" s="5" t="s">
        <v>2741</v>
      </c>
      <c r="C4" s="106" t="s">
        <v>2740</v>
      </c>
      <c r="D4" s="102"/>
      <c r="E4" s="103" t="s">
        <v>2739</v>
      </c>
      <c r="F4" s="104" t="s">
        <v>2738</v>
      </c>
      <c r="G4" s="104" t="s">
        <v>2737</v>
      </c>
      <c r="H4" s="105" t="s">
        <v>2736</v>
      </c>
      <c r="I4" s="105" t="s">
        <v>2735</v>
      </c>
      <c r="J4" s="2239" t="s">
        <v>2734</v>
      </c>
      <c r="K4" s="2240"/>
      <c r="L4" s="2241"/>
      <c r="O4" s="215"/>
      <c r="P4" s="2070"/>
      <c r="Q4" s="2070"/>
      <c r="R4" s="2071"/>
      <c r="S4" s="2071"/>
      <c r="T4" s="2071"/>
      <c r="U4" s="2071"/>
      <c r="V4" s="2070"/>
      <c r="W4" s="2071"/>
      <c r="X4" s="2071"/>
      <c r="Y4" s="2071"/>
      <c r="Z4" s="2071"/>
      <c r="AA4" s="2071"/>
      <c r="AB4" s="2071"/>
      <c r="AC4" s="215"/>
      <c r="AD4" s="215"/>
      <c r="AE4" s="215"/>
      <c r="AF4" s="215"/>
      <c r="AG4" s="215"/>
      <c r="AH4" s="216"/>
    </row>
    <row r="5" spans="1:34" ht="24" customHeight="1" thickBot="1">
      <c r="A5" s="7"/>
      <c r="B5" s="7"/>
      <c r="C5" s="107" t="str">
        <f>+C2</f>
        <v>○○工事の部</v>
      </c>
      <c r="D5" s="108"/>
      <c r="E5" s="93"/>
      <c r="F5" s="281"/>
      <c r="G5" s="109"/>
      <c r="H5" s="80" t="s">
        <v>11</v>
      </c>
      <c r="I5" s="80" t="s">
        <v>11</v>
      </c>
      <c r="J5" s="2233" t="str">
        <f ca="1">RIGHT(CELL("filename",$A$1),LEN(CELL("filename",$A$1))-FIND("]",CELL("filename",$A$1)))</f>
        <v>新規シート</v>
      </c>
      <c r="K5" s="2234"/>
      <c r="L5" s="2235"/>
      <c r="O5" s="2072"/>
      <c r="P5" s="2072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216"/>
    </row>
    <row r="6" spans="1:34" s="39" customFormat="1" ht="24" customHeight="1" thickBot="1">
      <c r="A6" s="38"/>
      <c r="B6" s="38"/>
      <c r="C6" s="185" t="s">
        <v>141</v>
      </c>
      <c r="D6" s="62"/>
      <c r="E6" s="95"/>
      <c r="F6" s="263"/>
      <c r="G6" s="111"/>
      <c r="H6" s="97"/>
      <c r="I6" s="97"/>
      <c r="J6" s="917" t="str">
        <f ca="1">+$J$1</f>
        <v>新規シートの工期</v>
      </c>
      <c r="K6" s="918" t="str">
        <f>+$K$1</f>
        <v>2021/＊＊/＊＊</v>
      </c>
      <c r="L6" s="919">
        <f>+$L$1</f>
        <v>0</v>
      </c>
      <c r="M6" s="1077"/>
      <c r="O6" s="2072"/>
      <c r="P6" s="2072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2073"/>
    </row>
    <row r="7" spans="1:34" s="39" customFormat="1" ht="24" customHeight="1">
      <c r="A7" s="38"/>
      <c r="B7" s="38"/>
      <c r="C7" s="98"/>
      <c r="D7" s="62" t="s">
        <v>2744</v>
      </c>
      <c r="E7" s="95"/>
      <c r="F7" s="263">
        <v>1</v>
      </c>
      <c r="G7" s="111" t="s">
        <v>2742</v>
      </c>
      <c r="H7" s="97"/>
      <c r="I7" s="97">
        <f>I70</f>
        <v>0</v>
      </c>
      <c r="J7" s="62"/>
      <c r="K7" s="62"/>
      <c r="L7" s="63"/>
      <c r="M7" s="1077"/>
      <c r="O7" s="2072"/>
      <c r="P7" s="2072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2073"/>
    </row>
    <row r="8" spans="1:34" s="39" customFormat="1" ht="24" customHeight="1">
      <c r="A8" s="38"/>
      <c r="B8" s="38"/>
      <c r="C8" s="98"/>
      <c r="D8" s="62" t="s">
        <v>2404</v>
      </c>
      <c r="E8" s="95"/>
      <c r="F8" s="263">
        <v>1</v>
      </c>
      <c r="G8" s="111" t="s">
        <v>2742</v>
      </c>
      <c r="H8" s="97"/>
      <c r="I8" s="97">
        <f>I93</f>
        <v>0</v>
      </c>
      <c r="J8" s="62"/>
      <c r="K8" s="62"/>
      <c r="L8" s="63"/>
      <c r="M8" s="1077"/>
      <c r="O8" s="2072"/>
      <c r="P8" s="2072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073"/>
    </row>
    <row r="9" spans="1:34" s="39" customFormat="1" ht="24" customHeight="1">
      <c r="A9" s="38"/>
      <c r="B9" s="38"/>
      <c r="C9" s="98"/>
      <c r="D9" s="62"/>
      <c r="E9" s="95"/>
      <c r="F9" s="263"/>
      <c r="G9" s="111"/>
      <c r="H9" s="97"/>
      <c r="I9" s="97"/>
      <c r="J9" s="62"/>
      <c r="K9" s="62"/>
      <c r="L9" s="63"/>
      <c r="M9" s="1077"/>
      <c r="O9" s="2072"/>
      <c r="P9" s="2072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2073"/>
    </row>
    <row r="10" spans="1:34" s="39" customFormat="1" ht="24" customHeight="1">
      <c r="A10" s="38"/>
      <c r="B10" s="38"/>
      <c r="C10" s="98"/>
      <c r="D10" s="62"/>
      <c r="E10" s="95"/>
      <c r="F10" s="263"/>
      <c r="G10" s="111"/>
      <c r="H10" s="97"/>
      <c r="I10" s="97"/>
      <c r="J10" s="62"/>
      <c r="K10" s="62"/>
      <c r="L10" s="63"/>
      <c r="M10" s="1077"/>
      <c r="O10" s="2072"/>
      <c r="P10" s="2072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2073"/>
    </row>
    <row r="11" spans="1:34" s="39" customFormat="1" ht="24" customHeight="1">
      <c r="A11" s="38"/>
      <c r="B11" s="38"/>
      <c r="C11" s="98"/>
      <c r="D11" s="62"/>
      <c r="E11" s="95"/>
      <c r="F11" s="263"/>
      <c r="G11" s="111"/>
      <c r="H11" s="97"/>
      <c r="I11" s="97"/>
      <c r="J11" s="62"/>
      <c r="K11" s="62"/>
      <c r="L11" s="63"/>
      <c r="M11" s="1077"/>
      <c r="O11" s="2072"/>
      <c r="P11" s="2072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2073"/>
    </row>
    <row r="12" spans="1:34" s="39" customFormat="1" ht="24" customHeight="1">
      <c r="A12" s="38"/>
      <c r="B12" s="38"/>
      <c r="C12" s="98"/>
      <c r="D12" s="62"/>
      <c r="E12" s="95"/>
      <c r="F12" s="263"/>
      <c r="G12" s="111"/>
      <c r="H12" s="97"/>
      <c r="I12" s="97"/>
      <c r="J12" s="62"/>
      <c r="K12" s="62"/>
      <c r="L12" s="63"/>
      <c r="M12" s="1077"/>
      <c r="O12" s="2072"/>
      <c r="P12" s="2072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2073"/>
    </row>
    <row r="13" spans="1:34" s="39" customFormat="1" ht="24" customHeight="1">
      <c r="A13" s="38"/>
      <c r="B13" s="38"/>
      <c r="C13" s="98"/>
      <c r="D13" s="62"/>
      <c r="E13" s="95"/>
      <c r="F13" s="263"/>
      <c r="G13" s="111"/>
      <c r="H13" s="97"/>
      <c r="I13" s="97"/>
      <c r="J13" s="62"/>
      <c r="K13" s="62"/>
      <c r="L13" s="63"/>
      <c r="M13" s="1077"/>
      <c r="O13" s="2072"/>
      <c r="P13" s="2072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2073"/>
    </row>
    <row r="14" spans="1:34" s="39" customFormat="1" ht="24" customHeight="1">
      <c r="A14" s="38"/>
      <c r="B14" s="38"/>
      <c r="C14" s="98"/>
      <c r="D14" s="62"/>
      <c r="E14" s="95"/>
      <c r="F14" s="263"/>
      <c r="G14" s="111"/>
      <c r="H14" s="97"/>
      <c r="I14" s="97"/>
      <c r="J14" s="62"/>
      <c r="K14" s="62"/>
      <c r="L14" s="63"/>
      <c r="M14" s="1077"/>
      <c r="O14" s="2072"/>
      <c r="P14" s="2072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2073"/>
    </row>
    <row r="15" spans="1:34" s="39" customFormat="1" ht="24" customHeight="1">
      <c r="A15" s="38"/>
      <c r="B15" s="38"/>
      <c r="C15" s="98"/>
      <c r="D15" s="62"/>
      <c r="E15" s="95"/>
      <c r="F15" s="263"/>
      <c r="G15" s="111"/>
      <c r="H15" s="97"/>
      <c r="I15" s="97"/>
      <c r="J15" s="62"/>
      <c r="K15" s="62"/>
      <c r="L15" s="63"/>
      <c r="M15" s="1077"/>
      <c r="O15" s="2072"/>
      <c r="P15" s="2072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2073"/>
    </row>
    <row r="16" spans="1:34" s="39" customFormat="1" ht="24" customHeight="1">
      <c r="A16" s="38"/>
      <c r="B16" s="38"/>
      <c r="C16" s="98"/>
      <c r="D16" s="62" t="s">
        <v>47</v>
      </c>
      <c r="E16" s="95"/>
      <c r="F16" s="263"/>
      <c r="G16" s="111"/>
      <c r="H16" s="97"/>
      <c r="I16" s="97">
        <f>SUM(I7:I15)</f>
        <v>0</v>
      </c>
      <c r="J16" s="566" t="str">
        <f>IF(COUNTIF(N:N,"費用")=0,"","うち費用")</f>
        <v/>
      </c>
      <c r="K16" s="567" t="str">
        <f>IF(COUNTIF(N:N,"費用")=0,"",SUMIF(N:N,"費用",I:I))</f>
        <v/>
      </c>
      <c r="L16" s="63"/>
      <c r="M16" s="1077" t="s">
        <v>2371</v>
      </c>
      <c r="O16" s="2072"/>
      <c r="P16" s="2072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2073"/>
    </row>
    <row r="17" spans="1:35" s="39" customFormat="1" ht="24" customHeight="1">
      <c r="A17" s="38"/>
      <c r="B17" s="38"/>
      <c r="C17" s="98"/>
      <c r="D17" s="112"/>
      <c r="E17" s="95"/>
      <c r="F17" s="263"/>
      <c r="G17" s="111"/>
      <c r="H17" s="97"/>
      <c r="I17" s="97"/>
      <c r="J17" s="62"/>
      <c r="K17" s="62"/>
      <c r="L17" s="63"/>
      <c r="M17" s="1077"/>
      <c r="O17" s="2072"/>
      <c r="P17" s="2072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2073"/>
    </row>
    <row r="18" spans="1:35" s="39" customFormat="1" ht="24" customHeight="1">
      <c r="A18" s="38"/>
      <c r="B18" s="38"/>
      <c r="C18" s="185" t="s">
        <v>142</v>
      </c>
      <c r="D18" s="62"/>
      <c r="E18" s="95"/>
      <c r="F18" s="263"/>
      <c r="G18" s="111"/>
      <c r="H18" s="97"/>
      <c r="I18" s="97"/>
      <c r="J18" s="62"/>
      <c r="K18" s="62"/>
      <c r="L18" s="63"/>
      <c r="M18" s="1077"/>
      <c r="O18" s="2072"/>
      <c r="P18" s="2072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2073"/>
    </row>
    <row r="19" spans="1:35" s="39" customFormat="1" ht="24" customHeight="1">
      <c r="A19" s="38"/>
      <c r="B19" s="38"/>
      <c r="C19" s="98"/>
      <c r="D19" s="62" t="s">
        <v>143</v>
      </c>
      <c r="E19" s="95"/>
      <c r="F19" s="263">
        <v>1</v>
      </c>
      <c r="G19" s="111" t="s">
        <v>2742</v>
      </c>
      <c r="H19" s="97"/>
      <c r="I19" s="97" t="e">
        <f>I47</f>
        <v>#VALUE!</v>
      </c>
      <c r="J19" s="62"/>
      <c r="K19" s="62"/>
      <c r="L19" s="63"/>
      <c r="M19" s="1077"/>
      <c r="O19" s="2072"/>
      <c r="P19" s="2072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2073"/>
    </row>
    <row r="20" spans="1:35" s="39" customFormat="1" ht="24" customHeight="1">
      <c r="A20" s="38"/>
      <c r="B20" s="38"/>
      <c r="C20" s="98"/>
      <c r="D20" s="1080" t="s">
        <v>2386</v>
      </c>
      <c r="E20" s="95"/>
      <c r="F20" s="263">
        <v>1</v>
      </c>
      <c r="G20" s="111" t="s">
        <v>2742</v>
      </c>
      <c r="H20" s="97"/>
      <c r="I20" s="1078" t="str">
        <f>IF(表紙!$V$12="初回",HLOOKUP($J$5,変更諸経費表!$3:$83,66,FALSE),IF(表紙!$V$12="２回目以降",HLOOKUP($J$5,'変更諸経費表 (第2回変更以降)'!$3:$83,66,FALSE),""))</f>
        <v/>
      </c>
      <c r="J20" s="1219"/>
      <c r="K20" s="1080"/>
      <c r="L20" s="63"/>
      <c r="M20" s="1077"/>
      <c r="O20" s="2072"/>
      <c r="P20" s="2072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2073"/>
    </row>
    <row r="21" spans="1:35" s="39" customFormat="1" ht="24" customHeight="1">
      <c r="A21" s="38"/>
      <c r="B21" s="38"/>
      <c r="C21" s="98"/>
      <c r="D21" s="1080" t="s">
        <v>2387</v>
      </c>
      <c r="E21" s="95"/>
      <c r="F21" s="263">
        <v>1</v>
      </c>
      <c r="G21" s="111" t="s">
        <v>2143</v>
      </c>
      <c r="H21" s="97"/>
      <c r="I21" s="1078" t="str">
        <f>IF(表紙!$V$12="初回",HLOOKUP($J$5,変更諸経費表!$3:$83,74,FALSE),IF(表紙!$V$12="２回目以降",HLOOKUP($J$5,'変更諸経費表 (第2回変更以降)'!$3:$83,74,FALSE),""))</f>
        <v/>
      </c>
      <c r="J21" s="1080"/>
      <c r="K21" s="1080"/>
      <c r="L21" s="63"/>
      <c r="M21" s="1077"/>
      <c r="O21" s="2072"/>
      <c r="P21" s="2072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2073"/>
    </row>
    <row r="22" spans="1:35" s="39" customFormat="1" ht="24" customHeight="1">
      <c r="A22" s="38"/>
      <c r="B22" s="38"/>
      <c r="C22" s="98"/>
      <c r="D22" s="1080" t="s">
        <v>2388</v>
      </c>
      <c r="E22" s="95"/>
      <c r="F22" s="263"/>
      <c r="G22" s="111"/>
      <c r="H22" s="97"/>
      <c r="I22" s="1078" t="e">
        <f>SUM(I19:I21)</f>
        <v>#VALUE!</v>
      </c>
      <c r="J22" s="1080"/>
      <c r="K22" s="1080"/>
      <c r="L22" s="63"/>
      <c r="M22" s="1077"/>
      <c r="O22" s="2072"/>
      <c r="P22" s="2072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2073"/>
    </row>
    <row r="23" spans="1:35" s="39" customFormat="1" ht="24" customHeight="1">
      <c r="A23" s="38"/>
      <c r="B23" s="38"/>
      <c r="C23" s="98"/>
      <c r="D23" s="1080" t="s">
        <v>2389</v>
      </c>
      <c r="E23" s="95"/>
      <c r="F23" s="263"/>
      <c r="G23" s="111"/>
      <c r="H23" s="97"/>
      <c r="I23" s="1078" t="e">
        <f>I16+I22</f>
        <v>#VALUE!</v>
      </c>
      <c r="J23" s="2067" t="s">
        <v>2944</v>
      </c>
      <c r="K23" s="2068" t="str">
        <f>IF(表紙!$V$12="初回",変更諸経費表!$G$4,IF(表紙!$V$12="２回目以降",'変更諸経費表 (第2回変更以降)'!$G$4,""))</f>
        <v/>
      </c>
      <c r="L23" s="2069" t="str">
        <f>IF(表紙!$V$12="初回",HLOOKUP($J$5,変更諸経費表!$3:$83,79,FALSE),IF(表紙!$V$12="２回目以降",HLOOKUP($J$5,'変更諸経費表 (第2回変更以降)'!$3:$83,79,FALSE),""))</f>
        <v/>
      </c>
      <c r="M23" s="1077"/>
      <c r="O23" s="2072"/>
      <c r="P23" s="2072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2073"/>
    </row>
    <row r="24" spans="1:35" ht="24" customHeight="1" thickBot="1">
      <c r="A24" s="38"/>
      <c r="B24" s="38"/>
      <c r="C24" s="99"/>
      <c r="D24" s="1081" t="s">
        <v>3140</v>
      </c>
      <c r="E24" s="100"/>
      <c r="F24" s="264"/>
      <c r="G24" s="114"/>
      <c r="H24" s="115"/>
      <c r="I24" s="1220" t="e">
        <f>IF(I23&lt;0,ROUNDUP(I23*K23,-3),ROUNDDOWN(I23*K23,-3))</f>
        <v>#VALUE!</v>
      </c>
      <c r="J24" s="1081" t="e">
        <f>IF(I24=L23,"","←ERROR")</f>
        <v>#VALUE!</v>
      </c>
      <c r="K24" s="1221"/>
      <c r="L24" s="116"/>
      <c r="M24" s="1085" t="s">
        <v>2746</v>
      </c>
      <c r="O24" s="2072"/>
      <c r="P24" s="2072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216"/>
    </row>
    <row r="25" spans="1:35" ht="14.25" customHeight="1">
      <c r="E25" s="117" t="s">
        <v>84</v>
      </c>
      <c r="F25" s="118">
        <f>+F2+1</f>
        <v>1</v>
      </c>
      <c r="G25" s="119" t="s">
        <v>48</v>
      </c>
      <c r="H25" s="120">
        <f>H2</f>
        <v>7</v>
      </c>
      <c r="M25" s="1086" t="str">
        <f>IF(A27="","EOL","")</f>
        <v/>
      </c>
      <c r="N25" s="1">
        <f>+F25</f>
        <v>1</v>
      </c>
    </row>
    <row r="26" spans="1:35" ht="26.25" customHeight="1" thickBot="1">
      <c r="C26" s="2224" t="s">
        <v>3135</v>
      </c>
      <c r="D26" s="2224"/>
      <c r="E26" s="2224"/>
      <c r="F26" s="2224"/>
      <c r="G26" s="2224"/>
      <c r="H26" s="2224"/>
      <c r="I26" s="2224"/>
      <c r="J26" s="2224"/>
      <c r="K26" s="2224"/>
      <c r="L26" s="2224"/>
      <c r="O26" s="2228" t="s">
        <v>129</v>
      </c>
      <c r="P26" s="2228"/>
      <c r="Q26" s="2228"/>
      <c r="R26" s="2228"/>
      <c r="S26" s="2228"/>
      <c r="T26" s="2228"/>
      <c r="U26" s="2228"/>
      <c r="V26" s="2228"/>
      <c r="W26" s="2228"/>
      <c r="X26" s="2228"/>
      <c r="Y26" s="2228"/>
      <c r="Z26" s="2228"/>
      <c r="AA26" s="2228"/>
      <c r="AB26" s="2228"/>
      <c r="AC26" s="2228"/>
      <c r="AD26" s="2228"/>
      <c r="AE26" s="2228"/>
      <c r="AF26" s="2228"/>
      <c r="AG26" s="2228"/>
      <c r="AH26" s="2229"/>
    </row>
    <row r="27" spans="1:35" ht="42" customHeight="1">
      <c r="A27" s="5" t="s">
        <v>10</v>
      </c>
      <c r="B27" s="5" t="s">
        <v>2741</v>
      </c>
      <c r="C27" s="106" t="s">
        <v>2740</v>
      </c>
      <c r="D27" s="102"/>
      <c r="E27" s="103" t="s">
        <v>2739</v>
      </c>
      <c r="F27" s="104" t="s">
        <v>2738</v>
      </c>
      <c r="G27" s="104" t="s">
        <v>2737</v>
      </c>
      <c r="H27" s="105" t="s">
        <v>2736</v>
      </c>
      <c r="I27" s="105" t="s">
        <v>2735</v>
      </c>
      <c r="J27" s="2239" t="s">
        <v>2734</v>
      </c>
      <c r="K27" s="2240"/>
      <c r="L27" s="2241"/>
      <c r="M27" s="1079"/>
      <c r="N27" s="565"/>
      <c r="O27" s="148" t="s">
        <v>66</v>
      </c>
      <c r="P27" s="359" t="s">
        <v>259</v>
      </c>
      <c r="Q27" s="265" t="s">
        <v>299</v>
      </c>
      <c r="R27" s="265" t="s">
        <v>208</v>
      </c>
      <c r="S27" s="265" t="s">
        <v>209</v>
      </c>
      <c r="T27" s="265" t="s">
        <v>260</v>
      </c>
      <c r="U27" s="265" t="s">
        <v>123</v>
      </c>
      <c r="V27" s="147" t="s">
        <v>122</v>
      </c>
      <c r="W27" s="265" t="s">
        <v>261</v>
      </c>
      <c r="X27" s="214" t="s">
        <v>210</v>
      </c>
      <c r="Y27" s="214" t="s">
        <v>211</v>
      </c>
      <c r="Z27" s="214" t="s">
        <v>212</v>
      </c>
      <c r="AA27" s="214" t="s">
        <v>2733</v>
      </c>
      <c r="AB27" s="214" t="s">
        <v>262</v>
      </c>
      <c r="AC27" s="426" t="s">
        <v>308</v>
      </c>
      <c r="AD27" s="427" t="s">
        <v>309</v>
      </c>
      <c r="AE27" s="428" t="s">
        <v>125</v>
      </c>
      <c r="AF27" s="146" t="s">
        <v>128</v>
      </c>
      <c r="AG27" s="146" t="s">
        <v>126</v>
      </c>
      <c r="AH27" s="146" t="s">
        <v>127</v>
      </c>
    </row>
    <row r="28" spans="1:35" ht="24" customHeight="1">
      <c r="A28" s="38"/>
      <c r="B28" s="38"/>
      <c r="C28" s="125" t="s">
        <v>144</v>
      </c>
      <c r="D28" s="1082"/>
      <c r="E28" s="93"/>
      <c r="F28" s="262"/>
      <c r="G28" s="129"/>
      <c r="H28" s="88" t="s">
        <v>11</v>
      </c>
      <c r="I28" s="88" t="s">
        <v>11</v>
      </c>
      <c r="J28" s="2233" t="str">
        <f ca="1">RIGHT(CELL("filename",$A$1),LEN(CELL("filename",$A$1))-FIND("]",CELL("filename",$A$1)))</f>
        <v>新規シート</v>
      </c>
      <c r="K28" s="2234"/>
      <c r="L28" s="2235"/>
      <c r="O28" s="217"/>
      <c r="P28" s="218"/>
      <c r="Q28" s="219"/>
      <c r="R28" s="219"/>
      <c r="S28" s="219"/>
      <c r="T28" s="219"/>
      <c r="U28" s="219"/>
      <c r="V28" s="219"/>
      <c r="W28" s="219"/>
      <c r="X28" s="220"/>
      <c r="Y28" s="220"/>
      <c r="Z28" s="220"/>
      <c r="AA28" s="220"/>
      <c r="AB28" s="220"/>
      <c r="AC28" s="219"/>
      <c r="AD28" s="429"/>
      <c r="AE28" s="430"/>
      <c r="AF28" s="219"/>
      <c r="AG28" s="219"/>
      <c r="AH28" s="431"/>
    </row>
    <row r="29" spans="1:35" s="39" customFormat="1" ht="24" customHeight="1">
      <c r="A29" s="38"/>
      <c r="B29" s="38"/>
      <c r="C29" s="98"/>
      <c r="D29" s="62" t="s">
        <v>2144</v>
      </c>
      <c r="E29" s="95"/>
      <c r="F29" s="263"/>
      <c r="G29" s="111"/>
      <c r="H29" s="130"/>
      <c r="I29" s="97" t="str">
        <f t="shared" ref="I29:I46" si="0">IF(F29="","",INT(F29*H29))</f>
        <v/>
      </c>
      <c r="J29" s="62"/>
      <c r="K29" s="62"/>
      <c r="L29" s="63"/>
      <c r="M29" s="1077"/>
      <c r="O29" s="217"/>
      <c r="P29" s="218"/>
      <c r="Q29" s="219"/>
      <c r="R29" s="219"/>
      <c r="S29" s="219"/>
      <c r="T29" s="219"/>
      <c r="U29" s="219"/>
      <c r="V29" s="219"/>
      <c r="W29" s="219"/>
      <c r="X29" s="220"/>
      <c r="Y29" s="220"/>
      <c r="Z29" s="220"/>
      <c r="AA29" s="220"/>
      <c r="AB29" s="220"/>
      <c r="AC29" s="219"/>
      <c r="AD29" s="429"/>
      <c r="AE29" s="430"/>
      <c r="AF29" s="219"/>
      <c r="AG29" s="219"/>
      <c r="AH29" s="207"/>
      <c r="AI29" s="548"/>
    </row>
    <row r="30" spans="1:35" s="39" customFormat="1" ht="24" customHeight="1">
      <c r="A30" s="38"/>
      <c r="B30" s="38"/>
      <c r="C30" s="98"/>
      <c r="D30" s="62" t="s">
        <v>2141</v>
      </c>
      <c r="E30" s="95"/>
      <c r="F30" s="263">
        <v>1</v>
      </c>
      <c r="G30" s="111" t="s">
        <v>2142</v>
      </c>
      <c r="H30" s="1222" t="str">
        <f>IF(表紙!$V$12="初回",HLOOKUP($J$5,変更諸経費表!$3:$83,21,FALSE),IF(表紙!$V$12="２回目以降",HLOOKUP($J$5,'変更諸経費表 (第2回変更以降)'!$3:$83,21,FALSE),""))</f>
        <v/>
      </c>
      <c r="I30" s="97" t="e">
        <f t="shared" si="0"/>
        <v>#VALUE!</v>
      </c>
      <c r="J30" s="62"/>
      <c r="K30" s="62"/>
      <c r="L30" s="63"/>
      <c r="M30" s="1077"/>
      <c r="O30" s="217"/>
      <c r="P30" s="218"/>
      <c r="Q30" s="219"/>
      <c r="R30" s="219"/>
      <c r="S30" s="219"/>
      <c r="T30" s="219"/>
      <c r="U30" s="219"/>
      <c r="V30" s="219"/>
      <c r="W30" s="219"/>
      <c r="X30" s="220"/>
      <c r="Y30" s="220"/>
      <c r="Z30" s="220"/>
      <c r="AA30" s="220"/>
      <c r="AB30" s="220"/>
      <c r="AC30" s="219"/>
      <c r="AD30" s="429"/>
      <c r="AE30" s="430"/>
      <c r="AF30" s="219"/>
      <c r="AG30" s="219"/>
      <c r="AH30" s="207"/>
      <c r="AI30" s="548"/>
    </row>
    <row r="31" spans="1:35" s="39" customFormat="1" ht="24" customHeight="1">
      <c r="A31" s="38"/>
      <c r="B31" s="38"/>
      <c r="C31" s="98"/>
      <c r="D31" s="62"/>
      <c r="E31" s="95"/>
      <c r="F31" s="263"/>
      <c r="G31" s="111"/>
      <c r="H31" s="130"/>
      <c r="I31" s="97" t="str">
        <f t="shared" si="0"/>
        <v/>
      </c>
      <c r="J31" s="62"/>
      <c r="K31" s="62"/>
      <c r="L31" s="63"/>
      <c r="M31" s="1077"/>
      <c r="O31" s="217"/>
      <c r="P31" s="218"/>
      <c r="Q31" s="219"/>
      <c r="R31" s="219"/>
      <c r="S31" s="219"/>
      <c r="T31" s="219"/>
      <c r="U31" s="219"/>
      <c r="V31" s="219"/>
      <c r="W31" s="219"/>
      <c r="X31" s="220"/>
      <c r="Y31" s="220"/>
      <c r="Z31" s="220"/>
      <c r="AA31" s="220"/>
      <c r="AB31" s="220"/>
      <c r="AC31" s="219"/>
      <c r="AD31" s="429"/>
      <c r="AE31" s="430"/>
      <c r="AF31" s="219"/>
      <c r="AG31" s="219"/>
      <c r="AH31" s="207"/>
      <c r="AI31" s="548"/>
    </row>
    <row r="32" spans="1:35" s="39" customFormat="1" ht="24" customHeight="1">
      <c r="A32" s="38"/>
      <c r="B32" s="38"/>
      <c r="C32" s="549"/>
      <c r="D32" s="550" t="s">
        <v>2145</v>
      </c>
      <c r="E32" s="551"/>
      <c r="F32" s="552"/>
      <c r="G32" s="553"/>
      <c r="H32" s="554"/>
      <c r="I32" s="555" t="e">
        <f>SUM(I30:I31)</f>
        <v>#VALUE!</v>
      </c>
      <c r="J32" s="550"/>
      <c r="K32" s="550"/>
      <c r="L32" s="556"/>
      <c r="M32" s="1077"/>
      <c r="O32" s="217"/>
      <c r="P32" s="218"/>
      <c r="Q32" s="219"/>
      <c r="R32" s="219"/>
      <c r="S32" s="219"/>
      <c r="T32" s="219"/>
      <c r="U32" s="219"/>
      <c r="V32" s="219"/>
      <c r="W32" s="219"/>
      <c r="X32" s="220"/>
      <c r="Y32" s="220"/>
      <c r="Z32" s="220"/>
      <c r="AA32" s="220"/>
      <c r="AB32" s="220"/>
      <c r="AC32" s="219"/>
      <c r="AD32" s="429"/>
      <c r="AE32" s="430"/>
      <c r="AF32" s="219"/>
      <c r="AG32" s="219"/>
      <c r="AH32" s="207"/>
      <c r="AI32" s="548"/>
    </row>
    <row r="33" spans="1:35" s="39" customFormat="1" ht="24" customHeight="1">
      <c r="A33" s="38"/>
      <c r="B33" s="38"/>
      <c r="C33" s="557"/>
      <c r="D33" s="92"/>
      <c r="E33" s="93"/>
      <c r="F33" s="558"/>
      <c r="G33" s="129"/>
      <c r="H33" s="559"/>
      <c r="I33" s="560" t="str">
        <f t="shared" si="0"/>
        <v/>
      </c>
      <c r="J33" s="92"/>
      <c r="K33" s="92"/>
      <c r="L33" s="561"/>
      <c r="M33" s="1077"/>
      <c r="O33" s="217"/>
      <c r="P33" s="218"/>
      <c r="Q33" s="219"/>
      <c r="R33" s="219"/>
      <c r="S33" s="219"/>
      <c r="T33" s="219"/>
      <c r="U33" s="219"/>
      <c r="V33" s="219"/>
      <c r="W33" s="219"/>
      <c r="X33" s="220"/>
      <c r="Y33" s="220"/>
      <c r="Z33" s="220"/>
      <c r="AA33" s="220"/>
      <c r="AB33" s="220"/>
      <c r="AC33" s="219"/>
      <c r="AD33" s="429"/>
      <c r="AE33" s="430"/>
      <c r="AF33" s="219"/>
      <c r="AG33" s="219"/>
      <c r="AH33" s="207"/>
      <c r="AI33" s="548"/>
    </row>
    <row r="34" spans="1:35" s="39" customFormat="1" ht="24" customHeight="1">
      <c r="A34" s="38"/>
      <c r="B34" s="38"/>
      <c r="C34" s="98"/>
      <c r="D34" s="62" t="s">
        <v>2146</v>
      </c>
      <c r="E34" s="95"/>
      <c r="F34" s="263"/>
      <c r="G34" s="111"/>
      <c r="H34" s="130"/>
      <c r="I34" s="97" t="str">
        <f t="shared" si="0"/>
        <v/>
      </c>
      <c r="J34" s="62"/>
      <c r="K34" s="62"/>
      <c r="L34" s="63"/>
      <c r="M34" s="1077"/>
      <c r="O34" s="217"/>
      <c r="P34" s="218"/>
      <c r="Q34" s="219"/>
      <c r="R34" s="219"/>
      <c r="S34" s="219"/>
      <c r="T34" s="219"/>
      <c r="U34" s="219"/>
      <c r="V34" s="219"/>
      <c r="W34" s="219"/>
      <c r="X34" s="220"/>
      <c r="Y34" s="220"/>
      <c r="Z34" s="220"/>
      <c r="AA34" s="220"/>
      <c r="AB34" s="220"/>
      <c r="AC34" s="219"/>
      <c r="AD34" s="429"/>
      <c r="AE34" s="430"/>
      <c r="AF34" s="219"/>
      <c r="AG34" s="219"/>
      <c r="AH34" s="207"/>
      <c r="AI34" s="548"/>
    </row>
    <row r="35" spans="1:35" s="39" customFormat="1" ht="24" customHeight="1">
      <c r="A35" s="38"/>
      <c r="B35" s="38"/>
      <c r="C35" s="98"/>
      <c r="D35" s="62" t="s">
        <v>2147</v>
      </c>
      <c r="E35" s="95"/>
      <c r="F35" s="263">
        <v>1</v>
      </c>
      <c r="G35" s="111" t="s">
        <v>2742</v>
      </c>
      <c r="H35" s="130"/>
      <c r="I35" s="97">
        <f t="shared" si="0"/>
        <v>0</v>
      </c>
      <c r="J35" s="62"/>
      <c r="K35" s="62"/>
      <c r="L35" s="63"/>
      <c r="M35" s="1077"/>
      <c r="O35" s="217"/>
      <c r="P35" s="218"/>
      <c r="Q35" s="219"/>
      <c r="R35" s="219"/>
      <c r="S35" s="219"/>
      <c r="T35" s="219"/>
      <c r="U35" s="219"/>
      <c r="V35" s="219"/>
      <c r="W35" s="219"/>
      <c r="X35" s="220"/>
      <c r="Y35" s="220"/>
      <c r="Z35" s="220"/>
      <c r="AA35" s="220"/>
      <c r="AB35" s="220"/>
      <c r="AC35" s="219"/>
      <c r="AD35" s="429"/>
      <c r="AE35" s="430"/>
      <c r="AF35" s="219"/>
      <c r="AG35" s="219"/>
      <c r="AH35" s="207"/>
      <c r="AI35" s="548"/>
    </row>
    <row r="36" spans="1:35" s="39" customFormat="1" ht="24" customHeight="1">
      <c r="A36" s="38"/>
      <c r="B36" s="38"/>
      <c r="C36" s="98"/>
      <c r="D36" s="62" t="s">
        <v>2148</v>
      </c>
      <c r="E36" s="95"/>
      <c r="F36" s="263">
        <v>1</v>
      </c>
      <c r="G36" s="111" t="s">
        <v>2742</v>
      </c>
      <c r="H36" s="130"/>
      <c r="I36" s="97">
        <f t="shared" si="0"/>
        <v>0</v>
      </c>
      <c r="J36" s="62"/>
      <c r="K36" s="62"/>
      <c r="L36" s="63"/>
      <c r="M36" s="1077"/>
      <c r="O36" s="217"/>
      <c r="P36" s="218"/>
      <c r="Q36" s="219"/>
      <c r="R36" s="219"/>
      <c r="S36" s="219"/>
      <c r="T36" s="219"/>
      <c r="U36" s="219"/>
      <c r="V36" s="219"/>
      <c r="W36" s="219"/>
      <c r="X36" s="220"/>
      <c r="Y36" s="220"/>
      <c r="Z36" s="220"/>
      <c r="AA36" s="220"/>
      <c r="AB36" s="220"/>
      <c r="AC36" s="219"/>
      <c r="AD36" s="429"/>
      <c r="AE36" s="430"/>
      <c r="AF36" s="219"/>
      <c r="AG36" s="219"/>
      <c r="AH36" s="207"/>
      <c r="AI36" s="548"/>
    </row>
    <row r="37" spans="1:35" s="39" customFormat="1" ht="24" customHeight="1">
      <c r="A37" s="38"/>
      <c r="B37" s="38"/>
      <c r="C37" s="98"/>
      <c r="D37" s="62" t="s">
        <v>2149</v>
      </c>
      <c r="E37" s="95"/>
      <c r="F37" s="263">
        <v>1</v>
      </c>
      <c r="G37" s="111" t="s">
        <v>2742</v>
      </c>
      <c r="H37" s="130"/>
      <c r="I37" s="97">
        <f t="shared" si="0"/>
        <v>0</v>
      </c>
      <c r="J37" s="62"/>
      <c r="K37" s="62"/>
      <c r="L37" s="63"/>
      <c r="M37" s="1077"/>
      <c r="O37" s="217"/>
      <c r="P37" s="218"/>
      <c r="Q37" s="219"/>
      <c r="R37" s="219"/>
      <c r="S37" s="219"/>
      <c r="T37" s="219"/>
      <c r="U37" s="219"/>
      <c r="V37" s="219"/>
      <c r="W37" s="219"/>
      <c r="X37" s="220"/>
      <c r="Y37" s="220"/>
      <c r="Z37" s="220"/>
      <c r="AA37" s="220"/>
      <c r="AB37" s="220"/>
      <c r="AC37" s="219"/>
      <c r="AD37" s="429"/>
      <c r="AE37" s="430"/>
      <c r="AF37" s="219"/>
      <c r="AG37" s="219"/>
      <c r="AH37" s="207"/>
      <c r="AI37" s="548"/>
    </row>
    <row r="38" spans="1:35" s="39" customFormat="1" ht="24" customHeight="1">
      <c r="A38" s="38"/>
      <c r="B38" s="38"/>
      <c r="C38" s="98"/>
      <c r="D38" s="62" t="s">
        <v>2150</v>
      </c>
      <c r="E38" s="95"/>
      <c r="F38" s="263">
        <v>1</v>
      </c>
      <c r="G38" s="111" t="s">
        <v>2742</v>
      </c>
      <c r="H38" s="130"/>
      <c r="I38" s="97">
        <f t="shared" si="0"/>
        <v>0</v>
      </c>
      <c r="J38" s="62"/>
      <c r="K38" s="62"/>
      <c r="L38" s="63"/>
      <c r="M38" s="1077"/>
      <c r="O38" s="217"/>
      <c r="P38" s="218"/>
      <c r="Q38" s="219"/>
      <c r="R38" s="219"/>
      <c r="S38" s="219"/>
      <c r="T38" s="219"/>
      <c r="U38" s="219"/>
      <c r="V38" s="219"/>
      <c r="W38" s="219"/>
      <c r="X38" s="220"/>
      <c r="Y38" s="220"/>
      <c r="Z38" s="220"/>
      <c r="AA38" s="220"/>
      <c r="AB38" s="220"/>
      <c r="AC38" s="219"/>
      <c r="AD38" s="429"/>
      <c r="AE38" s="430"/>
      <c r="AF38" s="219"/>
      <c r="AG38" s="219"/>
      <c r="AH38" s="207"/>
      <c r="AI38" s="548"/>
    </row>
    <row r="39" spans="1:35" s="39" customFormat="1" ht="24" customHeight="1">
      <c r="A39" s="38"/>
      <c r="B39" s="38"/>
      <c r="C39" s="98"/>
      <c r="D39" s="62" t="s">
        <v>2151</v>
      </c>
      <c r="E39" s="95"/>
      <c r="F39" s="263">
        <v>1</v>
      </c>
      <c r="G39" s="111" t="s">
        <v>2742</v>
      </c>
      <c r="H39" s="130"/>
      <c r="I39" s="97">
        <f t="shared" si="0"/>
        <v>0</v>
      </c>
      <c r="J39" s="62"/>
      <c r="K39" s="62"/>
      <c r="L39" s="63"/>
      <c r="M39" s="1077"/>
      <c r="O39" s="217"/>
      <c r="P39" s="218"/>
      <c r="Q39" s="219"/>
      <c r="R39" s="219"/>
      <c r="S39" s="219"/>
      <c r="T39" s="219"/>
      <c r="U39" s="219"/>
      <c r="V39" s="219"/>
      <c r="W39" s="219"/>
      <c r="X39" s="220"/>
      <c r="Y39" s="220"/>
      <c r="Z39" s="220"/>
      <c r="AA39" s="220"/>
      <c r="AB39" s="220"/>
      <c r="AC39" s="219"/>
      <c r="AD39" s="429"/>
      <c r="AE39" s="430"/>
      <c r="AF39" s="219"/>
      <c r="AG39" s="219"/>
      <c r="AH39" s="207"/>
      <c r="AI39" s="548"/>
    </row>
    <row r="40" spans="1:35" s="39" customFormat="1" ht="24" customHeight="1">
      <c r="A40" s="38"/>
      <c r="B40" s="38"/>
      <c r="C40" s="98"/>
      <c r="D40" s="62" t="s">
        <v>2152</v>
      </c>
      <c r="E40" s="95"/>
      <c r="F40" s="263">
        <v>1</v>
      </c>
      <c r="G40" s="111" t="s">
        <v>2742</v>
      </c>
      <c r="H40" s="130"/>
      <c r="I40" s="97">
        <f t="shared" si="0"/>
        <v>0</v>
      </c>
      <c r="J40" s="62"/>
      <c r="K40" s="62"/>
      <c r="L40" s="63"/>
      <c r="M40" s="1077"/>
      <c r="O40" s="217"/>
      <c r="P40" s="218"/>
      <c r="Q40" s="219"/>
      <c r="R40" s="219"/>
      <c r="S40" s="219"/>
      <c r="T40" s="219"/>
      <c r="U40" s="219"/>
      <c r="V40" s="219"/>
      <c r="W40" s="219"/>
      <c r="X40" s="220"/>
      <c r="Y40" s="220"/>
      <c r="Z40" s="220"/>
      <c r="AA40" s="220"/>
      <c r="AB40" s="220"/>
      <c r="AC40" s="219"/>
      <c r="AD40" s="429"/>
      <c r="AE40" s="430"/>
      <c r="AF40" s="219"/>
      <c r="AG40" s="219"/>
      <c r="AH40" s="207"/>
      <c r="AI40" s="548"/>
    </row>
    <row r="41" spans="1:35" s="39" customFormat="1" ht="24" customHeight="1">
      <c r="A41" s="38"/>
      <c r="B41" s="38"/>
      <c r="C41" s="98"/>
      <c r="D41" s="62" t="s">
        <v>2153</v>
      </c>
      <c r="E41" s="95"/>
      <c r="F41" s="263">
        <v>1</v>
      </c>
      <c r="G41" s="111" t="s">
        <v>2742</v>
      </c>
      <c r="H41" s="130"/>
      <c r="I41" s="97">
        <f t="shared" si="0"/>
        <v>0</v>
      </c>
      <c r="J41" s="62"/>
      <c r="K41" s="62"/>
      <c r="L41" s="63"/>
      <c r="M41" s="1077"/>
      <c r="O41" s="217"/>
      <c r="P41" s="218"/>
      <c r="Q41" s="219"/>
      <c r="R41" s="219"/>
      <c r="S41" s="219"/>
      <c r="T41" s="219"/>
      <c r="U41" s="219"/>
      <c r="V41" s="219"/>
      <c r="W41" s="219"/>
      <c r="X41" s="220"/>
      <c r="Y41" s="220"/>
      <c r="Z41" s="220"/>
      <c r="AA41" s="220"/>
      <c r="AB41" s="220"/>
      <c r="AC41" s="219"/>
      <c r="AD41" s="429"/>
      <c r="AE41" s="430"/>
      <c r="AF41" s="219"/>
      <c r="AG41" s="219"/>
      <c r="AH41" s="207"/>
      <c r="AI41" s="548"/>
    </row>
    <row r="42" spans="1:35" s="39" customFormat="1" ht="24" customHeight="1">
      <c r="A42" s="38"/>
      <c r="B42" s="38"/>
      <c r="C42" s="98"/>
      <c r="D42" s="62" t="s">
        <v>2154</v>
      </c>
      <c r="E42" s="95"/>
      <c r="F42" s="263">
        <v>1</v>
      </c>
      <c r="G42" s="111" t="s">
        <v>2742</v>
      </c>
      <c r="H42" s="130"/>
      <c r="I42" s="97">
        <f t="shared" si="0"/>
        <v>0</v>
      </c>
      <c r="J42" s="62"/>
      <c r="K42" s="62"/>
      <c r="L42" s="63"/>
      <c r="M42" s="1077"/>
      <c r="O42" s="217"/>
      <c r="P42" s="218"/>
      <c r="Q42" s="219"/>
      <c r="R42" s="219"/>
      <c r="S42" s="219"/>
      <c r="T42" s="219"/>
      <c r="U42" s="219"/>
      <c r="V42" s="219"/>
      <c r="W42" s="219"/>
      <c r="X42" s="220"/>
      <c r="Y42" s="220"/>
      <c r="Z42" s="220"/>
      <c r="AA42" s="220"/>
      <c r="AB42" s="220"/>
      <c r="AC42" s="219"/>
      <c r="AD42" s="429"/>
      <c r="AE42" s="430"/>
      <c r="AF42" s="219"/>
      <c r="AG42" s="219"/>
      <c r="AH42" s="207"/>
      <c r="AI42" s="548"/>
    </row>
    <row r="43" spans="1:35" s="39" customFormat="1" ht="24" customHeight="1">
      <c r="A43" s="38"/>
      <c r="B43" s="38"/>
      <c r="C43" s="98"/>
      <c r="D43" s="62" t="s">
        <v>2155</v>
      </c>
      <c r="E43" s="95"/>
      <c r="F43" s="263">
        <v>1</v>
      </c>
      <c r="G43" s="111" t="s">
        <v>2742</v>
      </c>
      <c r="H43" s="130"/>
      <c r="I43" s="97">
        <f t="shared" si="0"/>
        <v>0</v>
      </c>
      <c r="J43" s="62"/>
      <c r="K43" s="62"/>
      <c r="L43" s="63"/>
      <c r="M43" s="1077"/>
      <c r="O43" s="217"/>
      <c r="P43" s="218"/>
      <c r="Q43" s="219"/>
      <c r="R43" s="219"/>
      <c r="S43" s="219"/>
      <c r="T43" s="219"/>
      <c r="U43" s="219"/>
      <c r="V43" s="219"/>
      <c r="W43" s="219"/>
      <c r="X43" s="220"/>
      <c r="Y43" s="220"/>
      <c r="Z43" s="220"/>
      <c r="AA43" s="220"/>
      <c r="AB43" s="220"/>
      <c r="AC43" s="219"/>
      <c r="AD43" s="429"/>
      <c r="AE43" s="430"/>
      <c r="AF43" s="219"/>
      <c r="AG43" s="219"/>
      <c r="AH43" s="207"/>
      <c r="AI43" s="548"/>
    </row>
    <row r="44" spans="1:35" s="39" customFormat="1" ht="24" customHeight="1">
      <c r="A44" s="38"/>
      <c r="B44" s="38"/>
      <c r="C44" s="98"/>
      <c r="D44" s="62"/>
      <c r="E44" s="95"/>
      <c r="F44" s="263"/>
      <c r="G44" s="111"/>
      <c r="H44" s="130"/>
      <c r="I44" s="97" t="str">
        <f t="shared" si="0"/>
        <v/>
      </c>
      <c r="J44" s="62"/>
      <c r="K44" s="62"/>
      <c r="L44" s="63"/>
      <c r="M44" s="1077"/>
      <c r="O44" s="217"/>
      <c r="P44" s="218"/>
      <c r="Q44" s="219"/>
      <c r="R44" s="219"/>
      <c r="S44" s="219"/>
      <c r="T44" s="219"/>
      <c r="U44" s="219"/>
      <c r="V44" s="219"/>
      <c r="W44" s="219"/>
      <c r="X44" s="220"/>
      <c r="Y44" s="220"/>
      <c r="Z44" s="220"/>
      <c r="AA44" s="220"/>
      <c r="AB44" s="220"/>
      <c r="AC44" s="219"/>
      <c r="AD44" s="429"/>
      <c r="AE44" s="430"/>
      <c r="AF44" s="219"/>
      <c r="AG44" s="219"/>
      <c r="AH44" s="207"/>
      <c r="AI44" s="548"/>
    </row>
    <row r="45" spans="1:35" s="39" customFormat="1" ht="24" customHeight="1">
      <c r="A45" s="38"/>
      <c r="B45" s="38"/>
      <c r="C45" s="562"/>
      <c r="D45" s="550" t="s">
        <v>2156</v>
      </c>
      <c r="E45" s="551"/>
      <c r="F45" s="552"/>
      <c r="G45" s="553"/>
      <c r="H45" s="554"/>
      <c r="I45" s="555">
        <f>SUM(I35:I44)</f>
        <v>0</v>
      </c>
      <c r="J45" s="550"/>
      <c r="K45" s="550"/>
      <c r="L45" s="556"/>
      <c r="M45" s="1079" t="s">
        <v>2743</v>
      </c>
      <c r="O45" s="217"/>
      <c r="P45" s="218"/>
      <c r="Q45" s="219"/>
      <c r="R45" s="219"/>
      <c r="S45" s="219"/>
      <c r="T45" s="219"/>
      <c r="U45" s="219"/>
      <c r="V45" s="219"/>
      <c r="W45" s="219"/>
      <c r="X45" s="220"/>
      <c r="Y45" s="220"/>
      <c r="Z45" s="220"/>
      <c r="AA45" s="220"/>
      <c r="AB45" s="220"/>
      <c r="AC45" s="219"/>
      <c r="AD45" s="429"/>
      <c r="AE45" s="430"/>
      <c r="AF45" s="219"/>
      <c r="AG45" s="219"/>
      <c r="AH45" s="207"/>
      <c r="AI45" s="548"/>
    </row>
    <row r="46" spans="1:35" s="39" customFormat="1" ht="24" customHeight="1">
      <c r="A46" s="38"/>
      <c r="B46" s="38"/>
      <c r="C46" s="557"/>
      <c r="D46" s="92"/>
      <c r="E46" s="93"/>
      <c r="F46" s="558"/>
      <c r="G46" s="129"/>
      <c r="H46" s="559"/>
      <c r="I46" s="560" t="str">
        <f t="shared" si="0"/>
        <v/>
      </c>
      <c r="J46" s="92"/>
      <c r="K46" s="92"/>
      <c r="L46" s="561"/>
      <c r="M46" s="1077"/>
      <c r="O46" s="217"/>
      <c r="P46" s="218"/>
      <c r="Q46" s="219"/>
      <c r="R46" s="219"/>
      <c r="S46" s="219"/>
      <c r="T46" s="219"/>
      <c r="U46" s="219"/>
      <c r="V46" s="219"/>
      <c r="W46" s="219"/>
      <c r="X46" s="220"/>
      <c r="Y46" s="220"/>
      <c r="Z46" s="220"/>
      <c r="AA46" s="220"/>
      <c r="AB46" s="220"/>
      <c r="AC46" s="219"/>
      <c r="AD46" s="429"/>
      <c r="AE46" s="430"/>
      <c r="AF46" s="219"/>
      <c r="AG46" s="219"/>
      <c r="AH46" s="207"/>
      <c r="AI46" s="548"/>
    </row>
    <row r="47" spans="1:35" ht="24" customHeight="1" thickBot="1">
      <c r="A47" s="38"/>
      <c r="B47" s="38"/>
      <c r="C47" s="99"/>
      <c r="D47" s="89" t="s">
        <v>2732</v>
      </c>
      <c r="E47" s="100"/>
      <c r="F47" s="264"/>
      <c r="G47" s="114"/>
      <c r="H47" s="124" t="s">
        <v>69</v>
      </c>
      <c r="I47" s="101" t="e">
        <f>I32+I45</f>
        <v>#VALUE!</v>
      </c>
      <c r="J47" s="1081" t="s">
        <v>2890</v>
      </c>
      <c r="K47" s="1189"/>
      <c r="L47" s="1190"/>
      <c r="M47" s="1087"/>
      <c r="O47" s="217"/>
      <c r="P47" s="218"/>
      <c r="Q47" s="219"/>
      <c r="R47" s="219"/>
      <c r="S47" s="219"/>
      <c r="T47" s="219"/>
      <c r="U47" s="219"/>
      <c r="V47" s="219"/>
      <c r="W47" s="219"/>
      <c r="X47" s="220"/>
      <c r="Y47" s="220"/>
      <c r="Z47" s="220"/>
      <c r="AA47" s="220"/>
      <c r="AB47" s="220"/>
      <c r="AC47" s="219"/>
      <c r="AD47" s="429"/>
      <c r="AE47" s="430"/>
      <c r="AF47" s="219"/>
      <c r="AG47" s="219"/>
      <c r="AH47" s="431"/>
      <c r="AI47" s="548"/>
    </row>
    <row r="48" spans="1:35" ht="14.25" customHeight="1">
      <c r="E48" s="117" t="s">
        <v>84</v>
      </c>
      <c r="F48" s="118">
        <f>+F25+1</f>
        <v>2</v>
      </c>
      <c r="G48" s="119" t="s">
        <v>48</v>
      </c>
      <c r="H48" s="120">
        <f>+$H$25</f>
        <v>7</v>
      </c>
      <c r="I48" s="120"/>
      <c r="M48" s="1086" t="str">
        <f>IF(A50="","EOL","")</f>
        <v/>
      </c>
      <c r="N48" s="1">
        <f>+F48</f>
        <v>2</v>
      </c>
      <c r="O48" s="1"/>
      <c r="P48" s="1"/>
    </row>
    <row r="49" spans="1:34" ht="26.25" customHeight="1" thickBot="1">
      <c r="C49" s="2224" t="s">
        <v>3134</v>
      </c>
      <c r="D49" s="2224"/>
      <c r="E49" s="2224"/>
      <c r="F49" s="2224"/>
      <c r="G49" s="2224"/>
      <c r="H49" s="2224"/>
      <c r="I49" s="2224"/>
      <c r="J49" s="2224"/>
      <c r="K49" s="2224"/>
      <c r="L49" s="2224"/>
      <c r="O49" s="2228" t="s">
        <v>129</v>
      </c>
      <c r="P49" s="2228"/>
      <c r="Q49" s="2228"/>
      <c r="R49" s="2228"/>
      <c r="S49" s="2228"/>
      <c r="T49" s="2228"/>
      <c r="U49" s="2228"/>
      <c r="V49" s="2228"/>
      <c r="W49" s="2228"/>
      <c r="X49" s="2228"/>
      <c r="Y49" s="2228"/>
      <c r="Z49" s="2228"/>
      <c r="AA49" s="2228"/>
      <c r="AB49" s="2228"/>
      <c r="AC49" s="2228"/>
      <c r="AD49" s="2228"/>
      <c r="AE49" s="2228"/>
      <c r="AF49" s="2228"/>
      <c r="AG49" s="2228"/>
      <c r="AH49" s="2229"/>
    </row>
    <row r="50" spans="1:34" ht="41.25" customHeight="1">
      <c r="A50" s="5" t="s">
        <v>10</v>
      </c>
      <c r="B50" s="5" t="s">
        <v>43</v>
      </c>
      <c r="C50" s="106" t="s">
        <v>2740</v>
      </c>
      <c r="D50" s="102"/>
      <c r="E50" s="103" t="s">
        <v>2739</v>
      </c>
      <c r="F50" s="104" t="s">
        <v>2738</v>
      </c>
      <c r="G50" s="104" t="s">
        <v>2737</v>
      </c>
      <c r="H50" s="105" t="s">
        <v>2736</v>
      </c>
      <c r="I50" s="105" t="s">
        <v>2735</v>
      </c>
      <c r="J50" s="2239" t="s">
        <v>2734</v>
      </c>
      <c r="K50" s="2240"/>
      <c r="L50" s="2241"/>
      <c r="M50" s="1088" t="s">
        <v>2725</v>
      </c>
      <c r="N50" s="952" t="s">
        <v>322</v>
      </c>
      <c r="O50" s="148" t="s">
        <v>66</v>
      </c>
      <c r="P50" s="359" t="s">
        <v>259</v>
      </c>
      <c r="Q50" s="265" t="s">
        <v>299</v>
      </c>
      <c r="R50" s="265" t="s">
        <v>208</v>
      </c>
      <c r="S50" s="265" t="s">
        <v>209</v>
      </c>
      <c r="T50" s="265" t="s">
        <v>260</v>
      </c>
      <c r="U50" s="265" t="s">
        <v>123</v>
      </c>
      <c r="V50" s="147" t="s">
        <v>122</v>
      </c>
      <c r="W50" s="265" t="s">
        <v>261</v>
      </c>
      <c r="X50" s="214" t="s">
        <v>210</v>
      </c>
      <c r="Y50" s="214" t="s">
        <v>211</v>
      </c>
      <c r="Z50" s="214" t="s">
        <v>212</v>
      </c>
      <c r="AA50" s="214" t="s">
        <v>2733</v>
      </c>
      <c r="AB50" s="214" t="s">
        <v>262</v>
      </c>
      <c r="AC50" s="426" t="s">
        <v>308</v>
      </c>
      <c r="AD50" s="427" t="s">
        <v>309</v>
      </c>
      <c r="AE50" s="428" t="s">
        <v>125</v>
      </c>
      <c r="AF50" s="146" t="s">
        <v>128</v>
      </c>
      <c r="AG50" s="146" t="s">
        <v>126</v>
      </c>
      <c r="AH50" s="146" t="s">
        <v>127</v>
      </c>
    </row>
    <row r="51" spans="1:34" ht="24" customHeight="1">
      <c r="A51" s="38"/>
      <c r="B51" s="38"/>
      <c r="C51" s="125" t="s">
        <v>2160</v>
      </c>
      <c r="D51" s="1082"/>
      <c r="E51" s="127"/>
      <c r="F51" s="262"/>
      <c r="G51" s="94"/>
      <c r="H51" s="87" t="s">
        <v>11</v>
      </c>
      <c r="I51" s="87" t="s">
        <v>11</v>
      </c>
      <c r="J51" s="2233" t="str">
        <f ca="1">RIGHT(CELL("filename",$A$1),LEN(CELL("filename",$A$1))-FIND("]",CELL("filename",$A$1)))</f>
        <v>新規シート</v>
      </c>
      <c r="K51" s="2234"/>
      <c r="L51" s="2235"/>
      <c r="M51" s="1083"/>
      <c r="N51" s="949"/>
      <c r="O51" s="217"/>
      <c r="P51" s="218"/>
      <c r="Q51" s="219"/>
      <c r="R51" s="219"/>
      <c r="S51" s="219"/>
      <c r="T51" s="219"/>
      <c r="U51" s="219"/>
      <c r="V51" s="219"/>
      <c r="W51" s="219"/>
      <c r="X51" s="220"/>
      <c r="Y51" s="220"/>
      <c r="Z51" s="220"/>
      <c r="AA51" s="220"/>
      <c r="AB51" s="220"/>
      <c r="AC51" s="219"/>
      <c r="AD51" s="429"/>
      <c r="AE51" s="430"/>
      <c r="AF51" s="219"/>
      <c r="AG51" s="219"/>
      <c r="AH51" s="431"/>
    </row>
    <row r="52" spans="1:34" s="39" customFormat="1" ht="24" customHeight="1">
      <c r="A52" s="38"/>
      <c r="B52" s="38"/>
      <c r="C52" s="121"/>
      <c r="D52" s="122"/>
      <c r="E52" s="110"/>
      <c r="F52" s="263"/>
      <c r="G52" s="111"/>
      <c r="H52" s="128"/>
      <c r="I52" s="97" t="str">
        <f t="shared" ref="I52:I69" si="1">IF(F52="","",INT(F52*H52))</f>
        <v/>
      </c>
      <c r="J52" s="61"/>
      <c r="K52" s="62"/>
      <c r="L52" s="63"/>
      <c r="M52" s="1083"/>
      <c r="N52" s="949"/>
      <c r="O52" s="217"/>
      <c r="P52" s="218"/>
      <c r="Q52" s="219"/>
      <c r="R52" s="219"/>
      <c r="S52" s="219"/>
      <c r="T52" s="219"/>
      <c r="U52" s="219"/>
      <c r="V52" s="219"/>
      <c r="W52" s="219"/>
      <c r="X52" s="220"/>
      <c r="Y52" s="220"/>
      <c r="Z52" s="220"/>
      <c r="AA52" s="220"/>
      <c r="AB52" s="220"/>
      <c r="AC52" s="219"/>
      <c r="AD52" s="429"/>
      <c r="AE52" s="430"/>
      <c r="AF52" s="219"/>
      <c r="AG52" s="219"/>
      <c r="AH52" s="207"/>
    </row>
    <row r="53" spans="1:34" s="39" customFormat="1" ht="24" customHeight="1">
      <c r="A53" s="38"/>
      <c r="B53" s="38"/>
      <c r="C53" s="121"/>
      <c r="D53" s="955" t="s">
        <v>2726</v>
      </c>
      <c r="E53" s="95"/>
      <c r="F53" s="263">
        <v>1</v>
      </c>
      <c r="G53" s="111" t="s">
        <v>2742</v>
      </c>
      <c r="H53" s="130"/>
      <c r="I53" s="97">
        <f t="shared" si="1"/>
        <v>0</v>
      </c>
      <c r="J53" s="61"/>
      <c r="K53" s="62"/>
      <c r="L53" s="63"/>
      <c r="M53" s="1083"/>
      <c r="N53" s="949"/>
      <c r="O53" s="217"/>
      <c r="P53" s="218"/>
      <c r="Q53" s="219"/>
      <c r="R53" s="219"/>
      <c r="S53" s="219"/>
      <c r="T53" s="219"/>
      <c r="U53" s="219"/>
      <c r="V53" s="219"/>
      <c r="W53" s="219"/>
      <c r="X53" s="220"/>
      <c r="Y53" s="220"/>
      <c r="Z53" s="220"/>
      <c r="AA53" s="220"/>
      <c r="AB53" s="220"/>
      <c r="AC53" s="219"/>
      <c r="AD53" s="429"/>
      <c r="AE53" s="430"/>
      <c r="AF53" s="219"/>
      <c r="AG53" s="219"/>
      <c r="AH53" s="207"/>
    </row>
    <row r="54" spans="1:34" s="39" customFormat="1" ht="24" customHeight="1">
      <c r="A54" s="38"/>
      <c r="B54" s="38"/>
      <c r="C54" s="121"/>
      <c r="D54" s="955" t="s">
        <v>2727</v>
      </c>
      <c r="E54" s="95"/>
      <c r="F54" s="263">
        <v>1</v>
      </c>
      <c r="G54" s="111" t="s">
        <v>2742</v>
      </c>
      <c r="H54" s="130"/>
      <c r="I54" s="97">
        <f t="shared" si="1"/>
        <v>0</v>
      </c>
      <c r="J54" s="61"/>
      <c r="K54" s="62"/>
      <c r="L54" s="63"/>
      <c r="M54" s="1083"/>
      <c r="N54" s="949"/>
      <c r="O54" s="217"/>
      <c r="P54" s="218"/>
      <c r="Q54" s="219"/>
      <c r="R54" s="219"/>
      <c r="S54" s="219"/>
      <c r="T54" s="219"/>
      <c r="U54" s="219"/>
      <c r="V54" s="219"/>
      <c r="W54" s="219"/>
      <c r="X54" s="220"/>
      <c r="Y54" s="220"/>
      <c r="Z54" s="220"/>
      <c r="AA54" s="220"/>
      <c r="AB54" s="220"/>
      <c r="AC54" s="219"/>
      <c r="AD54" s="429"/>
      <c r="AE54" s="430"/>
      <c r="AF54" s="219"/>
      <c r="AG54" s="219"/>
      <c r="AH54" s="207"/>
    </row>
    <row r="55" spans="1:34" s="39" customFormat="1" ht="24" customHeight="1">
      <c r="A55" s="38"/>
      <c r="B55" s="38"/>
      <c r="C55" s="121"/>
      <c r="D55" s="955" t="s">
        <v>2728</v>
      </c>
      <c r="E55" s="95"/>
      <c r="F55" s="263">
        <v>1</v>
      </c>
      <c r="G55" s="111" t="s">
        <v>2742</v>
      </c>
      <c r="H55" s="130"/>
      <c r="I55" s="97">
        <f t="shared" si="1"/>
        <v>0</v>
      </c>
      <c r="J55" s="61"/>
      <c r="K55" s="62"/>
      <c r="L55" s="63"/>
      <c r="M55" s="1083"/>
      <c r="N55" s="949"/>
      <c r="O55" s="217"/>
      <c r="P55" s="218"/>
      <c r="Q55" s="219"/>
      <c r="R55" s="219"/>
      <c r="S55" s="219"/>
      <c r="T55" s="219"/>
      <c r="U55" s="219"/>
      <c r="V55" s="219"/>
      <c r="W55" s="219"/>
      <c r="X55" s="220"/>
      <c r="Y55" s="220"/>
      <c r="Z55" s="220"/>
      <c r="AA55" s="220"/>
      <c r="AB55" s="220"/>
      <c r="AC55" s="219"/>
      <c r="AD55" s="429"/>
      <c r="AE55" s="430"/>
      <c r="AF55" s="219"/>
      <c r="AG55" s="219"/>
      <c r="AH55" s="207"/>
    </row>
    <row r="56" spans="1:34" s="39" customFormat="1" ht="24" customHeight="1">
      <c r="A56" s="38"/>
      <c r="B56" s="38"/>
      <c r="C56" s="121"/>
      <c r="D56" s="955" t="s">
        <v>2729</v>
      </c>
      <c r="E56" s="95"/>
      <c r="F56" s="263">
        <v>1</v>
      </c>
      <c r="G56" s="111" t="s">
        <v>2742</v>
      </c>
      <c r="H56" s="130"/>
      <c r="I56" s="97">
        <f t="shared" si="1"/>
        <v>0</v>
      </c>
      <c r="J56" s="61"/>
      <c r="K56" s="62"/>
      <c r="L56" s="63"/>
      <c r="M56" s="1083"/>
      <c r="N56" s="949"/>
      <c r="O56" s="217"/>
      <c r="P56" s="218"/>
      <c r="Q56" s="219"/>
      <c r="R56" s="219"/>
      <c r="S56" s="219"/>
      <c r="T56" s="219"/>
      <c r="U56" s="219"/>
      <c r="V56" s="219"/>
      <c r="W56" s="219"/>
      <c r="X56" s="220"/>
      <c r="Y56" s="220"/>
      <c r="Z56" s="220"/>
      <c r="AA56" s="220"/>
      <c r="AB56" s="220"/>
      <c r="AC56" s="219"/>
      <c r="AD56" s="429"/>
      <c r="AE56" s="430"/>
      <c r="AF56" s="219"/>
      <c r="AG56" s="219"/>
      <c r="AH56" s="207"/>
    </row>
    <row r="57" spans="1:34" s="39" customFormat="1" ht="24" customHeight="1">
      <c r="A57" s="38"/>
      <c r="B57" s="38"/>
      <c r="C57" s="121"/>
      <c r="D57" s="955" t="s">
        <v>2730</v>
      </c>
      <c r="E57" s="95"/>
      <c r="F57" s="263">
        <v>1</v>
      </c>
      <c r="G57" s="111" t="s">
        <v>2742</v>
      </c>
      <c r="H57" s="130"/>
      <c r="I57" s="97">
        <f t="shared" si="1"/>
        <v>0</v>
      </c>
      <c r="J57" s="61"/>
      <c r="K57" s="62"/>
      <c r="L57" s="63"/>
      <c r="M57" s="1083"/>
      <c r="N57" s="949"/>
      <c r="O57" s="217"/>
      <c r="P57" s="218"/>
      <c r="Q57" s="219"/>
      <c r="R57" s="219"/>
      <c r="S57" s="219"/>
      <c r="T57" s="219"/>
      <c r="U57" s="219"/>
      <c r="V57" s="219"/>
      <c r="W57" s="219"/>
      <c r="X57" s="220"/>
      <c r="Y57" s="220"/>
      <c r="Z57" s="220"/>
      <c r="AA57" s="220"/>
      <c r="AB57" s="220"/>
      <c r="AC57" s="219"/>
      <c r="AD57" s="429"/>
      <c r="AE57" s="430"/>
      <c r="AF57" s="219"/>
      <c r="AG57" s="219"/>
      <c r="AH57" s="207"/>
    </row>
    <row r="58" spans="1:34" s="39" customFormat="1" ht="24" customHeight="1">
      <c r="A58" s="38"/>
      <c r="B58" s="38"/>
      <c r="C58" s="121"/>
      <c r="D58" s="955" t="s">
        <v>2731</v>
      </c>
      <c r="E58" s="95"/>
      <c r="F58" s="263">
        <v>1</v>
      </c>
      <c r="G58" s="111" t="s">
        <v>2742</v>
      </c>
      <c r="H58" s="130"/>
      <c r="I58" s="97">
        <f t="shared" si="1"/>
        <v>0</v>
      </c>
      <c r="J58" s="61"/>
      <c r="K58" s="62"/>
      <c r="L58" s="63"/>
      <c r="M58" s="1083"/>
      <c r="N58" s="949"/>
      <c r="O58" s="217"/>
      <c r="P58" s="218"/>
      <c r="Q58" s="219"/>
      <c r="R58" s="219"/>
      <c r="S58" s="219"/>
      <c r="T58" s="219"/>
      <c r="U58" s="219"/>
      <c r="V58" s="219"/>
      <c r="W58" s="219"/>
      <c r="X58" s="220"/>
      <c r="Y58" s="220"/>
      <c r="Z58" s="220"/>
      <c r="AA58" s="220"/>
      <c r="AB58" s="220"/>
      <c r="AC58" s="219"/>
      <c r="AD58" s="429"/>
      <c r="AE58" s="430"/>
      <c r="AF58" s="219"/>
      <c r="AG58" s="219"/>
      <c r="AH58" s="207"/>
    </row>
    <row r="59" spans="1:34" s="39" customFormat="1" ht="24" customHeight="1">
      <c r="A59" s="38"/>
      <c r="B59" s="38"/>
      <c r="C59" s="121"/>
      <c r="D59" s="122"/>
      <c r="E59" s="110"/>
      <c r="F59" s="263"/>
      <c r="G59" s="111"/>
      <c r="H59" s="128"/>
      <c r="I59" s="97" t="str">
        <f t="shared" si="1"/>
        <v/>
      </c>
      <c r="J59" s="61"/>
      <c r="K59" s="62"/>
      <c r="L59" s="63"/>
      <c r="M59" s="1083"/>
      <c r="N59" s="949"/>
      <c r="O59" s="217"/>
      <c r="P59" s="218"/>
      <c r="Q59" s="219"/>
      <c r="R59" s="219"/>
      <c r="S59" s="219"/>
      <c r="T59" s="219"/>
      <c r="U59" s="219"/>
      <c r="V59" s="219"/>
      <c r="W59" s="219"/>
      <c r="X59" s="220"/>
      <c r="Y59" s="220"/>
      <c r="Z59" s="220"/>
      <c r="AA59" s="220"/>
      <c r="AB59" s="220"/>
      <c r="AC59" s="219"/>
      <c r="AD59" s="429"/>
      <c r="AE59" s="430"/>
      <c r="AF59" s="219"/>
      <c r="AG59" s="219"/>
      <c r="AH59" s="207"/>
    </row>
    <row r="60" spans="1:34" s="39" customFormat="1" ht="24" customHeight="1">
      <c r="A60" s="38"/>
      <c r="B60" s="38"/>
      <c r="C60" s="121"/>
      <c r="D60" s="122"/>
      <c r="E60" s="110"/>
      <c r="F60" s="263"/>
      <c r="G60" s="111"/>
      <c r="H60" s="128"/>
      <c r="I60" s="97" t="str">
        <f t="shared" si="1"/>
        <v/>
      </c>
      <c r="J60" s="61"/>
      <c r="K60" s="62"/>
      <c r="L60" s="63"/>
      <c r="M60" s="1083"/>
      <c r="N60" s="949"/>
      <c r="O60" s="217"/>
      <c r="P60" s="218"/>
      <c r="Q60" s="219"/>
      <c r="R60" s="219"/>
      <c r="S60" s="219"/>
      <c r="T60" s="219"/>
      <c r="U60" s="219"/>
      <c r="V60" s="219"/>
      <c r="W60" s="219"/>
      <c r="X60" s="220"/>
      <c r="Y60" s="220"/>
      <c r="Z60" s="220"/>
      <c r="AA60" s="220"/>
      <c r="AB60" s="220"/>
      <c r="AC60" s="219"/>
      <c r="AD60" s="429"/>
      <c r="AE60" s="430"/>
      <c r="AF60" s="219"/>
      <c r="AG60" s="219"/>
      <c r="AH60" s="207"/>
    </row>
    <row r="61" spans="1:34" s="39" customFormat="1" ht="24" customHeight="1">
      <c r="A61" s="38"/>
      <c r="B61" s="38"/>
      <c r="C61" s="121"/>
      <c r="D61" s="122"/>
      <c r="E61" s="110"/>
      <c r="F61" s="263"/>
      <c r="G61" s="111"/>
      <c r="H61" s="128"/>
      <c r="I61" s="97" t="str">
        <f t="shared" si="1"/>
        <v/>
      </c>
      <c r="J61" s="61"/>
      <c r="K61" s="62"/>
      <c r="L61" s="63"/>
      <c r="M61" s="1083"/>
      <c r="N61" s="949"/>
      <c r="O61" s="217"/>
      <c r="P61" s="218"/>
      <c r="Q61" s="219"/>
      <c r="R61" s="219"/>
      <c r="S61" s="219"/>
      <c r="T61" s="219"/>
      <c r="U61" s="219"/>
      <c r="V61" s="219"/>
      <c r="W61" s="219"/>
      <c r="X61" s="220"/>
      <c r="Y61" s="220"/>
      <c r="Z61" s="220"/>
      <c r="AA61" s="220"/>
      <c r="AB61" s="220"/>
      <c r="AC61" s="219"/>
      <c r="AD61" s="429"/>
      <c r="AE61" s="430"/>
      <c r="AF61" s="219"/>
      <c r="AG61" s="219"/>
      <c r="AH61" s="207"/>
    </row>
    <row r="62" spans="1:34" s="39" customFormat="1" ht="24" customHeight="1">
      <c r="A62" s="38"/>
      <c r="B62" s="38"/>
      <c r="C62" s="121"/>
      <c r="D62" s="122"/>
      <c r="E62" s="110"/>
      <c r="F62" s="263"/>
      <c r="G62" s="111"/>
      <c r="H62" s="128"/>
      <c r="I62" s="97" t="str">
        <f t="shared" si="1"/>
        <v/>
      </c>
      <c r="J62" s="61"/>
      <c r="K62" s="62"/>
      <c r="L62" s="63"/>
      <c r="M62" s="1083"/>
      <c r="N62" s="949"/>
      <c r="O62" s="217"/>
      <c r="P62" s="218"/>
      <c r="Q62" s="219"/>
      <c r="R62" s="219"/>
      <c r="S62" s="219"/>
      <c r="T62" s="219"/>
      <c r="U62" s="219"/>
      <c r="V62" s="219"/>
      <c r="W62" s="219"/>
      <c r="X62" s="220"/>
      <c r="Y62" s="220"/>
      <c r="Z62" s="220"/>
      <c r="AA62" s="220"/>
      <c r="AB62" s="220"/>
      <c r="AC62" s="219"/>
      <c r="AD62" s="429"/>
      <c r="AE62" s="430"/>
      <c r="AF62" s="219"/>
      <c r="AG62" s="219"/>
      <c r="AH62" s="207"/>
    </row>
    <row r="63" spans="1:34" s="39" customFormat="1" ht="24" customHeight="1">
      <c r="A63" s="38"/>
      <c r="B63" s="38"/>
      <c r="C63" s="121"/>
      <c r="D63" s="122"/>
      <c r="E63" s="110"/>
      <c r="F63" s="263"/>
      <c r="G63" s="111"/>
      <c r="H63" s="128"/>
      <c r="I63" s="97" t="str">
        <f t="shared" si="1"/>
        <v/>
      </c>
      <c r="J63" s="61"/>
      <c r="K63" s="62"/>
      <c r="L63" s="63"/>
      <c r="M63" s="1083"/>
      <c r="N63" s="949"/>
      <c r="O63" s="217"/>
      <c r="P63" s="218"/>
      <c r="Q63" s="219"/>
      <c r="R63" s="219"/>
      <c r="S63" s="219"/>
      <c r="T63" s="219"/>
      <c r="U63" s="219"/>
      <c r="V63" s="219"/>
      <c r="W63" s="219"/>
      <c r="X63" s="220"/>
      <c r="Y63" s="220"/>
      <c r="Z63" s="220"/>
      <c r="AA63" s="220"/>
      <c r="AB63" s="220"/>
      <c r="AC63" s="219"/>
      <c r="AD63" s="429"/>
      <c r="AE63" s="430"/>
      <c r="AF63" s="219"/>
      <c r="AG63" s="219"/>
      <c r="AH63" s="207"/>
    </row>
    <row r="64" spans="1:34" s="39" customFormat="1" ht="24" customHeight="1">
      <c r="A64" s="38"/>
      <c r="B64" s="38"/>
      <c r="C64" s="121"/>
      <c r="D64" s="122"/>
      <c r="E64" s="110"/>
      <c r="F64" s="263"/>
      <c r="G64" s="111"/>
      <c r="H64" s="128"/>
      <c r="I64" s="97" t="str">
        <f t="shared" si="1"/>
        <v/>
      </c>
      <c r="J64" s="61"/>
      <c r="K64" s="62"/>
      <c r="L64" s="63"/>
      <c r="M64" s="1083"/>
      <c r="N64" s="949"/>
      <c r="O64" s="217"/>
      <c r="P64" s="218"/>
      <c r="Q64" s="219"/>
      <c r="R64" s="219"/>
      <c r="S64" s="219"/>
      <c r="T64" s="219"/>
      <c r="U64" s="219"/>
      <c r="V64" s="219"/>
      <c r="W64" s="219"/>
      <c r="X64" s="220"/>
      <c r="Y64" s="220"/>
      <c r="Z64" s="220"/>
      <c r="AA64" s="220"/>
      <c r="AB64" s="220"/>
      <c r="AC64" s="219"/>
      <c r="AD64" s="429"/>
      <c r="AE64" s="430"/>
      <c r="AF64" s="219"/>
      <c r="AG64" s="219"/>
      <c r="AH64" s="207"/>
    </row>
    <row r="65" spans="1:34" s="39" customFormat="1" ht="24" customHeight="1">
      <c r="A65" s="38"/>
      <c r="B65" s="38"/>
      <c r="C65" s="121"/>
      <c r="D65" s="122"/>
      <c r="E65" s="110"/>
      <c r="F65" s="263"/>
      <c r="G65" s="111"/>
      <c r="H65" s="128"/>
      <c r="I65" s="97" t="str">
        <f t="shared" si="1"/>
        <v/>
      </c>
      <c r="J65" s="61"/>
      <c r="K65" s="62"/>
      <c r="L65" s="63"/>
      <c r="M65" s="1083"/>
      <c r="N65" s="949"/>
      <c r="O65" s="217"/>
      <c r="P65" s="218"/>
      <c r="Q65" s="219"/>
      <c r="R65" s="219"/>
      <c r="S65" s="219"/>
      <c r="T65" s="219"/>
      <c r="U65" s="219"/>
      <c r="V65" s="219"/>
      <c r="W65" s="219"/>
      <c r="X65" s="220"/>
      <c r="Y65" s="220"/>
      <c r="Z65" s="220"/>
      <c r="AA65" s="220"/>
      <c r="AB65" s="220"/>
      <c r="AC65" s="219"/>
      <c r="AD65" s="429"/>
      <c r="AE65" s="430"/>
      <c r="AF65" s="219"/>
      <c r="AG65" s="219"/>
      <c r="AH65" s="207"/>
    </row>
    <row r="66" spans="1:34" s="39" customFormat="1" ht="24" customHeight="1">
      <c r="A66" s="38"/>
      <c r="B66" s="38"/>
      <c r="C66" s="121"/>
      <c r="D66" s="122"/>
      <c r="E66" s="110"/>
      <c r="F66" s="263"/>
      <c r="G66" s="111"/>
      <c r="H66" s="128"/>
      <c r="I66" s="97" t="str">
        <f t="shared" si="1"/>
        <v/>
      </c>
      <c r="J66" s="61"/>
      <c r="K66" s="62"/>
      <c r="L66" s="63"/>
      <c r="M66" s="1083"/>
      <c r="N66" s="949"/>
      <c r="O66" s="217"/>
      <c r="P66" s="218"/>
      <c r="Q66" s="219"/>
      <c r="R66" s="219"/>
      <c r="S66" s="219"/>
      <c r="T66" s="219"/>
      <c r="U66" s="219"/>
      <c r="V66" s="219"/>
      <c r="W66" s="219"/>
      <c r="X66" s="220"/>
      <c r="Y66" s="220"/>
      <c r="Z66" s="220"/>
      <c r="AA66" s="220"/>
      <c r="AB66" s="220"/>
      <c r="AC66" s="219"/>
      <c r="AD66" s="429"/>
      <c r="AE66" s="430"/>
      <c r="AF66" s="219"/>
      <c r="AG66" s="219"/>
      <c r="AH66" s="207"/>
    </row>
    <row r="67" spans="1:34" s="39" customFormat="1" ht="24" customHeight="1">
      <c r="A67" s="38"/>
      <c r="B67" s="38"/>
      <c r="C67" s="121"/>
      <c r="D67" s="122"/>
      <c r="E67" s="110"/>
      <c r="F67" s="263"/>
      <c r="G67" s="111"/>
      <c r="H67" s="128"/>
      <c r="I67" s="97" t="str">
        <f t="shared" si="1"/>
        <v/>
      </c>
      <c r="J67" s="61"/>
      <c r="K67" s="62"/>
      <c r="L67" s="63"/>
      <c r="M67" s="1083"/>
      <c r="N67" s="949"/>
      <c r="O67" s="217"/>
      <c r="P67" s="218"/>
      <c r="Q67" s="219"/>
      <c r="R67" s="219"/>
      <c r="S67" s="219"/>
      <c r="T67" s="219"/>
      <c r="U67" s="219"/>
      <c r="V67" s="219"/>
      <c r="W67" s="219"/>
      <c r="X67" s="220"/>
      <c r="Y67" s="220"/>
      <c r="Z67" s="220"/>
      <c r="AA67" s="220"/>
      <c r="AB67" s="220"/>
      <c r="AC67" s="219"/>
      <c r="AD67" s="429"/>
      <c r="AE67" s="430"/>
      <c r="AF67" s="219"/>
      <c r="AG67" s="219"/>
      <c r="AH67" s="207"/>
    </row>
    <row r="68" spans="1:34" s="39" customFormat="1" ht="24" customHeight="1">
      <c r="A68" s="38"/>
      <c r="B68" s="38"/>
      <c r="C68" s="121"/>
      <c r="D68" s="122"/>
      <c r="E68" s="110"/>
      <c r="F68" s="263"/>
      <c r="G68" s="111"/>
      <c r="H68" s="128"/>
      <c r="I68" s="97" t="str">
        <f t="shared" si="1"/>
        <v/>
      </c>
      <c r="J68" s="61"/>
      <c r="K68" s="62"/>
      <c r="L68" s="63"/>
      <c r="M68" s="1083"/>
      <c r="N68" s="949"/>
      <c r="O68" s="217"/>
      <c r="P68" s="218"/>
      <c r="Q68" s="219"/>
      <c r="R68" s="219"/>
      <c r="S68" s="219"/>
      <c r="T68" s="219"/>
      <c r="U68" s="219"/>
      <c r="V68" s="219"/>
      <c r="W68" s="219"/>
      <c r="X68" s="220"/>
      <c r="Y68" s="220"/>
      <c r="Z68" s="220"/>
      <c r="AA68" s="220"/>
      <c r="AB68" s="220"/>
      <c r="AC68" s="219"/>
      <c r="AD68" s="429"/>
      <c r="AE68" s="430"/>
      <c r="AF68" s="219"/>
      <c r="AG68" s="219"/>
      <c r="AH68" s="207"/>
    </row>
    <row r="69" spans="1:34" s="39" customFormat="1" ht="24" customHeight="1">
      <c r="A69" s="38"/>
      <c r="B69" s="38"/>
      <c r="C69" s="121"/>
      <c r="D69" s="122"/>
      <c r="E69" s="110"/>
      <c r="F69" s="263"/>
      <c r="G69" s="111"/>
      <c r="H69" s="128"/>
      <c r="I69" s="97" t="str">
        <f t="shared" si="1"/>
        <v/>
      </c>
      <c r="J69" s="61"/>
      <c r="K69" s="62"/>
      <c r="L69" s="63"/>
      <c r="M69" s="1083"/>
      <c r="N69" s="949"/>
      <c r="O69" s="217"/>
      <c r="P69" s="218"/>
      <c r="Q69" s="219"/>
      <c r="R69" s="219"/>
      <c r="S69" s="219"/>
      <c r="T69" s="219"/>
      <c r="U69" s="219"/>
      <c r="V69" s="219"/>
      <c r="W69" s="219"/>
      <c r="X69" s="220"/>
      <c r="Y69" s="220"/>
      <c r="Z69" s="220"/>
      <c r="AA69" s="220"/>
      <c r="AB69" s="220"/>
      <c r="AC69" s="219"/>
      <c r="AD69" s="429"/>
      <c r="AE69" s="430"/>
      <c r="AF69" s="219"/>
      <c r="AG69" s="219"/>
      <c r="AH69" s="207"/>
    </row>
    <row r="70" spans="1:34" ht="24" customHeight="1" thickBot="1">
      <c r="A70" s="38"/>
      <c r="B70" s="38"/>
      <c r="C70" s="99"/>
      <c r="D70" s="89" t="s">
        <v>2732</v>
      </c>
      <c r="E70" s="100"/>
      <c r="F70" s="264"/>
      <c r="G70" s="114"/>
      <c r="H70" s="124" t="s">
        <v>69</v>
      </c>
      <c r="I70" s="101">
        <f>SUM(I52:I69)</f>
        <v>0</v>
      </c>
      <c r="J70" s="570" t="str">
        <f>IF(C51="部分撤去工事","）うち費用",")")</f>
        <v>)</v>
      </c>
      <c r="K70" s="569">
        <f>IF(C51="部分撤去工事",(K47+L70),0)</f>
        <v>0</v>
      </c>
      <c r="L70" s="568">
        <f>IF(C51="部分撤去工事",SUMIF(N52:N69,"費用",I52:I69),0)</f>
        <v>0</v>
      </c>
      <c r="M70" s="1089"/>
      <c r="N70" s="954"/>
      <c r="O70" s="217"/>
      <c r="P70" s="218"/>
      <c r="Q70" s="219"/>
      <c r="R70" s="219"/>
      <c r="S70" s="219"/>
      <c r="T70" s="219"/>
      <c r="U70" s="219"/>
      <c r="V70" s="219"/>
      <c r="W70" s="219"/>
      <c r="X70" s="220"/>
      <c r="Y70" s="220"/>
      <c r="Z70" s="220"/>
      <c r="AA70" s="220"/>
      <c r="AB70" s="220"/>
      <c r="AC70" s="219"/>
      <c r="AD70" s="429"/>
      <c r="AE70" s="430"/>
      <c r="AF70" s="219"/>
      <c r="AG70" s="219"/>
      <c r="AH70" s="431"/>
    </row>
    <row r="71" spans="1:34" ht="14.25" customHeight="1">
      <c r="E71" s="117" t="s">
        <v>84</v>
      </c>
      <c r="F71" s="118">
        <f>+F48+1</f>
        <v>3</v>
      </c>
      <c r="G71" s="119" t="s">
        <v>48</v>
      </c>
      <c r="H71" s="120">
        <f>+H48</f>
        <v>7</v>
      </c>
      <c r="I71" s="120"/>
      <c r="M71" s="1086" t="str">
        <f>IF(A73="","EOL","")</f>
        <v/>
      </c>
      <c r="N71" s="1">
        <f>+F71</f>
        <v>3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224" t="s">
        <v>3135</v>
      </c>
      <c r="D72" s="2224"/>
      <c r="E72" s="2224"/>
      <c r="F72" s="2224"/>
      <c r="G72" s="2224"/>
      <c r="H72" s="2224"/>
      <c r="I72" s="2224"/>
      <c r="J72" s="2224"/>
      <c r="K72" s="2224"/>
      <c r="L72" s="2224"/>
      <c r="O72" s="2228" t="s">
        <v>129</v>
      </c>
      <c r="P72" s="2228"/>
      <c r="Q72" s="2228"/>
      <c r="R72" s="2228"/>
      <c r="S72" s="2228"/>
      <c r="T72" s="2228"/>
      <c r="U72" s="2228"/>
      <c r="V72" s="2228"/>
      <c r="W72" s="2228"/>
      <c r="X72" s="2228"/>
      <c r="Y72" s="2228"/>
      <c r="Z72" s="2228"/>
      <c r="AA72" s="2228"/>
      <c r="AB72" s="2228"/>
      <c r="AC72" s="2228"/>
      <c r="AD72" s="2228"/>
      <c r="AE72" s="2228"/>
      <c r="AF72" s="2228"/>
      <c r="AG72" s="2228"/>
      <c r="AH72" s="2229"/>
    </row>
    <row r="73" spans="1:34" ht="42" customHeight="1">
      <c r="A73" s="5" t="s">
        <v>10</v>
      </c>
      <c r="B73" s="5" t="s">
        <v>2741</v>
      </c>
      <c r="C73" s="106" t="s">
        <v>2740</v>
      </c>
      <c r="D73" s="102"/>
      <c r="E73" s="103" t="s">
        <v>2739</v>
      </c>
      <c r="F73" s="104" t="s">
        <v>2738</v>
      </c>
      <c r="G73" s="104" t="s">
        <v>2737</v>
      </c>
      <c r="H73" s="105" t="s">
        <v>2736</v>
      </c>
      <c r="I73" s="105" t="s">
        <v>2735</v>
      </c>
      <c r="J73" s="2239" t="s">
        <v>2734</v>
      </c>
      <c r="K73" s="2240"/>
      <c r="L73" s="2241"/>
      <c r="M73" s="1088" t="s">
        <v>2725</v>
      </c>
      <c r="N73" s="952" t="s">
        <v>322</v>
      </c>
      <c r="O73" s="148" t="s">
        <v>66</v>
      </c>
      <c r="P73" s="359" t="s">
        <v>259</v>
      </c>
      <c r="Q73" s="265" t="s">
        <v>299</v>
      </c>
      <c r="R73" s="265" t="s">
        <v>208</v>
      </c>
      <c r="S73" s="265" t="s">
        <v>209</v>
      </c>
      <c r="T73" s="265" t="s">
        <v>260</v>
      </c>
      <c r="U73" s="265" t="s">
        <v>123</v>
      </c>
      <c r="V73" s="147" t="s">
        <v>122</v>
      </c>
      <c r="W73" s="265" t="s">
        <v>261</v>
      </c>
      <c r="X73" s="214" t="s">
        <v>210</v>
      </c>
      <c r="Y73" s="214" t="s">
        <v>211</v>
      </c>
      <c r="Z73" s="214" t="s">
        <v>212</v>
      </c>
      <c r="AA73" s="214" t="s">
        <v>2733</v>
      </c>
      <c r="AB73" s="214" t="s">
        <v>262</v>
      </c>
      <c r="AC73" s="426" t="s">
        <v>308</v>
      </c>
      <c r="AD73" s="427" t="s">
        <v>309</v>
      </c>
      <c r="AE73" s="428" t="s">
        <v>125</v>
      </c>
      <c r="AF73" s="146" t="s">
        <v>128</v>
      </c>
      <c r="AG73" s="146" t="s">
        <v>126</v>
      </c>
      <c r="AH73" s="146" t="s">
        <v>127</v>
      </c>
    </row>
    <row r="74" spans="1:34" ht="24" customHeight="1">
      <c r="A74" s="38"/>
      <c r="B74" s="38"/>
      <c r="C74" s="125" t="s">
        <v>230</v>
      </c>
      <c r="D74" s="92"/>
      <c r="E74" s="93"/>
      <c r="F74" s="262"/>
      <c r="G74" s="129"/>
      <c r="H74" s="88" t="s">
        <v>11</v>
      </c>
      <c r="I74" s="88" t="s">
        <v>11</v>
      </c>
      <c r="J74" s="2233" t="str">
        <f ca="1">RIGHT(CELL("filename",$A$1),LEN(CELL("filename",$A$1))-FIND("]",CELL("filename",$A$1)))</f>
        <v>新規シート</v>
      </c>
      <c r="K74" s="2234"/>
      <c r="L74" s="2235"/>
      <c r="M74" s="1083"/>
      <c r="N74" s="949"/>
      <c r="O74" s="217"/>
      <c r="P74" s="218"/>
      <c r="Q74" s="219"/>
      <c r="R74" s="219"/>
      <c r="S74" s="219"/>
      <c r="T74" s="219"/>
      <c r="U74" s="219"/>
      <c r="V74" s="219"/>
      <c r="W74" s="219"/>
      <c r="X74" s="220"/>
      <c r="Y74" s="220"/>
      <c r="Z74" s="220"/>
      <c r="AA74" s="220"/>
      <c r="AB74" s="220"/>
      <c r="AC74" s="219"/>
      <c r="AD74" s="429"/>
      <c r="AE74" s="430"/>
      <c r="AF74" s="219"/>
      <c r="AG74" s="219"/>
      <c r="AH74" s="431"/>
    </row>
    <row r="75" spans="1:34" s="39" customFormat="1" ht="24" customHeight="1">
      <c r="A75" s="38"/>
      <c r="B75" s="38"/>
      <c r="C75" s="98"/>
      <c r="D75" s="1709"/>
      <c r="E75" s="95"/>
      <c r="F75" s="263"/>
      <c r="G75" s="111"/>
      <c r="H75" s="130"/>
      <c r="I75" s="97" t="str">
        <f>IF(F75="","",INT(F75*H75))</f>
        <v/>
      </c>
      <c r="J75" s="62"/>
      <c r="K75" s="62"/>
      <c r="L75" s="63"/>
      <c r="M75" s="1083"/>
      <c r="N75" s="949"/>
      <c r="O75" s="217"/>
      <c r="P75" s="218"/>
      <c r="Q75" s="219"/>
      <c r="R75" s="219"/>
      <c r="S75" s="219"/>
      <c r="T75" s="219"/>
      <c r="U75" s="219"/>
      <c r="V75" s="219"/>
      <c r="W75" s="219"/>
      <c r="X75" s="220"/>
      <c r="Y75" s="220"/>
      <c r="Z75" s="220"/>
      <c r="AA75" s="220"/>
      <c r="AB75" s="220"/>
      <c r="AC75" s="219"/>
      <c r="AD75" s="429"/>
      <c r="AE75" s="430"/>
      <c r="AF75" s="219"/>
      <c r="AG75" s="219"/>
      <c r="AH75" s="207"/>
    </row>
    <row r="76" spans="1:34" s="39" customFormat="1" ht="24" customHeight="1">
      <c r="A76" s="38"/>
      <c r="B76" s="38"/>
      <c r="C76" s="98"/>
      <c r="D76" s="1709"/>
      <c r="E76" s="95"/>
      <c r="F76" s="263"/>
      <c r="G76" s="111"/>
      <c r="H76" s="130"/>
      <c r="I76" s="97" t="str">
        <f t="shared" ref="I76:I92" si="2">IF(F76="","",INT(F76*H76))</f>
        <v/>
      </c>
      <c r="J76" s="62"/>
      <c r="K76" s="62"/>
      <c r="L76" s="63"/>
      <c r="M76" s="1083"/>
      <c r="N76" s="949"/>
      <c r="O76" s="217"/>
      <c r="P76" s="218"/>
      <c r="Q76" s="219"/>
      <c r="R76" s="219"/>
      <c r="S76" s="219"/>
      <c r="T76" s="219"/>
      <c r="U76" s="219"/>
      <c r="V76" s="219"/>
      <c r="W76" s="219"/>
      <c r="X76" s="220"/>
      <c r="Y76" s="220"/>
      <c r="Z76" s="220"/>
      <c r="AA76" s="220"/>
      <c r="AB76" s="220"/>
      <c r="AC76" s="219"/>
      <c r="AD76" s="429"/>
      <c r="AE76" s="430"/>
      <c r="AF76" s="219"/>
      <c r="AG76" s="219"/>
      <c r="AH76" s="207"/>
    </row>
    <row r="77" spans="1:34" s="39" customFormat="1" ht="24" customHeight="1">
      <c r="A77" s="38"/>
      <c r="B77" s="38"/>
      <c r="C77" s="98"/>
      <c r="D77" s="1709"/>
      <c r="E77" s="95"/>
      <c r="F77" s="263"/>
      <c r="G77" s="111"/>
      <c r="H77" s="130"/>
      <c r="I77" s="97" t="str">
        <f t="shared" si="2"/>
        <v/>
      </c>
      <c r="J77" s="62"/>
      <c r="K77" s="62"/>
      <c r="L77" s="63"/>
      <c r="M77" s="1083"/>
      <c r="N77" s="949"/>
      <c r="O77" s="217"/>
      <c r="P77" s="218"/>
      <c r="Q77" s="219"/>
      <c r="R77" s="219"/>
      <c r="S77" s="219"/>
      <c r="T77" s="219"/>
      <c r="U77" s="219"/>
      <c r="V77" s="219"/>
      <c r="W77" s="219"/>
      <c r="X77" s="220"/>
      <c r="Y77" s="220"/>
      <c r="Z77" s="220"/>
      <c r="AA77" s="220"/>
      <c r="AB77" s="220"/>
      <c r="AC77" s="219"/>
      <c r="AD77" s="429"/>
      <c r="AE77" s="430"/>
      <c r="AF77" s="219"/>
      <c r="AG77" s="219"/>
      <c r="AH77" s="207"/>
    </row>
    <row r="78" spans="1:34" s="39" customFormat="1" ht="24" customHeight="1">
      <c r="A78" s="38"/>
      <c r="B78" s="38"/>
      <c r="C78" s="131"/>
      <c r="D78" s="1709"/>
      <c r="E78" s="95"/>
      <c r="F78" s="263"/>
      <c r="G78" s="111"/>
      <c r="H78" s="130"/>
      <c r="I78" s="97" t="str">
        <f t="shared" si="2"/>
        <v/>
      </c>
      <c r="J78" s="62"/>
      <c r="K78" s="62"/>
      <c r="L78" s="63"/>
      <c r="M78" s="1083"/>
      <c r="N78" s="949"/>
      <c r="O78" s="217"/>
      <c r="P78" s="218"/>
      <c r="Q78" s="219"/>
      <c r="R78" s="219"/>
      <c r="S78" s="219"/>
      <c r="T78" s="219"/>
      <c r="U78" s="219"/>
      <c r="V78" s="219"/>
      <c r="W78" s="219"/>
      <c r="X78" s="220"/>
      <c r="Y78" s="220"/>
      <c r="Z78" s="220"/>
      <c r="AA78" s="220"/>
      <c r="AB78" s="220"/>
      <c r="AC78" s="219"/>
      <c r="AD78" s="429"/>
      <c r="AE78" s="430"/>
      <c r="AF78" s="219"/>
      <c r="AG78" s="219"/>
      <c r="AH78" s="207"/>
    </row>
    <row r="79" spans="1:34" s="39" customFormat="1" ht="24" customHeight="1">
      <c r="A79" s="38"/>
      <c r="B79" s="38"/>
      <c r="C79" s="98"/>
      <c r="D79" s="1709"/>
      <c r="E79" s="95"/>
      <c r="F79" s="263"/>
      <c r="G79" s="111"/>
      <c r="H79" s="130"/>
      <c r="I79" s="97" t="str">
        <f t="shared" si="2"/>
        <v/>
      </c>
      <c r="J79" s="62"/>
      <c r="K79" s="62"/>
      <c r="L79" s="63"/>
      <c r="M79" s="1083"/>
      <c r="N79" s="949"/>
      <c r="O79" s="217"/>
      <c r="P79" s="218"/>
      <c r="Q79" s="219"/>
      <c r="R79" s="219"/>
      <c r="S79" s="219"/>
      <c r="T79" s="219"/>
      <c r="U79" s="219"/>
      <c r="V79" s="219"/>
      <c r="W79" s="219"/>
      <c r="X79" s="220"/>
      <c r="Y79" s="220"/>
      <c r="Z79" s="220"/>
      <c r="AA79" s="220"/>
      <c r="AB79" s="220"/>
      <c r="AC79" s="219"/>
      <c r="AD79" s="429"/>
      <c r="AE79" s="430"/>
      <c r="AF79" s="219"/>
      <c r="AG79" s="219"/>
      <c r="AH79" s="207"/>
    </row>
    <row r="80" spans="1:34" s="39" customFormat="1" ht="24" customHeight="1">
      <c r="A80" s="38"/>
      <c r="B80" s="38"/>
      <c r="C80" s="98"/>
      <c r="D80" s="1709"/>
      <c r="E80" s="95"/>
      <c r="F80" s="263"/>
      <c r="G80" s="111"/>
      <c r="H80" s="130"/>
      <c r="I80" s="97" t="str">
        <f t="shared" si="2"/>
        <v/>
      </c>
      <c r="J80" s="62"/>
      <c r="K80" s="62"/>
      <c r="L80" s="63"/>
      <c r="M80" s="1083"/>
      <c r="N80" s="949"/>
      <c r="O80" s="217"/>
      <c r="P80" s="218"/>
      <c r="Q80" s="219"/>
      <c r="R80" s="219"/>
      <c r="S80" s="219"/>
      <c r="T80" s="219"/>
      <c r="U80" s="219"/>
      <c r="V80" s="219"/>
      <c r="W80" s="219"/>
      <c r="X80" s="220"/>
      <c r="Y80" s="220"/>
      <c r="Z80" s="220"/>
      <c r="AA80" s="220"/>
      <c r="AB80" s="220"/>
      <c r="AC80" s="219"/>
      <c r="AD80" s="429"/>
      <c r="AE80" s="430"/>
      <c r="AF80" s="219"/>
      <c r="AG80" s="219"/>
      <c r="AH80" s="207"/>
    </row>
    <row r="81" spans="1:34" s="39" customFormat="1" ht="24" customHeight="1">
      <c r="A81" s="38"/>
      <c r="B81" s="38"/>
      <c r="C81" s="98"/>
      <c r="D81" s="62"/>
      <c r="E81" s="95"/>
      <c r="F81" s="263"/>
      <c r="G81" s="111"/>
      <c r="H81" s="130"/>
      <c r="I81" s="97" t="str">
        <f t="shared" si="2"/>
        <v/>
      </c>
      <c r="J81" s="62"/>
      <c r="K81" s="62"/>
      <c r="L81" s="63"/>
      <c r="M81" s="1083"/>
      <c r="N81" s="949"/>
      <c r="O81" s="217"/>
      <c r="P81" s="218"/>
      <c r="Q81" s="219"/>
      <c r="R81" s="219"/>
      <c r="S81" s="219"/>
      <c r="T81" s="219"/>
      <c r="U81" s="219"/>
      <c r="V81" s="219"/>
      <c r="W81" s="219"/>
      <c r="X81" s="220"/>
      <c r="Y81" s="220"/>
      <c r="Z81" s="220"/>
      <c r="AA81" s="220"/>
      <c r="AB81" s="220"/>
      <c r="AC81" s="219"/>
      <c r="AD81" s="429"/>
      <c r="AE81" s="430"/>
      <c r="AF81" s="219"/>
      <c r="AG81" s="219"/>
      <c r="AH81" s="207"/>
    </row>
    <row r="82" spans="1:34" s="39" customFormat="1" ht="24" customHeight="1">
      <c r="A82" s="38"/>
      <c r="B82" s="38"/>
      <c r="C82" s="98"/>
      <c r="D82" s="62"/>
      <c r="E82" s="95"/>
      <c r="F82" s="263"/>
      <c r="G82" s="111"/>
      <c r="H82" s="130"/>
      <c r="I82" s="97" t="str">
        <f t="shared" si="2"/>
        <v/>
      </c>
      <c r="J82" s="62"/>
      <c r="K82" s="62"/>
      <c r="L82" s="63"/>
      <c r="M82" s="1083"/>
      <c r="N82" s="949"/>
      <c r="O82" s="217"/>
      <c r="P82" s="218"/>
      <c r="Q82" s="219"/>
      <c r="R82" s="219"/>
      <c r="S82" s="219"/>
      <c r="T82" s="219"/>
      <c r="U82" s="219"/>
      <c r="V82" s="219"/>
      <c r="W82" s="219"/>
      <c r="X82" s="220"/>
      <c r="Y82" s="220"/>
      <c r="Z82" s="220"/>
      <c r="AA82" s="220"/>
      <c r="AB82" s="220"/>
      <c r="AC82" s="219"/>
      <c r="AD82" s="429"/>
      <c r="AE82" s="430"/>
      <c r="AF82" s="219"/>
      <c r="AG82" s="219"/>
      <c r="AH82" s="207"/>
    </row>
    <row r="83" spans="1:34" s="39" customFormat="1" ht="24" customHeight="1">
      <c r="A83" s="38"/>
      <c r="B83" s="38"/>
      <c r="C83" s="98"/>
      <c r="D83" s="62"/>
      <c r="E83" s="95"/>
      <c r="F83" s="263"/>
      <c r="G83" s="111"/>
      <c r="H83" s="130"/>
      <c r="I83" s="97" t="str">
        <f t="shared" si="2"/>
        <v/>
      </c>
      <c r="J83" s="62"/>
      <c r="K83" s="62"/>
      <c r="L83" s="63"/>
      <c r="M83" s="1083"/>
      <c r="N83" s="949"/>
      <c r="O83" s="217"/>
      <c r="P83" s="218"/>
      <c r="Q83" s="219"/>
      <c r="R83" s="219"/>
      <c r="S83" s="219"/>
      <c r="T83" s="219"/>
      <c r="U83" s="219"/>
      <c r="V83" s="219"/>
      <c r="W83" s="219"/>
      <c r="X83" s="220"/>
      <c r="Y83" s="220"/>
      <c r="Z83" s="220"/>
      <c r="AA83" s="220"/>
      <c r="AB83" s="220"/>
      <c r="AC83" s="219"/>
      <c r="AD83" s="429"/>
      <c r="AE83" s="430"/>
      <c r="AF83" s="219"/>
      <c r="AG83" s="219"/>
      <c r="AH83" s="207"/>
    </row>
    <row r="84" spans="1:34" s="39" customFormat="1" ht="24" customHeight="1">
      <c r="A84" s="38"/>
      <c r="B84" s="38"/>
      <c r="C84" s="98"/>
      <c r="D84" s="62"/>
      <c r="E84" s="95"/>
      <c r="F84" s="263"/>
      <c r="G84" s="111"/>
      <c r="H84" s="130"/>
      <c r="I84" s="97" t="str">
        <f t="shared" si="2"/>
        <v/>
      </c>
      <c r="J84" s="62"/>
      <c r="K84" s="62"/>
      <c r="L84" s="63"/>
      <c r="M84" s="1083"/>
      <c r="N84" s="949"/>
      <c r="O84" s="217"/>
      <c r="P84" s="218"/>
      <c r="Q84" s="219"/>
      <c r="R84" s="219"/>
      <c r="S84" s="219"/>
      <c r="T84" s="219"/>
      <c r="U84" s="219"/>
      <c r="V84" s="219"/>
      <c r="W84" s="219"/>
      <c r="X84" s="220"/>
      <c r="Y84" s="220"/>
      <c r="Z84" s="220"/>
      <c r="AA84" s="220"/>
      <c r="AB84" s="220"/>
      <c r="AC84" s="219"/>
      <c r="AD84" s="429"/>
      <c r="AE84" s="430"/>
      <c r="AF84" s="219"/>
      <c r="AG84" s="219"/>
      <c r="AH84" s="207"/>
    </row>
    <row r="85" spans="1:34" s="39" customFormat="1" ht="24" customHeight="1">
      <c r="A85" s="38"/>
      <c r="B85" s="38"/>
      <c r="C85" s="98"/>
      <c r="D85" s="62"/>
      <c r="E85" s="95"/>
      <c r="F85" s="263"/>
      <c r="G85" s="111"/>
      <c r="H85" s="130"/>
      <c r="I85" s="97" t="str">
        <f t="shared" si="2"/>
        <v/>
      </c>
      <c r="J85" s="62"/>
      <c r="K85" s="62"/>
      <c r="L85" s="63"/>
      <c r="M85" s="1083"/>
      <c r="N85" s="949"/>
      <c r="O85" s="217"/>
      <c r="P85" s="218"/>
      <c r="Q85" s="219"/>
      <c r="R85" s="219"/>
      <c r="S85" s="219"/>
      <c r="T85" s="219"/>
      <c r="U85" s="219"/>
      <c r="V85" s="219"/>
      <c r="W85" s="219"/>
      <c r="X85" s="220"/>
      <c r="Y85" s="220"/>
      <c r="Z85" s="220"/>
      <c r="AA85" s="220"/>
      <c r="AB85" s="220"/>
      <c r="AC85" s="219"/>
      <c r="AD85" s="429"/>
      <c r="AE85" s="430"/>
      <c r="AF85" s="219"/>
      <c r="AG85" s="219"/>
      <c r="AH85" s="207"/>
    </row>
    <row r="86" spans="1:34" s="39" customFormat="1" ht="24" customHeight="1">
      <c r="A86" s="38"/>
      <c r="B86" s="38"/>
      <c r="C86" s="98"/>
      <c r="D86" s="62"/>
      <c r="E86" s="95"/>
      <c r="F86" s="263"/>
      <c r="G86" s="111"/>
      <c r="H86" s="130"/>
      <c r="I86" s="97" t="str">
        <f t="shared" si="2"/>
        <v/>
      </c>
      <c r="J86" s="62"/>
      <c r="K86" s="62"/>
      <c r="L86" s="63"/>
      <c r="M86" s="1083"/>
      <c r="N86" s="949"/>
      <c r="O86" s="217"/>
      <c r="P86" s="218"/>
      <c r="Q86" s="219"/>
      <c r="R86" s="219"/>
      <c r="S86" s="219"/>
      <c r="T86" s="219"/>
      <c r="U86" s="219"/>
      <c r="V86" s="219"/>
      <c r="W86" s="219"/>
      <c r="X86" s="220"/>
      <c r="Y86" s="220"/>
      <c r="Z86" s="220"/>
      <c r="AA86" s="220"/>
      <c r="AB86" s="220"/>
      <c r="AC86" s="219"/>
      <c r="AD86" s="429"/>
      <c r="AE86" s="430"/>
      <c r="AF86" s="219"/>
      <c r="AG86" s="219"/>
      <c r="AH86" s="207"/>
    </row>
    <row r="87" spans="1:34" s="39" customFormat="1" ht="24" customHeight="1">
      <c r="A87" s="38"/>
      <c r="B87" s="38"/>
      <c r="C87" s="98"/>
      <c r="D87" s="62"/>
      <c r="E87" s="95"/>
      <c r="F87" s="263"/>
      <c r="G87" s="111"/>
      <c r="H87" s="130"/>
      <c r="I87" s="97" t="str">
        <f t="shared" si="2"/>
        <v/>
      </c>
      <c r="J87" s="62"/>
      <c r="K87" s="62"/>
      <c r="L87" s="63"/>
      <c r="M87" s="1083"/>
      <c r="N87" s="949"/>
      <c r="O87" s="217"/>
      <c r="P87" s="218"/>
      <c r="Q87" s="219"/>
      <c r="R87" s="219"/>
      <c r="S87" s="219"/>
      <c r="T87" s="219"/>
      <c r="U87" s="219"/>
      <c r="V87" s="219"/>
      <c r="W87" s="219"/>
      <c r="X87" s="220"/>
      <c r="Y87" s="220"/>
      <c r="Z87" s="220"/>
      <c r="AA87" s="220"/>
      <c r="AB87" s="220"/>
      <c r="AC87" s="219"/>
      <c r="AD87" s="429"/>
      <c r="AE87" s="430"/>
      <c r="AF87" s="219"/>
      <c r="AG87" s="219"/>
      <c r="AH87" s="207"/>
    </row>
    <row r="88" spans="1:34" s="39" customFormat="1" ht="24" customHeight="1">
      <c r="A88" s="38"/>
      <c r="B88" s="38"/>
      <c r="C88" s="98"/>
      <c r="D88" s="62"/>
      <c r="E88" s="95"/>
      <c r="F88" s="263"/>
      <c r="G88" s="111"/>
      <c r="H88" s="130"/>
      <c r="I88" s="97" t="str">
        <f t="shared" si="2"/>
        <v/>
      </c>
      <c r="J88" s="62"/>
      <c r="K88" s="62"/>
      <c r="L88" s="63"/>
      <c r="M88" s="1083"/>
      <c r="N88" s="949"/>
      <c r="O88" s="217"/>
      <c r="P88" s="218"/>
      <c r="Q88" s="219"/>
      <c r="R88" s="219"/>
      <c r="S88" s="219"/>
      <c r="T88" s="219"/>
      <c r="U88" s="219"/>
      <c r="V88" s="219"/>
      <c r="W88" s="219"/>
      <c r="X88" s="220"/>
      <c r="Y88" s="220"/>
      <c r="Z88" s="220"/>
      <c r="AA88" s="220"/>
      <c r="AB88" s="220"/>
      <c r="AC88" s="219"/>
      <c r="AD88" s="429"/>
      <c r="AE88" s="430"/>
      <c r="AF88" s="219"/>
      <c r="AG88" s="219"/>
      <c r="AH88" s="207"/>
    </row>
    <row r="89" spans="1:34" s="39" customFormat="1" ht="24" customHeight="1">
      <c r="A89" s="38"/>
      <c r="B89" s="38"/>
      <c r="C89" s="98"/>
      <c r="D89" s="62"/>
      <c r="E89" s="95"/>
      <c r="F89" s="263"/>
      <c r="G89" s="111"/>
      <c r="H89" s="130"/>
      <c r="I89" s="97" t="str">
        <f t="shared" si="2"/>
        <v/>
      </c>
      <c r="J89" s="62"/>
      <c r="K89" s="62"/>
      <c r="L89" s="63"/>
      <c r="M89" s="1083"/>
      <c r="N89" s="949"/>
      <c r="O89" s="217"/>
      <c r="P89" s="218"/>
      <c r="Q89" s="219"/>
      <c r="R89" s="219"/>
      <c r="S89" s="219"/>
      <c r="T89" s="219"/>
      <c r="U89" s="219"/>
      <c r="V89" s="219"/>
      <c r="W89" s="219"/>
      <c r="X89" s="220"/>
      <c r="Y89" s="220"/>
      <c r="Z89" s="220"/>
      <c r="AA89" s="220"/>
      <c r="AB89" s="220"/>
      <c r="AC89" s="219"/>
      <c r="AD89" s="429"/>
      <c r="AE89" s="430"/>
      <c r="AF89" s="219"/>
      <c r="AG89" s="219"/>
      <c r="AH89" s="207"/>
    </row>
    <row r="90" spans="1:34" s="39" customFormat="1" ht="24" customHeight="1">
      <c r="A90" s="38"/>
      <c r="B90" s="38"/>
      <c r="C90" s="98"/>
      <c r="D90" s="62"/>
      <c r="E90" s="95"/>
      <c r="F90" s="263"/>
      <c r="G90" s="111"/>
      <c r="H90" s="130"/>
      <c r="I90" s="97" t="str">
        <f t="shared" si="2"/>
        <v/>
      </c>
      <c r="J90" s="62"/>
      <c r="K90" s="62"/>
      <c r="L90" s="63"/>
      <c r="M90" s="1083"/>
      <c r="N90" s="949"/>
      <c r="O90" s="217"/>
      <c r="P90" s="218"/>
      <c r="Q90" s="219"/>
      <c r="R90" s="219"/>
      <c r="S90" s="219"/>
      <c r="T90" s="219"/>
      <c r="U90" s="219"/>
      <c r="V90" s="219"/>
      <c r="W90" s="219"/>
      <c r="X90" s="220"/>
      <c r="Y90" s="220"/>
      <c r="Z90" s="220"/>
      <c r="AA90" s="220"/>
      <c r="AB90" s="220"/>
      <c r="AC90" s="219"/>
      <c r="AD90" s="429"/>
      <c r="AE90" s="430"/>
      <c r="AF90" s="219"/>
      <c r="AG90" s="219"/>
      <c r="AH90" s="207"/>
    </row>
    <row r="91" spans="1:34" s="39" customFormat="1" ht="24" customHeight="1">
      <c r="A91" s="38"/>
      <c r="B91" s="38"/>
      <c r="C91" s="98"/>
      <c r="D91" s="62"/>
      <c r="E91" s="95"/>
      <c r="F91" s="263"/>
      <c r="G91" s="111"/>
      <c r="H91" s="130"/>
      <c r="I91" s="97" t="str">
        <f t="shared" si="2"/>
        <v/>
      </c>
      <c r="J91" s="62"/>
      <c r="K91" s="62"/>
      <c r="L91" s="63"/>
      <c r="M91" s="1083"/>
      <c r="N91" s="949"/>
      <c r="O91" s="217"/>
      <c r="P91" s="218"/>
      <c r="Q91" s="219"/>
      <c r="R91" s="219"/>
      <c r="S91" s="219"/>
      <c r="T91" s="219"/>
      <c r="U91" s="219"/>
      <c r="V91" s="219"/>
      <c r="W91" s="219"/>
      <c r="X91" s="220"/>
      <c r="Y91" s="220"/>
      <c r="Z91" s="220"/>
      <c r="AA91" s="220"/>
      <c r="AB91" s="220"/>
      <c r="AC91" s="219"/>
      <c r="AD91" s="429"/>
      <c r="AE91" s="430"/>
      <c r="AF91" s="219"/>
      <c r="AG91" s="219"/>
      <c r="AH91" s="207"/>
    </row>
    <row r="92" spans="1:34" s="39" customFormat="1" ht="24" customHeight="1">
      <c r="A92" s="38"/>
      <c r="B92" s="38"/>
      <c r="C92" s="98"/>
      <c r="D92" s="62"/>
      <c r="E92" s="95"/>
      <c r="F92" s="263"/>
      <c r="G92" s="111"/>
      <c r="H92" s="130"/>
      <c r="I92" s="97" t="str">
        <f t="shared" si="2"/>
        <v/>
      </c>
      <c r="J92" s="62"/>
      <c r="K92" s="62"/>
      <c r="L92" s="63"/>
      <c r="M92" s="1083"/>
      <c r="N92" s="949"/>
      <c r="O92" s="217"/>
      <c r="P92" s="218"/>
      <c r="Q92" s="219"/>
      <c r="R92" s="219"/>
      <c r="S92" s="219"/>
      <c r="T92" s="219"/>
      <c r="U92" s="219"/>
      <c r="V92" s="219"/>
      <c r="W92" s="219"/>
      <c r="X92" s="220"/>
      <c r="Y92" s="220"/>
      <c r="Z92" s="220"/>
      <c r="AA92" s="220"/>
      <c r="AB92" s="220"/>
      <c r="AC92" s="219"/>
      <c r="AD92" s="429"/>
      <c r="AE92" s="430"/>
      <c r="AF92" s="219"/>
      <c r="AG92" s="219"/>
      <c r="AH92" s="207"/>
    </row>
    <row r="93" spans="1:34" ht="24" customHeight="1" thickBot="1">
      <c r="A93" s="38"/>
      <c r="B93" s="38"/>
      <c r="C93" s="99"/>
      <c r="D93" s="89" t="s">
        <v>2732</v>
      </c>
      <c r="E93" s="100"/>
      <c r="F93" s="264"/>
      <c r="G93" s="114"/>
      <c r="H93" s="124" t="s">
        <v>69</v>
      </c>
      <c r="I93" s="101">
        <f>SUM(I75:I92)</f>
        <v>0</v>
      </c>
      <c r="J93" s="570" t="str">
        <f>IF(C74="部分撤去工事","）うち費用",")")</f>
        <v>)</v>
      </c>
      <c r="K93" s="569">
        <f>IF(C74="部分撤去工事",(K70+L93),0)</f>
        <v>0</v>
      </c>
      <c r="L93" s="568">
        <f>IF(C74="部分撤去工事",SUMIF(N75:N92,"費用",I75:I92),0)</f>
        <v>0</v>
      </c>
      <c r="M93" s="1089"/>
      <c r="N93" s="954"/>
      <c r="O93" s="217"/>
      <c r="P93" s="218"/>
      <c r="Q93" s="219"/>
      <c r="R93" s="219"/>
      <c r="S93" s="219"/>
      <c r="T93" s="219"/>
      <c r="U93" s="219"/>
      <c r="V93" s="219"/>
      <c r="W93" s="219"/>
      <c r="X93" s="220"/>
      <c r="Y93" s="220"/>
      <c r="Z93" s="220"/>
      <c r="AA93" s="220"/>
      <c r="AB93" s="220"/>
      <c r="AC93" s="219"/>
      <c r="AD93" s="429"/>
      <c r="AE93" s="430"/>
      <c r="AF93" s="219"/>
      <c r="AG93" s="219"/>
      <c r="AH93" s="431"/>
    </row>
    <row r="94" spans="1:34" ht="14.25" customHeight="1">
      <c r="E94" s="117" t="s">
        <v>84</v>
      </c>
      <c r="F94" s="118">
        <f>+F48+1</f>
        <v>3</v>
      </c>
      <c r="G94" s="119" t="s">
        <v>48</v>
      </c>
      <c r="H94" s="120">
        <f>+$H$25</f>
        <v>7</v>
      </c>
      <c r="I94" s="120"/>
      <c r="M94" s="1086" t="str">
        <f>IF(A96="","EOL","")</f>
        <v>EOL</v>
      </c>
      <c r="N94" s="1">
        <f>+F94</f>
        <v>3</v>
      </c>
      <c r="O94" s="1"/>
      <c r="P94" s="1"/>
    </row>
  </sheetData>
  <mergeCells count="15">
    <mergeCell ref="C3:L3"/>
    <mergeCell ref="C26:L26"/>
    <mergeCell ref="J5:L5"/>
    <mergeCell ref="O26:AH26"/>
    <mergeCell ref="J73:L73"/>
    <mergeCell ref="O49:AH49"/>
    <mergeCell ref="O72:AH72"/>
    <mergeCell ref="J74:L74"/>
    <mergeCell ref="J28:L28"/>
    <mergeCell ref="C49:L49"/>
    <mergeCell ref="J4:L4"/>
    <mergeCell ref="J27:L27"/>
    <mergeCell ref="J50:L50"/>
    <mergeCell ref="J51:L51"/>
    <mergeCell ref="C72:L72"/>
  </mergeCells>
  <phoneticPr fontId="6"/>
  <dataValidations count="5">
    <dataValidation type="list" allowBlank="1" showInputMessage="1" showErrorMessage="1" sqref="M16" xr:uid="{00000000-0002-0000-1100-000000000000}">
      <formula1>"直"</formula1>
    </dataValidation>
    <dataValidation type="list" allowBlank="1" showInputMessage="1" showErrorMessage="1" sqref="M45" xr:uid="{00000000-0002-0000-1100-000001000000}">
      <formula1>"積"</formula1>
    </dataValidation>
    <dataValidation type="list" allowBlank="1" showInputMessage="1" showErrorMessage="1" sqref="M75:M92 M52:M69" xr:uid="{00000000-0002-0000-1100-000002000000}">
      <formula1>OFFSET(INDIRECT("入力規則マスタ!$N$3"),0,0,COUNTA(INDIRECT("入力規則マスタ!$N:$N"))-1,1)</formula1>
    </dataValidation>
    <dataValidation type="list" allowBlank="1" showInputMessage="1" showErrorMessage="1" prompt="費用/建物附属設備/工具・器具・備品の場合、選択してください。" sqref="N75:N92 N52:N69" xr:uid="{00000000-0002-0000-1100-000003000000}">
      <formula1>OFFSET(INDIRECT("入力規則マスタ!$J$3"),0,0,COUNTA(INDIRECT("入力規則マスタ!$J:$J"))-1,1)</formula1>
    </dataValidation>
    <dataValidation type="whole" allowBlank="1" showInputMessage="1" showErrorMessage="1" sqref="A75:B92 A52:B69 A29:B46" xr:uid="{00000000-0002-0000-1100-000004000000}">
      <formula1>1</formula1>
      <formula2>4</formula2>
    </dataValidation>
  </dataValidations>
  <printOptions horizontalCentered="1" verticalCentered="1"/>
  <pageMargins left="0.39370078740157483" right="0.39370078740157483" top="0.78740157480314965" bottom="0.19685039370078741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  <legacyDrawing r:id="rId2"/>
</worksheet>
</file>

<file path=OriginalRibbon/OriginalRibbon.xml><?xml version="1.0" encoding="utf-8"?>
<customUI xmlns="http://schemas.microsoft.com/office/2006/01/customui">
  <ribbon>
    <tabs>
      <tab id="myTab" label="明細">
        <group id="myGroup1" label="明細書">
          <button id="mybutton1" size="large" label="単価表呼出" imageMso="SharePointListsWorkOffline" onAction="Macro1" screentip="単価表による入力を行います。"/>
          <separator id="separator1"/>
          <button id="mybutton2" label="現在の位置に単票を追加" imageMso="CellsInsertDialog" onAction="Macro1" screentip="現在の位置に明細書単票を追加します。"/>
          <button id="mybutton3" label="最終行に単票を追加" imageMso="TableOfAuthoritiesInsert" onAction="Macro1" screentip="現在のシートの最終行に明細書単票を追加します。"/>
          <button id="mybutton4" label="明細シートを追加" imageMso="CreateQueryFromWizard" onAction="Macro1" screentip="明細書シートを追加します。"/>
          <separator id="separator2"/>
          <button id="mybutton5" label="現在の位置の単票を削除" imageMso="CellsDelete" onAction="Macro1" screentip="現在の位置の明細書単票を削除します。"/>
          <button id="mybutton6" label="最終行の単票を削除" imageMso="QueryDelete" onAction="Macro1" screentip="現在のシートの最終行の明細書単票を削除します。"/>
          <button id="mybutton7" label="明細シートを削除" imageMso="SheetDelete" onAction="Macro1" screentip="明細書シートを削除します。"/>
        </group>
        <group id="myGroup2" label="見積比較書">
          <button id="mybutton8" label="単票の追加" imageMso="TableRowsInsertBelowExcel" onAction="Macro1" screentip="現在の位置に見積比較書を追加します。"/>
          <button id="mybutton9" label="単票の削除" imageMso="TableRowsDeleteExcel" onAction="Macro1" screentip="現在の位置の見積比較書を削除します。"/>
        </group>
        <group id="myGroup3" label="印刷">
          <button id="mybutton10" size="large" label="明細書印刷" imageMso="FilePrint" onAction="Macro1" screentip="明細書を印刷します。"/>
          <separator id="separator3"/>
          <box id="box1" boxStyle="vertical">
            <button id="mybutton11" label="見積比較書印刷" imageMso="PrintOptionsMenu" onAction="Macro1" screentip="見積比較書を印刷します。"/>
            <button id="mybutton12" label="小運搬表印刷" imageMso="PrintAreaMenu" onAction="Macro1" screentip="小運搬表を印刷します。"/>
          </box>
          <separator id="separator4"/>
          <box id="box2" boxStyle="vertical">
            <button id="mybutton13" getVisible="getVisibleCallback1" label="諸経費表印刷" onAction="Macro1" screentip="諸経費表を印刷します。"/>
            <button id="mybutton14" getVisible="getVisibleCallback1" label="代価歩掛印刷" onAction="Macro1" screentip="代価歩掛を印刷します。"/>
          </box>
        </group>
        <group id="myGroup4" label="補助">
          <button id="mybutton15" size="large" label="小運搬表　作成　" imageMso="DatabaseLinedTableManager" onAction="Macro1" screentip="小運搬表を作成します。"/>
          <button id="mybutton16" label="ｼｰﾄ先頭ﾍﾟｰｼﾞに工種記入" imageMso="Refresh" onAction="Macro1" screentip="シートの先頭ページに、工種を記入しなおします。"/>
          <button id="mybutton17" getVisible="getVisibleCallback1" label="保障(範囲指定後)" imageMso="DistributionListAddNewMember" onAction="Macro1" screentip="保障対象範囲を指定後、使用してください。"/>
          <button id="mybutton18" getVisible="getVisibleCallback1" label="単価一括代入" imageMso="QueryBuilder" onAction="Macro1" screentip="ﾊｲﾘｽｸ・ﾊｲﾘﾀｰﾝ！ 気をつけて使いましょう！"/>
        </group>
        <group id="myGroup5" label="見積用">
          <button id="mybutton19" getVisible="getVisibleCallback2" label="見積担当者用に変更" imageMso="RecurrenceEdit" onAction="Macro1" screentip="見積担当者以外はさわらないでください。"/>
          <button id="mybutton20" getVisible="getVisibleCallback1" label="設計担当者用に変更" imageMso="RecurrenceEdit" onAction="Macro1" screentip="設計担当者用に戻します。"/>
          <button id="mybutton21" getVisible="getVisibleCallback1" label="現場送付用に変更" imageMso="GoTo" onAction="Macro1" screentip="単価等を貼付け、現場送付用に変更します。（注意！：ﾏｸﾛ等一部使用できなくなります。）"/>
        </group>
        <group id="myGroup6" label="ヘルプ">
          <button id="mybutton22" label="ヘルプ・使い方" imageMso="Help" onAction="Macro1" screentip="ごめんなさい。m(_ _)m 旧ﾊﾞｰｼﾞｮﾝのままです…。基本は同じなので参考としてください。"/>
          <button id="mybutton23" label="バージョン情報" imageMso="Info" onAction="Macro1" screentip="ﾊﾞｰｼﾞｮﾝ情報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表紙</vt:lpstr>
      <vt:lpstr>資産クラス一覧表</vt:lpstr>
      <vt:lpstr>変更諸経費表</vt:lpstr>
      <vt:lpstr>元諸経費表</vt:lpstr>
      <vt:lpstr>変更諸経費表 (第2回変更以降)</vt:lpstr>
      <vt:lpstr>前回諸経費表</vt:lpstr>
      <vt:lpstr>資産クラス(今回変更)</vt:lpstr>
      <vt:lpstr>工事1</vt:lpstr>
      <vt:lpstr>代価</vt:lpstr>
      <vt:lpstr>見積比較</vt:lpstr>
      <vt:lpstr>見積類似</vt:lpstr>
      <vt:lpstr>小運搬</vt:lpstr>
      <vt:lpstr>代価一覧</vt:lpstr>
      <vt:lpstr>変更諸経費表(専業)元</vt:lpstr>
      <vt:lpstr>変更諸経費表(専業)</vt:lpstr>
      <vt:lpstr>work</vt:lpstr>
      <vt:lpstr>入力規則マスタ</vt:lpstr>
      <vt:lpstr>新規シート</vt:lpstr>
      <vt:lpstr>元諸経費表!Print_Area</vt:lpstr>
      <vt:lpstr>工事1!Print_Area</vt:lpstr>
      <vt:lpstr>前回諸経費表!Print_Area</vt:lpstr>
      <vt:lpstr>'変更諸経費表 (第2回変更以降)'!Print_Area</vt:lpstr>
    </vt:vector>
  </TitlesOfParts>
  <Manager>古田　順正</Manager>
  <Company>大阪市交通局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参考明細作成</dc:title>
  <dc:creator>建築企画担当</dc:creator>
  <dc:description>参考明細作成用のVBA付き</dc:description>
  <cp:lastModifiedBy>Microsoft Office User</cp:lastModifiedBy>
  <cp:lastPrinted>2021-06-23T06:59:29Z</cp:lastPrinted>
  <dcterms:created xsi:type="dcterms:W3CDTF">2000-06-20T23:47:24Z</dcterms:created>
  <dcterms:modified xsi:type="dcterms:W3CDTF">2022-03-17T07:35:58Z</dcterms:modified>
</cp:coreProperties>
</file>