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111533\Desktop\一時作業フォルダ\整理中査定表\"/>
    </mc:Choice>
  </mc:AlternateContent>
  <bookViews>
    <workbookView xWindow="10230" yWindow="-15" windowWidth="10275" windowHeight="8100"/>
  </bookViews>
  <sheets>
    <sheet name="入力表" sheetId="2" r:id="rId1"/>
    <sheet name="査定表" sheetId="1" r:id="rId2"/>
    <sheet name="予定価格" sheetId="3" r:id="rId3"/>
    <sheet name="ＦＡＸ" sheetId="4" r:id="rId4"/>
    <sheet name="内訳明細書(業者渡し用）" sheetId="5" r:id="rId5"/>
    <sheet name="特約条項金額算出シート" sheetId="8" r:id="rId6"/>
    <sheet name="債務負担行為に基づく契約における特約条項" sheetId="6" r:id="rId7"/>
    <sheet name="バックデータ" sheetId="7" r:id="rId8"/>
  </sheets>
  <functionGroups builtInGroupCount="18"/>
  <definedNames>
    <definedName name="_xlnm._FilterDatabase" localSheetId="3" hidden="1">ＦＡＸ!$F$1:$K$5</definedName>
    <definedName name="_xlnm.Print_Area" localSheetId="1">査定表!$A$1:$M$440</definedName>
    <definedName name="_xlnm.Print_Area" localSheetId="6">債務負担行為に基づく契約における特約条項!$A$1:$J$97</definedName>
    <definedName name="_xlnm.Print_Area" localSheetId="5">特約条項金額算出シート!$A$1:$L$23</definedName>
    <definedName name="_xlnm.Print_Area" localSheetId="4">'内訳明細書(業者渡し用）'!$A$1:$G$446</definedName>
    <definedName name="_xlnm.Print_Area" localSheetId="0">入力表!$A$1:$M$444</definedName>
  </definedNames>
  <calcPr calcId="162913"/>
</workbook>
</file>

<file path=xl/calcChain.xml><?xml version="1.0" encoding="utf-8"?>
<calcChain xmlns="http://schemas.openxmlformats.org/spreadsheetml/2006/main">
  <c r="J62" i="5" l="1"/>
  <c r="G62" i="5"/>
  <c r="J6" i="2" l="1"/>
  <c r="H4" i="2"/>
  <c r="F4" i="2"/>
  <c r="G439" i="1" l="1"/>
  <c r="E437" i="1" l="1"/>
  <c r="A1" i="8" l="1"/>
  <c r="F15" i="8" l="1"/>
  <c r="F14" i="8"/>
  <c r="F13" i="8"/>
  <c r="F12" i="8"/>
  <c r="F11" i="8"/>
  <c r="F10" i="8"/>
  <c r="F9" i="8"/>
  <c r="F8" i="8"/>
  <c r="F7" i="8"/>
  <c r="F6" i="8"/>
  <c r="F5" i="8"/>
  <c r="F4" i="8"/>
  <c r="B436" i="1" l="1"/>
  <c r="D4" i="4" l="1"/>
  <c r="M3" i="2" l="1"/>
  <c r="M1" i="2" s="1"/>
  <c r="M2" i="2" s="1"/>
  <c r="F5" i="4" l="1"/>
  <c r="J440" i="1"/>
  <c r="E438" i="1"/>
  <c r="J439" i="1"/>
  <c r="J438" i="1"/>
  <c r="J437" i="1"/>
  <c r="J436" i="1"/>
  <c r="G438" i="1"/>
  <c r="G437" i="1"/>
  <c r="G436" i="1"/>
  <c r="H8" i="1" l="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B17" i="6" l="1"/>
  <c r="B16" i="6"/>
  <c r="H1" i="6"/>
  <c r="D443" i="5" l="1"/>
  <c r="C443" i="5" s="1"/>
  <c r="D441" i="5"/>
  <c r="C441" i="5" s="1"/>
  <c r="D401" i="5"/>
  <c r="C401" i="5" s="1"/>
  <c r="D399" i="5"/>
  <c r="C399" i="5" s="1"/>
  <c r="D359" i="5"/>
  <c r="C359" i="5" s="1"/>
  <c r="D357" i="5"/>
  <c r="C357" i="5" s="1"/>
  <c r="D317" i="5"/>
  <c r="C317" i="5" s="1"/>
  <c r="D315" i="5"/>
  <c r="C315" i="5" s="1"/>
  <c r="D276" i="5"/>
  <c r="C276" i="5" s="1"/>
  <c r="D274" i="5"/>
  <c r="C274" i="5" s="1"/>
  <c r="D235" i="5"/>
  <c r="C235" i="5" s="1"/>
  <c r="D233" i="5"/>
  <c r="C233" i="5" s="1"/>
  <c r="D194" i="5"/>
  <c r="C194" i="5" s="1"/>
  <c r="D192" i="5"/>
  <c r="C192" i="5" s="1"/>
  <c r="D151" i="5"/>
  <c r="C151" i="5" s="1"/>
  <c r="D153" i="5"/>
  <c r="C153" i="5" s="1"/>
  <c r="H18" i="2" l="1"/>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D18" i="2" l="1"/>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A18" i="2"/>
  <c r="A8" i="1" s="1"/>
  <c r="A19" i="2"/>
  <c r="A20" i="2"/>
  <c r="A10" i="1" s="1"/>
  <c r="B18" i="5" s="1"/>
  <c r="A21" i="2"/>
  <c r="A11" i="1" s="1"/>
  <c r="B19" i="5" s="1"/>
  <c r="A22" i="2"/>
  <c r="A12" i="1" s="1"/>
  <c r="B20" i="5" s="1"/>
  <c r="A23" i="2"/>
  <c r="A13" i="1" s="1"/>
  <c r="B21" i="5" s="1"/>
  <c r="A24" i="2"/>
  <c r="A14" i="1" s="1"/>
  <c r="B22" i="5" s="1"/>
  <c r="A25" i="2"/>
  <c r="A15" i="1" s="1"/>
  <c r="B23" i="5" s="1"/>
  <c r="A26" i="2"/>
  <c r="A16" i="1" s="1"/>
  <c r="B24" i="5" s="1"/>
  <c r="A27" i="2"/>
  <c r="A17" i="1" s="1"/>
  <c r="B25" i="5" s="1"/>
  <c r="A28" i="2"/>
  <c r="A18" i="1" s="1"/>
  <c r="B26" i="5" s="1"/>
  <c r="A29" i="2"/>
  <c r="A19" i="1" s="1"/>
  <c r="B27" i="5" s="1"/>
  <c r="A30" i="2"/>
  <c r="A20" i="1" s="1"/>
  <c r="B28" i="5" s="1"/>
  <c r="A31" i="2"/>
  <c r="A21" i="1" s="1"/>
  <c r="B29" i="5" s="1"/>
  <c r="A32" i="2"/>
  <c r="A22" i="1" s="1"/>
  <c r="B30" i="5" s="1"/>
  <c r="A33" i="2"/>
  <c r="A23" i="1" s="1"/>
  <c r="B31" i="5" s="1"/>
  <c r="A34" i="2"/>
  <c r="A24" i="1" s="1"/>
  <c r="B32" i="5" s="1"/>
  <c r="A35" i="2"/>
  <c r="A25" i="1" s="1"/>
  <c r="B33" i="5" s="1"/>
  <c r="A36" i="2"/>
  <c r="A26" i="1" s="1"/>
  <c r="B34" i="5" s="1"/>
  <c r="A37" i="2"/>
  <c r="A27" i="1" s="1"/>
  <c r="B35" i="5" s="1"/>
  <c r="A38" i="2"/>
  <c r="A28" i="1" s="1"/>
  <c r="B36" i="5" s="1"/>
  <c r="A39" i="2"/>
  <c r="A29" i="1" s="1"/>
  <c r="B37" i="5" s="1"/>
  <c r="A40" i="2"/>
  <c r="A30" i="1" s="1"/>
  <c r="B38" i="5" s="1"/>
  <c r="A41" i="2"/>
  <c r="A31" i="1" s="1"/>
  <c r="B39" i="5" s="1"/>
  <c r="A42" i="2"/>
  <c r="A32" i="1" s="1"/>
  <c r="B40" i="5" s="1"/>
  <c r="A43" i="2"/>
  <c r="A33" i="1" s="1"/>
  <c r="B41" i="5" s="1"/>
  <c r="A44" i="2"/>
  <c r="A34" i="1" s="1"/>
  <c r="B42" i="5" s="1"/>
  <c r="A45" i="2"/>
  <c r="A35" i="1" s="1"/>
  <c r="B43" i="5" s="1"/>
  <c r="A46" i="2"/>
  <c r="A36" i="1" s="1"/>
  <c r="B44" i="5" s="1"/>
  <c r="A47" i="2"/>
  <c r="A37" i="1" s="1"/>
  <c r="B45" i="5" s="1"/>
  <c r="A48" i="2"/>
  <c r="A38" i="1" s="1"/>
  <c r="B46" i="5" s="1"/>
  <c r="A49" i="2"/>
  <c r="A39" i="1" s="1"/>
  <c r="B47" i="5" s="1"/>
  <c r="A50" i="2"/>
  <c r="A40" i="1" s="1"/>
  <c r="B48" i="5" s="1"/>
  <c r="A51" i="2"/>
  <c r="A41" i="1" s="1"/>
  <c r="B49" i="5" s="1"/>
  <c r="A52" i="2"/>
  <c r="A42" i="1" s="1"/>
  <c r="B50" i="5" s="1"/>
  <c r="A53" i="2"/>
  <c r="A43" i="1" s="1"/>
  <c r="B51" i="5" s="1"/>
  <c r="A54" i="2"/>
  <c r="A44" i="1" s="1"/>
  <c r="B52" i="5" s="1"/>
  <c r="A55" i="2"/>
  <c r="A45" i="1" s="1"/>
  <c r="B53" i="5" s="1"/>
  <c r="A56" i="2"/>
  <c r="A46" i="1" s="1"/>
  <c r="B54" i="5" s="1"/>
  <c r="A57" i="2"/>
  <c r="A47" i="1" s="1"/>
  <c r="B55" i="5" s="1"/>
  <c r="A58" i="2"/>
  <c r="A48" i="1" s="1"/>
  <c r="B56" i="5" s="1"/>
  <c r="A59" i="2"/>
  <c r="A49" i="1" s="1"/>
  <c r="B57" i="5" s="1"/>
  <c r="A60" i="2"/>
  <c r="A50" i="1" s="1"/>
  <c r="B58" i="5" s="1"/>
  <c r="A61" i="2"/>
  <c r="A51" i="1" s="1"/>
  <c r="A62" i="2"/>
  <c r="A52" i="1" s="1"/>
  <c r="B64" i="5" s="1"/>
  <c r="A63" i="2"/>
  <c r="A53" i="1" s="1"/>
  <c r="B65" i="5" s="1"/>
  <c r="A64" i="2"/>
  <c r="A54" i="1" s="1"/>
  <c r="B66" i="5" s="1"/>
  <c r="A65" i="2"/>
  <c r="A55" i="1" s="1"/>
  <c r="B67" i="5" s="1"/>
  <c r="A66" i="2"/>
  <c r="A56" i="1" s="1"/>
  <c r="B68" i="5" s="1"/>
  <c r="A67" i="2"/>
  <c r="A57" i="1" s="1"/>
  <c r="B69" i="5" s="1"/>
  <c r="A68" i="2"/>
  <c r="A58" i="1" s="1"/>
  <c r="B70" i="5" s="1"/>
  <c r="A69" i="2"/>
  <c r="A59" i="1" s="1"/>
  <c r="B71" i="5" s="1"/>
  <c r="A70" i="2"/>
  <c r="A60" i="1" s="1"/>
  <c r="B72" i="5" s="1"/>
  <c r="A71" i="2"/>
  <c r="A61" i="1" s="1"/>
  <c r="B73" i="5" s="1"/>
  <c r="A72" i="2"/>
  <c r="A62" i="1" s="1"/>
  <c r="B74" i="5" s="1"/>
  <c r="A73" i="2"/>
  <c r="A63" i="1" s="1"/>
  <c r="B75" i="5" s="1"/>
  <c r="A74" i="2"/>
  <c r="A64" i="1" s="1"/>
  <c r="B76" i="5" s="1"/>
  <c r="A75" i="2"/>
  <c r="A65" i="1" s="1"/>
  <c r="B77" i="5" s="1"/>
  <c r="A76" i="2"/>
  <c r="A66" i="1" s="1"/>
  <c r="B78" i="5" s="1"/>
  <c r="A77" i="2"/>
  <c r="A67" i="1" s="1"/>
  <c r="B79" i="5" s="1"/>
  <c r="A78" i="2"/>
  <c r="A68" i="1" s="1"/>
  <c r="B80" i="5" s="1"/>
  <c r="A79" i="2"/>
  <c r="A69" i="1" s="1"/>
  <c r="B81" i="5" s="1"/>
  <c r="A80" i="2"/>
  <c r="A70" i="1" s="1"/>
  <c r="B82" i="5" s="1"/>
  <c r="A81" i="2"/>
  <c r="A71" i="1" s="1"/>
  <c r="B83" i="5" s="1"/>
  <c r="A82" i="2"/>
  <c r="A72" i="1" s="1"/>
  <c r="B84" i="5" s="1"/>
  <c r="A83" i="2"/>
  <c r="A73" i="1" s="1"/>
  <c r="B85" i="5" s="1"/>
  <c r="A84" i="2"/>
  <c r="A74" i="1" s="1"/>
  <c r="B86" i="5" s="1"/>
  <c r="A85" i="2"/>
  <c r="A75" i="1" s="1"/>
  <c r="B87" i="5" s="1"/>
  <c r="A86" i="2"/>
  <c r="A76" i="1" s="1"/>
  <c r="B88" i="5" s="1"/>
  <c r="A87" i="2"/>
  <c r="A77" i="1" s="1"/>
  <c r="B89" i="5" s="1"/>
  <c r="A88" i="2"/>
  <c r="A78" i="1" s="1"/>
  <c r="B90" i="5" s="1"/>
  <c r="A89" i="2"/>
  <c r="A79" i="1" s="1"/>
  <c r="B91" i="5" s="1"/>
  <c r="A90" i="2"/>
  <c r="A80" i="1" s="1"/>
  <c r="B92" i="5" s="1"/>
  <c r="A91" i="2"/>
  <c r="A81" i="1" s="1"/>
  <c r="B93" i="5" s="1"/>
  <c r="A92" i="2"/>
  <c r="A82" i="1" s="1"/>
  <c r="B94" i="5" s="1"/>
  <c r="A93" i="2"/>
  <c r="A83" i="1" s="1"/>
  <c r="B95" i="5" s="1"/>
  <c r="A94" i="2"/>
  <c r="A84" i="1" s="1"/>
  <c r="B96" i="5" s="1"/>
  <c r="A95" i="2"/>
  <c r="A85" i="1" s="1"/>
  <c r="B97" i="5" s="1"/>
  <c r="A96" i="2"/>
  <c r="A86" i="1" s="1"/>
  <c r="B98" i="5" s="1"/>
  <c r="A97" i="2"/>
  <c r="A87" i="1" s="1"/>
  <c r="B99" i="5" s="1"/>
  <c r="A98" i="2"/>
  <c r="A88" i="1" s="1"/>
  <c r="B100" i="5" s="1"/>
  <c r="A99" i="2"/>
  <c r="A89" i="1" s="1"/>
  <c r="B101" i="5" s="1"/>
  <c r="A100" i="2"/>
  <c r="A90" i="1" s="1"/>
  <c r="B102" i="5" s="1"/>
  <c r="A101" i="2"/>
  <c r="A91" i="1" s="1"/>
  <c r="B103" i="5" s="1"/>
  <c r="A102" i="2"/>
  <c r="A92" i="1" s="1"/>
  <c r="B104" i="5" s="1"/>
  <c r="A103" i="2"/>
  <c r="A93" i="1" s="1"/>
  <c r="A104" i="2"/>
  <c r="A94" i="1" s="1"/>
  <c r="B110" i="5" s="1"/>
  <c r="A105" i="2"/>
  <c r="A95" i="1" s="1"/>
  <c r="B111" i="5" s="1"/>
  <c r="A106" i="2"/>
  <c r="A96" i="1" s="1"/>
  <c r="B112" i="5" s="1"/>
  <c r="A107" i="2"/>
  <c r="A97" i="1" s="1"/>
  <c r="B113" i="5" s="1"/>
  <c r="A108" i="2"/>
  <c r="A98" i="1" s="1"/>
  <c r="B114" i="5" s="1"/>
  <c r="A109" i="2"/>
  <c r="A99" i="1" s="1"/>
  <c r="B115" i="5" s="1"/>
  <c r="A110" i="2"/>
  <c r="A100" i="1" s="1"/>
  <c r="B116" i="5" s="1"/>
  <c r="A111" i="2"/>
  <c r="A101" i="1" s="1"/>
  <c r="B117" i="5" s="1"/>
  <c r="A112" i="2"/>
  <c r="A102" i="1" s="1"/>
  <c r="B118" i="5" s="1"/>
  <c r="A113" i="2"/>
  <c r="A103" i="1" s="1"/>
  <c r="B119" i="5" s="1"/>
  <c r="A114" i="2"/>
  <c r="A104" i="1" s="1"/>
  <c r="B120" i="5" s="1"/>
  <c r="A115" i="2"/>
  <c r="A105" i="1" s="1"/>
  <c r="B121" i="5" s="1"/>
  <c r="A116" i="2"/>
  <c r="A106" i="1" s="1"/>
  <c r="B122" i="5" s="1"/>
  <c r="A117" i="2"/>
  <c r="A107" i="1" s="1"/>
  <c r="B123" i="5" s="1"/>
  <c r="A118" i="2"/>
  <c r="A108" i="1" s="1"/>
  <c r="B124" i="5" s="1"/>
  <c r="A119" i="2"/>
  <c r="A109" i="1" s="1"/>
  <c r="B125" i="5" s="1"/>
  <c r="A120" i="2"/>
  <c r="A110" i="1" s="1"/>
  <c r="B126" i="5" s="1"/>
  <c r="A121" i="2"/>
  <c r="A111" i="1" s="1"/>
  <c r="B127" i="5" s="1"/>
  <c r="A122" i="2"/>
  <c r="A112" i="1" s="1"/>
  <c r="B128" i="5" s="1"/>
  <c r="A123" i="2"/>
  <c r="A113" i="1" s="1"/>
  <c r="B129" i="5" s="1"/>
  <c r="A124" i="2"/>
  <c r="A114" i="1" s="1"/>
  <c r="B130" i="5" s="1"/>
  <c r="A125" i="2"/>
  <c r="A115" i="1" s="1"/>
  <c r="B131" i="5" s="1"/>
  <c r="A126" i="2"/>
  <c r="A116" i="1" s="1"/>
  <c r="B132" i="5" s="1"/>
  <c r="A127" i="2"/>
  <c r="A117" i="1" s="1"/>
  <c r="B133" i="5" s="1"/>
  <c r="A128" i="2"/>
  <c r="A118" i="1" s="1"/>
  <c r="B134" i="5" s="1"/>
  <c r="A129" i="2"/>
  <c r="A119" i="1" s="1"/>
  <c r="B135" i="5" s="1"/>
  <c r="A130" i="2"/>
  <c r="A120" i="1" s="1"/>
  <c r="B136" i="5" s="1"/>
  <c r="A131" i="2"/>
  <c r="A121" i="1" s="1"/>
  <c r="B137" i="5" s="1"/>
  <c r="A132" i="2"/>
  <c r="A122" i="1" s="1"/>
  <c r="B138" i="5" s="1"/>
  <c r="A133" i="2"/>
  <c r="A123" i="1" s="1"/>
  <c r="B139" i="5" s="1"/>
  <c r="A134" i="2"/>
  <c r="A124" i="1" s="1"/>
  <c r="B140" i="5" s="1"/>
  <c r="A135" i="2"/>
  <c r="A125" i="1" s="1"/>
  <c r="B141" i="5" s="1"/>
  <c r="A136" i="2"/>
  <c r="A126" i="1" s="1"/>
  <c r="B142" i="5" s="1"/>
  <c r="A137" i="2"/>
  <c r="A127" i="1" s="1"/>
  <c r="B143" i="5" s="1"/>
  <c r="A138" i="2"/>
  <c r="A128" i="1" s="1"/>
  <c r="B144" i="5" s="1"/>
  <c r="A139" i="2"/>
  <c r="A129" i="1" s="1"/>
  <c r="B145" i="5" s="1"/>
  <c r="A140" i="2"/>
  <c r="A130" i="1" s="1"/>
  <c r="B146" i="5" s="1"/>
  <c r="A141" i="2"/>
  <c r="A131" i="1" s="1"/>
  <c r="B147" i="5" s="1"/>
  <c r="A142" i="2"/>
  <c r="A132" i="1" s="1"/>
  <c r="B148" i="5" s="1"/>
  <c r="A143" i="2"/>
  <c r="A133" i="1" s="1"/>
  <c r="B149" i="5" s="1"/>
  <c r="A144" i="2"/>
  <c r="A134" i="1" s="1"/>
  <c r="B150" i="5" s="1"/>
  <c r="A145" i="2"/>
  <c r="A135" i="1" s="1"/>
  <c r="A146" i="2"/>
  <c r="A136" i="1" s="1"/>
  <c r="B156" i="5" s="1"/>
  <c r="A147" i="2"/>
  <c r="A137" i="1" s="1"/>
  <c r="B157" i="5" s="1"/>
  <c r="A148" i="2"/>
  <c r="A138" i="1" s="1"/>
  <c r="B158" i="5" s="1"/>
  <c r="A149" i="2"/>
  <c r="A139" i="1" s="1"/>
  <c r="B159" i="5" s="1"/>
  <c r="A150" i="2"/>
  <c r="A140" i="1" s="1"/>
  <c r="B160" i="5" s="1"/>
  <c r="A151" i="2"/>
  <c r="A141" i="1" s="1"/>
  <c r="B161" i="5" s="1"/>
  <c r="A152" i="2"/>
  <c r="A142" i="1" s="1"/>
  <c r="B162" i="5" s="1"/>
  <c r="A153" i="2"/>
  <c r="A143" i="1" s="1"/>
  <c r="B163" i="5" s="1"/>
  <c r="A154" i="2"/>
  <c r="A144" i="1" s="1"/>
  <c r="B164" i="5" s="1"/>
  <c r="A155" i="2"/>
  <c r="A145" i="1" s="1"/>
  <c r="B165" i="5" s="1"/>
  <c r="A156" i="2"/>
  <c r="A146" i="1" s="1"/>
  <c r="B166" i="5" s="1"/>
  <c r="A157" i="2"/>
  <c r="A147" i="1" s="1"/>
  <c r="B167" i="5" s="1"/>
  <c r="A158" i="2"/>
  <c r="A148" i="1" s="1"/>
  <c r="B168" i="5" s="1"/>
  <c r="A159" i="2"/>
  <c r="A149" i="1" s="1"/>
  <c r="B169" i="5" s="1"/>
  <c r="A160" i="2"/>
  <c r="A150" i="1" s="1"/>
  <c r="B170" i="5" s="1"/>
  <c r="A161" i="2"/>
  <c r="A151" i="1" s="1"/>
  <c r="B171" i="5" s="1"/>
  <c r="A162" i="2"/>
  <c r="A152" i="1" s="1"/>
  <c r="B172" i="5" s="1"/>
  <c r="A163" i="2"/>
  <c r="A153" i="1" s="1"/>
  <c r="B173" i="5" s="1"/>
  <c r="A164" i="2"/>
  <c r="A154" i="1" s="1"/>
  <c r="B174" i="5" s="1"/>
  <c r="A165" i="2"/>
  <c r="A155" i="1" s="1"/>
  <c r="B175" i="5" s="1"/>
  <c r="A166" i="2"/>
  <c r="A156" i="1" s="1"/>
  <c r="B176" i="5" s="1"/>
  <c r="A167" i="2"/>
  <c r="A157" i="1" s="1"/>
  <c r="B177" i="5" s="1"/>
  <c r="A168" i="2"/>
  <c r="A158" i="1" s="1"/>
  <c r="B178" i="5" s="1"/>
  <c r="A169" i="2"/>
  <c r="A159" i="1" s="1"/>
  <c r="B179" i="5" s="1"/>
  <c r="A170" i="2"/>
  <c r="A160" i="1" s="1"/>
  <c r="B180" i="5" s="1"/>
  <c r="A171" i="2"/>
  <c r="A161" i="1" s="1"/>
  <c r="B181" i="5" s="1"/>
  <c r="A172" i="2"/>
  <c r="A162" i="1" s="1"/>
  <c r="B182" i="5" s="1"/>
  <c r="A173" i="2"/>
  <c r="A163" i="1" s="1"/>
  <c r="B183" i="5" s="1"/>
  <c r="A174" i="2"/>
  <c r="A164" i="1" s="1"/>
  <c r="B184" i="5" s="1"/>
  <c r="A175" i="2"/>
  <c r="A165" i="1" s="1"/>
  <c r="B185" i="5" s="1"/>
  <c r="A176" i="2"/>
  <c r="A166" i="1" s="1"/>
  <c r="B186" i="5" s="1"/>
  <c r="A177" i="2"/>
  <c r="A167" i="1" s="1"/>
  <c r="B187" i="5" s="1"/>
  <c r="A178" i="2"/>
  <c r="A168" i="1" s="1"/>
  <c r="B188" i="5" s="1"/>
  <c r="A179" i="2"/>
  <c r="A169" i="1" s="1"/>
  <c r="B189" i="5" s="1"/>
  <c r="A180" i="2"/>
  <c r="A170" i="1" s="1"/>
  <c r="A181" i="2"/>
  <c r="A171" i="1" s="1"/>
  <c r="A182" i="2"/>
  <c r="A172" i="1" s="1"/>
  <c r="A183" i="2"/>
  <c r="A173" i="1" s="1"/>
  <c r="A184" i="2"/>
  <c r="A174" i="1" s="1"/>
  <c r="B190" i="5" s="1"/>
  <c r="A185" i="2"/>
  <c r="A175" i="1" s="1"/>
  <c r="B191" i="5" s="1"/>
  <c r="A186" i="2"/>
  <c r="A176" i="1" s="1"/>
  <c r="A187" i="2"/>
  <c r="A177" i="1" s="1"/>
  <c r="A188" i="2"/>
  <c r="A178" i="1" s="1"/>
  <c r="B197" i="5" s="1"/>
  <c r="A189" i="2"/>
  <c r="A179" i="1" s="1"/>
  <c r="B198" i="5" s="1"/>
  <c r="A190" i="2"/>
  <c r="A180" i="1" s="1"/>
  <c r="B199" i="5" s="1"/>
  <c r="A191" i="2"/>
  <c r="A181" i="1" s="1"/>
  <c r="B200" i="5" s="1"/>
  <c r="A192" i="2"/>
  <c r="A182" i="1" s="1"/>
  <c r="B201" i="5" s="1"/>
  <c r="A193" i="2"/>
  <c r="A183" i="1" s="1"/>
  <c r="B202" i="5" s="1"/>
  <c r="A194" i="2"/>
  <c r="A184" i="1" s="1"/>
  <c r="B203" i="5" s="1"/>
  <c r="A195" i="2"/>
  <c r="A185" i="1" s="1"/>
  <c r="B204" i="5" s="1"/>
  <c r="A196" i="2"/>
  <c r="A186" i="1" s="1"/>
  <c r="B205" i="5" s="1"/>
  <c r="A197" i="2"/>
  <c r="A187" i="1" s="1"/>
  <c r="B206" i="5" s="1"/>
  <c r="A198" i="2"/>
  <c r="A188" i="1" s="1"/>
  <c r="B207" i="5" s="1"/>
  <c r="A199" i="2"/>
  <c r="A189" i="1" s="1"/>
  <c r="B208" i="5" s="1"/>
  <c r="A200" i="2"/>
  <c r="A190" i="1" s="1"/>
  <c r="B209" i="5" s="1"/>
  <c r="A201" i="2"/>
  <c r="A191" i="1" s="1"/>
  <c r="B210" i="5" s="1"/>
  <c r="A202" i="2"/>
  <c r="A192" i="1" s="1"/>
  <c r="B211" i="5" s="1"/>
  <c r="A203" i="2"/>
  <c r="A193" i="1" s="1"/>
  <c r="B212" i="5" s="1"/>
  <c r="A204" i="2"/>
  <c r="A194" i="1" s="1"/>
  <c r="B213" i="5" s="1"/>
  <c r="A205" i="2"/>
  <c r="A195" i="1" s="1"/>
  <c r="B214" i="5" s="1"/>
  <c r="A206" i="2"/>
  <c r="A196" i="1" s="1"/>
  <c r="B215" i="5" s="1"/>
  <c r="A207" i="2"/>
  <c r="A197" i="1" s="1"/>
  <c r="B216" i="5" s="1"/>
  <c r="A208" i="2"/>
  <c r="A198" i="1" s="1"/>
  <c r="B217" i="5" s="1"/>
  <c r="A209" i="2"/>
  <c r="A199" i="1" s="1"/>
  <c r="B218" i="5" s="1"/>
  <c r="A210" i="2"/>
  <c r="A200" i="1" s="1"/>
  <c r="B219" i="5" s="1"/>
  <c r="A211" i="2"/>
  <c r="A201" i="1" s="1"/>
  <c r="B220" i="5" s="1"/>
  <c r="A212" i="2"/>
  <c r="A202" i="1" s="1"/>
  <c r="B221" i="5" s="1"/>
  <c r="A213" i="2"/>
  <c r="A203" i="1" s="1"/>
  <c r="B222" i="5" s="1"/>
  <c r="A214" i="2"/>
  <c r="A204" i="1" s="1"/>
  <c r="B223" i="5" s="1"/>
  <c r="A215" i="2"/>
  <c r="A205" i="1" s="1"/>
  <c r="B224" i="5" s="1"/>
  <c r="A216" i="2"/>
  <c r="A206" i="1" s="1"/>
  <c r="B225" i="5" s="1"/>
  <c r="A217" i="2"/>
  <c r="A207" i="1" s="1"/>
  <c r="B226" i="5" s="1"/>
  <c r="A218" i="2"/>
  <c r="A208" i="1" s="1"/>
  <c r="B227" i="5" s="1"/>
  <c r="A219" i="2"/>
  <c r="A209" i="1" s="1"/>
  <c r="B228" i="5" s="1"/>
  <c r="A220" i="2"/>
  <c r="A210" i="1" s="1"/>
  <c r="B229" i="5" s="1"/>
  <c r="A221" i="2"/>
  <c r="A211" i="1" s="1"/>
  <c r="B230" i="5" s="1"/>
  <c r="A222" i="2"/>
  <c r="A212" i="1" s="1"/>
  <c r="A223" i="2"/>
  <c r="A213" i="1" s="1"/>
  <c r="A224" i="2"/>
  <c r="A214" i="1" s="1"/>
  <c r="A225" i="2"/>
  <c r="A215" i="1" s="1"/>
  <c r="A226" i="2"/>
  <c r="A216" i="1" s="1"/>
  <c r="B231" i="5" s="1"/>
  <c r="A227" i="2"/>
  <c r="A217" i="1" s="1"/>
  <c r="B232" i="5" s="1"/>
  <c r="A228" i="2"/>
  <c r="A218" i="1" s="1"/>
  <c r="A229" i="2"/>
  <c r="A219" i="1" s="1"/>
  <c r="A230" i="2"/>
  <c r="A220" i="1" s="1"/>
  <c r="B238" i="5" s="1"/>
  <c r="A231" i="2"/>
  <c r="A221" i="1" s="1"/>
  <c r="B239" i="5" s="1"/>
  <c r="A232" i="2"/>
  <c r="A222" i="1" s="1"/>
  <c r="B240" i="5" s="1"/>
  <c r="A233" i="2"/>
  <c r="A223" i="1" s="1"/>
  <c r="B241" i="5" s="1"/>
  <c r="A234" i="2"/>
  <c r="A224" i="1" s="1"/>
  <c r="B242" i="5" s="1"/>
  <c r="A235" i="2"/>
  <c r="A225" i="1" s="1"/>
  <c r="B243" i="5" s="1"/>
  <c r="A236" i="2"/>
  <c r="A226" i="1" s="1"/>
  <c r="B244" i="5" s="1"/>
  <c r="A237" i="2"/>
  <c r="A227" i="1" s="1"/>
  <c r="B245" i="5" s="1"/>
  <c r="A238" i="2"/>
  <c r="A228" i="1" s="1"/>
  <c r="B246" i="5" s="1"/>
  <c r="A239" i="2"/>
  <c r="A229" i="1" s="1"/>
  <c r="B247" i="5" s="1"/>
  <c r="A240" i="2"/>
  <c r="A230" i="1" s="1"/>
  <c r="B248" i="5" s="1"/>
  <c r="A241" i="2"/>
  <c r="A231" i="1" s="1"/>
  <c r="B249" i="5" s="1"/>
  <c r="A242" i="2"/>
  <c r="A232" i="1" s="1"/>
  <c r="B250" i="5" s="1"/>
  <c r="A243" i="2"/>
  <c r="A233" i="1" s="1"/>
  <c r="B251" i="5" s="1"/>
  <c r="A244" i="2"/>
  <c r="A234" i="1" s="1"/>
  <c r="B252" i="5" s="1"/>
  <c r="A245" i="2"/>
  <c r="A235" i="1" s="1"/>
  <c r="B253" i="5" s="1"/>
  <c r="A246" i="2"/>
  <c r="A236" i="1" s="1"/>
  <c r="B254" i="5" s="1"/>
  <c r="A247" i="2"/>
  <c r="A237" i="1" s="1"/>
  <c r="B255" i="5" s="1"/>
  <c r="A248" i="2"/>
  <c r="A238" i="1" s="1"/>
  <c r="B256" i="5" s="1"/>
  <c r="A249" i="2"/>
  <c r="A239" i="1" s="1"/>
  <c r="B257" i="5" s="1"/>
  <c r="A250" i="2"/>
  <c r="A240" i="1" s="1"/>
  <c r="B258" i="5" s="1"/>
  <c r="A251" i="2"/>
  <c r="A241" i="1" s="1"/>
  <c r="B259" i="5" s="1"/>
  <c r="A252" i="2"/>
  <c r="A242" i="1" s="1"/>
  <c r="B260" i="5" s="1"/>
  <c r="A253" i="2"/>
  <c r="A243" i="1" s="1"/>
  <c r="B261" i="5" s="1"/>
  <c r="A254" i="2"/>
  <c r="A244" i="1" s="1"/>
  <c r="B262" i="5" s="1"/>
  <c r="A255" i="2"/>
  <c r="A245" i="1" s="1"/>
  <c r="B263" i="5" s="1"/>
  <c r="A256" i="2"/>
  <c r="A246" i="1" s="1"/>
  <c r="B264" i="5" s="1"/>
  <c r="A257" i="2"/>
  <c r="A247" i="1" s="1"/>
  <c r="B265" i="5" s="1"/>
  <c r="A258" i="2"/>
  <c r="A248" i="1" s="1"/>
  <c r="B266" i="5" s="1"/>
  <c r="A259" i="2"/>
  <c r="A249" i="1" s="1"/>
  <c r="B267" i="5" s="1"/>
  <c r="A260" i="2"/>
  <c r="A250" i="1" s="1"/>
  <c r="B268" i="5" s="1"/>
  <c r="A261" i="2"/>
  <c r="A251" i="1" s="1"/>
  <c r="B269" i="5" s="1"/>
  <c r="A262" i="2"/>
  <c r="A252" i="1" s="1"/>
  <c r="B270" i="5" s="1"/>
  <c r="A263" i="2"/>
  <c r="A253" i="1" s="1"/>
  <c r="B271" i="5" s="1"/>
  <c r="A264" i="2"/>
  <c r="A254" i="1" s="1"/>
  <c r="A265" i="2"/>
  <c r="A255" i="1" s="1"/>
  <c r="A266" i="2"/>
  <c r="A256" i="1" s="1"/>
  <c r="A267" i="2"/>
  <c r="A257" i="1" s="1"/>
  <c r="A268" i="2"/>
  <c r="A258" i="1" s="1"/>
  <c r="B272" i="5" s="1"/>
  <c r="A269" i="2"/>
  <c r="A259" i="1" s="1"/>
  <c r="B273" i="5" s="1"/>
  <c r="A270" i="2"/>
  <c r="A260" i="1" s="1"/>
  <c r="A271" i="2"/>
  <c r="A261" i="1" s="1"/>
  <c r="B278" i="5" s="1"/>
  <c r="A272" i="2"/>
  <c r="A262" i="1" s="1"/>
  <c r="B279" i="5" s="1"/>
  <c r="A273" i="2"/>
  <c r="A263" i="1" s="1"/>
  <c r="B280" i="5" s="1"/>
  <c r="A274" i="2"/>
  <c r="A264" i="1" s="1"/>
  <c r="B281" i="5" s="1"/>
  <c r="A275" i="2"/>
  <c r="A265" i="1" s="1"/>
  <c r="B282" i="5" s="1"/>
  <c r="A276" i="2"/>
  <c r="A266" i="1" s="1"/>
  <c r="B283" i="5" s="1"/>
  <c r="A277" i="2"/>
  <c r="A267" i="1" s="1"/>
  <c r="B284" i="5" s="1"/>
  <c r="A278" i="2"/>
  <c r="A268" i="1" s="1"/>
  <c r="B285" i="5" s="1"/>
  <c r="A279" i="2"/>
  <c r="A269" i="1" s="1"/>
  <c r="B286" i="5" s="1"/>
  <c r="A280" i="2"/>
  <c r="A270" i="1" s="1"/>
  <c r="B287" i="5" s="1"/>
  <c r="A281" i="2"/>
  <c r="A271" i="1" s="1"/>
  <c r="B288" i="5" s="1"/>
  <c r="A282" i="2"/>
  <c r="A272" i="1" s="1"/>
  <c r="B289" i="5" s="1"/>
  <c r="A283" i="2"/>
  <c r="A273" i="1" s="1"/>
  <c r="B290" i="5" s="1"/>
  <c r="A284" i="2"/>
  <c r="A274" i="1" s="1"/>
  <c r="B291" i="5" s="1"/>
  <c r="A285" i="2"/>
  <c r="A275" i="1" s="1"/>
  <c r="B292" i="5" s="1"/>
  <c r="A286" i="2"/>
  <c r="A276" i="1" s="1"/>
  <c r="B293" i="5" s="1"/>
  <c r="A287" i="2"/>
  <c r="A277" i="1" s="1"/>
  <c r="B294" i="5" s="1"/>
  <c r="A288" i="2"/>
  <c r="A278" i="1" s="1"/>
  <c r="B295" i="5" s="1"/>
  <c r="A289" i="2"/>
  <c r="A279" i="1" s="1"/>
  <c r="B296" i="5" s="1"/>
  <c r="A290" i="2"/>
  <c r="A280" i="1" s="1"/>
  <c r="B297" i="5" s="1"/>
  <c r="A291" i="2"/>
  <c r="A281" i="1" s="1"/>
  <c r="B298" i="5" s="1"/>
  <c r="A292" i="2"/>
  <c r="A282" i="1" s="1"/>
  <c r="B299" i="5" s="1"/>
  <c r="A293" i="2"/>
  <c r="A283" i="1" s="1"/>
  <c r="B300" i="5" s="1"/>
  <c r="A294" i="2"/>
  <c r="A284" i="1" s="1"/>
  <c r="B301" i="5" s="1"/>
  <c r="A295" i="2"/>
  <c r="A285" i="1" s="1"/>
  <c r="B302" i="5" s="1"/>
  <c r="A296" i="2"/>
  <c r="A286" i="1" s="1"/>
  <c r="B303" i="5" s="1"/>
  <c r="A297" i="2"/>
  <c r="A287" i="1" s="1"/>
  <c r="B304" i="5" s="1"/>
  <c r="A298" i="2"/>
  <c r="A288" i="1" s="1"/>
  <c r="B305" i="5" s="1"/>
  <c r="A299" i="2"/>
  <c r="A289" i="1" s="1"/>
  <c r="B306" i="5" s="1"/>
  <c r="A300" i="2"/>
  <c r="A290" i="1" s="1"/>
  <c r="B307" i="5" s="1"/>
  <c r="A301" i="2"/>
  <c r="A291" i="1" s="1"/>
  <c r="B308" i="5" s="1"/>
  <c r="A302" i="2"/>
  <c r="A292" i="1" s="1"/>
  <c r="B309" i="5" s="1"/>
  <c r="A303" i="2"/>
  <c r="A293" i="1" s="1"/>
  <c r="B310" i="5" s="1"/>
  <c r="A304" i="2"/>
  <c r="A294" i="1" s="1"/>
  <c r="B311" i="5" s="1"/>
  <c r="A305" i="2"/>
  <c r="A295" i="1" s="1"/>
  <c r="B312" i="5" s="1"/>
  <c r="A306" i="2"/>
  <c r="A296" i="1" s="1"/>
  <c r="A307" i="2"/>
  <c r="A297" i="1" s="1"/>
  <c r="A308" i="2"/>
  <c r="A298" i="1" s="1"/>
  <c r="A309" i="2"/>
  <c r="A299" i="1" s="1"/>
  <c r="A310" i="2"/>
  <c r="A300" i="1" s="1"/>
  <c r="B313" i="5" s="1"/>
  <c r="A311" i="2"/>
  <c r="A301" i="1" s="1"/>
  <c r="B314" i="5" s="1"/>
  <c r="A312" i="2"/>
  <c r="A302" i="1" s="1"/>
  <c r="A313" i="2"/>
  <c r="A303" i="1" s="1"/>
  <c r="B320" i="5" s="1"/>
  <c r="A314" i="2"/>
  <c r="A304" i="1" s="1"/>
  <c r="B321" i="5" s="1"/>
  <c r="A315" i="2"/>
  <c r="A305" i="1" s="1"/>
  <c r="B322" i="5" s="1"/>
  <c r="A316" i="2"/>
  <c r="A306" i="1" s="1"/>
  <c r="B323" i="5" s="1"/>
  <c r="A317" i="2"/>
  <c r="A307" i="1" s="1"/>
  <c r="B324" i="5" s="1"/>
  <c r="A318" i="2"/>
  <c r="A308" i="1" s="1"/>
  <c r="B325" i="5" s="1"/>
  <c r="A319" i="2"/>
  <c r="A309" i="1" s="1"/>
  <c r="B326" i="5" s="1"/>
  <c r="A320" i="2"/>
  <c r="A310" i="1" s="1"/>
  <c r="B327" i="5" s="1"/>
  <c r="A321" i="2"/>
  <c r="A311" i="1" s="1"/>
  <c r="B328" i="5" s="1"/>
  <c r="A322" i="2"/>
  <c r="A312" i="1" s="1"/>
  <c r="B329" i="5" s="1"/>
  <c r="A323" i="2"/>
  <c r="A313" i="1" s="1"/>
  <c r="B330" i="5" s="1"/>
  <c r="A324" i="2"/>
  <c r="A314" i="1" s="1"/>
  <c r="B331" i="5" s="1"/>
  <c r="A325" i="2"/>
  <c r="A315" i="1" s="1"/>
  <c r="B332" i="5" s="1"/>
  <c r="A326" i="2"/>
  <c r="A316" i="1" s="1"/>
  <c r="B333" i="5" s="1"/>
  <c r="A327" i="2"/>
  <c r="A317" i="1" s="1"/>
  <c r="B334" i="5" s="1"/>
  <c r="A328" i="2"/>
  <c r="A318" i="1" s="1"/>
  <c r="B335" i="5" s="1"/>
  <c r="A329" i="2"/>
  <c r="A319" i="1" s="1"/>
  <c r="B336" i="5" s="1"/>
  <c r="A330" i="2"/>
  <c r="A320" i="1" s="1"/>
  <c r="B337" i="5" s="1"/>
  <c r="A331" i="2"/>
  <c r="A321" i="1" s="1"/>
  <c r="B338" i="5" s="1"/>
  <c r="A332" i="2"/>
  <c r="A322" i="1" s="1"/>
  <c r="B339" i="5" s="1"/>
  <c r="A333" i="2"/>
  <c r="A323" i="1" s="1"/>
  <c r="B340" i="5" s="1"/>
  <c r="A334" i="2"/>
  <c r="A324" i="1" s="1"/>
  <c r="B341" i="5" s="1"/>
  <c r="A335" i="2"/>
  <c r="A325" i="1" s="1"/>
  <c r="B342" i="5" s="1"/>
  <c r="A336" i="2"/>
  <c r="A326" i="1" s="1"/>
  <c r="B343" i="5" s="1"/>
  <c r="A337" i="2"/>
  <c r="A327" i="1" s="1"/>
  <c r="B344" i="5" s="1"/>
  <c r="A338" i="2"/>
  <c r="A328" i="1" s="1"/>
  <c r="B345" i="5" s="1"/>
  <c r="A339" i="2"/>
  <c r="A329" i="1" s="1"/>
  <c r="B346" i="5" s="1"/>
  <c r="A340" i="2"/>
  <c r="A330" i="1" s="1"/>
  <c r="B347" i="5" s="1"/>
  <c r="A341" i="2"/>
  <c r="A331" i="1" s="1"/>
  <c r="B348" i="5" s="1"/>
  <c r="A342" i="2"/>
  <c r="A332" i="1" s="1"/>
  <c r="B349" i="5" s="1"/>
  <c r="A343" i="2"/>
  <c r="A333" i="1" s="1"/>
  <c r="B350" i="5" s="1"/>
  <c r="A344" i="2"/>
  <c r="A334" i="1" s="1"/>
  <c r="B351" i="5" s="1"/>
  <c r="A345" i="2"/>
  <c r="A335" i="1" s="1"/>
  <c r="B352" i="5" s="1"/>
  <c r="A346" i="2"/>
  <c r="A336" i="1" s="1"/>
  <c r="B353" i="5" s="1"/>
  <c r="A347" i="2"/>
  <c r="A337" i="1" s="1"/>
  <c r="B354" i="5" s="1"/>
  <c r="A348" i="2"/>
  <c r="A338" i="1" s="1"/>
  <c r="A349" i="2"/>
  <c r="A339" i="1" s="1"/>
  <c r="A350" i="2"/>
  <c r="A340" i="1" s="1"/>
  <c r="A351" i="2"/>
  <c r="A341" i="1" s="1"/>
  <c r="A352" i="2"/>
  <c r="A342" i="1" s="1"/>
  <c r="B355" i="5" s="1"/>
  <c r="A353" i="2"/>
  <c r="A343" i="1" s="1"/>
  <c r="B356" i="5" s="1"/>
  <c r="A354" i="2"/>
  <c r="A344" i="1" s="1"/>
  <c r="A355" i="2"/>
  <c r="A345" i="1" s="1"/>
  <c r="B362" i="5" s="1"/>
  <c r="A356" i="2"/>
  <c r="A346" i="1" s="1"/>
  <c r="B363" i="5" s="1"/>
  <c r="A357" i="2"/>
  <c r="A347" i="1" s="1"/>
  <c r="B364" i="5" s="1"/>
  <c r="A358" i="2"/>
  <c r="A348" i="1" s="1"/>
  <c r="B365" i="5" s="1"/>
  <c r="A359" i="2"/>
  <c r="A349" i="1" s="1"/>
  <c r="B366" i="5" s="1"/>
  <c r="A360" i="2"/>
  <c r="A350" i="1" s="1"/>
  <c r="B367" i="5" s="1"/>
  <c r="A361" i="2"/>
  <c r="A351" i="1" s="1"/>
  <c r="B368" i="5" s="1"/>
  <c r="A362" i="2"/>
  <c r="A352" i="1" s="1"/>
  <c r="B369" i="5" s="1"/>
  <c r="A363" i="2"/>
  <c r="A353" i="1" s="1"/>
  <c r="B370" i="5" s="1"/>
  <c r="A364" i="2"/>
  <c r="A354" i="1" s="1"/>
  <c r="B371" i="5" s="1"/>
  <c r="A365" i="2"/>
  <c r="A355" i="1" s="1"/>
  <c r="B372" i="5" s="1"/>
  <c r="A366" i="2"/>
  <c r="A356" i="1" s="1"/>
  <c r="B373" i="5" s="1"/>
  <c r="A367" i="2"/>
  <c r="A357" i="1" s="1"/>
  <c r="B374" i="5" s="1"/>
  <c r="A368" i="2"/>
  <c r="A358" i="1" s="1"/>
  <c r="B375" i="5" s="1"/>
  <c r="A369" i="2"/>
  <c r="A359" i="1" s="1"/>
  <c r="B376" i="5" s="1"/>
  <c r="A370" i="2"/>
  <c r="A360" i="1" s="1"/>
  <c r="B377" i="5" s="1"/>
  <c r="A371" i="2"/>
  <c r="A361" i="1" s="1"/>
  <c r="B378" i="5" s="1"/>
  <c r="A372" i="2"/>
  <c r="A362" i="1" s="1"/>
  <c r="B379" i="5" s="1"/>
  <c r="A373" i="2"/>
  <c r="A363" i="1" s="1"/>
  <c r="B380" i="5" s="1"/>
  <c r="A374" i="2"/>
  <c r="A364" i="1" s="1"/>
  <c r="B381" i="5" s="1"/>
  <c r="A375" i="2"/>
  <c r="A365" i="1" s="1"/>
  <c r="B382" i="5" s="1"/>
  <c r="A376" i="2"/>
  <c r="A366" i="1" s="1"/>
  <c r="B383" i="5" s="1"/>
  <c r="A377" i="2"/>
  <c r="A367" i="1" s="1"/>
  <c r="B384" i="5" s="1"/>
  <c r="A378" i="2"/>
  <c r="A368" i="1" s="1"/>
  <c r="B385" i="5" s="1"/>
  <c r="A379" i="2"/>
  <c r="A369" i="1" s="1"/>
  <c r="B386" i="5" s="1"/>
  <c r="A380" i="2"/>
  <c r="A370" i="1" s="1"/>
  <c r="B387" i="5" s="1"/>
  <c r="A381" i="2"/>
  <c r="A371" i="1" s="1"/>
  <c r="B388" i="5" s="1"/>
  <c r="A382" i="2"/>
  <c r="A372" i="1" s="1"/>
  <c r="B389" i="5" s="1"/>
  <c r="A383" i="2"/>
  <c r="A373" i="1" s="1"/>
  <c r="B390" i="5" s="1"/>
  <c r="A384" i="2"/>
  <c r="A374" i="1" s="1"/>
  <c r="B391" i="5" s="1"/>
  <c r="A385" i="2"/>
  <c r="A375" i="1" s="1"/>
  <c r="B392" i="5" s="1"/>
  <c r="A386" i="2"/>
  <c r="A376" i="1" s="1"/>
  <c r="B393" i="5" s="1"/>
  <c r="A387" i="2"/>
  <c r="A377" i="1" s="1"/>
  <c r="B394" i="5" s="1"/>
  <c r="A388" i="2"/>
  <c r="A378" i="1" s="1"/>
  <c r="B395" i="5" s="1"/>
  <c r="A389" i="2"/>
  <c r="A379" i="1" s="1"/>
  <c r="B396" i="5" s="1"/>
  <c r="A390" i="2"/>
  <c r="A380" i="1" s="1"/>
  <c r="A391" i="2"/>
  <c r="A381" i="1" s="1"/>
  <c r="A392" i="2"/>
  <c r="A382" i="1" s="1"/>
  <c r="A393" i="2"/>
  <c r="A383" i="1" s="1"/>
  <c r="A394" i="2"/>
  <c r="A384" i="1" s="1"/>
  <c r="B397" i="5" s="1"/>
  <c r="A395" i="2"/>
  <c r="A385" i="1" s="1"/>
  <c r="B398" i="5" s="1"/>
  <c r="A396" i="2"/>
  <c r="A386" i="1" s="1"/>
  <c r="A397" i="2"/>
  <c r="A387" i="1" s="1"/>
  <c r="B404" i="5" s="1"/>
  <c r="A398" i="2"/>
  <c r="A388" i="1" s="1"/>
  <c r="B405" i="5" s="1"/>
  <c r="A399" i="2"/>
  <c r="A389" i="1" s="1"/>
  <c r="B406" i="5" s="1"/>
  <c r="A400" i="2"/>
  <c r="A390" i="1" s="1"/>
  <c r="B407" i="5" s="1"/>
  <c r="A401" i="2"/>
  <c r="A391" i="1" s="1"/>
  <c r="B408" i="5" s="1"/>
  <c r="A402" i="2"/>
  <c r="A392" i="1" s="1"/>
  <c r="B409" i="5" s="1"/>
  <c r="A403" i="2"/>
  <c r="A393" i="1" s="1"/>
  <c r="B410" i="5" s="1"/>
  <c r="A404" i="2"/>
  <c r="A394" i="1" s="1"/>
  <c r="B411" i="5" s="1"/>
  <c r="A405" i="2"/>
  <c r="A395" i="1" s="1"/>
  <c r="B412" i="5" s="1"/>
  <c r="A406" i="2"/>
  <c r="A396" i="1" s="1"/>
  <c r="B413" i="5" s="1"/>
  <c r="A407" i="2"/>
  <c r="A397" i="1" s="1"/>
  <c r="B414" i="5" s="1"/>
  <c r="A408" i="2"/>
  <c r="A398" i="1" s="1"/>
  <c r="B415" i="5" s="1"/>
  <c r="A409" i="2"/>
  <c r="A399" i="1" s="1"/>
  <c r="B416" i="5" s="1"/>
  <c r="A410" i="2"/>
  <c r="A400" i="1" s="1"/>
  <c r="B417" i="5" s="1"/>
  <c r="A411" i="2"/>
  <c r="A401" i="1" s="1"/>
  <c r="B418" i="5" s="1"/>
  <c r="A412" i="2"/>
  <c r="A402" i="1" s="1"/>
  <c r="B419" i="5" s="1"/>
  <c r="A413" i="2"/>
  <c r="A403" i="1" s="1"/>
  <c r="B420" i="5" s="1"/>
  <c r="A414" i="2"/>
  <c r="A404" i="1" s="1"/>
  <c r="B421" i="5" s="1"/>
  <c r="A415" i="2"/>
  <c r="A405" i="1" s="1"/>
  <c r="B422" i="5" s="1"/>
  <c r="A416" i="2"/>
  <c r="A406" i="1" s="1"/>
  <c r="B423" i="5" s="1"/>
  <c r="A417" i="2"/>
  <c r="A407" i="1" s="1"/>
  <c r="B424" i="5" s="1"/>
  <c r="A418" i="2"/>
  <c r="A408" i="1" s="1"/>
  <c r="B425" i="5" s="1"/>
  <c r="A419" i="2"/>
  <c r="A409" i="1" s="1"/>
  <c r="B426" i="5" s="1"/>
  <c r="A420" i="2"/>
  <c r="A410" i="1" s="1"/>
  <c r="B427" i="5" s="1"/>
  <c r="A421" i="2"/>
  <c r="A411" i="1" s="1"/>
  <c r="B428" i="5" s="1"/>
  <c r="A422" i="2"/>
  <c r="A412" i="1" s="1"/>
  <c r="B429" i="5" s="1"/>
  <c r="A423" i="2"/>
  <c r="A413" i="1" s="1"/>
  <c r="B430" i="5" s="1"/>
  <c r="A424" i="2"/>
  <c r="A414" i="1" s="1"/>
  <c r="B431" i="5" s="1"/>
  <c r="A425" i="2"/>
  <c r="A415" i="1" s="1"/>
  <c r="B432" i="5" s="1"/>
  <c r="A426" i="2"/>
  <c r="A416" i="1" s="1"/>
  <c r="B433" i="5" s="1"/>
  <c r="A427" i="2"/>
  <c r="A417" i="1" s="1"/>
  <c r="B434" i="5" s="1"/>
  <c r="A428" i="2"/>
  <c r="A418" i="1" s="1"/>
  <c r="B435" i="5" s="1"/>
  <c r="A429" i="2"/>
  <c r="A419" i="1" s="1"/>
  <c r="B436" i="5" s="1"/>
  <c r="A430" i="2"/>
  <c r="A420" i="1" s="1"/>
  <c r="B437" i="5" s="1"/>
  <c r="A431" i="2"/>
  <c r="A421" i="1" s="1"/>
  <c r="B438" i="5" s="1"/>
  <c r="A432" i="2"/>
  <c r="A422" i="1" s="1"/>
  <c r="A433" i="2"/>
  <c r="A423" i="1" s="1"/>
  <c r="A434" i="2"/>
  <c r="A424" i="1" s="1"/>
  <c r="A435" i="2"/>
  <c r="A425" i="1" s="1"/>
  <c r="A436" i="2"/>
  <c r="A426" i="1" s="1"/>
  <c r="B439" i="5" s="1"/>
  <c r="A437" i="2"/>
  <c r="A427" i="1" s="1"/>
  <c r="B440" i="5" s="1"/>
  <c r="A438" i="2"/>
  <c r="A428" i="1" s="1"/>
  <c r="B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G427" i="3"/>
  <c r="H427" i="3"/>
  <c r="H429" i="3" s="1"/>
  <c r="H431" i="3" s="1"/>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28" i="3"/>
  <c r="C29" i="3"/>
  <c r="C30" i="3"/>
  <c r="C31" i="3"/>
  <c r="C32" i="3"/>
  <c r="C33" i="3"/>
  <c r="C34" i="3"/>
  <c r="C35" i="3"/>
  <c r="C36" i="3"/>
  <c r="C37" i="3"/>
  <c r="C38" i="3"/>
  <c r="C39" i="3"/>
  <c r="C40" i="3"/>
  <c r="C41" i="3"/>
  <c r="C42" i="3"/>
  <c r="C43" i="3"/>
  <c r="C44" i="3"/>
  <c r="C45" i="3"/>
  <c r="C46" i="3"/>
  <c r="C26" i="3"/>
  <c r="C11" i="3"/>
  <c r="C12" i="3"/>
  <c r="C13" i="3"/>
  <c r="C14" i="3"/>
  <c r="C15" i="3"/>
  <c r="C16" i="3"/>
  <c r="C17" i="3"/>
  <c r="C18" i="3"/>
  <c r="C19" i="3"/>
  <c r="C20" i="3"/>
  <c r="C21" i="3"/>
  <c r="C22" i="3"/>
  <c r="C23" i="3"/>
  <c r="C24" i="3"/>
  <c r="C25" i="3"/>
  <c r="C27" i="3"/>
  <c r="A9" i="1" l="1"/>
  <c r="B17" i="5" s="1"/>
  <c r="C9" i="5" s="1"/>
  <c r="G429" i="3"/>
  <c r="U147" i="2"/>
  <c r="U18" i="2"/>
  <c r="U22" i="2"/>
  <c r="U26" i="2"/>
  <c r="U30" i="2"/>
  <c r="U34" i="2"/>
  <c r="U38" i="2"/>
  <c r="U42" i="2"/>
  <c r="U46" i="2"/>
  <c r="U50" i="2"/>
  <c r="U54" i="2"/>
  <c r="U58" i="2"/>
  <c r="U62" i="2"/>
  <c r="U66" i="2"/>
  <c r="U70" i="2"/>
  <c r="U74" i="2"/>
  <c r="U78" i="2"/>
  <c r="U85" i="2"/>
  <c r="U88" i="2"/>
  <c r="U92" i="2"/>
  <c r="U96" i="2"/>
  <c r="U100" i="2"/>
  <c r="U104" i="2"/>
  <c r="U108" i="2"/>
  <c r="U112" i="2"/>
  <c r="U116" i="2"/>
  <c r="U120" i="2"/>
  <c r="U124" i="2"/>
  <c r="U128" i="2"/>
  <c r="U132" i="2"/>
  <c r="U136" i="2"/>
  <c r="U140" i="2"/>
  <c r="U143" i="2"/>
  <c r="U148" i="2"/>
  <c r="U151" i="2"/>
  <c r="U155" i="2"/>
  <c r="U162" i="2"/>
  <c r="U166" i="2"/>
  <c r="U170" i="2"/>
  <c r="U173" i="2"/>
  <c r="U177" i="2"/>
  <c r="U181" i="2"/>
  <c r="U188" i="2"/>
  <c r="U191" i="2"/>
  <c r="U195" i="2"/>
  <c r="U199" i="2"/>
  <c r="U202" i="2"/>
  <c r="U205" i="2"/>
  <c r="U208" i="2"/>
  <c r="U212" i="2"/>
  <c r="U216" i="2"/>
  <c r="U220" i="2"/>
  <c r="U223" i="2"/>
  <c r="U226" i="2"/>
  <c r="U230" i="2"/>
  <c r="U234" i="2"/>
  <c r="U237" i="2"/>
  <c r="U241" i="2"/>
  <c r="U245" i="2"/>
  <c r="U249" i="2"/>
  <c r="U252" i="2"/>
  <c r="U255" i="2"/>
  <c r="U259" i="2"/>
  <c r="U262" i="2"/>
  <c r="U266" i="2"/>
  <c r="U270" i="2"/>
  <c r="U274" i="2"/>
  <c r="U278" i="2"/>
  <c r="U282" i="2"/>
  <c r="U286" i="2"/>
  <c r="U290" i="2"/>
  <c r="U294" i="2"/>
  <c r="U298" i="2"/>
  <c r="U302" i="2"/>
  <c r="U306" i="2"/>
  <c r="U19" i="2"/>
  <c r="U23" i="2"/>
  <c r="U27" i="2"/>
  <c r="U31" i="2"/>
  <c r="U35" i="2"/>
  <c r="U39" i="2"/>
  <c r="U43" i="2"/>
  <c r="U47" i="2"/>
  <c r="U51" i="2"/>
  <c r="U55" i="2"/>
  <c r="U59" i="2"/>
  <c r="U63" i="2"/>
  <c r="U67" i="2"/>
  <c r="U71" i="2"/>
  <c r="U75" i="2"/>
  <c r="U79" i="2"/>
  <c r="U82" i="2"/>
  <c r="U86" i="2"/>
  <c r="U89" i="2"/>
  <c r="U93" i="2"/>
  <c r="U97" i="2"/>
  <c r="U101" i="2"/>
  <c r="U105" i="2"/>
  <c r="U109" i="2"/>
  <c r="U113" i="2"/>
  <c r="U117" i="2"/>
  <c r="U121" i="2"/>
  <c r="U125" i="2"/>
  <c r="U129" i="2"/>
  <c r="U133" i="2"/>
  <c r="U137" i="2"/>
  <c r="U144" i="2"/>
  <c r="U149" i="2"/>
  <c r="U152" i="2"/>
  <c r="U156" i="2"/>
  <c r="U159" i="2"/>
  <c r="U163" i="2"/>
  <c r="U167" i="2"/>
  <c r="U171" i="2"/>
  <c r="U174" i="2"/>
  <c r="U178" i="2"/>
  <c r="U182" i="2"/>
  <c r="U185" i="2"/>
  <c r="U189" i="2"/>
  <c r="U192" i="2"/>
  <c r="U196" i="2"/>
  <c r="U200" i="2"/>
  <c r="U203" i="2"/>
  <c r="U206" i="2"/>
  <c r="U209" i="2"/>
  <c r="U213" i="2"/>
  <c r="U217" i="2"/>
  <c r="U224" i="2"/>
  <c r="U227" i="2"/>
  <c r="U231" i="2"/>
  <c r="U238" i="2"/>
  <c r="U242" i="2"/>
  <c r="U246" i="2"/>
  <c r="U250" i="2"/>
  <c r="U256" i="2"/>
  <c r="U260" i="2"/>
  <c r="U263" i="2"/>
  <c r="U267" i="2"/>
  <c r="U271" i="2"/>
  <c r="U275" i="2"/>
  <c r="U279" i="2"/>
  <c r="U283" i="2"/>
  <c r="U287" i="2"/>
  <c r="U291" i="2"/>
  <c r="U295" i="2"/>
  <c r="U299" i="2"/>
  <c r="U303" i="2"/>
  <c r="U307" i="2"/>
  <c r="U20" i="2"/>
  <c r="U24" i="2"/>
  <c r="U28" i="2"/>
  <c r="U32" i="2"/>
  <c r="U36" i="2"/>
  <c r="U40" i="2"/>
  <c r="U44" i="2"/>
  <c r="U48" i="2"/>
  <c r="U52" i="2"/>
  <c r="U56" i="2"/>
  <c r="U60" i="2"/>
  <c r="U64" i="2"/>
  <c r="U68" i="2"/>
  <c r="U72" i="2"/>
  <c r="U76" i="2"/>
  <c r="U80" i="2"/>
  <c r="U83" i="2"/>
  <c r="U90" i="2"/>
  <c r="U94" i="2"/>
  <c r="U98" i="2"/>
  <c r="U102" i="2"/>
  <c r="U106" i="2"/>
  <c r="U110" i="2"/>
  <c r="U114" i="2"/>
  <c r="U118" i="2"/>
  <c r="U122" i="2"/>
  <c r="U126" i="2"/>
  <c r="U130" i="2"/>
  <c r="U134" i="2"/>
  <c r="U138" i="2"/>
  <c r="U141" i="2"/>
  <c r="U145" i="2"/>
  <c r="U150" i="2"/>
  <c r="U153" i="2"/>
  <c r="U157" i="2"/>
  <c r="U160" i="2"/>
  <c r="U164" i="2"/>
  <c r="U168" i="2"/>
  <c r="U172" i="2"/>
  <c r="U175" i="2"/>
  <c r="U179" i="2"/>
  <c r="U183" i="2"/>
  <c r="U186" i="2"/>
  <c r="U190" i="2"/>
  <c r="U193" i="2"/>
  <c r="U197" i="2"/>
  <c r="U204" i="2"/>
  <c r="U210" i="2"/>
  <c r="U214" i="2"/>
  <c r="U218" i="2"/>
  <c r="U221" i="2"/>
  <c r="U228" i="2"/>
  <c r="U232" i="2"/>
  <c r="U235" i="2"/>
  <c r="U239" i="2"/>
  <c r="U243" i="2"/>
  <c r="U247" i="2"/>
  <c r="U253" i="2"/>
  <c r="U257" i="2"/>
  <c r="U264" i="2"/>
  <c r="U268" i="2"/>
  <c r="U272" i="2"/>
  <c r="U276" i="2"/>
  <c r="U280" i="2"/>
  <c r="U284" i="2"/>
  <c r="U288" i="2"/>
  <c r="U292" i="2"/>
  <c r="U296" i="2"/>
  <c r="U300" i="2"/>
  <c r="U304" i="2"/>
  <c r="U308" i="2"/>
  <c r="U21" i="2"/>
  <c r="U25" i="2"/>
  <c r="U29" i="2"/>
  <c r="U33" i="2"/>
  <c r="U37" i="2"/>
  <c r="U41" i="2"/>
  <c r="U45" i="2"/>
  <c r="U49" i="2"/>
  <c r="U53" i="2"/>
  <c r="U57" i="2"/>
  <c r="U61" i="2"/>
  <c r="U65" i="2"/>
  <c r="U69" i="2"/>
  <c r="U73" i="2"/>
  <c r="U77" i="2"/>
  <c r="U81" i="2"/>
  <c r="U84" i="2"/>
  <c r="U87" i="2"/>
  <c r="U91" i="2"/>
  <c r="U95" i="2"/>
  <c r="U99" i="2"/>
  <c r="U103" i="2"/>
  <c r="U107" i="2"/>
  <c r="U111" i="2"/>
  <c r="U115" i="2"/>
  <c r="U119" i="2"/>
  <c r="U123" i="2"/>
  <c r="U127" i="2"/>
  <c r="U131" i="2"/>
  <c r="U135" i="2"/>
  <c r="U139" i="2"/>
  <c r="U142" i="2"/>
  <c r="U146" i="2"/>
  <c r="U154" i="2"/>
  <c r="U158" i="2"/>
  <c r="U161" i="2"/>
  <c r="U165" i="2"/>
  <c r="U169" i="2"/>
  <c r="U176" i="2"/>
  <c r="U180" i="2"/>
  <c r="U184" i="2"/>
  <c r="U187" i="2"/>
  <c r="U194" i="2"/>
  <c r="U198" i="2"/>
  <c r="U201" i="2"/>
  <c r="U207" i="2"/>
  <c r="U211" i="2"/>
  <c r="U215" i="2"/>
  <c r="U219" i="2"/>
  <c r="U222" i="2"/>
  <c r="U225" i="2"/>
  <c r="U229" i="2"/>
  <c r="U233" i="2"/>
  <c r="U236" i="2"/>
  <c r="U240" i="2"/>
  <c r="U244" i="2"/>
  <c r="U248" i="2"/>
  <c r="U251" i="2"/>
  <c r="U254" i="2"/>
  <c r="U258" i="2"/>
  <c r="U261" i="2"/>
  <c r="U265" i="2"/>
  <c r="U269" i="2"/>
  <c r="U273" i="2"/>
  <c r="U277" i="2"/>
  <c r="U281" i="2"/>
  <c r="U285" i="2"/>
  <c r="U289" i="2"/>
  <c r="U293" i="2"/>
  <c r="U297" i="2"/>
  <c r="U301" i="2"/>
  <c r="U305" i="2"/>
  <c r="U309" i="2"/>
  <c r="U310" i="2"/>
  <c r="U314" i="2"/>
  <c r="U318" i="2"/>
  <c r="U322" i="2"/>
  <c r="U326" i="2"/>
  <c r="U330" i="2"/>
  <c r="U334" i="2"/>
  <c r="U338" i="2"/>
  <c r="U342" i="2"/>
  <c r="U346" i="2"/>
  <c r="U350" i="2"/>
  <c r="U354" i="2"/>
  <c r="U358" i="2"/>
  <c r="U362" i="2"/>
  <c r="U366" i="2"/>
  <c r="U370" i="2"/>
  <c r="U374" i="2"/>
  <c r="U378" i="2"/>
  <c r="U382" i="2"/>
  <c r="U386" i="2"/>
  <c r="U390" i="2"/>
  <c r="U393" i="2"/>
  <c r="U397" i="2"/>
  <c r="U401" i="2"/>
  <c r="U404" i="2"/>
  <c r="U412" i="2"/>
  <c r="U416" i="2"/>
  <c r="U420" i="2"/>
  <c r="U423" i="2"/>
  <c r="U427" i="2"/>
  <c r="U431" i="2"/>
  <c r="U434" i="2"/>
  <c r="U438" i="2"/>
  <c r="U311" i="2"/>
  <c r="U315" i="2"/>
  <c r="U319" i="2"/>
  <c r="U323" i="2"/>
  <c r="U327" i="2"/>
  <c r="U331" i="2"/>
  <c r="U335" i="2"/>
  <c r="U339" i="2"/>
  <c r="U343" i="2"/>
  <c r="U347" i="2"/>
  <c r="U351" i="2"/>
  <c r="U355" i="2"/>
  <c r="U359" i="2"/>
  <c r="U363" i="2"/>
  <c r="U367" i="2"/>
  <c r="U371" i="2"/>
  <c r="U375" i="2"/>
  <c r="U379" i="2"/>
  <c r="U383" i="2"/>
  <c r="U387" i="2"/>
  <c r="U394" i="2"/>
  <c r="U398" i="2"/>
  <c r="U402" i="2"/>
  <c r="U405" i="2"/>
  <c r="U408" i="2"/>
  <c r="U411" i="2"/>
  <c r="U413" i="2"/>
  <c r="U417" i="2"/>
  <c r="U421" i="2"/>
  <c r="U424" i="2"/>
  <c r="U428" i="2"/>
  <c r="U435" i="2"/>
  <c r="U312" i="2"/>
  <c r="U316" i="2"/>
  <c r="U320" i="2"/>
  <c r="U324" i="2"/>
  <c r="U328" i="2"/>
  <c r="U332" i="2"/>
  <c r="U336" i="2"/>
  <c r="U340" i="2"/>
  <c r="U344" i="2"/>
  <c r="U348" i="2"/>
  <c r="U352" i="2"/>
  <c r="U356" i="2"/>
  <c r="U360" i="2"/>
  <c r="U364" i="2"/>
  <c r="U368" i="2"/>
  <c r="U372" i="2"/>
  <c r="U376" i="2"/>
  <c r="U380" i="2"/>
  <c r="U384" i="2"/>
  <c r="U388" i="2"/>
  <c r="U391" i="2"/>
  <c r="U395" i="2"/>
  <c r="U399" i="2"/>
  <c r="U406" i="2"/>
  <c r="U409" i="2"/>
  <c r="U414" i="2"/>
  <c r="U418" i="2"/>
  <c r="U425" i="2"/>
  <c r="U429" i="2"/>
  <c r="U432" i="2"/>
  <c r="U436" i="2"/>
  <c r="U313" i="2"/>
  <c r="U317" i="2"/>
  <c r="U321" i="2"/>
  <c r="U325" i="2"/>
  <c r="U329" i="2"/>
  <c r="U333" i="2"/>
  <c r="U337" i="2"/>
  <c r="U341" i="2"/>
  <c r="U345" i="2"/>
  <c r="U349" i="2"/>
  <c r="U353" i="2"/>
  <c r="U357" i="2"/>
  <c r="U361" i="2"/>
  <c r="U365" i="2"/>
  <c r="U369" i="2"/>
  <c r="U373" i="2"/>
  <c r="U377" i="2"/>
  <c r="U381" i="2"/>
  <c r="U385" i="2"/>
  <c r="U389" i="2"/>
  <c r="U392" i="2"/>
  <c r="U396" i="2"/>
  <c r="U400" i="2"/>
  <c r="U403" i="2"/>
  <c r="U407" i="2"/>
  <c r="U410" i="2"/>
  <c r="U415" i="2"/>
  <c r="U419" i="2"/>
  <c r="U422" i="2"/>
  <c r="U426" i="2"/>
  <c r="U430" i="2"/>
  <c r="U433" i="2"/>
  <c r="U437" i="2"/>
  <c r="B237" i="5"/>
  <c r="A14" i="8"/>
  <c r="H14" i="8" s="1"/>
  <c r="B196" i="5"/>
  <c r="I9" i="5" s="1"/>
  <c r="A12" i="8"/>
  <c r="H12" i="8" s="1"/>
  <c r="B155" i="5"/>
  <c r="H9" i="5" s="1"/>
  <c r="A10" i="8"/>
  <c r="H10" i="8" s="1"/>
  <c r="B109" i="5"/>
  <c r="A8" i="8"/>
  <c r="H8" i="8" s="1"/>
  <c r="B63" i="5"/>
  <c r="E9" i="5" s="1"/>
  <c r="A6" i="8"/>
  <c r="H6" i="8" s="1"/>
  <c r="B429" i="3"/>
  <c r="B431" i="3" s="1"/>
  <c r="B437" i="1" s="1"/>
  <c r="M147" i="2" s="1"/>
  <c r="C429" i="3"/>
  <c r="G431" i="3"/>
  <c r="C431" i="3" s="1"/>
  <c r="A4" i="8" l="1"/>
  <c r="H4" i="8" s="1"/>
  <c r="Y430" i="2"/>
  <c r="Z430" i="2" s="1"/>
  <c r="V430" i="2"/>
  <c r="W430" i="2" s="1"/>
  <c r="Y415" i="2"/>
  <c r="Z415" i="2" s="1"/>
  <c r="V415" i="2"/>
  <c r="W415" i="2" s="1"/>
  <c r="V400" i="2"/>
  <c r="W400" i="2" s="1"/>
  <c r="Y400" i="2"/>
  <c r="Z400" i="2" s="1"/>
  <c r="Y385" i="2"/>
  <c r="Z385" i="2" s="1"/>
  <c r="V385" i="2"/>
  <c r="W385" i="2" s="1"/>
  <c r="Y369" i="2"/>
  <c r="Z369" i="2" s="1"/>
  <c r="V369" i="2"/>
  <c r="W369" i="2" s="1"/>
  <c r="Y353" i="2"/>
  <c r="Z353" i="2" s="1"/>
  <c r="V353" i="2"/>
  <c r="W353" i="2" s="1"/>
  <c r="Y337" i="2"/>
  <c r="Z337" i="2" s="1"/>
  <c r="V337" i="2"/>
  <c r="W337" i="2" s="1"/>
  <c r="Y321" i="2"/>
  <c r="Z321" i="2" s="1"/>
  <c r="V321" i="2"/>
  <c r="W321" i="2" s="1"/>
  <c r="Y432" i="2"/>
  <c r="Z432" i="2" s="1"/>
  <c r="V432" i="2"/>
  <c r="W432" i="2" s="1"/>
  <c r="Y414" i="2"/>
  <c r="Z414" i="2" s="1"/>
  <c r="V414" i="2"/>
  <c r="W414" i="2" s="1"/>
  <c r="Y395" i="2"/>
  <c r="Z395" i="2" s="1"/>
  <c r="V395" i="2"/>
  <c r="W395" i="2" s="1"/>
  <c r="Y380" i="2"/>
  <c r="Z380" i="2" s="1"/>
  <c r="V380" i="2"/>
  <c r="W380" i="2" s="1"/>
  <c r="Y364" i="2"/>
  <c r="Z364" i="2" s="1"/>
  <c r="V364" i="2"/>
  <c r="W364" i="2" s="1"/>
  <c r="Y348" i="2"/>
  <c r="Z348" i="2" s="1"/>
  <c r="V348" i="2"/>
  <c r="W348" i="2" s="1"/>
  <c r="Y332" i="2"/>
  <c r="Z332" i="2" s="1"/>
  <c r="V332" i="2"/>
  <c r="W332" i="2" s="1"/>
  <c r="Y316" i="2"/>
  <c r="Z316" i="2" s="1"/>
  <c r="V316" i="2"/>
  <c r="W316" i="2" s="1"/>
  <c r="Y424" i="2"/>
  <c r="Z424" i="2" s="1"/>
  <c r="V424" i="2"/>
  <c r="W424" i="2" s="1"/>
  <c r="Y411" i="2"/>
  <c r="Z411" i="2" s="1"/>
  <c r="V411" i="2"/>
  <c r="W411" i="2" s="1"/>
  <c r="Y398" i="2"/>
  <c r="Z398" i="2" s="1"/>
  <c r="V398" i="2"/>
  <c r="W398" i="2" s="1"/>
  <c r="Y379" i="2"/>
  <c r="Z379" i="2" s="1"/>
  <c r="V379" i="2"/>
  <c r="W379" i="2" s="1"/>
  <c r="Y363" i="2"/>
  <c r="Z363" i="2" s="1"/>
  <c r="V363" i="2"/>
  <c r="W363" i="2" s="1"/>
  <c r="Y347" i="2"/>
  <c r="Z347" i="2" s="1"/>
  <c r="V347" i="2"/>
  <c r="W347" i="2" s="1"/>
  <c r="Y331" i="2"/>
  <c r="Z331" i="2" s="1"/>
  <c r="V331" i="2"/>
  <c r="W331" i="2" s="1"/>
  <c r="Y315" i="2"/>
  <c r="Z315" i="2" s="1"/>
  <c r="V315" i="2"/>
  <c r="W315" i="2" s="1"/>
  <c r="Y431" i="2"/>
  <c r="Z431" i="2" s="1"/>
  <c r="V431" i="2"/>
  <c r="W431" i="2" s="1"/>
  <c r="Y416" i="2"/>
  <c r="Z416" i="2" s="1"/>
  <c r="V416" i="2"/>
  <c r="W416" i="2" s="1"/>
  <c r="Y397" i="2"/>
  <c r="Z397" i="2" s="1"/>
  <c r="V397" i="2"/>
  <c r="W397" i="2" s="1"/>
  <c r="Y382" i="2"/>
  <c r="Z382" i="2" s="1"/>
  <c r="V382" i="2"/>
  <c r="W382" i="2" s="1"/>
  <c r="Y366" i="2"/>
  <c r="Z366" i="2" s="1"/>
  <c r="V366" i="2"/>
  <c r="W366" i="2" s="1"/>
  <c r="Y350" i="2"/>
  <c r="Z350" i="2" s="1"/>
  <c r="V350" i="2"/>
  <c r="W350" i="2" s="1"/>
  <c r="Y334" i="2"/>
  <c r="Z334" i="2" s="1"/>
  <c r="V334" i="2"/>
  <c r="W334" i="2" s="1"/>
  <c r="Y318" i="2"/>
  <c r="Z318" i="2" s="1"/>
  <c r="V318" i="2"/>
  <c r="W318" i="2" s="1"/>
  <c r="Y305" i="2"/>
  <c r="Z305" i="2" s="1"/>
  <c r="V305" i="2"/>
  <c r="W305" i="2" s="1"/>
  <c r="Y289" i="2"/>
  <c r="Z289" i="2" s="1"/>
  <c r="V289" i="2"/>
  <c r="W289" i="2" s="1"/>
  <c r="V273" i="2"/>
  <c r="W273" i="2" s="1"/>
  <c r="Y273" i="2"/>
  <c r="Z273" i="2" s="1"/>
  <c r="V258" i="2"/>
  <c r="W258" i="2" s="1"/>
  <c r="Y258" i="2"/>
  <c r="Z258" i="2" s="1"/>
  <c r="V244" i="2"/>
  <c r="W244" i="2" s="1"/>
  <c r="Y244" i="2"/>
  <c r="Z244" i="2" s="1"/>
  <c r="V229" i="2"/>
  <c r="W229" i="2" s="1"/>
  <c r="Y229" i="2"/>
  <c r="Z229" i="2" s="1"/>
  <c r="V215" i="2"/>
  <c r="W215" i="2" s="1"/>
  <c r="Y215" i="2"/>
  <c r="Z215" i="2" s="1"/>
  <c r="Y198" i="2"/>
  <c r="Z198" i="2" s="1"/>
  <c r="V198" i="2"/>
  <c r="W198" i="2" s="1"/>
  <c r="V180" i="2"/>
  <c r="W180" i="2" s="1"/>
  <c r="Y180" i="2"/>
  <c r="Z180" i="2" s="1"/>
  <c r="Y161" i="2"/>
  <c r="Z161" i="2" s="1"/>
  <c r="V161" i="2"/>
  <c r="W161" i="2" s="1"/>
  <c r="V142" i="2"/>
  <c r="W142" i="2" s="1"/>
  <c r="Y142" i="2"/>
  <c r="Z142" i="2" s="1"/>
  <c r="Y127" i="2"/>
  <c r="Z127" i="2" s="1"/>
  <c r="V127" i="2"/>
  <c r="W127" i="2" s="1"/>
  <c r="Y111" i="2"/>
  <c r="Z111" i="2" s="1"/>
  <c r="V111" i="2"/>
  <c r="W111" i="2" s="1"/>
  <c r="V95" i="2"/>
  <c r="W95" i="2" s="1"/>
  <c r="Y95" i="2"/>
  <c r="Z95" i="2" s="1"/>
  <c r="V81" i="2"/>
  <c r="W81" i="2" s="1"/>
  <c r="Y81" i="2"/>
  <c r="Z81" i="2" s="1"/>
  <c r="V65" i="2"/>
  <c r="W65" i="2" s="1"/>
  <c r="Y65" i="2"/>
  <c r="Z65" i="2" s="1"/>
  <c r="V49" i="2"/>
  <c r="W49" i="2" s="1"/>
  <c r="Y49" i="2"/>
  <c r="Z49" i="2" s="1"/>
  <c r="V33" i="2"/>
  <c r="W33" i="2" s="1"/>
  <c r="Y33" i="2"/>
  <c r="Z33" i="2" s="1"/>
  <c r="Y308" i="2"/>
  <c r="Z308" i="2" s="1"/>
  <c r="V308" i="2"/>
  <c r="W308" i="2" s="1"/>
  <c r="Y292" i="2"/>
  <c r="Z292" i="2" s="1"/>
  <c r="V292" i="2"/>
  <c r="W292" i="2" s="1"/>
  <c r="V276" i="2"/>
  <c r="W276" i="2" s="1"/>
  <c r="Y276" i="2"/>
  <c r="Z276" i="2" s="1"/>
  <c r="V257" i="2"/>
  <c r="W257" i="2" s="1"/>
  <c r="Y257" i="2"/>
  <c r="Z257" i="2" s="1"/>
  <c r="V239" i="2"/>
  <c r="W239" i="2" s="1"/>
  <c r="Y239" i="2"/>
  <c r="Z239" i="2" s="1"/>
  <c r="V221" i="2"/>
  <c r="W221" i="2" s="1"/>
  <c r="Y221" i="2"/>
  <c r="Z221" i="2" s="1"/>
  <c r="Y204" i="2"/>
  <c r="Z204" i="2" s="1"/>
  <c r="V204" i="2"/>
  <c r="W204" i="2" s="1"/>
  <c r="Y186" i="2"/>
  <c r="Z186" i="2" s="1"/>
  <c r="V186" i="2"/>
  <c r="W186" i="2" s="1"/>
  <c r="V172" i="2"/>
  <c r="W172" i="2" s="1"/>
  <c r="Y172" i="2"/>
  <c r="Z172" i="2" s="1"/>
  <c r="V157" i="2"/>
  <c r="W157" i="2" s="1"/>
  <c r="Y157" i="2"/>
  <c r="Z157" i="2" s="1"/>
  <c r="V141" i="2"/>
  <c r="W141" i="2" s="1"/>
  <c r="Y141" i="2"/>
  <c r="Z141" i="2" s="1"/>
  <c r="Y126" i="2"/>
  <c r="Z126" i="2" s="1"/>
  <c r="V126" i="2"/>
  <c r="W126" i="2" s="1"/>
  <c r="Y110" i="2"/>
  <c r="Z110" i="2" s="1"/>
  <c r="V110" i="2"/>
  <c r="W110" i="2" s="1"/>
  <c r="Y94" i="2"/>
  <c r="Z94" i="2" s="1"/>
  <c r="V94" i="2"/>
  <c r="W94" i="2" s="1"/>
  <c r="Y76" i="2"/>
  <c r="Z76" i="2" s="1"/>
  <c r="V76" i="2"/>
  <c r="W76" i="2" s="1"/>
  <c r="Y60" i="2"/>
  <c r="Z60" i="2" s="1"/>
  <c r="V60" i="2"/>
  <c r="W60" i="2" s="1"/>
  <c r="Y44" i="2"/>
  <c r="Z44" i="2" s="1"/>
  <c r="V44" i="2"/>
  <c r="W44" i="2" s="1"/>
  <c r="Y28" i="2"/>
  <c r="Z28" i="2" s="1"/>
  <c r="V28" i="2"/>
  <c r="W28" i="2" s="1"/>
  <c r="Y303" i="2"/>
  <c r="Z303" i="2" s="1"/>
  <c r="V303" i="2"/>
  <c r="W303" i="2" s="1"/>
  <c r="Y287" i="2"/>
  <c r="Z287" i="2" s="1"/>
  <c r="V287" i="2"/>
  <c r="W287" i="2" s="1"/>
  <c r="V271" i="2"/>
  <c r="W271" i="2" s="1"/>
  <c r="Y271" i="2"/>
  <c r="Z271" i="2" s="1"/>
  <c r="V256" i="2"/>
  <c r="W256" i="2" s="1"/>
  <c r="Y256" i="2"/>
  <c r="Z256" i="2" s="1"/>
  <c r="Y238" i="2"/>
  <c r="Z238" i="2" s="1"/>
  <c r="V238" i="2"/>
  <c r="W238" i="2" s="1"/>
  <c r="V217" i="2"/>
  <c r="W217" i="2" s="1"/>
  <c r="Y217" i="2"/>
  <c r="Z217" i="2" s="1"/>
  <c r="V203" i="2"/>
  <c r="W203" i="2" s="1"/>
  <c r="Y203" i="2"/>
  <c r="Z203" i="2" s="1"/>
  <c r="V189" i="2"/>
  <c r="W189" i="2" s="1"/>
  <c r="Y189" i="2"/>
  <c r="Z189" i="2" s="1"/>
  <c r="V174" i="2"/>
  <c r="W174" i="2" s="1"/>
  <c r="Y174" i="2"/>
  <c r="Z174" i="2" s="1"/>
  <c r="Y159" i="2"/>
  <c r="Z159" i="2" s="1"/>
  <c r="V159" i="2"/>
  <c r="W159" i="2" s="1"/>
  <c r="V144" i="2"/>
  <c r="W144" i="2" s="1"/>
  <c r="Y144" i="2"/>
  <c r="Z144" i="2" s="1"/>
  <c r="Y125" i="2"/>
  <c r="Z125" i="2" s="1"/>
  <c r="V125" i="2"/>
  <c r="W125" i="2" s="1"/>
  <c r="Y109" i="2"/>
  <c r="Z109" i="2" s="1"/>
  <c r="V109" i="2"/>
  <c r="W109" i="2" s="1"/>
  <c r="V93" i="2"/>
  <c r="W93" i="2" s="1"/>
  <c r="Y93" i="2"/>
  <c r="Z93" i="2" s="1"/>
  <c r="V79" i="2"/>
  <c r="W79" i="2" s="1"/>
  <c r="Y79" i="2"/>
  <c r="Z79" i="2" s="1"/>
  <c r="V63" i="2"/>
  <c r="W63" i="2" s="1"/>
  <c r="Y63" i="2"/>
  <c r="Z63" i="2" s="1"/>
  <c r="V47" i="2"/>
  <c r="W47" i="2" s="1"/>
  <c r="Y47" i="2"/>
  <c r="Z47" i="2" s="1"/>
  <c r="V31" i="2"/>
  <c r="W31" i="2" s="1"/>
  <c r="Y31" i="2"/>
  <c r="Z31" i="2" s="1"/>
  <c r="Y306" i="2"/>
  <c r="Z306" i="2" s="1"/>
  <c r="V306" i="2"/>
  <c r="W306" i="2" s="1"/>
  <c r="Y290" i="2"/>
  <c r="Z290" i="2" s="1"/>
  <c r="V290" i="2"/>
  <c r="W290" i="2" s="1"/>
  <c r="V274" i="2"/>
  <c r="W274" i="2" s="1"/>
  <c r="Y274" i="2"/>
  <c r="Z274" i="2" s="1"/>
  <c r="V259" i="2"/>
  <c r="W259" i="2" s="1"/>
  <c r="Y259" i="2"/>
  <c r="Z259" i="2" s="1"/>
  <c r="V245" i="2"/>
  <c r="W245" i="2" s="1"/>
  <c r="Y245" i="2"/>
  <c r="Z245" i="2" s="1"/>
  <c r="Y230" i="2"/>
  <c r="Z230" i="2" s="1"/>
  <c r="V230" i="2"/>
  <c r="W230" i="2" s="1"/>
  <c r="Y216" i="2"/>
  <c r="Z216" i="2" s="1"/>
  <c r="V216" i="2"/>
  <c r="W216" i="2" s="1"/>
  <c r="Y202" i="2"/>
  <c r="Z202" i="2" s="1"/>
  <c r="V202" i="2"/>
  <c r="W202" i="2" s="1"/>
  <c r="Y188" i="2"/>
  <c r="Z188" i="2" s="1"/>
  <c r="V188" i="2"/>
  <c r="W188" i="2" s="1"/>
  <c r="V170" i="2"/>
  <c r="W170" i="2" s="1"/>
  <c r="Y170" i="2"/>
  <c r="Z170" i="2" s="1"/>
  <c r="V151" i="2"/>
  <c r="W151" i="2" s="1"/>
  <c r="Y151" i="2"/>
  <c r="Z151" i="2" s="1"/>
  <c r="V136" i="2"/>
  <c r="W136" i="2" s="1"/>
  <c r="Y136" i="2"/>
  <c r="Z136" i="2" s="1"/>
  <c r="V120" i="2"/>
  <c r="W120" i="2" s="1"/>
  <c r="Y120" i="2"/>
  <c r="Z120" i="2" s="1"/>
  <c r="Y104" i="2"/>
  <c r="Z104" i="2" s="1"/>
  <c r="V104" i="2"/>
  <c r="W104" i="2" s="1"/>
  <c r="Y88" i="2"/>
  <c r="Z88" i="2" s="1"/>
  <c r="V88" i="2"/>
  <c r="W88" i="2" s="1"/>
  <c r="V70" i="2"/>
  <c r="W70" i="2" s="1"/>
  <c r="Y70" i="2"/>
  <c r="Z70" i="2" s="1"/>
  <c r="V54" i="2"/>
  <c r="W54" i="2" s="1"/>
  <c r="Y54" i="2"/>
  <c r="Z54" i="2" s="1"/>
  <c r="V38" i="2"/>
  <c r="W38" i="2" s="1"/>
  <c r="Y38" i="2"/>
  <c r="Z38" i="2" s="1"/>
  <c r="V22" i="2"/>
  <c r="W22" i="2" s="1"/>
  <c r="Y22" i="2"/>
  <c r="Z22" i="2" s="1"/>
  <c r="Y426" i="2"/>
  <c r="Z426" i="2" s="1"/>
  <c r="V426" i="2"/>
  <c r="W426" i="2" s="1"/>
  <c r="Y410" i="2"/>
  <c r="Z410" i="2" s="1"/>
  <c r="V410" i="2"/>
  <c r="W410" i="2" s="1"/>
  <c r="Y396" i="2"/>
  <c r="Z396" i="2" s="1"/>
  <c r="V396" i="2"/>
  <c r="W396" i="2" s="1"/>
  <c r="Y381" i="2"/>
  <c r="Z381" i="2" s="1"/>
  <c r="V381" i="2"/>
  <c r="W381" i="2" s="1"/>
  <c r="Y365" i="2"/>
  <c r="Z365" i="2" s="1"/>
  <c r="V365" i="2"/>
  <c r="W365" i="2" s="1"/>
  <c r="Y349" i="2"/>
  <c r="Z349" i="2" s="1"/>
  <c r="V349" i="2"/>
  <c r="W349" i="2" s="1"/>
  <c r="Y333" i="2"/>
  <c r="Z333" i="2" s="1"/>
  <c r="V333" i="2"/>
  <c r="W333" i="2" s="1"/>
  <c r="Y317" i="2"/>
  <c r="Z317" i="2" s="1"/>
  <c r="V317" i="2"/>
  <c r="W317" i="2" s="1"/>
  <c r="Y429" i="2"/>
  <c r="Z429" i="2" s="1"/>
  <c r="V429" i="2"/>
  <c r="W429" i="2" s="1"/>
  <c r="Y409" i="2"/>
  <c r="Z409" i="2" s="1"/>
  <c r="V409" i="2"/>
  <c r="W409" i="2" s="1"/>
  <c r="Y391" i="2"/>
  <c r="Z391" i="2" s="1"/>
  <c r="V391" i="2"/>
  <c r="W391" i="2" s="1"/>
  <c r="Y376" i="2"/>
  <c r="Z376" i="2" s="1"/>
  <c r="V376" i="2"/>
  <c r="W376" i="2" s="1"/>
  <c r="Y360" i="2"/>
  <c r="Z360" i="2" s="1"/>
  <c r="V360" i="2"/>
  <c r="W360" i="2" s="1"/>
  <c r="Y344" i="2"/>
  <c r="Z344" i="2" s="1"/>
  <c r="V344" i="2"/>
  <c r="W344" i="2" s="1"/>
  <c r="Y328" i="2"/>
  <c r="Z328" i="2" s="1"/>
  <c r="V328" i="2"/>
  <c r="W328" i="2" s="1"/>
  <c r="Y312" i="2"/>
  <c r="Z312" i="2" s="1"/>
  <c r="V312" i="2"/>
  <c r="W312" i="2" s="1"/>
  <c r="Y421" i="2"/>
  <c r="Z421" i="2" s="1"/>
  <c r="V421" i="2"/>
  <c r="W421" i="2" s="1"/>
  <c r="Y408" i="2"/>
  <c r="Z408" i="2" s="1"/>
  <c r="V408" i="2"/>
  <c r="W408" i="2" s="1"/>
  <c r="Y394" i="2"/>
  <c r="Z394" i="2" s="1"/>
  <c r="V394" i="2"/>
  <c r="W394" i="2" s="1"/>
  <c r="Y375" i="2"/>
  <c r="Z375" i="2" s="1"/>
  <c r="V375" i="2"/>
  <c r="W375" i="2" s="1"/>
  <c r="Y359" i="2"/>
  <c r="Z359" i="2" s="1"/>
  <c r="V359" i="2"/>
  <c r="W359" i="2" s="1"/>
  <c r="Y343" i="2"/>
  <c r="Z343" i="2" s="1"/>
  <c r="V343" i="2"/>
  <c r="W343" i="2" s="1"/>
  <c r="Y327" i="2"/>
  <c r="Z327" i="2" s="1"/>
  <c r="V327" i="2"/>
  <c r="W327" i="2" s="1"/>
  <c r="Y311" i="2"/>
  <c r="Z311" i="2" s="1"/>
  <c r="V311" i="2"/>
  <c r="W311" i="2" s="1"/>
  <c r="Y427" i="2"/>
  <c r="Z427" i="2" s="1"/>
  <c r="V427" i="2"/>
  <c r="W427" i="2" s="1"/>
  <c r="Y412" i="2"/>
  <c r="Z412" i="2" s="1"/>
  <c r="V412" i="2"/>
  <c r="W412" i="2" s="1"/>
  <c r="Y393" i="2"/>
  <c r="Z393" i="2" s="1"/>
  <c r="V393" i="2"/>
  <c r="W393" i="2" s="1"/>
  <c r="Y378" i="2"/>
  <c r="Z378" i="2" s="1"/>
  <c r="V378" i="2"/>
  <c r="W378" i="2" s="1"/>
  <c r="Y362" i="2"/>
  <c r="Z362" i="2" s="1"/>
  <c r="V362" i="2"/>
  <c r="W362" i="2" s="1"/>
  <c r="Y346" i="2"/>
  <c r="Z346" i="2" s="1"/>
  <c r="V346" i="2"/>
  <c r="W346" i="2" s="1"/>
  <c r="Y330" i="2"/>
  <c r="Z330" i="2" s="1"/>
  <c r="V330" i="2"/>
  <c r="W330" i="2" s="1"/>
  <c r="Y314" i="2"/>
  <c r="Z314" i="2" s="1"/>
  <c r="V314" i="2"/>
  <c r="W314" i="2" s="1"/>
  <c r="Y301" i="2"/>
  <c r="Z301" i="2" s="1"/>
  <c r="V301" i="2"/>
  <c r="W301" i="2" s="1"/>
  <c r="Y285" i="2"/>
  <c r="Z285" i="2" s="1"/>
  <c r="V285" i="2"/>
  <c r="W285" i="2" s="1"/>
  <c r="V269" i="2"/>
  <c r="W269" i="2" s="1"/>
  <c r="Y269" i="2"/>
  <c r="Z269" i="2" s="1"/>
  <c r="V254" i="2"/>
  <c r="W254" i="2" s="1"/>
  <c r="Y254" i="2"/>
  <c r="Z254" i="2" s="1"/>
  <c r="V240" i="2"/>
  <c r="W240" i="2" s="1"/>
  <c r="Y240" i="2"/>
  <c r="Z240" i="2" s="1"/>
  <c r="V225" i="2"/>
  <c r="W225" i="2" s="1"/>
  <c r="Y225" i="2"/>
  <c r="Z225" i="2" s="1"/>
  <c r="V211" i="2"/>
  <c r="W211" i="2" s="1"/>
  <c r="Y211" i="2"/>
  <c r="Z211" i="2" s="1"/>
  <c r="Y194" i="2"/>
  <c r="Z194" i="2" s="1"/>
  <c r="V194" i="2"/>
  <c r="W194" i="2" s="1"/>
  <c r="V176" i="2"/>
  <c r="W176" i="2" s="1"/>
  <c r="Y176" i="2"/>
  <c r="Z176" i="2" s="1"/>
  <c r="V158" i="2"/>
  <c r="W158" i="2" s="1"/>
  <c r="Y158" i="2"/>
  <c r="Z158" i="2" s="1"/>
  <c r="V139" i="2"/>
  <c r="W139" i="2" s="1"/>
  <c r="Y139" i="2"/>
  <c r="Z139" i="2" s="1"/>
  <c r="Y123" i="2"/>
  <c r="Z123" i="2" s="1"/>
  <c r="V123" i="2"/>
  <c r="W123" i="2" s="1"/>
  <c r="Y107" i="2"/>
  <c r="Z107" i="2" s="1"/>
  <c r="V107" i="2"/>
  <c r="W107" i="2" s="1"/>
  <c r="V91" i="2"/>
  <c r="W91" i="2" s="1"/>
  <c r="Y91" i="2"/>
  <c r="Z91" i="2" s="1"/>
  <c r="V77" i="2"/>
  <c r="W77" i="2" s="1"/>
  <c r="Y77" i="2"/>
  <c r="Z77" i="2" s="1"/>
  <c r="V61" i="2"/>
  <c r="W61" i="2" s="1"/>
  <c r="Y61" i="2"/>
  <c r="Z61" i="2" s="1"/>
  <c r="V45" i="2"/>
  <c r="W45" i="2" s="1"/>
  <c r="Y45" i="2"/>
  <c r="Z45" i="2" s="1"/>
  <c r="V29" i="2"/>
  <c r="W29" i="2" s="1"/>
  <c r="Y29" i="2"/>
  <c r="Z29" i="2" s="1"/>
  <c r="Y304" i="2"/>
  <c r="Z304" i="2" s="1"/>
  <c r="V304" i="2"/>
  <c r="W304" i="2" s="1"/>
  <c r="Y288" i="2"/>
  <c r="Z288" i="2" s="1"/>
  <c r="V288" i="2"/>
  <c r="W288" i="2" s="1"/>
  <c r="V272" i="2"/>
  <c r="W272" i="2" s="1"/>
  <c r="Y272" i="2"/>
  <c r="Z272" i="2" s="1"/>
  <c r="V253" i="2"/>
  <c r="W253" i="2" s="1"/>
  <c r="Y253" i="2"/>
  <c r="Z253" i="2" s="1"/>
  <c r="V235" i="2"/>
  <c r="W235" i="2" s="1"/>
  <c r="Y235" i="2"/>
  <c r="Z235" i="2" s="1"/>
  <c r="Y218" i="2"/>
  <c r="Z218" i="2" s="1"/>
  <c r="V218" i="2"/>
  <c r="W218" i="2" s="1"/>
  <c r="V197" i="2"/>
  <c r="W197" i="2" s="1"/>
  <c r="Y197" i="2"/>
  <c r="Z197" i="2" s="1"/>
  <c r="V183" i="2"/>
  <c r="W183" i="2" s="1"/>
  <c r="Y183" i="2"/>
  <c r="Z183" i="2" s="1"/>
  <c r="V168" i="2"/>
  <c r="W168" i="2" s="1"/>
  <c r="Y168" i="2"/>
  <c r="Z168" i="2" s="1"/>
  <c r="V153" i="2"/>
  <c r="W153" i="2" s="1"/>
  <c r="Y153" i="2"/>
  <c r="Z153" i="2" s="1"/>
  <c r="V138" i="2"/>
  <c r="W138" i="2" s="1"/>
  <c r="Y138" i="2"/>
  <c r="Z138" i="2" s="1"/>
  <c r="Y122" i="2"/>
  <c r="Z122" i="2" s="1"/>
  <c r="V122" i="2"/>
  <c r="W122" i="2" s="1"/>
  <c r="Y106" i="2"/>
  <c r="Z106" i="2" s="1"/>
  <c r="V106" i="2"/>
  <c r="W106" i="2" s="1"/>
  <c r="V90" i="2"/>
  <c r="W90" i="2" s="1"/>
  <c r="Y90" i="2"/>
  <c r="Z90" i="2" s="1"/>
  <c r="V72" i="2"/>
  <c r="W72" i="2" s="1"/>
  <c r="Y72" i="2"/>
  <c r="Z72" i="2" s="1"/>
  <c r="V56" i="2"/>
  <c r="W56" i="2" s="1"/>
  <c r="Y56" i="2"/>
  <c r="Z56" i="2" s="1"/>
  <c r="V40" i="2"/>
  <c r="W40" i="2" s="1"/>
  <c r="Y40" i="2"/>
  <c r="Z40" i="2" s="1"/>
  <c r="V24" i="2"/>
  <c r="W24" i="2" s="1"/>
  <c r="Y24" i="2"/>
  <c r="Z24" i="2" s="1"/>
  <c r="Y299" i="2"/>
  <c r="Z299" i="2" s="1"/>
  <c r="V299" i="2"/>
  <c r="W299" i="2" s="1"/>
  <c r="Y283" i="2"/>
  <c r="Z283" i="2" s="1"/>
  <c r="V283" i="2"/>
  <c r="W283" i="2" s="1"/>
  <c r="V267" i="2"/>
  <c r="W267" i="2" s="1"/>
  <c r="Y267" i="2"/>
  <c r="Z267" i="2" s="1"/>
  <c r="Y250" i="2"/>
  <c r="Z250" i="2" s="1"/>
  <c r="V250" i="2"/>
  <c r="W250" i="2" s="1"/>
  <c r="V231" i="2"/>
  <c r="W231" i="2" s="1"/>
  <c r="Y231" i="2"/>
  <c r="Z231" i="2" s="1"/>
  <c r="V213" i="2"/>
  <c r="W213" i="2" s="1"/>
  <c r="Y213" i="2"/>
  <c r="Z213" i="2" s="1"/>
  <c r="Y200" i="2"/>
  <c r="Z200" i="2" s="1"/>
  <c r="V200" i="2"/>
  <c r="W200" i="2" s="1"/>
  <c r="V185" i="2"/>
  <c r="W185" i="2" s="1"/>
  <c r="Y185" i="2"/>
  <c r="Z185" i="2" s="1"/>
  <c r="V171" i="2"/>
  <c r="W171" i="2" s="1"/>
  <c r="Y171" i="2"/>
  <c r="Z171" i="2" s="1"/>
  <c r="V156" i="2"/>
  <c r="W156" i="2" s="1"/>
  <c r="Y156" i="2"/>
  <c r="Z156" i="2" s="1"/>
  <c r="V137" i="2"/>
  <c r="W137" i="2" s="1"/>
  <c r="Y137" i="2"/>
  <c r="Z137" i="2" s="1"/>
  <c r="Y121" i="2"/>
  <c r="Z121" i="2" s="1"/>
  <c r="V121" i="2"/>
  <c r="W121" i="2" s="1"/>
  <c r="Y105" i="2"/>
  <c r="Z105" i="2" s="1"/>
  <c r="V105" i="2"/>
  <c r="W105" i="2" s="1"/>
  <c r="V89" i="2"/>
  <c r="W89" i="2" s="1"/>
  <c r="Y89" i="2"/>
  <c r="Z89" i="2" s="1"/>
  <c r="V75" i="2"/>
  <c r="W75" i="2" s="1"/>
  <c r="Y75" i="2"/>
  <c r="Z75" i="2" s="1"/>
  <c r="V59" i="2"/>
  <c r="W59" i="2" s="1"/>
  <c r="Y59" i="2"/>
  <c r="Z59" i="2" s="1"/>
  <c r="V43" i="2"/>
  <c r="W43" i="2" s="1"/>
  <c r="Y43" i="2"/>
  <c r="Z43" i="2" s="1"/>
  <c r="V27" i="2"/>
  <c r="W27" i="2" s="1"/>
  <c r="Y27" i="2"/>
  <c r="Z27" i="2" s="1"/>
  <c r="Y302" i="2"/>
  <c r="Z302" i="2" s="1"/>
  <c r="V302" i="2"/>
  <c r="W302" i="2" s="1"/>
  <c r="Y286" i="2"/>
  <c r="Z286" i="2" s="1"/>
  <c r="V286" i="2"/>
  <c r="W286" i="2" s="1"/>
  <c r="V270" i="2"/>
  <c r="W270" i="2" s="1"/>
  <c r="Y270" i="2"/>
  <c r="Z270" i="2" s="1"/>
  <c r="V255" i="2"/>
  <c r="W255" i="2" s="1"/>
  <c r="Y255" i="2"/>
  <c r="Z255" i="2" s="1"/>
  <c r="V241" i="2"/>
  <c r="W241" i="2" s="1"/>
  <c r="Y241" i="2"/>
  <c r="Z241" i="2" s="1"/>
  <c r="Y226" i="2"/>
  <c r="Z226" i="2" s="1"/>
  <c r="V226" i="2"/>
  <c r="W226" i="2" s="1"/>
  <c r="V212" i="2"/>
  <c r="W212" i="2" s="1"/>
  <c r="Y212" i="2"/>
  <c r="Z212" i="2" s="1"/>
  <c r="V199" i="2"/>
  <c r="W199" i="2" s="1"/>
  <c r="Y199" i="2"/>
  <c r="Z199" i="2" s="1"/>
  <c r="V181" i="2"/>
  <c r="W181" i="2" s="1"/>
  <c r="Y181" i="2"/>
  <c r="Z181" i="2" s="1"/>
  <c r="V166" i="2"/>
  <c r="W166" i="2" s="1"/>
  <c r="Y166" i="2"/>
  <c r="Z166" i="2" s="1"/>
  <c r="V148" i="2"/>
  <c r="W148" i="2" s="1"/>
  <c r="Y148" i="2"/>
  <c r="Z148" i="2" s="1"/>
  <c r="V132" i="2"/>
  <c r="W132" i="2" s="1"/>
  <c r="Y132" i="2"/>
  <c r="Z132" i="2" s="1"/>
  <c r="Y116" i="2"/>
  <c r="Z116" i="2" s="1"/>
  <c r="V116" i="2"/>
  <c r="W116" i="2" s="1"/>
  <c r="Y100" i="2"/>
  <c r="Z100" i="2" s="1"/>
  <c r="V100" i="2"/>
  <c r="W100" i="2" s="1"/>
  <c r="V85" i="2"/>
  <c r="W85" i="2" s="1"/>
  <c r="Y85" i="2"/>
  <c r="Z85" i="2" s="1"/>
  <c r="V66" i="2"/>
  <c r="W66" i="2" s="1"/>
  <c r="Y66" i="2"/>
  <c r="Z66" i="2" s="1"/>
  <c r="V50" i="2"/>
  <c r="W50" i="2" s="1"/>
  <c r="Y50" i="2"/>
  <c r="Z50" i="2" s="1"/>
  <c r="V34" i="2"/>
  <c r="W34" i="2" s="1"/>
  <c r="Y34" i="2"/>
  <c r="Z34" i="2" s="1"/>
  <c r="V18" i="2"/>
  <c r="W18" i="2" s="1"/>
  <c r="Y18" i="2"/>
  <c r="Z18" i="2" s="1"/>
  <c r="Y437" i="2"/>
  <c r="Z437" i="2" s="1"/>
  <c r="V437" i="2"/>
  <c r="W437" i="2" s="1"/>
  <c r="Y422" i="2"/>
  <c r="Z422" i="2" s="1"/>
  <c r="V422" i="2"/>
  <c r="W422" i="2" s="1"/>
  <c r="Y407" i="2"/>
  <c r="Z407" i="2" s="1"/>
  <c r="V407" i="2"/>
  <c r="W407" i="2" s="1"/>
  <c r="V392" i="2"/>
  <c r="W392" i="2" s="1"/>
  <c r="Y392" i="2"/>
  <c r="Z392" i="2" s="1"/>
  <c r="Y377" i="2"/>
  <c r="Z377" i="2" s="1"/>
  <c r="V377" i="2"/>
  <c r="W377" i="2" s="1"/>
  <c r="Y361" i="2"/>
  <c r="Z361" i="2" s="1"/>
  <c r="V361" i="2"/>
  <c r="W361" i="2" s="1"/>
  <c r="Y345" i="2"/>
  <c r="Z345" i="2" s="1"/>
  <c r="V345" i="2"/>
  <c r="W345" i="2" s="1"/>
  <c r="Y329" i="2"/>
  <c r="Z329" i="2" s="1"/>
  <c r="V329" i="2"/>
  <c r="W329" i="2" s="1"/>
  <c r="Y313" i="2"/>
  <c r="Z313" i="2" s="1"/>
  <c r="V313" i="2"/>
  <c r="W313" i="2" s="1"/>
  <c r="Y425" i="2"/>
  <c r="Z425" i="2" s="1"/>
  <c r="V425" i="2"/>
  <c r="W425" i="2" s="1"/>
  <c r="Y406" i="2"/>
  <c r="Z406" i="2" s="1"/>
  <c r="V406" i="2"/>
  <c r="W406" i="2" s="1"/>
  <c r="V388" i="2"/>
  <c r="W388" i="2" s="1"/>
  <c r="Y388" i="2"/>
  <c r="Z388" i="2" s="1"/>
  <c r="Y372" i="2"/>
  <c r="Z372" i="2" s="1"/>
  <c r="V372" i="2"/>
  <c r="W372" i="2" s="1"/>
  <c r="Y356" i="2"/>
  <c r="Z356" i="2" s="1"/>
  <c r="V356" i="2"/>
  <c r="W356" i="2" s="1"/>
  <c r="Y340" i="2"/>
  <c r="Z340" i="2" s="1"/>
  <c r="V340" i="2"/>
  <c r="W340" i="2" s="1"/>
  <c r="Y324" i="2"/>
  <c r="Z324" i="2" s="1"/>
  <c r="V324" i="2"/>
  <c r="W324" i="2" s="1"/>
  <c r="Y435" i="2"/>
  <c r="Z435" i="2" s="1"/>
  <c r="V435" i="2"/>
  <c r="W435" i="2" s="1"/>
  <c r="Y417" i="2"/>
  <c r="Z417" i="2" s="1"/>
  <c r="V417" i="2"/>
  <c r="W417" i="2" s="1"/>
  <c r="Y405" i="2"/>
  <c r="Z405" i="2" s="1"/>
  <c r="V405" i="2"/>
  <c r="W405" i="2" s="1"/>
  <c r="Y387" i="2"/>
  <c r="Z387" i="2" s="1"/>
  <c r="V387" i="2"/>
  <c r="W387" i="2" s="1"/>
  <c r="Y371" i="2"/>
  <c r="Z371" i="2" s="1"/>
  <c r="V371" i="2"/>
  <c r="W371" i="2" s="1"/>
  <c r="Y355" i="2"/>
  <c r="Z355" i="2" s="1"/>
  <c r="V355" i="2"/>
  <c r="W355" i="2" s="1"/>
  <c r="Y339" i="2"/>
  <c r="Z339" i="2" s="1"/>
  <c r="V339" i="2"/>
  <c r="W339" i="2" s="1"/>
  <c r="Y323" i="2"/>
  <c r="Z323" i="2" s="1"/>
  <c r="V323" i="2"/>
  <c r="W323" i="2" s="1"/>
  <c r="Y438" i="2"/>
  <c r="Z438" i="2" s="1"/>
  <c r="V438" i="2"/>
  <c r="W438" i="2" s="1"/>
  <c r="Y423" i="2"/>
  <c r="Z423" i="2" s="1"/>
  <c r="V423" i="2"/>
  <c r="W423" i="2" s="1"/>
  <c r="V404" i="2"/>
  <c r="W404" i="2" s="1"/>
  <c r="Y404" i="2"/>
  <c r="Z404" i="2" s="1"/>
  <c r="Y390" i="2"/>
  <c r="Z390" i="2" s="1"/>
  <c r="V390" i="2"/>
  <c r="W390" i="2" s="1"/>
  <c r="Y374" i="2"/>
  <c r="Z374" i="2" s="1"/>
  <c r="V374" i="2"/>
  <c r="W374" i="2" s="1"/>
  <c r="Y358" i="2"/>
  <c r="Z358" i="2" s="1"/>
  <c r="V358" i="2"/>
  <c r="W358" i="2" s="1"/>
  <c r="Y342" i="2"/>
  <c r="Z342" i="2" s="1"/>
  <c r="V342" i="2"/>
  <c r="W342" i="2" s="1"/>
  <c r="Y326" i="2"/>
  <c r="Z326" i="2" s="1"/>
  <c r="V326" i="2"/>
  <c r="W326" i="2" s="1"/>
  <c r="Y310" i="2"/>
  <c r="Z310" i="2" s="1"/>
  <c r="V310" i="2"/>
  <c r="W310" i="2" s="1"/>
  <c r="Y297" i="2"/>
  <c r="Z297" i="2" s="1"/>
  <c r="V297" i="2"/>
  <c r="W297" i="2" s="1"/>
  <c r="V281" i="2"/>
  <c r="W281" i="2" s="1"/>
  <c r="Y281" i="2"/>
  <c r="Z281" i="2" s="1"/>
  <c r="V265" i="2"/>
  <c r="W265" i="2" s="1"/>
  <c r="Y265" i="2"/>
  <c r="Z265" i="2" s="1"/>
  <c r="V251" i="2"/>
  <c r="W251" i="2" s="1"/>
  <c r="Y251" i="2"/>
  <c r="Z251" i="2" s="1"/>
  <c r="V236" i="2"/>
  <c r="W236" i="2" s="1"/>
  <c r="Y236" i="2"/>
  <c r="Z236" i="2" s="1"/>
  <c r="Y222" i="2"/>
  <c r="Z222" i="2" s="1"/>
  <c r="V222" i="2"/>
  <c r="W222" i="2" s="1"/>
  <c r="V207" i="2"/>
  <c r="W207" i="2" s="1"/>
  <c r="Y207" i="2"/>
  <c r="Z207" i="2" s="1"/>
  <c r="V187" i="2"/>
  <c r="W187" i="2" s="1"/>
  <c r="Y187" i="2"/>
  <c r="Z187" i="2" s="1"/>
  <c r="V169" i="2"/>
  <c r="W169" i="2" s="1"/>
  <c r="Y169" i="2"/>
  <c r="Z169" i="2" s="1"/>
  <c r="V154" i="2"/>
  <c r="W154" i="2" s="1"/>
  <c r="Y154" i="2"/>
  <c r="Z154" i="2" s="1"/>
  <c r="V135" i="2"/>
  <c r="W135" i="2" s="1"/>
  <c r="Y135" i="2"/>
  <c r="Z135" i="2" s="1"/>
  <c r="Y119" i="2"/>
  <c r="Z119" i="2" s="1"/>
  <c r="V119" i="2"/>
  <c r="W119" i="2" s="1"/>
  <c r="Y103" i="2"/>
  <c r="Z103" i="2" s="1"/>
  <c r="V103" i="2"/>
  <c r="W103" i="2" s="1"/>
  <c r="V87" i="2"/>
  <c r="W87" i="2" s="1"/>
  <c r="Y87" i="2"/>
  <c r="Z87" i="2" s="1"/>
  <c r="V73" i="2"/>
  <c r="W73" i="2" s="1"/>
  <c r="Y73" i="2"/>
  <c r="Z73" i="2" s="1"/>
  <c r="V57" i="2"/>
  <c r="W57" i="2" s="1"/>
  <c r="Y57" i="2"/>
  <c r="Z57" i="2" s="1"/>
  <c r="V41" i="2"/>
  <c r="W41" i="2" s="1"/>
  <c r="Y41" i="2"/>
  <c r="Z41" i="2" s="1"/>
  <c r="V25" i="2"/>
  <c r="W25" i="2" s="1"/>
  <c r="Y25" i="2"/>
  <c r="Z25" i="2" s="1"/>
  <c r="Y300" i="2"/>
  <c r="Z300" i="2" s="1"/>
  <c r="V300" i="2"/>
  <c r="W300" i="2" s="1"/>
  <c r="Y284" i="2"/>
  <c r="Z284" i="2" s="1"/>
  <c r="V284" i="2"/>
  <c r="W284" i="2" s="1"/>
  <c r="V268" i="2"/>
  <c r="W268" i="2" s="1"/>
  <c r="Y268" i="2"/>
  <c r="Z268" i="2" s="1"/>
  <c r="Y247" i="2"/>
  <c r="Z247" i="2" s="1"/>
  <c r="V247" i="2"/>
  <c r="W247" i="2" s="1"/>
  <c r="Y232" i="2"/>
  <c r="Z232" i="2" s="1"/>
  <c r="V232" i="2"/>
  <c r="W232" i="2" s="1"/>
  <c r="Y214" i="2"/>
  <c r="Z214" i="2" s="1"/>
  <c r="V214" i="2"/>
  <c r="W214" i="2" s="1"/>
  <c r="V193" i="2"/>
  <c r="W193" i="2" s="1"/>
  <c r="Y193" i="2"/>
  <c r="Z193" i="2" s="1"/>
  <c r="V179" i="2"/>
  <c r="W179" i="2" s="1"/>
  <c r="Y179" i="2"/>
  <c r="Z179" i="2" s="1"/>
  <c r="V164" i="2"/>
  <c r="W164" i="2" s="1"/>
  <c r="Y164" i="2"/>
  <c r="Z164" i="2" s="1"/>
  <c r="V150" i="2"/>
  <c r="W150" i="2" s="1"/>
  <c r="Y150" i="2"/>
  <c r="Z150" i="2" s="1"/>
  <c r="V134" i="2"/>
  <c r="W134" i="2" s="1"/>
  <c r="Y134" i="2"/>
  <c r="Z134" i="2" s="1"/>
  <c r="Y118" i="2"/>
  <c r="Z118" i="2" s="1"/>
  <c r="V118" i="2"/>
  <c r="W118" i="2" s="1"/>
  <c r="Y102" i="2"/>
  <c r="Z102" i="2" s="1"/>
  <c r="V102" i="2"/>
  <c r="W102" i="2" s="1"/>
  <c r="V83" i="2"/>
  <c r="W83" i="2" s="1"/>
  <c r="Y83" i="2"/>
  <c r="Z83" i="2" s="1"/>
  <c r="Y68" i="2"/>
  <c r="Z68" i="2" s="1"/>
  <c r="V68" i="2"/>
  <c r="W68" i="2" s="1"/>
  <c r="Y52" i="2"/>
  <c r="Z52" i="2" s="1"/>
  <c r="V52" i="2"/>
  <c r="W52" i="2" s="1"/>
  <c r="Y36" i="2"/>
  <c r="Z36" i="2" s="1"/>
  <c r="V36" i="2"/>
  <c r="W36" i="2" s="1"/>
  <c r="Y20" i="2"/>
  <c r="Z20" i="2" s="1"/>
  <c r="V20" i="2"/>
  <c r="W20" i="2" s="1"/>
  <c r="Y295" i="2"/>
  <c r="Z295" i="2" s="1"/>
  <c r="V295" i="2"/>
  <c r="W295" i="2" s="1"/>
  <c r="V279" i="2"/>
  <c r="W279" i="2" s="1"/>
  <c r="Y279" i="2"/>
  <c r="Z279" i="2" s="1"/>
  <c r="V263" i="2"/>
  <c r="W263" i="2" s="1"/>
  <c r="Y263" i="2"/>
  <c r="Z263" i="2" s="1"/>
  <c r="Y246" i="2"/>
  <c r="Z246" i="2" s="1"/>
  <c r="V246" i="2"/>
  <c r="W246" i="2" s="1"/>
  <c r="V227" i="2"/>
  <c r="W227" i="2" s="1"/>
  <c r="Y227" i="2"/>
  <c r="Z227" i="2" s="1"/>
  <c r="V209" i="2"/>
  <c r="W209" i="2" s="1"/>
  <c r="Y209" i="2"/>
  <c r="Z209" i="2" s="1"/>
  <c r="V196" i="2"/>
  <c r="W196" i="2" s="1"/>
  <c r="Y196" i="2"/>
  <c r="Z196" i="2" s="1"/>
  <c r="Y182" i="2"/>
  <c r="Z182" i="2" s="1"/>
  <c r="V182" i="2"/>
  <c r="W182" i="2" s="1"/>
  <c r="V167" i="2"/>
  <c r="W167" i="2" s="1"/>
  <c r="Y167" i="2"/>
  <c r="Z167" i="2" s="1"/>
  <c r="V152" i="2"/>
  <c r="W152" i="2" s="1"/>
  <c r="Y152" i="2"/>
  <c r="Z152" i="2" s="1"/>
  <c r="V133" i="2"/>
  <c r="W133" i="2" s="1"/>
  <c r="Y133" i="2"/>
  <c r="Z133" i="2" s="1"/>
  <c r="Y117" i="2"/>
  <c r="Z117" i="2" s="1"/>
  <c r="V117" i="2"/>
  <c r="W117" i="2" s="1"/>
  <c r="V101" i="2"/>
  <c r="W101" i="2" s="1"/>
  <c r="Y101" i="2"/>
  <c r="Z101" i="2" s="1"/>
  <c r="Y86" i="2"/>
  <c r="Z86" i="2" s="1"/>
  <c r="V86" i="2"/>
  <c r="W86" i="2" s="1"/>
  <c r="V71" i="2"/>
  <c r="W71" i="2" s="1"/>
  <c r="Y71" i="2"/>
  <c r="Z71" i="2" s="1"/>
  <c r="V55" i="2"/>
  <c r="W55" i="2" s="1"/>
  <c r="Y55" i="2"/>
  <c r="Z55" i="2" s="1"/>
  <c r="V39" i="2"/>
  <c r="W39" i="2" s="1"/>
  <c r="Y39" i="2"/>
  <c r="Z39" i="2" s="1"/>
  <c r="V23" i="2"/>
  <c r="W23" i="2" s="1"/>
  <c r="Y23" i="2"/>
  <c r="Z23" i="2" s="1"/>
  <c r="Y298" i="2"/>
  <c r="Z298" i="2" s="1"/>
  <c r="V298" i="2"/>
  <c r="W298" i="2" s="1"/>
  <c r="Y282" i="2"/>
  <c r="Z282" i="2" s="1"/>
  <c r="V282" i="2"/>
  <c r="W282" i="2" s="1"/>
  <c r="V266" i="2"/>
  <c r="W266" i="2" s="1"/>
  <c r="Y266" i="2"/>
  <c r="Z266" i="2" s="1"/>
  <c r="V252" i="2"/>
  <c r="W252" i="2" s="1"/>
  <c r="Y252" i="2"/>
  <c r="Z252" i="2" s="1"/>
  <c r="V237" i="2"/>
  <c r="W237" i="2" s="1"/>
  <c r="Y237" i="2"/>
  <c r="Z237" i="2" s="1"/>
  <c r="V223" i="2"/>
  <c r="W223" i="2" s="1"/>
  <c r="Y223" i="2"/>
  <c r="Z223" i="2" s="1"/>
  <c r="V208" i="2"/>
  <c r="W208" i="2" s="1"/>
  <c r="Y208" i="2"/>
  <c r="Z208" i="2" s="1"/>
  <c r="Y195" i="2"/>
  <c r="Z195" i="2" s="1"/>
  <c r="V195" i="2"/>
  <c r="W195" i="2" s="1"/>
  <c r="V177" i="2"/>
  <c r="W177" i="2" s="1"/>
  <c r="Y177" i="2"/>
  <c r="Z177" i="2" s="1"/>
  <c r="V162" i="2"/>
  <c r="W162" i="2" s="1"/>
  <c r="Y162" i="2"/>
  <c r="Z162" i="2" s="1"/>
  <c r="V143" i="2"/>
  <c r="W143" i="2" s="1"/>
  <c r="Y143" i="2"/>
  <c r="Z143" i="2" s="1"/>
  <c r="V128" i="2"/>
  <c r="W128" i="2" s="1"/>
  <c r="Y128" i="2"/>
  <c r="Z128" i="2" s="1"/>
  <c r="V112" i="2"/>
  <c r="W112" i="2" s="1"/>
  <c r="Y112" i="2"/>
  <c r="Z112" i="2" s="1"/>
  <c r="Y96" i="2"/>
  <c r="Z96" i="2" s="1"/>
  <c r="V96" i="2"/>
  <c r="W96" i="2" s="1"/>
  <c r="V78" i="2"/>
  <c r="W78" i="2" s="1"/>
  <c r="Y78" i="2"/>
  <c r="Z78" i="2" s="1"/>
  <c r="V62" i="2"/>
  <c r="W62" i="2" s="1"/>
  <c r="Y62" i="2"/>
  <c r="Z62" i="2" s="1"/>
  <c r="V46" i="2"/>
  <c r="W46" i="2" s="1"/>
  <c r="Y46" i="2"/>
  <c r="Z46" i="2" s="1"/>
  <c r="V30" i="2"/>
  <c r="W30" i="2" s="1"/>
  <c r="Y30" i="2"/>
  <c r="Z30" i="2" s="1"/>
  <c r="V147" i="2"/>
  <c r="W147" i="2" s="1"/>
  <c r="Y147" i="2"/>
  <c r="Z147" i="2" s="1"/>
  <c r="Y433" i="2"/>
  <c r="Z433" i="2" s="1"/>
  <c r="V433" i="2"/>
  <c r="W433" i="2" s="1"/>
  <c r="Y419" i="2"/>
  <c r="Z419" i="2" s="1"/>
  <c r="V419" i="2"/>
  <c r="W419" i="2" s="1"/>
  <c r="Y403" i="2"/>
  <c r="Z403" i="2" s="1"/>
  <c r="V403" i="2"/>
  <c r="W403" i="2" s="1"/>
  <c r="Y389" i="2"/>
  <c r="Z389" i="2" s="1"/>
  <c r="V389" i="2"/>
  <c r="W389" i="2" s="1"/>
  <c r="Y373" i="2"/>
  <c r="Z373" i="2" s="1"/>
  <c r="V373" i="2"/>
  <c r="W373" i="2" s="1"/>
  <c r="Y357" i="2"/>
  <c r="Z357" i="2" s="1"/>
  <c r="V357" i="2"/>
  <c r="W357" i="2" s="1"/>
  <c r="Y341" i="2"/>
  <c r="Z341" i="2" s="1"/>
  <c r="V341" i="2"/>
  <c r="W341" i="2" s="1"/>
  <c r="Y325" i="2"/>
  <c r="Z325" i="2" s="1"/>
  <c r="V325" i="2"/>
  <c r="W325" i="2" s="1"/>
  <c r="Y436" i="2"/>
  <c r="Z436" i="2" s="1"/>
  <c r="V436" i="2"/>
  <c r="W436" i="2" s="1"/>
  <c r="Y418" i="2"/>
  <c r="Z418" i="2" s="1"/>
  <c r="V418" i="2"/>
  <c r="W418" i="2" s="1"/>
  <c r="Y399" i="2"/>
  <c r="Z399" i="2" s="1"/>
  <c r="V399" i="2"/>
  <c r="W399" i="2" s="1"/>
  <c r="Y384" i="2"/>
  <c r="Z384" i="2" s="1"/>
  <c r="V384" i="2"/>
  <c r="W384" i="2" s="1"/>
  <c r="Y368" i="2"/>
  <c r="Z368" i="2" s="1"/>
  <c r="V368" i="2"/>
  <c r="W368" i="2" s="1"/>
  <c r="Y352" i="2"/>
  <c r="Z352" i="2" s="1"/>
  <c r="V352" i="2"/>
  <c r="W352" i="2" s="1"/>
  <c r="Y336" i="2"/>
  <c r="Z336" i="2" s="1"/>
  <c r="V336" i="2"/>
  <c r="W336" i="2" s="1"/>
  <c r="Y320" i="2"/>
  <c r="Z320" i="2" s="1"/>
  <c r="V320" i="2"/>
  <c r="W320" i="2" s="1"/>
  <c r="Y428" i="2"/>
  <c r="Z428" i="2" s="1"/>
  <c r="V428" i="2"/>
  <c r="W428" i="2" s="1"/>
  <c r="Y413" i="2"/>
  <c r="Z413" i="2" s="1"/>
  <c r="V413" i="2"/>
  <c r="W413" i="2" s="1"/>
  <c r="Y402" i="2"/>
  <c r="Z402" i="2" s="1"/>
  <c r="V402" i="2"/>
  <c r="W402" i="2" s="1"/>
  <c r="Y383" i="2"/>
  <c r="Z383" i="2" s="1"/>
  <c r="V383" i="2"/>
  <c r="W383" i="2" s="1"/>
  <c r="Y367" i="2"/>
  <c r="Z367" i="2" s="1"/>
  <c r="V367" i="2"/>
  <c r="W367" i="2" s="1"/>
  <c r="Y351" i="2"/>
  <c r="Z351" i="2" s="1"/>
  <c r="V351" i="2"/>
  <c r="W351" i="2" s="1"/>
  <c r="Y335" i="2"/>
  <c r="Z335" i="2" s="1"/>
  <c r="V335" i="2"/>
  <c r="W335" i="2" s="1"/>
  <c r="Y319" i="2"/>
  <c r="Z319" i="2" s="1"/>
  <c r="V319" i="2"/>
  <c r="W319" i="2" s="1"/>
  <c r="Y434" i="2"/>
  <c r="Z434" i="2" s="1"/>
  <c r="V434" i="2"/>
  <c r="W434" i="2" s="1"/>
  <c r="Y420" i="2"/>
  <c r="Z420" i="2" s="1"/>
  <c r="V420" i="2"/>
  <c r="W420" i="2" s="1"/>
  <c r="Y401" i="2"/>
  <c r="Z401" i="2" s="1"/>
  <c r="V401" i="2"/>
  <c r="W401" i="2" s="1"/>
  <c r="Y386" i="2"/>
  <c r="Z386" i="2" s="1"/>
  <c r="V386" i="2"/>
  <c r="W386" i="2" s="1"/>
  <c r="Y370" i="2"/>
  <c r="Z370" i="2" s="1"/>
  <c r="V370" i="2"/>
  <c r="W370" i="2" s="1"/>
  <c r="Y354" i="2"/>
  <c r="Z354" i="2" s="1"/>
  <c r="V354" i="2"/>
  <c r="W354" i="2" s="1"/>
  <c r="Y338" i="2"/>
  <c r="Z338" i="2" s="1"/>
  <c r="V338" i="2"/>
  <c r="W338" i="2" s="1"/>
  <c r="Y322" i="2"/>
  <c r="Z322" i="2" s="1"/>
  <c r="V322" i="2"/>
  <c r="W322" i="2" s="1"/>
  <c r="Y309" i="2"/>
  <c r="Z309" i="2" s="1"/>
  <c r="V309" i="2"/>
  <c r="W309" i="2" s="1"/>
  <c r="Y293" i="2"/>
  <c r="Z293" i="2" s="1"/>
  <c r="V293" i="2"/>
  <c r="W293" i="2" s="1"/>
  <c r="V277" i="2"/>
  <c r="W277" i="2" s="1"/>
  <c r="Y277" i="2"/>
  <c r="Z277" i="2" s="1"/>
  <c r="V261" i="2"/>
  <c r="W261" i="2" s="1"/>
  <c r="Y261" i="2"/>
  <c r="Z261" i="2" s="1"/>
  <c r="V248" i="2"/>
  <c r="W248" i="2" s="1"/>
  <c r="Y248" i="2"/>
  <c r="Z248" i="2" s="1"/>
  <c r="V233" i="2"/>
  <c r="W233" i="2" s="1"/>
  <c r="Y233" i="2"/>
  <c r="Z233" i="2" s="1"/>
  <c r="V219" i="2"/>
  <c r="W219" i="2" s="1"/>
  <c r="Y219" i="2"/>
  <c r="Z219" i="2" s="1"/>
  <c r="V201" i="2"/>
  <c r="W201" i="2" s="1"/>
  <c r="Y201" i="2"/>
  <c r="Z201" i="2" s="1"/>
  <c r="Y184" i="2"/>
  <c r="Z184" i="2" s="1"/>
  <c r="V184" i="2"/>
  <c r="W184" i="2" s="1"/>
  <c r="V165" i="2"/>
  <c r="W165" i="2" s="1"/>
  <c r="Y165" i="2"/>
  <c r="Z165" i="2" s="1"/>
  <c r="V146" i="2"/>
  <c r="W146" i="2" s="1"/>
  <c r="Y146" i="2"/>
  <c r="Z146" i="2" s="1"/>
  <c r="V131" i="2"/>
  <c r="W131" i="2" s="1"/>
  <c r="Y131" i="2"/>
  <c r="Z131" i="2" s="1"/>
  <c r="Y115" i="2"/>
  <c r="Z115" i="2" s="1"/>
  <c r="V115" i="2"/>
  <c r="W115" i="2" s="1"/>
  <c r="V99" i="2"/>
  <c r="W99" i="2" s="1"/>
  <c r="Y99" i="2"/>
  <c r="Z99" i="2" s="1"/>
  <c r="Y84" i="2"/>
  <c r="Z84" i="2" s="1"/>
  <c r="V84" i="2"/>
  <c r="W84" i="2" s="1"/>
  <c r="V69" i="2"/>
  <c r="W69" i="2" s="1"/>
  <c r="Y69" i="2"/>
  <c r="Z69" i="2" s="1"/>
  <c r="V53" i="2"/>
  <c r="W53" i="2" s="1"/>
  <c r="Y53" i="2"/>
  <c r="Z53" i="2" s="1"/>
  <c r="V37" i="2"/>
  <c r="W37" i="2" s="1"/>
  <c r="Y37" i="2"/>
  <c r="Z37" i="2" s="1"/>
  <c r="V21" i="2"/>
  <c r="W21" i="2" s="1"/>
  <c r="Y21" i="2"/>
  <c r="Z21" i="2" s="1"/>
  <c r="Y296" i="2"/>
  <c r="Z296" i="2" s="1"/>
  <c r="V296" i="2"/>
  <c r="W296" i="2" s="1"/>
  <c r="V280" i="2"/>
  <c r="W280" i="2" s="1"/>
  <c r="Y280" i="2"/>
  <c r="Z280" i="2" s="1"/>
  <c r="V264" i="2"/>
  <c r="W264" i="2" s="1"/>
  <c r="Y264" i="2"/>
  <c r="Z264" i="2" s="1"/>
  <c r="V243" i="2"/>
  <c r="W243" i="2" s="1"/>
  <c r="Y243" i="2"/>
  <c r="Z243" i="2" s="1"/>
  <c r="V228" i="2"/>
  <c r="W228" i="2" s="1"/>
  <c r="Y228" i="2"/>
  <c r="Z228" i="2" s="1"/>
  <c r="Y210" i="2"/>
  <c r="Z210" i="2" s="1"/>
  <c r="V210" i="2"/>
  <c r="W210" i="2" s="1"/>
  <c r="Y190" i="2"/>
  <c r="Z190" i="2" s="1"/>
  <c r="V190" i="2"/>
  <c r="W190" i="2" s="1"/>
  <c r="V175" i="2"/>
  <c r="W175" i="2" s="1"/>
  <c r="Y175" i="2"/>
  <c r="Z175" i="2" s="1"/>
  <c r="V160" i="2"/>
  <c r="W160" i="2" s="1"/>
  <c r="Y160" i="2"/>
  <c r="Z160" i="2" s="1"/>
  <c r="Y145" i="2"/>
  <c r="Z145" i="2" s="1"/>
  <c r="V145" i="2"/>
  <c r="W145" i="2" s="1"/>
  <c r="V130" i="2"/>
  <c r="W130" i="2" s="1"/>
  <c r="Y130" i="2"/>
  <c r="Z130" i="2" s="1"/>
  <c r="V114" i="2"/>
  <c r="W114" i="2" s="1"/>
  <c r="Y114" i="2"/>
  <c r="Z114" i="2" s="1"/>
  <c r="V98" i="2"/>
  <c r="W98" i="2" s="1"/>
  <c r="Y98" i="2"/>
  <c r="Z98" i="2" s="1"/>
  <c r="Y80" i="2"/>
  <c r="Z80" i="2" s="1"/>
  <c r="V80" i="2"/>
  <c r="W80" i="2" s="1"/>
  <c r="V64" i="2"/>
  <c r="W64" i="2" s="1"/>
  <c r="Y64" i="2"/>
  <c r="Z64" i="2" s="1"/>
  <c r="V48" i="2"/>
  <c r="W48" i="2" s="1"/>
  <c r="Y48" i="2"/>
  <c r="Z48" i="2" s="1"/>
  <c r="V32" i="2"/>
  <c r="W32" i="2" s="1"/>
  <c r="Y32" i="2"/>
  <c r="Z32" i="2" s="1"/>
  <c r="Y307" i="2"/>
  <c r="Z307" i="2" s="1"/>
  <c r="V307" i="2"/>
  <c r="W307" i="2" s="1"/>
  <c r="Y291" i="2"/>
  <c r="Z291" i="2" s="1"/>
  <c r="V291" i="2"/>
  <c r="W291" i="2" s="1"/>
  <c r="V275" i="2"/>
  <c r="W275" i="2" s="1"/>
  <c r="Y275" i="2"/>
  <c r="Z275" i="2" s="1"/>
  <c r="V260" i="2"/>
  <c r="W260" i="2" s="1"/>
  <c r="Y260" i="2"/>
  <c r="Z260" i="2" s="1"/>
  <c r="V242" i="2"/>
  <c r="W242" i="2" s="1"/>
  <c r="Y242" i="2"/>
  <c r="Z242" i="2" s="1"/>
  <c r="V224" i="2"/>
  <c r="W224" i="2" s="1"/>
  <c r="Y224" i="2"/>
  <c r="Z224" i="2" s="1"/>
  <c r="Y206" i="2"/>
  <c r="Z206" i="2" s="1"/>
  <c r="V206" i="2"/>
  <c r="W206" i="2" s="1"/>
  <c r="V192" i="2"/>
  <c r="W192" i="2" s="1"/>
  <c r="Y192" i="2"/>
  <c r="Z192" i="2" s="1"/>
  <c r="Y178" i="2"/>
  <c r="Z178" i="2" s="1"/>
  <c r="V178" i="2"/>
  <c r="W178" i="2" s="1"/>
  <c r="V163" i="2"/>
  <c r="W163" i="2" s="1"/>
  <c r="Y163" i="2"/>
  <c r="Z163" i="2" s="1"/>
  <c r="V149" i="2"/>
  <c r="W149" i="2" s="1"/>
  <c r="Y149" i="2"/>
  <c r="Z149" i="2" s="1"/>
  <c r="V129" i="2"/>
  <c r="W129" i="2" s="1"/>
  <c r="Y129" i="2"/>
  <c r="Z129" i="2" s="1"/>
  <c r="Y113" i="2"/>
  <c r="Z113" i="2" s="1"/>
  <c r="V113" i="2"/>
  <c r="W113" i="2" s="1"/>
  <c r="V97" i="2"/>
  <c r="W97" i="2" s="1"/>
  <c r="Y97" i="2"/>
  <c r="Z97" i="2" s="1"/>
  <c r="V82" i="2"/>
  <c r="W82" i="2" s="1"/>
  <c r="Y82" i="2"/>
  <c r="Z82" i="2" s="1"/>
  <c r="V67" i="2"/>
  <c r="W67" i="2" s="1"/>
  <c r="Y67" i="2"/>
  <c r="Z67" i="2" s="1"/>
  <c r="V51" i="2"/>
  <c r="W51" i="2" s="1"/>
  <c r="Y51" i="2"/>
  <c r="Z51" i="2" s="1"/>
  <c r="V35" i="2"/>
  <c r="W35" i="2" s="1"/>
  <c r="Y35" i="2"/>
  <c r="Z35" i="2" s="1"/>
  <c r="V19" i="2"/>
  <c r="W19" i="2" s="1"/>
  <c r="Y19" i="2"/>
  <c r="Z19" i="2" s="1"/>
  <c r="Y294" i="2"/>
  <c r="Z294" i="2" s="1"/>
  <c r="V294" i="2"/>
  <c r="W294" i="2" s="1"/>
  <c r="V278" i="2"/>
  <c r="W278" i="2" s="1"/>
  <c r="Y278" i="2"/>
  <c r="Z278" i="2" s="1"/>
  <c r="V262" i="2"/>
  <c r="W262" i="2" s="1"/>
  <c r="Y262" i="2"/>
  <c r="Z262" i="2" s="1"/>
  <c r="Y249" i="2"/>
  <c r="Z249" i="2" s="1"/>
  <c r="V249" i="2"/>
  <c r="W249" i="2" s="1"/>
  <c r="Y234" i="2"/>
  <c r="Z234" i="2" s="1"/>
  <c r="V234" i="2"/>
  <c r="W234" i="2" s="1"/>
  <c r="Y220" i="2"/>
  <c r="Z220" i="2" s="1"/>
  <c r="V220" i="2"/>
  <c r="W220" i="2" s="1"/>
  <c r="V205" i="2"/>
  <c r="W205" i="2" s="1"/>
  <c r="Y205" i="2"/>
  <c r="Z205" i="2" s="1"/>
  <c r="Y191" i="2"/>
  <c r="Z191" i="2" s="1"/>
  <c r="V191" i="2"/>
  <c r="W191" i="2" s="1"/>
  <c r="V173" i="2"/>
  <c r="W173" i="2" s="1"/>
  <c r="Y173" i="2"/>
  <c r="Z173" i="2" s="1"/>
  <c r="V155" i="2"/>
  <c r="W155" i="2" s="1"/>
  <c r="Y155" i="2"/>
  <c r="Z155" i="2" s="1"/>
  <c r="V140" i="2"/>
  <c r="W140" i="2" s="1"/>
  <c r="Y140" i="2"/>
  <c r="Z140" i="2" s="1"/>
  <c r="Y124" i="2"/>
  <c r="Z124" i="2" s="1"/>
  <c r="V124" i="2"/>
  <c r="W124" i="2" s="1"/>
  <c r="Y108" i="2"/>
  <c r="Z108" i="2" s="1"/>
  <c r="V108" i="2"/>
  <c r="W108" i="2" s="1"/>
  <c r="V92" i="2"/>
  <c r="W92" i="2" s="1"/>
  <c r="Y92" i="2"/>
  <c r="Z92" i="2" s="1"/>
  <c r="V74" i="2"/>
  <c r="W74" i="2" s="1"/>
  <c r="Y74" i="2"/>
  <c r="Z74" i="2" s="1"/>
  <c r="V58" i="2"/>
  <c r="W58" i="2" s="1"/>
  <c r="Y58" i="2"/>
  <c r="Z58" i="2" s="1"/>
  <c r="V42" i="2"/>
  <c r="W42" i="2" s="1"/>
  <c r="Y42" i="2"/>
  <c r="Z42" i="2" s="1"/>
  <c r="V26" i="2"/>
  <c r="W26" i="2" s="1"/>
  <c r="Y26" i="2"/>
  <c r="Z26" i="2" s="1"/>
  <c r="Q147" i="2"/>
  <c r="N147" i="2"/>
  <c r="F24" i="4"/>
  <c r="F26" i="4" s="1"/>
  <c r="F22" i="4"/>
  <c r="J5" i="4" l="1"/>
  <c r="D61" i="5" l="1"/>
  <c r="C61" i="5" s="1"/>
  <c r="E62" i="5"/>
  <c r="D62" i="5" s="1"/>
  <c r="C62" i="5" s="1"/>
  <c r="D107" i="5"/>
  <c r="C107" i="5" s="1"/>
  <c r="D59" i="5"/>
  <c r="C59" i="5" s="1"/>
  <c r="D105" i="5"/>
  <c r="C105" i="5" s="1"/>
  <c r="C89" i="3"/>
  <c r="C4" i="5"/>
  <c r="D9" i="2"/>
  <c r="A434" i="1"/>
  <c r="J2" i="4"/>
  <c r="F20" i="4"/>
  <c r="F18" i="4"/>
  <c r="F16" i="4"/>
  <c r="F15" i="4"/>
  <c r="F13" i="4"/>
  <c r="A430" i="1"/>
  <c r="E430" i="1"/>
  <c r="A432" i="1"/>
  <c r="E432" i="1"/>
  <c r="H7" i="1"/>
  <c r="J5" i="1"/>
  <c r="J4" i="1"/>
  <c r="F4" i="1"/>
  <c r="D4" i="1"/>
  <c r="B4" i="1"/>
  <c r="B3" i="1"/>
  <c r="A3" i="1"/>
  <c r="F1" i="1"/>
  <c r="B1" i="1"/>
  <c r="J1" i="1"/>
  <c r="B5" i="1"/>
  <c r="F5" i="5" s="1"/>
  <c r="A439" i="2"/>
  <c r="A429" i="1" s="1"/>
  <c r="A441" i="2"/>
  <c r="A431" i="1" s="1"/>
  <c r="A443" i="2"/>
  <c r="A433" i="1" s="1"/>
  <c r="A17" i="2"/>
  <c r="A7" i="1" s="1"/>
  <c r="H441" i="2"/>
  <c r="C6" i="3"/>
  <c r="C7" i="3"/>
  <c r="C8" i="3"/>
  <c r="C10" i="3"/>
  <c r="C9" i="3"/>
  <c r="C47" i="3"/>
  <c r="C48" i="3"/>
  <c r="C50" i="3"/>
  <c r="C49" i="3"/>
  <c r="C51" i="3"/>
  <c r="C5" i="3"/>
  <c r="C52" i="3"/>
  <c r="C90" i="3"/>
  <c r="C427" i="3" l="1"/>
  <c r="K1" i="2"/>
  <c r="D17" i="2"/>
  <c r="H17" i="2"/>
  <c r="F5" i="1"/>
  <c r="F6" i="5" s="1"/>
  <c r="K3" i="2" l="1"/>
  <c r="K2" i="2"/>
  <c r="U17" i="2"/>
  <c r="Y17" i="2" s="1"/>
  <c r="Z17" i="2" s="1"/>
  <c r="V17" i="2" l="1"/>
  <c r="W17" i="2" s="1"/>
  <c r="U439" i="2"/>
  <c r="U441" i="2" l="1"/>
  <c r="U443" i="2" s="1"/>
  <c r="U15" i="2" s="1"/>
  <c r="AA147" i="2" l="1"/>
  <c r="X147" i="2"/>
  <c r="AA18" i="2"/>
  <c r="AA20" i="2"/>
  <c r="AA22" i="2"/>
  <c r="AA24" i="2"/>
  <c r="AA26" i="2"/>
  <c r="AA28" i="2"/>
  <c r="AA30" i="2"/>
  <c r="AA32" i="2"/>
  <c r="AA34" i="2"/>
  <c r="AA36" i="2"/>
  <c r="AA38" i="2"/>
  <c r="AA40" i="2"/>
  <c r="AA42" i="2"/>
  <c r="AA44" i="2"/>
  <c r="AA46" i="2"/>
  <c r="AA48" i="2"/>
  <c r="AA50" i="2"/>
  <c r="AA52" i="2"/>
  <c r="AA54" i="2"/>
  <c r="AA56" i="2"/>
  <c r="AA58" i="2"/>
  <c r="AA60" i="2"/>
  <c r="AA62" i="2"/>
  <c r="AA64" i="2"/>
  <c r="AA66" i="2"/>
  <c r="AA68" i="2"/>
  <c r="AA70" i="2"/>
  <c r="AA72" i="2"/>
  <c r="AA74" i="2"/>
  <c r="AA76" i="2"/>
  <c r="AA78" i="2"/>
  <c r="AA80" i="2"/>
  <c r="AA82" i="2"/>
  <c r="AA84" i="2"/>
  <c r="AA86" i="2"/>
  <c r="AA88" i="2"/>
  <c r="AA90" i="2"/>
  <c r="AA92" i="2"/>
  <c r="AA94" i="2"/>
  <c r="AA96" i="2"/>
  <c r="AA98" i="2"/>
  <c r="AA100" i="2"/>
  <c r="AA19" i="2"/>
  <c r="AA21" i="2"/>
  <c r="AA23" i="2"/>
  <c r="AA25" i="2"/>
  <c r="AA27" i="2"/>
  <c r="AA29" i="2"/>
  <c r="AA31" i="2"/>
  <c r="AA33" i="2"/>
  <c r="AA35" i="2"/>
  <c r="AA37" i="2"/>
  <c r="AA39" i="2"/>
  <c r="AA41" i="2"/>
  <c r="AA43" i="2"/>
  <c r="AA45" i="2"/>
  <c r="AA47" i="2"/>
  <c r="AA49" i="2"/>
  <c r="AA51" i="2"/>
  <c r="AA53" i="2"/>
  <c r="AA55" i="2"/>
  <c r="AA57" i="2"/>
  <c r="AA59" i="2"/>
  <c r="AA61" i="2"/>
  <c r="AA63" i="2"/>
  <c r="AA65" i="2"/>
  <c r="AA67" i="2"/>
  <c r="AA69" i="2"/>
  <c r="AA71" i="2"/>
  <c r="AA73" i="2"/>
  <c r="AA75" i="2"/>
  <c r="AA77" i="2"/>
  <c r="AA79" i="2"/>
  <c r="AA81" i="2"/>
  <c r="AA83" i="2"/>
  <c r="AA85" i="2"/>
  <c r="AA87" i="2"/>
  <c r="AA89" i="2"/>
  <c r="AA91" i="2"/>
  <c r="AA93" i="2"/>
  <c r="AA95" i="2"/>
  <c r="AA97" i="2"/>
  <c r="AA99" i="2"/>
  <c r="AA101" i="2"/>
  <c r="X18" i="2"/>
  <c r="X19" i="2"/>
  <c r="X20" i="2"/>
  <c r="I20" i="2" s="1"/>
  <c r="F20" i="2" s="1"/>
  <c r="X21" i="2"/>
  <c r="X22" i="2"/>
  <c r="X23" i="2"/>
  <c r="I23" i="2" s="1"/>
  <c r="F23" i="2" s="1"/>
  <c r="X24" i="2"/>
  <c r="X25" i="2"/>
  <c r="I25" i="2" s="1"/>
  <c r="F25" i="2" s="1"/>
  <c r="X26" i="2"/>
  <c r="X27" i="2"/>
  <c r="X28" i="2"/>
  <c r="I28" i="2" s="1"/>
  <c r="F28" i="2" s="1"/>
  <c r="X29" i="2"/>
  <c r="X30" i="2"/>
  <c r="X31" i="2"/>
  <c r="I31" i="2" s="1"/>
  <c r="F31" i="2" s="1"/>
  <c r="X32" i="2"/>
  <c r="X33" i="2"/>
  <c r="I33" i="2" s="1"/>
  <c r="F33" i="2" s="1"/>
  <c r="X34" i="2"/>
  <c r="X35" i="2"/>
  <c r="X36" i="2"/>
  <c r="I36" i="2" s="1"/>
  <c r="F36" i="2" s="1"/>
  <c r="X37" i="2"/>
  <c r="X38" i="2"/>
  <c r="X39" i="2"/>
  <c r="I39" i="2" s="1"/>
  <c r="F39" i="2" s="1"/>
  <c r="X40" i="2"/>
  <c r="X41" i="2"/>
  <c r="I41" i="2" s="1"/>
  <c r="F41" i="2" s="1"/>
  <c r="X42" i="2"/>
  <c r="X43" i="2"/>
  <c r="X44" i="2"/>
  <c r="I44" i="2" s="1"/>
  <c r="F44" i="2" s="1"/>
  <c r="X45" i="2"/>
  <c r="X46" i="2"/>
  <c r="X47" i="2"/>
  <c r="I47" i="2" s="1"/>
  <c r="F47" i="2" s="1"/>
  <c r="X48" i="2"/>
  <c r="X49" i="2"/>
  <c r="I49" i="2" s="1"/>
  <c r="F49" i="2" s="1"/>
  <c r="X50" i="2"/>
  <c r="X51" i="2"/>
  <c r="X52" i="2"/>
  <c r="I52" i="2" s="1"/>
  <c r="F52" i="2" s="1"/>
  <c r="X53" i="2"/>
  <c r="X54" i="2"/>
  <c r="X55" i="2"/>
  <c r="I55" i="2" s="1"/>
  <c r="F55" i="2" s="1"/>
  <c r="X56" i="2"/>
  <c r="X57" i="2"/>
  <c r="I57" i="2" s="1"/>
  <c r="F57" i="2" s="1"/>
  <c r="X58" i="2"/>
  <c r="X59" i="2"/>
  <c r="X60" i="2"/>
  <c r="I60" i="2" s="1"/>
  <c r="F60" i="2" s="1"/>
  <c r="X61" i="2"/>
  <c r="X62" i="2"/>
  <c r="X63" i="2"/>
  <c r="I63" i="2" s="1"/>
  <c r="F63" i="2" s="1"/>
  <c r="X64" i="2"/>
  <c r="X65" i="2"/>
  <c r="I65" i="2" s="1"/>
  <c r="F65" i="2" s="1"/>
  <c r="X66" i="2"/>
  <c r="X67" i="2"/>
  <c r="X68" i="2"/>
  <c r="I68" i="2" s="1"/>
  <c r="F68" i="2" s="1"/>
  <c r="X69" i="2"/>
  <c r="X70" i="2"/>
  <c r="X71" i="2"/>
  <c r="I71" i="2" s="1"/>
  <c r="F71" i="2" s="1"/>
  <c r="X72" i="2"/>
  <c r="X73" i="2"/>
  <c r="I73" i="2" s="1"/>
  <c r="F73" i="2" s="1"/>
  <c r="X74" i="2"/>
  <c r="X75" i="2"/>
  <c r="X76" i="2"/>
  <c r="I76" i="2" s="1"/>
  <c r="F76" i="2" s="1"/>
  <c r="X77" i="2"/>
  <c r="X78" i="2"/>
  <c r="X79" i="2"/>
  <c r="I79" i="2" s="1"/>
  <c r="F79" i="2" s="1"/>
  <c r="X80" i="2"/>
  <c r="X81" i="2"/>
  <c r="I81" i="2" s="1"/>
  <c r="F81" i="2" s="1"/>
  <c r="X82" i="2"/>
  <c r="X83" i="2"/>
  <c r="X84" i="2"/>
  <c r="I84" i="2" s="1"/>
  <c r="F84" i="2" s="1"/>
  <c r="X85" i="2"/>
  <c r="X86" i="2"/>
  <c r="X87" i="2"/>
  <c r="I87" i="2" s="1"/>
  <c r="F87" i="2" s="1"/>
  <c r="X88" i="2"/>
  <c r="X89" i="2"/>
  <c r="I89" i="2" s="1"/>
  <c r="F89" i="2" s="1"/>
  <c r="X90" i="2"/>
  <c r="X91" i="2"/>
  <c r="X92" i="2"/>
  <c r="I92" i="2" s="1"/>
  <c r="F92" i="2" s="1"/>
  <c r="X93" i="2"/>
  <c r="X94" i="2"/>
  <c r="X95" i="2"/>
  <c r="I95" i="2" s="1"/>
  <c r="F95" i="2" s="1"/>
  <c r="X96" i="2"/>
  <c r="X97" i="2"/>
  <c r="I97" i="2" s="1"/>
  <c r="F97" i="2" s="1"/>
  <c r="X98" i="2"/>
  <c r="X99" i="2"/>
  <c r="X100" i="2"/>
  <c r="I100" i="2" s="1"/>
  <c r="F100" i="2" s="1"/>
  <c r="X101" i="2"/>
  <c r="X102" i="2"/>
  <c r="X104" i="2"/>
  <c r="X106" i="2"/>
  <c r="X108" i="2"/>
  <c r="I108" i="2" s="1"/>
  <c r="F108" i="2" s="1"/>
  <c r="X110" i="2"/>
  <c r="X112" i="2"/>
  <c r="X114" i="2"/>
  <c r="I114" i="2" s="1"/>
  <c r="F114" i="2" s="1"/>
  <c r="X116" i="2"/>
  <c r="X118" i="2"/>
  <c r="X120" i="2"/>
  <c r="X122" i="2"/>
  <c r="X124" i="2"/>
  <c r="I124" i="2" s="1"/>
  <c r="F124" i="2" s="1"/>
  <c r="X126" i="2"/>
  <c r="X128" i="2"/>
  <c r="X103" i="2"/>
  <c r="X105" i="2"/>
  <c r="I105" i="2" s="1"/>
  <c r="F105" i="2" s="1"/>
  <c r="X107" i="2"/>
  <c r="X109" i="2"/>
  <c r="X111" i="2"/>
  <c r="I111" i="2" s="1"/>
  <c r="F111" i="2" s="1"/>
  <c r="X113" i="2"/>
  <c r="I113" i="2" s="1"/>
  <c r="F113" i="2" s="1"/>
  <c r="X115" i="2"/>
  <c r="X117" i="2"/>
  <c r="X119" i="2"/>
  <c r="X121" i="2"/>
  <c r="X123" i="2"/>
  <c r="X125" i="2"/>
  <c r="X127" i="2"/>
  <c r="X129" i="2"/>
  <c r="X131" i="2"/>
  <c r="X133" i="2"/>
  <c r="X135" i="2"/>
  <c r="AA104" i="2"/>
  <c r="AA108" i="2"/>
  <c r="AA112" i="2"/>
  <c r="AA116" i="2"/>
  <c r="AA120" i="2"/>
  <c r="AA124" i="2"/>
  <c r="AA128" i="2"/>
  <c r="AA129" i="2"/>
  <c r="X132" i="2"/>
  <c r="I132" i="2" s="1"/>
  <c r="F132" i="2" s="1"/>
  <c r="AA136" i="2"/>
  <c r="AA138" i="2"/>
  <c r="AA140" i="2"/>
  <c r="AA142" i="2"/>
  <c r="AA144" i="2"/>
  <c r="AA146" i="2"/>
  <c r="AA148" i="2"/>
  <c r="AA150" i="2"/>
  <c r="AA152" i="2"/>
  <c r="AA154" i="2"/>
  <c r="AA156" i="2"/>
  <c r="AA158" i="2"/>
  <c r="AA160" i="2"/>
  <c r="AA162" i="2"/>
  <c r="AA164" i="2"/>
  <c r="AA166" i="2"/>
  <c r="AA168" i="2"/>
  <c r="AA170" i="2"/>
  <c r="AA172" i="2"/>
  <c r="AA174" i="2"/>
  <c r="AA176" i="2"/>
  <c r="AA178" i="2"/>
  <c r="AA180" i="2"/>
  <c r="AA182" i="2"/>
  <c r="AA184" i="2"/>
  <c r="AA186" i="2"/>
  <c r="AA188" i="2"/>
  <c r="AA190" i="2"/>
  <c r="AA192" i="2"/>
  <c r="AA194" i="2"/>
  <c r="AA196" i="2"/>
  <c r="AA198" i="2"/>
  <c r="AA200" i="2"/>
  <c r="AA202" i="2"/>
  <c r="AA204" i="2"/>
  <c r="AA206" i="2"/>
  <c r="AA208" i="2"/>
  <c r="AA210" i="2"/>
  <c r="AA212" i="2"/>
  <c r="AA214" i="2"/>
  <c r="AA216" i="2"/>
  <c r="AA218" i="2"/>
  <c r="AA220" i="2"/>
  <c r="AA222" i="2"/>
  <c r="AA224" i="2"/>
  <c r="AA226" i="2"/>
  <c r="AA228" i="2"/>
  <c r="AA230" i="2"/>
  <c r="AA232" i="2"/>
  <c r="AA234" i="2"/>
  <c r="AA236" i="2"/>
  <c r="AA238" i="2"/>
  <c r="AA240" i="2"/>
  <c r="AA102" i="2"/>
  <c r="AA106" i="2"/>
  <c r="AA110" i="2"/>
  <c r="AA114" i="2"/>
  <c r="AA118" i="2"/>
  <c r="AA122" i="2"/>
  <c r="AA126" i="2"/>
  <c r="AA132" i="2"/>
  <c r="AA133" i="2"/>
  <c r="X136" i="2"/>
  <c r="I136" i="2" s="1"/>
  <c r="F136" i="2" s="1"/>
  <c r="AA137" i="2"/>
  <c r="AA139" i="2"/>
  <c r="AA141" i="2"/>
  <c r="AA143" i="2"/>
  <c r="AA145" i="2"/>
  <c r="AA149" i="2"/>
  <c r="AA151" i="2"/>
  <c r="AA153" i="2"/>
  <c r="AA155" i="2"/>
  <c r="AA157" i="2"/>
  <c r="AA159" i="2"/>
  <c r="AA161" i="2"/>
  <c r="AA163" i="2"/>
  <c r="AA165" i="2"/>
  <c r="AA167" i="2"/>
  <c r="AA169" i="2"/>
  <c r="AA171" i="2"/>
  <c r="AA173" i="2"/>
  <c r="AA175" i="2"/>
  <c r="AA177" i="2"/>
  <c r="AA179" i="2"/>
  <c r="AA181" i="2"/>
  <c r="AA183" i="2"/>
  <c r="AA185" i="2"/>
  <c r="AA187" i="2"/>
  <c r="AA189" i="2"/>
  <c r="AA191" i="2"/>
  <c r="AA193" i="2"/>
  <c r="AA195" i="2"/>
  <c r="AA197" i="2"/>
  <c r="AA199" i="2"/>
  <c r="AA201" i="2"/>
  <c r="AA203" i="2"/>
  <c r="AA205" i="2"/>
  <c r="AA207" i="2"/>
  <c r="AA209" i="2"/>
  <c r="AA211" i="2"/>
  <c r="AA213" i="2"/>
  <c r="AA215" i="2"/>
  <c r="AA217" i="2"/>
  <c r="AA219" i="2"/>
  <c r="AA221" i="2"/>
  <c r="AA223" i="2"/>
  <c r="AA225" i="2"/>
  <c r="AA227" i="2"/>
  <c r="AA229" i="2"/>
  <c r="AA231" i="2"/>
  <c r="AA233" i="2"/>
  <c r="AA235" i="2"/>
  <c r="AA237" i="2"/>
  <c r="AA239" i="2"/>
  <c r="AA241" i="2"/>
  <c r="AA243" i="2"/>
  <c r="AA245" i="2"/>
  <c r="AA247" i="2"/>
  <c r="AA249" i="2"/>
  <c r="AA115" i="2"/>
  <c r="AA117" i="2"/>
  <c r="X130" i="2"/>
  <c r="I130" i="2" s="1"/>
  <c r="F130" i="2" s="1"/>
  <c r="AA134" i="2"/>
  <c r="X137" i="2"/>
  <c r="X138" i="2"/>
  <c r="X139" i="2"/>
  <c r="I139" i="2" s="1"/>
  <c r="F139" i="2" s="1"/>
  <c r="X140" i="2"/>
  <c r="X141" i="2"/>
  <c r="X142" i="2"/>
  <c r="X143" i="2"/>
  <c r="X144" i="2"/>
  <c r="I144" i="2" s="1"/>
  <c r="F144" i="2" s="1"/>
  <c r="X145" i="2"/>
  <c r="X146" i="2"/>
  <c r="I147" i="2"/>
  <c r="F147" i="2" s="1"/>
  <c r="X148" i="2"/>
  <c r="X149" i="2"/>
  <c r="X150" i="2"/>
  <c r="X151" i="2"/>
  <c r="X152" i="2"/>
  <c r="I152" i="2" s="1"/>
  <c r="F152" i="2" s="1"/>
  <c r="X153" i="2"/>
  <c r="X154" i="2"/>
  <c r="X155" i="2"/>
  <c r="I155" i="2" s="1"/>
  <c r="F155" i="2" s="1"/>
  <c r="X156" i="2"/>
  <c r="X157" i="2"/>
  <c r="X158" i="2"/>
  <c r="X159" i="2"/>
  <c r="X160" i="2"/>
  <c r="I160" i="2" s="1"/>
  <c r="F160" i="2" s="1"/>
  <c r="X161" i="2"/>
  <c r="X162" i="2"/>
  <c r="X163" i="2"/>
  <c r="I163" i="2" s="1"/>
  <c r="F163" i="2" s="1"/>
  <c r="X164" i="2"/>
  <c r="X165" i="2"/>
  <c r="X166" i="2"/>
  <c r="X167" i="2"/>
  <c r="X168" i="2"/>
  <c r="I168" i="2" s="1"/>
  <c r="F168" i="2" s="1"/>
  <c r="X169" i="2"/>
  <c r="X170" i="2"/>
  <c r="X171" i="2"/>
  <c r="I171" i="2" s="1"/>
  <c r="F171" i="2" s="1"/>
  <c r="X172" i="2"/>
  <c r="X173" i="2"/>
  <c r="X174" i="2"/>
  <c r="X175" i="2"/>
  <c r="X176" i="2"/>
  <c r="I176" i="2" s="1"/>
  <c r="F176" i="2" s="1"/>
  <c r="X177" i="2"/>
  <c r="X178" i="2"/>
  <c r="X179" i="2"/>
  <c r="I179" i="2" s="1"/>
  <c r="F179" i="2" s="1"/>
  <c r="X180" i="2"/>
  <c r="X181" i="2"/>
  <c r="X182" i="2"/>
  <c r="X183" i="2"/>
  <c r="X184" i="2"/>
  <c r="I184" i="2" s="1"/>
  <c r="F184" i="2" s="1"/>
  <c r="X185" i="2"/>
  <c r="X186" i="2"/>
  <c r="X187" i="2"/>
  <c r="I187" i="2" s="1"/>
  <c r="F187" i="2" s="1"/>
  <c r="X188" i="2"/>
  <c r="X189" i="2"/>
  <c r="X190" i="2"/>
  <c r="X191" i="2"/>
  <c r="X192" i="2"/>
  <c r="I192" i="2" s="1"/>
  <c r="F192" i="2" s="1"/>
  <c r="X193" i="2"/>
  <c r="X194" i="2"/>
  <c r="X195" i="2"/>
  <c r="I195" i="2" s="1"/>
  <c r="F195" i="2" s="1"/>
  <c r="X196" i="2"/>
  <c r="X197" i="2"/>
  <c r="X198" i="2"/>
  <c r="X199" i="2"/>
  <c r="X200" i="2"/>
  <c r="I200" i="2" s="1"/>
  <c r="F200" i="2" s="1"/>
  <c r="X201" i="2"/>
  <c r="X202" i="2"/>
  <c r="X203" i="2"/>
  <c r="I203" i="2" s="1"/>
  <c r="F203" i="2" s="1"/>
  <c r="X204" i="2"/>
  <c r="X205" i="2"/>
  <c r="X206" i="2"/>
  <c r="X207" i="2"/>
  <c r="X208" i="2"/>
  <c r="I208" i="2" s="1"/>
  <c r="F208" i="2" s="1"/>
  <c r="X209" i="2"/>
  <c r="X210" i="2"/>
  <c r="X211" i="2"/>
  <c r="I211" i="2" s="1"/>
  <c r="F211" i="2" s="1"/>
  <c r="X212" i="2"/>
  <c r="X213" i="2"/>
  <c r="X214" i="2"/>
  <c r="X215" i="2"/>
  <c r="X216" i="2"/>
  <c r="I216" i="2" s="1"/>
  <c r="F216" i="2" s="1"/>
  <c r="X217" i="2"/>
  <c r="X218" i="2"/>
  <c r="X219" i="2"/>
  <c r="I219" i="2" s="1"/>
  <c r="F219" i="2" s="1"/>
  <c r="X220" i="2"/>
  <c r="X221" i="2"/>
  <c r="X222" i="2"/>
  <c r="X223" i="2"/>
  <c r="X224" i="2"/>
  <c r="I224" i="2" s="1"/>
  <c r="F224" i="2" s="1"/>
  <c r="X225" i="2"/>
  <c r="X226" i="2"/>
  <c r="X227" i="2"/>
  <c r="I227" i="2" s="1"/>
  <c r="F227" i="2" s="1"/>
  <c r="X228" i="2"/>
  <c r="X229" i="2"/>
  <c r="X230" i="2"/>
  <c r="X231" i="2"/>
  <c r="X232" i="2"/>
  <c r="I232" i="2" s="1"/>
  <c r="F232" i="2" s="1"/>
  <c r="X233" i="2"/>
  <c r="X234" i="2"/>
  <c r="X235" i="2"/>
  <c r="I235" i="2" s="1"/>
  <c r="F235" i="2" s="1"/>
  <c r="X236" i="2"/>
  <c r="X237" i="2"/>
  <c r="X238" i="2"/>
  <c r="X239" i="2"/>
  <c r="X240" i="2"/>
  <c r="I240" i="2" s="1"/>
  <c r="F240" i="2" s="1"/>
  <c r="X241" i="2"/>
  <c r="AA242" i="2"/>
  <c r="X245" i="2"/>
  <c r="I245" i="2" s="1"/>
  <c r="F245" i="2" s="1"/>
  <c r="AA246" i="2"/>
  <c r="X249" i="2"/>
  <c r="AA250" i="2"/>
  <c r="AA252" i="2"/>
  <c r="AA254" i="2"/>
  <c r="AA256" i="2"/>
  <c r="AA258" i="2"/>
  <c r="AA260" i="2"/>
  <c r="AA262" i="2"/>
  <c r="AA264" i="2"/>
  <c r="AA266" i="2"/>
  <c r="AA268" i="2"/>
  <c r="AA270" i="2"/>
  <c r="AA272" i="2"/>
  <c r="AA274" i="2"/>
  <c r="AA276" i="2"/>
  <c r="AA278" i="2"/>
  <c r="AA107" i="2"/>
  <c r="AA109" i="2"/>
  <c r="AA123" i="2"/>
  <c r="AA125" i="2"/>
  <c r="AA131" i="2"/>
  <c r="X243" i="2"/>
  <c r="I243" i="2" s="1"/>
  <c r="F243" i="2" s="1"/>
  <c r="AA244" i="2"/>
  <c r="X247" i="2"/>
  <c r="AA248" i="2"/>
  <c r="AA251" i="2"/>
  <c r="AA253" i="2"/>
  <c r="AA255" i="2"/>
  <c r="AA257" i="2"/>
  <c r="AA259" i="2"/>
  <c r="AA261" i="2"/>
  <c r="AA263" i="2"/>
  <c r="AA265" i="2"/>
  <c r="AA267" i="2"/>
  <c r="AA269" i="2"/>
  <c r="AA271" i="2"/>
  <c r="AA273" i="2"/>
  <c r="AA275" i="2"/>
  <c r="AA277" i="2"/>
  <c r="AA279" i="2"/>
  <c r="AA105" i="2"/>
  <c r="AA113" i="2"/>
  <c r="AA121" i="2"/>
  <c r="X281" i="2"/>
  <c r="X283" i="2"/>
  <c r="X285" i="2"/>
  <c r="X287" i="2"/>
  <c r="I287" i="2" s="1"/>
  <c r="F287" i="2" s="1"/>
  <c r="X289" i="2"/>
  <c r="I289" i="2" s="1"/>
  <c r="F289" i="2" s="1"/>
  <c r="X291" i="2"/>
  <c r="X293" i="2"/>
  <c r="X295" i="2"/>
  <c r="X297" i="2"/>
  <c r="X299" i="2"/>
  <c r="X301" i="2"/>
  <c r="X303" i="2"/>
  <c r="I303" i="2" s="1"/>
  <c r="F303" i="2" s="1"/>
  <c r="X305" i="2"/>
  <c r="I305" i="2" s="1"/>
  <c r="F305" i="2" s="1"/>
  <c r="X307" i="2"/>
  <c r="X309" i="2"/>
  <c r="X311" i="2"/>
  <c r="X313" i="2"/>
  <c r="X315" i="2"/>
  <c r="X317" i="2"/>
  <c r="X319" i="2"/>
  <c r="I319" i="2" s="1"/>
  <c r="F319" i="2" s="1"/>
  <c r="X321" i="2"/>
  <c r="I321" i="2" s="1"/>
  <c r="F321" i="2" s="1"/>
  <c r="X323" i="2"/>
  <c r="X325" i="2"/>
  <c r="X327" i="2"/>
  <c r="X329" i="2"/>
  <c r="X331" i="2"/>
  <c r="X333" i="2"/>
  <c r="X335" i="2"/>
  <c r="I335" i="2" s="1"/>
  <c r="F335" i="2" s="1"/>
  <c r="X337" i="2"/>
  <c r="I337" i="2" s="1"/>
  <c r="F337" i="2" s="1"/>
  <c r="X339" i="2"/>
  <c r="X341" i="2"/>
  <c r="X343" i="2"/>
  <c r="X345" i="2"/>
  <c r="X347" i="2"/>
  <c r="X349" i="2"/>
  <c r="X351" i="2"/>
  <c r="I351" i="2" s="1"/>
  <c r="F351" i="2" s="1"/>
  <c r="X353" i="2"/>
  <c r="I353" i="2" s="1"/>
  <c r="F353" i="2" s="1"/>
  <c r="X355" i="2"/>
  <c r="X357" i="2"/>
  <c r="X359" i="2"/>
  <c r="X361" i="2"/>
  <c r="X363" i="2"/>
  <c r="X365" i="2"/>
  <c r="X367" i="2"/>
  <c r="I367" i="2" s="1"/>
  <c r="F367" i="2" s="1"/>
  <c r="X369" i="2"/>
  <c r="I369" i="2" s="1"/>
  <c r="F369" i="2" s="1"/>
  <c r="X371" i="2"/>
  <c r="X373" i="2"/>
  <c r="X375" i="2"/>
  <c r="X377" i="2"/>
  <c r="X379" i="2"/>
  <c r="X381" i="2"/>
  <c r="I381" i="2" s="1"/>
  <c r="F381" i="2" s="1"/>
  <c r="X383" i="2"/>
  <c r="I383" i="2" s="1"/>
  <c r="F383" i="2" s="1"/>
  <c r="X385" i="2"/>
  <c r="I385" i="2" s="1"/>
  <c r="F385" i="2" s="1"/>
  <c r="X387" i="2"/>
  <c r="AA130" i="2"/>
  <c r="AA135" i="2"/>
  <c r="AA280" i="2"/>
  <c r="X282" i="2"/>
  <c r="X284" i="2"/>
  <c r="I284" i="2" s="1"/>
  <c r="F284" i="2" s="1"/>
  <c r="X286" i="2"/>
  <c r="I286" i="2" s="1"/>
  <c r="F286" i="2" s="1"/>
  <c r="X288" i="2"/>
  <c r="I288" i="2" s="1"/>
  <c r="F288" i="2" s="1"/>
  <c r="X290" i="2"/>
  <c r="X292" i="2"/>
  <c r="X294" i="2"/>
  <c r="X296" i="2"/>
  <c r="X298" i="2"/>
  <c r="X300" i="2"/>
  <c r="I300" i="2" s="1"/>
  <c r="F300" i="2" s="1"/>
  <c r="X302" i="2"/>
  <c r="I302" i="2" s="1"/>
  <c r="F302" i="2" s="1"/>
  <c r="X304" i="2"/>
  <c r="I304" i="2" s="1"/>
  <c r="F304" i="2" s="1"/>
  <c r="X306" i="2"/>
  <c r="X308" i="2"/>
  <c r="X310" i="2"/>
  <c r="X312" i="2"/>
  <c r="X314" i="2"/>
  <c r="X316" i="2"/>
  <c r="I316" i="2" s="1"/>
  <c r="F316" i="2" s="1"/>
  <c r="X318" i="2"/>
  <c r="I318" i="2" s="1"/>
  <c r="F318" i="2" s="1"/>
  <c r="X320" i="2"/>
  <c r="I320" i="2" s="1"/>
  <c r="F320" i="2" s="1"/>
  <c r="X322" i="2"/>
  <c r="X324" i="2"/>
  <c r="X326" i="2"/>
  <c r="X328" i="2"/>
  <c r="X330" i="2"/>
  <c r="X332" i="2"/>
  <c r="I332" i="2" s="1"/>
  <c r="F332" i="2" s="1"/>
  <c r="X334" i="2"/>
  <c r="I334" i="2" s="1"/>
  <c r="F334" i="2" s="1"/>
  <c r="X336" i="2"/>
  <c r="I336" i="2" s="1"/>
  <c r="F336" i="2" s="1"/>
  <c r="X338" i="2"/>
  <c r="X340" i="2"/>
  <c r="X342" i="2"/>
  <c r="X344" i="2"/>
  <c r="X346" i="2"/>
  <c r="X348" i="2"/>
  <c r="I348" i="2" s="1"/>
  <c r="F348" i="2" s="1"/>
  <c r="X350" i="2"/>
  <c r="I350" i="2" s="1"/>
  <c r="F350" i="2" s="1"/>
  <c r="X352" i="2"/>
  <c r="I352" i="2" s="1"/>
  <c r="F352" i="2" s="1"/>
  <c r="X354" i="2"/>
  <c r="X356" i="2"/>
  <c r="X358" i="2"/>
  <c r="X360" i="2"/>
  <c r="X362" i="2"/>
  <c r="X364" i="2"/>
  <c r="I364" i="2" s="1"/>
  <c r="F364" i="2" s="1"/>
  <c r="X366" i="2"/>
  <c r="I366" i="2" s="1"/>
  <c r="F366" i="2" s="1"/>
  <c r="X368" i="2"/>
  <c r="I368" i="2" s="1"/>
  <c r="F368" i="2" s="1"/>
  <c r="X370" i="2"/>
  <c r="X372" i="2"/>
  <c r="X374" i="2"/>
  <c r="X376" i="2"/>
  <c r="X378" i="2"/>
  <c r="X380" i="2"/>
  <c r="I380" i="2" s="1"/>
  <c r="F380" i="2" s="1"/>
  <c r="X382" i="2"/>
  <c r="I382" i="2" s="1"/>
  <c r="F382" i="2" s="1"/>
  <c r="X384" i="2"/>
  <c r="I384" i="2" s="1"/>
  <c r="F384" i="2" s="1"/>
  <c r="X386" i="2"/>
  <c r="AA111" i="2"/>
  <c r="AA127" i="2"/>
  <c r="X242" i="2"/>
  <c r="I242" i="2" s="1"/>
  <c r="F242" i="2" s="1"/>
  <c r="X244" i="2"/>
  <c r="X246" i="2"/>
  <c r="X248" i="2"/>
  <c r="I248" i="2" s="1"/>
  <c r="F248" i="2" s="1"/>
  <c r="X250" i="2"/>
  <c r="I250" i="2" s="1"/>
  <c r="F250" i="2" s="1"/>
  <c r="X254" i="2"/>
  <c r="X258" i="2"/>
  <c r="X262" i="2"/>
  <c r="X266" i="2"/>
  <c r="I266" i="2" s="1"/>
  <c r="F266" i="2" s="1"/>
  <c r="X270" i="2"/>
  <c r="X274" i="2"/>
  <c r="X278" i="2"/>
  <c r="AA282" i="2"/>
  <c r="AA286" i="2"/>
  <c r="AA290" i="2"/>
  <c r="AA294" i="2"/>
  <c r="AA298" i="2"/>
  <c r="AA302" i="2"/>
  <c r="AA306" i="2"/>
  <c r="AA310" i="2"/>
  <c r="AA314" i="2"/>
  <c r="AA318" i="2"/>
  <c r="AA322" i="2"/>
  <c r="AA326" i="2"/>
  <c r="AA330" i="2"/>
  <c r="AA334" i="2"/>
  <c r="AA338" i="2"/>
  <c r="AA342" i="2"/>
  <c r="AA346" i="2"/>
  <c r="AA350" i="2"/>
  <c r="AA354" i="2"/>
  <c r="AA358" i="2"/>
  <c r="AA362" i="2"/>
  <c r="AA366" i="2"/>
  <c r="AA370" i="2"/>
  <c r="AA374" i="2"/>
  <c r="AA378" i="2"/>
  <c r="AA382" i="2"/>
  <c r="AA386" i="2"/>
  <c r="AA388" i="2"/>
  <c r="AA390" i="2"/>
  <c r="AA392" i="2"/>
  <c r="AA394" i="2"/>
  <c r="AA396" i="2"/>
  <c r="AA398" i="2"/>
  <c r="AA400" i="2"/>
  <c r="AA402" i="2"/>
  <c r="AA404" i="2"/>
  <c r="AA406" i="2"/>
  <c r="AA408" i="2"/>
  <c r="AA410" i="2"/>
  <c r="AA412" i="2"/>
  <c r="AA414" i="2"/>
  <c r="AA416" i="2"/>
  <c r="AA418" i="2"/>
  <c r="AA420" i="2"/>
  <c r="AA422" i="2"/>
  <c r="AA424" i="2"/>
  <c r="AA426" i="2"/>
  <c r="AA428" i="2"/>
  <c r="AA430" i="2"/>
  <c r="AA432" i="2"/>
  <c r="AA434" i="2"/>
  <c r="AA436" i="2"/>
  <c r="AA438" i="2"/>
  <c r="X134" i="2"/>
  <c r="X253" i="2"/>
  <c r="X257" i="2"/>
  <c r="I257" i="2" s="1"/>
  <c r="F257" i="2" s="1"/>
  <c r="X261" i="2"/>
  <c r="X265" i="2"/>
  <c r="X269" i="2"/>
  <c r="X273" i="2"/>
  <c r="I273" i="2" s="1"/>
  <c r="F273" i="2" s="1"/>
  <c r="X277" i="2"/>
  <c r="AA283" i="2"/>
  <c r="AA287" i="2"/>
  <c r="AA291" i="2"/>
  <c r="AA295" i="2"/>
  <c r="AA299" i="2"/>
  <c r="AA303" i="2"/>
  <c r="AA307" i="2"/>
  <c r="AA311" i="2"/>
  <c r="AA315" i="2"/>
  <c r="AA319" i="2"/>
  <c r="AA323" i="2"/>
  <c r="AA327" i="2"/>
  <c r="AA331" i="2"/>
  <c r="AA335" i="2"/>
  <c r="AA339" i="2"/>
  <c r="AA343" i="2"/>
  <c r="AA347" i="2"/>
  <c r="AA351" i="2"/>
  <c r="AA355" i="2"/>
  <c r="AA359" i="2"/>
  <c r="AA363" i="2"/>
  <c r="AA367" i="2"/>
  <c r="AA371" i="2"/>
  <c r="AA375" i="2"/>
  <c r="AA379" i="2"/>
  <c r="AA383" i="2"/>
  <c r="AA387" i="2"/>
  <c r="X388" i="2"/>
  <c r="X390" i="2"/>
  <c r="X392" i="2"/>
  <c r="I392" i="2" s="1"/>
  <c r="F392" i="2" s="1"/>
  <c r="X394" i="2"/>
  <c r="I394" i="2" s="1"/>
  <c r="F394" i="2" s="1"/>
  <c r="X396" i="2"/>
  <c r="X398" i="2"/>
  <c r="X400" i="2"/>
  <c r="I400" i="2" s="1"/>
  <c r="F400" i="2" s="1"/>
  <c r="X402" i="2"/>
  <c r="I402" i="2" s="1"/>
  <c r="F402" i="2" s="1"/>
  <c r="X404" i="2"/>
  <c r="X406" i="2"/>
  <c r="X408" i="2"/>
  <c r="I408" i="2" s="1"/>
  <c r="F408" i="2" s="1"/>
  <c r="X410" i="2"/>
  <c r="I410" i="2" s="1"/>
  <c r="F410" i="2" s="1"/>
  <c r="X412" i="2"/>
  <c r="X414" i="2"/>
  <c r="X416" i="2"/>
  <c r="I416" i="2" s="1"/>
  <c r="F416" i="2" s="1"/>
  <c r="X418" i="2"/>
  <c r="I418" i="2" s="1"/>
  <c r="F418" i="2" s="1"/>
  <c r="X420" i="2"/>
  <c r="X422" i="2"/>
  <c r="X424" i="2"/>
  <c r="I424" i="2" s="1"/>
  <c r="F424" i="2" s="1"/>
  <c r="X426" i="2"/>
  <c r="I426" i="2" s="1"/>
  <c r="F426" i="2" s="1"/>
  <c r="X428" i="2"/>
  <c r="X430" i="2"/>
  <c r="X432" i="2"/>
  <c r="I432" i="2" s="1"/>
  <c r="F432" i="2" s="1"/>
  <c r="AA103" i="2"/>
  <c r="AA119" i="2"/>
  <c r="X252" i="2"/>
  <c r="X256" i="2"/>
  <c r="I256" i="2" s="1"/>
  <c r="F256" i="2" s="1"/>
  <c r="X260" i="2"/>
  <c r="X264" i="2"/>
  <c r="I264" i="2" s="1"/>
  <c r="F264" i="2" s="1"/>
  <c r="X268" i="2"/>
  <c r="X272" i="2"/>
  <c r="I272" i="2" s="1"/>
  <c r="F272" i="2" s="1"/>
  <c r="X276" i="2"/>
  <c r="X280" i="2"/>
  <c r="AA284" i="2"/>
  <c r="AA288" i="2"/>
  <c r="AA292" i="2"/>
  <c r="AA296" i="2"/>
  <c r="AA300" i="2"/>
  <c r="AA304" i="2"/>
  <c r="AA308" i="2"/>
  <c r="AA312" i="2"/>
  <c r="AA316" i="2"/>
  <c r="AA320" i="2"/>
  <c r="AA324" i="2"/>
  <c r="AA328" i="2"/>
  <c r="AA332" i="2"/>
  <c r="AA336" i="2"/>
  <c r="AA340" i="2"/>
  <c r="AA344" i="2"/>
  <c r="AA348" i="2"/>
  <c r="AA352" i="2"/>
  <c r="AA356" i="2"/>
  <c r="AA360" i="2"/>
  <c r="AA364" i="2"/>
  <c r="AA368" i="2"/>
  <c r="AA372" i="2"/>
  <c r="AA376" i="2"/>
  <c r="AA380" i="2"/>
  <c r="AA384" i="2"/>
  <c r="AA389" i="2"/>
  <c r="AA391" i="2"/>
  <c r="AA393" i="2"/>
  <c r="AA395" i="2"/>
  <c r="AA397" i="2"/>
  <c r="AA399" i="2"/>
  <c r="AA401" i="2"/>
  <c r="AA403" i="2"/>
  <c r="AA405" i="2"/>
  <c r="AA407" i="2"/>
  <c r="AA409" i="2"/>
  <c r="AA411" i="2"/>
  <c r="AA413" i="2"/>
  <c r="AA415" i="2"/>
  <c r="AA417" i="2"/>
  <c r="AA419" i="2"/>
  <c r="AA421" i="2"/>
  <c r="AA423" i="2"/>
  <c r="AA425" i="2"/>
  <c r="AA427" i="2"/>
  <c r="AA429" i="2"/>
  <c r="AA431" i="2"/>
  <c r="AA433" i="2"/>
  <c r="AA435" i="2"/>
  <c r="AA437" i="2"/>
  <c r="X251" i="2"/>
  <c r="I251" i="2" s="1"/>
  <c r="F251" i="2" s="1"/>
  <c r="X255" i="2"/>
  <c r="X259" i="2"/>
  <c r="X263" i="2"/>
  <c r="X267" i="2"/>
  <c r="I267" i="2" s="1"/>
  <c r="F267" i="2" s="1"/>
  <c r="X271" i="2"/>
  <c r="X275" i="2"/>
  <c r="X279" i="2"/>
  <c r="AA281" i="2"/>
  <c r="AA285" i="2"/>
  <c r="AA289" i="2"/>
  <c r="AA293" i="2"/>
  <c r="AA297" i="2"/>
  <c r="AA301" i="2"/>
  <c r="AA305" i="2"/>
  <c r="AA309" i="2"/>
  <c r="AA313" i="2"/>
  <c r="AA317" i="2"/>
  <c r="AA321" i="2"/>
  <c r="AA325" i="2"/>
  <c r="AA329" i="2"/>
  <c r="AA333" i="2"/>
  <c r="AA337" i="2"/>
  <c r="AA341" i="2"/>
  <c r="AA345" i="2"/>
  <c r="AA349" i="2"/>
  <c r="AA353" i="2"/>
  <c r="AA357" i="2"/>
  <c r="AA361" i="2"/>
  <c r="AA365" i="2"/>
  <c r="AA369" i="2"/>
  <c r="AA373" i="2"/>
  <c r="AA377" i="2"/>
  <c r="AA381" i="2"/>
  <c r="AA385" i="2"/>
  <c r="X389" i="2"/>
  <c r="X391" i="2"/>
  <c r="X393" i="2"/>
  <c r="X395" i="2"/>
  <c r="X397" i="2"/>
  <c r="X399" i="2"/>
  <c r="X401" i="2"/>
  <c r="X403" i="2"/>
  <c r="X405" i="2"/>
  <c r="X407" i="2"/>
  <c r="X409" i="2"/>
  <c r="X411" i="2"/>
  <c r="X413" i="2"/>
  <c r="X415" i="2"/>
  <c r="X417" i="2"/>
  <c r="X419" i="2"/>
  <c r="X421" i="2"/>
  <c r="X423" i="2"/>
  <c r="X425" i="2"/>
  <c r="X427" i="2"/>
  <c r="X429" i="2"/>
  <c r="X431" i="2"/>
  <c r="X433" i="2"/>
  <c r="X435" i="2"/>
  <c r="X437" i="2"/>
  <c r="X434" i="2"/>
  <c r="I434" i="2" s="1"/>
  <c r="F434" i="2" s="1"/>
  <c r="X438" i="2"/>
  <c r="X436" i="2"/>
  <c r="AA17" i="2"/>
  <c r="X17" i="2"/>
  <c r="AB147" i="2" l="1"/>
  <c r="AB415" i="2"/>
  <c r="I415" i="2"/>
  <c r="F415" i="2" s="1"/>
  <c r="AB399" i="2"/>
  <c r="I399" i="2"/>
  <c r="F399" i="2" s="1"/>
  <c r="AB280" i="2"/>
  <c r="I280" i="2"/>
  <c r="F280" i="2" s="1"/>
  <c r="AB420" i="2"/>
  <c r="I420" i="2"/>
  <c r="F420" i="2" s="1"/>
  <c r="AB404" i="2"/>
  <c r="I404" i="2"/>
  <c r="F404" i="2" s="1"/>
  <c r="AB388" i="2"/>
  <c r="I388" i="2"/>
  <c r="F388" i="2" s="1"/>
  <c r="AB261" i="2"/>
  <c r="I261" i="2"/>
  <c r="F261" i="2" s="1"/>
  <c r="I360" i="2"/>
  <c r="F360" i="2" s="1"/>
  <c r="I328" i="2"/>
  <c r="F328" i="2" s="1"/>
  <c r="I361" i="2"/>
  <c r="F361" i="2" s="1"/>
  <c r="I329" i="2"/>
  <c r="F329" i="2" s="1"/>
  <c r="I297" i="2"/>
  <c r="F297" i="2" s="1"/>
  <c r="I281" i="2"/>
  <c r="F281" i="2" s="1"/>
  <c r="AB236" i="2"/>
  <c r="I236" i="2"/>
  <c r="F236" i="2" s="1"/>
  <c r="AB212" i="2"/>
  <c r="I212" i="2"/>
  <c r="F212" i="2" s="1"/>
  <c r="AB204" i="2"/>
  <c r="I204" i="2"/>
  <c r="F204" i="2" s="1"/>
  <c r="AB180" i="2"/>
  <c r="I180" i="2"/>
  <c r="F180" i="2" s="1"/>
  <c r="AB164" i="2"/>
  <c r="I164" i="2"/>
  <c r="F164" i="2" s="1"/>
  <c r="AB156" i="2"/>
  <c r="I156" i="2"/>
  <c r="F156" i="2" s="1"/>
  <c r="AB129" i="2"/>
  <c r="I129" i="2"/>
  <c r="F129" i="2" s="1"/>
  <c r="AB121" i="2"/>
  <c r="I121" i="2"/>
  <c r="F121" i="2" s="1"/>
  <c r="AB101" i="2"/>
  <c r="I101" i="2"/>
  <c r="F101" i="2" s="1"/>
  <c r="AB77" i="2"/>
  <c r="I77" i="2"/>
  <c r="F77" i="2" s="1"/>
  <c r="AB69" i="2"/>
  <c r="I69" i="2"/>
  <c r="F69" i="2" s="1"/>
  <c r="AB45" i="2"/>
  <c r="I45" i="2"/>
  <c r="F45" i="2" s="1"/>
  <c r="AB37" i="2"/>
  <c r="I37" i="2"/>
  <c r="F37" i="2" s="1"/>
  <c r="AB437" i="2"/>
  <c r="I437" i="2"/>
  <c r="F437" i="2" s="1"/>
  <c r="AB421" i="2"/>
  <c r="I421" i="2"/>
  <c r="F421" i="2" s="1"/>
  <c r="AB405" i="2"/>
  <c r="I405" i="2"/>
  <c r="F405" i="2" s="1"/>
  <c r="AB389" i="2"/>
  <c r="I389" i="2"/>
  <c r="F389" i="2" s="1"/>
  <c r="I263" i="2"/>
  <c r="F263" i="2" s="1"/>
  <c r="AB276" i="2"/>
  <c r="I276" i="2"/>
  <c r="F276" i="2" s="1"/>
  <c r="AB260" i="2"/>
  <c r="I260" i="2"/>
  <c r="F260" i="2" s="1"/>
  <c r="I278" i="2"/>
  <c r="F278" i="2" s="1"/>
  <c r="I262" i="2"/>
  <c r="F262" i="2" s="1"/>
  <c r="I374" i="2"/>
  <c r="F374" i="2" s="1"/>
  <c r="I342" i="2"/>
  <c r="F342" i="2" s="1"/>
  <c r="I310" i="2"/>
  <c r="F310" i="2" s="1"/>
  <c r="I375" i="2"/>
  <c r="F375" i="2" s="1"/>
  <c r="I327" i="2"/>
  <c r="F327" i="2" s="1"/>
  <c r="I295" i="2"/>
  <c r="F295" i="2" s="1"/>
  <c r="AB231" i="2"/>
  <c r="I231" i="2"/>
  <c r="F231" i="2" s="1"/>
  <c r="AB223" i="2"/>
  <c r="I223" i="2"/>
  <c r="F223" i="2" s="1"/>
  <c r="AB199" i="2"/>
  <c r="I199" i="2"/>
  <c r="F199" i="2" s="1"/>
  <c r="AB191" i="2"/>
  <c r="I191" i="2"/>
  <c r="F191" i="2" s="1"/>
  <c r="AB167" i="2"/>
  <c r="I167" i="2"/>
  <c r="F167" i="2" s="1"/>
  <c r="AB151" i="2"/>
  <c r="I151" i="2"/>
  <c r="F151" i="2" s="1"/>
  <c r="AB143" i="2"/>
  <c r="I143" i="2"/>
  <c r="F143" i="2" s="1"/>
  <c r="I135" i="2"/>
  <c r="F135" i="2" s="1"/>
  <c r="I127" i="2"/>
  <c r="F127" i="2" s="1"/>
  <c r="I119" i="2"/>
  <c r="F119" i="2" s="1"/>
  <c r="I103" i="2"/>
  <c r="F103" i="2" s="1"/>
  <c r="I122" i="2"/>
  <c r="F122" i="2" s="1"/>
  <c r="I96" i="2"/>
  <c r="F96" i="2" s="1"/>
  <c r="I80" i="2"/>
  <c r="F80" i="2" s="1"/>
  <c r="I64" i="2"/>
  <c r="F64" i="2" s="1"/>
  <c r="I48" i="2"/>
  <c r="F48" i="2" s="1"/>
  <c r="I24" i="2"/>
  <c r="F24" i="2" s="1"/>
  <c r="AB427" i="2"/>
  <c r="I427" i="2"/>
  <c r="F427" i="2" s="1"/>
  <c r="AB403" i="2"/>
  <c r="I403" i="2"/>
  <c r="F403" i="2" s="1"/>
  <c r="AB275" i="2"/>
  <c r="I275" i="2"/>
  <c r="F275" i="2" s="1"/>
  <c r="AB269" i="2"/>
  <c r="I269" i="2"/>
  <c r="F269" i="2" s="1"/>
  <c r="AB258" i="2"/>
  <c r="I258" i="2"/>
  <c r="F258" i="2" s="1"/>
  <c r="I246" i="2"/>
  <c r="F246" i="2" s="1"/>
  <c r="I356" i="2"/>
  <c r="F356" i="2" s="1"/>
  <c r="I324" i="2"/>
  <c r="F324" i="2" s="1"/>
  <c r="I373" i="2"/>
  <c r="F373" i="2" s="1"/>
  <c r="I365" i="2"/>
  <c r="F365" i="2" s="1"/>
  <c r="I357" i="2"/>
  <c r="F357" i="2" s="1"/>
  <c r="I349" i="2"/>
  <c r="F349" i="2" s="1"/>
  <c r="I341" i="2"/>
  <c r="F341" i="2" s="1"/>
  <c r="I333" i="2"/>
  <c r="F333" i="2" s="1"/>
  <c r="I325" i="2"/>
  <c r="F325" i="2" s="1"/>
  <c r="I317" i="2"/>
  <c r="F317" i="2" s="1"/>
  <c r="I309" i="2"/>
  <c r="F309" i="2" s="1"/>
  <c r="I301" i="2"/>
  <c r="F301" i="2" s="1"/>
  <c r="I293" i="2"/>
  <c r="F293" i="2" s="1"/>
  <c r="I285" i="2"/>
  <c r="F285" i="2" s="1"/>
  <c r="I238" i="2"/>
  <c r="F238" i="2" s="1"/>
  <c r="AB234" i="2"/>
  <c r="I234" i="2"/>
  <c r="F234" i="2" s="1"/>
  <c r="I230" i="2"/>
  <c r="F230" i="2" s="1"/>
  <c r="AB226" i="2"/>
  <c r="I226" i="2"/>
  <c r="F226" i="2" s="1"/>
  <c r="I222" i="2"/>
  <c r="F222" i="2" s="1"/>
  <c r="AB218" i="2"/>
  <c r="I218" i="2"/>
  <c r="F218" i="2" s="1"/>
  <c r="I214" i="2"/>
  <c r="F214" i="2" s="1"/>
  <c r="AB210" i="2"/>
  <c r="I210" i="2"/>
  <c r="F210" i="2" s="1"/>
  <c r="I206" i="2"/>
  <c r="F206" i="2" s="1"/>
  <c r="AB202" i="2"/>
  <c r="I202" i="2"/>
  <c r="F202" i="2" s="1"/>
  <c r="I198" i="2"/>
  <c r="F198" i="2" s="1"/>
  <c r="AB194" i="2"/>
  <c r="I194" i="2"/>
  <c r="F194" i="2" s="1"/>
  <c r="I190" i="2"/>
  <c r="F190" i="2" s="1"/>
  <c r="AB186" i="2"/>
  <c r="I186" i="2"/>
  <c r="F186" i="2" s="1"/>
  <c r="I182" i="2"/>
  <c r="F182" i="2" s="1"/>
  <c r="AB178" i="2"/>
  <c r="I178" i="2"/>
  <c r="F178" i="2" s="1"/>
  <c r="I174" i="2"/>
  <c r="F174" i="2" s="1"/>
  <c r="AB170" i="2"/>
  <c r="I170" i="2"/>
  <c r="F170" i="2" s="1"/>
  <c r="I166" i="2"/>
  <c r="F166" i="2" s="1"/>
  <c r="AB162" i="2"/>
  <c r="I162" i="2"/>
  <c r="F162" i="2" s="1"/>
  <c r="I158" i="2"/>
  <c r="F158" i="2" s="1"/>
  <c r="AB154" i="2"/>
  <c r="I154" i="2"/>
  <c r="F154" i="2" s="1"/>
  <c r="I150" i="2"/>
  <c r="F150" i="2" s="1"/>
  <c r="AB146" i="2"/>
  <c r="I146" i="2"/>
  <c r="F146" i="2" s="1"/>
  <c r="I142" i="2"/>
  <c r="F142" i="2" s="1"/>
  <c r="AB138" i="2"/>
  <c r="I138" i="2"/>
  <c r="F138" i="2" s="1"/>
  <c r="I133" i="2"/>
  <c r="F133" i="2" s="1"/>
  <c r="I125" i="2"/>
  <c r="F125" i="2" s="1"/>
  <c r="I117" i="2"/>
  <c r="F117" i="2" s="1"/>
  <c r="I109" i="2"/>
  <c r="F109" i="2" s="1"/>
  <c r="I128" i="2"/>
  <c r="F128" i="2" s="1"/>
  <c r="I120" i="2"/>
  <c r="F120" i="2" s="1"/>
  <c r="I112" i="2"/>
  <c r="F112" i="2" s="1"/>
  <c r="I104" i="2"/>
  <c r="F104" i="2" s="1"/>
  <c r="AB99" i="2"/>
  <c r="I99" i="2"/>
  <c r="F99" i="2" s="1"/>
  <c r="AB91" i="2"/>
  <c r="I91" i="2"/>
  <c r="F91" i="2" s="1"/>
  <c r="AB83" i="2"/>
  <c r="I83" i="2"/>
  <c r="F83" i="2" s="1"/>
  <c r="AB75" i="2"/>
  <c r="I75" i="2"/>
  <c r="F75" i="2" s="1"/>
  <c r="AB67" i="2"/>
  <c r="I67" i="2"/>
  <c r="F67" i="2" s="1"/>
  <c r="AB59" i="2"/>
  <c r="I59" i="2"/>
  <c r="F59" i="2" s="1"/>
  <c r="AB51" i="2"/>
  <c r="I51" i="2"/>
  <c r="F51" i="2" s="1"/>
  <c r="AB43" i="2"/>
  <c r="I43" i="2"/>
  <c r="F43" i="2" s="1"/>
  <c r="AB35" i="2"/>
  <c r="I35" i="2"/>
  <c r="F35" i="2" s="1"/>
  <c r="AB27" i="2"/>
  <c r="I27" i="2"/>
  <c r="F27" i="2" s="1"/>
  <c r="AB19" i="2"/>
  <c r="I19" i="2"/>
  <c r="F19" i="2" s="1"/>
  <c r="AB17" i="2"/>
  <c r="I17" i="2"/>
  <c r="F17" i="2" s="1"/>
  <c r="AB431" i="2"/>
  <c r="I431" i="2"/>
  <c r="F431" i="2" s="1"/>
  <c r="AB423" i="2"/>
  <c r="I423" i="2"/>
  <c r="F423" i="2" s="1"/>
  <c r="AB407" i="2"/>
  <c r="I407" i="2"/>
  <c r="F407" i="2" s="1"/>
  <c r="AB391" i="2"/>
  <c r="I391" i="2"/>
  <c r="F391" i="2" s="1"/>
  <c r="AB428" i="2"/>
  <c r="I428" i="2"/>
  <c r="F428" i="2" s="1"/>
  <c r="AB412" i="2"/>
  <c r="I412" i="2"/>
  <c r="F412" i="2" s="1"/>
  <c r="AB396" i="2"/>
  <c r="I396" i="2"/>
  <c r="F396" i="2" s="1"/>
  <c r="AB277" i="2"/>
  <c r="I277" i="2"/>
  <c r="F277" i="2" s="1"/>
  <c r="I376" i="2"/>
  <c r="F376" i="2" s="1"/>
  <c r="I344" i="2"/>
  <c r="F344" i="2" s="1"/>
  <c r="I312" i="2"/>
  <c r="F312" i="2" s="1"/>
  <c r="I296" i="2"/>
  <c r="F296" i="2" s="1"/>
  <c r="I377" i="2"/>
  <c r="F377" i="2" s="1"/>
  <c r="I345" i="2"/>
  <c r="F345" i="2" s="1"/>
  <c r="I313" i="2"/>
  <c r="F313" i="2" s="1"/>
  <c r="AB247" i="2"/>
  <c r="I247" i="2"/>
  <c r="F247" i="2" s="1"/>
  <c r="AB228" i="2"/>
  <c r="I228" i="2"/>
  <c r="F228" i="2" s="1"/>
  <c r="AB220" i="2"/>
  <c r="I220" i="2"/>
  <c r="F220" i="2" s="1"/>
  <c r="AB196" i="2"/>
  <c r="I196" i="2"/>
  <c r="F196" i="2" s="1"/>
  <c r="AB188" i="2"/>
  <c r="I188" i="2"/>
  <c r="F188" i="2" s="1"/>
  <c r="AB172" i="2"/>
  <c r="I172" i="2"/>
  <c r="F172" i="2" s="1"/>
  <c r="AB148" i="2"/>
  <c r="I148" i="2"/>
  <c r="F148" i="2" s="1"/>
  <c r="AB140" i="2"/>
  <c r="I140" i="2"/>
  <c r="F140" i="2" s="1"/>
  <c r="AB116" i="2"/>
  <c r="I116" i="2"/>
  <c r="F116" i="2" s="1"/>
  <c r="AB93" i="2"/>
  <c r="I93" i="2"/>
  <c r="F93" i="2" s="1"/>
  <c r="AB85" i="2"/>
  <c r="I85" i="2"/>
  <c r="F85" i="2" s="1"/>
  <c r="AB61" i="2"/>
  <c r="I61" i="2"/>
  <c r="F61" i="2" s="1"/>
  <c r="AB53" i="2"/>
  <c r="I53" i="2"/>
  <c r="F53" i="2" s="1"/>
  <c r="AB29" i="2"/>
  <c r="I29" i="2"/>
  <c r="F29" i="2" s="1"/>
  <c r="AB21" i="2"/>
  <c r="I21" i="2"/>
  <c r="F21" i="2" s="1"/>
  <c r="AB429" i="2"/>
  <c r="I429" i="2"/>
  <c r="F429" i="2" s="1"/>
  <c r="AB413" i="2"/>
  <c r="I413" i="2"/>
  <c r="F413" i="2" s="1"/>
  <c r="AB397" i="2"/>
  <c r="I397" i="2"/>
  <c r="F397" i="2" s="1"/>
  <c r="I279" i="2"/>
  <c r="F279" i="2" s="1"/>
  <c r="I358" i="2"/>
  <c r="F358" i="2" s="1"/>
  <c r="I326" i="2"/>
  <c r="F326" i="2" s="1"/>
  <c r="I294" i="2"/>
  <c r="F294" i="2" s="1"/>
  <c r="I359" i="2"/>
  <c r="F359" i="2" s="1"/>
  <c r="I343" i="2"/>
  <c r="F343" i="2" s="1"/>
  <c r="I311" i="2"/>
  <c r="F311" i="2" s="1"/>
  <c r="AB239" i="2"/>
  <c r="I239" i="2"/>
  <c r="F239" i="2" s="1"/>
  <c r="AB215" i="2"/>
  <c r="I215" i="2"/>
  <c r="F215" i="2" s="1"/>
  <c r="AB207" i="2"/>
  <c r="I207" i="2"/>
  <c r="F207" i="2" s="1"/>
  <c r="AB183" i="2"/>
  <c r="I183" i="2"/>
  <c r="F183" i="2" s="1"/>
  <c r="AB175" i="2"/>
  <c r="I175" i="2"/>
  <c r="F175" i="2" s="1"/>
  <c r="AB159" i="2"/>
  <c r="I159" i="2"/>
  <c r="F159" i="2" s="1"/>
  <c r="I106" i="2"/>
  <c r="F106" i="2" s="1"/>
  <c r="I88" i="2"/>
  <c r="F88" i="2" s="1"/>
  <c r="I72" i="2"/>
  <c r="F72" i="2" s="1"/>
  <c r="I56" i="2"/>
  <c r="F56" i="2" s="1"/>
  <c r="I40" i="2"/>
  <c r="F40" i="2" s="1"/>
  <c r="I32" i="2"/>
  <c r="F32" i="2" s="1"/>
  <c r="AB436" i="2"/>
  <c r="I436" i="2"/>
  <c r="F436" i="2" s="1"/>
  <c r="AB435" i="2"/>
  <c r="I435" i="2"/>
  <c r="F435" i="2" s="1"/>
  <c r="AB419" i="2"/>
  <c r="I419" i="2"/>
  <c r="F419" i="2" s="1"/>
  <c r="AB411" i="2"/>
  <c r="I411" i="2"/>
  <c r="F411" i="2" s="1"/>
  <c r="AB395" i="2"/>
  <c r="I395" i="2"/>
  <c r="F395" i="2" s="1"/>
  <c r="AB259" i="2"/>
  <c r="I259" i="2"/>
  <c r="F259" i="2" s="1"/>
  <c r="AB253" i="2"/>
  <c r="I253" i="2"/>
  <c r="F253" i="2" s="1"/>
  <c r="AB274" i="2"/>
  <c r="I274" i="2"/>
  <c r="F274" i="2" s="1"/>
  <c r="I372" i="2"/>
  <c r="F372" i="2" s="1"/>
  <c r="I340" i="2"/>
  <c r="F340" i="2" s="1"/>
  <c r="I308" i="2"/>
  <c r="F308" i="2" s="1"/>
  <c r="I292" i="2"/>
  <c r="F292" i="2" s="1"/>
  <c r="AB438" i="2"/>
  <c r="I438" i="2"/>
  <c r="F438" i="2" s="1"/>
  <c r="AB433" i="2"/>
  <c r="I433" i="2"/>
  <c r="F433" i="2" s="1"/>
  <c r="AB425" i="2"/>
  <c r="I425" i="2"/>
  <c r="F425" i="2" s="1"/>
  <c r="AB417" i="2"/>
  <c r="I417" i="2"/>
  <c r="F417" i="2" s="1"/>
  <c r="AB409" i="2"/>
  <c r="I409" i="2"/>
  <c r="F409" i="2" s="1"/>
  <c r="AB401" i="2"/>
  <c r="I401" i="2"/>
  <c r="F401" i="2" s="1"/>
  <c r="AB393" i="2"/>
  <c r="I393" i="2"/>
  <c r="F393" i="2" s="1"/>
  <c r="AB271" i="2"/>
  <c r="I271" i="2"/>
  <c r="F271" i="2" s="1"/>
  <c r="AB255" i="2"/>
  <c r="I255" i="2"/>
  <c r="F255" i="2" s="1"/>
  <c r="AB268" i="2"/>
  <c r="I268" i="2"/>
  <c r="F268" i="2" s="1"/>
  <c r="AB252" i="2"/>
  <c r="I252" i="2"/>
  <c r="F252" i="2" s="1"/>
  <c r="AB430" i="2"/>
  <c r="I430" i="2"/>
  <c r="F430" i="2" s="1"/>
  <c r="AB422" i="2"/>
  <c r="I422" i="2"/>
  <c r="F422" i="2" s="1"/>
  <c r="AB414" i="2"/>
  <c r="I414" i="2"/>
  <c r="F414" i="2" s="1"/>
  <c r="AB406" i="2"/>
  <c r="I406" i="2"/>
  <c r="F406" i="2" s="1"/>
  <c r="AB398" i="2"/>
  <c r="I398" i="2"/>
  <c r="F398" i="2" s="1"/>
  <c r="AB390" i="2"/>
  <c r="I390" i="2"/>
  <c r="F390" i="2" s="1"/>
  <c r="AB265" i="2"/>
  <c r="I265" i="2"/>
  <c r="F265" i="2" s="1"/>
  <c r="AB134" i="2"/>
  <c r="I134" i="2"/>
  <c r="F134" i="2" s="1"/>
  <c r="AB270" i="2"/>
  <c r="I270" i="2"/>
  <c r="F270" i="2" s="1"/>
  <c r="AB254" i="2"/>
  <c r="I254" i="2"/>
  <c r="F254" i="2" s="1"/>
  <c r="AB244" i="2"/>
  <c r="I244" i="2"/>
  <c r="F244" i="2" s="1"/>
  <c r="I386" i="2"/>
  <c r="F386" i="2" s="1"/>
  <c r="AB378" i="2"/>
  <c r="I378" i="2"/>
  <c r="F378" i="2" s="1"/>
  <c r="I370" i="2"/>
  <c r="F370" i="2" s="1"/>
  <c r="AB362" i="2"/>
  <c r="I362" i="2"/>
  <c r="F362" i="2" s="1"/>
  <c r="I354" i="2"/>
  <c r="F354" i="2" s="1"/>
  <c r="AB346" i="2"/>
  <c r="I346" i="2"/>
  <c r="F346" i="2" s="1"/>
  <c r="I338" i="2"/>
  <c r="F338" i="2" s="1"/>
  <c r="AB330" i="2"/>
  <c r="I330" i="2"/>
  <c r="F330" i="2" s="1"/>
  <c r="I322" i="2"/>
  <c r="F322" i="2" s="1"/>
  <c r="AB314" i="2"/>
  <c r="I314" i="2"/>
  <c r="F314" i="2" s="1"/>
  <c r="I306" i="2"/>
  <c r="F306" i="2" s="1"/>
  <c r="AB298" i="2"/>
  <c r="I298" i="2"/>
  <c r="F298" i="2" s="1"/>
  <c r="I290" i="2"/>
  <c r="F290" i="2" s="1"/>
  <c r="AB282" i="2"/>
  <c r="I282" i="2"/>
  <c r="F282" i="2" s="1"/>
  <c r="AB387" i="2"/>
  <c r="I387" i="2"/>
  <c r="F387" i="2" s="1"/>
  <c r="I379" i="2"/>
  <c r="F379" i="2" s="1"/>
  <c r="AB371" i="2"/>
  <c r="I371" i="2"/>
  <c r="F371" i="2" s="1"/>
  <c r="I363" i="2"/>
  <c r="F363" i="2" s="1"/>
  <c r="AB355" i="2"/>
  <c r="I355" i="2"/>
  <c r="F355" i="2" s="1"/>
  <c r="I347" i="2"/>
  <c r="F347" i="2" s="1"/>
  <c r="AB339" i="2"/>
  <c r="I339" i="2"/>
  <c r="F339" i="2" s="1"/>
  <c r="I331" i="2"/>
  <c r="F331" i="2" s="1"/>
  <c r="AB323" i="2"/>
  <c r="I323" i="2"/>
  <c r="F323" i="2" s="1"/>
  <c r="I315" i="2"/>
  <c r="F315" i="2" s="1"/>
  <c r="AB307" i="2"/>
  <c r="I307" i="2"/>
  <c r="F307" i="2" s="1"/>
  <c r="I299" i="2"/>
  <c r="F299" i="2" s="1"/>
  <c r="AB291" i="2"/>
  <c r="I291" i="2"/>
  <c r="F291" i="2" s="1"/>
  <c r="I283" i="2"/>
  <c r="F283" i="2" s="1"/>
  <c r="AB249" i="2"/>
  <c r="I249" i="2"/>
  <c r="F249" i="2" s="1"/>
  <c r="AB241" i="2"/>
  <c r="I241" i="2"/>
  <c r="F241" i="2" s="1"/>
  <c r="I237" i="2"/>
  <c r="F237" i="2" s="1"/>
  <c r="AB233" i="2"/>
  <c r="I233" i="2"/>
  <c r="F233" i="2" s="1"/>
  <c r="I229" i="2"/>
  <c r="F229" i="2" s="1"/>
  <c r="AB225" i="2"/>
  <c r="I225" i="2"/>
  <c r="F225" i="2" s="1"/>
  <c r="I221" i="2"/>
  <c r="F221" i="2" s="1"/>
  <c r="AB217" i="2"/>
  <c r="I217" i="2"/>
  <c r="F217" i="2" s="1"/>
  <c r="I213" i="2"/>
  <c r="F213" i="2" s="1"/>
  <c r="AB209" i="2"/>
  <c r="I209" i="2"/>
  <c r="F209" i="2" s="1"/>
  <c r="I205" i="2"/>
  <c r="F205" i="2" s="1"/>
  <c r="AB201" i="2"/>
  <c r="I201" i="2"/>
  <c r="F201" i="2" s="1"/>
  <c r="I197" i="2"/>
  <c r="F197" i="2" s="1"/>
  <c r="AB193" i="2"/>
  <c r="I193" i="2"/>
  <c r="F193" i="2" s="1"/>
  <c r="I189" i="2"/>
  <c r="F189" i="2" s="1"/>
  <c r="AB185" i="2"/>
  <c r="I185" i="2"/>
  <c r="F185" i="2" s="1"/>
  <c r="I181" i="2"/>
  <c r="F181" i="2" s="1"/>
  <c r="AB177" i="2"/>
  <c r="I177" i="2"/>
  <c r="F177" i="2" s="1"/>
  <c r="I173" i="2"/>
  <c r="F173" i="2" s="1"/>
  <c r="AB169" i="2"/>
  <c r="I169" i="2"/>
  <c r="F169" i="2" s="1"/>
  <c r="I165" i="2"/>
  <c r="F165" i="2" s="1"/>
  <c r="AB161" i="2"/>
  <c r="I161" i="2"/>
  <c r="F161" i="2" s="1"/>
  <c r="I157" i="2"/>
  <c r="F157" i="2" s="1"/>
  <c r="AB153" i="2"/>
  <c r="I153" i="2"/>
  <c r="F153" i="2" s="1"/>
  <c r="I149" i="2"/>
  <c r="F149" i="2" s="1"/>
  <c r="AB145" i="2"/>
  <c r="I145" i="2"/>
  <c r="F145" i="2" s="1"/>
  <c r="I141" i="2"/>
  <c r="F141" i="2" s="1"/>
  <c r="AB137" i="2"/>
  <c r="I137" i="2"/>
  <c r="F137" i="2" s="1"/>
  <c r="I131" i="2"/>
  <c r="F131" i="2" s="1"/>
  <c r="AB123" i="2"/>
  <c r="I123" i="2"/>
  <c r="F123" i="2" s="1"/>
  <c r="I115" i="2"/>
  <c r="F115" i="2" s="1"/>
  <c r="I107" i="2"/>
  <c r="F107" i="2" s="1"/>
  <c r="AB126" i="2"/>
  <c r="I126" i="2"/>
  <c r="F126" i="2" s="1"/>
  <c r="I118" i="2"/>
  <c r="F118" i="2" s="1"/>
  <c r="AB110" i="2"/>
  <c r="I110" i="2"/>
  <c r="F110" i="2" s="1"/>
  <c r="I102" i="2"/>
  <c r="F102" i="2" s="1"/>
  <c r="AB98" i="2"/>
  <c r="I98" i="2"/>
  <c r="F98" i="2" s="1"/>
  <c r="AB94" i="2"/>
  <c r="I94" i="2"/>
  <c r="F94" i="2" s="1"/>
  <c r="AB90" i="2"/>
  <c r="I90" i="2"/>
  <c r="F90" i="2" s="1"/>
  <c r="AB86" i="2"/>
  <c r="I86" i="2"/>
  <c r="F86" i="2" s="1"/>
  <c r="AB82" i="2"/>
  <c r="I82" i="2"/>
  <c r="F82" i="2" s="1"/>
  <c r="AB78" i="2"/>
  <c r="I78" i="2"/>
  <c r="F78" i="2" s="1"/>
  <c r="AB74" i="2"/>
  <c r="I74" i="2"/>
  <c r="F74" i="2" s="1"/>
  <c r="AB70" i="2"/>
  <c r="I70" i="2"/>
  <c r="F70" i="2" s="1"/>
  <c r="AB66" i="2"/>
  <c r="I66" i="2"/>
  <c r="F66" i="2" s="1"/>
  <c r="AB62" i="2"/>
  <c r="I62" i="2"/>
  <c r="F62" i="2" s="1"/>
  <c r="AB58" i="2"/>
  <c r="I58" i="2"/>
  <c r="F58" i="2" s="1"/>
  <c r="AB54" i="2"/>
  <c r="I54" i="2"/>
  <c r="F54" i="2" s="1"/>
  <c r="AB50" i="2"/>
  <c r="I50" i="2"/>
  <c r="F50" i="2" s="1"/>
  <c r="AB46" i="2"/>
  <c r="I46" i="2"/>
  <c r="F46" i="2" s="1"/>
  <c r="AB42" i="2"/>
  <c r="I42" i="2"/>
  <c r="F42" i="2" s="1"/>
  <c r="AB38" i="2"/>
  <c r="I38" i="2"/>
  <c r="F38" i="2" s="1"/>
  <c r="AB34" i="2"/>
  <c r="I34" i="2"/>
  <c r="F34" i="2" s="1"/>
  <c r="AB30" i="2"/>
  <c r="I30" i="2"/>
  <c r="F30" i="2" s="1"/>
  <c r="AB26" i="2"/>
  <c r="I26" i="2"/>
  <c r="F26" i="2" s="1"/>
  <c r="AB22" i="2"/>
  <c r="I22" i="2"/>
  <c r="F22" i="2" s="1"/>
  <c r="AB18" i="2"/>
  <c r="I18" i="2"/>
  <c r="F18" i="2" s="1"/>
  <c r="AB221" i="2"/>
  <c r="AB213" i="2"/>
  <c r="AB189" i="2"/>
  <c r="AB181" i="2"/>
  <c r="AB173" i="2"/>
  <c r="AB157" i="2"/>
  <c r="AB149" i="2"/>
  <c r="AB141" i="2"/>
  <c r="AB251" i="2"/>
  <c r="AB250" i="2"/>
  <c r="AB384" i="2"/>
  <c r="AB352" i="2"/>
  <c r="AB336" i="2"/>
  <c r="AB385" i="2"/>
  <c r="AB337" i="2"/>
  <c r="AB97" i="2"/>
  <c r="AB89" i="2"/>
  <c r="AB81" i="2"/>
  <c r="AB73" i="2"/>
  <c r="AB25" i="2"/>
  <c r="AB386" i="2"/>
  <c r="AB370" i="2"/>
  <c r="AB354" i="2"/>
  <c r="AB338" i="2"/>
  <c r="AB322" i="2"/>
  <c r="AB306" i="2"/>
  <c r="AB290" i="2"/>
  <c r="AB237" i="2"/>
  <c r="AB229" i="2"/>
  <c r="AB205" i="2"/>
  <c r="AB197" i="2"/>
  <c r="AB165" i="2"/>
  <c r="AB118" i="2"/>
  <c r="AB102" i="2"/>
  <c r="AB434" i="2"/>
  <c r="AB267" i="2"/>
  <c r="AB266" i="2"/>
  <c r="AB242" i="2"/>
  <c r="AB368" i="2"/>
  <c r="AB320" i="2"/>
  <c r="AB304" i="2"/>
  <c r="AB288" i="2"/>
  <c r="AB369" i="2"/>
  <c r="AB353" i="2"/>
  <c r="AB321" i="2"/>
  <c r="AB305" i="2"/>
  <c r="AB289" i="2"/>
  <c r="AB113" i="2"/>
  <c r="AB65" i="2"/>
  <c r="AB57" i="2"/>
  <c r="AB49" i="2"/>
  <c r="AB41" i="2"/>
  <c r="AB33" i="2"/>
  <c r="AB426" i="2"/>
  <c r="AB418" i="2"/>
  <c r="AB410" i="2"/>
  <c r="AB402" i="2"/>
  <c r="AB394" i="2"/>
  <c r="AB245" i="2"/>
  <c r="AB100" i="2"/>
  <c r="AB92" i="2"/>
  <c r="AB84" i="2"/>
  <c r="AB76" i="2"/>
  <c r="AB68" i="2"/>
  <c r="AB60" i="2"/>
  <c r="AB52" i="2"/>
  <c r="AB44" i="2"/>
  <c r="AB36" i="2"/>
  <c r="AB28" i="2"/>
  <c r="AB20" i="2"/>
  <c r="AB379" i="2"/>
  <c r="AB331" i="2"/>
  <c r="AB299" i="2"/>
  <c r="AB283" i="2"/>
  <c r="AB131" i="2"/>
  <c r="AB115" i="2"/>
  <c r="AB107" i="2"/>
  <c r="AB376" i="2"/>
  <c r="AB344" i="2"/>
  <c r="AB312" i="2"/>
  <c r="AB296" i="2"/>
  <c r="AB377" i="2"/>
  <c r="AB361" i="2"/>
  <c r="AB313" i="2"/>
  <c r="AB297" i="2"/>
  <c r="AB281" i="2"/>
  <c r="AB240" i="2"/>
  <c r="AB216" i="2"/>
  <c r="AB208" i="2"/>
  <c r="AB184" i="2"/>
  <c r="AB168" i="2"/>
  <c r="AB144" i="2"/>
  <c r="AB132" i="2"/>
  <c r="AB124" i="2"/>
  <c r="AB108" i="2"/>
  <c r="AB279" i="2"/>
  <c r="AB273" i="2"/>
  <c r="AB257" i="2"/>
  <c r="AB278" i="2"/>
  <c r="AB262" i="2"/>
  <c r="AB248" i="2"/>
  <c r="AB382" i="2"/>
  <c r="AB374" i="2"/>
  <c r="AB366" i="2"/>
  <c r="AB358" i="2"/>
  <c r="AB350" i="2"/>
  <c r="AB342" i="2"/>
  <c r="AB334" i="2"/>
  <c r="AB326" i="2"/>
  <c r="AB318" i="2"/>
  <c r="AB310" i="2"/>
  <c r="AB302" i="2"/>
  <c r="AB294" i="2"/>
  <c r="AB286" i="2"/>
  <c r="AB383" i="2"/>
  <c r="AB375" i="2"/>
  <c r="AB367" i="2"/>
  <c r="AB359" i="2"/>
  <c r="AB351" i="2"/>
  <c r="AB343" i="2"/>
  <c r="AB335" i="2"/>
  <c r="AB327" i="2"/>
  <c r="AB319" i="2"/>
  <c r="AB311" i="2"/>
  <c r="AB303" i="2"/>
  <c r="AB295" i="2"/>
  <c r="AB287" i="2"/>
  <c r="AB235" i="2"/>
  <c r="AB227" i="2"/>
  <c r="AB219" i="2"/>
  <c r="AB211" i="2"/>
  <c r="AB203" i="2"/>
  <c r="AB195" i="2"/>
  <c r="AB187" i="2"/>
  <c r="AB179" i="2"/>
  <c r="AB171" i="2"/>
  <c r="AB163" i="2"/>
  <c r="AB155" i="2"/>
  <c r="AB139" i="2"/>
  <c r="AB130" i="2"/>
  <c r="AB136" i="2"/>
  <c r="AB135" i="2"/>
  <c r="AB127" i="2"/>
  <c r="AB119" i="2"/>
  <c r="AB111" i="2"/>
  <c r="AB103" i="2"/>
  <c r="AB122" i="2"/>
  <c r="AB114" i="2"/>
  <c r="AB106" i="2"/>
  <c r="AB96" i="2"/>
  <c r="AB88" i="2"/>
  <c r="AB80" i="2"/>
  <c r="AB72" i="2"/>
  <c r="AB64" i="2"/>
  <c r="AB56" i="2"/>
  <c r="AB48" i="2"/>
  <c r="AB40" i="2"/>
  <c r="AB32" i="2"/>
  <c r="AB24" i="2"/>
  <c r="AB363" i="2"/>
  <c r="AB347" i="2"/>
  <c r="AB315" i="2"/>
  <c r="AB264" i="2"/>
  <c r="AB360" i="2"/>
  <c r="AB328" i="2"/>
  <c r="AB345" i="2"/>
  <c r="AB329" i="2"/>
  <c r="AB232" i="2"/>
  <c r="AB224" i="2"/>
  <c r="AB200" i="2"/>
  <c r="AB192" i="2"/>
  <c r="AB176" i="2"/>
  <c r="AB160" i="2"/>
  <c r="AB152" i="2"/>
  <c r="AB105" i="2"/>
  <c r="AB263" i="2"/>
  <c r="AB272" i="2"/>
  <c r="AB256" i="2"/>
  <c r="AB432" i="2"/>
  <c r="AB424" i="2"/>
  <c r="AB416" i="2"/>
  <c r="AB408" i="2"/>
  <c r="AB400" i="2"/>
  <c r="AB392" i="2"/>
  <c r="AB246" i="2"/>
  <c r="AB380" i="2"/>
  <c r="AB372" i="2"/>
  <c r="AB364" i="2"/>
  <c r="AB356" i="2"/>
  <c r="AB348" i="2"/>
  <c r="AB340" i="2"/>
  <c r="AB332" i="2"/>
  <c r="AB324" i="2"/>
  <c r="AB316" i="2"/>
  <c r="AB308" i="2"/>
  <c r="AB300" i="2"/>
  <c r="AB292" i="2"/>
  <c r="AB284" i="2"/>
  <c r="AB381" i="2"/>
  <c r="AB373" i="2"/>
  <c r="AB365" i="2"/>
  <c r="AB357" i="2"/>
  <c r="AB349" i="2"/>
  <c r="AB341" i="2"/>
  <c r="AB333" i="2"/>
  <c r="AB325" i="2"/>
  <c r="AB317" i="2"/>
  <c r="AB309" i="2"/>
  <c r="AB301" i="2"/>
  <c r="AB293" i="2"/>
  <c r="AB285" i="2"/>
  <c r="AB243" i="2"/>
  <c r="AB238" i="2"/>
  <c r="AB230" i="2"/>
  <c r="AB222" i="2"/>
  <c r="AB214" i="2"/>
  <c r="AB206" i="2"/>
  <c r="AB198" i="2"/>
  <c r="AB190" i="2"/>
  <c r="AB182" i="2"/>
  <c r="AB174" i="2"/>
  <c r="AB166" i="2"/>
  <c r="AB158" i="2"/>
  <c r="AB150" i="2"/>
  <c r="AB142" i="2"/>
  <c r="AB133" i="2"/>
  <c r="AB125" i="2"/>
  <c r="AB117" i="2"/>
  <c r="AB109" i="2"/>
  <c r="AB128" i="2"/>
  <c r="AB120" i="2"/>
  <c r="AB112" i="2"/>
  <c r="AB104" i="2"/>
  <c r="AB95" i="2"/>
  <c r="AB87" i="2"/>
  <c r="AB79" i="2"/>
  <c r="AB71" i="2"/>
  <c r="AB63" i="2"/>
  <c r="AB55" i="2"/>
  <c r="AB47" i="2"/>
  <c r="AB39" i="2"/>
  <c r="AB31" i="2"/>
  <c r="AB23" i="2"/>
  <c r="F439" i="2" l="1"/>
  <c r="H429" i="1" s="1"/>
  <c r="M249" i="2"/>
  <c r="M362" i="2"/>
  <c r="N362" i="2" s="1"/>
  <c r="M67" i="2"/>
  <c r="M115" i="2"/>
  <c r="Q115" i="2" s="1"/>
  <c r="M177" i="2"/>
  <c r="Q177" i="2" s="1"/>
  <c r="M73" i="2"/>
  <c r="Q73" i="2" s="1"/>
  <c r="M422" i="2"/>
  <c r="M410" i="2"/>
  <c r="M315" i="2"/>
  <c r="N315" i="2" s="1"/>
  <c r="M18" i="2"/>
  <c r="M232" i="2"/>
  <c r="Q232" i="2" s="1"/>
  <c r="M338" i="2"/>
  <c r="Q338" i="2" s="1"/>
  <c r="M210" i="2"/>
  <c r="M321" i="2"/>
  <c r="Q321" i="2" s="1"/>
  <c r="M182" i="2"/>
  <c r="N182" i="2" s="1"/>
  <c r="M174" i="2"/>
  <c r="N174" i="2" s="1"/>
  <c r="M110" i="2"/>
  <c r="M217" i="2"/>
  <c r="Q217" i="2" s="1"/>
  <c r="M158" i="2"/>
  <c r="N158" i="2" s="1"/>
  <c r="M120" i="2"/>
  <c r="M419" i="2"/>
  <c r="Q419" i="2" s="1"/>
  <c r="M150" i="2"/>
  <c r="M102" i="2"/>
  <c r="M225" i="2"/>
  <c r="N225" i="2" s="1"/>
  <c r="M397" i="2"/>
  <c r="N397" i="2" s="1"/>
  <c r="M81" i="2"/>
  <c r="M279" i="2"/>
  <c r="M278" i="2"/>
  <c r="Q278" i="2" s="1"/>
  <c r="M116" i="2"/>
  <c r="Q116" i="2" s="1"/>
  <c r="M131" i="2"/>
  <c r="M43" i="2"/>
  <c r="M228" i="2"/>
  <c r="M204" i="2"/>
  <c r="M379" i="2"/>
  <c r="M106" i="2"/>
  <c r="M199" i="2"/>
  <c r="Q199" i="2" s="1"/>
  <c r="M79" i="2"/>
  <c r="N79" i="2" s="1"/>
  <c r="M333" i="2"/>
  <c r="M71" i="2"/>
  <c r="Q71" i="2" s="1"/>
  <c r="M329" i="2"/>
  <c r="M402" i="2"/>
  <c r="Q402" i="2" s="1"/>
  <c r="M223" i="2"/>
  <c r="M49" i="2"/>
  <c r="Q49" i="2" s="1"/>
  <c r="M99" i="2"/>
  <c r="M191" i="2"/>
  <c r="M227" i="2"/>
  <c r="M416" i="2"/>
  <c r="M261" i="2"/>
  <c r="N261" i="2" s="1"/>
  <c r="M213" i="2"/>
  <c r="M405" i="2"/>
  <c r="M238" i="2"/>
  <c r="M146" i="2"/>
  <c r="N146" i="2" s="1"/>
  <c r="M181" i="2"/>
  <c r="M284" i="2"/>
  <c r="N284" i="2" s="1"/>
  <c r="M364" i="2"/>
  <c r="M152" i="2"/>
  <c r="N152" i="2" s="1"/>
  <c r="M72" i="2"/>
  <c r="M113" i="2"/>
  <c r="N113" i="2" s="1"/>
  <c r="M37" i="2"/>
  <c r="M327" i="2"/>
  <c r="N327" i="2" s="1"/>
  <c r="M101" i="2"/>
  <c r="M305" i="2"/>
  <c r="N305" i="2" s="1"/>
  <c r="M29" i="2"/>
  <c r="M84" i="2"/>
  <c r="Q84" i="2" s="1"/>
  <c r="M370" i="2"/>
  <c r="Q370" i="2" s="1"/>
  <c r="M95" i="2"/>
  <c r="N95" i="2" s="1"/>
  <c r="M266" i="2"/>
  <c r="Q266" i="2" s="1"/>
  <c r="M123" i="2"/>
  <c r="M317" i="2"/>
  <c r="N317" i="2" s="1"/>
  <c r="M103" i="2"/>
  <c r="Q103" i="2" s="1"/>
  <c r="M167" i="2"/>
  <c r="N167" i="2" s="1"/>
  <c r="M125" i="2"/>
  <c r="M36" i="2"/>
  <c r="M408" i="2"/>
  <c r="N408" i="2" s="1"/>
  <c r="M246" i="2"/>
  <c r="Q246" i="2" s="1"/>
  <c r="M335" i="2"/>
  <c r="M30" i="2"/>
  <c r="Q30" i="2" s="1"/>
  <c r="M369" i="2"/>
  <c r="M132" i="2"/>
  <c r="Q132" i="2" s="1"/>
  <c r="M124" i="2"/>
  <c r="M70" i="2"/>
  <c r="N70" i="2" s="1"/>
  <c r="M93" i="2"/>
  <c r="M162" i="2"/>
  <c r="M171" i="2"/>
  <c r="Q171" i="2" s="1"/>
  <c r="M69" i="2"/>
  <c r="M336" i="2"/>
  <c r="M404" i="2"/>
  <c r="M86" i="2"/>
  <c r="N86" i="2" s="1"/>
  <c r="M126" i="2"/>
  <c r="M347" i="2"/>
  <c r="Q347" i="2" s="1"/>
  <c r="M148" i="2"/>
  <c r="M383" i="2"/>
  <c r="N383" i="2" s="1"/>
  <c r="M35" i="2"/>
  <c r="M187" i="2"/>
  <c r="N187" i="2" s="1"/>
  <c r="M303" i="2"/>
  <c r="N303" i="2" s="1"/>
  <c r="M426" i="2"/>
  <c r="N426" i="2" s="1"/>
  <c r="M294" i="2"/>
  <c r="M344" i="2"/>
  <c r="N344" i="2" s="1"/>
  <c r="M31" i="2"/>
  <c r="M215" i="2"/>
  <c r="Q215" i="2" s="1"/>
  <c r="M293" i="2"/>
  <c r="M52" i="2"/>
  <c r="N52" i="2" s="1"/>
  <c r="M254" i="2"/>
  <c r="M395" i="2"/>
  <c r="N395" i="2" s="1"/>
  <c r="M135" i="2"/>
  <c r="M353" i="2"/>
  <c r="M170" i="2"/>
  <c r="M224" i="2"/>
  <c r="N224" i="2" s="1"/>
  <c r="M243" i="2"/>
  <c r="Q243" i="2" s="1"/>
  <c r="M105" i="2"/>
  <c r="Q105" i="2" s="1"/>
  <c r="M211" i="2"/>
  <c r="M87" i="2"/>
  <c r="M363" i="2"/>
  <c r="N363" i="2" s="1"/>
  <c r="M365" i="2"/>
  <c r="N365" i="2" s="1"/>
  <c r="M88" i="2"/>
  <c r="N88" i="2" s="1"/>
  <c r="M258" i="2"/>
  <c r="M332" i="2"/>
  <c r="M60" i="2"/>
  <c r="M433" i="2"/>
  <c r="Q433" i="2" s="1"/>
  <c r="M109" i="2"/>
  <c r="M407" i="2"/>
  <c r="Q407" i="2" s="1"/>
  <c r="M206" i="2"/>
  <c r="M190" i="2"/>
  <c r="Q190" i="2" s="1"/>
  <c r="M151" i="2"/>
  <c r="M248" i="2"/>
  <c r="M134" i="2"/>
  <c r="Q134" i="2" s="1"/>
  <c r="M25" i="2"/>
  <c r="N25" i="2" s="1"/>
  <c r="M350" i="2"/>
  <c r="Q350" i="2" s="1"/>
  <c r="M389" i="2"/>
  <c r="Q389" i="2" s="1"/>
  <c r="M85" i="2"/>
  <c r="M220" i="2"/>
  <c r="N220" i="2" s="1"/>
  <c r="M313" i="2"/>
  <c r="M145" i="2"/>
  <c r="Q145" i="2" s="1"/>
  <c r="M348" i="2"/>
  <c r="Q348" i="2" s="1"/>
  <c r="M197" i="2"/>
  <c r="N197" i="2" s="1"/>
  <c r="M399" i="2"/>
  <c r="M57" i="2"/>
  <c r="N57" i="2" s="1"/>
  <c r="M47" i="2"/>
  <c r="M198" i="2"/>
  <c r="N198" i="2" s="1"/>
  <c r="M117" i="2"/>
  <c r="M341" i="2"/>
  <c r="N341" i="2" s="1"/>
  <c r="M205" i="2"/>
  <c r="M173" i="2"/>
  <c r="N173" i="2" s="1"/>
  <c r="M255" i="2"/>
  <c r="M160" i="2"/>
  <c r="N160" i="2" s="1"/>
  <c r="M130" i="2"/>
  <c r="M430" i="2"/>
  <c r="M157" i="2"/>
  <c r="M376" i="2"/>
  <c r="N376" i="2" s="1"/>
  <c r="M235" i="2"/>
  <c r="M286" i="2"/>
  <c r="Q286" i="2" s="1"/>
  <c r="M330" i="2"/>
  <c r="Q330" i="2" s="1"/>
  <c r="M58" i="2"/>
  <c r="M140" i="2"/>
  <c r="N140" i="2" s="1"/>
  <c r="M289" i="2"/>
  <c r="Q289" i="2" s="1"/>
  <c r="M366" i="2"/>
  <c r="M179" i="2"/>
  <c r="M121" i="2"/>
  <c r="N121" i="2" s="1"/>
  <c r="M214" i="2"/>
  <c r="M417" i="2"/>
  <c r="N417" i="2" s="1"/>
  <c r="M386" i="2"/>
  <c r="M342" i="2"/>
  <c r="Q342" i="2" s="1"/>
  <c r="M153" i="2"/>
  <c r="M285" i="2"/>
  <c r="N285" i="2" s="1"/>
  <c r="M32" i="2"/>
  <c r="M264" i="2"/>
  <c r="N264" i="2" s="1"/>
  <c r="M27" i="2"/>
  <c r="N27" i="2" s="1"/>
  <c r="M89" i="2"/>
  <c r="N89" i="2" s="1"/>
  <c r="M63" i="2"/>
  <c r="Q63" i="2" s="1"/>
  <c r="M427" i="2"/>
  <c r="Q427" i="2" s="1"/>
  <c r="M237" i="2"/>
  <c r="M26" i="2"/>
  <c r="N26" i="2" s="1"/>
  <c r="M245" i="2"/>
  <c r="M193" i="2"/>
  <c r="N193" i="2" s="1"/>
  <c r="M75" i="2"/>
  <c r="M22" i="2"/>
  <c r="N22" i="2" s="1"/>
  <c r="M175" i="2"/>
  <c r="M90" i="2"/>
  <c r="Q90" i="2" s="1"/>
  <c r="M28" i="2"/>
  <c r="M393" i="2"/>
  <c r="N393" i="2" s="1"/>
  <c r="M432" i="2"/>
  <c r="M178" i="2"/>
  <c r="N178" i="2" s="1"/>
  <c r="M373" i="2"/>
  <c r="N373" i="2" s="1"/>
  <c r="M412" i="2"/>
  <c r="M339" i="2"/>
  <c r="N339" i="2" s="1"/>
  <c r="M195" i="2"/>
  <c r="M368" i="2"/>
  <c r="M55" i="2"/>
  <c r="M372" i="2"/>
  <c r="Q372" i="2" s="1"/>
  <c r="M138" i="2"/>
  <c r="M275" i="2"/>
  <c r="N275" i="2" s="1"/>
  <c r="M400" i="2"/>
  <c r="M231" i="2"/>
  <c r="Q231" i="2" s="1"/>
  <c r="M216" i="2"/>
  <c r="M236" i="2"/>
  <c r="Q236" i="2" s="1"/>
  <c r="M331" i="2"/>
  <c r="M396" i="2"/>
  <c r="Q396" i="2" s="1"/>
  <c r="M212" i="2"/>
  <c r="Q212" i="2" s="1"/>
  <c r="M324" i="2"/>
  <c r="M240" i="2"/>
  <c r="M74" i="2"/>
  <c r="N74" i="2" s="1"/>
  <c r="M24" i="2"/>
  <c r="M40" i="2"/>
  <c r="N40" i="2" s="1"/>
  <c r="M166" i="2"/>
  <c r="M250" i="2"/>
  <c r="Q250" i="2" s="1"/>
  <c r="M300" i="2"/>
  <c r="M309" i="2"/>
  <c r="M398" i="2"/>
  <c r="Q398" i="2" s="1"/>
  <c r="M390" i="2"/>
  <c r="N390" i="2" s="1"/>
  <c r="M378" i="2"/>
  <c r="N378" i="2" s="1"/>
  <c r="M50" i="2"/>
  <c r="M323" i="2"/>
  <c r="N323" i="2" s="1"/>
  <c r="M61" i="2"/>
  <c r="Q61" i="2" s="1"/>
  <c r="M406" i="2"/>
  <c r="Q406" i="2" s="1"/>
  <c r="M260" i="2"/>
  <c r="M371" i="2"/>
  <c r="M345" i="2"/>
  <c r="Q345" i="2" s="1"/>
  <c r="M252" i="2"/>
  <c r="M259" i="2"/>
  <c r="M358" i="2"/>
  <c r="M314" i="2"/>
  <c r="N314" i="2" s="1"/>
  <c r="M176" i="2"/>
  <c r="M437" i="2"/>
  <c r="Q437" i="2" s="1"/>
  <c r="M80" i="2"/>
  <c r="M288" i="2"/>
  <c r="Q288" i="2" s="1"/>
  <c r="M21" i="2"/>
  <c r="M403" i="2"/>
  <c r="N403" i="2" s="1"/>
  <c r="M155" i="2"/>
  <c r="M257" i="2"/>
  <c r="Q257" i="2" s="1"/>
  <c r="M413" i="2"/>
  <c r="M39" i="2"/>
  <c r="M54" i="2"/>
  <c r="M194" i="2"/>
  <c r="N194" i="2" s="1"/>
  <c r="M149" i="2"/>
  <c r="M299" i="2"/>
  <c r="M328" i="2"/>
  <c r="Q328" i="2" s="1"/>
  <c r="M391" i="2"/>
  <c r="M282" i="2"/>
  <c r="M311" i="2"/>
  <c r="Q311" i="2" s="1"/>
  <c r="M319" i="2"/>
  <c r="M287" i="2"/>
  <c r="Q287" i="2" s="1"/>
  <c r="M44" i="2"/>
  <c r="M361" i="2"/>
  <c r="Q361" i="2" s="1"/>
  <c r="M128" i="2"/>
  <c r="M185" i="2"/>
  <c r="Q185" i="2" s="1"/>
  <c r="M183" i="2"/>
  <c r="M428" i="2"/>
  <c r="N428" i="2" s="1"/>
  <c r="M325" i="2"/>
  <c r="M62" i="2"/>
  <c r="N62" i="2" s="1"/>
  <c r="M271" i="2"/>
  <c r="M83" i="2"/>
  <c r="M208" i="2"/>
  <c r="M133" i="2"/>
  <c r="Q133" i="2" s="1"/>
  <c r="M172" i="2"/>
  <c r="M207" i="2"/>
  <c r="Q207" i="2" s="1"/>
  <c r="M142" i="2"/>
  <c r="M304" i="2"/>
  <c r="N304" i="2" s="1"/>
  <c r="M388" i="2"/>
  <c r="M265" i="2"/>
  <c r="Q265" i="2" s="1"/>
  <c r="M144" i="2"/>
  <c r="M239" i="2"/>
  <c r="Q239" i="2" s="1"/>
  <c r="M307" i="2"/>
  <c r="M273" i="2"/>
  <c r="N273" i="2" s="1"/>
  <c r="M56" i="2"/>
  <c r="M38" i="2"/>
  <c r="Q38" i="2" s="1"/>
  <c r="M318" i="2"/>
  <c r="M242" i="2"/>
  <c r="M230" i="2"/>
  <c r="M66" i="2"/>
  <c r="N66" i="2" s="1"/>
  <c r="M392" i="2"/>
  <c r="M280" i="2"/>
  <c r="Q280" i="2" s="1"/>
  <c r="M267" i="2"/>
  <c r="Q267" i="2" s="1"/>
  <c r="M94" i="2"/>
  <c r="Q94" i="2" s="1"/>
  <c r="M290" i="2"/>
  <c r="M270" i="2"/>
  <c r="N270" i="2" s="1"/>
  <c r="M247" i="2"/>
  <c r="M298" i="2"/>
  <c r="N298" i="2" s="1"/>
  <c r="M154" i="2"/>
  <c r="M326" i="2"/>
  <c r="N326" i="2" s="1"/>
  <c r="M42" i="2"/>
  <c r="M23" i="2"/>
  <c r="N23" i="2" s="1"/>
  <c r="M163" i="2"/>
  <c r="N163" i="2" s="1"/>
  <c r="M222" i="2"/>
  <c r="M384" i="2"/>
  <c r="N384" i="2" s="1"/>
  <c r="M46" i="2"/>
  <c r="M234" i="2"/>
  <c r="N234" i="2" s="1"/>
  <c r="M382" i="2"/>
  <c r="M97" i="2"/>
  <c r="N97" i="2" s="1"/>
  <c r="M100" i="2"/>
  <c r="N100" i="2" s="1"/>
  <c r="M268" i="2"/>
  <c r="N268" i="2" s="1"/>
  <c r="M196" i="2"/>
  <c r="Q196" i="2" s="1"/>
  <c r="M68" i="2"/>
  <c r="M401" i="2"/>
  <c r="M64" i="2"/>
  <c r="Q64" i="2" s="1"/>
  <c r="M340" i="2"/>
  <c r="M354" i="2"/>
  <c r="N354" i="2" s="1"/>
  <c r="M291" i="2"/>
  <c r="N291" i="2" s="1"/>
  <c r="M283" i="2"/>
  <c r="Q283" i="2" s="1"/>
  <c r="M143" i="2"/>
  <c r="N143" i="2" s="1"/>
  <c r="M251" i="2"/>
  <c r="N251" i="2" s="1"/>
  <c r="M295" i="2"/>
  <c r="M96" i="2"/>
  <c r="N96" i="2" s="1"/>
  <c r="M82" i="2"/>
  <c r="M114" i="2"/>
  <c r="Q114" i="2" s="1"/>
  <c r="M277" i="2"/>
  <c r="Q277" i="2" s="1"/>
  <c r="M161" i="2"/>
  <c r="Q161" i="2" s="1"/>
  <c r="M78" i="2"/>
  <c r="M218" i="2"/>
  <c r="Q218" i="2" s="1"/>
  <c r="M346" i="2"/>
  <c r="M20" i="2"/>
  <c r="N20" i="2" s="1"/>
  <c r="M387" i="2"/>
  <c r="M136" i="2"/>
  <c r="M168" i="2"/>
  <c r="M201" i="2"/>
  <c r="N201" i="2" s="1"/>
  <c r="M111" i="2"/>
  <c r="M274" i="2"/>
  <c r="M65" i="2"/>
  <c r="Q65" i="2" s="1"/>
  <c r="M337" i="2"/>
  <c r="Q337" i="2" s="1"/>
  <c r="M164" i="2"/>
  <c r="N164" i="2" s="1"/>
  <c r="M262" i="2"/>
  <c r="Q262" i="2" s="1"/>
  <c r="M414" i="2"/>
  <c r="M434" i="2"/>
  <c r="M357" i="2"/>
  <c r="M48" i="2"/>
  <c r="Q48" i="2" s="1"/>
  <c r="M156" i="2"/>
  <c r="M45" i="2"/>
  <c r="N45" i="2" s="1"/>
  <c r="M41" i="2"/>
  <c r="M424" i="2"/>
  <c r="M19" i="2"/>
  <c r="M356" i="2"/>
  <c r="N356" i="2" s="1"/>
  <c r="M184" i="2"/>
  <c r="Q184" i="2" s="1"/>
  <c r="M263" i="2"/>
  <c r="M352" i="2"/>
  <c r="Q352" i="2" s="1"/>
  <c r="M91" i="2"/>
  <c r="N91" i="2" s="1"/>
  <c r="M276" i="2"/>
  <c r="Q276" i="2" s="1"/>
  <c r="M297" i="2"/>
  <c r="M272" i="2"/>
  <c r="Q272" i="2" s="1"/>
  <c r="M200" i="2"/>
  <c r="M292" i="2"/>
  <c r="N292" i="2" s="1"/>
  <c r="M374" i="2"/>
  <c r="Q374" i="2" s="1"/>
  <c r="M431" i="2"/>
  <c r="N431" i="2" s="1"/>
  <c r="M381" i="2"/>
  <c r="M108" i="2"/>
  <c r="Q108" i="2" s="1"/>
  <c r="M394" i="2"/>
  <c r="N394" i="2" s="1"/>
  <c r="M316" i="2"/>
  <c r="N316" i="2" s="1"/>
  <c r="M409" i="2"/>
  <c r="N409" i="2" s="1"/>
  <c r="M186" i="2"/>
  <c r="Q186" i="2" s="1"/>
  <c r="M423" i="2"/>
  <c r="Q423" i="2" s="1"/>
  <c r="M385" i="2"/>
  <c r="N385" i="2" s="1"/>
  <c r="M139" i="2"/>
  <c r="M253" i="2"/>
  <c r="Q253" i="2" s="1"/>
  <c r="M159" i="2"/>
  <c r="N159" i="2" s="1"/>
  <c r="M306" i="2"/>
  <c r="Q306" i="2" s="1"/>
  <c r="M203" i="2"/>
  <c r="N203" i="2" s="1"/>
  <c r="M355" i="2"/>
  <c r="M334" i="2"/>
  <c r="Q334" i="2" s="1"/>
  <c r="M209" i="2"/>
  <c r="Q209" i="2" s="1"/>
  <c r="M188" i="2"/>
  <c r="N188" i="2" s="1"/>
  <c r="M169" i="2"/>
  <c r="N169" i="2" s="1"/>
  <c r="M411" i="2"/>
  <c r="N411" i="2" s="1"/>
  <c r="M301" i="2"/>
  <c r="N301" i="2" s="1"/>
  <c r="M77" i="2"/>
  <c r="N77" i="2" s="1"/>
  <c r="M98" i="2"/>
  <c r="M359" i="2"/>
  <c r="N359" i="2" s="1"/>
  <c r="M92" i="2"/>
  <c r="N92" i="2" s="1"/>
  <c r="M76" i="2"/>
  <c r="N76" i="2" s="1"/>
  <c r="M229" i="2"/>
  <c r="M53" i="2"/>
  <c r="N53" i="2" s="1"/>
  <c r="M165" i="2"/>
  <c r="N165" i="2" s="1"/>
  <c r="M269" i="2"/>
  <c r="N269" i="2" s="1"/>
  <c r="M244" i="2"/>
  <c r="M310" i="2"/>
  <c r="Q310" i="2" s="1"/>
  <c r="M192" i="2"/>
  <c r="M180" i="2"/>
  <c r="N180" i="2" s="1"/>
  <c r="M438" i="2"/>
  <c r="N438" i="2" s="1"/>
  <c r="M112" i="2"/>
  <c r="N112" i="2" s="1"/>
  <c r="M296" i="2"/>
  <c r="M415" i="2"/>
  <c r="Q415" i="2" s="1"/>
  <c r="M256" i="2"/>
  <c r="M435" i="2"/>
  <c r="N435" i="2" s="1"/>
  <c r="M221" i="2"/>
  <c r="Q221" i="2" s="1"/>
  <c r="M320" i="2"/>
  <c r="N320" i="2" s="1"/>
  <c r="M302" i="2"/>
  <c r="M308" i="2"/>
  <c r="Q308" i="2" s="1"/>
  <c r="M349" i="2"/>
  <c r="Q349" i="2" s="1"/>
  <c r="M420" i="2"/>
  <c r="N420" i="2" s="1"/>
  <c r="M425" i="2"/>
  <c r="M281" i="2"/>
  <c r="M421" i="2"/>
  <c r="Q421" i="2" s="1"/>
  <c r="M233" i="2"/>
  <c r="M418" i="2"/>
  <c r="Q418" i="2" s="1"/>
  <c r="M127" i="2"/>
  <c r="M104" i="2"/>
  <c r="Q104" i="2" s="1"/>
  <c r="M226" i="2"/>
  <c r="M436" i="2"/>
  <c r="N436" i="2" s="1"/>
  <c r="M429" i="2"/>
  <c r="M322" i="2"/>
  <c r="M141" i="2"/>
  <c r="Q141" i="2" s="1"/>
  <c r="M34" i="2"/>
  <c r="M33" i="2"/>
  <c r="N33" i="2" s="1"/>
  <c r="M312" i="2"/>
  <c r="M380" i="2"/>
  <c r="Q380" i="2" s="1"/>
  <c r="M219" i="2"/>
  <c r="M343" i="2"/>
  <c r="Q343" i="2" s="1"/>
  <c r="M367" i="2"/>
  <c r="M51" i="2"/>
  <c r="Q51" i="2" s="1"/>
  <c r="M375" i="2"/>
  <c r="M119" i="2"/>
  <c r="Q119" i="2" s="1"/>
  <c r="M360" i="2"/>
  <c r="M377" i="2"/>
  <c r="Q377" i="2" s="1"/>
  <c r="M107" i="2"/>
  <c r="M241" i="2"/>
  <c r="N241" i="2" s="1"/>
  <c r="M122" i="2"/>
  <c r="M118" i="2"/>
  <c r="M202" i="2"/>
  <c r="N202" i="2" s="1"/>
  <c r="M59" i="2"/>
  <c r="M351" i="2"/>
  <c r="Q351" i="2" s="1"/>
  <c r="M129" i="2"/>
  <c r="M137" i="2"/>
  <c r="Q137" i="2" s="1"/>
  <c r="M189" i="2"/>
  <c r="M17" i="2"/>
  <c r="B15" i="2"/>
  <c r="H430" i="1" l="1"/>
  <c r="E6" i="1"/>
  <c r="H431" i="1"/>
  <c r="F441" i="2"/>
  <c r="F443" i="2" s="1"/>
  <c r="H433" i="1" s="1"/>
  <c r="H432" i="1"/>
  <c r="H6" i="1"/>
  <c r="Q376" i="2"/>
  <c r="N402" i="2"/>
  <c r="Q315" i="2"/>
  <c r="Q25" i="2"/>
  <c r="Q86" i="2"/>
  <c r="Q187" i="2"/>
  <c r="Q327" i="2"/>
  <c r="Q158" i="2"/>
  <c r="Q174" i="2"/>
  <c r="Q225" i="2"/>
  <c r="N427" i="2"/>
  <c r="Q394" i="2"/>
  <c r="Q62" i="2"/>
  <c r="N328" i="2"/>
  <c r="N396" i="2"/>
  <c r="Q140" i="2"/>
  <c r="N145" i="2"/>
  <c r="N433" i="2"/>
  <c r="Q70" i="2"/>
  <c r="N246" i="2"/>
  <c r="N94" i="2"/>
  <c r="Q390" i="2"/>
  <c r="Q373" i="2"/>
  <c r="Q193" i="2"/>
  <c r="Q88" i="2"/>
  <c r="Q426" i="2"/>
  <c r="N190" i="2"/>
  <c r="Q152" i="2"/>
  <c r="Q261" i="2"/>
  <c r="N71" i="2"/>
  <c r="N116" i="2"/>
  <c r="N177" i="2"/>
  <c r="Q362" i="2"/>
  <c r="Q178" i="2"/>
  <c r="Q264" i="2"/>
  <c r="Q428" i="2"/>
  <c r="N49" i="2"/>
  <c r="Q113" i="2"/>
  <c r="N391" i="2"/>
  <c r="Q391" i="2"/>
  <c r="N39" i="2"/>
  <c r="Q39" i="2"/>
  <c r="Q260" i="2"/>
  <c r="N260" i="2"/>
  <c r="N324" i="2"/>
  <c r="Q324" i="2"/>
  <c r="Q309" i="2"/>
  <c r="N309" i="2"/>
  <c r="M439" i="2"/>
  <c r="M441" i="2" s="1"/>
  <c r="M443" i="2" s="1"/>
  <c r="M15" i="2" s="1"/>
  <c r="Q42" i="2"/>
  <c r="N42" i="2"/>
  <c r="N242" i="2"/>
  <c r="Q242" i="2"/>
  <c r="N83" i="2"/>
  <c r="Q83" i="2"/>
  <c r="Q438" i="2"/>
  <c r="N366" i="2"/>
  <c r="Q366" i="2"/>
  <c r="N353" i="2"/>
  <c r="Q353" i="2"/>
  <c r="Q69" i="2"/>
  <c r="N69" i="2"/>
  <c r="N422" i="2"/>
  <c r="Q422" i="2"/>
  <c r="Q50" i="2"/>
  <c r="N50" i="2"/>
  <c r="N430" i="2"/>
  <c r="Q430" i="2"/>
  <c r="Q248" i="2"/>
  <c r="N248" i="2"/>
  <c r="Q191" i="2"/>
  <c r="N191" i="2"/>
  <c r="N379" i="2"/>
  <c r="Q379" i="2"/>
  <c r="N279" i="2"/>
  <c r="Q279" i="2"/>
  <c r="Q397" i="2"/>
  <c r="Q150" i="2"/>
  <c r="N150" i="2"/>
  <c r="N434" i="2"/>
  <c r="Q434" i="2"/>
  <c r="Q46" i="2"/>
  <c r="N46" i="2"/>
  <c r="N259" i="2"/>
  <c r="Q259" i="2"/>
  <c r="Q332" i="2"/>
  <c r="N332" i="2"/>
  <c r="Q336" i="2"/>
  <c r="N336" i="2"/>
  <c r="N162" i="2"/>
  <c r="Q162" i="2"/>
  <c r="N36" i="2"/>
  <c r="Q36" i="2"/>
  <c r="N405" i="2"/>
  <c r="Q405" i="2"/>
  <c r="N287" i="2"/>
  <c r="N228" i="2"/>
  <c r="Q228" i="2"/>
  <c r="N122" i="2"/>
  <c r="Q122" i="2"/>
  <c r="Q360" i="2"/>
  <c r="N360" i="2"/>
  <c r="N127" i="2"/>
  <c r="Q127" i="2"/>
  <c r="N296" i="2"/>
  <c r="Q296" i="2"/>
  <c r="Q189" i="2"/>
  <c r="N189" i="2"/>
  <c r="Q129" i="2"/>
  <c r="N129" i="2"/>
  <c r="Q59" i="2"/>
  <c r="N59" i="2"/>
  <c r="N118" i="2"/>
  <c r="Q118" i="2"/>
  <c r="Q226" i="2"/>
  <c r="N226" i="2"/>
  <c r="N41" i="2"/>
  <c r="Q41" i="2"/>
  <c r="Q107" i="2"/>
  <c r="N107" i="2"/>
  <c r="N375" i="2"/>
  <c r="Q375" i="2"/>
  <c r="N322" i="2"/>
  <c r="Q322" i="2"/>
  <c r="Q233" i="2"/>
  <c r="N233" i="2"/>
  <c r="N429" i="2"/>
  <c r="Q429" i="2"/>
  <c r="N281" i="2"/>
  <c r="Q281" i="2"/>
  <c r="N192" i="2"/>
  <c r="Q192" i="2"/>
  <c r="N19" i="2"/>
  <c r="Q19" i="2"/>
  <c r="Q82" i="2"/>
  <c r="N82" i="2"/>
  <c r="Q24" i="2"/>
  <c r="N24" i="2"/>
  <c r="Q17" i="2"/>
  <c r="N17" i="2"/>
  <c r="N137" i="2"/>
  <c r="Q202" i="2"/>
  <c r="N377" i="2"/>
  <c r="Q302" i="2"/>
  <c r="N302" i="2"/>
  <c r="Q295" i="2"/>
  <c r="N295" i="2"/>
  <c r="N245" i="2"/>
  <c r="Q245" i="2"/>
  <c r="N351" i="2"/>
  <c r="Q241" i="2"/>
  <c r="N119" i="2"/>
  <c r="Q367" i="2"/>
  <c r="N367" i="2"/>
  <c r="Q219" i="2"/>
  <c r="N219" i="2"/>
  <c r="Q312" i="2"/>
  <c r="N312" i="2"/>
  <c r="N34" i="2"/>
  <c r="Q34" i="2"/>
  <c r="N425" i="2"/>
  <c r="Q425" i="2"/>
  <c r="Q256" i="2"/>
  <c r="N256" i="2"/>
  <c r="Q244" i="2"/>
  <c r="N244" i="2"/>
  <c r="N111" i="2"/>
  <c r="Q111" i="2"/>
  <c r="N401" i="2"/>
  <c r="Q401" i="2"/>
  <c r="N386" i="2"/>
  <c r="Q386" i="2"/>
  <c r="N343" i="2"/>
  <c r="Q33" i="2"/>
  <c r="N141" i="2"/>
  <c r="N104" i="2"/>
  <c r="N421" i="2"/>
  <c r="N308" i="2"/>
  <c r="Q435" i="2"/>
  <c r="N415" i="2"/>
  <c r="Q180" i="2"/>
  <c r="N310" i="2"/>
  <c r="N297" i="2"/>
  <c r="Q297" i="2"/>
  <c r="N357" i="2"/>
  <c r="N413" i="2"/>
  <c r="Q413" i="2"/>
  <c r="Q357" i="2"/>
  <c r="N51" i="2"/>
  <c r="N380" i="2"/>
  <c r="Q436" i="2"/>
  <c r="N418" i="2"/>
  <c r="N139" i="2"/>
  <c r="Q139" i="2"/>
  <c r="N263" i="2"/>
  <c r="Q263" i="2"/>
  <c r="N424" i="2"/>
  <c r="Q424" i="2"/>
  <c r="Q168" i="2"/>
  <c r="N168" i="2"/>
  <c r="N318" i="2"/>
  <c r="Q318" i="2"/>
  <c r="N300" i="2"/>
  <c r="Q300" i="2"/>
  <c r="Q400" i="2"/>
  <c r="N400" i="2"/>
  <c r="N55" i="2"/>
  <c r="Q55" i="2"/>
  <c r="N349" i="2"/>
  <c r="N221" i="2"/>
  <c r="Q165" i="2"/>
  <c r="Q53" i="2"/>
  <c r="Q359" i="2"/>
  <c r="Q411" i="2"/>
  <c r="N334" i="2"/>
  <c r="N108" i="2"/>
  <c r="Q292" i="2"/>
  <c r="Q45" i="2"/>
  <c r="Q136" i="2"/>
  <c r="N136" i="2"/>
  <c r="Q78" i="2"/>
  <c r="N78" i="2"/>
  <c r="N283" i="2"/>
  <c r="Q230" i="2"/>
  <c r="N230" i="2"/>
  <c r="N128" i="2"/>
  <c r="Q128" i="2"/>
  <c r="Q138" i="2"/>
  <c r="N138" i="2"/>
  <c r="N75" i="2"/>
  <c r="Q75" i="2"/>
  <c r="Q420" i="2"/>
  <c r="Q320" i="2"/>
  <c r="Q112" i="2"/>
  <c r="Q269" i="2"/>
  <c r="N229" i="2"/>
  <c r="Q229" i="2"/>
  <c r="Q98" i="2"/>
  <c r="N98" i="2"/>
  <c r="Q169" i="2"/>
  <c r="Q355" i="2"/>
  <c r="N355" i="2"/>
  <c r="N253" i="2"/>
  <c r="N381" i="2"/>
  <c r="Q381" i="2"/>
  <c r="Q200" i="2"/>
  <c r="N200" i="2"/>
  <c r="N352" i="2"/>
  <c r="N414" i="2"/>
  <c r="Q414" i="2"/>
  <c r="N274" i="2"/>
  <c r="Q274" i="2"/>
  <c r="N346" i="2"/>
  <c r="Q346" i="2"/>
  <c r="N340" i="2"/>
  <c r="Q340" i="2"/>
  <c r="N186" i="2"/>
  <c r="Q227" i="2"/>
  <c r="N227" i="2"/>
  <c r="N209" i="2"/>
  <c r="Q159" i="2"/>
  <c r="N423" i="2"/>
  <c r="N374" i="2"/>
  <c r="Q91" i="2"/>
  <c r="Q356" i="2"/>
  <c r="N65" i="2"/>
  <c r="Q201" i="2"/>
  <c r="N387" i="2"/>
  <c r="N218" i="2"/>
  <c r="N277" i="2"/>
  <c r="N68" i="2"/>
  <c r="Q68" i="2"/>
  <c r="Q97" i="2"/>
  <c r="Q384" i="2"/>
  <c r="Q392" i="2"/>
  <c r="N392" i="2"/>
  <c r="Q358" i="2"/>
  <c r="N358" i="2"/>
  <c r="N252" i="2"/>
  <c r="Q252" i="2"/>
  <c r="Q412" i="2"/>
  <c r="N412" i="2"/>
  <c r="Q27" i="2"/>
  <c r="Q153" i="2"/>
  <c r="N153" i="2"/>
  <c r="N364" i="2"/>
  <c r="Q364" i="2"/>
  <c r="Q410" i="2"/>
  <c r="N410" i="2"/>
  <c r="Q76" i="2"/>
  <c r="Q77" i="2"/>
  <c r="Q188" i="2"/>
  <c r="Q203" i="2"/>
  <c r="N306" i="2"/>
  <c r="Q385" i="2"/>
  <c r="Q301" i="2"/>
  <c r="Q316" i="2"/>
  <c r="Q431" i="2"/>
  <c r="N276" i="2"/>
  <c r="N184" i="2"/>
  <c r="Q156" i="2"/>
  <c r="N156" i="2"/>
  <c r="Q164" i="2"/>
  <c r="Q92" i="2"/>
  <c r="Q96" i="2"/>
  <c r="Q143" i="2"/>
  <c r="Q382" i="2"/>
  <c r="N382" i="2"/>
  <c r="Q222" i="2"/>
  <c r="N222" i="2"/>
  <c r="N56" i="2"/>
  <c r="Q56" i="2"/>
  <c r="Q307" i="2"/>
  <c r="N307" i="2"/>
  <c r="Q54" i="2"/>
  <c r="N54" i="2"/>
  <c r="Q176" i="2"/>
  <c r="N176" i="2"/>
  <c r="N240" i="2"/>
  <c r="Q240" i="2"/>
  <c r="Q235" i="2"/>
  <c r="N235" i="2"/>
  <c r="Q47" i="2"/>
  <c r="N47" i="2"/>
  <c r="N272" i="2"/>
  <c r="Q109" i="2"/>
  <c r="N109" i="2"/>
  <c r="N258" i="2"/>
  <c r="Q258" i="2"/>
  <c r="Q409" i="2"/>
  <c r="N126" i="2"/>
  <c r="Q126" i="2"/>
  <c r="Q387" i="2"/>
  <c r="N48" i="2"/>
  <c r="N262" i="2"/>
  <c r="Q20" i="2"/>
  <c r="N161" i="2"/>
  <c r="N114" i="2"/>
  <c r="Q354" i="2"/>
  <c r="N64" i="2"/>
  <c r="Q100" i="2"/>
  <c r="Q23" i="2"/>
  <c r="Q154" i="2"/>
  <c r="N154" i="2"/>
  <c r="N247" i="2"/>
  <c r="Q247" i="2"/>
  <c r="Q290" i="2"/>
  <c r="N290" i="2"/>
  <c r="N144" i="2"/>
  <c r="Q144" i="2"/>
  <c r="Q44" i="2"/>
  <c r="N44" i="2"/>
  <c r="N319" i="2"/>
  <c r="Q319" i="2"/>
  <c r="Q282" i="2"/>
  <c r="N282" i="2"/>
  <c r="N155" i="2"/>
  <c r="Q155" i="2"/>
  <c r="Q166" i="2"/>
  <c r="N166" i="2"/>
  <c r="N212" i="2"/>
  <c r="Q331" i="2"/>
  <c r="N331" i="2"/>
  <c r="Q216" i="2"/>
  <c r="N216" i="2"/>
  <c r="N368" i="2"/>
  <c r="Q368" i="2"/>
  <c r="N237" i="2"/>
  <c r="Q237" i="2"/>
  <c r="Q117" i="2"/>
  <c r="N117" i="2"/>
  <c r="Q211" i="2"/>
  <c r="Q120" i="2"/>
  <c r="N120" i="2"/>
  <c r="N350" i="2"/>
  <c r="Q251" i="2"/>
  <c r="Q291" i="2"/>
  <c r="N196" i="2"/>
  <c r="Q268" i="2"/>
  <c r="Q234" i="2"/>
  <c r="Q163" i="2"/>
  <c r="N267" i="2"/>
  <c r="Q388" i="2"/>
  <c r="N388" i="2"/>
  <c r="N142" i="2"/>
  <c r="Q142" i="2"/>
  <c r="Q172" i="2"/>
  <c r="N172" i="2"/>
  <c r="N208" i="2"/>
  <c r="Q208" i="2"/>
  <c r="N271" i="2"/>
  <c r="Q271" i="2"/>
  <c r="Q325" i="2"/>
  <c r="N325" i="2"/>
  <c r="Q183" i="2"/>
  <c r="N183" i="2"/>
  <c r="N337" i="2"/>
  <c r="N299" i="2"/>
  <c r="Q299" i="2"/>
  <c r="Q149" i="2"/>
  <c r="N149" i="2"/>
  <c r="N21" i="2"/>
  <c r="Q21" i="2"/>
  <c r="N80" i="2"/>
  <c r="Q80" i="2"/>
  <c r="N371" i="2"/>
  <c r="Q371" i="2"/>
  <c r="N406" i="2"/>
  <c r="Q323" i="2"/>
  <c r="Q378" i="2"/>
  <c r="N398" i="2"/>
  <c r="N195" i="2"/>
  <c r="Q195" i="2"/>
  <c r="N28" i="2"/>
  <c r="Q28" i="2"/>
  <c r="N63" i="2"/>
  <c r="Q205" i="2"/>
  <c r="N205" i="2"/>
  <c r="N148" i="2"/>
  <c r="Q148" i="2"/>
  <c r="N93" i="2"/>
  <c r="Q93" i="2"/>
  <c r="N211" i="2"/>
  <c r="N432" i="2"/>
  <c r="Q432" i="2"/>
  <c r="N175" i="2"/>
  <c r="Q175" i="2"/>
  <c r="Q32" i="2"/>
  <c r="N32" i="2"/>
  <c r="Q214" i="2"/>
  <c r="N214" i="2"/>
  <c r="N179" i="2"/>
  <c r="Q179" i="2"/>
  <c r="Q157" i="2"/>
  <c r="N157" i="2"/>
  <c r="N399" i="2"/>
  <c r="Q399" i="2"/>
  <c r="N293" i="2"/>
  <c r="Q293" i="2"/>
  <c r="Q35" i="2"/>
  <c r="N35" i="2"/>
  <c r="Q335" i="2"/>
  <c r="N335" i="2"/>
  <c r="Q123" i="2"/>
  <c r="N72" i="2"/>
  <c r="Q72" i="2"/>
  <c r="N123" i="2"/>
  <c r="N289" i="2"/>
  <c r="N58" i="2"/>
  <c r="Q58" i="2"/>
  <c r="Q130" i="2"/>
  <c r="N130" i="2"/>
  <c r="Q255" i="2"/>
  <c r="N255" i="2"/>
  <c r="N348" i="2"/>
  <c r="Q313" i="2"/>
  <c r="N313" i="2"/>
  <c r="Q85" i="2"/>
  <c r="N85" i="2"/>
  <c r="Q254" i="2"/>
  <c r="N254" i="2"/>
  <c r="N124" i="2"/>
  <c r="Q124" i="2"/>
  <c r="N369" i="2"/>
  <c r="Q369" i="2"/>
  <c r="Q408" i="2"/>
  <c r="N125" i="2"/>
  <c r="Q125" i="2"/>
  <c r="N103" i="2"/>
  <c r="N37" i="2"/>
  <c r="Q37" i="2"/>
  <c r="Q333" i="2"/>
  <c r="N333" i="2"/>
  <c r="N217" i="2"/>
  <c r="Q270" i="2"/>
  <c r="N239" i="2"/>
  <c r="Q304" i="2"/>
  <c r="N133" i="2"/>
  <c r="N185" i="2"/>
  <c r="N311" i="2"/>
  <c r="N257" i="2"/>
  <c r="N288" i="2"/>
  <c r="N345" i="2"/>
  <c r="N61" i="2"/>
  <c r="N250" i="2"/>
  <c r="Q275" i="2"/>
  <c r="Q339" i="2"/>
  <c r="Q26" i="2"/>
  <c r="Q89" i="2"/>
  <c r="Q273" i="2"/>
  <c r="Q285" i="2"/>
  <c r="N342" i="2"/>
  <c r="N236" i="2"/>
  <c r="N330" i="2"/>
  <c r="Q173" i="2"/>
  <c r="Q341" i="2"/>
  <c r="N286" i="2"/>
  <c r="N134" i="2"/>
  <c r="N151" i="2"/>
  <c r="Q151" i="2"/>
  <c r="N206" i="2"/>
  <c r="Q206" i="2"/>
  <c r="N60" i="2"/>
  <c r="Q60" i="2"/>
  <c r="N87" i="2"/>
  <c r="Q87" i="2"/>
  <c r="N243" i="2"/>
  <c r="N31" i="2"/>
  <c r="Q31" i="2"/>
  <c r="N90" i="2"/>
  <c r="Q294" i="2"/>
  <c r="N294" i="2"/>
  <c r="Q303" i="2"/>
  <c r="N171" i="2"/>
  <c r="N370" i="2"/>
  <c r="N29" i="2"/>
  <c r="Q29" i="2"/>
  <c r="N181" i="2"/>
  <c r="Q181" i="2"/>
  <c r="Q416" i="2"/>
  <c r="N416" i="2"/>
  <c r="Q99" i="2"/>
  <c r="N99" i="2"/>
  <c r="Q329" i="2"/>
  <c r="N329" i="2"/>
  <c r="N278" i="2"/>
  <c r="Q102" i="2"/>
  <c r="N102" i="2"/>
  <c r="Q326" i="2"/>
  <c r="Q298" i="2"/>
  <c r="Q66" i="2"/>
  <c r="N265" i="2"/>
  <c r="N207" i="2"/>
  <c r="N361" i="2"/>
  <c r="Q194" i="2"/>
  <c r="Q314" i="2"/>
  <c r="Q40" i="2"/>
  <c r="Q74" i="2"/>
  <c r="N231" i="2"/>
  <c r="N372" i="2"/>
  <c r="Q403" i="2"/>
  <c r="N280" i="2"/>
  <c r="Q393" i="2"/>
  <c r="Q22" i="2"/>
  <c r="Q417" i="2"/>
  <c r="Q121" i="2"/>
  <c r="Q160" i="2"/>
  <c r="Q198" i="2"/>
  <c r="Q57" i="2"/>
  <c r="Q197" i="2"/>
  <c r="Q365" i="2"/>
  <c r="N170" i="2"/>
  <c r="Q170" i="2"/>
  <c r="Q135" i="2"/>
  <c r="N135" i="2"/>
  <c r="N404" i="2"/>
  <c r="Q404" i="2"/>
  <c r="Q101" i="2"/>
  <c r="N101" i="2"/>
  <c r="Q238" i="2"/>
  <c r="N238" i="2"/>
  <c r="N213" i="2"/>
  <c r="Q213" i="2"/>
  <c r="Q220" i="2"/>
  <c r="Q223" i="2"/>
  <c r="N223" i="2"/>
  <c r="N437" i="2"/>
  <c r="N106" i="2"/>
  <c r="Q106" i="2"/>
  <c r="N204" i="2"/>
  <c r="Q204" i="2"/>
  <c r="N38" i="2"/>
  <c r="Q210" i="2"/>
  <c r="N210" i="2"/>
  <c r="N18" i="2"/>
  <c r="Q18" i="2"/>
  <c r="Q67" i="2"/>
  <c r="N67" i="2"/>
  <c r="N407" i="2"/>
  <c r="Q344" i="2"/>
  <c r="Q383" i="2"/>
  <c r="N389" i="2"/>
  <c r="N30" i="2"/>
  <c r="Q317" i="2"/>
  <c r="Q146" i="2"/>
  <c r="N347" i="2"/>
  <c r="Q167" i="2"/>
  <c r="Q79" i="2"/>
  <c r="N43" i="2"/>
  <c r="Q43" i="2"/>
  <c r="N131" i="2"/>
  <c r="Q131" i="2"/>
  <c r="Q395" i="2"/>
  <c r="N81" i="2"/>
  <c r="Q81" i="2"/>
  <c r="N105" i="2"/>
  <c r="N84" i="2"/>
  <c r="Q224" i="2"/>
  <c r="Q52" i="2"/>
  <c r="Q363" i="2"/>
  <c r="N132" i="2"/>
  <c r="N266" i="2"/>
  <c r="Q95" i="2"/>
  <c r="N215" i="2"/>
  <c r="Q305" i="2"/>
  <c r="Q284" i="2"/>
  <c r="Q110" i="2"/>
  <c r="N110" i="2"/>
  <c r="Q182" i="2"/>
  <c r="N73" i="2"/>
  <c r="N115" i="2"/>
  <c r="N249" i="2"/>
  <c r="N199" i="2"/>
  <c r="N419" i="2"/>
  <c r="N338" i="2"/>
  <c r="N232" i="2"/>
  <c r="N321" i="2"/>
  <c r="Q249" i="2"/>
  <c r="O147" i="2" l="1"/>
  <c r="P147" i="2" s="1"/>
  <c r="R147" i="2"/>
  <c r="S147" i="2" s="1"/>
  <c r="O338" i="2"/>
  <c r="R110" i="2"/>
  <c r="O292" i="2"/>
  <c r="P292" i="2" s="1"/>
  <c r="R52" i="2"/>
  <c r="O131" i="2"/>
  <c r="O30" i="2"/>
  <c r="R204" i="2"/>
  <c r="R213" i="2"/>
  <c r="R365" i="2"/>
  <c r="R393" i="2"/>
  <c r="R194" i="2"/>
  <c r="R102" i="2"/>
  <c r="O99" i="2"/>
  <c r="P99" i="2" s="1"/>
  <c r="O370" i="2"/>
  <c r="R249" i="2"/>
  <c r="O419" i="2"/>
  <c r="P419" i="2" s="1"/>
  <c r="O73" i="2"/>
  <c r="R284" i="2"/>
  <c r="O266" i="2"/>
  <c r="P266" i="2" s="1"/>
  <c r="R224" i="2"/>
  <c r="O81" i="2"/>
  <c r="P81" i="2" s="1"/>
  <c r="R43" i="2"/>
  <c r="O347" i="2"/>
  <c r="P347" i="2" s="1"/>
  <c r="O389" i="2"/>
  <c r="P389" i="2" s="1"/>
  <c r="O67" i="2"/>
  <c r="O210" i="2"/>
  <c r="P210" i="2" s="1"/>
  <c r="O204" i="2"/>
  <c r="P204" i="2" s="1"/>
  <c r="O223" i="2"/>
  <c r="P223" i="2" s="1"/>
  <c r="O213" i="2"/>
  <c r="R101" i="2"/>
  <c r="R135" i="2"/>
  <c r="R197" i="2"/>
  <c r="R121" i="2"/>
  <c r="O280" i="2"/>
  <c r="P280" i="2" s="1"/>
  <c r="R74" i="2"/>
  <c r="O361" i="2"/>
  <c r="P361" i="2" s="1"/>
  <c r="R298" i="2"/>
  <c r="O278" i="2"/>
  <c r="R99" i="2"/>
  <c r="O181" i="2"/>
  <c r="P181" i="2" s="1"/>
  <c r="O171" i="2"/>
  <c r="P171" i="2" s="1"/>
  <c r="O90" i="2"/>
  <c r="P90" i="2" s="1"/>
  <c r="R87" i="2"/>
  <c r="R206" i="2"/>
  <c r="O134" i="2"/>
  <c r="O330" i="2"/>
  <c r="R273" i="2"/>
  <c r="R275" i="2"/>
  <c r="O288" i="2"/>
  <c r="P288" i="2" s="1"/>
  <c r="O133" i="2"/>
  <c r="P133" i="2" s="1"/>
  <c r="O217" i="2"/>
  <c r="P217" i="2" s="1"/>
  <c r="O37" i="2"/>
  <c r="P37" i="2" s="1"/>
  <c r="R408" i="2"/>
  <c r="O124" i="2"/>
  <c r="R85" i="2"/>
  <c r="O255" i="2"/>
  <c r="P255" i="2" s="1"/>
  <c r="R58" i="2"/>
  <c r="R72" i="2"/>
  <c r="R335" i="2"/>
  <c r="O293" i="2"/>
  <c r="P293" i="2" s="1"/>
  <c r="R157" i="2"/>
  <c r="R214" i="2"/>
  <c r="O175" i="2"/>
  <c r="P175" i="2" s="1"/>
  <c r="R93" i="2"/>
  <c r="O205" i="2"/>
  <c r="R28" i="2"/>
  <c r="O398" i="2"/>
  <c r="P398" i="2" s="1"/>
  <c r="R371" i="2"/>
  <c r="R21" i="2"/>
  <c r="R299" i="2"/>
  <c r="O183" i="2"/>
  <c r="P183" i="2" s="1"/>
  <c r="R271" i="2"/>
  <c r="O172" i="2"/>
  <c r="P172" i="2" s="1"/>
  <c r="O388" i="2"/>
  <c r="R234" i="2"/>
  <c r="R251" i="2"/>
  <c r="R211" i="2"/>
  <c r="O237" i="2"/>
  <c r="R216" i="2"/>
  <c r="O166" i="2"/>
  <c r="P166" i="2" s="1"/>
  <c r="O282" i="2"/>
  <c r="O44" i="2"/>
  <c r="O290" i="2"/>
  <c r="P290" i="2" s="1"/>
  <c r="R218" i="2"/>
  <c r="R396" i="2"/>
  <c r="R338" i="2"/>
  <c r="R405" i="2"/>
  <c r="O261" i="2"/>
  <c r="P261" i="2" s="1"/>
  <c r="R193" i="2"/>
  <c r="R184" i="2"/>
  <c r="R141" i="2"/>
  <c r="R376" i="2"/>
  <c r="O115" i="2"/>
  <c r="P115" i="2" s="1"/>
  <c r="R95" i="2"/>
  <c r="R81" i="2"/>
  <c r="R167" i="2"/>
  <c r="O407" i="2"/>
  <c r="P407" i="2" s="1"/>
  <c r="O18" i="2"/>
  <c r="P18" i="2" s="1"/>
  <c r="O437" i="2"/>
  <c r="P437" i="2" s="1"/>
  <c r="O101" i="2"/>
  <c r="P101" i="2" s="1"/>
  <c r="O135" i="2"/>
  <c r="P135" i="2" s="1"/>
  <c r="R160" i="2"/>
  <c r="O231" i="2"/>
  <c r="P231" i="2" s="1"/>
  <c r="R66" i="2"/>
  <c r="R181" i="2"/>
  <c r="R294" i="2"/>
  <c r="O243" i="2"/>
  <c r="P243" i="2" s="1"/>
  <c r="O60" i="2"/>
  <c r="O151" i="2"/>
  <c r="R173" i="2"/>
  <c r="R285" i="2"/>
  <c r="R339" i="2"/>
  <c r="O345" i="2"/>
  <c r="P345" i="2" s="1"/>
  <c r="O185" i="2"/>
  <c r="P185" i="2" s="1"/>
  <c r="R270" i="2"/>
  <c r="R37" i="2"/>
  <c r="O125" i="2"/>
  <c r="R124" i="2"/>
  <c r="O85" i="2"/>
  <c r="P85" i="2" s="1"/>
  <c r="O348" i="2"/>
  <c r="R130" i="2"/>
  <c r="O123" i="2"/>
  <c r="P123" i="2" s="1"/>
  <c r="O335" i="2"/>
  <c r="P335" i="2" s="1"/>
  <c r="R293" i="2"/>
  <c r="O157" i="2"/>
  <c r="O214" i="2"/>
  <c r="P214" i="2" s="1"/>
  <c r="R175" i="2"/>
  <c r="O211" i="2"/>
  <c r="O148" i="2"/>
  <c r="P148" i="2" s="1"/>
  <c r="O195" i="2"/>
  <c r="P195" i="2" s="1"/>
  <c r="O406" i="2"/>
  <c r="P406" i="2" s="1"/>
  <c r="O80" i="2"/>
  <c r="R149" i="2"/>
  <c r="O337" i="2"/>
  <c r="R325" i="2"/>
  <c r="O208" i="2"/>
  <c r="P208" i="2" s="1"/>
  <c r="O142" i="2"/>
  <c r="R163" i="2"/>
  <c r="R291" i="2"/>
  <c r="R120" i="2"/>
  <c r="R237" i="2"/>
  <c r="O216" i="2"/>
  <c r="P216" i="2" s="1"/>
  <c r="O212" i="2"/>
  <c r="P212" i="2" s="1"/>
  <c r="O155" i="2"/>
  <c r="P155" i="2" s="1"/>
  <c r="O319" i="2"/>
  <c r="O144" i="2"/>
  <c r="P144" i="2" s="1"/>
  <c r="O247" i="2"/>
  <c r="P247" i="2" s="1"/>
  <c r="R100" i="2"/>
  <c r="O161" i="2"/>
  <c r="R387" i="2"/>
  <c r="R258" i="2"/>
  <c r="O272" i="2"/>
  <c r="P272" i="2" s="1"/>
  <c r="R235" i="2"/>
  <c r="R176" i="2"/>
  <c r="R307" i="2"/>
  <c r="R222" i="2"/>
  <c r="R96" i="2"/>
  <c r="R156" i="2"/>
  <c r="R316" i="2"/>
  <c r="R203" i="2"/>
  <c r="O410" i="2"/>
  <c r="O153" i="2"/>
  <c r="R412" i="2"/>
  <c r="R358" i="2"/>
  <c r="R97" i="2"/>
  <c r="O218" i="2"/>
  <c r="P218" i="2" s="1"/>
  <c r="R356" i="2"/>
  <c r="R159" i="2"/>
  <c r="O186" i="2"/>
  <c r="O346" i="2"/>
  <c r="P346" i="2" s="1"/>
  <c r="O414" i="2"/>
  <c r="P414" i="2" s="1"/>
  <c r="R381" i="2"/>
  <c r="R355" i="2"/>
  <c r="R229" i="2"/>
  <c r="R320" i="2"/>
  <c r="O138" i="2"/>
  <c r="P138" i="2" s="1"/>
  <c r="O230" i="2"/>
  <c r="R78" i="2"/>
  <c r="R292" i="2"/>
  <c r="R359" i="2"/>
  <c r="O349" i="2"/>
  <c r="R400" i="2"/>
  <c r="O318" i="2"/>
  <c r="P318" i="2" s="1"/>
  <c r="O424" i="2"/>
  <c r="P424" i="2" s="1"/>
  <c r="O139" i="2"/>
  <c r="O51" i="2"/>
  <c r="P51" i="2" s="1"/>
  <c r="O357" i="2"/>
  <c r="P357" i="2" s="1"/>
  <c r="R180" i="2"/>
  <c r="O421" i="2"/>
  <c r="O343" i="2"/>
  <c r="O401" i="2"/>
  <c r="P401" i="2" s="1"/>
  <c r="R244" i="2"/>
  <c r="O425" i="2"/>
  <c r="R312" i="2"/>
  <c r="R367" i="2"/>
  <c r="R245" i="2"/>
  <c r="O302" i="2"/>
  <c r="O137" i="2"/>
  <c r="P137" i="2" s="1"/>
  <c r="R24" i="2"/>
  <c r="O19" i="2"/>
  <c r="P19" i="2" s="1"/>
  <c r="O281" i="2"/>
  <c r="R233" i="2"/>
  <c r="O177" i="2"/>
  <c r="P177" i="2" s="1"/>
  <c r="R145" i="2"/>
  <c r="O154" i="2"/>
  <c r="O64" i="2"/>
  <c r="R126" i="2"/>
  <c r="O47" i="2"/>
  <c r="P47" i="2" s="1"/>
  <c r="O54" i="2"/>
  <c r="O382" i="2"/>
  <c r="P382" i="2" s="1"/>
  <c r="R301" i="2"/>
  <c r="R410" i="2"/>
  <c r="R252" i="2"/>
  <c r="R68" i="2"/>
  <c r="O387" i="2"/>
  <c r="P387" i="2" s="1"/>
  <c r="O209" i="2"/>
  <c r="P209" i="2" s="1"/>
  <c r="R274" i="2"/>
  <c r="O381" i="2"/>
  <c r="P381" i="2" s="1"/>
  <c r="O229" i="2"/>
  <c r="P229" i="2" s="1"/>
  <c r="R138" i="2"/>
  <c r="O136" i="2"/>
  <c r="R53" i="2"/>
  <c r="R300" i="2"/>
  <c r="R263" i="2"/>
  <c r="R357" i="2"/>
  <c r="O104" i="2"/>
  <c r="R111" i="2"/>
  <c r="R34" i="2"/>
  <c r="O119" i="2"/>
  <c r="R302" i="2"/>
  <c r="O17" i="2"/>
  <c r="P17" i="2" s="1"/>
  <c r="O327" i="2"/>
  <c r="P327" i="2" s="1"/>
  <c r="O178" i="2"/>
  <c r="O188" i="2"/>
  <c r="P188" i="2" s="1"/>
  <c r="O385" i="2"/>
  <c r="P385" i="2" s="1"/>
  <c r="O316" i="2"/>
  <c r="P316" i="2" s="1"/>
  <c r="O268" i="2"/>
  <c r="O159" i="2"/>
  <c r="P159" i="2" s="1"/>
  <c r="O45" i="2"/>
  <c r="P45" i="2" s="1"/>
  <c r="O173" i="2"/>
  <c r="P173" i="2" s="1"/>
  <c r="O395" i="2"/>
  <c r="O33" i="2"/>
  <c r="O396" i="2"/>
  <c r="P396" i="2" s="1"/>
  <c r="O328" i="2"/>
  <c r="P328" i="2" s="1"/>
  <c r="O339" i="2"/>
  <c r="O341" i="2"/>
  <c r="P341" i="2" s="1"/>
  <c r="O433" i="2"/>
  <c r="P433" i="2" s="1"/>
  <c r="O95" i="2"/>
  <c r="P95" i="2" s="1"/>
  <c r="O201" i="2"/>
  <c r="O66" i="2"/>
  <c r="P66" i="2" s="1"/>
  <c r="O378" i="2"/>
  <c r="O163" i="2"/>
  <c r="P163" i="2" s="1"/>
  <c r="O409" i="2"/>
  <c r="O323" i="2"/>
  <c r="P323" i="2" s="1"/>
  <c r="O285" i="2"/>
  <c r="P285" i="2" s="1"/>
  <c r="O145" i="2"/>
  <c r="P145" i="2" s="1"/>
  <c r="O234" i="2"/>
  <c r="O202" i="2"/>
  <c r="O435" i="2"/>
  <c r="P435" i="2" s="1"/>
  <c r="O165" i="2"/>
  <c r="P165" i="2" s="1"/>
  <c r="O304" i="2"/>
  <c r="O197" i="2"/>
  <c r="P197" i="2" s="1"/>
  <c r="O363" i="2"/>
  <c r="P363" i="2" s="1"/>
  <c r="O20" i="2"/>
  <c r="P20" i="2" s="1"/>
  <c r="O273" i="2"/>
  <c r="O194" i="2"/>
  <c r="P194" i="2" s="1"/>
  <c r="O373" i="2"/>
  <c r="P373" i="2" s="1"/>
  <c r="O220" i="2"/>
  <c r="P220" i="2" s="1"/>
  <c r="O224" i="2"/>
  <c r="O190" i="2"/>
  <c r="P190" i="2" s="1"/>
  <c r="O88" i="2"/>
  <c r="P88" i="2" s="1"/>
  <c r="O174" i="2"/>
  <c r="P174" i="2" s="1"/>
  <c r="O158" i="2"/>
  <c r="O394" i="2"/>
  <c r="P394" i="2" s="1"/>
  <c r="O26" i="2"/>
  <c r="P26" i="2" s="1"/>
  <c r="O27" i="2"/>
  <c r="P27" i="2" s="1"/>
  <c r="O344" i="2"/>
  <c r="O264" i="2"/>
  <c r="P264" i="2" s="1"/>
  <c r="O402" i="2"/>
  <c r="P402" i="2" s="1"/>
  <c r="O96" i="2"/>
  <c r="P96" i="2" s="1"/>
  <c r="O152" i="2"/>
  <c r="O76" i="2"/>
  <c r="P76" i="2" s="1"/>
  <c r="O359" i="2"/>
  <c r="P359" i="2" s="1"/>
  <c r="O251" i="2"/>
  <c r="P251" i="2" s="1"/>
  <c r="O314" i="2"/>
  <c r="O438" i="2"/>
  <c r="P438" i="2" s="1"/>
  <c r="O270" i="2"/>
  <c r="P270" i="2" s="1"/>
  <c r="O436" i="2"/>
  <c r="P436" i="2" s="1"/>
  <c r="O112" i="2"/>
  <c r="O62" i="2"/>
  <c r="O89" i="2"/>
  <c r="P89" i="2" s="1"/>
  <c r="O146" i="2"/>
  <c r="O428" i="2"/>
  <c r="O393" i="2"/>
  <c r="P393" i="2" s="1"/>
  <c r="O71" i="2"/>
  <c r="P71" i="2" s="1"/>
  <c r="O70" i="2"/>
  <c r="O169" i="2"/>
  <c r="O100" i="2"/>
  <c r="P100" i="2" s="1"/>
  <c r="O298" i="2"/>
  <c r="P298" i="2" s="1"/>
  <c r="O275" i="2"/>
  <c r="P275" i="2" s="1"/>
  <c r="O140" i="2"/>
  <c r="O25" i="2"/>
  <c r="P25" i="2" s="1"/>
  <c r="O365" i="2"/>
  <c r="P365" i="2" s="1"/>
  <c r="O397" i="2"/>
  <c r="P397" i="2" s="1"/>
  <c r="O193" i="2"/>
  <c r="O241" i="2"/>
  <c r="P241" i="2" s="1"/>
  <c r="O291" i="2"/>
  <c r="P291" i="2" s="1"/>
  <c r="O408" i="2"/>
  <c r="P408" i="2" s="1"/>
  <c r="O77" i="2"/>
  <c r="O411" i="2"/>
  <c r="P411" i="2" s="1"/>
  <c r="O97" i="2"/>
  <c r="P97" i="2" s="1"/>
  <c r="O94" i="2"/>
  <c r="P94" i="2" s="1"/>
  <c r="O22" i="2"/>
  <c r="O187" i="2"/>
  <c r="P187" i="2" s="1"/>
  <c r="O246" i="2"/>
  <c r="O225" i="2"/>
  <c r="P225" i="2" s="1"/>
  <c r="O420" i="2"/>
  <c r="O403" i="2"/>
  <c r="O74" i="2"/>
  <c r="P74" i="2" s="1"/>
  <c r="O427" i="2"/>
  <c r="P427" i="2" s="1"/>
  <c r="O57" i="2"/>
  <c r="O52" i="2"/>
  <c r="P52" i="2" s="1"/>
  <c r="O116" i="2"/>
  <c r="P116" i="2" s="1"/>
  <c r="O182" i="2"/>
  <c r="P182" i="2" s="1"/>
  <c r="O203" i="2"/>
  <c r="O160" i="2"/>
  <c r="P160" i="2" s="1"/>
  <c r="O113" i="2"/>
  <c r="P113" i="2" s="1"/>
  <c r="O431" i="2"/>
  <c r="P431" i="2" s="1"/>
  <c r="O362" i="2"/>
  <c r="O315" i="2"/>
  <c r="P315" i="2" s="1"/>
  <c r="O53" i="2"/>
  <c r="P53" i="2" s="1"/>
  <c r="O305" i="2"/>
  <c r="P305" i="2" s="1"/>
  <c r="O91" i="2"/>
  <c r="O180" i="2"/>
  <c r="P180" i="2" s="1"/>
  <c r="O384" i="2"/>
  <c r="P384" i="2" s="1"/>
  <c r="O317" i="2"/>
  <c r="P317" i="2" s="1"/>
  <c r="O269" i="2"/>
  <c r="O326" i="2"/>
  <c r="P326" i="2" s="1"/>
  <c r="O121" i="2"/>
  <c r="P121" i="2" s="1"/>
  <c r="O167" i="2"/>
  <c r="P167" i="2" s="1"/>
  <c r="O86" i="2"/>
  <c r="O164" i="2"/>
  <c r="P164" i="2" s="1"/>
  <c r="O198" i="2"/>
  <c r="P198" i="2" s="1"/>
  <c r="O390" i="2"/>
  <c r="P390" i="2" s="1"/>
  <c r="O143" i="2"/>
  <c r="R192" i="2"/>
  <c r="S192" i="2" s="1"/>
  <c r="R322" i="2"/>
  <c r="O226" i="2"/>
  <c r="P226" i="2" s="1"/>
  <c r="O189" i="2"/>
  <c r="R122" i="2"/>
  <c r="S122" i="2" s="1"/>
  <c r="R228" i="2"/>
  <c r="R162" i="2"/>
  <c r="O383" i="2"/>
  <c r="O417" i="2"/>
  <c r="P417" i="2" s="1"/>
  <c r="R185" i="2"/>
  <c r="O354" i="2"/>
  <c r="P354" i="2" s="1"/>
  <c r="O320" i="2"/>
  <c r="R152" i="2"/>
  <c r="S152" i="2" s="1"/>
  <c r="O321" i="2"/>
  <c r="P321" i="2" s="1"/>
  <c r="R305" i="2"/>
  <c r="O84" i="2"/>
  <c r="R395" i="2"/>
  <c r="S395" i="2" s="1"/>
  <c r="O43" i="2"/>
  <c r="P43" i="2" s="1"/>
  <c r="R146" i="2"/>
  <c r="R383" i="2"/>
  <c r="R67" i="2"/>
  <c r="S67" i="2" s="1"/>
  <c r="R210" i="2"/>
  <c r="R106" i="2"/>
  <c r="R223" i="2"/>
  <c r="O238" i="2"/>
  <c r="P238" i="2" s="1"/>
  <c r="R404" i="2"/>
  <c r="R170" i="2"/>
  <c r="R57" i="2"/>
  <c r="R417" i="2"/>
  <c r="S417" i="2" s="1"/>
  <c r="R403" i="2"/>
  <c r="R40" i="2"/>
  <c r="O207" i="2"/>
  <c r="R326" i="2"/>
  <c r="S326" i="2" s="1"/>
  <c r="O329" i="2"/>
  <c r="P329" i="2" s="1"/>
  <c r="O416" i="2"/>
  <c r="P416" i="2" s="1"/>
  <c r="R29" i="2"/>
  <c r="R303" i="2"/>
  <c r="S303" i="2" s="1"/>
  <c r="R31" i="2"/>
  <c r="O87" i="2"/>
  <c r="O206" i="2"/>
  <c r="O286" i="2"/>
  <c r="P286" i="2" s="1"/>
  <c r="O236" i="2"/>
  <c r="P236" i="2" s="1"/>
  <c r="R89" i="2"/>
  <c r="O250" i="2"/>
  <c r="O257" i="2"/>
  <c r="P257" i="2" s="1"/>
  <c r="R304" i="2"/>
  <c r="O333" i="2"/>
  <c r="P333" i="2" s="1"/>
  <c r="O103" i="2"/>
  <c r="R369" i="2"/>
  <c r="S369" i="2" s="1"/>
  <c r="O254" i="2"/>
  <c r="P254" i="2" s="1"/>
  <c r="O313" i="2"/>
  <c r="P313" i="2" s="1"/>
  <c r="R255" i="2"/>
  <c r="O58" i="2"/>
  <c r="P58" i="2" s="1"/>
  <c r="O72" i="2"/>
  <c r="P72" i="2" s="1"/>
  <c r="O35" i="2"/>
  <c r="P35" i="2" s="1"/>
  <c r="R399" i="2"/>
  <c r="R179" i="2"/>
  <c r="S179" i="2" s="1"/>
  <c r="O32" i="2"/>
  <c r="P32" i="2" s="1"/>
  <c r="R432" i="2"/>
  <c r="O93" i="2"/>
  <c r="R205" i="2"/>
  <c r="S205" i="2" s="1"/>
  <c r="O28" i="2"/>
  <c r="P28" i="2" s="1"/>
  <c r="R378" i="2"/>
  <c r="O371" i="2"/>
  <c r="O21" i="2"/>
  <c r="O299" i="2"/>
  <c r="P299" i="2" s="1"/>
  <c r="R183" i="2"/>
  <c r="O271" i="2"/>
  <c r="R172" i="2"/>
  <c r="S172" i="2" s="1"/>
  <c r="R388" i="2"/>
  <c r="R268" i="2"/>
  <c r="O350" i="2"/>
  <c r="O117" i="2"/>
  <c r="P117" i="2" s="1"/>
  <c r="R368" i="2"/>
  <c r="O331" i="2"/>
  <c r="R166" i="2"/>
  <c r="R282" i="2"/>
  <c r="S282" i="2" s="1"/>
  <c r="R44" i="2"/>
  <c r="R290" i="2"/>
  <c r="R154" i="2"/>
  <c r="R354" i="2"/>
  <c r="S354" i="2" s="1"/>
  <c r="O262" i="2"/>
  <c r="P262" i="2" s="1"/>
  <c r="O126" i="2"/>
  <c r="O109" i="2"/>
  <c r="R47" i="2"/>
  <c r="S47" i="2" s="1"/>
  <c r="O240" i="2"/>
  <c r="P240" i="2" s="1"/>
  <c r="R54" i="2"/>
  <c r="O56" i="2"/>
  <c r="R382" i="2"/>
  <c r="S382" i="2" s="1"/>
  <c r="R164" i="2"/>
  <c r="O276" i="2"/>
  <c r="R385" i="2"/>
  <c r="R77" i="2"/>
  <c r="S77" i="2" s="1"/>
  <c r="R364" i="2"/>
  <c r="R27" i="2"/>
  <c r="O252" i="2"/>
  <c r="R392" i="2"/>
  <c r="S392" i="2" s="1"/>
  <c r="O68" i="2"/>
  <c r="P68" i="2" s="1"/>
  <c r="R201" i="2"/>
  <c r="O374" i="2"/>
  <c r="O227" i="2"/>
  <c r="O340" i="2"/>
  <c r="P340" i="2" s="1"/>
  <c r="O274" i="2"/>
  <c r="P274" i="2" s="1"/>
  <c r="O200" i="2"/>
  <c r="O253" i="2"/>
  <c r="P253" i="2" s="1"/>
  <c r="O98" i="2"/>
  <c r="R269" i="2"/>
  <c r="R75" i="2"/>
  <c r="R128" i="2"/>
  <c r="S128" i="2" s="1"/>
  <c r="O283" i="2"/>
  <c r="P283" i="2" s="1"/>
  <c r="R136" i="2"/>
  <c r="O334" i="2"/>
  <c r="R165" i="2"/>
  <c r="S165" i="2" s="1"/>
  <c r="O55" i="2"/>
  <c r="P55" i="2" s="1"/>
  <c r="O300" i="2"/>
  <c r="P300" i="2" s="1"/>
  <c r="R168" i="2"/>
  <c r="O263" i="2"/>
  <c r="P263" i="2" s="1"/>
  <c r="R436" i="2"/>
  <c r="R413" i="2"/>
  <c r="O297" i="2"/>
  <c r="R435" i="2"/>
  <c r="S435" i="2" s="1"/>
  <c r="O141" i="2"/>
  <c r="P141" i="2" s="1"/>
  <c r="O386" i="2"/>
  <c r="P386" i="2" s="1"/>
  <c r="O111" i="2"/>
  <c r="R256" i="2"/>
  <c r="S256" i="2" s="1"/>
  <c r="O34" i="2"/>
  <c r="P34" i="2" s="1"/>
  <c r="R219" i="2"/>
  <c r="R158" i="2"/>
  <c r="O376" i="2"/>
  <c r="P376" i="2" s="1"/>
  <c r="R103" i="2"/>
  <c r="O40" i="2"/>
  <c r="P40" i="2" s="1"/>
  <c r="O23" i="2"/>
  <c r="P23" i="2" s="1"/>
  <c r="O150" i="2"/>
  <c r="P150" i="2" s="1"/>
  <c r="R279" i="2"/>
  <c r="O79" i="2"/>
  <c r="R433" i="2"/>
  <c r="O430" i="2"/>
  <c r="P430" i="2" s="1"/>
  <c r="R133" i="2"/>
  <c r="O284" i="2"/>
  <c r="P284" i="2" s="1"/>
  <c r="O353" i="2"/>
  <c r="O92" i="2"/>
  <c r="P92" i="2" s="1"/>
  <c r="O426" i="2"/>
  <c r="P426" i="2" s="1"/>
  <c r="R20" i="2"/>
  <c r="O258" i="2"/>
  <c r="P258" i="2" s="1"/>
  <c r="R240" i="2"/>
  <c r="S240" i="2" s="1"/>
  <c r="R56" i="2"/>
  <c r="R92" i="2"/>
  <c r="O184" i="2"/>
  <c r="R188" i="2"/>
  <c r="S188" i="2" s="1"/>
  <c r="R153" i="2"/>
  <c r="O392" i="2"/>
  <c r="R91" i="2"/>
  <c r="R340" i="2"/>
  <c r="S340" i="2" s="1"/>
  <c r="O352" i="2"/>
  <c r="P352" i="2" s="1"/>
  <c r="R169" i="2"/>
  <c r="R420" i="2"/>
  <c r="R230" i="2"/>
  <c r="S230" i="2" s="1"/>
  <c r="O108" i="2"/>
  <c r="R55" i="2"/>
  <c r="O168" i="2"/>
  <c r="O418" i="2"/>
  <c r="P418" i="2" s="1"/>
  <c r="R297" i="2"/>
  <c r="O415" i="2"/>
  <c r="P415" i="2" s="1"/>
  <c r="R386" i="2"/>
  <c r="O256" i="2"/>
  <c r="P256" i="2" s="1"/>
  <c r="O219" i="2"/>
  <c r="O245" i="2"/>
  <c r="P245" i="2" s="1"/>
  <c r="O82" i="2"/>
  <c r="P82" i="2" s="1"/>
  <c r="R429" i="2"/>
  <c r="S429" i="2" s="1"/>
  <c r="O107" i="2"/>
  <c r="P107" i="2" s="1"/>
  <c r="O59" i="2"/>
  <c r="P59" i="2" s="1"/>
  <c r="R127" i="2"/>
  <c r="R73" i="2"/>
  <c r="S73" i="2" s="1"/>
  <c r="R352" i="2"/>
  <c r="R391" i="2"/>
  <c r="O199" i="2"/>
  <c r="R182" i="2"/>
  <c r="S182" i="2" s="1"/>
  <c r="O132" i="2"/>
  <c r="O232" i="2"/>
  <c r="P232" i="2" s="1"/>
  <c r="O249" i="2"/>
  <c r="O110" i="2"/>
  <c r="P110" i="2" s="1"/>
  <c r="O215" i="2"/>
  <c r="P215" i="2" s="1"/>
  <c r="R363" i="2"/>
  <c r="O105" i="2"/>
  <c r="R131" i="2"/>
  <c r="S131" i="2" s="1"/>
  <c r="R79" i="2"/>
  <c r="R317" i="2"/>
  <c r="R344" i="2"/>
  <c r="R18" i="2"/>
  <c r="S18" i="2" s="1"/>
  <c r="R132" i="2"/>
  <c r="R84" i="2"/>
  <c r="R115" i="2"/>
  <c r="R94" i="2"/>
  <c r="S94" i="2" s="1"/>
  <c r="R362" i="2"/>
  <c r="R174" i="2"/>
  <c r="R277" i="2"/>
  <c r="R394" i="2"/>
  <c r="S394" i="2" s="1"/>
  <c r="R140" i="2"/>
  <c r="R347" i="2"/>
  <c r="R351" i="2"/>
  <c r="R264" i="2"/>
  <c r="S264" i="2" s="1"/>
  <c r="R243" i="2"/>
  <c r="R86" i="2"/>
  <c r="R113" i="2"/>
  <c r="R345" i="2"/>
  <c r="S345" i="2" s="1"/>
  <c r="R236" i="2"/>
  <c r="R426" i="2"/>
  <c r="R225" i="2"/>
  <c r="R276" i="2"/>
  <c r="S276" i="2" s="1"/>
  <c r="R207" i="2"/>
  <c r="R63" i="2"/>
  <c r="R217" i="2"/>
  <c r="R289" i="2"/>
  <c r="S289" i="2" s="1"/>
  <c r="R437" i="2"/>
  <c r="O38" i="2"/>
  <c r="P38" i="2" s="1"/>
  <c r="O106" i="2"/>
  <c r="P106" i="2" s="1"/>
  <c r="R220" i="2"/>
  <c r="S220" i="2" s="1"/>
  <c r="R238" i="2"/>
  <c r="O404" i="2"/>
  <c r="P404" i="2" s="1"/>
  <c r="O170" i="2"/>
  <c r="P170" i="2" s="1"/>
  <c r="R198" i="2"/>
  <c r="S198" i="2" s="1"/>
  <c r="R22" i="2"/>
  <c r="O372" i="2"/>
  <c r="P372" i="2" s="1"/>
  <c r="R314" i="2"/>
  <c r="O265" i="2"/>
  <c r="P265" i="2" s="1"/>
  <c r="O102" i="2"/>
  <c r="P102" i="2" s="1"/>
  <c r="R329" i="2"/>
  <c r="R416" i="2"/>
  <c r="O29" i="2"/>
  <c r="P29" i="2" s="1"/>
  <c r="O294" i="2"/>
  <c r="P294" i="2" s="1"/>
  <c r="O31" i="2"/>
  <c r="P31" i="2" s="1"/>
  <c r="R60" i="2"/>
  <c r="R151" i="2"/>
  <c r="S151" i="2" s="1"/>
  <c r="R341" i="2"/>
  <c r="O342" i="2"/>
  <c r="P342" i="2" s="1"/>
  <c r="R26" i="2"/>
  <c r="O61" i="2"/>
  <c r="P61" i="2" s="1"/>
  <c r="O311" i="2"/>
  <c r="P311" i="2" s="1"/>
  <c r="O239" i="2"/>
  <c r="P239" i="2" s="1"/>
  <c r="R333" i="2"/>
  <c r="R125" i="2"/>
  <c r="S125" i="2" s="1"/>
  <c r="O369" i="2"/>
  <c r="P369" i="2" s="1"/>
  <c r="R254" i="2"/>
  <c r="R313" i="2"/>
  <c r="O130" i="2"/>
  <c r="P130" i="2" s="1"/>
  <c r="O289" i="2"/>
  <c r="P289" i="2" s="1"/>
  <c r="R123" i="2"/>
  <c r="R35" i="2"/>
  <c r="O399" i="2"/>
  <c r="P399" i="2" s="1"/>
  <c r="O179" i="2"/>
  <c r="P179" i="2" s="1"/>
  <c r="R32" i="2"/>
  <c r="O432" i="2"/>
  <c r="P432" i="2" s="1"/>
  <c r="R148" i="2"/>
  <c r="S148" i="2" s="1"/>
  <c r="O63" i="2"/>
  <c r="R195" i="2"/>
  <c r="R323" i="2"/>
  <c r="R80" i="2"/>
  <c r="S80" i="2" s="1"/>
  <c r="O149" i="2"/>
  <c r="P149" i="2" s="1"/>
  <c r="O325" i="2"/>
  <c r="P325" i="2" s="1"/>
  <c r="R208" i="2"/>
  <c r="R142" i="2"/>
  <c r="S142" i="2" s="1"/>
  <c r="O267" i="2"/>
  <c r="P267" i="2" s="1"/>
  <c r="O196" i="2"/>
  <c r="P196" i="2" s="1"/>
  <c r="O120" i="2"/>
  <c r="P120" i="2" s="1"/>
  <c r="R117" i="2"/>
  <c r="S117" i="2" s="1"/>
  <c r="O368" i="2"/>
  <c r="P368" i="2" s="1"/>
  <c r="R331" i="2"/>
  <c r="R155" i="2"/>
  <c r="R319" i="2"/>
  <c r="S319" i="2" s="1"/>
  <c r="R144" i="2"/>
  <c r="R247" i="2"/>
  <c r="R23" i="2"/>
  <c r="O114" i="2"/>
  <c r="P114" i="2" s="1"/>
  <c r="O48" i="2"/>
  <c r="P48" i="2" s="1"/>
  <c r="R409" i="2"/>
  <c r="R109" i="2"/>
  <c r="O235" i="2"/>
  <c r="P235" i="2" s="1"/>
  <c r="O176" i="2"/>
  <c r="P176" i="2" s="1"/>
  <c r="O307" i="2"/>
  <c r="O222" i="2"/>
  <c r="P222" i="2" s="1"/>
  <c r="R143" i="2"/>
  <c r="S143" i="2" s="1"/>
  <c r="O156" i="2"/>
  <c r="P156" i="2" s="1"/>
  <c r="R431" i="2"/>
  <c r="O306" i="2"/>
  <c r="P306" i="2" s="1"/>
  <c r="R76" i="2"/>
  <c r="S76" i="2" s="1"/>
  <c r="O364" i="2"/>
  <c r="P364" i="2" s="1"/>
  <c r="O412" i="2"/>
  <c r="P412" i="2" s="1"/>
  <c r="O358" i="2"/>
  <c r="P358" i="2" s="1"/>
  <c r="R384" i="2"/>
  <c r="S384" i="2" s="1"/>
  <c r="O277" i="2"/>
  <c r="P277" i="2" s="1"/>
  <c r="O65" i="2"/>
  <c r="P65" i="2" s="1"/>
  <c r="O423" i="2"/>
  <c r="P423" i="2" s="1"/>
  <c r="R227" i="2"/>
  <c r="S227" i="2" s="1"/>
  <c r="R346" i="2"/>
  <c r="R414" i="2"/>
  <c r="R200" i="2"/>
  <c r="O49" i="2"/>
  <c r="P49" i="2" s="1"/>
  <c r="R196" i="2"/>
  <c r="O248" i="2"/>
  <c r="R372" i="2"/>
  <c r="O356" i="2"/>
  <c r="R286" i="2"/>
  <c r="R398" i="2"/>
  <c r="R418" i="2"/>
  <c r="O303" i="2"/>
  <c r="P303" i="2" s="1"/>
  <c r="R250" i="2"/>
  <c r="O301" i="2"/>
  <c r="P301" i="2" s="1"/>
  <c r="O228" i="2"/>
  <c r="P228" i="2" s="1"/>
  <c r="O405" i="2"/>
  <c r="P405" i="2" s="1"/>
  <c r="R332" i="2"/>
  <c r="R259" i="2"/>
  <c r="O46" i="2"/>
  <c r="R150" i="2"/>
  <c r="S150" i="2" s="1"/>
  <c r="R248" i="2"/>
  <c r="R366" i="2"/>
  <c r="O242" i="2"/>
  <c r="P242" i="2" s="1"/>
  <c r="O391" i="2"/>
  <c r="P391" i="2" s="1"/>
  <c r="R241" i="2"/>
  <c r="O295" i="2"/>
  <c r="P295" i="2" s="1"/>
  <c r="O377" i="2"/>
  <c r="P377" i="2" s="1"/>
  <c r="R17" i="2"/>
  <c r="S17" i="2" s="1"/>
  <c r="R337" i="2"/>
  <c r="R306" i="2"/>
  <c r="R161" i="2"/>
  <c r="R48" i="2"/>
  <c r="S48" i="2" s="1"/>
  <c r="R51" i="2"/>
  <c r="R253" i="2"/>
  <c r="R61" i="2"/>
  <c r="R104" i="2"/>
  <c r="S104" i="2" s="1"/>
  <c r="R62" i="2"/>
  <c r="R119" i="2"/>
  <c r="S119" i="2" s="1"/>
  <c r="R70" i="2"/>
  <c r="R266" i="2"/>
  <c r="S266" i="2" s="1"/>
  <c r="R423" i="2"/>
  <c r="R283" i="2"/>
  <c r="S283" i="2" s="1"/>
  <c r="R64" i="2"/>
  <c r="R349" i="2"/>
  <c r="S349" i="2" s="1"/>
  <c r="R377" i="2"/>
  <c r="R310" i="2"/>
  <c r="R231" i="2"/>
  <c r="R342" i="2"/>
  <c r="S342" i="2" s="1"/>
  <c r="R402" i="2"/>
  <c r="R186" i="2"/>
  <c r="S186" i="2" s="1"/>
  <c r="R287" i="2"/>
  <c r="R221" i="2"/>
  <c r="S221" i="2" s="1"/>
  <c r="R374" i="2"/>
  <c r="R415" i="2"/>
  <c r="R361" i="2"/>
  <c r="R421" i="2"/>
  <c r="S421" i="2" s="1"/>
  <c r="R65" i="2"/>
  <c r="R212" i="2"/>
  <c r="S212" i="2" s="1"/>
  <c r="R187" i="2"/>
  <c r="R370" i="2"/>
  <c r="S370" i="2" s="1"/>
  <c r="R308" i="2"/>
  <c r="R108" i="2"/>
  <c r="S108" i="2" s="1"/>
  <c r="R257" i="2"/>
  <c r="R380" i="2"/>
  <c r="S380" i="2" s="1"/>
  <c r="R343" i="2"/>
  <c r="R178" i="2"/>
  <c r="R373" i="2"/>
  <c r="R215" i="2"/>
  <c r="S215" i="2" s="1"/>
  <c r="R327" i="2"/>
  <c r="R278" i="2"/>
  <c r="R272" i="2"/>
  <c r="R330" i="2"/>
  <c r="S330" i="2" s="1"/>
  <c r="R199" i="2"/>
  <c r="R177" i="2"/>
  <c r="R280" i="2"/>
  <c r="R311" i="2"/>
  <c r="S311" i="2" s="1"/>
  <c r="R390" i="2"/>
  <c r="R428" i="2"/>
  <c r="R116" i="2"/>
  <c r="R321" i="2"/>
  <c r="S321" i="2" s="1"/>
  <c r="R406" i="2"/>
  <c r="R350" i="2"/>
  <c r="R328" i="2"/>
  <c r="R232" i="2"/>
  <c r="S232" i="2" s="1"/>
  <c r="R49" i="2"/>
  <c r="R82" i="2"/>
  <c r="O192" i="2"/>
  <c r="P192" i="2" s="1"/>
  <c r="O429" i="2"/>
  <c r="P429" i="2" s="1"/>
  <c r="O322" i="2"/>
  <c r="P322" i="2" s="1"/>
  <c r="R107" i="2"/>
  <c r="R226" i="2"/>
  <c r="R59" i="2"/>
  <c r="S59" i="2" s="1"/>
  <c r="R189" i="2"/>
  <c r="O127" i="2"/>
  <c r="P127" i="2" s="1"/>
  <c r="O122" i="2"/>
  <c r="P122" i="2" s="1"/>
  <c r="R348" i="2"/>
  <c r="S348" i="2" s="1"/>
  <c r="R427" i="2"/>
  <c r="R419" i="2"/>
  <c r="R71" i="2"/>
  <c r="O36" i="2"/>
  <c r="P36" i="2" s="1"/>
  <c r="O336" i="2"/>
  <c r="P336" i="2" s="1"/>
  <c r="R105" i="2"/>
  <c r="R190" i="2"/>
  <c r="R90" i="2"/>
  <c r="S90" i="2" s="1"/>
  <c r="O259" i="2"/>
  <c r="P259" i="2" s="1"/>
  <c r="R239" i="2"/>
  <c r="R315" i="2"/>
  <c r="R379" i="2"/>
  <c r="S379" i="2" s="1"/>
  <c r="R191" i="2"/>
  <c r="R246" i="2"/>
  <c r="R114" i="2"/>
  <c r="R134" i="2"/>
  <c r="S134" i="2" s="1"/>
  <c r="R83" i="2"/>
  <c r="R265" i="2"/>
  <c r="O309" i="2"/>
  <c r="P309" i="2" s="1"/>
  <c r="R407" i="2"/>
  <c r="S407" i="2" s="1"/>
  <c r="R260" i="2"/>
  <c r="R209" i="2"/>
  <c r="R38" i="2"/>
  <c r="R334" i="2"/>
  <c r="S334" i="2" s="1"/>
  <c r="O355" i="2"/>
  <c r="P355" i="2" s="1"/>
  <c r="R98" i="2"/>
  <c r="S98" i="2" s="1"/>
  <c r="R112" i="2"/>
  <c r="O75" i="2"/>
  <c r="O128" i="2"/>
  <c r="P128" i="2" s="1"/>
  <c r="O78" i="2"/>
  <c r="R45" i="2"/>
  <c r="R411" i="2"/>
  <c r="S411" i="2" s="1"/>
  <c r="O221" i="2"/>
  <c r="P221" i="2" s="1"/>
  <c r="O400" i="2"/>
  <c r="P400" i="2" s="1"/>
  <c r="R318" i="2"/>
  <c r="R424" i="2"/>
  <c r="S424" i="2" s="1"/>
  <c r="R139" i="2"/>
  <c r="O380" i="2"/>
  <c r="P380" i="2" s="1"/>
  <c r="O413" i="2"/>
  <c r="P413" i="2" s="1"/>
  <c r="O310" i="2"/>
  <c r="P310" i="2" s="1"/>
  <c r="O308" i="2"/>
  <c r="P308" i="2" s="1"/>
  <c r="R33" i="2"/>
  <c r="S33" i="2" s="1"/>
  <c r="R401" i="2"/>
  <c r="O244" i="2"/>
  <c r="P244" i="2" s="1"/>
  <c r="R425" i="2"/>
  <c r="O312" i="2"/>
  <c r="P312" i="2" s="1"/>
  <c r="O367" i="2"/>
  <c r="O351" i="2"/>
  <c r="P351" i="2" s="1"/>
  <c r="R295" i="2"/>
  <c r="R202" i="2"/>
  <c r="S202" i="2" s="1"/>
  <c r="O24" i="2"/>
  <c r="P24" i="2" s="1"/>
  <c r="R19" i="2"/>
  <c r="S19" i="2" s="1"/>
  <c r="R281" i="2"/>
  <c r="O233" i="2"/>
  <c r="P233" i="2" s="1"/>
  <c r="R375" i="2"/>
  <c r="R41" i="2"/>
  <c r="S41" i="2" s="1"/>
  <c r="R118" i="2"/>
  <c r="O129" i="2"/>
  <c r="P129" i="2" s="1"/>
  <c r="R296" i="2"/>
  <c r="O360" i="2"/>
  <c r="P360" i="2" s="1"/>
  <c r="O287" i="2"/>
  <c r="P287" i="2" s="1"/>
  <c r="R336" i="2"/>
  <c r="S336" i="2" s="1"/>
  <c r="R288" i="2"/>
  <c r="O434" i="2"/>
  <c r="P434" i="2" s="1"/>
  <c r="R397" i="2"/>
  <c r="O379" i="2"/>
  <c r="P379" i="2" s="1"/>
  <c r="R261" i="2"/>
  <c r="S261" i="2" s="1"/>
  <c r="R171" i="2"/>
  <c r="S171" i="2" s="1"/>
  <c r="R88" i="2"/>
  <c r="R430" i="2"/>
  <c r="R262" i="2"/>
  <c r="S262" i="2" s="1"/>
  <c r="R389" i="2"/>
  <c r="S389" i="2" s="1"/>
  <c r="O83" i="2"/>
  <c r="P83" i="2" s="1"/>
  <c r="R309" i="2"/>
  <c r="S309" i="2" s="1"/>
  <c r="R30" i="2"/>
  <c r="R25" i="2"/>
  <c r="S25" i="2" s="1"/>
  <c r="O324" i="2"/>
  <c r="P324" i="2" s="1"/>
  <c r="R267" i="2"/>
  <c r="S267" i="2" s="1"/>
  <c r="R137" i="2"/>
  <c r="S137" i="2" s="1"/>
  <c r="O375" i="2"/>
  <c r="P375" i="2" s="1"/>
  <c r="O41" i="2"/>
  <c r="O118" i="2"/>
  <c r="P118" i="2" s="1"/>
  <c r="R129" i="2"/>
  <c r="O296" i="2"/>
  <c r="R360" i="2"/>
  <c r="R36" i="2"/>
  <c r="S36" i="2" s="1"/>
  <c r="O162" i="2"/>
  <c r="P162" i="2" s="1"/>
  <c r="O332" i="2"/>
  <c r="P332" i="2" s="1"/>
  <c r="R46" i="2"/>
  <c r="R434" i="2"/>
  <c r="S434" i="2" s="1"/>
  <c r="O279" i="2"/>
  <c r="P279" i="2" s="1"/>
  <c r="O191" i="2"/>
  <c r="P191" i="2" s="1"/>
  <c r="O50" i="2"/>
  <c r="P50" i="2" s="1"/>
  <c r="R422" i="2"/>
  <c r="O69" i="2"/>
  <c r="O366" i="2"/>
  <c r="P366" i="2" s="1"/>
  <c r="R438" i="2"/>
  <c r="O42" i="2"/>
  <c r="P42" i="2" s="1"/>
  <c r="R39" i="2"/>
  <c r="S39" i="2" s="1"/>
  <c r="R50" i="2"/>
  <c r="S50" i="2" s="1"/>
  <c r="O422" i="2"/>
  <c r="P422" i="2" s="1"/>
  <c r="R69" i="2"/>
  <c r="S69" i="2" s="1"/>
  <c r="R353" i="2"/>
  <c r="S353" i="2" s="1"/>
  <c r="R242" i="2"/>
  <c r="S242" i="2" s="1"/>
  <c r="R42" i="2"/>
  <c r="S42" i="2" s="1"/>
  <c r="R324" i="2"/>
  <c r="S324" i="2" s="1"/>
  <c r="O260" i="2"/>
  <c r="P260" i="2" s="1"/>
  <c r="O39" i="2"/>
  <c r="P39" i="2" s="1"/>
  <c r="S155" i="2"/>
  <c r="S34" i="2"/>
  <c r="S189" i="2"/>
  <c r="S293" i="2"/>
  <c r="S433" i="2"/>
  <c r="S431" i="2"/>
  <c r="S157" i="2"/>
  <c r="S140" i="2"/>
  <c r="S195" i="2"/>
  <c r="S359" i="2"/>
  <c r="S281" i="2"/>
  <c r="S366" i="2"/>
  <c r="S54" i="2"/>
  <c r="S244" i="2"/>
  <c r="S238" i="2"/>
  <c r="S339" i="2"/>
  <c r="S120" i="2"/>
  <c r="S97" i="2"/>
  <c r="S265" i="2"/>
  <c r="S322" i="2"/>
  <c r="S347" i="2"/>
  <c r="S329" i="2"/>
  <c r="S75" i="2"/>
  <c r="S251" i="2"/>
  <c r="S402" i="2"/>
  <c r="S296" i="2"/>
  <c r="S20" i="2"/>
  <c r="S209" i="2"/>
  <c r="S183" i="2"/>
  <c r="S199" i="2"/>
  <c r="S62" i="2"/>
  <c r="S190" i="2"/>
  <c r="S185" i="2"/>
  <c r="S300" i="2"/>
  <c r="S371" i="2"/>
  <c r="S310" i="2"/>
  <c r="S105" i="2"/>
  <c r="S273" i="2"/>
  <c r="S333" i="2"/>
  <c r="S350" i="2"/>
  <c r="S163" i="2"/>
  <c r="S231" i="2"/>
  <c r="S291" i="2"/>
  <c r="S141" i="2"/>
  <c r="S277" i="2"/>
  <c r="S428" i="2"/>
  <c r="S38" i="2"/>
  <c r="S166" i="2"/>
  <c r="S206" i="2"/>
  <c r="S121" i="2"/>
  <c r="S343" i="2"/>
  <c r="S239" i="2"/>
  <c r="S323" i="2"/>
  <c r="S149" i="2"/>
  <c r="S126" i="2"/>
  <c r="S436" i="2"/>
  <c r="S46" i="2"/>
  <c r="S174" i="2"/>
  <c r="S222" i="2"/>
  <c r="S132" i="2"/>
  <c r="S408" i="2"/>
  <c r="S138" i="2"/>
  <c r="S295" i="2"/>
  <c r="S302" i="2"/>
  <c r="S301" i="2"/>
  <c r="S413" i="2"/>
  <c r="S367" i="2"/>
  <c r="S85" i="2"/>
  <c r="S362" i="2"/>
  <c r="S89" i="2"/>
  <c r="S381" i="2"/>
  <c r="S393" i="2"/>
  <c r="S26" i="2"/>
  <c r="S364" i="2"/>
  <c r="S320" i="2"/>
  <c r="S40" i="2"/>
  <c r="S217" i="2"/>
  <c r="S332" i="2"/>
  <c r="S116" i="2"/>
  <c r="P320" i="2"/>
  <c r="S74" i="2"/>
  <c r="S139" i="2"/>
  <c r="S154" i="2"/>
  <c r="S378" i="2"/>
  <c r="S260" i="2"/>
  <c r="S61" i="2"/>
  <c r="S106" i="2"/>
  <c r="S356" i="2"/>
  <c r="S405" i="2"/>
  <c r="S297" i="2"/>
  <c r="S130" i="2"/>
  <c r="S103" i="2"/>
  <c r="S271" i="2"/>
  <c r="S422" i="2"/>
  <c r="S305" i="2"/>
  <c r="S176" i="2"/>
  <c r="S237" i="2"/>
  <c r="S226" i="2"/>
  <c r="S162" i="2"/>
  <c r="S223" i="2"/>
  <c r="S123" i="2"/>
  <c r="S318" i="2"/>
  <c r="S84" i="2"/>
  <c r="S285" i="2"/>
  <c r="S388" i="2"/>
  <c r="S368" i="2"/>
  <c r="S279" i="2"/>
  <c r="S341" i="2"/>
  <c r="S430" i="2"/>
  <c r="S208" i="2"/>
  <c r="S56" i="2"/>
  <c r="S184" i="2"/>
  <c r="S249" i="2"/>
  <c r="S280" i="2"/>
  <c r="S294" i="2"/>
  <c r="S170" i="2"/>
  <c r="S214" i="2"/>
  <c r="S352" i="2"/>
  <c r="S113" i="2"/>
  <c r="S338" i="2"/>
  <c r="S374" i="2"/>
  <c r="S23" i="2"/>
  <c r="S278" i="2"/>
  <c r="S145" i="2"/>
  <c r="S110" i="2"/>
  <c r="S312" i="2"/>
  <c r="S178" i="2"/>
  <c r="S129" i="2"/>
  <c r="S252" i="2"/>
  <c r="S31" i="2"/>
  <c r="S235" i="2"/>
  <c r="S307" i="2"/>
  <c r="S153" i="2"/>
  <c r="S432" i="2"/>
  <c r="S357" i="2"/>
  <c r="S437" i="2"/>
  <c r="S351" i="2"/>
  <c r="S81" i="2"/>
  <c r="S400" i="2"/>
  <c r="S146" i="2"/>
  <c r="S423" i="2"/>
  <c r="S306" i="2"/>
  <c r="S391" i="2"/>
  <c r="S385" i="2"/>
  <c r="S28" i="2"/>
  <c r="S55" i="2"/>
  <c r="S160" i="2"/>
  <c r="S225" i="2"/>
  <c r="S51" i="2"/>
  <c r="S164" i="2"/>
  <c r="S270" i="2"/>
  <c r="S210" i="2"/>
  <c r="S268" i="2"/>
  <c r="S70" i="2"/>
  <c r="S177" i="2"/>
  <c r="S21" i="2"/>
  <c r="S229" i="2"/>
  <c r="S82" i="2"/>
  <c r="S275" i="2"/>
  <c r="S426" i="2"/>
  <c r="S44" i="2"/>
  <c r="S218" i="2"/>
  <c r="S377" i="2"/>
  <c r="S71" i="2"/>
  <c r="S287" i="2"/>
  <c r="S425" i="2"/>
  <c r="S161" i="2"/>
  <c r="S419" i="2"/>
  <c r="S118" i="2"/>
  <c r="S52" i="2"/>
  <c r="S180" i="2"/>
  <c r="S234" i="2"/>
  <c r="S403" i="2"/>
  <c r="S79" i="2"/>
  <c r="S298" i="2"/>
  <c r="S169" i="2"/>
  <c r="S213" i="2"/>
  <c r="S415" i="2"/>
  <c r="S83" i="2"/>
  <c r="S91" i="2"/>
  <c r="S115" i="2"/>
  <c r="S93" i="2"/>
  <c r="S412" i="2"/>
  <c r="S86" i="2"/>
  <c r="S211" i="2"/>
  <c r="S216" i="2"/>
  <c r="S144" i="2"/>
  <c r="S372" i="2"/>
  <c r="S35" i="2"/>
  <c r="S346" i="2"/>
  <c r="S344" i="2"/>
  <c r="S269" i="2"/>
  <c r="S331" i="2"/>
  <c r="S175" i="2"/>
  <c r="S383" i="2"/>
  <c r="S24" i="2"/>
  <c r="S181" i="2"/>
  <c r="S314" i="2"/>
  <c r="S49" i="2"/>
  <c r="S68" i="2"/>
  <c r="S95" i="2"/>
  <c r="S360" i="2"/>
  <c r="S258" i="2"/>
  <c r="S197" i="2"/>
  <c r="S438" i="2"/>
  <c r="S397" i="2"/>
  <c r="S100" i="2"/>
  <c r="S203" i="2"/>
  <c r="S156" i="2"/>
  <c r="S386" i="2"/>
  <c r="S409" i="2"/>
  <c r="S173" i="2"/>
  <c r="P350" i="2"/>
  <c r="S335" i="2"/>
  <c r="S427" i="2"/>
  <c r="S299" i="2"/>
  <c r="S167" i="2"/>
  <c r="S373" i="2"/>
  <c r="S399" i="2"/>
  <c r="S114" i="2"/>
  <c r="S193" i="2"/>
  <c r="S127" i="2"/>
  <c r="S316" i="2"/>
  <c r="S241" i="2"/>
  <c r="S247" i="2"/>
  <c r="S158" i="2"/>
  <c r="S398" i="2"/>
  <c r="S88" i="2"/>
  <c r="S290" i="2"/>
  <c r="S315" i="2"/>
  <c r="S410" i="2"/>
  <c r="S133" i="2"/>
  <c r="S102" i="2"/>
  <c r="S406" i="2"/>
  <c r="S224" i="2"/>
  <c r="S325" i="2"/>
  <c r="S53" i="2"/>
  <c r="S263" i="2"/>
  <c r="S72" i="2"/>
  <c r="S187" i="2"/>
  <c r="S396" i="2"/>
  <c r="S96" i="2"/>
  <c r="S253" i="2"/>
  <c r="S107" i="2"/>
  <c r="S328" i="2"/>
  <c r="S286" i="2"/>
  <c r="S168" i="2"/>
  <c r="S228" i="2"/>
  <c r="S361" i="2"/>
  <c r="P304" i="2"/>
  <c r="P282" i="2"/>
  <c r="P307" i="2"/>
  <c r="P388" i="2"/>
  <c r="P139" i="2"/>
  <c r="P370" i="2"/>
  <c r="S29" i="2"/>
  <c r="S22" i="2"/>
  <c r="S204" i="2"/>
  <c r="S365" i="2"/>
  <c r="S101" i="2"/>
  <c r="S288" i="2"/>
  <c r="S45" i="2"/>
  <c r="S255" i="2"/>
  <c r="S308" i="2"/>
  <c r="S245" i="2"/>
  <c r="S200" i="2"/>
  <c r="S92" i="2"/>
  <c r="S159" i="2"/>
  <c r="S401" i="2"/>
  <c r="S304" i="2"/>
  <c r="P371" i="2"/>
  <c r="P383" i="2"/>
  <c r="P203" i="2"/>
  <c r="P60" i="2"/>
  <c r="P109" i="2"/>
  <c r="P56" i="2"/>
  <c r="P319" i="2"/>
  <c r="P200" i="2"/>
  <c r="P126" i="2"/>
  <c r="P392" i="2"/>
  <c r="P169" i="2"/>
  <c r="P205" i="2"/>
  <c r="P230" i="2"/>
  <c r="P146" i="2"/>
  <c r="P22" i="2"/>
  <c r="P154" i="2"/>
  <c r="P104" i="2"/>
  <c r="P234" i="2"/>
  <c r="P41" i="2"/>
  <c r="P189" i="2"/>
  <c r="P237" i="2"/>
  <c r="P186" i="2"/>
  <c r="P278" i="2"/>
  <c r="P224" i="2"/>
  <c r="P409" i="2"/>
  <c r="P158" i="2"/>
  <c r="P343" i="2"/>
  <c r="S109" i="2"/>
  <c r="S284" i="2"/>
  <c r="S233" i="2"/>
  <c r="S135" i="2"/>
  <c r="S387" i="2"/>
  <c r="S327" i="2"/>
  <c r="S243" i="2"/>
  <c r="S58" i="2"/>
  <c r="S292" i="2"/>
  <c r="S66" i="2"/>
  <c r="S196" i="2"/>
  <c r="S337" i="2"/>
  <c r="S207" i="2"/>
  <c r="S254" i="2"/>
  <c r="S191" i="2"/>
  <c r="P314" i="2"/>
  <c r="P80" i="2"/>
  <c r="P143" i="2"/>
  <c r="P77" i="2"/>
  <c r="P378" i="2"/>
  <c r="P302" i="2"/>
  <c r="P344" i="2"/>
  <c r="S355" i="2"/>
  <c r="S124" i="2"/>
  <c r="S313" i="2"/>
  <c r="S420" i="2"/>
  <c r="S363" i="2"/>
  <c r="S99" i="2"/>
  <c r="S414" i="2"/>
  <c r="S257" i="2"/>
  <c r="S63" i="2"/>
  <c r="P84" i="2"/>
  <c r="P124" i="2"/>
  <c r="P252" i="2"/>
  <c r="P199" i="2"/>
  <c r="P349" i="2"/>
  <c r="P136" i="2"/>
  <c r="P93" i="2"/>
  <c r="P269" i="2"/>
  <c r="P420" i="2"/>
  <c r="P21" i="2"/>
  <c r="P168" i="2"/>
  <c r="P248" i="2"/>
  <c r="P374" i="2"/>
  <c r="P273" i="2"/>
  <c r="P105" i="2"/>
  <c r="P331" i="2"/>
  <c r="P152" i="2"/>
  <c r="P425" i="2"/>
  <c r="P153" i="2"/>
  <c r="P67" i="2"/>
  <c r="P202" i="2"/>
  <c r="P367" i="2"/>
  <c r="P271" i="2"/>
  <c r="P246" i="2"/>
  <c r="P211" i="2"/>
  <c r="S112" i="2"/>
  <c r="S390" i="2"/>
  <c r="S194" i="2"/>
  <c r="S30" i="2"/>
  <c r="S375" i="2"/>
  <c r="S87" i="2"/>
  <c r="S418" i="2"/>
  <c r="S57" i="2"/>
  <c r="S246" i="2"/>
  <c r="S43" i="2"/>
  <c r="P339" i="2"/>
  <c r="P330" i="2"/>
  <c r="P78" i="2"/>
  <c r="P334" i="2"/>
  <c r="P134" i="2"/>
  <c r="S111" i="2"/>
  <c r="S274" i="2"/>
  <c r="S236" i="2"/>
  <c r="S201" i="2"/>
  <c r="S78" i="2"/>
  <c r="P161" i="2"/>
  <c r="P227" i="2"/>
  <c r="P108" i="2"/>
  <c r="P125" i="2"/>
  <c r="P86" i="2"/>
  <c r="P98" i="2"/>
  <c r="P103" i="2"/>
  <c r="P131" i="2"/>
  <c r="P33" i="2"/>
  <c r="P69" i="2"/>
  <c r="P151" i="2"/>
  <c r="P338" i="2"/>
  <c r="P410" i="2"/>
  <c r="P421" i="2"/>
  <c r="P62" i="2"/>
  <c r="P281" i="2"/>
  <c r="P79" i="2"/>
  <c r="P63" i="2"/>
  <c r="P87" i="2"/>
  <c r="S358" i="2"/>
  <c r="S37" i="2"/>
  <c r="S60" i="2"/>
  <c r="S404" i="2"/>
  <c r="S272" i="2"/>
  <c r="P219" i="2"/>
  <c r="P206" i="2"/>
  <c r="P201" i="2"/>
  <c r="P395" i="2"/>
  <c r="P178" i="2"/>
  <c r="P73" i="2"/>
  <c r="P356" i="2"/>
  <c r="P57" i="2"/>
  <c r="P132" i="2"/>
  <c r="P91" i="2"/>
  <c r="P268" i="2"/>
  <c r="P276" i="2"/>
  <c r="P428" i="2"/>
  <c r="P54" i="2"/>
  <c r="P157" i="2"/>
  <c r="S65" i="2"/>
  <c r="S64" i="2"/>
  <c r="S32" i="2"/>
  <c r="P362" i="2"/>
  <c r="P70" i="2"/>
  <c r="P46" i="2"/>
  <c r="P193" i="2"/>
  <c r="P403" i="2"/>
  <c r="P250" i="2"/>
  <c r="S248" i="2"/>
  <c r="S250" i="2"/>
  <c r="S376" i="2"/>
  <c r="P296" i="2"/>
  <c r="S27" i="2"/>
  <c r="S219" i="2"/>
  <c r="S416" i="2"/>
  <c r="P75" i="2"/>
  <c r="P112" i="2"/>
  <c r="P207" i="2"/>
  <c r="P348" i="2"/>
  <c r="P213" i="2"/>
  <c r="P140" i="2"/>
  <c r="S317" i="2"/>
  <c r="S259" i="2"/>
  <c r="S136" i="2"/>
  <c r="P111" i="2"/>
  <c r="P30" i="2"/>
  <c r="P337" i="2"/>
  <c r="P184" i="2"/>
  <c r="P142" i="2"/>
  <c r="P119" i="2"/>
  <c r="P297" i="2"/>
  <c r="P353" i="2"/>
  <c r="P249" i="2"/>
  <c r="P44" i="2"/>
  <c r="P64" i="2"/>
  <c r="T147" i="2" l="1"/>
  <c r="E17" i="2"/>
  <c r="B17" i="2" s="1"/>
  <c r="E141" i="2"/>
  <c r="B141" i="2" s="1"/>
  <c r="T141" i="2"/>
  <c r="E297" i="2"/>
  <c r="B297" i="2" s="1"/>
  <c r="T297" i="2"/>
  <c r="E23" i="2"/>
  <c r="B23" i="2" s="1"/>
  <c r="T23" i="2"/>
  <c r="E111" i="2"/>
  <c r="B111" i="2" s="1"/>
  <c r="T111" i="2"/>
  <c r="E99" i="2"/>
  <c r="B99" i="2" s="1"/>
  <c r="T99" i="2"/>
  <c r="E312" i="2"/>
  <c r="B312" i="2" s="1"/>
  <c r="T312" i="2"/>
  <c r="E179" i="2"/>
  <c r="B179" i="2" s="1"/>
  <c r="T179" i="2"/>
  <c r="E250" i="2"/>
  <c r="B250" i="2" s="1"/>
  <c r="T250" i="2"/>
  <c r="E259" i="2"/>
  <c r="B259" i="2" s="1"/>
  <c r="T259" i="2"/>
  <c r="E287" i="2"/>
  <c r="B287" i="2" s="1"/>
  <c r="T287" i="2"/>
  <c r="E25" i="2"/>
  <c r="B25" i="2" s="1"/>
  <c r="T25" i="2"/>
  <c r="E313" i="2"/>
  <c r="B313" i="2" s="1"/>
  <c r="T313" i="2"/>
  <c r="E428" i="2"/>
  <c r="B428" i="2" s="1"/>
  <c r="T428" i="2"/>
  <c r="E209" i="2"/>
  <c r="B209" i="2" s="1"/>
  <c r="T209" i="2"/>
  <c r="E356" i="2"/>
  <c r="B356" i="2" s="1"/>
  <c r="T356" i="2"/>
  <c r="E422" i="2"/>
  <c r="B422" i="2" s="1"/>
  <c r="T422" i="2"/>
  <c r="E316" i="2"/>
  <c r="B316" i="2" s="1"/>
  <c r="T316" i="2"/>
  <c r="E129" i="2"/>
  <c r="B129" i="2" s="1"/>
  <c r="T129" i="2"/>
  <c r="E229" i="2"/>
  <c r="B229" i="2" s="1"/>
  <c r="T229" i="2"/>
  <c r="E338" i="2"/>
  <c r="B338" i="2" s="1"/>
  <c r="T338" i="2"/>
  <c r="E187" i="2"/>
  <c r="B187" i="2" s="1"/>
  <c r="T187" i="2"/>
  <c r="E159" i="2"/>
  <c r="B159" i="2" s="1"/>
  <c r="T159" i="2"/>
  <c r="E336" i="2"/>
  <c r="B336" i="2" s="1"/>
  <c r="T336" i="2"/>
  <c r="E328" i="2"/>
  <c r="B328" i="2" s="1"/>
  <c r="T328" i="2"/>
  <c r="E265" i="2"/>
  <c r="B265" i="2" s="1"/>
  <c r="T265" i="2"/>
  <c r="E355" i="2"/>
  <c r="B355" i="2" s="1"/>
  <c r="T355" i="2"/>
  <c r="E173" i="2"/>
  <c r="B173" i="2" s="1"/>
  <c r="T173" i="2"/>
  <c r="E437" i="2"/>
  <c r="B437" i="2" s="1"/>
  <c r="T437" i="2"/>
  <c r="E436" i="2"/>
  <c r="B436" i="2" s="1"/>
  <c r="T436" i="2"/>
  <c r="E43" i="2"/>
  <c r="B43" i="2" s="1"/>
  <c r="T43" i="2"/>
  <c r="E374" i="2"/>
  <c r="B374" i="2" s="1"/>
  <c r="T374" i="2"/>
  <c r="E413" i="2"/>
  <c r="B413" i="2" s="1"/>
  <c r="T413" i="2"/>
  <c r="E136" i="2"/>
  <c r="B136" i="2" s="1"/>
  <c r="T136" i="2"/>
  <c r="E124" i="2"/>
  <c r="B124" i="2" s="1"/>
  <c r="T124" i="2"/>
  <c r="E133" i="2"/>
  <c r="B133" i="2" s="1"/>
  <c r="T133" i="2"/>
  <c r="E404" i="2"/>
  <c r="B404" i="2" s="1"/>
  <c r="T404" i="2"/>
  <c r="E192" i="2"/>
  <c r="B192" i="2" s="1"/>
  <c r="T192" i="2"/>
  <c r="E238" i="2"/>
  <c r="B238" i="2" s="1"/>
  <c r="T238" i="2"/>
  <c r="E224" i="2"/>
  <c r="B224" i="2" s="1"/>
  <c r="T224" i="2"/>
  <c r="E120" i="2"/>
  <c r="B120" i="2" s="1"/>
  <c r="T120" i="2"/>
  <c r="E197" i="2"/>
  <c r="B197" i="2" s="1"/>
  <c r="T197" i="2"/>
  <c r="E400" i="2"/>
  <c r="B400" i="2" s="1"/>
  <c r="T400" i="2"/>
  <c r="E29" i="2"/>
  <c r="B29" i="2" s="1"/>
  <c r="T29" i="2"/>
  <c r="E381" i="2"/>
  <c r="B381" i="2" s="1"/>
  <c r="T381" i="2"/>
  <c r="E200" i="2"/>
  <c r="B200" i="2" s="1"/>
  <c r="T200" i="2"/>
  <c r="E109" i="2"/>
  <c r="B109" i="2" s="1"/>
  <c r="T109" i="2"/>
  <c r="E383" i="2"/>
  <c r="B383" i="2" s="1"/>
  <c r="T383" i="2"/>
  <c r="E165" i="2"/>
  <c r="B165" i="2" s="1"/>
  <c r="T165" i="2"/>
  <c r="E389" i="2"/>
  <c r="B389" i="2" s="1"/>
  <c r="T389" i="2"/>
  <c r="E307" i="2"/>
  <c r="B307" i="2" s="1"/>
  <c r="T307" i="2"/>
  <c r="E304" i="2"/>
  <c r="B304" i="2" s="1"/>
  <c r="T304" i="2"/>
  <c r="E263" i="2"/>
  <c r="B263" i="2" s="1"/>
  <c r="T263" i="2"/>
  <c r="E376" i="2"/>
  <c r="B376" i="2" s="1"/>
  <c r="T376" i="2"/>
  <c r="E64" i="2"/>
  <c r="B64" i="2" s="1"/>
  <c r="T64" i="2"/>
  <c r="E100" i="2"/>
  <c r="B100" i="2" s="1"/>
  <c r="T100" i="2"/>
  <c r="E30" i="2"/>
  <c r="B30" i="2" s="1"/>
  <c r="T30" i="2"/>
  <c r="E245" i="2"/>
  <c r="B245" i="2" s="1"/>
  <c r="T245" i="2"/>
  <c r="E59" i="2"/>
  <c r="B59" i="2" s="1"/>
  <c r="T59" i="2"/>
  <c r="E112" i="2"/>
  <c r="B112" i="2" s="1"/>
  <c r="T112" i="2"/>
  <c r="E435" i="2"/>
  <c r="B435" i="2" s="1"/>
  <c r="T435" i="2"/>
  <c r="E324" i="2"/>
  <c r="B324" i="2" s="1"/>
  <c r="T324" i="2"/>
  <c r="E70" i="2"/>
  <c r="B70" i="2" s="1"/>
  <c r="T70" i="2"/>
  <c r="E157" i="2"/>
  <c r="B157" i="2" s="1"/>
  <c r="T157" i="2"/>
  <c r="E268" i="2"/>
  <c r="B268" i="2" s="1"/>
  <c r="T268" i="2"/>
  <c r="E73" i="2"/>
  <c r="B73" i="2" s="1"/>
  <c r="T73" i="2"/>
  <c r="E76" i="2"/>
  <c r="B76" i="2" s="1"/>
  <c r="T76" i="2"/>
  <c r="E365" i="2"/>
  <c r="B365" i="2" s="1"/>
  <c r="T365" i="2"/>
  <c r="E421" i="2"/>
  <c r="B421" i="2" s="1"/>
  <c r="T421" i="2"/>
  <c r="E131" i="2"/>
  <c r="B131" i="2" s="1"/>
  <c r="T131" i="2"/>
  <c r="E98" i="2"/>
  <c r="B98" i="2" s="1"/>
  <c r="T98" i="2"/>
  <c r="E298" i="2"/>
  <c r="B298" i="2" s="1"/>
  <c r="T298" i="2"/>
  <c r="E134" i="2"/>
  <c r="B134" i="2" s="1"/>
  <c r="T134" i="2"/>
  <c r="E434" i="2"/>
  <c r="B434" i="2" s="1"/>
  <c r="T434" i="2"/>
  <c r="E156" i="2"/>
  <c r="B156" i="2" s="1"/>
  <c r="T156" i="2"/>
  <c r="E380" i="2"/>
  <c r="B380" i="2" s="1"/>
  <c r="T380" i="2"/>
  <c r="E153" i="2"/>
  <c r="B153" i="2" s="1"/>
  <c r="T153" i="2"/>
  <c r="E310" i="2"/>
  <c r="B310" i="2" s="1"/>
  <c r="T310" i="2"/>
  <c r="E248" i="2"/>
  <c r="B248" i="2" s="1"/>
  <c r="T248" i="2"/>
  <c r="E269" i="2"/>
  <c r="B269" i="2" s="1"/>
  <c r="T269" i="2"/>
  <c r="E74" i="2"/>
  <c r="B74" i="2" s="1"/>
  <c r="T74" i="2"/>
  <c r="E352" i="2"/>
  <c r="B352" i="2" s="1"/>
  <c r="T352" i="2"/>
  <c r="E431" i="2"/>
  <c r="B431" i="2" s="1"/>
  <c r="T431" i="2"/>
  <c r="T17" i="2"/>
  <c r="E343" i="2"/>
  <c r="B343" i="2" s="1"/>
  <c r="T343" i="2"/>
  <c r="E332" i="2"/>
  <c r="B332" i="2" s="1"/>
  <c r="T332" i="2"/>
  <c r="E237" i="2"/>
  <c r="B237" i="2" s="1"/>
  <c r="T237" i="2"/>
  <c r="E189" i="2"/>
  <c r="B189" i="2" s="1"/>
  <c r="T189" i="2"/>
  <c r="E387" i="2"/>
  <c r="B387" i="2" s="1"/>
  <c r="T387" i="2"/>
  <c r="E34" i="2"/>
  <c r="B34" i="2" s="1"/>
  <c r="T34" i="2"/>
  <c r="E22" i="2"/>
  <c r="B22" i="2" s="1"/>
  <c r="T22" i="2"/>
  <c r="E58" i="2"/>
  <c r="B58" i="2" s="1"/>
  <c r="T58" i="2"/>
  <c r="E205" i="2"/>
  <c r="B205" i="2" s="1"/>
  <c r="T205" i="2"/>
  <c r="E65" i="2"/>
  <c r="B65" i="2" s="1"/>
  <c r="T65" i="2"/>
  <c r="E264" i="2"/>
  <c r="B264" i="2" s="1"/>
  <c r="T264" i="2"/>
  <c r="E357" i="2"/>
  <c r="B357" i="2" s="1"/>
  <c r="T357" i="2"/>
  <c r="E270" i="2"/>
  <c r="B270" i="2" s="1"/>
  <c r="T270" i="2"/>
  <c r="E319" i="2"/>
  <c r="B319" i="2" s="1"/>
  <c r="T319" i="2"/>
  <c r="E402" i="2"/>
  <c r="B402" i="2" s="1"/>
  <c r="T402" i="2"/>
  <c r="E242" i="2"/>
  <c r="B242" i="2" s="1"/>
  <c r="T242" i="2"/>
  <c r="E247" i="2"/>
  <c r="B247" i="2" s="1"/>
  <c r="T247" i="2"/>
  <c r="E116" i="2"/>
  <c r="B116" i="2" s="1"/>
  <c r="T116" i="2"/>
  <c r="E370" i="2"/>
  <c r="B370" i="2" s="1"/>
  <c r="T370" i="2"/>
  <c r="E388" i="2"/>
  <c r="B388" i="2" s="1"/>
  <c r="T388" i="2"/>
  <c r="E282" i="2"/>
  <c r="B282" i="2" s="1"/>
  <c r="T282" i="2"/>
  <c r="E20" i="2"/>
  <c r="B20" i="2" s="1"/>
  <c r="T20" i="2"/>
  <c r="E52" i="2"/>
  <c r="B52" i="2" s="1"/>
  <c r="T52" i="2"/>
  <c r="E372" i="2"/>
  <c r="B372" i="2" s="1"/>
  <c r="T372" i="2"/>
  <c r="E320" i="2"/>
  <c r="B320" i="2" s="1"/>
  <c r="T320" i="2"/>
  <c r="E36" i="2"/>
  <c r="B36" i="2" s="1"/>
  <c r="T36" i="2"/>
  <c r="E177" i="2"/>
  <c r="B177" i="2" s="1"/>
  <c r="T177" i="2"/>
  <c r="E40" i="2"/>
  <c r="B40" i="2" s="1"/>
  <c r="T40" i="2"/>
  <c r="E119" i="2"/>
  <c r="B119" i="2" s="1"/>
  <c r="T119" i="2"/>
  <c r="E184" i="2"/>
  <c r="B184" i="2" s="1"/>
  <c r="T184" i="2"/>
  <c r="E406" i="2"/>
  <c r="B406" i="2" s="1"/>
  <c r="T406" i="2"/>
  <c r="E115" i="2"/>
  <c r="B115" i="2" s="1"/>
  <c r="T115" i="2"/>
  <c r="E50" i="2"/>
  <c r="B50" i="2" s="1"/>
  <c r="T50" i="2"/>
  <c r="E28" i="2"/>
  <c r="B28" i="2" s="1"/>
  <c r="T28" i="2"/>
  <c r="E155" i="2"/>
  <c r="B155" i="2" s="1"/>
  <c r="T155" i="2"/>
  <c r="E379" i="2"/>
  <c r="B379" i="2" s="1"/>
  <c r="T379" i="2"/>
  <c r="E102" i="2"/>
  <c r="B102" i="2" s="1"/>
  <c r="T102" i="2"/>
  <c r="E198" i="2"/>
  <c r="B198" i="2" s="1"/>
  <c r="T198" i="2"/>
  <c r="E75" i="2"/>
  <c r="B75" i="2" s="1"/>
  <c r="T75" i="2"/>
  <c r="E296" i="2"/>
  <c r="B296" i="2" s="1"/>
  <c r="T296" i="2"/>
  <c r="E31" i="2"/>
  <c r="B31" i="2" s="1"/>
  <c r="T31" i="2"/>
  <c r="E193" i="2"/>
  <c r="B193" i="2" s="1"/>
  <c r="T193" i="2"/>
  <c r="E360" i="2"/>
  <c r="B360" i="2" s="1"/>
  <c r="T360" i="2"/>
  <c r="E399" i="2"/>
  <c r="B399" i="2" s="1"/>
  <c r="T399" i="2"/>
  <c r="E212" i="2"/>
  <c r="B212" i="2" s="1"/>
  <c r="T212" i="2"/>
  <c r="E172" i="2"/>
  <c r="B172" i="2" s="1"/>
  <c r="T172" i="2"/>
  <c r="E150" i="2"/>
  <c r="B150" i="2" s="1"/>
  <c r="T150" i="2"/>
  <c r="E54" i="2"/>
  <c r="B54" i="2" s="1"/>
  <c r="T54" i="2"/>
  <c r="E167" i="2"/>
  <c r="B167" i="2" s="1"/>
  <c r="T167" i="2"/>
  <c r="E285" i="2"/>
  <c r="B285" i="2" s="1"/>
  <c r="T285" i="2"/>
  <c r="E91" i="2"/>
  <c r="B91" i="2" s="1"/>
  <c r="T91" i="2"/>
  <c r="E38" i="2"/>
  <c r="B38" i="2" s="1"/>
  <c r="T38" i="2"/>
  <c r="E149" i="2"/>
  <c r="B149" i="2" s="1"/>
  <c r="T149" i="2"/>
  <c r="E407" i="2"/>
  <c r="B407" i="2" s="1"/>
  <c r="T407" i="2"/>
  <c r="E218" i="2"/>
  <c r="B218" i="2" s="1"/>
  <c r="T218" i="2"/>
  <c r="E424" i="2"/>
  <c r="B424" i="2" s="1"/>
  <c r="T424" i="2"/>
  <c r="E148" i="2"/>
  <c r="B148" i="2" s="1"/>
  <c r="T148" i="2"/>
  <c r="E398" i="2"/>
  <c r="B398" i="2" s="1"/>
  <c r="T398" i="2"/>
  <c r="E219" i="2"/>
  <c r="B219" i="2" s="1"/>
  <c r="T219" i="2"/>
  <c r="E63" i="2"/>
  <c r="B63" i="2" s="1"/>
  <c r="T63" i="2"/>
  <c r="E419" i="2"/>
  <c r="B419" i="2" s="1"/>
  <c r="T419" i="2"/>
  <c r="E281" i="2"/>
  <c r="B281" i="2" s="1"/>
  <c r="T281" i="2"/>
  <c r="T315" i="2"/>
  <c r="E315" i="2"/>
  <c r="B315" i="2" s="1"/>
  <c r="E85" i="2"/>
  <c r="B85" i="2" s="1"/>
  <c r="T85" i="2"/>
  <c r="E26" i="2"/>
  <c r="B26" i="2" s="1"/>
  <c r="T26" i="2"/>
  <c r="E114" i="2"/>
  <c r="B114" i="2" s="1"/>
  <c r="T114" i="2"/>
  <c r="E241" i="2"/>
  <c r="B241" i="2" s="1"/>
  <c r="T241" i="2"/>
  <c r="E86" i="2"/>
  <c r="B86" i="2" s="1"/>
  <c r="T86" i="2"/>
  <c r="E127" i="2"/>
  <c r="B127" i="2" s="1"/>
  <c r="T127" i="2"/>
  <c r="T49" i="2"/>
  <c r="E49" i="2"/>
  <c r="B49" i="2" s="1"/>
  <c r="E361" i="2"/>
  <c r="B361" i="2" s="1"/>
  <c r="T361" i="2"/>
  <c r="E161" i="2"/>
  <c r="B161" i="2" s="1"/>
  <c r="T161" i="2"/>
  <c r="E306" i="2"/>
  <c r="B306" i="2" s="1"/>
  <c r="T306" i="2"/>
  <c r="E347" i="2"/>
  <c r="B347" i="2" s="1"/>
  <c r="T347" i="2"/>
  <c r="E405" i="2"/>
  <c r="B405" i="2" s="1"/>
  <c r="T405" i="2"/>
  <c r="E345" i="2"/>
  <c r="B345" i="2" s="1"/>
  <c r="T345" i="2"/>
  <c r="E231" i="2"/>
  <c r="B231" i="2" s="1"/>
  <c r="T231" i="2"/>
  <c r="E215" i="2"/>
  <c r="B215" i="2" s="1"/>
  <c r="T215" i="2"/>
  <c r="E194" i="2"/>
  <c r="B194" i="2" s="1"/>
  <c r="T194" i="2"/>
  <c r="E271" i="2"/>
  <c r="B271" i="2" s="1"/>
  <c r="T271" i="2"/>
  <c r="E433" i="2"/>
  <c r="B433" i="2" s="1"/>
  <c r="T433" i="2"/>
  <c r="E195" i="2"/>
  <c r="B195" i="2" s="1"/>
  <c r="T195" i="2"/>
  <c r="E272" i="2"/>
  <c r="B272" i="2" s="1"/>
  <c r="T272" i="2"/>
  <c r="E216" i="2"/>
  <c r="B216" i="2" s="1"/>
  <c r="T216" i="2"/>
  <c r="E286" i="2"/>
  <c r="B286" i="2" s="1"/>
  <c r="T286" i="2"/>
  <c r="E423" i="2"/>
  <c r="B423" i="2" s="1"/>
  <c r="T423" i="2"/>
  <c r="E176" i="2"/>
  <c r="B176" i="2" s="1"/>
  <c r="T176" i="2"/>
  <c r="E168" i="2"/>
  <c r="B168" i="2" s="1"/>
  <c r="T168" i="2"/>
  <c r="E89" i="2"/>
  <c r="B89" i="2" s="1"/>
  <c r="T89" i="2"/>
  <c r="E93" i="2"/>
  <c r="B93" i="2" s="1"/>
  <c r="T93" i="2"/>
  <c r="E349" i="2"/>
  <c r="B349" i="2" s="1"/>
  <c r="T349" i="2"/>
  <c r="E291" i="2"/>
  <c r="B291" i="2" s="1"/>
  <c r="T291" i="2"/>
  <c r="E236" i="2"/>
  <c r="B236" i="2" s="1"/>
  <c r="T236" i="2"/>
  <c r="E335" i="2"/>
  <c r="B335" i="2" s="1"/>
  <c r="T335" i="2"/>
  <c r="E42" i="2"/>
  <c r="B42" i="2" s="1"/>
  <c r="T42" i="2"/>
  <c r="T81" i="2"/>
  <c r="E81" i="2"/>
  <c r="B81" i="2" s="1"/>
  <c r="E302" i="2"/>
  <c r="B302" i="2" s="1"/>
  <c r="T302" i="2"/>
  <c r="E295" i="2"/>
  <c r="B295" i="2" s="1"/>
  <c r="T295" i="2"/>
  <c r="E412" i="2"/>
  <c r="B412" i="2" s="1"/>
  <c r="T412" i="2"/>
  <c r="E314" i="2"/>
  <c r="B314" i="2" s="1"/>
  <c r="T314" i="2"/>
  <c r="E284" i="2"/>
  <c r="B284" i="2" s="1"/>
  <c r="T284" i="2"/>
  <c r="E190" i="2"/>
  <c r="B190" i="2" s="1"/>
  <c r="T190" i="2"/>
  <c r="E158" i="2"/>
  <c r="B158" i="2" s="1"/>
  <c r="T158" i="2"/>
  <c r="E210" i="2"/>
  <c r="B210" i="2" s="1"/>
  <c r="T210" i="2"/>
  <c r="E186" i="2"/>
  <c r="B186" i="2" s="1"/>
  <c r="T186" i="2"/>
  <c r="E301" i="2"/>
  <c r="B301" i="2" s="1"/>
  <c r="T301" i="2"/>
  <c r="E416" i="2"/>
  <c r="B416" i="2" s="1"/>
  <c r="T416" i="2"/>
  <c r="E325" i="2"/>
  <c r="B325" i="2" s="1"/>
  <c r="T325" i="2"/>
  <c r="E438" i="2"/>
  <c r="B438" i="2" s="1"/>
  <c r="T438" i="2"/>
  <c r="E154" i="2"/>
  <c r="B154" i="2" s="1"/>
  <c r="T154" i="2"/>
  <c r="E262" i="2"/>
  <c r="B262" i="2" s="1"/>
  <c r="T262" i="2"/>
  <c r="E51" i="2"/>
  <c r="B51" i="2" s="1"/>
  <c r="T51" i="2"/>
  <c r="E169" i="2"/>
  <c r="B169" i="2" s="1"/>
  <c r="T169" i="2"/>
  <c r="T94" i="2"/>
  <c r="E94" i="2"/>
  <c r="B94" i="2" s="1"/>
  <c r="E288" i="2"/>
  <c r="B288" i="2" s="1"/>
  <c r="T288" i="2"/>
  <c r="E393" i="2"/>
  <c r="B393" i="2" s="1"/>
  <c r="T393" i="2"/>
  <c r="E305" i="2"/>
  <c r="B305" i="2" s="1"/>
  <c r="T305" i="2"/>
  <c r="E56" i="2"/>
  <c r="B56" i="2" s="1"/>
  <c r="T56" i="2"/>
  <c r="E60" i="2"/>
  <c r="B60" i="2" s="1"/>
  <c r="T60" i="2"/>
  <c r="E411" i="2"/>
  <c r="B411" i="2" s="1"/>
  <c r="T411" i="2"/>
  <c r="E322" i="2"/>
  <c r="B322" i="2" s="1"/>
  <c r="T322" i="2"/>
  <c r="E220" i="2"/>
  <c r="B220" i="2" s="1"/>
  <c r="T220" i="2"/>
  <c r="E32" i="2"/>
  <c r="B32" i="2" s="1"/>
  <c r="T32" i="2"/>
  <c r="E68" i="2"/>
  <c r="B68" i="2" s="1"/>
  <c r="T68" i="2"/>
  <c r="E308" i="2"/>
  <c r="B308" i="2" s="1"/>
  <c r="T308" i="2"/>
  <c r="E128" i="2"/>
  <c r="B128" i="2" s="1"/>
  <c r="T128" i="2"/>
  <c r="E208" i="2"/>
  <c r="B208" i="2" s="1"/>
  <c r="T208" i="2"/>
  <c r="E188" i="2"/>
  <c r="B188" i="2" s="1"/>
  <c r="T188" i="2"/>
  <c r="E171" i="2"/>
  <c r="B171" i="2" s="1"/>
  <c r="T171" i="2"/>
  <c r="E329" i="2"/>
  <c r="B329" i="2" s="1"/>
  <c r="T329" i="2"/>
  <c r="E182" i="2"/>
  <c r="B182" i="2" s="1"/>
  <c r="T182" i="2"/>
  <c r="E66" i="2"/>
  <c r="B66" i="2" s="1"/>
  <c r="T66" i="2"/>
  <c r="E233" i="2"/>
  <c r="B233" i="2" s="1"/>
  <c r="T233" i="2"/>
  <c r="E19" i="2"/>
  <c r="B19" i="2" s="1"/>
  <c r="T19" i="2"/>
  <c r="E280" i="2"/>
  <c r="B280" i="2" s="1"/>
  <c r="T280" i="2"/>
  <c r="E163" i="2"/>
  <c r="B163" i="2" s="1"/>
  <c r="T163" i="2"/>
  <c r="E348" i="2"/>
  <c r="B348" i="2" s="1"/>
  <c r="T348" i="2"/>
  <c r="E92" i="2"/>
  <c r="B92" i="2" s="1"/>
  <c r="T92" i="2"/>
  <c r="E254" i="2"/>
  <c r="B254" i="2" s="1"/>
  <c r="T254" i="2"/>
  <c r="E122" i="2"/>
  <c r="B122" i="2" s="1"/>
  <c r="T122" i="2"/>
  <c r="E386" i="2"/>
  <c r="B386" i="2" s="1"/>
  <c r="T386" i="2"/>
  <c r="E275" i="2"/>
  <c r="B275" i="2" s="1"/>
  <c r="T275" i="2"/>
  <c r="E135" i="2"/>
  <c r="B135" i="2" s="1"/>
  <c r="T135" i="2"/>
  <c r="E309" i="2"/>
  <c r="B309" i="2" s="1"/>
  <c r="T309" i="2"/>
  <c r="E164" i="2"/>
  <c r="B164" i="2" s="1"/>
  <c r="T164" i="2"/>
  <c r="E121" i="2"/>
  <c r="B121" i="2" s="1"/>
  <c r="T121" i="2"/>
  <c r="E72" i="2"/>
  <c r="B72" i="2" s="1"/>
  <c r="T72" i="2"/>
  <c r="E266" i="2"/>
  <c r="B266" i="2" s="1"/>
  <c r="T266" i="2"/>
  <c r="E299" i="2"/>
  <c r="B299" i="2" s="1"/>
  <c r="T299" i="2"/>
  <c r="E253" i="2"/>
  <c r="B253" i="2" s="1"/>
  <c r="T253" i="2"/>
  <c r="E37" i="2"/>
  <c r="B37" i="2" s="1"/>
  <c r="T37" i="2"/>
  <c r="E160" i="2"/>
  <c r="B160" i="2" s="1"/>
  <c r="T160" i="2"/>
  <c r="E292" i="2"/>
  <c r="B292" i="2" s="1"/>
  <c r="T292" i="2"/>
  <c r="E334" i="2"/>
  <c r="B334" i="2" s="1"/>
  <c r="T334" i="2"/>
  <c r="E339" i="2"/>
  <c r="B339" i="2" s="1"/>
  <c r="T339" i="2"/>
  <c r="E303" i="2"/>
  <c r="B303" i="2" s="1"/>
  <c r="T303" i="2"/>
  <c r="T246" i="2"/>
  <c r="E246" i="2"/>
  <c r="B246" i="2" s="1"/>
  <c r="E61" i="2"/>
  <c r="B61" i="2" s="1"/>
  <c r="T61" i="2"/>
  <c r="E196" i="2"/>
  <c r="B196" i="2" s="1"/>
  <c r="T196" i="2"/>
  <c r="E105" i="2"/>
  <c r="B105" i="2" s="1"/>
  <c r="T105" i="2"/>
  <c r="E226" i="2"/>
  <c r="B226" i="2" s="1"/>
  <c r="T226" i="2"/>
  <c r="E420" i="2"/>
  <c r="B420" i="2" s="1"/>
  <c r="T420" i="2"/>
  <c r="E252" i="2"/>
  <c r="B252" i="2" s="1"/>
  <c r="T252" i="2"/>
  <c r="E181" i="2"/>
  <c r="B181" i="2" s="1"/>
  <c r="T181" i="2"/>
  <c r="E84" i="2"/>
  <c r="B84" i="2" s="1"/>
  <c r="T84" i="2"/>
  <c r="E180" i="2"/>
  <c r="B180" i="2" s="1"/>
  <c r="T180" i="2"/>
  <c r="E341" i="2"/>
  <c r="B341" i="2" s="1"/>
  <c r="T341" i="2"/>
  <c r="E143" i="2"/>
  <c r="B143" i="2" s="1"/>
  <c r="T143" i="2"/>
  <c r="E283" i="2"/>
  <c r="B283" i="2" s="1"/>
  <c r="T283" i="2"/>
  <c r="T427" i="2"/>
  <c r="E427" i="2"/>
  <c r="B427" i="2" s="1"/>
  <c r="E256" i="2"/>
  <c r="B256" i="2" s="1"/>
  <c r="T256" i="2"/>
  <c r="E278" i="2"/>
  <c r="B278" i="2" s="1"/>
  <c r="T278" i="2"/>
  <c r="E138" i="2"/>
  <c r="B138" i="2" s="1"/>
  <c r="T138" i="2"/>
  <c r="E234" i="2"/>
  <c r="B234" i="2" s="1"/>
  <c r="T234" i="2"/>
  <c r="E239" i="2"/>
  <c r="B239" i="2" s="1"/>
  <c r="T239" i="2"/>
  <c r="E230" i="2"/>
  <c r="B230" i="2" s="1"/>
  <c r="T230" i="2"/>
  <c r="E414" i="2"/>
  <c r="B414" i="2" s="1"/>
  <c r="T414" i="2"/>
  <c r="E174" i="2"/>
  <c r="B174" i="2" s="1"/>
  <c r="T174" i="2"/>
  <c r="E366" i="2"/>
  <c r="B366" i="2" s="1"/>
  <c r="T366" i="2"/>
  <c r="E162" i="2"/>
  <c r="B162" i="2" s="1"/>
  <c r="T162" i="2"/>
  <c r="E371" i="2"/>
  <c r="B371" i="2" s="1"/>
  <c r="T371" i="2"/>
  <c r="E144" i="2"/>
  <c r="B144" i="2" s="1"/>
  <c r="T144" i="2"/>
  <c r="E359" i="2"/>
  <c r="B359" i="2" s="1"/>
  <c r="T359" i="2"/>
  <c r="E377" i="2"/>
  <c r="B377" i="2" s="1"/>
  <c r="T377" i="2"/>
  <c r="E354" i="2"/>
  <c r="B354" i="2" s="1"/>
  <c r="T354" i="2"/>
  <c r="E317" i="2"/>
  <c r="B317" i="2" s="1"/>
  <c r="T317" i="2"/>
  <c r="E44" i="2"/>
  <c r="B44" i="2" s="1"/>
  <c r="T44" i="2"/>
  <c r="E249" i="2"/>
  <c r="B249" i="2" s="1"/>
  <c r="T249" i="2"/>
  <c r="E183" i="2"/>
  <c r="B183" i="2" s="1"/>
  <c r="T183" i="2"/>
  <c r="E240" i="2"/>
  <c r="B240" i="2" s="1"/>
  <c r="T240" i="2"/>
  <c r="E53" i="2"/>
  <c r="B53" i="2" s="1"/>
  <c r="T53" i="2"/>
  <c r="T391" i="2"/>
  <c r="E391" i="2"/>
  <c r="B391" i="2" s="1"/>
  <c r="E363" i="2"/>
  <c r="B363" i="2" s="1"/>
  <c r="T363" i="2"/>
  <c r="E207" i="2"/>
  <c r="B207" i="2" s="1"/>
  <c r="T207" i="2"/>
  <c r="E24" i="2"/>
  <c r="B24" i="2" s="1"/>
  <c r="T24" i="2"/>
  <c r="T46" i="2"/>
  <c r="E46" i="2"/>
  <c r="B46" i="2" s="1"/>
  <c r="E384" i="2"/>
  <c r="B384" i="2" s="1"/>
  <c r="T384" i="2"/>
  <c r="E88" i="2"/>
  <c r="B88" i="2" s="1"/>
  <c r="T88" i="2"/>
  <c r="E251" i="2"/>
  <c r="B251" i="2" s="1"/>
  <c r="T251" i="2"/>
  <c r="E145" i="2"/>
  <c r="B145" i="2" s="1"/>
  <c r="T145" i="2"/>
  <c r="E214" i="2"/>
  <c r="B214" i="2" s="1"/>
  <c r="T214" i="2"/>
  <c r="E132" i="2"/>
  <c r="B132" i="2" s="1"/>
  <c r="T132" i="2"/>
  <c r="E426" i="2"/>
  <c r="B426" i="2" s="1"/>
  <c r="T426" i="2"/>
  <c r="E170" i="2"/>
  <c r="B170" i="2" s="1"/>
  <c r="T170" i="2"/>
  <c r="E178" i="2"/>
  <c r="B178" i="2" s="1"/>
  <c r="T178" i="2"/>
  <c r="E206" i="2"/>
  <c r="B206" i="2" s="1"/>
  <c r="T206" i="2"/>
  <c r="E117" i="2"/>
  <c r="B117" i="2" s="1"/>
  <c r="T117" i="2"/>
  <c r="E87" i="2"/>
  <c r="B87" i="2" s="1"/>
  <c r="T87" i="2"/>
  <c r="E35" i="2"/>
  <c r="B35" i="2" s="1"/>
  <c r="T35" i="2"/>
  <c r="E300" i="2"/>
  <c r="B300" i="2" s="1"/>
  <c r="T300" i="2"/>
  <c r="E69" i="2"/>
  <c r="B69" i="2" s="1"/>
  <c r="T69" i="2"/>
  <c r="E323" i="2"/>
  <c r="B323" i="2" s="1"/>
  <c r="T323" i="2"/>
  <c r="E97" i="2"/>
  <c r="B97" i="2" s="1"/>
  <c r="T97" i="2"/>
  <c r="E125" i="2"/>
  <c r="B125" i="2" s="1"/>
  <c r="T125" i="2"/>
  <c r="E227" i="2"/>
  <c r="B227" i="2" s="1"/>
  <c r="T227" i="2"/>
  <c r="E333" i="2"/>
  <c r="B333" i="2" s="1"/>
  <c r="T333" i="2"/>
  <c r="E78" i="2"/>
  <c r="B78" i="2" s="1"/>
  <c r="T78" i="2"/>
  <c r="E373" i="2"/>
  <c r="B373" i="2" s="1"/>
  <c r="T373" i="2"/>
  <c r="E277" i="2"/>
  <c r="B277" i="2" s="1"/>
  <c r="T277" i="2"/>
  <c r="E267" i="2"/>
  <c r="B267" i="2" s="1"/>
  <c r="T267" i="2"/>
  <c r="E202" i="2"/>
  <c r="B202" i="2" s="1"/>
  <c r="T202" i="2"/>
  <c r="E67" i="2"/>
  <c r="B67" i="2" s="1"/>
  <c r="T67" i="2"/>
  <c r="E425" i="2"/>
  <c r="B425" i="2" s="1"/>
  <c r="T425" i="2"/>
  <c r="T152" i="2"/>
  <c r="E152" i="2"/>
  <c r="B152" i="2" s="1"/>
  <c r="E175" i="2"/>
  <c r="B175" i="2" s="1"/>
  <c r="T175" i="2"/>
  <c r="E101" i="2"/>
  <c r="B101" i="2" s="1"/>
  <c r="T101" i="2"/>
  <c r="E258" i="2"/>
  <c r="B258" i="2" s="1"/>
  <c r="T258" i="2"/>
  <c r="E107" i="2"/>
  <c r="B107" i="2" s="1"/>
  <c r="T107" i="2"/>
  <c r="E369" i="2"/>
  <c r="B369" i="2" s="1"/>
  <c r="T369" i="2"/>
  <c r="E351" i="2"/>
  <c r="B351" i="2" s="1"/>
  <c r="T351" i="2"/>
  <c r="E344" i="2"/>
  <c r="B344" i="2" s="1"/>
  <c r="T344" i="2"/>
  <c r="E378" i="2"/>
  <c r="B378" i="2" s="1"/>
  <c r="T378" i="2"/>
  <c r="E80" i="2"/>
  <c r="B80" i="2" s="1"/>
  <c r="T80" i="2"/>
  <c r="E130" i="2"/>
  <c r="B130" i="2" s="1"/>
  <c r="T130" i="2"/>
  <c r="E290" i="2"/>
  <c r="B290" i="2" s="1"/>
  <c r="T290" i="2"/>
  <c r="E104" i="2"/>
  <c r="B104" i="2" s="1"/>
  <c r="T104" i="2"/>
  <c r="E340" i="2"/>
  <c r="B340" i="2" s="1"/>
  <c r="T340" i="2"/>
  <c r="E244" i="2"/>
  <c r="B244" i="2" s="1"/>
  <c r="T244" i="2"/>
  <c r="E232" i="2"/>
  <c r="B232" i="2" s="1"/>
  <c r="T232" i="2"/>
  <c r="E353" i="2"/>
  <c r="B353" i="2" s="1"/>
  <c r="T353" i="2"/>
  <c r="E142" i="2"/>
  <c r="B142" i="2" s="1"/>
  <c r="T142" i="2"/>
  <c r="E337" i="2"/>
  <c r="B337" i="2" s="1"/>
  <c r="T337" i="2"/>
  <c r="E47" i="2"/>
  <c r="B47" i="2" s="1"/>
  <c r="T47" i="2"/>
  <c r="E346" i="2"/>
  <c r="B346" i="2" s="1"/>
  <c r="T346" i="2"/>
  <c r="E140" i="2"/>
  <c r="B140" i="2" s="1"/>
  <c r="T140" i="2"/>
  <c r="E430" i="2"/>
  <c r="B430" i="2" s="1"/>
  <c r="T430" i="2"/>
  <c r="E213" i="2"/>
  <c r="B213" i="2" s="1"/>
  <c r="T213" i="2"/>
  <c r="E429" i="2"/>
  <c r="B429" i="2" s="1"/>
  <c r="T429" i="2"/>
  <c r="E39" i="2"/>
  <c r="B39" i="2" s="1"/>
  <c r="T39" i="2"/>
  <c r="E217" i="2"/>
  <c r="B217" i="2" s="1"/>
  <c r="T217" i="2"/>
  <c r="E408" i="2"/>
  <c r="B408" i="2" s="1"/>
  <c r="T408" i="2"/>
  <c r="E403" i="2"/>
  <c r="B403" i="2" s="1"/>
  <c r="T403" i="2"/>
  <c r="E375" i="2"/>
  <c r="B375" i="2" s="1"/>
  <c r="T375" i="2"/>
  <c r="E394" i="2"/>
  <c r="B394" i="2" s="1"/>
  <c r="T394" i="2"/>
  <c r="E45" i="2"/>
  <c r="B45" i="2" s="1"/>
  <c r="T45" i="2"/>
  <c r="E137" i="2"/>
  <c r="B137" i="2" s="1"/>
  <c r="T137" i="2"/>
  <c r="E397" i="2"/>
  <c r="B397" i="2" s="1"/>
  <c r="T397" i="2"/>
  <c r="E362" i="2"/>
  <c r="B362" i="2" s="1"/>
  <c r="T362" i="2"/>
  <c r="E71" i="2"/>
  <c r="B71" i="2" s="1"/>
  <c r="T71" i="2"/>
  <c r="E243" i="2"/>
  <c r="B243" i="2" s="1"/>
  <c r="T243" i="2"/>
  <c r="E276" i="2"/>
  <c r="B276" i="2" s="1"/>
  <c r="T276" i="2"/>
  <c r="E261" i="2"/>
  <c r="B261" i="2" s="1"/>
  <c r="T261" i="2"/>
  <c r="E57" i="2"/>
  <c r="B57" i="2" s="1"/>
  <c r="T57" i="2"/>
  <c r="E222" i="2"/>
  <c r="B222" i="2" s="1"/>
  <c r="T222" i="2"/>
  <c r="E82" i="2"/>
  <c r="B82" i="2" s="1"/>
  <c r="T82" i="2"/>
  <c r="E257" i="2"/>
  <c r="B257" i="2" s="1"/>
  <c r="T257" i="2"/>
  <c r="E395" i="2"/>
  <c r="B395" i="2" s="1"/>
  <c r="T395" i="2"/>
  <c r="E201" i="2"/>
  <c r="B201" i="2" s="1"/>
  <c r="T201" i="2"/>
  <c r="E318" i="2"/>
  <c r="B318" i="2" s="1"/>
  <c r="T318" i="2"/>
  <c r="E390" i="2"/>
  <c r="B390" i="2" s="1"/>
  <c r="T390" i="2"/>
  <c r="E79" i="2"/>
  <c r="B79" i="2" s="1"/>
  <c r="T79" i="2"/>
  <c r="E62" i="2"/>
  <c r="B62" i="2" s="1"/>
  <c r="T62" i="2"/>
  <c r="E410" i="2"/>
  <c r="B410" i="2" s="1"/>
  <c r="T410" i="2"/>
  <c r="E151" i="2"/>
  <c r="B151" i="2" s="1"/>
  <c r="T151" i="2"/>
  <c r="E33" i="2"/>
  <c r="B33" i="2" s="1"/>
  <c r="T33" i="2"/>
  <c r="E103" i="2"/>
  <c r="B103" i="2" s="1"/>
  <c r="T103" i="2"/>
  <c r="E274" i="2"/>
  <c r="B274" i="2" s="1"/>
  <c r="T274" i="2"/>
  <c r="E90" i="2"/>
  <c r="B90" i="2" s="1"/>
  <c r="T90" i="2"/>
  <c r="E106" i="2"/>
  <c r="B106" i="2" s="1"/>
  <c r="T106" i="2"/>
  <c r="E108" i="2"/>
  <c r="B108" i="2" s="1"/>
  <c r="T108" i="2"/>
  <c r="E289" i="2"/>
  <c r="B289" i="2" s="1"/>
  <c r="T289" i="2"/>
  <c r="E191" i="2"/>
  <c r="B191" i="2" s="1"/>
  <c r="T191" i="2"/>
  <c r="E27" i="2"/>
  <c r="B27" i="2" s="1"/>
  <c r="T27" i="2"/>
  <c r="E330" i="2"/>
  <c r="B330" i="2" s="1"/>
  <c r="T330" i="2"/>
  <c r="E294" i="2"/>
  <c r="B294" i="2" s="1"/>
  <c r="T294" i="2"/>
  <c r="E385" i="2"/>
  <c r="B385" i="2" s="1"/>
  <c r="T385" i="2"/>
  <c r="E211" i="2"/>
  <c r="B211" i="2" s="1"/>
  <c r="T211" i="2"/>
  <c r="E417" i="2"/>
  <c r="B417" i="2" s="1"/>
  <c r="T417" i="2"/>
  <c r="E367" i="2"/>
  <c r="B367" i="2" s="1"/>
  <c r="T367" i="2"/>
  <c r="E185" i="2"/>
  <c r="B185" i="2" s="1"/>
  <c r="T185" i="2"/>
  <c r="E223" i="2"/>
  <c r="B223" i="2" s="1"/>
  <c r="T223" i="2"/>
  <c r="E364" i="2"/>
  <c r="B364" i="2" s="1"/>
  <c r="T364" i="2"/>
  <c r="E311" i="2"/>
  <c r="B311" i="2" s="1"/>
  <c r="T311" i="2"/>
  <c r="E331" i="2"/>
  <c r="B331" i="2" s="1"/>
  <c r="T331" i="2"/>
  <c r="E273" i="2"/>
  <c r="B273" i="2" s="1"/>
  <c r="T273" i="2"/>
  <c r="E418" i="2"/>
  <c r="B418" i="2" s="1"/>
  <c r="T418" i="2"/>
  <c r="E21" i="2"/>
  <c r="B21" i="2" s="1"/>
  <c r="T21" i="2"/>
  <c r="E147" i="2"/>
  <c r="B147" i="2" s="1"/>
  <c r="E83" i="2"/>
  <c r="B83" i="2" s="1"/>
  <c r="T83" i="2"/>
  <c r="E199" i="2"/>
  <c r="B199" i="2" s="1"/>
  <c r="T199" i="2"/>
  <c r="E432" i="2"/>
  <c r="B432" i="2" s="1"/>
  <c r="T432" i="2"/>
  <c r="E279" i="2"/>
  <c r="B279" i="2" s="1"/>
  <c r="T279" i="2"/>
  <c r="E48" i="2"/>
  <c r="B48" i="2" s="1"/>
  <c r="T48" i="2"/>
  <c r="E123" i="2"/>
  <c r="B123" i="2" s="1"/>
  <c r="T123" i="2"/>
  <c r="E260" i="2"/>
  <c r="B260" i="2" s="1"/>
  <c r="T260" i="2"/>
  <c r="T368" i="2"/>
  <c r="E368" i="2"/>
  <c r="B368" i="2" s="1"/>
  <c r="E77" i="2"/>
  <c r="B77" i="2" s="1"/>
  <c r="T77" i="2"/>
  <c r="E96" i="2"/>
  <c r="B96" i="2" s="1"/>
  <c r="T96" i="2"/>
  <c r="E166" i="2"/>
  <c r="B166" i="2" s="1"/>
  <c r="T166" i="2"/>
  <c r="E113" i="2"/>
  <c r="B113" i="2" s="1"/>
  <c r="T113" i="2"/>
  <c r="E255" i="2"/>
  <c r="B255" i="2" s="1"/>
  <c r="T255" i="2"/>
  <c r="E409" i="2"/>
  <c r="B409" i="2" s="1"/>
  <c r="T409" i="2"/>
  <c r="E396" i="2"/>
  <c r="B396" i="2" s="1"/>
  <c r="T396" i="2"/>
  <c r="E401" i="2"/>
  <c r="B401" i="2" s="1"/>
  <c r="T401" i="2"/>
  <c r="E18" i="2"/>
  <c r="B18" i="2" s="1"/>
  <c r="T18" i="2"/>
  <c r="E41" i="2"/>
  <c r="B41" i="2" s="1"/>
  <c r="T41" i="2"/>
  <c r="E55" i="2"/>
  <c r="B55" i="2" s="1"/>
  <c r="T55" i="2"/>
  <c r="E95" i="2"/>
  <c r="B95" i="2" s="1"/>
  <c r="T95" i="2"/>
  <c r="E221" i="2"/>
  <c r="B221" i="2" s="1"/>
  <c r="T221" i="2"/>
  <c r="E342" i="2"/>
  <c r="B342" i="2" s="1"/>
  <c r="T342" i="2"/>
  <c r="E146" i="2"/>
  <c r="B146" i="2" s="1"/>
  <c r="T146" i="2"/>
  <c r="E392" i="2"/>
  <c r="B392" i="2" s="1"/>
  <c r="T392" i="2"/>
  <c r="E225" i="2"/>
  <c r="B225" i="2" s="1"/>
  <c r="T225" i="2"/>
  <c r="E118" i="2"/>
  <c r="B118" i="2" s="1"/>
  <c r="T118" i="2"/>
  <c r="E126" i="2"/>
  <c r="B126" i="2" s="1"/>
  <c r="T126" i="2"/>
  <c r="E415" i="2"/>
  <c r="B415" i="2" s="1"/>
  <c r="T415" i="2"/>
  <c r="E228" i="2"/>
  <c r="B228" i="2" s="1"/>
  <c r="T228" i="2"/>
  <c r="E203" i="2"/>
  <c r="B203" i="2" s="1"/>
  <c r="T203" i="2"/>
  <c r="T327" i="2"/>
  <c r="E327" i="2"/>
  <c r="B327" i="2" s="1"/>
  <c r="E321" i="2"/>
  <c r="B321" i="2" s="1"/>
  <c r="T321" i="2"/>
  <c r="E235" i="2"/>
  <c r="B235" i="2" s="1"/>
  <c r="T235" i="2"/>
  <c r="E204" i="2"/>
  <c r="B204" i="2" s="1"/>
  <c r="T204" i="2"/>
  <c r="E139" i="2"/>
  <c r="B139" i="2" s="1"/>
  <c r="T139" i="2"/>
  <c r="E326" i="2"/>
  <c r="B326" i="2" s="1"/>
  <c r="T326" i="2"/>
  <c r="E358" i="2"/>
  <c r="B358" i="2" s="1"/>
  <c r="T358" i="2"/>
  <c r="E110" i="2"/>
  <c r="B110" i="2" s="1"/>
  <c r="T110" i="2"/>
  <c r="E293" i="2"/>
  <c r="B293" i="2" s="1"/>
  <c r="T293" i="2"/>
  <c r="E350" i="2"/>
  <c r="B350" i="2" s="1"/>
  <c r="T350" i="2"/>
  <c r="E382" i="2"/>
  <c r="B382" i="2" s="1"/>
  <c r="T382" i="2"/>
  <c r="K315" i="2" l="1"/>
  <c r="J315" i="2" s="1"/>
  <c r="E305" i="1" s="1"/>
  <c r="F322" i="5" s="1"/>
  <c r="J322" i="5" s="1"/>
  <c r="K382" i="2"/>
  <c r="J382" i="2" s="1"/>
  <c r="E372" i="1"/>
  <c r="F389" i="5" s="1"/>
  <c r="J389" i="5" s="1"/>
  <c r="K358" i="2"/>
  <c r="J358" i="2" s="1"/>
  <c r="E348" i="1" s="1"/>
  <c r="F365" i="5" s="1"/>
  <c r="J365" i="5" s="1"/>
  <c r="K235" i="2"/>
  <c r="J235" i="2" s="1"/>
  <c r="E225" i="1" s="1"/>
  <c r="F243" i="5" s="1"/>
  <c r="J243" i="5" s="1"/>
  <c r="K225" i="2"/>
  <c r="J225" i="2" s="1"/>
  <c r="E215" i="1" s="1"/>
  <c r="K221" i="2"/>
  <c r="J221" i="2" s="1"/>
  <c r="E211" i="1" s="1"/>
  <c r="F230" i="5" s="1"/>
  <c r="J230" i="5" s="1"/>
  <c r="K55" i="2"/>
  <c r="J55" i="2" s="1"/>
  <c r="E45" i="1" s="1"/>
  <c r="F53" i="5" s="1"/>
  <c r="J53" i="5" s="1"/>
  <c r="K255" i="2"/>
  <c r="J255" i="2" s="1"/>
  <c r="E245" i="1"/>
  <c r="F263" i="5" s="1"/>
  <c r="J263" i="5" s="1"/>
  <c r="K77" i="2"/>
  <c r="J77" i="2" s="1"/>
  <c r="E67" i="1" s="1"/>
  <c r="F79" i="5" s="1"/>
  <c r="J79" i="5" s="1"/>
  <c r="K260" i="2"/>
  <c r="J260" i="2" s="1"/>
  <c r="E250" i="1" s="1"/>
  <c r="F268" i="5" s="1"/>
  <c r="J268" i="5" s="1"/>
  <c r="K432" i="2"/>
  <c r="J432" i="2" s="1"/>
  <c r="E422" i="1" s="1"/>
  <c r="F439" i="5" s="1"/>
  <c r="J439" i="5" s="1"/>
  <c r="K21" i="2"/>
  <c r="J21" i="2" s="1"/>
  <c r="E11" i="1" s="1"/>
  <c r="F19" i="5" s="1"/>
  <c r="J19" i="5" s="1"/>
  <c r="K311" i="2"/>
  <c r="J311" i="2" s="1"/>
  <c r="E301" i="1" s="1"/>
  <c r="K367" i="2"/>
  <c r="J367" i="2" s="1"/>
  <c r="E357" i="1"/>
  <c r="F374" i="5" s="1"/>
  <c r="J374" i="5" s="1"/>
  <c r="K294" i="2"/>
  <c r="J294" i="2" s="1"/>
  <c r="E284" i="1" s="1"/>
  <c r="F301" i="5" s="1"/>
  <c r="J301" i="5" s="1"/>
  <c r="K289" i="2"/>
  <c r="J289" i="2" s="1"/>
  <c r="E279" i="1"/>
  <c r="F296" i="5" s="1"/>
  <c r="J296" i="5" s="1"/>
  <c r="K274" i="2"/>
  <c r="J274" i="2" s="1"/>
  <c r="E264" i="1" s="1"/>
  <c r="F281" i="5" s="1"/>
  <c r="J281" i="5" s="1"/>
  <c r="K410" i="2"/>
  <c r="J410" i="2" s="1"/>
  <c r="E400" i="1" s="1"/>
  <c r="F417" i="5" s="1"/>
  <c r="J417" i="5" s="1"/>
  <c r="K318" i="2"/>
  <c r="J318" i="2" s="1"/>
  <c r="E308" i="1" s="1"/>
  <c r="F325" i="5" s="1"/>
  <c r="J325" i="5" s="1"/>
  <c r="K82" i="2"/>
  <c r="J82" i="2" s="1"/>
  <c r="E72" i="1" s="1"/>
  <c r="F84" i="5" s="1"/>
  <c r="J84" i="5" s="1"/>
  <c r="K71" i="2"/>
  <c r="J71" i="2" s="1"/>
  <c r="E61" i="1" s="1"/>
  <c r="F73" i="5" s="1"/>
  <c r="J73" i="5" s="1"/>
  <c r="K45" i="2"/>
  <c r="J45" i="2" s="1"/>
  <c r="E35" i="1"/>
  <c r="F43" i="5" s="1"/>
  <c r="J43" i="5" s="1"/>
  <c r="K408" i="2"/>
  <c r="J408" i="2" s="1"/>
  <c r="E398" i="1" s="1"/>
  <c r="F415" i="5" s="1"/>
  <c r="J415" i="5" s="1"/>
  <c r="K213" i="2"/>
  <c r="J213" i="2" s="1"/>
  <c r="E203" i="1"/>
  <c r="F222" i="5" s="1"/>
  <c r="J222" i="5" s="1"/>
  <c r="E37" i="1"/>
  <c r="F45" i="5" s="1"/>
  <c r="J45" i="5" s="1"/>
  <c r="K47" i="2"/>
  <c r="J47" i="2" s="1"/>
  <c r="K232" i="2"/>
  <c r="J232" i="2" s="1"/>
  <c r="E222" i="1"/>
  <c r="F240" i="5" s="1"/>
  <c r="J240" i="5" s="1"/>
  <c r="K290" i="2"/>
  <c r="J290" i="2" s="1"/>
  <c r="E280" i="1" s="1"/>
  <c r="F297" i="5" s="1"/>
  <c r="J297" i="5" s="1"/>
  <c r="K344" i="2"/>
  <c r="J344" i="2" s="1"/>
  <c r="E334" i="1" s="1"/>
  <c r="F351" i="5" s="1"/>
  <c r="J351" i="5" s="1"/>
  <c r="K258" i="2"/>
  <c r="J258" i="2" s="1"/>
  <c r="E248" i="1" s="1"/>
  <c r="F266" i="5" s="1"/>
  <c r="J266" i="5" s="1"/>
  <c r="K425" i="2"/>
  <c r="J425" i="2" s="1"/>
  <c r="E415" i="1" s="1"/>
  <c r="F432" i="5" s="1"/>
  <c r="J432" i="5" s="1"/>
  <c r="K277" i="2"/>
  <c r="J277" i="2" s="1"/>
  <c r="E267" i="1" s="1"/>
  <c r="F284" i="5" s="1"/>
  <c r="J284" i="5" s="1"/>
  <c r="K227" i="2"/>
  <c r="J227" i="2" s="1"/>
  <c r="E217" i="1" s="1"/>
  <c r="K35" i="2"/>
  <c r="J35" i="2" s="1"/>
  <c r="E25" i="1" s="1"/>
  <c r="F33" i="5" s="1"/>
  <c r="J33" i="5" s="1"/>
  <c r="K178" i="2"/>
  <c r="J178" i="2" s="1"/>
  <c r="E168" i="1" s="1"/>
  <c r="F188" i="5" s="1"/>
  <c r="J188" i="5" s="1"/>
  <c r="K214" i="2"/>
  <c r="J214" i="2" s="1"/>
  <c r="E204" i="1" s="1"/>
  <c r="F223" i="5" s="1"/>
  <c r="J223" i="5" s="1"/>
  <c r="K251" i="2"/>
  <c r="J251" i="2" s="1"/>
  <c r="E241" i="1" s="1"/>
  <c r="F259" i="5" s="1"/>
  <c r="J259" i="5" s="1"/>
  <c r="K384" i="2"/>
  <c r="J384" i="2" s="1"/>
  <c r="E374" i="1" s="1"/>
  <c r="F391" i="5" s="1"/>
  <c r="J391" i="5" s="1"/>
  <c r="K24" i="2"/>
  <c r="J24" i="2" s="1"/>
  <c r="E14" i="1" s="1"/>
  <c r="F22" i="5" s="1"/>
  <c r="J22" i="5" s="1"/>
  <c r="K53" i="2"/>
  <c r="J53" i="2" s="1"/>
  <c r="E43" i="1" s="1"/>
  <c r="F51" i="5" s="1"/>
  <c r="J51" i="5" s="1"/>
  <c r="K183" i="2"/>
  <c r="J183" i="2" s="1"/>
  <c r="E173" i="1" s="1"/>
  <c r="K44" i="2"/>
  <c r="J44" i="2" s="1"/>
  <c r="E34" i="1" s="1"/>
  <c r="F42" i="5" s="1"/>
  <c r="J42" i="5" s="1"/>
  <c r="K354" i="2"/>
  <c r="J354" i="2" s="1"/>
  <c r="E344" i="1" s="1"/>
  <c r="K359" i="2"/>
  <c r="J359" i="2" s="1"/>
  <c r="E349" i="1" s="1"/>
  <c r="F366" i="5" s="1"/>
  <c r="J366" i="5" s="1"/>
  <c r="K371" i="2"/>
  <c r="J371" i="2" s="1"/>
  <c r="E361" i="1" s="1"/>
  <c r="F378" i="5" s="1"/>
  <c r="J378" i="5" s="1"/>
  <c r="K366" i="2"/>
  <c r="J366" i="2" s="1"/>
  <c r="E356" i="1" s="1"/>
  <c r="F373" i="5" s="1"/>
  <c r="J373" i="5" s="1"/>
  <c r="K414" i="2"/>
  <c r="J414" i="2" s="1"/>
  <c r="E404" i="1"/>
  <c r="F421" i="5" s="1"/>
  <c r="J421" i="5" s="1"/>
  <c r="K239" i="2"/>
  <c r="J239" i="2" s="1"/>
  <c r="E229" i="1" s="1"/>
  <c r="F247" i="5" s="1"/>
  <c r="J247" i="5" s="1"/>
  <c r="K138" i="2"/>
  <c r="J138" i="2" s="1"/>
  <c r="E128" i="1"/>
  <c r="F144" i="5" s="1"/>
  <c r="J144" i="5" s="1"/>
  <c r="K256" i="2"/>
  <c r="J256" i="2" s="1"/>
  <c r="E246" i="1" s="1"/>
  <c r="F264" i="5" s="1"/>
  <c r="J264" i="5" s="1"/>
  <c r="K283" i="2"/>
  <c r="J283" i="2" s="1"/>
  <c r="E273" i="1"/>
  <c r="F290" i="5" s="1"/>
  <c r="J290" i="5" s="1"/>
  <c r="K341" i="2"/>
  <c r="J341" i="2" s="1"/>
  <c r="E331" i="1" s="1"/>
  <c r="F348" i="5" s="1"/>
  <c r="J348" i="5" s="1"/>
  <c r="K84" i="2"/>
  <c r="J84" i="2" s="1"/>
  <c r="E74" i="1" s="1"/>
  <c r="F86" i="5" s="1"/>
  <c r="J86" i="5" s="1"/>
  <c r="K252" i="2"/>
  <c r="J252" i="2" s="1"/>
  <c r="E242" i="1" s="1"/>
  <c r="F260" i="5" s="1"/>
  <c r="J260" i="5" s="1"/>
  <c r="K226" i="2"/>
  <c r="J226" i="2" s="1"/>
  <c r="E216" i="1" s="1"/>
  <c r="K196" i="2"/>
  <c r="J196" i="2" s="1"/>
  <c r="E186" i="1" s="1"/>
  <c r="F205" i="5" s="1"/>
  <c r="J205" i="5" s="1"/>
  <c r="K339" i="2"/>
  <c r="J339" i="2" s="1"/>
  <c r="E329" i="1"/>
  <c r="F346" i="5" s="1"/>
  <c r="J346" i="5" s="1"/>
  <c r="K292" i="2"/>
  <c r="J292" i="2" s="1"/>
  <c r="E282" i="1" s="1"/>
  <c r="F299" i="5" s="1"/>
  <c r="J299" i="5" s="1"/>
  <c r="K37" i="2"/>
  <c r="J37" i="2" s="1"/>
  <c r="E27" i="1" s="1"/>
  <c r="F35" i="5" s="1"/>
  <c r="J35" i="5" s="1"/>
  <c r="K299" i="2"/>
  <c r="J299" i="2" s="1"/>
  <c r="E289" i="1" s="1"/>
  <c r="F306" i="5" s="1"/>
  <c r="J306" i="5" s="1"/>
  <c r="K72" i="2"/>
  <c r="J72" i="2" s="1"/>
  <c r="E62" i="1" s="1"/>
  <c r="F74" i="5" s="1"/>
  <c r="J74" i="5" s="1"/>
  <c r="K164" i="2"/>
  <c r="J164" i="2" s="1"/>
  <c r="E154" i="1" s="1"/>
  <c r="F174" i="5" s="1"/>
  <c r="J174" i="5" s="1"/>
  <c r="K135" i="2"/>
  <c r="J135" i="2" s="1"/>
  <c r="E125" i="1" s="1"/>
  <c r="F141" i="5" s="1"/>
  <c r="J141" i="5" s="1"/>
  <c r="K386" i="2"/>
  <c r="J386" i="2" s="1"/>
  <c r="E376" i="1" s="1"/>
  <c r="F393" i="5" s="1"/>
  <c r="J393" i="5" s="1"/>
  <c r="K254" i="2"/>
  <c r="J254" i="2" s="1"/>
  <c r="E244" i="1"/>
  <c r="F262" i="5" s="1"/>
  <c r="J262" i="5" s="1"/>
  <c r="K348" i="2"/>
  <c r="J348" i="2" s="1"/>
  <c r="E338" i="1" s="1"/>
  <c r="F355" i="5" s="1"/>
  <c r="J355" i="5" s="1"/>
  <c r="K280" i="2"/>
  <c r="J280" i="2" s="1"/>
  <c r="E270" i="1"/>
  <c r="F287" i="5" s="1"/>
  <c r="J287" i="5" s="1"/>
  <c r="E223" i="1"/>
  <c r="F241" i="5" s="1"/>
  <c r="J241" i="5" s="1"/>
  <c r="K233" i="2"/>
  <c r="J233" i="2" s="1"/>
  <c r="K182" i="2"/>
  <c r="J182" i="2" s="1"/>
  <c r="E172" i="1" s="1"/>
  <c r="K171" i="2"/>
  <c r="J171" i="2" s="1"/>
  <c r="E161" i="1" s="1"/>
  <c r="F181" i="5" s="1"/>
  <c r="J181" i="5" s="1"/>
  <c r="K208" i="2"/>
  <c r="J208" i="2" s="1"/>
  <c r="E198" i="1" s="1"/>
  <c r="F217" i="5" s="1"/>
  <c r="J217" i="5" s="1"/>
  <c r="K308" i="2"/>
  <c r="J308" i="2" s="1"/>
  <c r="E298" i="1" s="1"/>
  <c r="K32" i="2"/>
  <c r="J32" i="2" s="1"/>
  <c r="E22" i="1" s="1"/>
  <c r="F30" i="5" s="1"/>
  <c r="J30" i="5" s="1"/>
  <c r="K322" i="2"/>
  <c r="J322" i="2" s="1"/>
  <c r="E312" i="1" s="1"/>
  <c r="F329" i="5" s="1"/>
  <c r="J329" i="5" s="1"/>
  <c r="K60" i="2"/>
  <c r="J60" i="2" s="1"/>
  <c r="E50" i="1" s="1"/>
  <c r="F58" i="5" s="1"/>
  <c r="J58" i="5" s="1"/>
  <c r="K305" i="2"/>
  <c r="J305" i="2" s="1"/>
  <c r="E295" i="1" s="1"/>
  <c r="F312" i="5" s="1"/>
  <c r="J312" i="5" s="1"/>
  <c r="K288" i="2"/>
  <c r="J288" i="2" s="1"/>
  <c r="E278" i="1" s="1"/>
  <c r="F295" i="5" s="1"/>
  <c r="J295" i="5" s="1"/>
  <c r="K169" i="2"/>
  <c r="J169" i="2" s="1"/>
  <c r="E159" i="1" s="1"/>
  <c r="F179" i="5" s="1"/>
  <c r="J179" i="5" s="1"/>
  <c r="K262" i="2"/>
  <c r="J262" i="2" s="1"/>
  <c r="E252" i="1" s="1"/>
  <c r="F270" i="5" s="1"/>
  <c r="J270" i="5" s="1"/>
  <c r="E428" i="1"/>
  <c r="K438" i="2"/>
  <c r="J438" i="2" s="1"/>
  <c r="K416" i="2"/>
  <c r="J416" i="2" s="1"/>
  <c r="E406" i="1"/>
  <c r="F423" i="5" s="1"/>
  <c r="J423" i="5" s="1"/>
  <c r="K186" i="2"/>
  <c r="J186" i="2" s="1"/>
  <c r="E176" i="1" s="1"/>
  <c r="K158" i="2"/>
  <c r="J158" i="2" s="1"/>
  <c r="E148" i="1" s="1"/>
  <c r="F168" i="5" s="1"/>
  <c r="J168" i="5" s="1"/>
  <c r="K284" i="2"/>
  <c r="J284" i="2" s="1"/>
  <c r="E274" i="1" s="1"/>
  <c r="F291" i="5" s="1"/>
  <c r="J291" i="5" s="1"/>
  <c r="K412" i="2"/>
  <c r="J412" i="2" s="1"/>
  <c r="E402" i="1" s="1"/>
  <c r="F419" i="5" s="1"/>
  <c r="J419" i="5" s="1"/>
  <c r="K302" i="2"/>
  <c r="J302" i="2" s="1"/>
  <c r="E292" i="1" s="1"/>
  <c r="F309" i="5" s="1"/>
  <c r="J309" i="5" s="1"/>
  <c r="K42" i="2"/>
  <c r="J42" i="2" s="1"/>
  <c r="E32" i="1" s="1"/>
  <c r="F40" i="5" s="1"/>
  <c r="J40" i="5" s="1"/>
  <c r="E226" i="1"/>
  <c r="F244" i="5" s="1"/>
  <c r="J244" i="5" s="1"/>
  <c r="K236" i="2"/>
  <c r="J236" i="2" s="1"/>
  <c r="K349" i="2"/>
  <c r="J349" i="2" s="1"/>
  <c r="E339" i="1"/>
  <c r="F356" i="5" s="1"/>
  <c r="J356" i="5" s="1"/>
  <c r="K89" i="2"/>
  <c r="J89" i="2" s="1"/>
  <c r="E79" i="1" s="1"/>
  <c r="F91" i="5" s="1"/>
  <c r="J91" i="5" s="1"/>
  <c r="K176" i="2"/>
  <c r="J176" i="2" s="1"/>
  <c r="E166" i="1"/>
  <c r="F186" i="5" s="1"/>
  <c r="J186" i="5" s="1"/>
  <c r="K286" i="2"/>
  <c r="J286" i="2" s="1"/>
  <c r="E276" i="1" s="1"/>
  <c r="F293" i="5" s="1"/>
  <c r="J293" i="5" s="1"/>
  <c r="K272" i="2"/>
  <c r="J272" i="2" s="1"/>
  <c r="E262" i="1" s="1"/>
  <c r="K433" i="2"/>
  <c r="J433" i="2" s="1"/>
  <c r="E423" i="1" s="1"/>
  <c r="F440" i="5" s="1"/>
  <c r="J440" i="5" s="1"/>
  <c r="K194" i="2"/>
  <c r="J194" i="2" s="1"/>
  <c r="E184" i="1"/>
  <c r="F203" i="5" s="1"/>
  <c r="J203" i="5" s="1"/>
  <c r="K231" i="2"/>
  <c r="J231" i="2" s="1"/>
  <c r="E221" i="1" s="1"/>
  <c r="F239" i="5" s="1"/>
  <c r="J239" i="5" s="1"/>
  <c r="K405" i="2"/>
  <c r="J405" i="2" s="1"/>
  <c r="E395" i="1"/>
  <c r="F412" i="5" s="1"/>
  <c r="J412" i="5" s="1"/>
  <c r="K306" i="2"/>
  <c r="J306" i="2" s="1"/>
  <c r="E296" i="1" s="1"/>
  <c r="F313" i="5" s="1"/>
  <c r="J313" i="5" s="1"/>
  <c r="K361" i="2"/>
  <c r="J361" i="2" s="1"/>
  <c r="E351" i="1" s="1"/>
  <c r="F368" i="5" s="1"/>
  <c r="J368" i="5" s="1"/>
  <c r="K127" i="2"/>
  <c r="J127" i="2" s="1"/>
  <c r="E117" i="1" s="1"/>
  <c r="F133" i="5" s="1"/>
  <c r="J133" i="5" s="1"/>
  <c r="K241" i="2"/>
  <c r="J241" i="2" s="1"/>
  <c r="E231" i="1"/>
  <c r="F249" i="5" s="1"/>
  <c r="J249" i="5" s="1"/>
  <c r="K26" i="2"/>
  <c r="J26" i="2" s="1"/>
  <c r="E16" i="1" s="1"/>
  <c r="F24" i="5" s="1"/>
  <c r="J24" i="5" s="1"/>
  <c r="K419" i="2"/>
  <c r="J419" i="2" s="1"/>
  <c r="E409" i="1"/>
  <c r="F426" i="5" s="1"/>
  <c r="J426" i="5" s="1"/>
  <c r="K219" i="2"/>
  <c r="J219" i="2" s="1"/>
  <c r="E209" i="1" s="1"/>
  <c r="F228" i="5" s="1"/>
  <c r="J228" i="5" s="1"/>
  <c r="K148" i="2"/>
  <c r="J148" i="2" s="1"/>
  <c r="E138" i="1"/>
  <c r="F158" i="5" s="1"/>
  <c r="J158" i="5" s="1"/>
  <c r="K218" i="2"/>
  <c r="J218" i="2" s="1"/>
  <c r="E208" i="1" s="1"/>
  <c r="F227" i="5" s="1"/>
  <c r="J227" i="5" s="1"/>
  <c r="K149" i="2"/>
  <c r="J149" i="2" s="1"/>
  <c r="E139" i="1"/>
  <c r="F159" i="5" s="1"/>
  <c r="J159" i="5" s="1"/>
  <c r="K91" i="2"/>
  <c r="J91" i="2" s="1"/>
  <c r="E81" i="1" s="1"/>
  <c r="F93" i="5" s="1"/>
  <c r="J93" i="5" s="1"/>
  <c r="K167" i="2"/>
  <c r="J167" i="2" s="1"/>
  <c r="E157" i="1" s="1"/>
  <c r="F177" i="5" s="1"/>
  <c r="J177" i="5" s="1"/>
  <c r="K150" i="2"/>
  <c r="J150" i="2" s="1"/>
  <c r="E140" i="1" s="1"/>
  <c r="F160" i="5" s="1"/>
  <c r="J160" i="5" s="1"/>
  <c r="K212" i="2"/>
  <c r="J212" i="2" s="1"/>
  <c r="E202" i="1"/>
  <c r="F221" i="5" s="1"/>
  <c r="J221" i="5" s="1"/>
  <c r="K360" i="2"/>
  <c r="J360" i="2" s="1"/>
  <c r="E350" i="1" s="1"/>
  <c r="F367" i="5" s="1"/>
  <c r="J367" i="5" s="1"/>
  <c r="K31" i="2"/>
  <c r="J31" i="2" s="1"/>
  <c r="E21" i="1" s="1"/>
  <c r="F29" i="5" s="1"/>
  <c r="J29" i="5" s="1"/>
  <c r="K75" i="2"/>
  <c r="J75" i="2" s="1"/>
  <c r="E65" i="1" s="1"/>
  <c r="F77" i="5" s="1"/>
  <c r="J77" i="5" s="1"/>
  <c r="K102" i="2"/>
  <c r="J102" i="2" s="1"/>
  <c r="E92" i="1" s="1"/>
  <c r="F104" i="5" s="1"/>
  <c r="J104" i="5" s="1"/>
  <c r="K155" i="2"/>
  <c r="J155" i="2" s="1"/>
  <c r="E145" i="1" s="1"/>
  <c r="F165" i="5" s="1"/>
  <c r="J165" i="5" s="1"/>
  <c r="K50" i="2"/>
  <c r="J50" i="2" s="1"/>
  <c r="E40" i="1" s="1"/>
  <c r="F48" i="5" s="1"/>
  <c r="J48" i="5" s="1"/>
  <c r="K406" i="2"/>
  <c r="J406" i="2" s="1"/>
  <c r="E396" i="1" s="1"/>
  <c r="F413" i="5" s="1"/>
  <c r="J413" i="5" s="1"/>
  <c r="K119" i="2"/>
  <c r="J119" i="2" s="1"/>
  <c r="E109" i="1"/>
  <c r="F125" i="5" s="1"/>
  <c r="J125" i="5" s="1"/>
  <c r="K177" i="2"/>
  <c r="J177" i="2" s="1"/>
  <c r="E167" i="1" s="1"/>
  <c r="F187" i="5" s="1"/>
  <c r="J187" i="5" s="1"/>
  <c r="K320" i="2"/>
  <c r="J320" i="2" s="1"/>
  <c r="E310" i="1"/>
  <c r="F327" i="5" s="1"/>
  <c r="J327" i="5" s="1"/>
  <c r="K52" i="2"/>
  <c r="J52" i="2" s="1"/>
  <c r="E42" i="1" s="1"/>
  <c r="F50" i="5" s="1"/>
  <c r="J50" i="5" s="1"/>
  <c r="K282" i="2"/>
  <c r="J282" i="2" s="1"/>
  <c r="E272" i="1" s="1"/>
  <c r="F289" i="5" s="1"/>
  <c r="J289" i="5" s="1"/>
  <c r="K370" i="2"/>
  <c r="J370" i="2" s="1"/>
  <c r="E360" i="1" s="1"/>
  <c r="F377" i="5" s="1"/>
  <c r="J377" i="5" s="1"/>
  <c r="K247" i="2"/>
  <c r="J247" i="2" s="1"/>
  <c r="E237" i="1" s="1"/>
  <c r="F255" i="5" s="1"/>
  <c r="J255" i="5" s="1"/>
  <c r="K402" i="2"/>
  <c r="J402" i="2" s="1"/>
  <c r="E392" i="1" s="1"/>
  <c r="F409" i="5" s="1"/>
  <c r="J409" i="5" s="1"/>
  <c r="K270" i="2"/>
  <c r="J270" i="2" s="1"/>
  <c r="E260" i="1" s="1"/>
  <c r="K264" i="2"/>
  <c r="J264" i="2" s="1"/>
  <c r="E254" i="1" s="1"/>
  <c r="F272" i="5" s="1"/>
  <c r="J272" i="5" s="1"/>
  <c r="K205" i="2"/>
  <c r="J205" i="2" s="1"/>
  <c r="E195" i="1" s="1"/>
  <c r="F214" i="5" s="1"/>
  <c r="J214" i="5" s="1"/>
  <c r="E12" i="1"/>
  <c r="F20" i="5" s="1"/>
  <c r="J20" i="5" s="1"/>
  <c r="K22" i="2"/>
  <c r="J22" i="2" s="1"/>
  <c r="K387" i="2"/>
  <c r="J387" i="2" s="1"/>
  <c r="E377" i="1" s="1"/>
  <c r="F394" i="5" s="1"/>
  <c r="J394" i="5" s="1"/>
  <c r="K237" i="2"/>
  <c r="J237" i="2" s="1"/>
  <c r="E227" i="1" s="1"/>
  <c r="F245" i="5" s="1"/>
  <c r="J245" i="5" s="1"/>
  <c r="K343" i="2"/>
  <c r="J343" i="2" s="1"/>
  <c r="E333" i="1"/>
  <c r="F350" i="5" s="1"/>
  <c r="J350" i="5" s="1"/>
  <c r="K431" i="2"/>
  <c r="J431" i="2" s="1"/>
  <c r="E421" i="1" s="1"/>
  <c r="F438" i="5" s="1"/>
  <c r="J438" i="5" s="1"/>
  <c r="K74" i="2"/>
  <c r="J74" i="2" s="1"/>
  <c r="E64" i="1"/>
  <c r="F76" i="5" s="1"/>
  <c r="J76" i="5" s="1"/>
  <c r="K248" i="2"/>
  <c r="J248" i="2" s="1"/>
  <c r="E238" i="1" s="1"/>
  <c r="F256" i="5" s="1"/>
  <c r="J256" i="5" s="1"/>
  <c r="K153" i="2"/>
  <c r="J153" i="2" s="1"/>
  <c r="E143" i="1" s="1"/>
  <c r="F163" i="5" s="1"/>
  <c r="J163" i="5" s="1"/>
  <c r="K156" i="2"/>
  <c r="J156" i="2" s="1"/>
  <c r="E146" i="1" s="1"/>
  <c r="F166" i="5" s="1"/>
  <c r="J166" i="5" s="1"/>
  <c r="K134" i="2"/>
  <c r="J134" i="2" s="1"/>
  <c r="E124" i="1"/>
  <c r="F140" i="5" s="1"/>
  <c r="J140" i="5" s="1"/>
  <c r="K98" i="2"/>
  <c r="J98" i="2" s="1"/>
  <c r="E88" i="1" s="1"/>
  <c r="F100" i="5" s="1"/>
  <c r="J100" i="5" s="1"/>
  <c r="K421" i="2"/>
  <c r="J421" i="2" s="1"/>
  <c r="E411" i="1"/>
  <c r="F428" i="5" s="1"/>
  <c r="J428" i="5" s="1"/>
  <c r="K76" i="2"/>
  <c r="J76" i="2" s="1"/>
  <c r="E66" i="1" s="1"/>
  <c r="F78" i="5" s="1"/>
  <c r="J78" i="5" s="1"/>
  <c r="K268" i="2"/>
  <c r="J268" i="2" s="1"/>
  <c r="E258" i="1" s="1"/>
  <c r="K70" i="2"/>
  <c r="J70" i="2" s="1"/>
  <c r="E60" i="1" s="1"/>
  <c r="F72" i="5" s="1"/>
  <c r="J72" i="5" s="1"/>
  <c r="K435" i="2"/>
  <c r="J435" i="2" s="1"/>
  <c r="E425" i="1" s="1"/>
  <c r="K59" i="2"/>
  <c r="J59" i="2" s="1"/>
  <c r="E49" i="1" s="1"/>
  <c r="F57" i="5" s="1"/>
  <c r="J57" i="5" s="1"/>
  <c r="K30" i="2"/>
  <c r="J30" i="2" s="1"/>
  <c r="E20" i="1"/>
  <c r="F28" i="5" s="1"/>
  <c r="J28" i="5" s="1"/>
  <c r="K64" i="2"/>
  <c r="J64" i="2" s="1"/>
  <c r="E54" i="1" s="1"/>
  <c r="F66" i="5" s="1"/>
  <c r="J66" i="5" s="1"/>
  <c r="K263" i="2"/>
  <c r="J263" i="2" s="1"/>
  <c r="E253" i="1" s="1"/>
  <c r="F271" i="5" s="1"/>
  <c r="J271" i="5" s="1"/>
  <c r="K307" i="2"/>
  <c r="J307" i="2" s="1"/>
  <c r="E297" i="1" s="1"/>
  <c r="F314" i="5" s="1"/>
  <c r="J314" i="5" s="1"/>
  <c r="K165" i="2"/>
  <c r="J165" i="2" s="1"/>
  <c r="E155" i="1"/>
  <c r="F175" i="5" s="1"/>
  <c r="J175" i="5" s="1"/>
  <c r="K109" i="2"/>
  <c r="J109" i="2" s="1"/>
  <c r="E99" i="1" s="1"/>
  <c r="F115" i="5" s="1"/>
  <c r="J115" i="5" s="1"/>
  <c r="K381" i="2"/>
  <c r="J381" i="2" s="1"/>
  <c r="E371" i="1"/>
  <c r="F388" i="5" s="1"/>
  <c r="J388" i="5" s="1"/>
  <c r="E390" i="1"/>
  <c r="F407" i="5" s="1"/>
  <c r="J407" i="5" s="1"/>
  <c r="K400" i="2"/>
  <c r="J400" i="2" s="1"/>
  <c r="K120" i="2"/>
  <c r="J120" i="2" s="1"/>
  <c r="E110" i="1"/>
  <c r="F126" i="5" s="1"/>
  <c r="J126" i="5" s="1"/>
  <c r="K238" i="2"/>
  <c r="J238" i="2" s="1"/>
  <c r="E228" i="1" s="1"/>
  <c r="F246" i="5" s="1"/>
  <c r="J246" i="5" s="1"/>
  <c r="K404" i="2"/>
  <c r="J404" i="2" s="1"/>
  <c r="E394" i="1"/>
  <c r="F411" i="5" s="1"/>
  <c r="J411" i="5" s="1"/>
  <c r="K124" i="2"/>
  <c r="J124" i="2" s="1"/>
  <c r="E114" i="1" s="1"/>
  <c r="F130" i="5" s="1"/>
  <c r="J130" i="5" s="1"/>
  <c r="K413" i="2"/>
  <c r="J413" i="2" s="1"/>
  <c r="E403" i="1" s="1"/>
  <c r="F420" i="5" s="1"/>
  <c r="J420" i="5" s="1"/>
  <c r="K43" i="2"/>
  <c r="J43" i="2" s="1"/>
  <c r="E33" i="1" s="1"/>
  <c r="F41" i="5" s="1"/>
  <c r="J41" i="5" s="1"/>
  <c r="K437" i="2"/>
  <c r="J437" i="2" s="1"/>
  <c r="E427" i="1" s="1"/>
  <c r="K355" i="2"/>
  <c r="J355" i="2" s="1"/>
  <c r="K328" i="2"/>
  <c r="J328" i="2" s="1"/>
  <c r="E318" i="1"/>
  <c r="F335" i="5" s="1"/>
  <c r="J335" i="5" s="1"/>
  <c r="K159" i="2"/>
  <c r="J159" i="2" s="1"/>
  <c r="E149" i="1" s="1"/>
  <c r="F169" i="5" s="1"/>
  <c r="J169" i="5" s="1"/>
  <c r="K338" i="2"/>
  <c r="J338" i="2" s="1"/>
  <c r="E328" i="1"/>
  <c r="F345" i="5" s="1"/>
  <c r="J345" i="5" s="1"/>
  <c r="K129" i="2"/>
  <c r="J129" i="2" s="1"/>
  <c r="E119" i="1" s="1"/>
  <c r="F135" i="5" s="1"/>
  <c r="J135" i="5" s="1"/>
  <c r="K422" i="2"/>
  <c r="J422" i="2" s="1"/>
  <c r="E412" i="1" s="1"/>
  <c r="F429" i="5" s="1"/>
  <c r="J429" i="5" s="1"/>
  <c r="K209" i="2"/>
  <c r="J209" i="2" s="1"/>
  <c r="E199" i="1" s="1"/>
  <c r="F218" i="5" s="1"/>
  <c r="J218" i="5" s="1"/>
  <c r="K313" i="2"/>
  <c r="J313" i="2" s="1"/>
  <c r="K287" i="2"/>
  <c r="J287" i="2" s="1"/>
  <c r="E277" i="1" s="1"/>
  <c r="F294" i="5" s="1"/>
  <c r="J294" i="5" s="1"/>
  <c r="K250" i="2"/>
  <c r="J250" i="2" s="1"/>
  <c r="E240" i="1"/>
  <c r="F258" i="5" s="1"/>
  <c r="J258" i="5" s="1"/>
  <c r="K312" i="2"/>
  <c r="J312" i="2" s="1"/>
  <c r="E302" i="1" s="1"/>
  <c r="K111" i="2"/>
  <c r="J111" i="2" s="1"/>
  <c r="E101" i="1"/>
  <c r="F117" i="5" s="1"/>
  <c r="J117" i="5" s="1"/>
  <c r="K297" i="2"/>
  <c r="J297" i="2" s="1"/>
  <c r="E287" i="1" s="1"/>
  <c r="F304" i="5" s="1"/>
  <c r="J304" i="5" s="1"/>
  <c r="K368" i="2"/>
  <c r="J368" i="2" s="1"/>
  <c r="E358" i="1"/>
  <c r="F375" i="5" s="1"/>
  <c r="J375" i="5" s="1"/>
  <c r="K152" i="2"/>
  <c r="J152" i="2" s="1"/>
  <c r="E142" i="1" s="1"/>
  <c r="F162" i="5" s="1"/>
  <c r="J162" i="5" s="1"/>
  <c r="K46" i="2"/>
  <c r="J46" i="2" s="1"/>
  <c r="E36" i="1"/>
  <c r="F44" i="5" s="1"/>
  <c r="J44" i="5" s="1"/>
  <c r="E381" i="1"/>
  <c r="F398" i="5" s="1"/>
  <c r="J398" i="5" s="1"/>
  <c r="K391" i="2"/>
  <c r="J391" i="2" s="1"/>
  <c r="K427" i="2"/>
  <c r="J427" i="2" s="1"/>
  <c r="E417" i="1"/>
  <c r="F434" i="5" s="1"/>
  <c r="J434" i="5" s="1"/>
  <c r="K94" i="2"/>
  <c r="J94" i="2" s="1"/>
  <c r="E84" i="1" s="1"/>
  <c r="F96" i="5" s="1"/>
  <c r="J96" i="5" s="1"/>
  <c r="K81" i="2"/>
  <c r="J81" i="2" s="1"/>
  <c r="E71" i="1"/>
  <c r="F83" i="5" s="1"/>
  <c r="J83" i="5" s="1"/>
  <c r="K49" i="2"/>
  <c r="J49" i="2" s="1"/>
  <c r="E39" i="1" s="1"/>
  <c r="F47" i="5" s="1"/>
  <c r="J47" i="5" s="1"/>
  <c r="K327" i="2"/>
  <c r="J327" i="2" s="1"/>
  <c r="E317" i="1" s="1"/>
  <c r="F334" i="5" s="1"/>
  <c r="J334" i="5" s="1"/>
  <c r="K246" i="2"/>
  <c r="J246" i="2" s="1"/>
  <c r="E236" i="1" s="1"/>
  <c r="F254" i="5" s="1"/>
  <c r="J254" i="5" s="1"/>
  <c r="K293" i="2"/>
  <c r="J293" i="2" s="1"/>
  <c r="E283" i="1" s="1"/>
  <c r="F300" i="5" s="1"/>
  <c r="J300" i="5" s="1"/>
  <c r="E129" i="1"/>
  <c r="F145" i="5" s="1"/>
  <c r="J145" i="5" s="1"/>
  <c r="K139" i="2"/>
  <c r="J139" i="2" s="1"/>
  <c r="K228" i="2"/>
  <c r="J228" i="2" s="1"/>
  <c r="E218" i="1" s="1"/>
  <c r="K126" i="2"/>
  <c r="J126" i="2" s="1"/>
  <c r="E116" i="1" s="1"/>
  <c r="F132" i="5" s="1"/>
  <c r="J132" i="5" s="1"/>
  <c r="K146" i="2"/>
  <c r="J146" i="2" s="1"/>
  <c r="E136" i="1" s="1"/>
  <c r="K18" i="2"/>
  <c r="J18" i="2" s="1"/>
  <c r="E8" i="1" s="1"/>
  <c r="K396" i="2"/>
  <c r="J396" i="2" s="1"/>
  <c r="E386" i="1" s="1"/>
  <c r="K166" i="2"/>
  <c r="J166" i="2" s="1"/>
  <c r="E156" i="1" s="1"/>
  <c r="F176" i="5" s="1"/>
  <c r="J176" i="5" s="1"/>
  <c r="K48" i="2"/>
  <c r="J48" i="2" s="1"/>
  <c r="E38" i="1"/>
  <c r="F46" i="5" s="1"/>
  <c r="J46" i="5" s="1"/>
  <c r="K83" i="2"/>
  <c r="J83" i="2" s="1"/>
  <c r="E73" i="1" s="1"/>
  <c r="F85" i="5" s="1"/>
  <c r="J85" i="5" s="1"/>
  <c r="K273" i="2"/>
  <c r="J273" i="2" s="1"/>
  <c r="E263" i="1"/>
  <c r="F280" i="5" s="1"/>
  <c r="J280" i="5" s="1"/>
  <c r="K223" i="2"/>
  <c r="J223" i="2" s="1"/>
  <c r="E213" i="1" s="1"/>
  <c r="F232" i="5" s="1"/>
  <c r="J232" i="5" s="1"/>
  <c r="K211" i="2"/>
  <c r="J211" i="2" s="1"/>
  <c r="E201" i="1"/>
  <c r="F220" i="5" s="1"/>
  <c r="J220" i="5" s="1"/>
  <c r="K27" i="2"/>
  <c r="J27" i="2" s="1"/>
  <c r="E17" i="1" s="1"/>
  <c r="F25" i="5" s="1"/>
  <c r="J25" i="5" s="1"/>
  <c r="K106" i="2"/>
  <c r="J106" i="2" s="1"/>
  <c r="E96" i="1" s="1"/>
  <c r="F112" i="5" s="1"/>
  <c r="J112" i="5" s="1"/>
  <c r="K33" i="2"/>
  <c r="J33" i="2" s="1"/>
  <c r="E23" i="1" s="1"/>
  <c r="F31" i="5" s="1"/>
  <c r="J31" i="5" s="1"/>
  <c r="K79" i="2"/>
  <c r="J79" i="2" s="1"/>
  <c r="E69" i="1" s="1"/>
  <c r="F81" i="5" s="1"/>
  <c r="J81" i="5" s="1"/>
  <c r="K395" i="2"/>
  <c r="J395" i="2" s="1"/>
  <c r="E385" i="1" s="1"/>
  <c r="K57" i="2"/>
  <c r="J57" i="2" s="1"/>
  <c r="E47" i="1" s="1"/>
  <c r="F55" i="5" s="1"/>
  <c r="J55" i="5" s="1"/>
  <c r="K276" i="2"/>
  <c r="J276" i="2" s="1"/>
  <c r="E266" i="1" s="1"/>
  <c r="F283" i="5" s="1"/>
  <c r="J283" i="5" s="1"/>
  <c r="K397" i="2"/>
  <c r="J397" i="2" s="1"/>
  <c r="K375" i="2"/>
  <c r="J375" i="2" s="1"/>
  <c r="E365" i="1" s="1"/>
  <c r="F382" i="5" s="1"/>
  <c r="J382" i="5" s="1"/>
  <c r="K39" i="2"/>
  <c r="J39" i="2" s="1"/>
  <c r="E29" i="1"/>
  <c r="F37" i="5" s="1"/>
  <c r="J37" i="5" s="1"/>
  <c r="K140" i="2"/>
  <c r="J140" i="2" s="1"/>
  <c r="E130" i="1" s="1"/>
  <c r="F146" i="5" s="1"/>
  <c r="J146" i="5" s="1"/>
  <c r="K142" i="2"/>
  <c r="J142" i="2" s="1"/>
  <c r="E132" i="1"/>
  <c r="F148" i="5" s="1"/>
  <c r="J148" i="5" s="1"/>
  <c r="K340" i="2"/>
  <c r="J340" i="2" s="1"/>
  <c r="E330" i="1" s="1"/>
  <c r="F347" i="5" s="1"/>
  <c r="J347" i="5" s="1"/>
  <c r="K80" i="2"/>
  <c r="J80" i="2" s="1"/>
  <c r="E70" i="1"/>
  <c r="F82" i="5" s="1"/>
  <c r="J82" i="5" s="1"/>
  <c r="K369" i="2"/>
  <c r="J369" i="2" s="1"/>
  <c r="E359" i="1" s="1"/>
  <c r="F376" i="5" s="1"/>
  <c r="J376" i="5" s="1"/>
  <c r="K175" i="2"/>
  <c r="J175" i="2" s="1"/>
  <c r="E165" i="1" s="1"/>
  <c r="F185" i="5" s="1"/>
  <c r="J185" i="5" s="1"/>
  <c r="K202" i="2"/>
  <c r="J202" i="2" s="1"/>
  <c r="E192" i="1" s="1"/>
  <c r="F211" i="5" s="1"/>
  <c r="J211" i="5" s="1"/>
  <c r="K78" i="2"/>
  <c r="J78" i="2" s="1"/>
  <c r="E68" i="1"/>
  <c r="F80" i="5" s="1"/>
  <c r="J80" i="5" s="1"/>
  <c r="K97" i="2"/>
  <c r="J97" i="2" s="1"/>
  <c r="E87" i="1" s="1"/>
  <c r="F99" i="5" s="1"/>
  <c r="J99" i="5" s="1"/>
  <c r="K69" i="2"/>
  <c r="J69" i="2" s="1"/>
  <c r="E59" i="1"/>
  <c r="F71" i="5" s="1"/>
  <c r="J71" i="5" s="1"/>
  <c r="K117" i="2"/>
  <c r="J117" i="2" s="1"/>
  <c r="E107" i="1" s="1"/>
  <c r="F123" i="5" s="1"/>
  <c r="J123" i="5" s="1"/>
  <c r="K426" i="2"/>
  <c r="J426" i="2" s="1"/>
  <c r="E416" i="1"/>
  <c r="F433" i="5" s="1"/>
  <c r="J433" i="5" s="1"/>
  <c r="K363" i="2"/>
  <c r="J363" i="2" s="1"/>
  <c r="E353" i="1" s="1"/>
  <c r="F370" i="5" s="1"/>
  <c r="J370" i="5" s="1"/>
  <c r="K350" i="2"/>
  <c r="J350" i="2" s="1"/>
  <c r="E340" i="1" s="1"/>
  <c r="K110" i="2"/>
  <c r="J110" i="2" s="1"/>
  <c r="E100" i="1" s="1"/>
  <c r="F116" i="5" s="1"/>
  <c r="J116" i="5" s="1"/>
  <c r="K326" i="2"/>
  <c r="J326" i="2" s="1"/>
  <c r="E316" i="1"/>
  <c r="F333" i="5" s="1"/>
  <c r="J333" i="5" s="1"/>
  <c r="K204" i="2"/>
  <c r="J204" i="2" s="1"/>
  <c r="E194" i="1" s="1"/>
  <c r="F213" i="5" s="1"/>
  <c r="J213" i="5" s="1"/>
  <c r="K321" i="2"/>
  <c r="J321" i="2" s="1"/>
  <c r="E311" i="1"/>
  <c r="F328" i="5" s="1"/>
  <c r="J328" i="5" s="1"/>
  <c r="K203" i="2"/>
  <c r="J203" i="2" s="1"/>
  <c r="E193" i="1" s="1"/>
  <c r="F212" i="5" s="1"/>
  <c r="J212" i="5" s="1"/>
  <c r="K415" i="2"/>
  <c r="J415" i="2" s="1"/>
  <c r="E405" i="1" s="1"/>
  <c r="F422" i="5" s="1"/>
  <c r="J422" i="5" s="1"/>
  <c r="K118" i="2"/>
  <c r="J118" i="2" s="1"/>
  <c r="E108" i="1" s="1"/>
  <c r="F124" i="5" s="1"/>
  <c r="J124" i="5" s="1"/>
  <c r="K392" i="2"/>
  <c r="J392" i="2" s="1"/>
  <c r="E382" i="1" s="1"/>
  <c r="K342" i="2"/>
  <c r="J342" i="2" s="1"/>
  <c r="E332" i="1" s="1"/>
  <c r="F349" i="5" s="1"/>
  <c r="J349" i="5" s="1"/>
  <c r="K95" i="2"/>
  <c r="J95" i="2" s="1"/>
  <c r="E85" i="1"/>
  <c r="F97" i="5" s="1"/>
  <c r="J97" i="5" s="1"/>
  <c r="K41" i="2"/>
  <c r="J41" i="2" s="1"/>
  <c r="E31" i="1" s="1"/>
  <c r="F39" i="5" s="1"/>
  <c r="J39" i="5" s="1"/>
  <c r="K401" i="2"/>
  <c r="J401" i="2" s="1"/>
  <c r="E391" i="1" s="1"/>
  <c r="F408" i="5" s="1"/>
  <c r="J408" i="5" s="1"/>
  <c r="K409" i="2"/>
  <c r="J409" i="2" s="1"/>
  <c r="E399" i="1" s="1"/>
  <c r="F416" i="5" s="1"/>
  <c r="J416" i="5" s="1"/>
  <c r="K113" i="2"/>
  <c r="J113" i="2" s="1"/>
  <c r="E103" i="1"/>
  <c r="F119" i="5" s="1"/>
  <c r="J119" i="5" s="1"/>
  <c r="K96" i="2"/>
  <c r="J96" i="2" s="1"/>
  <c r="E86" i="1" s="1"/>
  <c r="F98" i="5" s="1"/>
  <c r="J98" i="5" s="1"/>
  <c r="K123" i="2"/>
  <c r="J123" i="2" s="1"/>
  <c r="E113" i="1"/>
  <c r="F129" i="5" s="1"/>
  <c r="J129" i="5" s="1"/>
  <c r="E269" i="1"/>
  <c r="F286" i="5" s="1"/>
  <c r="J286" i="5" s="1"/>
  <c r="K279" i="2"/>
  <c r="J279" i="2" s="1"/>
  <c r="K199" i="2"/>
  <c r="J199" i="2" s="1"/>
  <c r="E189" i="1"/>
  <c r="F208" i="5" s="1"/>
  <c r="J208" i="5" s="1"/>
  <c r="K147" i="2"/>
  <c r="J147" i="2" s="1"/>
  <c r="E137" i="1" s="1"/>
  <c r="F157" i="5" s="1"/>
  <c r="J157" i="5" s="1"/>
  <c r="K418" i="2"/>
  <c r="J418" i="2" s="1"/>
  <c r="E408" i="1"/>
  <c r="F425" i="5" s="1"/>
  <c r="J425" i="5" s="1"/>
  <c r="K331" i="2"/>
  <c r="J331" i="2" s="1"/>
  <c r="E321" i="1" s="1"/>
  <c r="F338" i="5" s="1"/>
  <c r="J338" i="5" s="1"/>
  <c r="K364" i="2"/>
  <c r="J364" i="2" s="1"/>
  <c r="E354" i="1" s="1"/>
  <c r="F371" i="5" s="1"/>
  <c r="J371" i="5" s="1"/>
  <c r="K185" i="2"/>
  <c r="J185" i="2" s="1"/>
  <c r="E175" i="1" s="1"/>
  <c r="K417" i="2"/>
  <c r="J417" i="2" s="1"/>
  <c r="E407" i="1" s="1"/>
  <c r="F424" i="5" s="1"/>
  <c r="J424" i="5" s="1"/>
  <c r="E375" i="1"/>
  <c r="F392" i="5" s="1"/>
  <c r="J392" i="5" s="1"/>
  <c r="K385" i="2"/>
  <c r="J385" i="2" s="1"/>
  <c r="K330" i="2"/>
  <c r="J330" i="2" s="1"/>
  <c r="E320" i="1"/>
  <c r="F337" i="5" s="1"/>
  <c r="J337" i="5" s="1"/>
  <c r="K191" i="2"/>
  <c r="J191" i="2" s="1"/>
  <c r="E181" i="1" s="1"/>
  <c r="F200" i="5" s="1"/>
  <c r="J200" i="5" s="1"/>
  <c r="K108" i="2"/>
  <c r="J108" i="2" s="1"/>
  <c r="E98" i="1"/>
  <c r="F114" i="5" s="1"/>
  <c r="J114" i="5" s="1"/>
  <c r="K90" i="2"/>
  <c r="J90" i="2" s="1"/>
  <c r="E80" i="1" s="1"/>
  <c r="F92" i="5" s="1"/>
  <c r="J92" i="5" s="1"/>
  <c r="K103" i="2"/>
  <c r="J103" i="2" s="1"/>
  <c r="K151" i="2"/>
  <c r="J151" i="2" s="1"/>
  <c r="E141" i="1" s="1"/>
  <c r="F161" i="5" s="1"/>
  <c r="J161" i="5" s="1"/>
  <c r="K62" i="2"/>
  <c r="J62" i="2" s="1"/>
  <c r="E52" i="1"/>
  <c r="K390" i="2"/>
  <c r="J390" i="2" s="1"/>
  <c r="E380" i="1" s="1"/>
  <c r="F397" i="5" s="1"/>
  <c r="J397" i="5" s="1"/>
  <c r="K201" i="2"/>
  <c r="J201" i="2" s="1"/>
  <c r="E191" i="1"/>
  <c r="F210" i="5" s="1"/>
  <c r="J210" i="5" s="1"/>
  <c r="K257" i="2"/>
  <c r="J257" i="2" s="1"/>
  <c r="E247" i="1" s="1"/>
  <c r="F265" i="5" s="1"/>
  <c r="J265" i="5" s="1"/>
  <c r="K222" i="2"/>
  <c r="J222" i="2" s="1"/>
  <c r="E212" i="1"/>
  <c r="F231" i="5" s="1"/>
  <c r="J231" i="5" s="1"/>
  <c r="K261" i="2"/>
  <c r="J261" i="2" s="1"/>
  <c r="E251" i="1" s="1"/>
  <c r="F269" i="5" s="1"/>
  <c r="J269" i="5" s="1"/>
  <c r="K243" i="2"/>
  <c r="J243" i="2" s="1"/>
  <c r="E233" i="1" s="1"/>
  <c r="F251" i="5" s="1"/>
  <c r="J251" i="5" s="1"/>
  <c r="K362" i="2"/>
  <c r="J362" i="2" s="1"/>
  <c r="E352" i="1" s="1"/>
  <c r="F369" i="5" s="1"/>
  <c r="J369" i="5" s="1"/>
  <c r="K137" i="2"/>
  <c r="J137" i="2" s="1"/>
  <c r="E127" i="1"/>
  <c r="F143" i="5" s="1"/>
  <c r="J143" i="5" s="1"/>
  <c r="K394" i="2"/>
  <c r="J394" i="2" s="1"/>
  <c r="E384" i="1" s="1"/>
  <c r="K403" i="2"/>
  <c r="J403" i="2" s="1"/>
  <c r="E393" i="1" s="1"/>
  <c r="F410" i="5" s="1"/>
  <c r="J410" i="5" s="1"/>
  <c r="K217" i="2"/>
  <c r="J217" i="2" s="1"/>
  <c r="E207" i="1" s="1"/>
  <c r="F226" i="5" s="1"/>
  <c r="J226" i="5" s="1"/>
  <c r="K429" i="2"/>
  <c r="J429" i="2" s="1"/>
  <c r="E419" i="1"/>
  <c r="F436" i="5" s="1"/>
  <c r="J436" i="5" s="1"/>
  <c r="K430" i="2"/>
  <c r="J430" i="2" s="1"/>
  <c r="E420" i="1" s="1"/>
  <c r="F437" i="5" s="1"/>
  <c r="J437" i="5" s="1"/>
  <c r="K346" i="2"/>
  <c r="J346" i="2" s="1"/>
  <c r="E336" i="1" s="1"/>
  <c r="F353" i="5" s="1"/>
  <c r="J353" i="5" s="1"/>
  <c r="K337" i="2"/>
  <c r="J337" i="2" s="1"/>
  <c r="E327" i="1" s="1"/>
  <c r="F344" i="5" s="1"/>
  <c r="J344" i="5" s="1"/>
  <c r="K353" i="2"/>
  <c r="J353" i="2" s="1"/>
  <c r="E343" i="1" s="1"/>
  <c r="K244" i="2"/>
  <c r="J244" i="2" s="1"/>
  <c r="E234" i="1" s="1"/>
  <c r="F252" i="5" s="1"/>
  <c r="J252" i="5" s="1"/>
  <c r="K104" i="2"/>
  <c r="J104" i="2" s="1"/>
  <c r="E94" i="1" s="1"/>
  <c r="K130" i="2"/>
  <c r="J130" i="2" s="1"/>
  <c r="E120" i="1" s="1"/>
  <c r="F136" i="5" s="1"/>
  <c r="J136" i="5" s="1"/>
  <c r="K378" i="2"/>
  <c r="J378" i="2" s="1"/>
  <c r="E368" i="1" s="1"/>
  <c r="F385" i="5" s="1"/>
  <c r="J385" i="5" s="1"/>
  <c r="K351" i="2"/>
  <c r="J351" i="2" s="1"/>
  <c r="E341" i="1" s="1"/>
  <c r="K107" i="2"/>
  <c r="J107" i="2" s="1"/>
  <c r="E97" i="1" s="1"/>
  <c r="F113" i="5" s="1"/>
  <c r="J113" i="5" s="1"/>
  <c r="K101" i="2"/>
  <c r="J101" i="2" s="1"/>
  <c r="E91" i="1" s="1"/>
  <c r="F103" i="5" s="1"/>
  <c r="J103" i="5" s="1"/>
  <c r="K67" i="2"/>
  <c r="J67" i="2" s="1"/>
  <c r="E57" i="1"/>
  <c r="F69" i="5" s="1"/>
  <c r="J69" i="5" s="1"/>
  <c r="K267" i="2"/>
  <c r="J267" i="2" s="1"/>
  <c r="E257" i="1" s="1"/>
  <c r="K373" i="2"/>
  <c r="J373" i="2" s="1"/>
  <c r="E363" i="1"/>
  <c r="F380" i="5" s="1"/>
  <c r="J380" i="5" s="1"/>
  <c r="K333" i="2"/>
  <c r="J333" i="2" s="1"/>
  <c r="E323" i="1" s="1"/>
  <c r="F340" i="5" s="1"/>
  <c r="J340" i="5" s="1"/>
  <c r="K125" i="2"/>
  <c r="J125" i="2" s="1"/>
  <c r="E115" i="1"/>
  <c r="F131" i="5" s="1"/>
  <c r="J131" i="5" s="1"/>
  <c r="K323" i="2"/>
  <c r="J323" i="2" s="1"/>
  <c r="E313" i="1" s="1"/>
  <c r="F330" i="5" s="1"/>
  <c r="J330" i="5" s="1"/>
  <c r="K300" i="2"/>
  <c r="J300" i="2" s="1"/>
  <c r="E290" i="1" s="1"/>
  <c r="F307" i="5" s="1"/>
  <c r="J307" i="5" s="1"/>
  <c r="K87" i="2"/>
  <c r="J87" i="2" s="1"/>
  <c r="E77" i="1" s="1"/>
  <c r="F89" i="5" s="1"/>
  <c r="J89" i="5" s="1"/>
  <c r="K206" i="2"/>
  <c r="J206" i="2" s="1"/>
  <c r="E196" i="1" s="1"/>
  <c r="F215" i="5" s="1"/>
  <c r="J215" i="5" s="1"/>
  <c r="E160" i="1"/>
  <c r="F180" i="5" s="1"/>
  <c r="J180" i="5" s="1"/>
  <c r="K170" i="2"/>
  <c r="J170" i="2" s="1"/>
  <c r="K132" i="2"/>
  <c r="J132" i="2" s="1"/>
  <c r="E122" i="1"/>
  <c r="F138" i="5" s="1"/>
  <c r="J138" i="5" s="1"/>
  <c r="K145" i="2"/>
  <c r="J145" i="2" s="1"/>
  <c r="K88" i="2"/>
  <c r="J88" i="2" s="1"/>
  <c r="E78" i="1"/>
  <c r="F90" i="5" s="1"/>
  <c r="J90" i="5" s="1"/>
  <c r="K207" i="2"/>
  <c r="J207" i="2" s="1"/>
  <c r="E197" i="1" s="1"/>
  <c r="F216" i="5" s="1"/>
  <c r="J216" i="5" s="1"/>
  <c r="K240" i="2"/>
  <c r="J240" i="2" s="1"/>
  <c r="E230" i="1" s="1"/>
  <c r="F248" i="5" s="1"/>
  <c r="J248" i="5" s="1"/>
  <c r="K249" i="2"/>
  <c r="J249" i="2" s="1"/>
  <c r="E239" i="1" s="1"/>
  <c r="F257" i="5" s="1"/>
  <c r="J257" i="5" s="1"/>
  <c r="K317" i="2"/>
  <c r="J317" i="2" s="1"/>
  <c r="E307" i="1"/>
  <c r="F324" i="5" s="1"/>
  <c r="J324" i="5" s="1"/>
  <c r="K377" i="2"/>
  <c r="J377" i="2" s="1"/>
  <c r="E367" i="1" s="1"/>
  <c r="F384" i="5" s="1"/>
  <c r="J384" i="5" s="1"/>
  <c r="K144" i="2"/>
  <c r="J144" i="2" s="1"/>
  <c r="E134" i="1"/>
  <c r="F150" i="5" s="1"/>
  <c r="J150" i="5" s="1"/>
  <c r="K162" i="2"/>
  <c r="J162" i="2" s="1"/>
  <c r="E152" i="1" s="1"/>
  <c r="F172" i="5" s="1"/>
  <c r="J172" i="5" s="1"/>
  <c r="K174" i="2"/>
  <c r="J174" i="2" s="1"/>
  <c r="E164" i="1" s="1"/>
  <c r="F184" i="5" s="1"/>
  <c r="J184" i="5" s="1"/>
  <c r="K230" i="2"/>
  <c r="J230" i="2" s="1"/>
  <c r="E220" i="1" s="1"/>
  <c r="K234" i="2"/>
  <c r="J234" i="2" s="1"/>
  <c r="E224" i="1"/>
  <c r="F242" i="5" s="1"/>
  <c r="J242" i="5" s="1"/>
  <c r="K278" i="2"/>
  <c r="J278" i="2" s="1"/>
  <c r="E268" i="1" s="1"/>
  <c r="F285" i="5" s="1"/>
  <c r="J285" i="5" s="1"/>
  <c r="K143" i="2"/>
  <c r="J143" i="2" s="1"/>
  <c r="E133" i="1"/>
  <c r="F149" i="5" s="1"/>
  <c r="J149" i="5" s="1"/>
  <c r="K180" i="2"/>
  <c r="J180" i="2" s="1"/>
  <c r="E170" i="1" s="1"/>
  <c r="F190" i="5" s="1"/>
  <c r="J190" i="5" s="1"/>
  <c r="K181" i="2"/>
  <c r="J181" i="2" s="1"/>
  <c r="E171" i="1"/>
  <c r="F191" i="5" s="1"/>
  <c r="J191" i="5" s="1"/>
  <c r="K420" i="2"/>
  <c r="J420" i="2" s="1"/>
  <c r="E410" i="1" s="1"/>
  <c r="F427" i="5" s="1"/>
  <c r="J427" i="5" s="1"/>
  <c r="K105" i="2"/>
  <c r="J105" i="2" s="1"/>
  <c r="E95" i="1"/>
  <c r="F111" i="5" s="1"/>
  <c r="J111" i="5" s="1"/>
  <c r="K61" i="2"/>
  <c r="J61" i="2" s="1"/>
  <c r="K303" i="2"/>
  <c r="J303" i="2" s="1"/>
  <c r="E293" i="1" s="1"/>
  <c r="F310" i="5" s="1"/>
  <c r="J310" i="5" s="1"/>
  <c r="K334" i="2"/>
  <c r="J334" i="2" s="1"/>
  <c r="E324" i="1" s="1"/>
  <c r="F341" i="5" s="1"/>
  <c r="J341" i="5" s="1"/>
  <c r="K160" i="2"/>
  <c r="J160" i="2" s="1"/>
  <c r="E150" i="1" s="1"/>
  <c r="F170" i="5" s="1"/>
  <c r="J170" i="5" s="1"/>
  <c r="K253" i="2"/>
  <c r="J253" i="2" s="1"/>
  <c r="E243" i="1" s="1"/>
  <c r="F261" i="5" s="1"/>
  <c r="J261" i="5" s="1"/>
  <c r="K266" i="2"/>
  <c r="J266" i="2" s="1"/>
  <c r="E256" i="1" s="1"/>
  <c r="K121" i="2"/>
  <c r="J121" i="2" s="1"/>
  <c r="E111" i="1" s="1"/>
  <c r="F127" i="5" s="1"/>
  <c r="J127" i="5" s="1"/>
  <c r="K309" i="2"/>
  <c r="J309" i="2" s="1"/>
  <c r="E299" i="1"/>
  <c r="K275" i="2"/>
  <c r="J275" i="2" s="1"/>
  <c r="E265" i="1" s="1"/>
  <c r="F282" i="5" s="1"/>
  <c r="J282" i="5" s="1"/>
  <c r="K122" i="2"/>
  <c r="J122" i="2" s="1"/>
  <c r="E112" i="1"/>
  <c r="F128" i="5" s="1"/>
  <c r="J128" i="5" s="1"/>
  <c r="E82" i="1"/>
  <c r="F94" i="5" s="1"/>
  <c r="J94" i="5" s="1"/>
  <c r="K92" i="2"/>
  <c r="J92" i="2" s="1"/>
  <c r="K163" i="2"/>
  <c r="J163" i="2" s="1"/>
  <c r="E153" i="1"/>
  <c r="F173" i="5" s="1"/>
  <c r="J173" i="5" s="1"/>
  <c r="K19" i="2"/>
  <c r="J19" i="2" s="1"/>
  <c r="K66" i="2"/>
  <c r="J66" i="2" s="1"/>
  <c r="E56" i="1"/>
  <c r="F68" i="5" s="1"/>
  <c r="J68" i="5" s="1"/>
  <c r="K329" i="2"/>
  <c r="J329" i="2" s="1"/>
  <c r="E319" i="1" s="1"/>
  <c r="F336" i="5" s="1"/>
  <c r="J336" i="5" s="1"/>
  <c r="K188" i="2"/>
  <c r="J188" i="2" s="1"/>
  <c r="E178" i="1" s="1"/>
  <c r="K128" i="2"/>
  <c r="J128" i="2" s="1"/>
  <c r="E118" i="1" s="1"/>
  <c r="F134" i="5" s="1"/>
  <c r="J134" i="5" s="1"/>
  <c r="K68" i="2"/>
  <c r="J68" i="2" s="1"/>
  <c r="E58" i="1"/>
  <c r="F70" i="5" s="1"/>
  <c r="J70" i="5" s="1"/>
  <c r="K220" i="2"/>
  <c r="J220" i="2" s="1"/>
  <c r="E210" i="1" s="1"/>
  <c r="F229" i="5" s="1"/>
  <c r="J229" i="5" s="1"/>
  <c r="K411" i="2"/>
  <c r="J411" i="2" s="1"/>
  <c r="E401" i="1" s="1"/>
  <c r="F418" i="5" s="1"/>
  <c r="J418" i="5" s="1"/>
  <c r="K56" i="2"/>
  <c r="J56" i="2" s="1"/>
  <c r="E46" i="1" s="1"/>
  <c r="F54" i="5" s="1"/>
  <c r="J54" i="5" s="1"/>
  <c r="K393" i="2"/>
  <c r="J393" i="2" s="1"/>
  <c r="E383" i="1" s="1"/>
  <c r="K51" i="2"/>
  <c r="J51" i="2" s="1"/>
  <c r="E41" i="1" s="1"/>
  <c r="F49" i="5" s="1"/>
  <c r="J49" i="5" s="1"/>
  <c r="K154" i="2"/>
  <c r="J154" i="2" s="1"/>
  <c r="E144" i="1"/>
  <c r="F164" i="5" s="1"/>
  <c r="J164" i="5" s="1"/>
  <c r="E315" i="1"/>
  <c r="F332" i="5" s="1"/>
  <c r="J332" i="5" s="1"/>
  <c r="K325" i="2"/>
  <c r="J325" i="2" s="1"/>
  <c r="K301" i="2"/>
  <c r="J301" i="2" s="1"/>
  <c r="E291" i="1"/>
  <c r="F308" i="5" s="1"/>
  <c r="J308" i="5" s="1"/>
  <c r="K210" i="2"/>
  <c r="J210" i="2" s="1"/>
  <c r="E200" i="1" s="1"/>
  <c r="F219" i="5" s="1"/>
  <c r="J219" i="5" s="1"/>
  <c r="K190" i="2"/>
  <c r="J190" i="2" s="1"/>
  <c r="E180" i="1"/>
  <c r="F199" i="5" s="1"/>
  <c r="J199" i="5" s="1"/>
  <c r="K314" i="2"/>
  <c r="J314" i="2" s="1"/>
  <c r="E304" i="1" s="1"/>
  <c r="K295" i="2"/>
  <c r="J295" i="2" s="1"/>
  <c r="E285" i="1" s="1"/>
  <c r="F302" i="5" s="1"/>
  <c r="J302" i="5" s="1"/>
  <c r="K335" i="2"/>
  <c r="J335" i="2" s="1"/>
  <c r="E325" i="1" s="1"/>
  <c r="F342" i="5" s="1"/>
  <c r="J342" i="5" s="1"/>
  <c r="K291" i="2"/>
  <c r="J291" i="2" s="1"/>
  <c r="E281" i="1" s="1"/>
  <c r="F298" i="5" s="1"/>
  <c r="J298" i="5" s="1"/>
  <c r="K93" i="2"/>
  <c r="J93" i="2" s="1"/>
  <c r="E83" i="1" s="1"/>
  <c r="F95" i="5" s="1"/>
  <c r="J95" i="5" s="1"/>
  <c r="K168" i="2"/>
  <c r="J168" i="2" s="1"/>
  <c r="E158" i="1"/>
  <c r="F178" i="5" s="1"/>
  <c r="J178" i="5" s="1"/>
  <c r="K423" i="2"/>
  <c r="J423" i="2" s="1"/>
  <c r="E413" i="1" s="1"/>
  <c r="F430" i="5" s="1"/>
  <c r="J430" i="5" s="1"/>
  <c r="K216" i="2"/>
  <c r="J216" i="2" s="1"/>
  <c r="E206" i="1"/>
  <c r="F225" i="5" s="1"/>
  <c r="J225" i="5" s="1"/>
  <c r="K195" i="2"/>
  <c r="J195" i="2" s="1"/>
  <c r="E185" i="1" s="1"/>
  <c r="F204" i="5" s="1"/>
  <c r="J204" i="5" s="1"/>
  <c r="K271" i="2"/>
  <c r="J271" i="2" s="1"/>
  <c r="K215" i="2"/>
  <c r="J215" i="2" s="1"/>
  <c r="E205" i="1" s="1"/>
  <c r="F224" i="5" s="1"/>
  <c r="J224" i="5" s="1"/>
  <c r="K345" i="2"/>
  <c r="J345" i="2" s="1"/>
  <c r="E335" i="1"/>
  <c r="F352" i="5" s="1"/>
  <c r="J352" i="5" s="1"/>
  <c r="K347" i="2"/>
  <c r="J347" i="2" s="1"/>
  <c r="E337" i="1" s="1"/>
  <c r="F354" i="5" s="1"/>
  <c r="J354" i="5" s="1"/>
  <c r="K161" i="2"/>
  <c r="J161" i="2" s="1"/>
  <c r="E151" i="1"/>
  <c r="F171" i="5" s="1"/>
  <c r="J171" i="5" s="1"/>
  <c r="K86" i="2"/>
  <c r="J86" i="2" s="1"/>
  <c r="E76" i="1" s="1"/>
  <c r="F88" i="5" s="1"/>
  <c r="J88" i="5" s="1"/>
  <c r="K114" i="2"/>
  <c r="J114" i="2" s="1"/>
  <c r="E104" i="1" s="1"/>
  <c r="F120" i="5" s="1"/>
  <c r="J120" i="5" s="1"/>
  <c r="K85" i="2"/>
  <c r="J85" i="2" s="1"/>
  <c r="E75" i="1" s="1"/>
  <c r="F87" i="5" s="1"/>
  <c r="J87" i="5" s="1"/>
  <c r="K281" i="2"/>
  <c r="J281" i="2" s="1"/>
  <c r="E271" i="1"/>
  <c r="F288" i="5" s="1"/>
  <c r="J288" i="5" s="1"/>
  <c r="K63" i="2"/>
  <c r="J63" i="2" s="1"/>
  <c r="E53" i="1" s="1"/>
  <c r="F65" i="5" s="1"/>
  <c r="J65" i="5" s="1"/>
  <c r="K398" i="2"/>
  <c r="J398" i="2" s="1"/>
  <c r="E388" i="1" s="1"/>
  <c r="K424" i="2"/>
  <c r="J424" i="2" s="1"/>
  <c r="E414" i="1" s="1"/>
  <c r="F431" i="5" s="1"/>
  <c r="J431" i="5" s="1"/>
  <c r="K407" i="2"/>
  <c r="J407" i="2" s="1"/>
  <c r="E397" i="1" s="1"/>
  <c r="F414" i="5" s="1"/>
  <c r="J414" i="5" s="1"/>
  <c r="K38" i="2"/>
  <c r="J38" i="2" s="1"/>
  <c r="E28" i="1" s="1"/>
  <c r="F36" i="5" s="1"/>
  <c r="J36" i="5" s="1"/>
  <c r="K285" i="2"/>
  <c r="J285" i="2" s="1"/>
  <c r="E275" i="1"/>
  <c r="F292" i="5" s="1"/>
  <c r="J292" i="5" s="1"/>
  <c r="K54" i="2"/>
  <c r="J54" i="2" s="1"/>
  <c r="E44" i="1" s="1"/>
  <c r="F52" i="5" s="1"/>
  <c r="J52" i="5" s="1"/>
  <c r="K172" i="2"/>
  <c r="J172" i="2" s="1"/>
  <c r="E162" i="1" s="1"/>
  <c r="F182" i="5" s="1"/>
  <c r="J182" i="5" s="1"/>
  <c r="K399" i="2"/>
  <c r="J399" i="2" s="1"/>
  <c r="E389" i="1" s="1"/>
  <c r="F406" i="5" s="1"/>
  <c r="J406" i="5" s="1"/>
  <c r="K193" i="2"/>
  <c r="J193" i="2" s="1"/>
  <c r="E183" i="1" s="1"/>
  <c r="F202" i="5" s="1"/>
  <c r="J202" i="5" s="1"/>
  <c r="K296" i="2"/>
  <c r="J296" i="2" s="1"/>
  <c r="E286" i="1" s="1"/>
  <c r="F303" i="5" s="1"/>
  <c r="J303" i="5" s="1"/>
  <c r="K198" i="2"/>
  <c r="J198" i="2" s="1"/>
  <c r="E188" i="1"/>
  <c r="F207" i="5" s="1"/>
  <c r="J207" i="5" s="1"/>
  <c r="K379" i="2"/>
  <c r="J379" i="2" s="1"/>
  <c r="E369" i="1" s="1"/>
  <c r="F386" i="5" s="1"/>
  <c r="J386" i="5" s="1"/>
  <c r="K28" i="2"/>
  <c r="J28" i="2" s="1"/>
  <c r="E18" i="1"/>
  <c r="F26" i="5" s="1"/>
  <c r="J26" i="5" s="1"/>
  <c r="K115" i="2"/>
  <c r="J115" i="2" s="1"/>
  <c r="E105" i="1" s="1"/>
  <c r="F121" i="5" s="1"/>
  <c r="J121" i="5" s="1"/>
  <c r="K184" i="2"/>
  <c r="J184" i="2" s="1"/>
  <c r="E174" i="1"/>
  <c r="K40" i="2"/>
  <c r="J40" i="2" s="1"/>
  <c r="E30" i="1" s="1"/>
  <c r="F38" i="5" s="1"/>
  <c r="J38" i="5" s="1"/>
  <c r="K36" i="2"/>
  <c r="J36" i="2" s="1"/>
  <c r="E26" i="1" s="1"/>
  <c r="F34" i="5" s="1"/>
  <c r="J34" i="5" s="1"/>
  <c r="K372" i="2"/>
  <c r="J372" i="2" s="1"/>
  <c r="E362" i="1" s="1"/>
  <c r="F379" i="5" s="1"/>
  <c r="J379" i="5" s="1"/>
  <c r="K20" i="2"/>
  <c r="J20" i="2" s="1"/>
  <c r="E10" i="1"/>
  <c r="K388" i="2"/>
  <c r="J388" i="2" s="1"/>
  <c r="E378" i="1" s="1"/>
  <c r="F395" i="5" s="1"/>
  <c r="J395" i="5" s="1"/>
  <c r="K116" i="2"/>
  <c r="J116" i="2" s="1"/>
  <c r="E106" i="1"/>
  <c r="F122" i="5" s="1"/>
  <c r="J122" i="5" s="1"/>
  <c r="K242" i="2"/>
  <c r="J242" i="2" s="1"/>
  <c r="E232" i="1" s="1"/>
  <c r="F250" i="5" s="1"/>
  <c r="J250" i="5" s="1"/>
  <c r="K319" i="2"/>
  <c r="J319" i="2" s="1"/>
  <c r="E309" i="1"/>
  <c r="F326" i="5" s="1"/>
  <c r="J326" i="5" s="1"/>
  <c r="K357" i="2"/>
  <c r="J357" i="2" s="1"/>
  <c r="E347" i="1" s="1"/>
  <c r="F364" i="5" s="1"/>
  <c r="J364" i="5" s="1"/>
  <c r="K65" i="2"/>
  <c r="J65" i="2" s="1"/>
  <c r="E55" i="1" s="1"/>
  <c r="F67" i="5" s="1"/>
  <c r="J67" i="5" s="1"/>
  <c r="K58" i="2"/>
  <c r="J58" i="2" s="1"/>
  <c r="E48" i="1" s="1"/>
  <c r="F56" i="5" s="1"/>
  <c r="J56" i="5" s="1"/>
  <c r="K34" i="2"/>
  <c r="J34" i="2" s="1"/>
  <c r="E24" i="1"/>
  <c r="F32" i="5" s="1"/>
  <c r="J32" i="5" s="1"/>
  <c r="K189" i="2"/>
  <c r="J189" i="2" s="1"/>
  <c r="E179" i="1" s="1"/>
  <c r="F198" i="5" s="1"/>
  <c r="J198" i="5" s="1"/>
  <c r="K332" i="2"/>
  <c r="J332" i="2" s="1"/>
  <c r="E322" i="1"/>
  <c r="F339" i="5" s="1"/>
  <c r="J339" i="5" s="1"/>
  <c r="B439" i="2"/>
  <c r="K17" i="2"/>
  <c r="K352" i="2"/>
  <c r="J352" i="2" s="1"/>
  <c r="E342" i="1" s="1"/>
  <c r="K269" i="2"/>
  <c r="J269" i="2" s="1"/>
  <c r="E259" i="1" s="1"/>
  <c r="K310" i="2"/>
  <c r="J310" i="2" s="1"/>
  <c r="E300" i="1" s="1"/>
  <c r="K380" i="2"/>
  <c r="J380" i="2" s="1"/>
  <c r="E370" i="1" s="1"/>
  <c r="F387" i="5" s="1"/>
  <c r="J387" i="5" s="1"/>
  <c r="K434" i="2"/>
  <c r="J434" i="2" s="1"/>
  <c r="E424" i="1" s="1"/>
  <c r="K298" i="2"/>
  <c r="J298" i="2" s="1"/>
  <c r="E288" i="1" s="1"/>
  <c r="F305" i="5" s="1"/>
  <c r="J305" i="5" s="1"/>
  <c r="K131" i="2"/>
  <c r="J131" i="2" s="1"/>
  <c r="E121" i="1" s="1"/>
  <c r="F137" i="5" s="1"/>
  <c r="J137" i="5" s="1"/>
  <c r="K365" i="2"/>
  <c r="J365" i="2" s="1"/>
  <c r="E355" i="1" s="1"/>
  <c r="F372" i="5" s="1"/>
  <c r="J372" i="5" s="1"/>
  <c r="K73" i="2"/>
  <c r="J73" i="2" s="1"/>
  <c r="E63" i="1" s="1"/>
  <c r="F75" i="5" s="1"/>
  <c r="J75" i="5" s="1"/>
  <c r="K157" i="2"/>
  <c r="J157" i="2" s="1"/>
  <c r="E147" i="1" s="1"/>
  <c r="F167" i="5" s="1"/>
  <c r="J167" i="5" s="1"/>
  <c r="K324" i="2"/>
  <c r="J324" i="2" s="1"/>
  <c r="E314" i="1" s="1"/>
  <c r="F331" i="5" s="1"/>
  <c r="J331" i="5" s="1"/>
  <c r="K112" i="2"/>
  <c r="J112" i="2" s="1"/>
  <c r="E102" i="1"/>
  <c r="F118" i="5" s="1"/>
  <c r="J118" i="5" s="1"/>
  <c r="K245" i="2"/>
  <c r="J245" i="2" s="1"/>
  <c r="E235" i="1" s="1"/>
  <c r="F253" i="5" s="1"/>
  <c r="J253" i="5" s="1"/>
  <c r="K100" i="2"/>
  <c r="J100" i="2" s="1"/>
  <c r="E90" i="1" s="1"/>
  <c r="F102" i="5" s="1"/>
  <c r="J102" i="5" s="1"/>
  <c r="K376" i="2"/>
  <c r="J376" i="2" s="1"/>
  <c r="E366" i="1" s="1"/>
  <c r="F383" i="5" s="1"/>
  <c r="J383" i="5" s="1"/>
  <c r="K304" i="2"/>
  <c r="J304" i="2" s="1"/>
  <c r="E294" i="1" s="1"/>
  <c r="F311" i="5" s="1"/>
  <c r="J311" i="5" s="1"/>
  <c r="K389" i="2"/>
  <c r="J389" i="2" s="1"/>
  <c r="E379" i="1" s="1"/>
  <c r="F396" i="5" s="1"/>
  <c r="J396" i="5" s="1"/>
  <c r="K383" i="2"/>
  <c r="J383" i="2" s="1"/>
  <c r="E373" i="1" s="1"/>
  <c r="F390" i="5" s="1"/>
  <c r="J390" i="5" s="1"/>
  <c r="K200" i="2"/>
  <c r="J200" i="2" s="1"/>
  <c r="E190" i="1" s="1"/>
  <c r="F209" i="5" s="1"/>
  <c r="J209" i="5" s="1"/>
  <c r="K29" i="2"/>
  <c r="J29" i="2" s="1"/>
  <c r="E19" i="1"/>
  <c r="F27" i="5" s="1"/>
  <c r="J27" i="5" s="1"/>
  <c r="K197" i="2"/>
  <c r="J197" i="2" s="1"/>
  <c r="E187" i="1" s="1"/>
  <c r="F206" i="5" s="1"/>
  <c r="J206" i="5" s="1"/>
  <c r="K224" i="2"/>
  <c r="J224" i="2" s="1"/>
  <c r="E214" i="1" s="1"/>
  <c r="K192" i="2"/>
  <c r="J192" i="2" s="1"/>
  <c r="E182" i="1" s="1"/>
  <c r="F201" i="5" s="1"/>
  <c r="J201" i="5" s="1"/>
  <c r="K133" i="2"/>
  <c r="J133" i="2" s="1"/>
  <c r="E123" i="1"/>
  <c r="F139" i="5" s="1"/>
  <c r="J139" i="5" s="1"/>
  <c r="K136" i="2"/>
  <c r="J136" i="2" s="1"/>
  <c r="E126" i="1" s="1"/>
  <c r="F142" i="5" s="1"/>
  <c r="J142" i="5" s="1"/>
  <c r="K374" i="2"/>
  <c r="J374" i="2" s="1"/>
  <c r="E364" i="1"/>
  <c r="F381" i="5" s="1"/>
  <c r="J381" i="5" s="1"/>
  <c r="K436" i="2"/>
  <c r="J436" i="2" s="1"/>
  <c r="E426" i="1" s="1"/>
  <c r="K173" i="2"/>
  <c r="J173" i="2" s="1"/>
  <c r="E163" i="1"/>
  <c r="F183" i="5" s="1"/>
  <c r="J183" i="5" s="1"/>
  <c r="K265" i="2"/>
  <c r="J265" i="2" s="1"/>
  <c r="E255" i="1" s="1"/>
  <c r="F273" i="5" s="1"/>
  <c r="J273" i="5" s="1"/>
  <c r="K336" i="2"/>
  <c r="J336" i="2" s="1"/>
  <c r="E326" i="1"/>
  <c r="F343" i="5" s="1"/>
  <c r="J343" i="5" s="1"/>
  <c r="K187" i="2"/>
  <c r="J187" i="2" s="1"/>
  <c r="K229" i="2"/>
  <c r="J229" i="2" s="1"/>
  <c r="K316" i="2"/>
  <c r="J316" i="2" s="1"/>
  <c r="E306" i="1" s="1"/>
  <c r="F323" i="5" s="1"/>
  <c r="J323" i="5" s="1"/>
  <c r="K356" i="2"/>
  <c r="J356" i="2" s="1"/>
  <c r="E346" i="1"/>
  <c r="K428" i="2"/>
  <c r="J428" i="2" s="1"/>
  <c r="E418" i="1" s="1"/>
  <c r="F435" i="5" s="1"/>
  <c r="J435" i="5" s="1"/>
  <c r="K25" i="2"/>
  <c r="J25" i="2" s="1"/>
  <c r="E15" i="1"/>
  <c r="F23" i="5" s="1"/>
  <c r="J23" i="5" s="1"/>
  <c r="E249" i="1"/>
  <c r="F267" i="5" s="1"/>
  <c r="J267" i="5" s="1"/>
  <c r="K259" i="2"/>
  <c r="J259" i="2" s="1"/>
  <c r="K179" i="2"/>
  <c r="J179" i="2" s="1"/>
  <c r="E169" i="1"/>
  <c r="F189" i="5" s="1"/>
  <c r="J189" i="5" s="1"/>
  <c r="E89" i="1"/>
  <c r="F101" i="5" s="1"/>
  <c r="J101" i="5" s="1"/>
  <c r="K99" i="2"/>
  <c r="J99" i="2" s="1"/>
  <c r="K23" i="2"/>
  <c r="J23" i="2" s="1"/>
  <c r="E13" i="1"/>
  <c r="F21" i="5" s="1"/>
  <c r="J21" i="5" s="1"/>
  <c r="K141" i="2"/>
  <c r="J141" i="2" s="1"/>
  <c r="E131" i="1" s="1"/>
  <c r="F147" i="5" s="1"/>
  <c r="J147" i="5" s="1"/>
  <c r="E9" i="1" l="1"/>
  <c r="E177" i="1"/>
  <c r="E219" i="1"/>
  <c r="E261" i="1"/>
  <c r="E51" i="1"/>
  <c r="F63" i="5" s="1"/>
  <c r="J63" i="5" s="1"/>
  <c r="E345" i="1"/>
  <c r="E387" i="1"/>
  <c r="E303" i="1"/>
  <c r="F320" i="5" s="1"/>
  <c r="J320" i="5" s="1"/>
  <c r="E135" i="1"/>
  <c r="F155" i="5" s="1"/>
  <c r="J155" i="5" s="1"/>
  <c r="E93" i="1"/>
  <c r="F363" i="5"/>
  <c r="J363" i="5" s="1"/>
  <c r="K345" i="1"/>
  <c r="F405" i="5"/>
  <c r="J405" i="5" s="1"/>
  <c r="K387" i="1"/>
  <c r="F64" i="5"/>
  <c r="J64" i="5" s="1"/>
  <c r="K51" i="1"/>
  <c r="F279" i="5"/>
  <c r="J279" i="5" s="1"/>
  <c r="K261" i="1"/>
  <c r="F18" i="5"/>
  <c r="J18" i="5" s="1"/>
  <c r="K9" i="1"/>
  <c r="L9" i="1" s="1"/>
  <c r="F17" i="5"/>
  <c r="J17" i="5" s="1"/>
  <c r="F321" i="5"/>
  <c r="J321" i="5" s="1"/>
  <c r="K303" i="1"/>
  <c r="F156" i="5"/>
  <c r="J156" i="5" s="1"/>
  <c r="K135" i="1"/>
  <c r="F110" i="5"/>
  <c r="J110" i="5" s="1"/>
  <c r="K93" i="1"/>
  <c r="F197" i="5"/>
  <c r="J197" i="5" s="1"/>
  <c r="K177" i="1"/>
  <c r="F238" i="5"/>
  <c r="J238" i="5" s="1"/>
  <c r="K219" i="1"/>
  <c r="E101" i="5"/>
  <c r="D101" i="5" s="1"/>
  <c r="C101" i="5" s="1"/>
  <c r="G101" i="5" s="1"/>
  <c r="E383" i="5"/>
  <c r="D383" i="5" s="1"/>
  <c r="C383" i="5" s="1"/>
  <c r="G383" i="5" s="1"/>
  <c r="E339" i="5"/>
  <c r="D339" i="5" s="1"/>
  <c r="C339" i="5" s="1"/>
  <c r="G339" i="5" s="1"/>
  <c r="E326" i="5"/>
  <c r="D326" i="5" s="1"/>
  <c r="C326" i="5" s="1"/>
  <c r="G326" i="5" s="1"/>
  <c r="E207" i="5"/>
  <c r="D207" i="5" s="1"/>
  <c r="C207" i="5" s="1"/>
  <c r="G207" i="5" s="1"/>
  <c r="E414" i="5"/>
  <c r="D414" i="5" s="1"/>
  <c r="C414" i="5" s="1"/>
  <c r="G414" i="5" s="1"/>
  <c r="E288" i="5"/>
  <c r="D288" i="5" s="1"/>
  <c r="C288" i="5" s="1"/>
  <c r="G288" i="5" s="1"/>
  <c r="E171" i="5"/>
  <c r="D171" i="5" s="1"/>
  <c r="C171" i="5" s="1"/>
  <c r="G171" i="5" s="1"/>
  <c r="E225" i="5"/>
  <c r="D225" i="5" s="1"/>
  <c r="C225" i="5" s="1"/>
  <c r="G225" i="5" s="1"/>
  <c r="E298" i="5"/>
  <c r="D298" i="5" s="1"/>
  <c r="C298" i="5" s="1"/>
  <c r="G298" i="5" s="1"/>
  <c r="E199" i="5"/>
  <c r="D199" i="5" s="1"/>
  <c r="C199" i="5" s="1"/>
  <c r="G199" i="5" s="1"/>
  <c r="E164" i="5"/>
  <c r="D164" i="5" s="1"/>
  <c r="C164" i="5" s="1"/>
  <c r="G164" i="5" s="1"/>
  <c r="E197" i="5"/>
  <c r="D197" i="5" s="1"/>
  <c r="C197" i="5" s="1"/>
  <c r="G197" i="5" s="1"/>
  <c r="E173" i="5"/>
  <c r="D173" i="5" s="1"/>
  <c r="C173" i="5" s="1"/>
  <c r="G173" i="5" s="1"/>
  <c r="E310" i="5"/>
  <c r="D310" i="5" s="1"/>
  <c r="C310" i="5" s="1"/>
  <c r="G310" i="5" s="1"/>
  <c r="E191" i="5"/>
  <c r="D191" i="5" s="1"/>
  <c r="C191" i="5" s="1"/>
  <c r="G191" i="5" s="1"/>
  <c r="E242" i="5"/>
  <c r="D242" i="5" s="1"/>
  <c r="C242" i="5" s="1"/>
  <c r="G242" i="5" s="1"/>
  <c r="E150" i="5"/>
  <c r="D150" i="5" s="1"/>
  <c r="C150" i="5" s="1"/>
  <c r="G150" i="5" s="1"/>
  <c r="E90" i="5"/>
  <c r="D90" i="5" s="1"/>
  <c r="C90" i="5" s="1"/>
  <c r="G90" i="5" s="1"/>
  <c r="E131" i="5"/>
  <c r="D131" i="5" s="1"/>
  <c r="C131" i="5" s="1"/>
  <c r="G131" i="5" s="1"/>
  <c r="E69" i="5"/>
  <c r="D69" i="5" s="1"/>
  <c r="C69" i="5" s="1"/>
  <c r="G69" i="5" s="1"/>
  <c r="E436" i="5"/>
  <c r="D436" i="5" s="1"/>
  <c r="C436" i="5" s="1"/>
  <c r="G436" i="5" s="1"/>
  <c r="E251" i="5"/>
  <c r="D251" i="5" s="1"/>
  <c r="C251" i="5" s="1"/>
  <c r="G251" i="5" s="1"/>
  <c r="E114" i="5"/>
  <c r="D114" i="5" s="1"/>
  <c r="C114" i="5" s="1"/>
  <c r="G114" i="5" s="1"/>
  <c r="E425" i="5"/>
  <c r="D425" i="5" s="1"/>
  <c r="C425" i="5" s="1"/>
  <c r="G425" i="5" s="1"/>
  <c r="E129" i="5"/>
  <c r="D129" i="5" s="1"/>
  <c r="C129" i="5" s="1"/>
  <c r="G129" i="5" s="1"/>
  <c r="E408" i="5"/>
  <c r="D408" i="5" s="1"/>
  <c r="C408" i="5" s="1"/>
  <c r="G408" i="5" s="1"/>
  <c r="E422" i="5"/>
  <c r="D422" i="5" s="1"/>
  <c r="C422" i="5" s="1"/>
  <c r="G422" i="5" s="1"/>
  <c r="E333" i="5"/>
  <c r="D333" i="5" s="1"/>
  <c r="C333" i="5" s="1"/>
  <c r="G333" i="5" s="1"/>
  <c r="E71" i="5"/>
  <c r="D71" i="5" s="1"/>
  <c r="C71" i="5" s="1"/>
  <c r="G71" i="5" s="1"/>
  <c r="E185" i="5"/>
  <c r="D185" i="5" s="1"/>
  <c r="C185" i="5" s="1"/>
  <c r="G185" i="5" s="1"/>
  <c r="E148" i="5"/>
  <c r="D148" i="5" s="1"/>
  <c r="C148" i="5" s="1"/>
  <c r="G148" i="5" s="1"/>
  <c r="E55" i="5"/>
  <c r="D55" i="5" s="1"/>
  <c r="C55" i="5" s="1"/>
  <c r="G55" i="5" s="1"/>
  <c r="E112" i="5"/>
  <c r="D112" i="5" s="1"/>
  <c r="C112" i="5" s="1"/>
  <c r="G112" i="5" s="1"/>
  <c r="E280" i="5"/>
  <c r="D280" i="5" s="1"/>
  <c r="C280" i="5" s="1"/>
  <c r="G280" i="5" s="1"/>
  <c r="E334" i="5"/>
  <c r="D334" i="5" s="1"/>
  <c r="C334" i="5" s="1"/>
  <c r="G334" i="5" s="1"/>
  <c r="E434" i="5"/>
  <c r="D434" i="5" s="1"/>
  <c r="C434" i="5" s="1"/>
  <c r="G434" i="5" s="1"/>
  <c r="E375" i="5"/>
  <c r="D375" i="5" s="1"/>
  <c r="C375" i="5" s="1"/>
  <c r="G375" i="5" s="1"/>
  <c r="E258" i="5"/>
  <c r="D258" i="5" s="1"/>
  <c r="C258" i="5" s="1"/>
  <c r="G258" i="5" s="1"/>
  <c r="E345" i="5"/>
  <c r="D345" i="5" s="1"/>
  <c r="C345" i="5" s="1"/>
  <c r="G345" i="5" s="1"/>
  <c r="E411" i="5"/>
  <c r="D411" i="5" s="1"/>
  <c r="C411" i="5" s="1"/>
  <c r="G411" i="5" s="1"/>
  <c r="E388" i="5"/>
  <c r="D388" i="5" s="1"/>
  <c r="C388" i="5" s="1"/>
  <c r="G388" i="5" s="1"/>
  <c r="E28" i="5"/>
  <c r="D28" i="5" s="1"/>
  <c r="C28" i="5" s="1"/>
  <c r="G28" i="5" s="1"/>
  <c r="E140" i="5"/>
  <c r="D140" i="5" s="1"/>
  <c r="C140" i="5" s="1"/>
  <c r="G140" i="5" s="1"/>
  <c r="E76" i="5"/>
  <c r="D76" i="5" s="1"/>
  <c r="C76" i="5" s="1"/>
  <c r="G76" i="5" s="1"/>
  <c r="E125" i="5"/>
  <c r="D125" i="5" s="1"/>
  <c r="C125" i="5" s="1"/>
  <c r="G125" i="5" s="1"/>
  <c r="E104" i="5"/>
  <c r="D104" i="5" s="1"/>
  <c r="C104" i="5" s="1"/>
  <c r="G104" i="5" s="1"/>
  <c r="E158" i="5"/>
  <c r="D158" i="5" s="1"/>
  <c r="C158" i="5" s="1"/>
  <c r="G158" i="5" s="1"/>
  <c r="E249" i="5"/>
  <c r="D249" i="5" s="1"/>
  <c r="C249" i="5" s="1"/>
  <c r="G249" i="5" s="1"/>
  <c r="E356" i="5"/>
  <c r="D356" i="5" s="1"/>
  <c r="C356" i="5" s="1"/>
  <c r="G356" i="5" s="1"/>
  <c r="E419" i="5"/>
  <c r="D419" i="5" s="1"/>
  <c r="C419" i="5" s="1"/>
  <c r="G419" i="5" s="1"/>
  <c r="E295" i="5"/>
  <c r="D295" i="5" s="1"/>
  <c r="C295" i="5" s="1"/>
  <c r="G295" i="5" s="1"/>
  <c r="E262" i="5"/>
  <c r="D262" i="5" s="1"/>
  <c r="C262" i="5" s="1"/>
  <c r="G262" i="5" s="1"/>
  <c r="E74" i="5"/>
  <c r="D74" i="5" s="1"/>
  <c r="C74" i="5" s="1"/>
  <c r="G74" i="5" s="1"/>
  <c r="E346" i="5"/>
  <c r="D346" i="5" s="1"/>
  <c r="C346" i="5" s="1"/>
  <c r="G346" i="5" s="1"/>
  <c r="E86" i="5"/>
  <c r="D86" i="5" s="1"/>
  <c r="C86" i="5" s="1"/>
  <c r="G86" i="5" s="1"/>
  <c r="E144" i="5"/>
  <c r="D144" i="5" s="1"/>
  <c r="C144" i="5" s="1"/>
  <c r="G144" i="5" s="1"/>
  <c r="E378" i="5"/>
  <c r="D378" i="5" s="1"/>
  <c r="C378" i="5" s="1"/>
  <c r="G378" i="5" s="1"/>
  <c r="E259" i="5"/>
  <c r="D259" i="5" s="1"/>
  <c r="C259" i="5" s="1"/>
  <c r="G259" i="5" s="1"/>
  <c r="E432" i="5"/>
  <c r="D432" i="5" s="1"/>
  <c r="C432" i="5" s="1"/>
  <c r="G432" i="5" s="1"/>
  <c r="E240" i="5"/>
  <c r="D240" i="5" s="1"/>
  <c r="C240" i="5" s="1"/>
  <c r="G240" i="5" s="1"/>
  <c r="E43" i="5"/>
  <c r="D43" i="5" s="1"/>
  <c r="C43" i="5" s="1"/>
  <c r="G43" i="5" s="1"/>
  <c r="E417" i="5"/>
  <c r="D417" i="5" s="1"/>
  <c r="C417" i="5" s="1"/>
  <c r="G417" i="5" s="1"/>
  <c r="E374" i="5"/>
  <c r="D374" i="5" s="1"/>
  <c r="C374" i="5" s="1"/>
  <c r="G374" i="5" s="1"/>
  <c r="E268" i="5"/>
  <c r="D268" i="5" s="1"/>
  <c r="C268" i="5" s="1"/>
  <c r="G268" i="5" s="1"/>
  <c r="E389" i="5"/>
  <c r="D389" i="5" s="1"/>
  <c r="C389" i="5" s="1"/>
  <c r="G389" i="5" s="1"/>
  <c r="E189" i="5"/>
  <c r="D189" i="5" s="1"/>
  <c r="C189" i="5" s="1"/>
  <c r="G189" i="5" s="1"/>
  <c r="E363" i="5"/>
  <c r="D363" i="5" s="1"/>
  <c r="C363" i="5" s="1"/>
  <c r="G363" i="5" s="1"/>
  <c r="E343" i="5"/>
  <c r="D343" i="5" s="1"/>
  <c r="C343" i="5" s="1"/>
  <c r="G343" i="5" s="1"/>
  <c r="E381" i="5"/>
  <c r="D381" i="5" s="1"/>
  <c r="C381" i="5" s="1"/>
  <c r="G381" i="5" s="1"/>
  <c r="E118" i="5"/>
  <c r="D118" i="5" s="1"/>
  <c r="C118" i="5" s="1"/>
  <c r="G118" i="5" s="1"/>
  <c r="E305" i="5"/>
  <c r="D305" i="5" s="1"/>
  <c r="C305" i="5" s="1"/>
  <c r="G305" i="5" s="1"/>
  <c r="E202" i="5"/>
  <c r="D202" i="5" s="1"/>
  <c r="C202" i="5" s="1"/>
  <c r="G202" i="5" s="1"/>
  <c r="E418" i="5"/>
  <c r="D418" i="5" s="1"/>
  <c r="C418" i="5" s="1"/>
  <c r="G418" i="5" s="1"/>
  <c r="E184" i="5"/>
  <c r="D184" i="5" s="1"/>
  <c r="C184" i="5" s="1"/>
  <c r="G184" i="5" s="1"/>
  <c r="E215" i="5"/>
  <c r="D215" i="5" s="1"/>
  <c r="C215" i="5" s="1"/>
  <c r="G215" i="5" s="1"/>
  <c r="E385" i="5"/>
  <c r="D385" i="5" s="1"/>
  <c r="C385" i="5" s="1"/>
  <c r="G385" i="5" s="1"/>
  <c r="E410" i="5"/>
  <c r="D410" i="5" s="1"/>
  <c r="C410" i="5" s="1"/>
  <c r="G410" i="5" s="1"/>
  <c r="E424" i="5"/>
  <c r="D424" i="5" s="1"/>
  <c r="C424" i="5" s="1"/>
  <c r="G424" i="5" s="1"/>
  <c r="E271" i="5"/>
  <c r="D271" i="5" s="1"/>
  <c r="C271" i="5" s="1"/>
  <c r="G271" i="5" s="1"/>
  <c r="E394" i="5"/>
  <c r="D394" i="5" s="1"/>
  <c r="C394" i="5" s="1"/>
  <c r="G394" i="5" s="1"/>
  <c r="E48" i="5"/>
  <c r="D48" i="5" s="1"/>
  <c r="C48" i="5" s="1"/>
  <c r="G48" i="5" s="1"/>
  <c r="E177" i="5"/>
  <c r="D177" i="5" s="1"/>
  <c r="C177" i="5" s="1"/>
  <c r="G177" i="5" s="1"/>
  <c r="E40" i="5"/>
  <c r="D40" i="5" s="1"/>
  <c r="C40" i="5" s="1"/>
  <c r="G40" i="5" s="1"/>
  <c r="E30" i="5"/>
  <c r="D30" i="5" s="1"/>
  <c r="C30" i="5" s="1"/>
  <c r="G30" i="5" s="1"/>
  <c r="E230" i="5"/>
  <c r="D230" i="5" s="1"/>
  <c r="C230" i="5" s="1"/>
  <c r="G230" i="5" s="1"/>
  <c r="E311" i="5"/>
  <c r="D311" i="5" s="1"/>
  <c r="C311" i="5" s="1"/>
  <c r="G311" i="5" s="1"/>
  <c r="E167" i="5"/>
  <c r="D167" i="5" s="1"/>
  <c r="C167" i="5" s="1"/>
  <c r="G167" i="5" s="1"/>
  <c r="E198" i="5"/>
  <c r="D198" i="5" s="1"/>
  <c r="C198" i="5" s="1"/>
  <c r="G198" i="5" s="1"/>
  <c r="E250" i="5"/>
  <c r="D250" i="5" s="1"/>
  <c r="C250" i="5" s="1"/>
  <c r="G250" i="5" s="1"/>
  <c r="E379" i="5"/>
  <c r="D379" i="5" s="1"/>
  <c r="C379" i="5" s="1"/>
  <c r="G379" i="5" s="1"/>
  <c r="E303" i="5"/>
  <c r="D303" i="5" s="1"/>
  <c r="C303" i="5" s="1"/>
  <c r="G303" i="5" s="1"/>
  <c r="E52" i="5"/>
  <c r="D52" i="5" s="1"/>
  <c r="C52" i="5" s="1"/>
  <c r="G52" i="5" s="1"/>
  <c r="E431" i="5"/>
  <c r="D431" i="5" s="1"/>
  <c r="C431" i="5" s="1"/>
  <c r="G431" i="5" s="1"/>
  <c r="E87" i="5"/>
  <c r="D87" i="5" s="1"/>
  <c r="C87" i="5" s="1"/>
  <c r="G87" i="5" s="1"/>
  <c r="E88" i="5"/>
  <c r="D88" i="5" s="1"/>
  <c r="C88" i="5" s="1"/>
  <c r="G88" i="5" s="1"/>
  <c r="E354" i="5"/>
  <c r="D354" i="5" s="1"/>
  <c r="C354" i="5" s="1"/>
  <c r="G354" i="5" s="1"/>
  <c r="E224" i="5"/>
  <c r="D224" i="5" s="1"/>
  <c r="C224" i="5" s="1"/>
  <c r="G224" i="5" s="1"/>
  <c r="E95" i="5"/>
  <c r="D95" i="5" s="1"/>
  <c r="C95" i="5" s="1"/>
  <c r="G95" i="5" s="1"/>
  <c r="E321" i="5"/>
  <c r="D321" i="5" s="1"/>
  <c r="C321" i="5" s="1"/>
  <c r="G321" i="5" s="1"/>
  <c r="E219" i="5"/>
  <c r="D219" i="5" s="1"/>
  <c r="C219" i="5" s="1"/>
  <c r="G219" i="5" s="1"/>
  <c r="E49" i="5"/>
  <c r="D49" i="5" s="1"/>
  <c r="C49" i="5" s="1"/>
  <c r="G49" i="5" s="1"/>
  <c r="E54" i="5"/>
  <c r="D54" i="5" s="1"/>
  <c r="C54" i="5" s="1"/>
  <c r="G54" i="5" s="1"/>
  <c r="E229" i="5"/>
  <c r="D229" i="5" s="1"/>
  <c r="C229" i="5" s="1"/>
  <c r="G229" i="5" s="1"/>
  <c r="E134" i="5"/>
  <c r="D134" i="5" s="1"/>
  <c r="C134" i="5" s="1"/>
  <c r="G134" i="5" s="1"/>
  <c r="E336" i="5"/>
  <c r="D336" i="5" s="1"/>
  <c r="C336" i="5" s="1"/>
  <c r="G336" i="5" s="1"/>
  <c r="E282" i="5"/>
  <c r="D282" i="5" s="1"/>
  <c r="C282" i="5" s="1"/>
  <c r="G282" i="5" s="1"/>
  <c r="E127" i="5"/>
  <c r="D127" i="5" s="1"/>
  <c r="C127" i="5" s="1"/>
  <c r="G127" i="5" s="1"/>
  <c r="E261" i="5"/>
  <c r="D261" i="5" s="1"/>
  <c r="C261" i="5" s="1"/>
  <c r="G261" i="5" s="1"/>
  <c r="E341" i="5"/>
  <c r="D341" i="5" s="1"/>
  <c r="C341" i="5" s="1"/>
  <c r="G341" i="5" s="1"/>
  <c r="E427" i="5"/>
  <c r="D427" i="5" s="1"/>
  <c r="C427" i="5" s="1"/>
  <c r="G427" i="5" s="1"/>
  <c r="E190" i="5"/>
  <c r="D190" i="5" s="1"/>
  <c r="C190" i="5" s="1"/>
  <c r="G190" i="5" s="1"/>
  <c r="E238" i="5"/>
  <c r="D238" i="5" s="1"/>
  <c r="C238" i="5" s="1"/>
  <c r="G238" i="5" s="1"/>
  <c r="E384" i="5"/>
  <c r="D384" i="5" s="1"/>
  <c r="C384" i="5" s="1"/>
  <c r="G384" i="5" s="1"/>
  <c r="E257" i="5"/>
  <c r="D257" i="5" s="1"/>
  <c r="C257" i="5" s="1"/>
  <c r="G257" i="5" s="1"/>
  <c r="E216" i="5"/>
  <c r="D216" i="5" s="1"/>
  <c r="C216" i="5" s="1"/>
  <c r="G216" i="5" s="1"/>
  <c r="E89" i="5"/>
  <c r="D89" i="5" s="1"/>
  <c r="C89" i="5" s="1"/>
  <c r="G89" i="5" s="1"/>
  <c r="E340" i="5"/>
  <c r="D340" i="5" s="1"/>
  <c r="C340" i="5" s="1"/>
  <c r="G340" i="5" s="1"/>
  <c r="E103" i="5"/>
  <c r="D103" i="5" s="1"/>
  <c r="C103" i="5" s="1"/>
  <c r="G103" i="5" s="1"/>
  <c r="E136" i="5"/>
  <c r="D136" i="5" s="1"/>
  <c r="C136" i="5" s="1"/>
  <c r="G136" i="5" s="1"/>
  <c r="E252" i="5"/>
  <c r="D252" i="5" s="1"/>
  <c r="C252" i="5" s="1"/>
  <c r="G252" i="5" s="1"/>
  <c r="E437" i="5"/>
  <c r="D437" i="5" s="1"/>
  <c r="C437" i="5" s="1"/>
  <c r="G437" i="5" s="1"/>
  <c r="E226" i="5"/>
  <c r="D226" i="5" s="1"/>
  <c r="C226" i="5" s="1"/>
  <c r="G226" i="5" s="1"/>
  <c r="E369" i="5"/>
  <c r="D369" i="5" s="1"/>
  <c r="C369" i="5" s="1"/>
  <c r="G369" i="5" s="1"/>
  <c r="E269" i="5"/>
  <c r="D269" i="5" s="1"/>
  <c r="C269" i="5" s="1"/>
  <c r="G269" i="5" s="1"/>
  <c r="E265" i="5"/>
  <c r="D265" i="5" s="1"/>
  <c r="C265" i="5" s="1"/>
  <c r="G265" i="5" s="1"/>
  <c r="E397" i="5"/>
  <c r="D397" i="5" s="1"/>
  <c r="C397" i="5" s="1"/>
  <c r="G397" i="5" s="1"/>
  <c r="E161" i="5"/>
  <c r="D161" i="5" s="1"/>
  <c r="C161" i="5" s="1"/>
  <c r="G161" i="5" s="1"/>
  <c r="E92" i="5"/>
  <c r="D92" i="5" s="1"/>
  <c r="C92" i="5" s="1"/>
  <c r="G92" i="5" s="1"/>
  <c r="E200" i="5"/>
  <c r="D200" i="5" s="1"/>
  <c r="C200" i="5" s="1"/>
  <c r="G200" i="5" s="1"/>
  <c r="E338" i="5"/>
  <c r="D338" i="5" s="1"/>
  <c r="C338" i="5" s="1"/>
  <c r="G338" i="5" s="1"/>
  <c r="E157" i="5"/>
  <c r="D157" i="5" s="1"/>
  <c r="C157" i="5" s="1"/>
  <c r="G157" i="5" s="1"/>
  <c r="E98" i="5"/>
  <c r="D98" i="5" s="1"/>
  <c r="C98" i="5" s="1"/>
  <c r="G98" i="5" s="1"/>
  <c r="E416" i="5"/>
  <c r="D416" i="5" s="1"/>
  <c r="C416" i="5" s="1"/>
  <c r="G416" i="5" s="1"/>
  <c r="E39" i="5"/>
  <c r="D39" i="5" s="1"/>
  <c r="C39" i="5" s="1"/>
  <c r="G39" i="5" s="1"/>
  <c r="E349" i="5"/>
  <c r="D349" i="5" s="1"/>
  <c r="C349" i="5" s="1"/>
  <c r="G349" i="5" s="1"/>
  <c r="E124" i="5"/>
  <c r="D124" i="5" s="1"/>
  <c r="C124" i="5" s="1"/>
  <c r="G124" i="5" s="1"/>
  <c r="E212" i="5"/>
  <c r="D212" i="5" s="1"/>
  <c r="C212" i="5" s="1"/>
  <c r="G212" i="5" s="1"/>
  <c r="E213" i="5"/>
  <c r="D213" i="5" s="1"/>
  <c r="C213" i="5" s="1"/>
  <c r="G213" i="5" s="1"/>
  <c r="E116" i="5"/>
  <c r="D116" i="5" s="1"/>
  <c r="C116" i="5" s="1"/>
  <c r="G116" i="5" s="1"/>
  <c r="E370" i="5"/>
  <c r="D370" i="5" s="1"/>
  <c r="C370" i="5" s="1"/>
  <c r="G370" i="5" s="1"/>
  <c r="E123" i="5"/>
  <c r="D123" i="5" s="1"/>
  <c r="C123" i="5" s="1"/>
  <c r="G123" i="5" s="1"/>
  <c r="E99" i="5"/>
  <c r="D99" i="5" s="1"/>
  <c r="C99" i="5" s="1"/>
  <c r="G99" i="5" s="1"/>
  <c r="E211" i="5"/>
  <c r="D211" i="5" s="1"/>
  <c r="C211" i="5" s="1"/>
  <c r="G211" i="5" s="1"/>
  <c r="E376" i="5"/>
  <c r="D376" i="5" s="1"/>
  <c r="C376" i="5" s="1"/>
  <c r="G376" i="5" s="1"/>
  <c r="E347" i="5"/>
  <c r="D347" i="5" s="1"/>
  <c r="C347" i="5" s="1"/>
  <c r="G347" i="5" s="1"/>
  <c r="E146" i="5"/>
  <c r="D146" i="5" s="1"/>
  <c r="C146" i="5" s="1"/>
  <c r="G146" i="5" s="1"/>
  <c r="E382" i="5"/>
  <c r="D382" i="5" s="1"/>
  <c r="C382" i="5" s="1"/>
  <c r="G382" i="5" s="1"/>
  <c r="E25" i="5"/>
  <c r="D25" i="5" s="1"/>
  <c r="C25" i="5" s="1"/>
  <c r="G25" i="5" s="1"/>
  <c r="E85" i="5"/>
  <c r="D85" i="5" s="1"/>
  <c r="C85" i="5" s="1"/>
  <c r="G85" i="5" s="1"/>
  <c r="E176" i="5"/>
  <c r="D176" i="5" s="1"/>
  <c r="C176" i="5" s="1"/>
  <c r="G176" i="5" s="1"/>
  <c r="E132" i="5"/>
  <c r="D132" i="5" s="1"/>
  <c r="C132" i="5" s="1"/>
  <c r="G132" i="5" s="1"/>
  <c r="E254" i="5"/>
  <c r="D254" i="5" s="1"/>
  <c r="C254" i="5" s="1"/>
  <c r="G254" i="5" s="1"/>
  <c r="E47" i="5"/>
  <c r="D47" i="5" s="1"/>
  <c r="C47" i="5" s="1"/>
  <c r="G47" i="5" s="1"/>
  <c r="E96" i="5"/>
  <c r="D96" i="5" s="1"/>
  <c r="C96" i="5" s="1"/>
  <c r="G96" i="5" s="1"/>
  <c r="E162" i="5"/>
  <c r="D162" i="5" s="1"/>
  <c r="C162" i="5" s="1"/>
  <c r="G162" i="5" s="1"/>
  <c r="E218" i="5"/>
  <c r="D218" i="5" s="1"/>
  <c r="C218" i="5" s="1"/>
  <c r="G218" i="5" s="1"/>
  <c r="E135" i="5"/>
  <c r="D135" i="5" s="1"/>
  <c r="C135" i="5" s="1"/>
  <c r="G135" i="5" s="1"/>
  <c r="F362" i="5"/>
  <c r="J362" i="5" s="1"/>
  <c r="E41" i="5"/>
  <c r="D41" i="5" s="1"/>
  <c r="C41" i="5" s="1"/>
  <c r="G41" i="5" s="1"/>
  <c r="E130" i="5"/>
  <c r="D130" i="5" s="1"/>
  <c r="C130" i="5" s="1"/>
  <c r="G130" i="5" s="1"/>
  <c r="E246" i="5"/>
  <c r="D246" i="5" s="1"/>
  <c r="C246" i="5" s="1"/>
  <c r="G246" i="5" s="1"/>
  <c r="E115" i="5"/>
  <c r="D115" i="5" s="1"/>
  <c r="C115" i="5" s="1"/>
  <c r="G115" i="5" s="1"/>
  <c r="E66" i="5"/>
  <c r="D66" i="5" s="1"/>
  <c r="C66" i="5" s="1"/>
  <c r="G66" i="5" s="1"/>
  <c r="E57" i="5"/>
  <c r="D57" i="5" s="1"/>
  <c r="C57" i="5" s="1"/>
  <c r="G57" i="5" s="1"/>
  <c r="E72" i="5"/>
  <c r="D72" i="5" s="1"/>
  <c r="C72" i="5" s="1"/>
  <c r="G72" i="5" s="1"/>
  <c r="E78" i="5"/>
  <c r="D78" i="5" s="1"/>
  <c r="C78" i="5" s="1"/>
  <c r="G78" i="5" s="1"/>
  <c r="E100" i="5"/>
  <c r="D100" i="5" s="1"/>
  <c r="C100" i="5" s="1"/>
  <c r="G100" i="5" s="1"/>
  <c r="E166" i="5"/>
  <c r="D166" i="5" s="1"/>
  <c r="C166" i="5" s="1"/>
  <c r="G166" i="5" s="1"/>
  <c r="E256" i="5"/>
  <c r="D256" i="5" s="1"/>
  <c r="C256" i="5" s="1"/>
  <c r="G256" i="5" s="1"/>
  <c r="E272" i="5"/>
  <c r="D272" i="5" s="1"/>
  <c r="C272" i="5" s="1"/>
  <c r="G272" i="5" s="1"/>
  <c r="E409" i="5"/>
  <c r="D409" i="5" s="1"/>
  <c r="C409" i="5" s="1"/>
  <c r="G409" i="5" s="1"/>
  <c r="E377" i="5"/>
  <c r="D377" i="5" s="1"/>
  <c r="C377" i="5" s="1"/>
  <c r="G377" i="5" s="1"/>
  <c r="E50" i="5"/>
  <c r="D50" i="5" s="1"/>
  <c r="C50" i="5" s="1"/>
  <c r="G50" i="5" s="1"/>
  <c r="E413" i="5"/>
  <c r="D413" i="5" s="1"/>
  <c r="C413" i="5" s="1"/>
  <c r="G413" i="5" s="1"/>
  <c r="E165" i="5"/>
  <c r="D165" i="5" s="1"/>
  <c r="C165" i="5" s="1"/>
  <c r="G165" i="5" s="1"/>
  <c r="E77" i="5"/>
  <c r="D77" i="5" s="1"/>
  <c r="C77" i="5" s="1"/>
  <c r="G77" i="5" s="1"/>
  <c r="E367" i="5"/>
  <c r="D367" i="5" s="1"/>
  <c r="C367" i="5" s="1"/>
  <c r="G367" i="5" s="1"/>
  <c r="E93" i="5"/>
  <c r="D93" i="5" s="1"/>
  <c r="C93" i="5" s="1"/>
  <c r="G93" i="5" s="1"/>
  <c r="E228" i="5"/>
  <c r="D228" i="5" s="1"/>
  <c r="C228" i="5" s="1"/>
  <c r="G228" i="5" s="1"/>
  <c r="E24" i="5"/>
  <c r="D24" i="5" s="1"/>
  <c r="C24" i="5" s="1"/>
  <c r="G24" i="5" s="1"/>
  <c r="E133" i="5"/>
  <c r="D133" i="5" s="1"/>
  <c r="C133" i="5" s="1"/>
  <c r="G133" i="5" s="1"/>
  <c r="E313" i="5"/>
  <c r="D313" i="5" s="1"/>
  <c r="C313" i="5" s="1"/>
  <c r="G313" i="5" s="1"/>
  <c r="E239" i="5"/>
  <c r="D239" i="5" s="1"/>
  <c r="C239" i="5" s="1"/>
  <c r="G239" i="5" s="1"/>
  <c r="E440" i="5"/>
  <c r="D440" i="5" s="1"/>
  <c r="C440" i="5" s="1"/>
  <c r="G440" i="5" s="1"/>
  <c r="E293" i="5"/>
  <c r="D293" i="5" s="1"/>
  <c r="C293" i="5" s="1"/>
  <c r="G293" i="5" s="1"/>
  <c r="E91" i="5"/>
  <c r="D91" i="5" s="1"/>
  <c r="C91" i="5" s="1"/>
  <c r="G91" i="5" s="1"/>
  <c r="E309" i="5"/>
  <c r="D309" i="5" s="1"/>
  <c r="C309" i="5" s="1"/>
  <c r="G309" i="5" s="1"/>
  <c r="E291" i="5"/>
  <c r="D291" i="5" s="1"/>
  <c r="C291" i="5" s="1"/>
  <c r="G291" i="5" s="1"/>
  <c r="E179" i="5"/>
  <c r="D179" i="5" s="1"/>
  <c r="C179" i="5" s="1"/>
  <c r="G179" i="5" s="1"/>
  <c r="E329" i="5"/>
  <c r="D329" i="5" s="1"/>
  <c r="C329" i="5" s="1"/>
  <c r="G329" i="5" s="1"/>
  <c r="E355" i="5"/>
  <c r="D355" i="5" s="1"/>
  <c r="C355" i="5" s="1"/>
  <c r="G355" i="5" s="1"/>
  <c r="E393" i="5"/>
  <c r="D393" i="5" s="1"/>
  <c r="C393" i="5" s="1"/>
  <c r="G393" i="5" s="1"/>
  <c r="E174" i="5"/>
  <c r="D174" i="5" s="1"/>
  <c r="C174" i="5" s="1"/>
  <c r="G174" i="5" s="1"/>
  <c r="E299" i="5"/>
  <c r="D299" i="5" s="1"/>
  <c r="C299" i="5" s="1"/>
  <c r="G299" i="5" s="1"/>
  <c r="E205" i="5"/>
  <c r="D205" i="5" s="1"/>
  <c r="C205" i="5" s="1"/>
  <c r="G205" i="5" s="1"/>
  <c r="E260" i="5"/>
  <c r="D260" i="5" s="1"/>
  <c r="C260" i="5" s="1"/>
  <c r="G260" i="5" s="1"/>
  <c r="E348" i="5"/>
  <c r="D348" i="5" s="1"/>
  <c r="C348" i="5" s="1"/>
  <c r="G348" i="5" s="1"/>
  <c r="E264" i="5"/>
  <c r="D264" i="5" s="1"/>
  <c r="C264" i="5" s="1"/>
  <c r="G264" i="5" s="1"/>
  <c r="E373" i="5"/>
  <c r="D373" i="5" s="1"/>
  <c r="C373" i="5" s="1"/>
  <c r="G373" i="5" s="1"/>
  <c r="E42" i="5"/>
  <c r="D42" i="5" s="1"/>
  <c r="C42" i="5" s="1"/>
  <c r="G42" i="5" s="1"/>
  <c r="E51" i="5"/>
  <c r="D51" i="5" s="1"/>
  <c r="C51" i="5" s="1"/>
  <c r="G51" i="5" s="1"/>
  <c r="E391" i="5"/>
  <c r="D391" i="5" s="1"/>
  <c r="C391" i="5" s="1"/>
  <c r="G391" i="5" s="1"/>
  <c r="E223" i="5"/>
  <c r="D223" i="5" s="1"/>
  <c r="C223" i="5" s="1"/>
  <c r="G223" i="5" s="1"/>
  <c r="E33" i="5"/>
  <c r="D33" i="5" s="1"/>
  <c r="C33" i="5" s="1"/>
  <c r="G33" i="5" s="1"/>
  <c r="E284" i="5"/>
  <c r="D284" i="5" s="1"/>
  <c r="C284" i="5" s="1"/>
  <c r="G284" i="5" s="1"/>
  <c r="E266" i="5"/>
  <c r="D266" i="5" s="1"/>
  <c r="C266" i="5" s="1"/>
  <c r="G266" i="5" s="1"/>
  <c r="E297" i="5"/>
  <c r="D297" i="5" s="1"/>
  <c r="C297" i="5" s="1"/>
  <c r="G297" i="5" s="1"/>
  <c r="E415" i="5"/>
  <c r="D415" i="5" s="1"/>
  <c r="C415" i="5" s="1"/>
  <c r="G415" i="5" s="1"/>
  <c r="E73" i="5"/>
  <c r="D73" i="5" s="1"/>
  <c r="C73" i="5" s="1"/>
  <c r="G73" i="5" s="1"/>
  <c r="E325" i="5"/>
  <c r="D325" i="5" s="1"/>
  <c r="C325" i="5" s="1"/>
  <c r="G325" i="5" s="1"/>
  <c r="E281" i="5"/>
  <c r="D281" i="5" s="1"/>
  <c r="C281" i="5" s="1"/>
  <c r="G281" i="5" s="1"/>
  <c r="E301" i="5"/>
  <c r="D301" i="5" s="1"/>
  <c r="C301" i="5" s="1"/>
  <c r="G301" i="5" s="1"/>
  <c r="E439" i="5"/>
  <c r="D439" i="5" s="1"/>
  <c r="C439" i="5" s="1"/>
  <c r="G439" i="5" s="1"/>
  <c r="E79" i="5"/>
  <c r="D79" i="5" s="1"/>
  <c r="C79" i="5" s="1"/>
  <c r="G79" i="5" s="1"/>
  <c r="E53" i="5"/>
  <c r="D53" i="5" s="1"/>
  <c r="C53" i="5" s="1"/>
  <c r="G53" i="5" s="1"/>
  <c r="E365" i="5"/>
  <c r="D365" i="5" s="1"/>
  <c r="C365" i="5" s="1"/>
  <c r="G365" i="5" s="1"/>
  <c r="E322" i="5"/>
  <c r="D322" i="5" s="1"/>
  <c r="C322" i="5" s="1"/>
  <c r="G322" i="5" s="1"/>
  <c r="E267" i="5"/>
  <c r="D267" i="5" s="1"/>
  <c r="C267" i="5" s="1"/>
  <c r="G267" i="5" s="1"/>
  <c r="E273" i="5"/>
  <c r="D273" i="5" s="1"/>
  <c r="C273" i="5" s="1"/>
  <c r="G273" i="5" s="1"/>
  <c r="E32" i="5"/>
  <c r="D32" i="5" s="1"/>
  <c r="C32" i="5" s="1"/>
  <c r="G32" i="5" s="1"/>
  <c r="E122" i="5"/>
  <c r="D122" i="5" s="1"/>
  <c r="C122" i="5" s="1"/>
  <c r="G122" i="5" s="1"/>
  <c r="E34" i="5"/>
  <c r="D34" i="5" s="1"/>
  <c r="C34" i="5" s="1"/>
  <c r="G34" i="5" s="1"/>
  <c r="E26" i="5"/>
  <c r="D26" i="5" s="1"/>
  <c r="C26" i="5" s="1"/>
  <c r="G26" i="5" s="1"/>
  <c r="E182" i="5"/>
  <c r="D182" i="5" s="1"/>
  <c r="C182" i="5" s="1"/>
  <c r="G182" i="5" s="1"/>
  <c r="E292" i="5"/>
  <c r="D292" i="5" s="1"/>
  <c r="C292" i="5" s="1"/>
  <c r="G292" i="5" s="1"/>
  <c r="E120" i="5"/>
  <c r="D120" i="5" s="1"/>
  <c r="C120" i="5" s="1"/>
  <c r="G120" i="5" s="1"/>
  <c r="E352" i="5"/>
  <c r="D352" i="5" s="1"/>
  <c r="C352" i="5" s="1"/>
  <c r="G352" i="5" s="1"/>
  <c r="F278" i="5"/>
  <c r="J278" i="5" s="1"/>
  <c r="E178" i="5"/>
  <c r="D178" i="5" s="1"/>
  <c r="C178" i="5" s="1"/>
  <c r="G178" i="5" s="1"/>
  <c r="E302" i="5"/>
  <c r="D302" i="5" s="1"/>
  <c r="C302" i="5" s="1"/>
  <c r="G302" i="5" s="1"/>
  <c r="E308" i="5"/>
  <c r="D308" i="5" s="1"/>
  <c r="C308" i="5" s="1"/>
  <c r="G308" i="5" s="1"/>
  <c r="E70" i="5"/>
  <c r="D70" i="5" s="1"/>
  <c r="C70" i="5" s="1"/>
  <c r="G70" i="5" s="1"/>
  <c r="E68" i="5"/>
  <c r="D68" i="5" s="1"/>
  <c r="C68" i="5" s="1"/>
  <c r="G68" i="5" s="1"/>
  <c r="E128" i="5"/>
  <c r="D128" i="5" s="1"/>
  <c r="C128" i="5" s="1"/>
  <c r="G128" i="5" s="1"/>
  <c r="E111" i="5"/>
  <c r="D111" i="5" s="1"/>
  <c r="C111" i="5" s="1"/>
  <c r="G111" i="5" s="1"/>
  <c r="E149" i="5"/>
  <c r="D149" i="5" s="1"/>
  <c r="C149" i="5" s="1"/>
  <c r="G149" i="5" s="1"/>
  <c r="E324" i="5"/>
  <c r="D324" i="5" s="1"/>
  <c r="C324" i="5" s="1"/>
  <c r="G324" i="5" s="1"/>
  <c r="E138" i="5"/>
  <c r="D138" i="5" s="1"/>
  <c r="C138" i="5" s="1"/>
  <c r="G138" i="5" s="1"/>
  <c r="E380" i="5"/>
  <c r="D380" i="5" s="1"/>
  <c r="C380" i="5" s="1"/>
  <c r="G380" i="5" s="1"/>
  <c r="E113" i="5"/>
  <c r="D113" i="5" s="1"/>
  <c r="C113" i="5" s="1"/>
  <c r="G113" i="5" s="1"/>
  <c r="E353" i="5"/>
  <c r="D353" i="5" s="1"/>
  <c r="C353" i="5" s="1"/>
  <c r="G353" i="5" s="1"/>
  <c r="E143" i="5"/>
  <c r="D143" i="5" s="1"/>
  <c r="C143" i="5" s="1"/>
  <c r="G143" i="5" s="1"/>
  <c r="E231" i="5"/>
  <c r="D231" i="5" s="1"/>
  <c r="C231" i="5" s="1"/>
  <c r="G231" i="5" s="1"/>
  <c r="E210" i="5"/>
  <c r="D210" i="5" s="1"/>
  <c r="C210" i="5" s="1"/>
  <c r="G210" i="5" s="1"/>
  <c r="F109" i="5"/>
  <c r="J109" i="5" s="1"/>
  <c r="E337" i="5"/>
  <c r="D337" i="5" s="1"/>
  <c r="C337" i="5" s="1"/>
  <c r="G337" i="5" s="1"/>
  <c r="E208" i="5"/>
  <c r="D208" i="5" s="1"/>
  <c r="C208" i="5" s="1"/>
  <c r="G208" i="5" s="1"/>
  <c r="E119" i="5"/>
  <c r="D119" i="5" s="1"/>
  <c r="C119" i="5" s="1"/>
  <c r="G119" i="5" s="1"/>
  <c r="E97" i="5"/>
  <c r="D97" i="5" s="1"/>
  <c r="C97" i="5" s="1"/>
  <c r="G97" i="5" s="1"/>
  <c r="E328" i="5"/>
  <c r="D328" i="5" s="1"/>
  <c r="C328" i="5" s="1"/>
  <c r="G328" i="5" s="1"/>
  <c r="E433" i="5"/>
  <c r="D433" i="5" s="1"/>
  <c r="C433" i="5" s="1"/>
  <c r="G433" i="5" s="1"/>
  <c r="E80" i="5"/>
  <c r="D80" i="5" s="1"/>
  <c r="C80" i="5" s="1"/>
  <c r="G80" i="5" s="1"/>
  <c r="E82" i="5"/>
  <c r="D82" i="5" s="1"/>
  <c r="C82" i="5" s="1"/>
  <c r="G82" i="5" s="1"/>
  <c r="E37" i="5"/>
  <c r="D37" i="5" s="1"/>
  <c r="C37" i="5" s="1"/>
  <c r="G37" i="5" s="1"/>
  <c r="F404" i="5"/>
  <c r="J404" i="5" s="1"/>
  <c r="E81" i="5"/>
  <c r="D81" i="5" s="1"/>
  <c r="C81" i="5" s="1"/>
  <c r="G81" i="5" s="1"/>
  <c r="E220" i="5"/>
  <c r="D220" i="5" s="1"/>
  <c r="C220" i="5" s="1"/>
  <c r="G220" i="5" s="1"/>
  <c r="E46" i="5"/>
  <c r="D46" i="5" s="1"/>
  <c r="C46" i="5" s="1"/>
  <c r="G46" i="5" s="1"/>
  <c r="E83" i="5"/>
  <c r="D83" i="5" s="1"/>
  <c r="C83" i="5" s="1"/>
  <c r="G83" i="5" s="1"/>
  <c r="E44" i="5"/>
  <c r="D44" i="5" s="1"/>
  <c r="C44" i="5" s="1"/>
  <c r="G44" i="5" s="1"/>
  <c r="E117" i="5"/>
  <c r="D117" i="5" s="1"/>
  <c r="C117" i="5" s="1"/>
  <c r="G117" i="5" s="1"/>
  <c r="E429" i="5"/>
  <c r="D429" i="5" s="1"/>
  <c r="C429" i="5" s="1"/>
  <c r="G429" i="5" s="1"/>
  <c r="E335" i="5"/>
  <c r="D335" i="5" s="1"/>
  <c r="C335" i="5" s="1"/>
  <c r="G335" i="5" s="1"/>
  <c r="E420" i="5"/>
  <c r="D420" i="5" s="1"/>
  <c r="C420" i="5" s="1"/>
  <c r="G420" i="5" s="1"/>
  <c r="E126" i="5"/>
  <c r="D126" i="5" s="1"/>
  <c r="C126" i="5" s="1"/>
  <c r="G126" i="5" s="1"/>
  <c r="E175" i="5"/>
  <c r="D175" i="5" s="1"/>
  <c r="C175" i="5" s="1"/>
  <c r="G175" i="5" s="1"/>
  <c r="E428" i="5"/>
  <c r="D428" i="5" s="1"/>
  <c r="C428" i="5" s="1"/>
  <c r="G428" i="5" s="1"/>
  <c r="E163" i="5"/>
  <c r="D163" i="5" s="1"/>
  <c r="C163" i="5" s="1"/>
  <c r="G163" i="5" s="1"/>
  <c r="E350" i="5"/>
  <c r="D350" i="5" s="1"/>
  <c r="C350" i="5" s="1"/>
  <c r="G350" i="5" s="1"/>
  <c r="E289" i="5"/>
  <c r="D289" i="5" s="1"/>
  <c r="C289" i="5" s="1"/>
  <c r="G289" i="5" s="1"/>
  <c r="E327" i="5"/>
  <c r="D327" i="5" s="1"/>
  <c r="C327" i="5" s="1"/>
  <c r="G327" i="5" s="1"/>
  <c r="E221" i="5"/>
  <c r="D221" i="5" s="1"/>
  <c r="C221" i="5" s="1"/>
  <c r="G221" i="5" s="1"/>
  <c r="E159" i="5"/>
  <c r="D159" i="5" s="1"/>
  <c r="C159" i="5" s="1"/>
  <c r="G159" i="5" s="1"/>
  <c r="E426" i="5"/>
  <c r="D426" i="5" s="1"/>
  <c r="C426" i="5" s="1"/>
  <c r="G426" i="5" s="1"/>
  <c r="E412" i="5"/>
  <c r="D412" i="5" s="1"/>
  <c r="C412" i="5" s="1"/>
  <c r="G412" i="5" s="1"/>
  <c r="E203" i="5"/>
  <c r="D203" i="5" s="1"/>
  <c r="C203" i="5" s="1"/>
  <c r="G203" i="5" s="1"/>
  <c r="E186" i="5"/>
  <c r="D186" i="5" s="1"/>
  <c r="C186" i="5" s="1"/>
  <c r="G186" i="5" s="1"/>
  <c r="E423" i="5"/>
  <c r="D423" i="5" s="1"/>
  <c r="C423" i="5" s="1"/>
  <c r="G423" i="5" s="1"/>
  <c r="E217" i="5"/>
  <c r="D217" i="5" s="1"/>
  <c r="C217" i="5" s="1"/>
  <c r="G217" i="5" s="1"/>
  <c r="E287" i="5"/>
  <c r="D287" i="5" s="1"/>
  <c r="C287" i="5" s="1"/>
  <c r="G287" i="5" s="1"/>
  <c r="E141" i="5"/>
  <c r="D141" i="5" s="1"/>
  <c r="C141" i="5" s="1"/>
  <c r="G141" i="5" s="1"/>
  <c r="E35" i="5"/>
  <c r="D35" i="5" s="1"/>
  <c r="C35" i="5" s="1"/>
  <c r="G35" i="5" s="1"/>
  <c r="E290" i="5"/>
  <c r="D290" i="5" s="1"/>
  <c r="C290" i="5" s="1"/>
  <c r="G290" i="5" s="1"/>
  <c r="E421" i="5"/>
  <c r="D421" i="5" s="1"/>
  <c r="C421" i="5" s="1"/>
  <c r="G421" i="5" s="1"/>
  <c r="E188" i="5"/>
  <c r="D188" i="5" s="1"/>
  <c r="C188" i="5" s="1"/>
  <c r="G188" i="5" s="1"/>
  <c r="E351" i="5"/>
  <c r="D351" i="5" s="1"/>
  <c r="C351" i="5" s="1"/>
  <c r="G351" i="5" s="1"/>
  <c r="E222" i="5"/>
  <c r="D222" i="5" s="1"/>
  <c r="C222" i="5" s="1"/>
  <c r="G222" i="5" s="1"/>
  <c r="E84" i="5"/>
  <c r="D84" i="5" s="1"/>
  <c r="C84" i="5" s="1"/>
  <c r="G84" i="5" s="1"/>
  <c r="E296" i="5"/>
  <c r="D296" i="5" s="1"/>
  <c r="C296" i="5" s="1"/>
  <c r="G296" i="5" s="1"/>
  <c r="E19" i="5"/>
  <c r="D19" i="5" s="1"/>
  <c r="C19" i="5" s="1"/>
  <c r="G19" i="5" s="1"/>
  <c r="E263" i="5"/>
  <c r="D263" i="5" s="1"/>
  <c r="C263" i="5" s="1"/>
  <c r="G263" i="5" s="1"/>
  <c r="E243" i="5"/>
  <c r="D243" i="5" s="1"/>
  <c r="C243" i="5" s="1"/>
  <c r="G243" i="5" s="1"/>
  <c r="E21" i="5"/>
  <c r="D21" i="5" s="1"/>
  <c r="C21" i="5" s="1"/>
  <c r="G21" i="5" s="1"/>
  <c r="E23" i="5"/>
  <c r="D23" i="5" s="1"/>
  <c r="C23" i="5" s="1"/>
  <c r="G23" i="5" s="1"/>
  <c r="F237" i="5"/>
  <c r="J237" i="5" s="1"/>
  <c r="E183" i="5"/>
  <c r="D183" i="5" s="1"/>
  <c r="C183" i="5" s="1"/>
  <c r="G183" i="5" s="1"/>
  <c r="E139" i="5"/>
  <c r="D139" i="5" s="1"/>
  <c r="C139" i="5" s="1"/>
  <c r="G139" i="5" s="1"/>
  <c r="E27" i="5"/>
  <c r="D27" i="5" s="1"/>
  <c r="C27" i="5" s="1"/>
  <c r="G27" i="5" s="1"/>
  <c r="E387" i="5"/>
  <c r="D387" i="5" s="1"/>
  <c r="C387" i="5" s="1"/>
  <c r="G387" i="5" s="1"/>
  <c r="K439" i="2"/>
  <c r="J17" i="2"/>
  <c r="E7" i="1" s="1"/>
  <c r="E67" i="5"/>
  <c r="D67" i="5" s="1"/>
  <c r="C67" i="5" s="1"/>
  <c r="G67" i="5" s="1"/>
  <c r="E170" i="5"/>
  <c r="D170" i="5" s="1"/>
  <c r="C170" i="5" s="1"/>
  <c r="G170" i="5" s="1"/>
  <c r="E248" i="5"/>
  <c r="D248" i="5" s="1"/>
  <c r="C248" i="5" s="1"/>
  <c r="G248" i="5" s="1"/>
  <c r="E307" i="5"/>
  <c r="D307" i="5" s="1"/>
  <c r="C307" i="5" s="1"/>
  <c r="G307" i="5" s="1"/>
  <c r="E110" i="5"/>
  <c r="D110" i="5" s="1"/>
  <c r="C110" i="5" s="1"/>
  <c r="G110" i="5" s="1"/>
  <c r="F151" i="5"/>
  <c r="E371" i="5"/>
  <c r="D371" i="5" s="1"/>
  <c r="C371" i="5" s="1"/>
  <c r="G371" i="5" s="1"/>
  <c r="E300" i="5"/>
  <c r="D300" i="5" s="1"/>
  <c r="C300" i="5" s="1"/>
  <c r="G300" i="5" s="1"/>
  <c r="E214" i="5"/>
  <c r="D214" i="5" s="1"/>
  <c r="C214" i="5" s="1"/>
  <c r="G214" i="5" s="1"/>
  <c r="E255" i="5"/>
  <c r="D255" i="5" s="1"/>
  <c r="C255" i="5" s="1"/>
  <c r="G255" i="5" s="1"/>
  <c r="E29" i="5"/>
  <c r="D29" i="5" s="1"/>
  <c r="C29" i="5" s="1"/>
  <c r="G29" i="5" s="1"/>
  <c r="E368" i="5"/>
  <c r="D368" i="5" s="1"/>
  <c r="C368" i="5" s="1"/>
  <c r="G368" i="5" s="1"/>
  <c r="E168" i="5"/>
  <c r="D168" i="5" s="1"/>
  <c r="C168" i="5" s="1"/>
  <c r="G168" i="5" s="1"/>
  <c r="E270" i="5"/>
  <c r="D270" i="5" s="1"/>
  <c r="C270" i="5" s="1"/>
  <c r="G270" i="5" s="1"/>
  <c r="E58" i="5"/>
  <c r="D58" i="5" s="1"/>
  <c r="C58" i="5" s="1"/>
  <c r="G58" i="5" s="1"/>
  <c r="E22" i="5"/>
  <c r="D22" i="5" s="1"/>
  <c r="C22" i="5" s="1"/>
  <c r="G22" i="5" s="1"/>
  <c r="E390" i="5"/>
  <c r="D390" i="5" s="1"/>
  <c r="C390" i="5" s="1"/>
  <c r="G390" i="5" s="1"/>
  <c r="E102" i="5"/>
  <c r="D102" i="5" s="1"/>
  <c r="C102" i="5" s="1"/>
  <c r="G102" i="5" s="1"/>
  <c r="E372" i="5"/>
  <c r="D372" i="5" s="1"/>
  <c r="C372" i="5" s="1"/>
  <c r="G372" i="5" s="1"/>
  <c r="E429" i="1"/>
  <c r="B441" i="2"/>
  <c r="E431" i="1" s="1"/>
  <c r="E364" i="5"/>
  <c r="D364" i="5" s="1"/>
  <c r="C364" i="5" s="1"/>
  <c r="G364" i="5" s="1"/>
  <c r="E395" i="5"/>
  <c r="D395" i="5" s="1"/>
  <c r="C395" i="5" s="1"/>
  <c r="G395" i="5" s="1"/>
  <c r="E38" i="5"/>
  <c r="D38" i="5" s="1"/>
  <c r="C38" i="5" s="1"/>
  <c r="G38" i="5" s="1"/>
  <c r="E386" i="5"/>
  <c r="D386" i="5" s="1"/>
  <c r="C386" i="5" s="1"/>
  <c r="G386" i="5" s="1"/>
  <c r="E406" i="5"/>
  <c r="D406" i="5" s="1"/>
  <c r="C406" i="5" s="1"/>
  <c r="G406" i="5" s="1"/>
  <c r="E36" i="5"/>
  <c r="D36" i="5" s="1"/>
  <c r="C36" i="5" s="1"/>
  <c r="G36" i="5" s="1"/>
  <c r="E65" i="5"/>
  <c r="D65" i="5" s="1"/>
  <c r="C65" i="5" s="1"/>
  <c r="G65" i="5" s="1"/>
  <c r="E147" i="5"/>
  <c r="D147" i="5" s="1"/>
  <c r="C147" i="5" s="1"/>
  <c r="G147" i="5" s="1"/>
  <c r="E435" i="5"/>
  <c r="D435" i="5" s="1"/>
  <c r="C435" i="5" s="1"/>
  <c r="G435" i="5" s="1"/>
  <c r="E323" i="5"/>
  <c r="D323" i="5" s="1"/>
  <c r="C323" i="5" s="1"/>
  <c r="G323" i="5" s="1"/>
  <c r="F196" i="5"/>
  <c r="J196" i="5" s="1"/>
  <c r="E142" i="5"/>
  <c r="D142" i="5" s="1"/>
  <c r="C142" i="5" s="1"/>
  <c r="G142" i="5" s="1"/>
  <c r="E201" i="5"/>
  <c r="D201" i="5" s="1"/>
  <c r="C201" i="5" s="1"/>
  <c r="G201" i="5" s="1"/>
  <c r="E206" i="5"/>
  <c r="D206" i="5" s="1"/>
  <c r="C206" i="5" s="1"/>
  <c r="G206" i="5" s="1"/>
  <c r="E209" i="5"/>
  <c r="D209" i="5" s="1"/>
  <c r="C209" i="5" s="1"/>
  <c r="G209" i="5" s="1"/>
  <c r="E396" i="5"/>
  <c r="D396" i="5" s="1"/>
  <c r="C396" i="5" s="1"/>
  <c r="G396" i="5" s="1"/>
  <c r="E253" i="5"/>
  <c r="D253" i="5" s="1"/>
  <c r="C253" i="5" s="1"/>
  <c r="G253" i="5" s="1"/>
  <c r="E331" i="5"/>
  <c r="D331" i="5" s="1"/>
  <c r="C331" i="5" s="1"/>
  <c r="G331" i="5" s="1"/>
  <c r="E75" i="5"/>
  <c r="D75" i="5" s="1"/>
  <c r="C75" i="5" s="1"/>
  <c r="G75" i="5" s="1"/>
  <c r="E137" i="5"/>
  <c r="D137" i="5" s="1"/>
  <c r="C137" i="5" s="1"/>
  <c r="G137" i="5" s="1"/>
  <c r="E56" i="5"/>
  <c r="D56" i="5" s="1"/>
  <c r="C56" i="5" s="1"/>
  <c r="G56" i="5" s="1"/>
  <c r="E121" i="5"/>
  <c r="D121" i="5" s="1"/>
  <c r="C121" i="5" s="1"/>
  <c r="G121" i="5" s="1"/>
  <c r="E204" i="5"/>
  <c r="D204" i="5" s="1"/>
  <c r="C204" i="5" s="1"/>
  <c r="G204" i="5" s="1"/>
  <c r="E430" i="5"/>
  <c r="D430" i="5" s="1"/>
  <c r="C430" i="5" s="1"/>
  <c r="G430" i="5" s="1"/>
  <c r="E342" i="5"/>
  <c r="D342" i="5" s="1"/>
  <c r="C342" i="5" s="1"/>
  <c r="G342" i="5" s="1"/>
  <c r="E332" i="5"/>
  <c r="D332" i="5" s="1"/>
  <c r="C332" i="5" s="1"/>
  <c r="G332" i="5" s="1"/>
  <c r="E94" i="5"/>
  <c r="D94" i="5" s="1"/>
  <c r="C94" i="5" s="1"/>
  <c r="G94" i="5" s="1"/>
  <c r="E285" i="5"/>
  <c r="D285" i="5" s="1"/>
  <c r="C285" i="5" s="1"/>
  <c r="G285" i="5" s="1"/>
  <c r="E172" i="5"/>
  <c r="D172" i="5" s="1"/>
  <c r="C172" i="5" s="1"/>
  <c r="G172" i="5" s="1"/>
  <c r="E180" i="5"/>
  <c r="D180" i="5" s="1"/>
  <c r="C180" i="5" s="1"/>
  <c r="G180" i="5" s="1"/>
  <c r="E330" i="5"/>
  <c r="D330" i="5" s="1"/>
  <c r="C330" i="5" s="1"/>
  <c r="G330" i="5" s="1"/>
  <c r="E344" i="5"/>
  <c r="D344" i="5" s="1"/>
  <c r="C344" i="5" s="1"/>
  <c r="G344" i="5" s="1"/>
  <c r="E392" i="5"/>
  <c r="D392" i="5" s="1"/>
  <c r="C392" i="5" s="1"/>
  <c r="G392" i="5" s="1"/>
  <c r="E286" i="5"/>
  <c r="D286" i="5" s="1"/>
  <c r="C286" i="5" s="1"/>
  <c r="G286" i="5" s="1"/>
  <c r="E283" i="5"/>
  <c r="D283" i="5" s="1"/>
  <c r="C283" i="5" s="1"/>
  <c r="G283" i="5" s="1"/>
  <c r="E31" i="5"/>
  <c r="D31" i="5" s="1"/>
  <c r="C31" i="5" s="1"/>
  <c r="G31" i="5" s="1"/>
  <c r="E232" i="5"/>
  <c r="D232" i="5" s="1"/>
  <c r="C232" i="5" s="1"/>
  <c r="G232" i="5" s="1"/>
  <c r="E145" i="5"/>
  <c r="D145" i="5" s="1"/>
  <c r="C145" i="5" s="1"/>
  <c r="G145" i="5" s="1"/>
  <c r="E398" i="5"/>
  <c r="D398" i="5" s="1"/>
  <c r="C398" i="5" s="1"/>
  <c r="G398" i="5" s="1"/>
  <c r="E304" i="5"/>
  <c r="D304" i="5" s="1"/>
  <c r="C304" i="5" s="1"/>
  <c r="G304" i="5" s="1"/>
  <c r="E294" i="5"/>
  <c r="D294" i="5" s="1"/>
  <c r="C294" i="5" s="1"/>
  <c r="G294" i="5" s="1"/>
  <c r="E169" i="5"/>
  <c r="D169" i="5" s="1"/>
  <c r="C169" i="5" s="1"/>
  <c r="G169" i="5" s="1"/>
  <c r="E407" i="5"/>
  <c r="D407" i="5" s="1"/>
  <c r="C407" i="5" s="1"/>
  <c r="G407" i="5" s="1"/>
  <c r="E314" i="5"/>
  <c r="D314" i="5" s="1"/>
  <c r="C314" i="5" s="1"/>
  <c r="G314" i="5" s="1"/>
  <c r="E438" i="5"/>
  <c r="D438" i="5" s="1"/>
  <c r="C438" i="5" s="1"/>
  <c r="G438" i="5" s="1"/>
  <c r="E245" i="5"/>
  <c r="D245" i="5" s="1"/>
  <c r="C245" i="5" s="1"/>
  <c r="G245" i="5" s="1"/>
  <c r="E20" i="5"/>
  <c r="D20" i="5" s="1"/>
  <c r="C20" i="5" s="1"/>
  <c r="G20" i="5" s="1"/>
  <c r="E187" i="5"/>
  <c r="D187" i="5" s="1"/>
  <c r="C187" i="5" s="1"/>
  <c r="G187" i="5" s="1"/>
  <c r="E160" i="5"/>
  <c r="D160" i="5" s="1"/>
  <c r="C160" i="5" s="1"/>
  <c r="G160" i="5" s="1"/>
  <c r="E227" i="5"/>
  <c r="D227" i="5" s="1"/>
  <c r="C227" i="5" s="1"/>
  <c r="G227" i="5" s="1"/>
  <c r="E244" i="5"/>
  <c r="D244" i="5" s="1"/>
  <c r="C244" i="5" s="1"/>
  <c r="G244" i="5" s="1"/>
  <c r="E312" i="5"/>
  <c r="D312" i="5" s="1"/>
  <c r="C312" i="5" s="1"/>
  <c r="G312" i="5" s="1"/>
  <c r="E181" i="5"/>
  <c r="D181" i="5" s="1"/>
  <c r="C181" i="5" s="1"/>
  <c r="G181" i="5" s="1"/>
  <c r="E241" i="5"/>
  <c r="D241" i="5" s="1"/>
  <c r="C241" i="5" s="1"/>
  <c r="G241" i="5" s="1"/>
  <c r="E306" i="5"/>
  <c r="D306" i="5" s="1"/>
  <c r="C306" i="5" s="1"/>
  <c r="G306" i="5" s="1"/>
  <c r="E247" i="5"/>
  <c r="D247" i="5" s="1"/>
  <c r="C247" i="5" s="1"/>
  <c r="G247" i="5" s="1"/>
  <c r="E366" i="5"/>
  <c r="D366" i="5" s="1"/>
  <c r="C366" i="5" s="1"/>
  <c r="G366" i="5" s="1"/>
  <c r="E45" i="5"/>
  <c r="D45" i="5" s="1"/>
  <c r="C45" i="5" s="1"/>
  <c r="G45" i="5" s="1"/>
  <c r="E17" i="5" l="1"/>
  <c r="D17" i="5" s="1"/>
  <c r="C17" i="5" s="1"/>
  <c r="G17" i="5" s="1"/>
  <c r="E405" i="5"/>
  <c r="D405" i="5" s="1"/>
  <c r="C405" i="5" s="1"/>
  <c r="G405" i="5" s="1"/>
  <c r="E279" i="5"/>
  <c r="D279" i="5" s="1"/>
  <c r="C279" i="5" s="1"/>
  <c r="G279" i="5" s="1"/>
  <c r="E156" i="5"/>
  <c r="D156" i="5" s="1"/>
  <c r="C156" i="5" s="1"/>
  <c r="G156" i="5" s="1"/>
  <c r="F59" i="5"/>
  <c r="F60" i="5" s="1"/>
  <c r="F61" i="5" s="1"/>
  <c r="E18" i="5"/>
  <c r="D18" i="5" s="1"/>
  <c r="C18" i="5" s="1"/>
  <c r="G18" i="5" s="1"/>
  <c r="F315" i="5"/>
  <c r="F233" i="5"/>
  <c r="F192" i="5"/>
  <c r="F441" i="5"/>
  <c r="F274" i="5"/>
  <c r="F357" i="5"/>
  <c r="F105" i="5"/>
  <c r="F399" i="5"/>
  <c r="E64" i="5"/>
  <c r="D64" i="5" s="1"/>
  <c r="C64" i="5" s="1"/>
  <c r="G64" i="5" s="1"/>
  <c r="L93" i="1"/>
  <c r="M93" i="1" s="1"/>
  <c r="B8" i="8" s="1"/>
  <c r="E196" i="5"/>
  <c r="D196" i="5" s="1"/>
  <c r="C196" i="5" s="1"/>
  <c r="G196" i="5" s="1"/>
  <c r="E278" i="5"/>
  <c r="D278" i="5" s="1"/>
  <c r="C278" i="5" s="1"/>
  <c r="G278" i="5" s="1"/>
  <c r="E362" i="5"/>
  <c r="D362" i="5" s="1"/>
  <c r="C362" i="5" s="1"/>
  <c r="G362" i="5" s="1"/>
  <c r="E63" i="5"/>
  <c r="D63" i="5" s="1"/>
  <c r="C63" i="5" s="1"/>
  <c r="G63" i="5" s="1"/>
  <c r="E320" i="5"/>
  <c r="D320" i="5" s="1"/>
  <c r="C320" i="5" s="1"/>
  <c r="G320" i="5" s="1"/>
  <c r="L177" i="1"/>
  <c r="M177" i="1" s="1"/>
  <c r="B12" i="8" s="1"/>
  <c r="K441" i="2"/>
  <c r="K443" i="2" s="1"/>
  <c r="J439" i="2"/>
  <c r="L261" i="1"/>
  <c r="M261" i="1" s="1"/>
  <c r="L345" i="1"/>
  <c r="M345" i="1" s="1"/>
  <c r="L51" i="1"/>
  <c r="M51" i="1" s="1"/>
  <c r="B6" i="8" s="1"/>
  <c r="L303" i="1"/>
  <c r="M303" i="1" s="1"/>
  <c r="F152" i="5"/>
  <c r="F153" i="5" s="1"/>
  <c r="E237" i="5"/>
  <c r="D237" i="5" s="1"/>
  <c r="C237" i="5" s="1"/>
  <c r="G237" i="5" s="1"/>
  <c r="E404" i="5"/>
  <c r="D404" i="5" s="1"/>
  <c r="C404" i="5" s="1"/>
  <c r="G404" i="5" s="1"/>
  <c r="L135" i="1"/>
  <c r="M135" i="1" s="1"/>
  <c r="B10" i="8" s="1"/>
  <c r="B443" i="2"/>
  <c r="E433" i="1" s="1"/>
  <c r="L219" i="1"/>
  <c r="M219" i="1" s="1"/>
  <c r="B14" i="8" s="1"/>
  <c r="L387" i="1"/>
  <c r="M387" i="1" s="1"/>
  <c r="E109" i="5"/>
  <c r="D109" i="5" s="1"/>
  <c r="C109" i="5" s="1"/>
  <c r="G109" i="5" s="1"/>
  <c r="E155" i="5"/>
  <c r="D155" i="5" s="1"/>
  <c r="C155" i="5" s="1"/>
  <c r="G155" i="5" s="1"/>
  <c r="K429" i="1"/>
  <c r="M9" i="1"/>
  <c r="B4" i="8" s="1"/>
  <c r="C10" i="5" l="1"/>
  <c r="J11" i="8"/>
  <c r="K11" i="8" s="1"/>
  <c r="L11" i="8" s="1"/>
  <c r="J10" i="8"/>
  <c r="K10" i="8" s="1"/>
  <c r="L10" i="8" s="1"/>
  <c r="J6" i="8"/>
  <c r="K6" i="8" s="1"/>
  <c r="L6" i="8" s="1"/>
  <c r="J7" i="8"/>
  <c r="K7" i="8" s="1"/>
  <c r="J15" i="8"/>
  <c r="J14" i="8"/>
  <c r="K14" i="8" s="1"/>
  <c r="L14" i="8" s="1"/>
  <c r="J13" i="8"/>
  <c r="J12" i="8"/>
  <c r="J4" i="8"/>
  <c r="J5" i="8"/>
  <c r="J8" i="8"/>
  <c r="K8" i="8" s="1"/>
  <c r="L8" i="8" s="1"/>
  <c r="J9" i="8"/>
  <c r="K9" i="8" s="1"/>
  <c r="L431" i="1"/>
  <c r="M433" i="1"/>
  <c r="F275" i="5"/>
  <c r="F276" i="5" s="1"/>
  <c r="C12" i="5"/>
  <c r="F358" i="5"/>
  <c r="F359" i="5" s="1"/>
  <c r="I10" i="5"/>
  <c r="F234" i="5"/>
  <c r="F235" i="5" s="1"/>
  <c r="C11" i="5"/>
  <c r="E60" i="5"/>
  <c r="D60" i="5" s="1"/>
  <c r="J441" i="2"/>
  <c r="J443" i="2" s="1"/>
  <c r="F106" i="5"/>
  <c r="F107" i="5" s="1"/>
  <c r="E10" i="5"/>
  <c r="F400" i="5"/>
  <c r="F401" i="5" s="1"/>
  <c r="F442" i="5"/>
  <c r="F443" i="5" s="1"/>
  <c r="F316" i="5"/>
  <c r="F317" i="5" s="1"/>
  <c r="H10" i="5"/>
  <c r="F193" i="5"/>
  <c r="F194" i="5" s="1"/>
  <c r="E152" i="5"/>
  <c r="D152" i="5" s="1"/>
  <c r="F445" i="5" l="1"/>
  <c r="G10" i="5"/>
  <c r="L9" i="8"/>
  <c r="K4" i="8"/>
  <c r="L4" i="8" s="1"/>
  <c r="D19" i="8"/>
  <c r="F13" i="6" s="1"/>
  <c r="L7" i="8"/>
  <c r="K13" i="8"/>
  <c r="L13" i="8" s="1"/>
  <c r="K5" i="8"/>
  <c r="D22" i="8" s="1"/>
  <c r="F17" i="6" s="1"/>
  <c r="D21" i="8"/>
  <c r="F16" i="6" s="1"/>
  <c r="K12" i="8"/>
  <c r="L12" i="8" s="1"/>
  <c r="K15" i="8"/>
  <c r="L15" i="8" s="1"/>
  <c r="E316" i="5"/>
  <c r="D316" i="5" s="1"/>
  <c r="E400" i="5"/>
  <c r="D400" i="5" s="1"/>
  <c r="E11" i="5"/>
  <c r="G11" i="5" s="1"/>
  <c r="E106" i="5"/>
  <c r="D106" i="5" s="1"/>
  <c r="I12" i="5"/>
  <c r="I11" i="5"/>
  <c r="E234" i="5"/>
  <c r="D234" i="5" s="1"/>
  <c r="E275" i="5"/>
  <c r="D275" i="5" s="1"/>
  <c r="H12" i="5"/>
  <c r="E442" i="5"/>
  <c r="D442" i="5" s="1"/>
  <c r="E12" i="5"/>
  <c r="G12" i="5" s="1"/>
  <c r="E193" i="5"/>
  <c r="D193" i="5" s="1"/>
  <c r="H11" i="5"/>
  <c r="E358" i="5"/>
  <c r="D358" i="5" s="1"/>
  <c r="D20" i="8" l="1"/>
  <c r="F14" i="6" s="1"/>
  <c r="L5" i="8"/>
</calcChain>
</file>

<file path=xl/comments1.xml><?xml version="1.0" encoding="utf-8"?>
<comments xmlns="http://schemas.openxmlformats.org/spreadsheetml/2006/main">
  <authors>
    <author>profile</author>
    <author>0610308</author>
    <author>9214806</author>
    <author>9714090</author>
  </authors>
  <commentList>
    <comment ref="F4" authorId="0" shapeId="0">
      <text>
        <r>
          <rPr>
            <b/>
            <sz val="12"/>
            <color indexed="81"/>
            <rFont val="ＭＳ Ｐゴシック"/>
            <family val="3"/>
            <charset val="128"/>
          </rPr>
          <t>H23年度から担当係長も記載して下さい。:</t>
        </r>
        <r>
          <rPr>
            <sz val="9"/>
            <color indexed="81"/>
            <rFont val="ＭＳ Ｐゴシック"/>
            <family val="3"/>
            <charset val="128"/>
          </rPr>
          <t xml:space="preserve">
</t>
        </r>
      </text>
    </comment>
    <comment ref="K10" authorId="1" shapeId="0">
      <text>
        <r>
          <rPr>
            <b/>
            <sz val="12"/>
            <color indexed="81"/>
            <rFont val="ＭＳ Ｐゴシック"/>
            <family val="3"/>
            <charset val="128"/>
          </rPr>
          <t>このマクロを使用するときは明細ファイルの頭に参考と付けてから読み込んでください。動かない場合は後ろにも参考と入ってる場合があります</t>
        </r>
      </text>
    </comment>
    <comment ref="F14" authorId="2" shapeId="0">
      <text>
        <r>
          <rPr>
            <sz val="12"/>
            <color indexed="81"/>
            <rFont val="ＭＳ Ｐゴシック"/>
            <family val="3"/>
            <charset val="128"/>
          </rPr>
          <t>1千万円未満は3桁、以上は4桁で丸めるように設定してあります。
合わない時は直接入力して下さい。</t>
        </r>
      </text>
    </comment>
    <comment ref="O16" authorId="3" shapeId="0">
      <text>
        <r>
          <rPr>
            <sz val="10"/>
            <color indexed="81"/>
            <rFont val="ＭＳ Ｐゴシック"/>
            <family val="3"/>
            <charset val="128"/>
          </rPr>
          <t>端数処理しても金額が合わない場合は、rankの優先順位の高いものより、補正金額を手入力にて加算する。</t>
        </r>
      </text>
    </comment>
  </commentList>
</comments>
</file>

<file path=xl/comments2.xml><?xml version="1.0" encoding="utf-8"?>
<comments xmlns="http://schemas.openxmlformats.org/spreadsheetml/2006/main">
  <authors>
    <author>9214806</author>
  </authors>
  <commentList>
    <comment ref="D4" authorId="0" shapeId="0">
      <text>
        <r>
          <rPr>
            <b/>
            <sz val="9"/>
            <color indexed="81"/>
            <rFont val="ＭＳ Ｐゴシック"/>
            <family val="3"/>
            <charset val="128"/>
          </rPr>
          <t>選択</t>
        </r>
        <r>
          <rPr>
            <sz val="9"/>
            <color indexed="81"/>
            <rFont val="ＭＳ Ｐゴシック"/>
            <family val="3"/>
            <charset val="128"/>
          </rPr>
          <t xml:space="preserve">
※森之宮は
　施設管区と営繕区と工事に分けてます。</t>
        </r>
      </text>
    </comment>
    <comment ref="J5" authorId="0" shapeId="0">
      <text>
        <r>
          <rPr>
            <b/>
            <sz val="9"/>
            <color indexed="81"/>
            <rFont val="ＭＳ Ｐゴシック"/>
            <family val="3"/>
            <charset val="128"/>
          </rPr>
          <t>選択</t>
        </r>
        <r>
          <rPr>
            <sz val="9"/>
            <color indexed="81"/>
            <rFont val="ＭＳ Ｐゴシック"/>
            <family val="3"/>
            <charset val="128"/>
          </rPr>
          <t xml:space="preserve">
</t>
        </r>
      </text>
    </comment>
  </commentList>
</comments>
</file>

<file path=xl/sharedStrings.xml><?xml version="1.0" encoding="utf-8"?>
<sst xmlns="http://schemas.openxmlformats.org/spreadsheetml/2006/main" count="406" uniqueCount="296">
  <si>
    <t>契約番号</t>
    <rPh sb="0" eb="2">
      <t>ケイヤク</t>
    </rPh>
    <rPh sb="2" eb="4">
      <t>バンゴウ</t>
    </rPh>
    <phoneticPr fontId="2"/>
  </si>
  <si>
    <t>担当者</t>
    <rPh sb="0" eb="3">
      <t>タントウシャ</t>
    </rPh>
    <phoneticPr fontId="2"/>
  </si>
  <si>
    <t>ＴＥＬ</t>
    <phoneticPr fontId="2"/>
  </si>
  <si>
    <t>請負代金額</t>
    <rPh sb="0" eb="2">
      <t>ウケオイ</t>
    </rPh>
    <rPh sb="2" eb="3">
      <t>ダイ</t>
    </rPh>
    <rPh sb="3" eb="5">
      <t>キンガク</t>
    </rPh>
    <phoneticPr fontId="2"/>
  </si>
  <si>
    <t>（内消費税等</t>
    <rPh sb="1" eb="2">
      <t>ウチ</t>
    </rPh>
    <rPh sb="2" eb="5">
      <t>ショウヒゼイ</t>
    </rPh>
    <rPh sb="5" eb="6">
      <t>トウ</t>
    </rPh>
    <phoneticPr fontId="2"/>
  </si>
  <si>
    <t>～</t>
    <phoneticPr fontId="2"/>
  </si>
  <si>
    <t>工　　事　　名　　称</t>
    <rPh sb="0" eb="1">
      <t>コウ</t>
    </rPh>
    <rPh sb="3" eb="4">
      <t>コト</t>
    </rPh>
    <rPh sb="6" eb="7">
      <t>ナ</t>
    </rPh>
    <rPh sb="9" eb="10">
      <t>ショウ</t>
    </rPh>
    <phoneticPr fontId="2"/>
  </si>
  <si>
    <t>請負者名</t>
    <rPh sb="0" eb="2">
      <t>ウケオイ</t>
    </rPh>
    <rPh sb="2" eb="3">
      <t>シャ</t>
    </rPh>
    <rPh sb="3" eb="4">
      <t>メイ</t>
    </rPh>
    <phoneticPr fontId="2"/>
  </si>
  <si>
    <t>)</t>
    <phoneticPr fontId="2"/>
  </si>
  <si>
    <t>前払金</t>
    <rPh sb="0" eb="1">
      <t>マエ</t>
    </rPh>
    <rPh sb="1" eb="2">
      <t>ハラ</t>
    </rPh>
    <rPh sb="2" eb="3">
      <t>キン</t>
    </rPh>
    <phoneticPr fontId="2"/>
  </si>
  <si>
    <t>契　約　日</t>
    <rPh sb="0" eb="1">
      <t>チギリ</t>
    </rPh>
    <rPh sb="2" eb="3">
      <t>ヤク</t>
    </rPh>
    <rPh sb="4" eb="5">
      <t>ヒ</t>
    </rPh>
    <phoneticPr fontId="2"/>
  </si>
  <si>
    <t>落札率（R）</t>
    <rPh sb="0" eb="2">
      <t>ラクサツ</t>
    </rPh>
    <rPh sb="2" eb="3">
      <t>リツ</t>
    </rPh>
    <phoneticPr fontId="2"/>
  </si>
  <si>
    <t>各係連絡</t>
    <rPh sb="0" eb="1">
      <t>カク</t>
    </rPh>
    <rPh sb="1" eb="2">
      <t>カカリ</t>
    </rPh>
    <rPh sb="2" eb="4">
      <t>レンラク</t>
    </rPh>
    <phoneticPr fontId="2"/>
  </si>
  <si>
    <t>契約書提出</t>
    <rPh sb="0" eb="3">
      <t>ケイヤクショ</t>
    </rPh>
    <rPh sb="3" eb="5">
      <t>テイシュツ</t>
    </rPh>
    <phoneticPr fontId="2"/>
  </si>
  <si>
    <t>工　　　期</t>
    <rPh sb="0" eb="1">
      <t>コウ</t>
    </rPh>
    <rPh sb="4" eb="5">
      <t>キ</t>
    </rPh>
    <phoneticPr fontId="2"/>
  </si>
  <si>
    <t>【チェックシート】</t>
    <phoneticPr fontId="2"/>
  </si>
  <si>
    <t>（内訳）</t>
    <rPh sb="1" eb="3">
      <t>ウチワケ</t>
    </rPh>
    <phoneticPr fontId="2"/>
  </si>
  <si>
    <t>設計No</t>
    <rPh sb="0" eb="2">
      <t>セッケイ</t>
    </rPh>
    <phoneticPr fontId="2"/>
  </si>
  <si>
    <t>計</t>
    <rPh sb="0" eb="1">
      <t>ケイ</t>
    </rPh>
    <phoneticPr fontId="2"/>
  </si>
  <si>
    <t>消費税及び地方消費税相当額</t>
    <rPh sb="0" eb="3">
      <t>ショウヒゼイ</t>
    </rPh>
    <rPh sb="3" eb="4">
      <t>オヨ</t>
    </rPh>
    <rPh sb="5" eb="7">
      <t>チホウ</t>
    </rPh>
    <rPh sb="7" eb="10">
      <t>ショウヒゼイ</t>
    </rPh>
    <rPh sb="10" eb="13">
      <t>ソウトウガク</t>
    </rPh>
    <phoneticPr fontId="2"/>
  </si>
  <si>
    <t>合計</t>
    <rPh sb="0" eb="2">
      <t>ゴウケイ</t>
    </rPh>
    <phoneticPr fontId="2"/>
  </si>
  <si>
    <t>契約日</t>
    <rPh sb="0" eb="3">
      <t>ケイヤクビ</t>
    </rPh>
    <phoneticPr fontId="2"/>
  </si>
  <si>
    <t>査定担当者名</t>
    <rPh sb="0" eb="2">
      <t>サテイ</t>
    </rPh>
    <rPh sb="2" eb="5">
      <t>タントウシャ</t>
    </rPh>
    <rPh sb="5" eb="6">
      <t>メイ</t>
    </rPh>
    <phoneticPr fontId="2"/>
  </si>
  <si>
    <t>工事名称</t>
    <rPh sb="0" eb="2">
      <t>コウジ</t>
    </rPh>
    <rPh sb="2" eb="4">
      <t>メイショウ</t>
    </rPh>
    <phoneticPr fontId="2"/>
  </si>
  <si>
    <t>請負代金額（税込み）</t>
    <rPh sb="0" eb="2">
      <t>ウケオイ</t>
    </rPh>
    <rPh sb="2" eb="3">
      <t>ダイ</t>
    </rPh>
    <rPh sb="3" eb="5">
      <t>キンガク</t>
    </rPh>
    <rPh sb="6" eb="7">
      <t>ゼイ</t>
    </rPh>
    <rPh sb="7" eb="8">
      <t>コ</t>
    </rPh>
    <phoneticPr fontId="2"/>
  </si>
  <si>
    <t>名　　　　　　　　　称</t>
    <rPh sb="0" eb="1">
      <t>メイ</t>
    </rPh>
    <rPh sb="10" eb="11">
      <t>ショウ</t>
    </rPh>
    <phoneticPr fontId="2"/>
  </si>
  <si>
    <t>（変更時差引金額）</t>
    <rPh sb="1" eb="4">
      <t>ヘンコウジ</t>
    </rPh>
    <rPh sb="4" eb="6">
      <t>サシヒキ</t>
    </rPh>
    <rPh sb="6" eb="8">
      <t>キンガク</t>
    </rPh>
    <phoneticPr fontId="2"/>
  </si>
  <si>
    <t>（査定金額端数調整）</t>
    <rPh sb="1" eb="3">
      <t>サテイ</t>
    </rPh>
    <rPh sb="3" eb="5">
      <t>キンガク</t>
    </rPh>
    <rPh sb="5" eb="7">
      <t>ハスウ</t>
    </rPh>
    <rPh sb="7" eb="9">
      <t>チョウセイ</t>
    </rPh>
    <phoneticPr fontId="2"/>
  </si>
  <si>
    <t>部に入力</t>
    <rPh sb="0" eb="1">
      <t>ブ</t>
    </rPh>
    <rPh sb="2" eb="4">
      <t>ニュウリョク</t>
    </rPh>
    <phoneticPr fontId="2"/>
  </si>
  <si>
    <t>（請負金額査定入力表）</t>
    <rPh sb="1" eb="3">
      <t>ウケオイ</t>
    </rPh>
    <rPh sb="3" eb="5">
      <t>キンガク</t>
    </rPh>
    <rPh sb="5" eb="7">
      <t>サテイ</t>
    </rPh>
    <rPh sb="7" eb="9">
      <t>ニュウリョク</t>
    </rPh>
    <rPh sb="9" eb="10">
      <t>ヒョウ</t>
    </rPh>
    <phoneticPr fontId="2"/>
  </si>
  <si>
    <t>新単価</t>
    <rPh sb="0" eb="3">
      <t>シンタンカ</t>
    </rPh>
    <phoneticPr fontId="2"/>
  </si>
  <si>
    <t>類似単価</t>
    <rPh sb="0" eb="2">
      <t>ルイジ</t>
    </rPh>
    <rPh sb="2" eb="4">
      <t>タンカ</t>
    </rPh>
    <phoneticPr fontId="2"/>
  </si>
  <si>
    <t>変更差引金額</t>
    <rPh sb="0" eb="2">
      <t>ヘンコウ</t>
    </rPh>
    <rPh sb="2" eb="4">
      <t>サシヒキ</t>
    </rPh>
    <rPh sb="4" eb="6">
      <t>キンガク</t>
    </rPh>
    <phoneticPr fontId="2"/>
  </si>
  <si>
    <t>今回請負金額</t>
    <rPh sb="0" eb="2">
      <t>コンカイ</t>
    </rPh>
    <rPh sb="2" eb="4">
      <t>ウケオイ</t>
    </rPh>
    <rPh sb="4" eb="6">
      <t>キンガク</t>
    </rPh>
    <phoneticPr fontId="2"/>
  </si>
  <si>
    <r>
      <t>端数桁数</t>
    </r>
    <r>
      <rPr>
        <sz val="11"/>
        <rFont val="ＭＳ Ｐゴシック"/>
        <family val="3"/>
        <charset val="128"/>
      </rPr>
      <t>↓</t>
    </r>
    <rPh sb="0" eb="2">
      <t>ハスウ</t>
    </rPh>
    <rPh sb="2" eb="4">
      <t>ケタスウ</t>
    </rPh>
    <phoneticPr fontId="2"/>
  </si>
  <si>
    <r>
      <t>※</t>
    </r>
    <r>
      <rPr>
        <sz val="11"/>
        <color indexed="10"/>
        <rFont val="ＭＳ Ｐゴシック"/>
        <family val="3"/>
        <charset val="128"/>
      </rPr>
      <t>通常工事金額は</t>
    </r>
    <rPh sb="1" eb="3">
      <t>ツウジョウ</t>
    </rPh>
    <rPh sb="3" eb="5">
      <t>コウジ</t>
    </rPh>
    <rPh sb="5" eb="7">
      <t>キンガク</t>
    </rPh>
    <phoneticPr fontId="2"/>
  </si>
  <si>
    <r>
      <t>金額調整</t>
    </r>
    <r>
      <rPr>
        <sz val="11"/>
        <rFont val="ＭＳ Ｐゴシック"/>
        <family val="3"/>
        <charset val="128"/>
      </rPr>
      <t>↓</t>
    </r>
    <rPh sb="0" eb="2">
      <t>キンガク</t>
    </rPh>
    <rPh sb="2" eb="4">
      <t>チョウセイ</t>
    </rPh>
    <phoneticPr fontId="2"/>
  </si>
  <si>
    <r>
      <t>※</t>
    </r>
    <r>
      <rPr>
        <sz val="11"/>
        <color indexed="10"/>
        <rFont val="ＭＳ Ｐゴシック"/>
        <family val="3"/>
        <charset val="128"/>
      </rPr>
      <t>変更工事金額は</t>
    </r>
    <rPh sb="1" eb="3">
      <t>ヘンコウ</t>
    </rPh>
    <rPh sb="3" eb="5">
      <t>コウジ</t>
    </rPh>
    <rPh sb="5" eb="7">
      <t>キンガク</t>
    </rPh>
    <phoneticPr fontId="2"/>
  </si>
  <si>
    <t>工期　　　　　　着手日</t>
    <rPh sb="0" eb="2">
      <t>コウキ</t>
    </rPh>
    <rPh sb="8" eb="10">
      <t>チャクシュ</t>
    </rPh>
    <rPh sb="10" eb="11">
      <t>ヒ</t>
    </rPh>
    <phoneticPr fontId="2"/>
  </si>
  <si>
    <t>工期　　　　　　完成日</t>
    <rPh sb="0" eb="2">
      <t>コウキ</t>
    </rPh>
    <rPh sb="8" eb="10">
      <t>カンセイ</t>
    </rPh>
    <rPh sb="10" eb="11">
      <t>ヒ</t>
    </rPh>
    <phoneticPr fontId="2"/>
  </si>
  <si>
    <t>設計変更時入力表　(0の場合は、0と入力すること。）</t>
    <rPh sb="0" eb="2">
      <t>セッケイ</t>
    </rPh>
    <rPh sb="2" eb="4">
      <t>ヘンコウ</t>
    </rPh>
    <rPh sb="4" eb="5">
      <t>ジ</t>
    </rPh>
    <rPh sb="5" eb="7">
      <t>ニュウリョク</t>
    </rPh>
    <rPh sb="7" eb="8">
      <t>ヒョウ</t>
    </rPh>
    <rPh sb="12" eb="14">
      <t>バアイ</t>
    </rPh>
    <rPh sb="18" eb="20">
      <t>ニュウリョク</t>
    </rPh>
    <phoneticPr fontId="2"/>
  </si>
  <si>
    <t>rank</t>
    <phoneticPr fontId="2"/>
  </si>
  <si>
    <t>端数処理の桁数</t>
    <rPh sb="0" eb="2">
      <t>ハスウ</t>
    </rPh>
    <rPh sb="2" eb="4">
      <t>ショリ</t>
    </rPh>
    <rPh sb="5" eb="7">
      <t>ケタスウ</t>
    </rPh>
    <phoneticPr fontId="2"/>
  </si>
  <si>
    <t>率</t>
    <rPh sb="0" eb="1">
      <t>リツ</t>
    </rPh>
    <phoneticPr fontId="2"/>
  </si>
  <si>
    <t>正の補正</t>
    <rPh sb="0" eb="1">
      <t>セイ</t>
    </rPh>
    <rPh sb="2" eb="4">
      <t>ホセイ</t>
    </rPh>
    <phoneticPr fontId="2"/>
  </si>
  <si>
    <t>負の補正</t>
    <rPh sb="0" eb="1">
      <t>フ</t>
    </rPh>
    <rPh sb="2" eb="4">
      <t>ホセイ</t>
    </rPh>
    <phoneticPr fontId="2"/>
  </si>
  <si>
    <t>補正金額</t>
    <rPh sb="0" eb="2">
      <t>ホセイ</t>
    </rPh>
    <rPh sb="2" eb="4">
      <t>キンガク</t>
    </rPh>
    <phoneticPr fontId="2"/>
  </si>
  <si>
    <t>補正前金額</t>
    <rPh sb="0" eb="2">
      <t>ホセイ</t>
    </rPh>
    <rPh sb="2" eb="3">
      <t>マエ</t>
    </rPh>
    <rPh sb="3" eb="5">
      <t>キンガク</t>
    </rPh>
    <phoneticPr fontId="2"/>
  </si>
  <si>
    <t>&lt;=赤になれば、桁を下げてください。</t>
    <rPh sb="2" eb="3">
      <t>アカ</t>
    </rPh>
    <rPh sb="8" eb="9">
      <t>ケタ</t>
    </rPh>
    <rPh sb="10" eb="11">
      <t>サ</t>
    </rPh>
    <phoneticPr fontId="2"/>
  </si>
  <si>
    <t>それでも、金額が合わなければE,I列を手で修正してください。</t>
    <rPh sb="5" eb="7">
      <t>キンガク</t>
    </rPh>
    <rPh sb="8" eb="9">
      <t>ア</t>
    </rPh>
    <rPh sb="17" eb="18">
      <t>レツ</t>
    </rPh>
    <rPh sb="19" eb="20">
      <t>テ</t>
    </rPh>
    <rPh sb="21" eb="23">
      <t>シュウセイ</t>
    </rPh>
    <phoneticPr fontId="2"/>
  </si>
  <si>
    <r>
      <t>←</t>
    </r>
    <r>
      <rPr>
        <sz val="11"/>
        <color indexed="10"/>
        <rFont val="ＭＳ Ｐゴシック"/>
        <family val="3"/>
        <charset val="128"/>
      </rPr>
      <t>赤なら要調整！</t>
    </r>
    <r>
      <rPr>
        <sz val="11"/>
        <rFont val="ＭＳ Ｐゴシック"/>
        <family val="3"/>
        <charset val="128"/>
      </rPr>
      <t>→</t>
    </r>
    <rPh sb="1" eb="2">
      <t>アカ</t>
    </rPh>
    <rPh sb="4" eb="5">
      <t>ヨウ</t>
    </rPh>
    <rPh sb="5" eb="7">
      <t>チョウセイ</t>
    </rPh>
    <phoneticPr fontId="2"/>
  </si>
  <si>
    <t>前回請負代金額</t>
    <rPh sb="0" eb="2">
      <t>ゼンカイ</t>
    </rPh>
    <rPh sb="2" eb="4">
      <t>ウケオイ</t>
    </rPh>
    <rPh sb="4" eb="5">
      <t>ダイ</t>
    </rPh>
    <rPh sb="5" eb="7">
      <t>キンガク</t>
    </rPh>
    <phoneticPr fontId="2"/>
  </si>
  <si>
    <r>
      <t>金額（</t>
    </r>
    <r>
      <rPr>
        <sz val="11"/>
        <color indexed="10"/>
        <rFont val="ＭＳ Ｐゴシック"/>
        <family val="3"/>
        <charset val="128"/>
      </rPr>
      <t>変更時は記入不要</t>
    </r>
    <r>
      <rPr>
        <sz val="11"/>
        <rFont val="ＭＳ Ｐゴシック"/>
        <family val="3"/>
        <charset val="128"/>
      </rPr>
      <t>）</t>
    </r>
    <rPh sb="0" eb="2">
      <t>キンガク</t>
    </rPh>
    <rPh sb="3" eb="6">
      <t>ヘンコウジ</t>
    </rPh>
    <rPh sb="7" eb="9">
      <t>キニュウ</t>
    </rPh>
    <rPh sb="9" eb="11">
      <t>フヨウ</t>
    </rPh>
    <phoneticPr fontId="2"/>
  </si>
  <si>
    <t>K列は、前回の査定簿から追加入力した場合、記入不要</t>
    <rPh sb="1" eb="2">
      <t>レツ</t>
    </rPh>
    <rPh sb="4" eb="6">
      <t>ゼンカイ</t>
    </rPh>
    <rPh sb="7" eb="9">
      <t>サテイ</t>
    </rPh>
    <rPh sb="9" eb="10">
      <t>ボ</t>
    </rPh>
    <rPh sb="12" eb="14">
      <t>ツイカ</t>
    </rPh>
    <rPh sb="14" eb="16">
      <t>ニュウリョク</t>
    </rPh>
    <rPh sb="18" eb="20">
      <t>バアイ</t>
    </rPh>
    <rPh sb="21" eb="23">
      <t>キニュウ</t>
    </rPh>
    <rPh sb="23" eb="25">
      <t>フヨウ</t>
    </rPh>
    <phoneticPr fontId="2"/>
  </si>
  <si>
    <t>落札率</t>
    <rPh sb="0" eb="2">
      <t>ラクサツ</t>
    </rPh>
    <rPh sb="2" eb="3">
      <t>リツ</t>
    </rPh>
    <phoneticPr fontId="2"/>
  </si>
  <si>
    <t>予定価格</t>
    <rPh sb="0" eb="2">
      <t>ヨテイ</t>
    </rPh>
    <rPh sb="2" eb="4">
      <t>カカク</t>
    </rPh>
    <phoneticPr fontId="2"/>
  </si>
  <si>
    <t>請負業者</t>
    <rPh sb="0" eb="2">
      <t>ウケオイ</t>
    </rPh>
    <rPh sb="2" eb="4">
      <t>ギョウシャ</t>
    </rPh>
    <phoneticPr fontId="2"/>
  </si>
  <si>
    <t>設計番号</t>
    <rPh sb="0" eb="2">
      <t>セッケイ</t>
    </rPh>
    <rPh sb="2" eb="4">
      <t>バンゴウ</t>
    </rPh>
    <phoneticPr fontId="2"/>
  </si>
  <si>
    <t>請負金額</t>
    <rPh sb="0" eb="2">
      <t>ウケオイ</t>
    </rPh>
    <rPh sb="2" eb="4">
      <t>キンガク</t>
    </rPh>
    <phoneticPr fontId="2"/>
  </si>
  <si>
    <t>内消費税</t>
    <rPh sb="0" eb="1">
      <t>ウチ</t>
    </rPh>
    <rPh sb="1" eb="4">
      <t>ショウヒゼイ</t>
    </rPh>
    <phoneticPr fontId="2"/>
  </si>
  <si>
    <t>：</t>
    <phoneticPr fontId="2"/>
  </si>
  <si>
    <t>（税込み）</t>
    <rPh sb="1" eb="3">
      <t>ゼイコ</t>
    </rPh>
    <phoneticPr fontId="2"/>
  </si>
  <si>
    <t>あて先</t>
    <rPh sb="2" eb="3">
      <t>サキ</t>
    </rPh>
    <phoneticPr fontId="2"/>
  </si>
  <si>
    <t>様</t>
    <rPh sb="0" eb="1">
      <t>サマ</t>
    </rPh>
    <phoneticPr fontId="2"/>
  </si>
  <si>
    <t>発信者</t>
    <rPh sb="0" eb="3">
      <t>ハッシンシャ</t>
    </rPh>
    <phoneticPr fontId="2"/>
  </si>
  <si>
    <t>いつもお世話になっております。</t>
    <rPh sb="4" eb="6">
      <t>セワ</t>
    </rPh>
    <phoneticPr fontId="2"/>
  </si>
  <si>
    <t>よろしくお願いいたします。</t>
    <rPh sb="5" eb="6">
      <t>ネガ</t>
    </rPh>
    <phoneticPr fontId="2"/>
  </si>
  <si>
    <t>現場担当</t>
    <rPh sb="0" eb="2">
      <t>ゲンバ</t>
    </rPh>
    <rPh sb="2" eb="4">
      <t>タントウ</t>
    </rPh>
    <phoneticPr fontId="2"/>
  </si>
  <si>
    <t>＊税抜</t>
    <rPh sb="1" eb="2">
      <t>ゼイ</t>
    </rPh>
    <rPh sb="2" eb="3">
      <t>ヌ</t>
    </rPh>
    <phoneticPr fontId="2"/>
  </si>
  <si>
    <t>＊消費税</t>
    <rPh sb="1" eb="3">
      <t>ショウヒ</t>
    </rPh>
    <rPh sb="3" eb="4">
      <t>ゼイ</t>
    </rPh>
    <phoneticPr fontId="2"/>
  </si>
  <si>
    <t>＊税込</t>
    <rPh sb="1" eb="3">
      <t>ゼイコ</t>
    </rPh>
    <phoneticPr fontId="2"/>
  </si>
  <si>
    <t>部別工事代金額</t>
    <rPh sb="0" eb="1">
      <t>ブ</t>
    </rPh>
    <rPh sb="1" eb="2">
      <t>ベツ</t>
    </rPh>
    <rPh sb="2" eb="4">
      <t>コウジ</t>
    </rPh>
    <rPh sb="4" eb="5">
      <t>ダイ</t>
    </rPh>
    <rPh sb="5" eb="7">
      <t>キンガク</t>
    </rPh>
    <phoneticPr fontId="2"/>
  </si>
  <si>
    <t>駅別消費税</t>
    <rPh sb="0" eb="1">
      <t>エキ</t>
    </rPh>
    <rPh sb="1" eb="2">
      <t>ベツ</t>
    </rPh>
    <rPh sb="2" eb="4">
      <t>ショウヒ</t>
    </rPh>
    <rPh sb="4" eb="5">
      <t>ゼイ</t>
    </rPh>
    <phoneticPr fontId="2"/>
  </si>
  <si>
    <t>部別請負金額</t>
    <rPh sb="0" eb="1">
      <t>ブ</t>
    </rPh>
    <rPh sb="1" eb="2">
      <t>ベツ</t>
    </rPh>
    <rPh sb="2" eb="4">
      <t>ウケオイ</t>
    </rPh>
    <rPh sb="4" eb="6">
      <t>キンガク</t>
    </rPh>
    <phoneticPr fontId="2"/>
  </si>
  <si>
    <t>TEL</t>
    <phoneticPr fontId="2"/>
  </si>
  <si>
    <t>↑A49セルをクリックで業者ランク閲覧可能↑</t>
    <rPh sb="12" eb="14">
      <t>ギョウシャ</t>
    </rPh>
    <rPh sb="17" eb="19">
      <t>エツラン</t>
    </rPh>
    <rPh sb="19" eb="21">
      <t>カノウ</t>
    </rPh>
    <phoneticPr fontId="2"/>
  </si>
  <si>
    <t>補助金</t>
    <rPh sb="0" eb="3">
      <t>ホジョキン</t>
    </rPh>
    <phoneticPr fontId="2"/>
  </si>
  <si>
    <t>積算担当</t>
    <rPh sb="0" eb="2">
      <t>セキサン</t>
    </rPh>
    <rPh sb="2" eb="4">
      <t>タントウ</t>
    </rPh>
    <phoneticPr fontId="2"/>
  </si>
  <si>
    <t>（うち消費税及び地方消費税相当額）</t>
    <rPh sb="3" eb="6">
      <t>ショウヒゼイ</t>
    </rPh>
    <rPh sb="6" eb="7">
      <t>オヨ</t>
    </rPh>
    <rPh sb="8" eb="10">
      <t>チホウ</t>
    </rPh>
    <rPh sb="10" eb="13">
      <t>ショウヒゼイ</t>
    </rPh>
    <rPh sb="13" eb="15">
      <t>ソウトウ</t>
    </rPh>
    <rPh sb="15" eb="16">
      <t>ガク</t>
    </rPh>
    <phoneticPr fontId="2"/>
  </si>
  <si>
    <t>金　　額</t>
    <rPh sb="0" eb="1">
      <t>キン</t>
    </rPh>
    <rPh sb="3" eb="4">
      <t>ガク</t>
    </rPh>
    <phoneticPr fontId="1"/>
  </si>
  <si>
    <t>摘　　要</t>
    <rPh sb="0" eb="1">
      <t>ツ</t>
    </rPh>
    <rPh sb="3" eb="4">
      <t>カナメ</t>
    </rPh>
    <phoneticPr fontId="2"/>
  </si>
  <si>
    <t>数量</t>
    <rPh sb="0" eb="1">
      <t>スウ</t>
    </rPh>
    <rPh sb="1" eb="2">
      <t>リョウ</t>
    </rPh>
    <phoneticPr fontId="1"/>
  </si>
  <si>
    <t>単位</t>
    <rPh sb="0" eb="1">
      <t>タン</t>
    </rPh>
    <rPh sb="1" eb="2">
      <t>クライ</t>
    </rPh>
    <phoneticPr fontId="1"/>
  </si>
  <si>
    <t>名　　　称</t>
    <rPh sb="0" eb="1">
      <t>メイ</t>
    </rPh>
    <rPh sb="4" eb="5">
      <t>ショウ</t>
    </rPh>
    <phoneticPr fontId="1"/>
  </si>
  <si>
    <t>消費税及び地方消費税相当額</t>
    <rPh sb="0" eb="3">
      <t>ショウヒゼイ</t>
    </rPh>
    <rPh sb="3" eb="4">
      <t>オヨ</t>
    </rPh>
    <rPh sb="5" eb="7">
      <t>チホウ</t>
    </rPh>
    <rPh sb="7" eb="10">
      <t>ショウヒゼイ</t>
    </rPh>
    <rPh sb="10" eb="12">
      <t>ソウトウ</t>
    </rPh>
    <rPh sb="12" eb="13">
      <t>ガク</t>
    </rPh>
    <phoneticPr fontId="2"/>
  </si>
  <si>
    <t>合　　計</t>
    <rPh sb="0" eb="1">
      <t>ゴウ</t>
    </rPh>
    <rPh sb="3" eb="4">
      <t>ケイ</t>
    </rPh>
    <phoneticPr fontId="2"/>
  </si>
  <si>
    <t>小　　計</t>
    <rPh sb="0" eb="1">
      <t>コ</t>
    </rPh>
    <rPh sb="3" eb="4">
      <t>ケイ</t>
    </rPh>
    <phoneticPr fontId="2"/>
  </si>
  <si>
    <t>形状寸法</t>
    <rPh sb="0" eb="2">
      <t>ケイジョウ</t>
    </rPh>
    <rPh sb="2" eb="4">
      <t>スンポウ</t>
    </rPh>
    <phoneticPr fontId="1"/>
  </si>
  <si>
    <t>種　　別</t>
    <rPh sb="0" eb="1">
      <t>シュ</t>
    </rPh>
    <rPh sb="3" eb="4">
      <t>ベツ</t>
    </rPh>
    <phoneticPr fontId="2"/>
  </si>
  <si>
    <t>http://www2.keiyaku.city.osaka.lg.jp/OsakaCity-PPI/PPI218index.html</t>
    <phoneticPr fontId="2"/>
  </si>
  <si>
    <t>発注形態</t>
    <rPh sb="0" eb="2">
      <t>ハッチュウ</t>
    </rPh>
    <rPh sb="2" eb="4">
      <t>ケイタイ</t>
    </rPh>
    <phoneticPr fontId="2"/>
  </si>
  <si>
    <t>工事契約手続きのお知らせ</t>
    <rPh sb="4" eb="6">
      <t>テツヅ</t>
    </rPh>
    <rPh sb="9" eb="10">
      <t>シ</t>
    </rPh>
    <phoneticPr fontId="2"/>
  </si>
  <si>
    <t>本日、下記工事の契約手続きに来られましたのでご連絡いたします。</t>
    <rPh sb="0" eb="2">
      <t>ホンジツ</t>
    </rPh>
    <rPh sb="3" eb="5">
      <t>カキ</t>
    </rPh>
    <rPh sb="5" eb="7">
      <t>コウジ</t>
    </rPh>
    <rPh sb="8" eb="10">
      <t>ケイヤク</t>
    </rPh>
    <rPh sb="10" eb="12">
      <t>テツヅ</t>
    </rPh>
    <rPh sb="14" eb="15">
      <t>コ</t>
    </rPh>
    <rPh sb="23" eb="25">
      <t>レンラク</t>
    </rPh>
    <phoneticPr fontId="2"/>
  </si>
  <si>
    <t>メ　　モ</t>
    <phoneticPr fontId="2"/>
  </si>
  <si>
    <t>使用単価Ｖｅｒ</t>
    <rPh sb="0" eb="2">
      <t>シヨウ</t>
    </rPh>
    <rPh sb="2" eb="4">
      <t>タンカ</t>
    </rPh>
    <phoneticPr fontId="2"/>
  </si>
  <si>
    <t>特約条項の適用</t>
    <rPh sb="0" eb="2">
      <t>トクヤク</t>
    </rPh>
    <rPh sb="2" eb="4">
      <t>ジョウコウ</t>
    </rPh>
    <rPh sb="5" eb="7">
      <t>テキヨウ</t>
    </rPh>
    <phoneticPr fontId="2"/>
  </si>
  <si>
    <t>随意契約</t>
    <rPh sb="0" eb="2">
      <t>ズイイ</t>
    </rPh>
    <rPh sb="2" eb="4">
      <t>ケイヤク</t>
    </rPh>
    <phoneticPr fontId="2"/>
  </si>
  <si>
    <t>契約書写し</t>
    <rPh sb="0" eb="2">
      <t>ケイヤク</t>
    </rPh>
    <rPh sb="2" eb="3">
      <t>ショ</t>
    </rPh>
    <rPh sb="3" eb="4">
      <t>ウツ</t>
    </rPh>
    <phoneticPr fontId="2"/>
  </si>
  <si>
    <t>写しを渡した相手、日付を記入↑</t>
    <rPh sb="0" eb="1">
      <t>ウツ</t>
    </rPh>
    <rPh sb="3" eb="4">
      <t>ワタ</t>
    </rPh>
    <rPh sb="6" eb="8">
      <t>アイテ</t>
    </rPh>
    <rPh sb="9" eb="11">
      <t>ヒヅケ</t>
    </rPh>
    <rPh sb="12" eb="14">
      <t>キニュウ</t>
    </rPh>
    <phoneticPr fontId="2"/>
  </si>
  <si>
    <t>質疑回答の有無</t>
    <rPh sb="0" eb="2">
      <t>シツギ</t>
    </rPh>
    <rPh sb="2" eb="4">
      <t>カイトウ</t>
    </rPh>
    <rPh sb="5" eb="7">
      <t>ウム</t>
    </rPh>
    <phoneticPr fontId="2"/>
  </si>
  <si>
    <t>支払限度額</t>
    <rPh sb="0" eb="2">
      <t>シハライ</t>
    </rPh>
    <rPh sb="2" eb="4">
      <t>ゲンド</t>
    </rPh>
    <rPh sb="4" eb="5">
      <t>ガク</t>
    </rPh>
    <phoneticPr fontId="2"/>
  </si>
  <si>
    <t>出来高予定額</t>
    <rPh sb="0" eb="3">
      <t>デキダカ</t>
    </rPh>
    <rPh sb="3" eb="5">
      <t>ヨテイ</t>
    </rPh>
    <rPh sb="5" eb="6">
      <t>ガク</t>
    </rPh>
    <phoneticPr fontId="2"/>
  </si>
  <si>
    <t>&lt;-設計委託のみ</t>
  </si>
  <si>
    <t>別工事に随意契約の場合随契先の工事名称を入力</t>
    <rPh sb="0" eb="1">
      <t>ベツ</t>
    </rPh>
    <rPh sb="1" eb="3">
      <t>コウジ</t>
    </rPh>
    <rPh sb="4" eb="6">
      <t>ズイイ</t>
    </rPh>
    <rPh sb="6" eb="8">
      <t>ケイヤク</t>
    </rPh>
    <rPh sb="9" eb="11">
      <t>バアイ</t>
    </rPh>
    <rPh sb="11" eb="13">
      <t>ズイケイ</t>
    </rPh>
    <rPh sb="13" eb="14">
      <t>サキ</t>
    </rPh>
    <rPh sb="15" eb="17">
      <t>コウジ</t>
    </rPh>
    <rPh sb="17" eb="19">
      <t>メイショウ</t>
    </rPh>
    <rPh sb="20" eb="22">
      <t>ニュウリョク</t>
    </rPh>
    <phoneticPr fontId="2"/>
  </si>
  <si>
    <t>工事費</t>
    <rPh sb="0" eb="2">
      <t>コウジ</t>
    </rPh>
    <rPh sb="2" eb="3">
      <t>ヒ</t>
    </rPh>
    <phoneticPr fontId="2"/>
  </si>
  <si>
    <t>消費税</t>
    <rPh sb="0" eb="3">
      <t>ショウヒゼイ</t>
    </rPh>
    <phoneticPr fontId="2"/>
  </si>
  <si>
    <t>積算担当係長</t>
    <rPh sb="0" eb="2">
      <t>セキサン</t>
    </rPh>
    <rPh sb="2" eb="4">
      <t>タントウ</t>
    </rPh>
    <rPh sb="4" eb="6">
      <t>カカリチョウ</t>
    </rPh>
    <phoneticPr fontId="2"/>
  </si>
  <si>
    <t>工期(完成日）</t>
    <rPh sb="0" eb="2">
      <t>コウキ</t>
    </rPh>
    <rPh sb="3" eb="5">
      <t>カンセイ</t>
    </rPh>
    <rPh sb="5" eb="6">
      <t>ヒ</t>
    </rPh>
    <phoneticPr fontId="2"/>
  </si>
  <si>
    <t>〃TEL</t>
    <phoneticPr fontId="2"/>
  </si>
  <si>
    <t>設計担当係長</t>
    <rPh sb="0" eb="2">
      <t>セッケイ</t>
    </rPh>
    <rPh sb="2" eb="4">
      <t>タントウ</t>
    </rPh>
    <rPh sb="4" eb="6">
      <t>カカリチョウ</t>
    </rPh>
    <phoneticPr fontId="2"/>
  </si>
  <si>
    <t>設計担当</t>
    <rPh sb="0" eb="2">
      <t>セッケイ</t>
    </rPh>
    <rPh sb="2" eb="4">
      <t>タントウ</t>
    </rPh>
    <phoneticPr fontId="2"/>
  </si>
  <si>
    <t>現場担当係長</t>
    <rPh sb="0" eb="2">
      <t>ゲンバ</t>
    </rPh>
    <rPh sb="2" eb="4">
      <t>タントウ</t>
    </rPh>
    <rPh sb="4" eb="6">
      <t>カカリチョウ</t>
    </rPh>
    <phoneticPr fontId="2"/>
  </si>
  <si>
    <t>契約請求担当</t>
    <rPh sb="0" eb="2">
      <t>ケイヤク</t>
    </rPh>
    <rPh sb="2" eb="4">
      <t>セイキュウ</t>
    </rPh>
    <rPh sb="4" eb="6">
      <t>タントウ</t>
    </rPh>
    <phoneticPr fontId="2"/>
  </si>
  <si>
    <t>使用単価ｖｅｒ</t>
    <rPh sb="0" eb="2">
      <t>シヨウ</t>
    </rPh>
    <rPh sb="2" eb="4">
      <t>タンカ</t>
    </rPh>
    <phoneticPr fontId="2"/>
  </si>
  <si>
    <t>建設リサイクル法の適用</t>
    <rPh sb="0" eb="2">
      <t>ケンセツ</t>
    </rPh>
    <rPh sb="7" eb="8">
      <t>ホウ</t>
    </rPh>
    <rPh sb="9" eb="11">
      <t>テキヨウ</t>
    </rPh>
    <phoneticPr fontId="2"/>
  </si>
  <si>
    <t>工　事　名　称</t>
    <rPh sb="0" eb="1">
      <t>コウ</t>
    </rPh>
    <rPh sb="2" eb="3">
      <t>コト</t>
    </rPh>
    <rPh sb="4" eb="5">
      <t>ナ</t>
    </rPh>
    <rPh sb="6" eb="7">
      <t>ショウ</t>
    </rPh>
    <phoneticPr fontId="2"/>
  </si>
  <si>
    <t>「債務負担行為に基づく契約における特約条項」</t>
    <rPh sb="1" eb="3">
      <t>サイム</t>
    </rPh>
    <rPh sb="3" eb="5">
      <t>フタン</t>
    </rPh>
    <rPh sb="5" eb="7">
      <t>コウイ</t>
    </rPh>
    <rPh sb="8" eb="9">
      <t>モト</t>
    </rPh>
    <rPh sb="11" eb="13">
      <t>ケイヤク</t>
    </rPh>
    <rPh sb="17" eb="19">
      <t>トクヤク</t>
    </rPh>
    <rPh sb="19" eb="21">
      <t>ジョウコウ</t>
    </rPh>
    <phoneticPr fontId="2"/>
  </si>
  <si>
    <t>（支払限度額及び出来高予定額）</t>
    <phoneticPr fontId="2"/>
  </si>
  <si>
    <t>第１条　各会計年度における請負代金の支払いの限度額（以下「支払限度額」という｡) は、次のとおりとする。</t>
    <phoneticPr fontId="2"/>
  </si>
  <si>
    <t>　 ただし、当該会計年度の前年度における支払未済額（前会計年度における支払限度額から前会計年度におけ</t>
    <phoneticPr fontId="2"/>
  </si>
  <si>
    <t>　 る支払額を控除した額をいう。）は、当該会計年度における支払限度額に加算するものとする。</t>
    <phoneticPr fontId="2"/>
  </si>
  <si>
    <t>円</t>
    <rPh sb="0" eb="1">
      <t>エン</t>
    </rPh>
    <phoneticPr fontId="2"/>
  </si>
  <si>
    <t>２　支払限度額に対応する各会計年度の出来高予定額は、次のとおりである。</t>
    <phoneticPr fontId="2"/>
  </si>
  <si>
    <t>３　発注者は、予算上の都合その他の必要があるときは、第１項の支払限度額及び前項の出来高予定額を変更</t>
    <phoneticPr fontId="2"/>
  </si>
  <si>
    <t>　することができる。</t>
    <phoneticPr fontId="2"/>
  </si>
  <si>
    <t>（前金払の特則）</t>
    <rPh sb="1" eb="3">
      <t>マエキン</t>
    </rPh>
    <rPh sb="3" eb="4">
      <t>バラ</t>
    </rPh>
    <rPh sb="5" eb="7">
      <t>トクソク</t>
    </rPh>
    <phoneticPr fontId="2"/>
  </si>
  <si>
    <t>第２条　この契約に基づく前払金については、第35条第１項中「契約書記載の工事完成の時期」とあるのは「契</t>
    <phoneticPr fontId="2"/>
  </si>
  <si>
    <t>　約書記載の工事完成の時期（最終の会計年度以外の会計年度にあっては、各会計年度末）｣と、同条第５項中</t>
    <phoneticPr fontId="2"/>
  </si>
  <si>
    <t>　「その増加した額」とあるのは、「その増加した額のうち当該会計年度に係る部分の増加額」と、同条第６項</t>
    <phoneticPr fontId="2"/>
  </si>
  <si>
    <t>　中「その減少した額」とあるのは、「その減少した額のうち当該会計年度に係る部分の減少額」と読み替えて、</t>
    <phoneticPr fontId="2"/>
  </si>
  <si>
    <t>　この規定を準用する。ただし、この契約を締結した会計年度（以下「契約会計年度」という｡)以外の会計年</t>
    <phoneticPr fontId="2"/>
  </si>
  <si>
    <t>　度においては、受注者は、予算の執行が可能となる時期以前に前払金の支払いを請求することはできない。</t>
    <phoneticPr fontId="2"/>
  </si>
  <si>
    <t>２　受注者は、契約会計年度の翌年度以降に当該年度の当初前払金を請求しようとするときは、あらかじめ、</t>
    <phoneticPr fontId="2"/>
  </si>
  <si>
    <t>　前会計年度末における出来高に相応する請負代金額が前会計年度までの出来高予定額に到達していることに</t>
    <phoneticPr fontId="2"/>
  </si>
  <si>
    <t>　ついて発注者の認定を受けなければならない。この場合において、発注者は、受注者の請求があったときは、</t>
    <phoneticPr fontId="2"/>
  </si>
  <si>
    <t>　直ちに認定を行い、当該認定の結果を受注者に通知しなければならない。</t>
    <phoneticPr fontId="2"/>
  </si>
  <si>
    <t>３　前項の規定は、受注者が、前年度末における当該工事の部分払の請求のための既済部分に係わる検査によ</t>
    <phoneticPr fontId="2"/>
  </si>
  <si>
    <t>　り当該工事が前会計年度までの出来高予定額に達していることについて確認できる場合はこれを適用しない。</t>
    <phoneticPr fontId="2"/>
  </si>
  <si>
    <t>４　第１項の場合において、前会計年度末における出来高に相応する請負代金額が前会計年度までの出来高予</t>
    <phoneticPr fontId="2"/>
  </si>
  <si>
    <t>　定額に達しないときには、その額が当該出来高予定額に達するまで前払金及び中間前払金の保証期限を延長</t>
    <phoneticPr fontId="2"/>
  </si>
  <si>
    <t>するものとする。この場合においては、第36条第３項の規定を準用する。</t>
    <phoneticPr fontId="2"/>
  </si>
  <si>
    <t>（部分払の特則）</t>
    <phoneticPr fontId="2"/>
  </si>
  <si>
    <t>第３条　前会計年度末における出来高金額が前会計年度までの出来高予定額を超えた場合においては、受注者</t>
    <phoneticPr fontId="2"/>
  </si>
  <si>
    <t>　は、当該会計年度の当初に当該超過額（以下「出来高超過額」という｡)について部分払を請求することがで</t>
    <phoneticPr fontId="2"/>
  </si>
  <si>
    <t>　きる。この場合における部分払金の額は、第39条第６項及び第７項の規定にかかわらず、次の式により算定</t>
    <phoneticPr fontId="2"/>
  </si>
  <si>
    <t>　する。ただし、契約会計年度以外の会計年度においては、受注者は、予算の執行が可能となる時期以前に部</t>
    <phoneticPr fontId="2"/>
  </si>
  <si>
    <t>　分払の支払いを請求することはできない。</t>
    <phoneticPr fontId="2"/>
  </si>
  <si>
    <t>　　部分払金の額≦ 出来高超過額　×　９／10</t>
    <phoneticPr fontId="2"/>
  </si>
  <si>
    <t>２　前項の規定により、会計年度の当初に出来高超過額について部分払したときは、当該会計年度の前払金は、</t>
    <phoneticPr fontId="2"/>
  </si>
  <si>
    <t>　当該会計年度の出来高予定額から当該超過額を控除した額に対して算定するものとする。</t>
    <phoneticPr fontId="2"/>
  </si>
  <si>
    <t>３　この契約において、前払金の支払を受けている場合の部分払金の額については、第39条第６項及び第７項</t>
    <phoneticPr fontId="2"/>
  </si>
  <si>
    <t>　の規定にかかわらず、次の式により算定する。</t>
    <phoneticPr fontId="2"/>
  </si>
  <si>
    <t>　部分払金の額≦ 出来高金額×９／10－（前会計年度までの支払金額＋当該会計年度の部分払金額）－｛出</t>
    <phoneticPr fontId="2"/>
  </si>
  <si>
    <t>　来高金額－（前会計年度までの出来高予定額＋出来高超過額）｝×当該会計年度前払金額／（当該会計年</t>
    <phoneticPr fontId="2"/>
  </si>
  <si>
    <t>　度の出来高予定額－出来高超過額）</t>
    <phoneticPr fontId="2"/>
  </si>
  <si>
    <t>平成３０年度</t>
    <rPh sb="0" eb="2">
      <t>ヘイセイ</t>
    </rPh>
    <rPh sb="4" eb="5">
      <t>ネン</t>
    </rPh>
    <rPh sb="5" eb="6">
      <t>ド</t>
    </rPh>
    <phoneticPr fontId="2"/>
  </si>
  <si>
    <t>平成２９年度</t>
    <rPh sb="0" eb="2">
      <t>ヘイセイ</t>
    </rPh>
    <rPh sb="4" eb="5">
      <t>ネン</t>
    </rPh>
    <rPh sb="5" eb="6">
      <t>ド</t>
    </rPh>
    <phoneticPr fontId="2"/>
  </si>
  <si>
    <t>部は自動的に参考明細から読み込み</t>
    <rPh sb="0" eb="1">
      <t>ブ</t>
    </rPh>
    <rPh sb="2" eb="5">
      <t>ジドウテキ</t>
    </rPh>
    <rPh sb="6" eb="8">
      <t>サンコウ</t>
    </rPh>
    <rPh sb="8" eb="10">
      <t>メイサイ</t>
    </rPh>
    <rPh sb="12" eb="13">
      <t>ヨ</t>
    </rPh>
    <rPh sb="14" eb="15">
      <t>コ</t>
    </rPh>
    <phoneticPr fontId="2"/>
  </si>
  <si>
    <t>リスト・台帳入力</t>
    <rPh sb="4" eb="6">
      <t>ダイチョウ</t>
    </rPh>
    <rPh sb="6" eb="8">
      <t>ニュウリョク</t>
    </rPh>
    <phoneticPr fontId="2"/>
  </si>
  <si>
    <t>質疑回答</t>
    <rPh sb="0" eb="2">
      <t>シツギ</t>
    </rPh>
    <rPh sb="2" eb="4">
      <t>カイトウ</t>
    </rPh>
    <phoneticPr fontId="2"/>
  </si>
  <si>
    <t>由肥明子</t>
    <rPh sb="0" eb="1">
      <t>ユ</t>
    </rPh>
    <rPh sb="1" eb="2">
      <t>ヒ</t>
    </rPh>
    <rPh sb="2" eb="3">
      <t>アキ</t>
    </rPh>
    <rPh sb="3" eb="4">
      <t>コ</t>
    </rPh>
    <phoneticPr fontId="2"/>
  </si>
  <si>
    <t>若島寛子</t>
    <rPh sb="0" eb="2">
      <t>ワカシマ</t>
    </rPh>
    <rPh sb="2" eb="4">
      <t>ヒロコ</t>
    </rPh>
    <phoneticPr fontId="2"/>
  </si>
  <si>
    <t>山口要</t>
    <rPh sb="0" eb="2">
      <t>ヤマグチ</t>
    </rPh>
    <rPh sb="2" eb="3">
      <t>カナメ</t>
    </rPh>
    <phoneticPr fontId="2"/>
  </si>
  <si>
    <t>入力規則用データ集</t>
    <rPh sb="0" eb="2">
      <t>ニュウリョク</t>
    </rPh>
    <rPh sb="2" eb="4">
      <t>キソク</t>
    </rPh>
    <rPh sb="4" eb="5">
      <t>ヨウ</t>
    </rPh>
    <rPh sb="8" eb="9">
      <t>シュウ</t>
    </rPh>
    <phoneticPr fontId="2"/>
  </si>
  <si>
    <t>梶本係長</t>
    <rPh sb="0" eb="2">
      <t>カジモト</t>
    </rPh>
    <rPh sb="2" eb="4">
      <t>カカリチョウ</t>
    </rPh>
    <phoneticPr fontId="2"/>
  </si>
  <si>
    <t>川﨑係長</t>
    <rPh sb="0" eb="2">
      <t>カワサキ</t>
    </rPh>
    <rPh sb="2" eb="4">
      <t>カカリチョウ</t>
    </rPh>
    <phoneticPr fontId="2"/>
  </si>
  <si>
    <t>南都係長</t>
    <rPh sb="0" eb="2">
      <t>ナント</t>
    </rPh>
    <rPh sb="2" eb="4">
      <t>カカリチョウ</t>
    </rPh>
    <phoneticPr fontId="2"/>
  </si>
  <si>
    <t>請負代金額</t>
    <rPh sb="0" eb="2">
      <t>ウケオイ</t>
    </rPh>
    <rPh sb="2" eb="4">
      <t>ダイキン</t>
    </rPh>
    <rPh sb="4" eb="5">
      <t>ガク</t>
    </rPh>
    <phoneticPr fontId="2"/>
  </si>
  <si>
    <t>消費税</t>
    <rPh sb="0" eb="3">
      <t>ショウヒゼイ</t>
    </rPh>
    <phoneticPr fontId="2"/>
  </si>
  <si>
    <t>契約工事価格</t>
    <rPh sb="0" eb="2">
      <t>ケイヤク</t>
    </rPh>
    <rPh sb="2" eb="4">
      <t>コウジ</t>
    </rPh>
    <rPh sb="4" eb="6">
      <t>カカク</t>
    </rPh>
    <phoneticPr fontId="2"/>
  </si>
  <si>
    <t>メール送信宛先</t>
    <rPh sb="3" eb="5">
      <t>ソウシン</t>
    </rPh>
    <rPh sb="5" eb="7">
      <t>アテサキ</t>
    </rPh>
    <phoneticPr fontId="2"/>
  </si>
  <si>
    <t>水田係長</t>
    <rPh sb="0" eb="2">
      <t>ミズタ</t>
    </rPh>
    <rPh sb="2" eb="4">
      <t>カカリチョウ</t>
    </rPh>
    <phoneticPr fontId="2"/>
  </si>
  <si>
    <t>汐﨑係長</t>
    <rPh sb="0" eb="1">
      <t>シオ</t>
    </rPh>
    <rPh sb="1" eb="2">
      <t>サキ</t>
    </rPh>
    <rPh sb="2" eb="4">
      <t>カカリチョウ</t>
    </rPh>
    <phoneticPr fontId="2"/>
  </si>
  <si>
    <t>工事種目</t>
    <rPh sb="0" eb="2">
      <t>コウジ</t>
    </rPh>
    <rPh sb="2" eb="4">
      <t>シュモク</t>
    </rPh>
    <phoneticPr fontId="2"/>
  </si>
  <si>
    <t>建築工事</t>
    <rPh sb="0" eb="2">
      <t>ケンチク</t>
    </rPh>
    <rPh sb="2" eb="4">
      <t>コウジ</t>
    </rPh>
    <phoneticPr fontId="2"/>
  </si>
  <si>
    <t>土木工事</t>
    <rPh sb="0" eb="2">
      <t>ドボク</t>
    </rPh>
    <rPh sb="2" eb="4">
      <t>コウジ</t>
    </rPh>
    <phoneticPr fontId="2"/>
  </si>
  <si>
    <t>建築設備課付帯</t>
    <rPh sb="0" eb="2">
      <t>ケンチク</t>
    </rPh>
    <rPh sb="2" eb="4">
      <t>セツビ</t>
    </rPh>
    <rPh sb="4" eb="5">
      <t>カ</t>
    </rPh>
    <rPh sb="5" eb="7">
      <t>フタイ</t>
    </rPh>
    <phoneticPr fontId="2"/>
  </si>
  <si>
    <t>電気設計課付帯</t>
    <rPh sb="0" eb="2">
      <t>デンキ</t>
    </rPh>
    <rPh sb="2" eb="4">
      <t>セッケイ</t>
    </rPh>
    <rPh sb="4" eb="5">
      <t>カ</t>
    </rPh>
    <rPh sb="5" eb="7">
      <t>フタイ</t>
    </rPh>
    <phoneticPr fontId="2"/>
  </si>
  <si>
    <t>※専業工事の種目を選択</t>
    <rPh sb="1" eb="3">
      <t>センギョウ</t>
    </rPh>
    <rPh sb="3" eb="5">
      <t>コウジ</t>
    </rPh>
    <rPh sb="6" eb="8">
      <t>シュモク</t>
    </rPh>
    <rPh sb="9" eb="11">
      <t>センタク</t>
    </rPh>
    <phoneticPr fontId="2"/>
  </si>
  <si>
    <t>プレハブ工事</t>
    <rPh sb="4" eb="6">
      <t>コウジ</t>
    </rPh>
    <phoneticPr fontId="2"/>
  </si>
  <si>
    <t>大工工事</t>
    <rPh sb="0" eb="2">
      <t>ダイク</t>
    </rPh>
    <rPh sb="2" eb="4">
      <t>コウジ</t>
    </rPh>
    <phoneticPr fontId="2"/>
  </si>
  <si>
    <t>左官工事</t>
    <rPh sb="0" eb="2">
      <t>サカン</t>
    </rPh>
    <rPh sb="2" eb="4">
      <t>コウジ</t>
    </rPh>
    <phoneticPr fontId="2"/>
  </si>
  <si>
    <t>防球ネットフェンス工事</t>
    <rPh sb="0" eb="2">
      <t>ボウキュウ</t>
    </rPh>
    <rPh sb="9" eb="11">
      <t>コウジ</t>
    </rPh>
    <phoneticPr fontId="2"/>
  </si>
  <si>
    <t>サイン工事</t>
    <rPh sb="3" eb="5">
      <t>コウジ</t>
    </rPh>
    <phoneticPr fontId="2"/>
  </si>
  <si>
    <t>テント工事</t>
    <rPh sb="3" eb="5">
      <t>コウジ</t>
    </rPh>
    <phoneticPr fontId="2"/>
  </si>
  <si>
    <t>石工事</t>
    <rPh sb="0" eb="1">
      <t>イシ</t>
    </rPh>
    <rPh sb="1" eb="3">
      <t>コウジ</t>
    </rPh>
    <phoneticPr fontId="2"/>
  </si>
  <si>
    <t>屋根工事</t>
    <rPh sb="0" eb="2">
      <t>ヤネ</t>
    </rPh>
    <rPh sb="2" eb="4">
      <t>コウジ</t>
    </rPh>
    <phoneticPr fontId="2"/>
  </si>
  <si>
    <t>タイル工事</t>
    <rPh sb="3" eb="5">
      <t>コウジ</t>
    </rPh>
    <phoneticPr fontId="2"/>
  </si>
  <si>
    <t>水門・門扉工事</t>
    <rPh sb="0" eb="2">
      <t>スイモン</t>
    </rPh>
    <rPh sb="3" eb="5">
      <t>モンピ</t>
    </rPh>
    <rPh sb="5" eb="7">
      <t>コウジ</t>
    </rPh>
    <phoneticPr fontId="2"/>
  </si>
  <si>
    <t>舗装工事</t>
    <rPh sb="0" eb="2">
      <t>ホソウ</t>
    </rPh>
    <rPh sb="2" eb="4">
      <t>コウジ</t>
    </rPh>
    <phoneticPr fontId="2"/>
  </si>
  <si>
    <t>ガラス工事</t>
    <rPh sb="3" eb="5">
      <t>コウジ</t>
    </rPh>
    <phoneticPr fontId="2"/>
  </si>
  <si>
    <t>塗装工事</t>
    <rPh sb="0" eb="2">
      <t>トソウ</t>
    </rPh>
    <rPh sb="2" eb="4">
      <t>コウジ</t>
    </rPh>
    <phoneticPr fontId="2"/>
  </si>
  <si>
    <t>防水工事</t>
    <rPh sb="0" eb="2">
      <t>ボウスイ</t>
    </rPh>
    <rPh sb="2" eb="4">
      <t>コウジ</t>
    </rPh>
    <phoneticPr fontId="2"/>
  </si>
  <si>
    <t>内装仕上げ工事</t>
    <rPh sb="0" eb="2">
      <t>ナイソウ</t>
    </rPh>
    <rPh sb="2" eb="4">
      <t>シア</t>
    </rPh>
    <rPh sb="5" eb="7">
      <t>コウジ</t>
    </rPh>
    <phoneticPr fontId="2"/>
  </si>
  <si>
    <t>建具工事</t>
    <rPh sb="0" eb="2">
      <t>タテグ</t>
    </rPh>
    <rPh sb="2" eb="4">
      <t>コウジ</t>
    </rPh>
    <phoneticPr fontId="2"/>
  </si>
  <si>
    <t>解体工事</t>
    <rPh sb="0" eb="2">
      <t>カイタイ</t>
    </rPh>
    <rPh sb="2" eb="4">
      <t>コウジ</t>
    </rPh>
    <phoneticPr fontId="2"/>
  </si>
  <si>
    <t>※物品契約の種目を選択</t>
    <rPh sb="1" eb="3">
      <t>ブッピン</t>
    </rPh>
    <rPh sb="3" eb="5">
      <t>ケイヤク</t>
    </rPh>
    <rPh sb="6" eb="8">
      <t>シュモク</t>
    </rPh>
    <rPh sb="9" eb="11">
      <t>センタク</t>
    </rPh>
    <phoneticPr fontId="2"/>
  </si>
  <si>
    <t>看板</t>
    <rPh sb="0" eb="2">
      <t>カンバン</t>
    </rPh>
    <phoneticPr fontId="2"/>
  </si>
  <si>
    <t>※業務委託の種目を選択</t>
    <rPh sb="1" eb="3">
      <t>ギョウム</t>
    </rPh>
    <rPh sb="3" eb="5">
      <t>イタク</t>
    </rPh>
    <rPh sb="6" eb="8">
      <t>シュモク</t>
    </rPh>
    <rPh sb="9" eb="11">
      <t>センタク</t>
    </rPh>
    <phoneticPr fontId="2"/>
  </si>
  <si>
    <t>機械設備等保守点検</t>
    <rPh sb="0" eb="2">
      <t>キカイ</t>
    </rPh>
    <rPh sb="2" eb="4">
      <t>セツビ</t>
    </rPh>
    <rPh sb="4" eb="5">
      <t>トウ</t>
    </rPh>
    <rPh sb="5" eb="7">
      <t>ホシュ</t>
    </rPh>
    <rPh sb="7" eb="9">
      <t>テンケン</t>
    </rPh>
    <phoneticPr fontId="2"/>
  </si>
  <si>
    <t>消防設備保守点検</t>
    <rPh sb="0" eb="2">
      <t>ショウボウ</t>
    </rPh>
    <rPh sb="2" eb="4">
      <t>セツビ</t>
    </rPh>
    <rPh sb="4" eb="6">
      <t>ホシュ</t>
    </rPh>
    <rPh sb="6" eb="8">
      <t>テンケン</t>
    </rPh>
    <phoneticPr fontId="2"/>
  </si>
  <si>
    <t>施設保守点検整備</t>
    <rPh sb="0" eb="2">
      <t>シセツ</t>
    </rPh>
    <rPh sb="2" eb="4">
      <t>ホシュ</t>
    </rPh>
    <rPh sb="4" eb="6">
      <t>テンケン</t>
    </rPh>
    <rPh sb="6" eb="8">
      <t>セイビ</t>
    </rPh>
    <phoneticPr fontId="2"/>
  </si>
  <si>
    <t>建物・構造物各種調査</t>
    <rPh sb="0" eb="2">
      <t>タテモノ</t>
    </rPh>
    <rPh sb="3" eb="6">
      <t>コウゾウブツ</t>
    </rPh>
    <rPh sb="6" eb="8">
      <t>カクシュ</t>
    </rPh>
    <rPh sb="8" eb="10">
      <t>チョウサ</t>
    </rPh>
    <phoneticPr fontId="2"/>
  </si>
  <si>
    <t>※測量・建設コンサル業務委託の種類を選択</t>
    <rPh sb="1" eb="3">
      <t>ソクリョウ</t>
    </rPh>
    <rPh sb="4" eb="6">
      <t>ケンセツ</t>
    </rPh>
    <rPh sb="10" eb="12">
      <t>ギョウム</t>
    </rPh>
    <rPh sb="12" eb="14">
      <t>イタク</t>
    </rPh>
    <rPh sb="15" eb="17">
      <t>シュルイ</t>
    </rPh>
    <rPh sb="18" eb="20">
      <t>センタク</t>
    </rPh>
    <phoneticPr fontId="2"/>
  </si>
  <si>
    <t>建築設計・監理（一級）</t>
    <rPh sb="0" eb="2">
      <t>ケンチク</t>
    </rPh>
    <rPh sb="2" eb="4">
      <t>セッケイ</t>
    </rPh>
    <rPh sb="5" eb="7">
      <t>カンリ</t>
    </rPh>
    <rPh sb="8" eb="9">
      <t>イチ</t>
    </rPh>
    <rPh sb="9" eb="10">
      <t>キュウ</t>
    </rPh>
    <phoneticPr fontId="2"/>
  </si>
  <si>
    <t>建築設計・監理（二級）</t>
    <rPh sb="0" eb="2">
      <t>ケンチク</t>
    </rPh>
    <rPh sb="2" eb="4">
      <t>セッケイ</t>
    </rPh>
    <rPh sb="5" eb="7">
      <t>カンリ</t>
    </rPh>
    <rPh sb="8" eb="9">
      <t>２</t>
    </rPh>
    <rPh sb="9" eb="10">
      <t>キュウ</t>
    </rPh>
    <phoneticPr fontId="2"/>
  </si>
  <si>
    <t>中道係長</t>
    <rPh sb="0" eb="2">
      <t>ナカミチ</t>
    </rPh>
    <rPh sb="2" eb="4">
      <t>カカリチョウ</t>
    </rPh>
    <phoneticPr fontId="2"/>
  </si>
  <si>
    <t>勝賀瀬係長</t>
    <rPh sb="0" eb="1">
      <t>カツ</t>
    </rPh>
    <rPh sb="1" eb="2">
      <t>ガ</t>
    </rPh>
    <rPh sb="2" eb="3">
      <t>セ</t>
    </rPh>
    <rPh sb="3" eb="5">
      <t>カカリチョウ</t>
    </rPh>
    <phoneticPr fontId="2"/>
  </si>
  <si>
    <t>科目</t>
    <rPh sb="0" eb="2">
      <t>カモク</t>
    </rPh>
    <phoneticPr fontId="2"/>
  </si>
  <si>
    <t>契約金額</t>
    <rPh sb="0" eb="2">
      <t>ケイヤク</t>
    </rPh>
    <rPh sb="2" eb="4">
      <t>キンガク</t>
    </rPh>
    <phoneticPr fontId="2"/>
  </si>
  <si>
    <t>内容</t>
    <rPh sb="0" eb="2">
      <t>ナイヨウ</t>
    </rPh>
    <phoneticPr fontId="2"/>
  </si>
  <si>
    <t>合　計</t>
    <rPh sb="0" eb="1">
      <t>ア</t>
    </rPh>
    <rPh sb="2" eb="3">
      <t>ケイ</t>
    </rPh>
    <phoneticPr fontId="2"/>
  </si>
  <si>
    <t>(債務負担行為に基づく特約条項の書面に記載する金額）</t>
    <rPh sb="1" eb="3">
      <t>サイム</t>
    </rPh>
    <rPh sb="3" eb="5">
      <t>フタン</t>
    </rPh>
    <rPh sb="5" eb="7">
      <t>コウイ</t>
    </rPh>
    <rPh sb="8" eb="9">
      <t>モト</t>
    </rPh>
    <rPh sb="11" eb="13">
      <t>トクヤク</t>
    </rPh>
    <rPh sb="13" eb="15">
      <t>ジョウコウ</t>
    </rPh>
    <rPh sb="16" eb="18">
      <t>ショメン</t>
    </rPh>
    <rPh sb="19" eb="21">
      <t>キサイ</t>
    </rPh>
    <rPh sb="23" eb="25">
      <t>キンガク</t>
    </rPh>
    <phoneticPr fontId="2"/>
  </si>
  <si>
    <t>平３０年度</t>
    <rPh sb="0" eb="1">
      <t>ヒラ</t>
    </rPh>
    <rPh sb="3" eb="4">
      <t>ネン</t>
    </rPh>
    <rPh sb="4" eb="5">
      <t>ド</t>
    </rPh>
    <phoneticPr fontId="2"/>
  </si>
  <si>
    <t>鹿島浩</t>
    <rPh sb="0" eb="2">
      <t>カシマ</t>
    </rPh>
    <rPh sb="2" eb="3">
      <t>ヒロシ</t>
    </rPh>
    <phoneticPr fontId="2"/>
  </si>
  <si>
    <t>本社　建築企画技術</t>
    <rPh sb="0" eb="2">
      <t>ホンシャ</t>
    </rPh>
    <rPh sb="3" eb="5">
      <t>ケンチク</t>
    </rPh>
    <rPh sb="5" eb="7">
      <t>キカク</t>
    </rPh>
    <rPh sb="7" eb="9">
      <t>ギジュツ</t>
    </rPh>
    <phoneticPr fontId="2"/>
  </si>
  <si>
    <t>前原係長</t>
    <rPh sb="0" eb="2">
      <t>マエハラ</t>
    </rPh>
    <rPh sb="2" eb="4">
      <t>カカリチョウ</t>
    </rPh>
    <phoneticPr fontId="2"/>
  </si>
  <si>
    <t>本社　補償担当</t>
    <rPh sb="0" eb="2">
      <t>ホンシャ</t>
    </rPh>
    <rPh sb="3" eb="5">
      <t>ホショウ</t>
    </rPh>
    <rPh sb="5" eb="7">
      <t>タントウ</t>
    </rPh>
    <phoneticPr fontId="2"/>
  </si>
  <si>
    <t>本社　安全管理担当</t>
    <rPh sb="0" eb="2">
      <t>ホンシャ</t>
    </rPh>
    <rPh sb="3" eb="5">
      <t>アンゼン</t>
    </rPh>
    <rPh sb="5" eb="7">
      <t>カンリ</t>
    </rPh>
    <rPh sb="7" eb="9">
      <t>タントウ</t>
    </rPh>
    <phoneticPr fontId="2"/>
  </si>
  <si>
    <t>本社　建築計画担当</t>
    <rPh sb="0" eb="2">
      <t>ホンシャ</t>
    </rPh>
    <rPh sb="3" eb="5">
      <t>ケンチク</t>
    </rPh>
    <rPh sb="5" eb="7">
      <t>ケイカク</t>
    </rPh>
    <rPh sb="7" eb="9">
      <t>タントウ</t>
    </rPh>
    <phoneticPr fontId="2"/>
  </si>
  <si>
    <t>本社　建築プロジェクト担当</t>
    <rPh sb="0" eb="2">
      <t>ホンシャ</t>
    </rPh>
    <rPh sb="3" eb="5">
      <t>ケンチク</t>
    </rPh>
    <rPh sb="11" eb="13">
      <t>タントウ</t>
    </rPh>
    <phoneticPr fontId="2"/>
  </si>
  <si>
    <t>本社　建築設計担当</t>
    <rPh sb="0" eb="2">
      <t>ホンシャ</t>
    </rPh>
    <rPh sb="3" eb="5">
      <t>ケンチク</t>
    </rPh>
    <rPh sb="5" eb="7">
      <t>セッケイ</t>
    </rPh>
    <rPh sb="7" eb="9">
      <t>タントウ</t>
    </rPh>
    <phoneticPr fontId="2"/>
  </si>
  <si>
    <t>本社　地上建築物担当</t>
    <rPh sb="0" eb="2">
      <t>ホンシャ</t>
    </rPh>
    <rPh sb="3" eb="5">
      <t>チジョウ</t>
    </rPh>
    <rPh sb="5" eb="8">
      <t>ケンチクブツ</t>
    </rPh>
    <rPh sb="8" eb="10">
      <t>タントウ</t>
    </rPh>
    <phoneticPr fontId="2"/>
  </si>
  <si>
    <t>本社　建築技術担当</t>
    <rPh sb="0" eb="2">
      <t>ホンシャ</t>
    </rPh>
    <rPh sb="3" eb="5">
      <t>ケンチク</t>
    </rPh>
    <rPh sb="5" eb="7">
      <t>ギジュツ</t>
    </rPh>
    <rPh sb="7" eb="9">
      <t>タントウ</t>
    </rPh>
    <phoneticPr fontId="2"/>
  </si>
  <si>
    <t>本社　建築検査担当</t>
    <rPh sb="0" eb="2">
      <t>ホンシャ</t>
    </rPh>
    <rPh sb="3" eb="5">
      <t>ケンチク</t>
    </rPh>
    <rPh sb="5" eb="7">
      <t>ケンサ</t>
    </rPh>
    <rPh sb="7" eb="9">
      <t>タントウ</t>
    </rPh>
    <phoneticPr fontId="2"/>
  </si>
  <si>
    <t>松本係長</t>
    <rPh sb="0" eb="2">
      <t>マツモト</t>
    </rPh>
    <rPh sb="2" eb="4">
      <t>カカリチョウ</t>
    </rPh>
    <phoneticPr fontId="2"/>
  </si>
  <si>
    <t>駅施設改造担当</t>
    <rPh sb="0" eb="1">
      <t>エキ</t>
    </rPh>
    <rPh sb="1" eb="3">
      <t>シセツ</t>
    </rPh>
    <rPh sb="3" eb="5">
      <t>カイゾウ</t>
    </rPh>
    <rPh sb="5" eb="7">
      <t>タントウ</t>
    </rPh>
    <phoneticPr fontId="2"/>
  </si>
  <si>
    <t>施設管理担当</t>
    <rPh sb="0" eb="2">
      <t>シセツ</t>
    </rPh>
    <rPh sb="2" eb="4">
      <t>カンリ</t>
    </rPh>
    <rPh sb="4" eb="6">
      <t>タントウ</t>
    </rPh>
    <phoneticPr fontId="2"/>
  </si>
  <si>
    <t>保守管理担当</t>
    <rPh sb="0" eb="2">
      <t>ホシュ</t>
    </rPh>
    <rPh sb="2" eb="4">
      <t>カンリ</t>
    </rPh>
    <rPh sb="4" eb="6">
      <t>タントウ</t>
    </rPh>
    <phoneticPr fontId="2"/>
  </si>
  <si>
    <t>安全管理担当</t>
    <rPh sb="0" eb="2">
      <t>アンゼン</t>
    </rPh>
    <rPh sb="2" eb="4">
      <t>カンリ</t>
    </rPh>
    <rPh sb="4" eb="6">
      <t>タントウ</t>
    </rPh>
    <phoneticPr fontId="2"/>
  </si>
  <si>
    <t>竹田係長</t>
    <rPh sb="0" eb="2">
      <t>タケダ</t>
    </rPh>
    <rPh sb="2" eb="4">
      <t>カカリチョウ</t>
    </rPh>
    <phoneticPr fontId="2"/>
  </si>
  <si>
    <t>建築工事担当</t>
    <rPh sb="0" eb="2">
      <t>ケンチク</t>
    </rPh>
    <rPh sb="2" eb="4">
      <t>コウジ</t>
    </rPh>
    <rPh sb="4" eb="6">
      <t>タントウ</t>
    </rPh>
    <phoneticPr fontId="2"/>
  </si>
  <si>
    <t>南部建築保守担当</t>
    <rPh sb="0" eb="2">
      <t>ナンブ</t>
    </rPh>
    <rPh sb="2" eb="4">
      <t>ケンチク</t>
    </rPh>
    <rPh sb="4" eb="6">
      <t>ホシュ</t>
    </rPh>
    <rPh sb="6" eb="8">
      <t>タントウ</t>
    </rPh>
    <phoneticPr fontId="2"/>
  </si>
  <si>
    <t>北部建築保守担当</t>
    <rPh sb="0" eb="2">
      <t>ホクブ</t>
    </rPh>
    <rPh sb="2" eb="4">
      <t>ケンチク</t>
    </rPh>
    <rPh sb="4" eb="6">
      <t>ホシュ</t>
    </rPh>
    <rPh sb="6" eb="8">
      <t>タントウ</t>
    </rPh>
    <phoneticPr fontId="2"/>
  </si>
  <si>
    <t>大野係長</t>
    <rPh sb="0" eb="2">
      <t>オオノ</t>
    </rPh>
    <rPh sb="2" eb="4">
      <t>カカリチョウ</t>
    </rPh>
    <phoneticPr fontId="2"/>
  </si>
  <si>
    <t>内訳書起案日</t>
    <rPh sb="0" eb="3">
      <t>ウチワケショ</t>
    </rPh>
    <rPh sb="3" eb="5">
      <t>キアン</t>
    </rPh>
    <rPh sb="5" eb="6">
      <t>ヒ</t>
    </rPh>
    <phoneticPr fontId="2"/>
  </si>
  <si>
    <t>内訳書決裁日</t>
    <rPh sb="0" eb="3">
      <t>ウチワケショ</t>
    </rPh>
    <rPh sb="3" eb="5">
      <t>ケッサイ</t>
    </rPh>
    <rPh sb="5" eb="6">
      <t>ヒ</t>
    </rPh>
    <phoneticPr fontId="2"/>
  </si>
  <si>
    <t>士法22条3-3の適用</t>
    <rPh sb="0" eb="1">
      <t>シ</t>
    </rPh>
    <rPh sb="1" eb="2">
      <t>ホウ</t>
    </rPh>
    <rPh sb="4" eb="5">
      <t>ジョウ</t>
    </rPh>
    <rPh sb="9" eb="11">
      <t>テキヨウ</t>
    </rPh>
    <phoneticPr fontId="2"/>
  </si>
  <si>
    <t>工事稟議番号</t>
    <rPh sb="0" eb="2">
      <t>コウジ</t>
    </rPh>
    <rPh sb="2" eb="4">
      <t>リンギ</t>
    </rPh>
    <rPh sb="4" eb="6">
      <t>バンゴウ</t>
    </rPh>
    <phoneticPr fontId="2"/>
  </si>
  <si>
    <t>建築資産管理担当　係長</t>
    <rPh sb="0" eb="2">
      <t>ケンチク</t>
    </rPh>
    <rPh sb="2" eb="4">
      <t>シサン</t>
    </rPh>
    <rPh sb="4" eb="6">
      <t>カンリ</t>
    </rPh>
    <rPh sb="6" eb="8">
      <t>タントウ</t>
    </rPh>
    <rPh sb="9" eb="11">
      <t>カカリチョウ</t>
    </rPh>
    <phoneticPr fontId="2"/>
  </si>
  <si>
    <t>建築資産管理担当</t>
    <rPh sb="0" eb="2">
      <t>ケンチク</t>
    </rPh>
    <rPh sb="2" eb="4">
      <t>シサン</t>
    </rPh>
    <rPh sb="4" eb="6">
      <t>カンリ</t>
    </rPh>
    <rPh sb="6" eb="8">
      <t>タントウ</t>
    </rPh>
    <phoneticPr fontId="2"/>
  </si>
  <si>
    <t>工事稟議番号</t>
    <rPh sb="0" eb="2">
      <t>コウジ</t>
    </rPh>
    <rPh sb="2" eb="4">
      <t>リンギ</t>
    </rPh>
    <rPh sb="4" eb="6">
      <t>バンゴウ</t>
    </rPh>
    <phoneticPr fontId="2"/>
  </si>
  <si>
    <t>入札方式</t>
    <rPh sb="0" eb="2">
      <t>ニュウサツ</t>
    </rPh>
    <rPh sb="2" eb="4">
      <t>ホウシキ</t>
    </rPh>
    <phoneticPr fontId="2"/>
  </si>
  <si>
    <t>最終版設計書ﾃﾞｰﾀの受領</t>
    <rPh sb="0" eb="2">
      <t>サイシュウ</t>
    </rPh>
    <rPh sb="2" eb="3">
      <t>バン</t>
    </rPh>
    <rPh sb="3" eb="6">
      <t>セッケイショ</t>
    </rPh>
    <rPh sb="11" eb="13">
      <t>ジュリョウ</t>
    </rPh>
    <phoneticPr fontId="2"/>
  </si>
  <si>
    <t>&lt;-業務委託の場合は購買依頼伝票番号</t>
    <rPh sb="2" eb="4">
      <t>ギョウム</t>
    </rPh>
    <rPh sb="4" eb="6">
      <t>イタク</t>
    </rPh>
    <rPh sb="7" eb="9">
      <t>バアイ</t>
    </rPh>
    <rPh sb="10" eb="12">
      <t>コウバイ</t>
    </rPh>
    <rPh sb="12" eb="14">
      <t>イライ</t>
    </rPh>
    <rPh sb="14" eb="16">
      <t>デンピョウ</t>
    </rPh>
    <rPh sb="16" eb="18">
      <t>バンゴウ</t>
    </rPh>
    <phoneticPr fontId="2"/>
  </si>
  <si>
    <t>前払金</t>
    <rPh sb="0" eb="3">
      <t>マエバライキン</t>
    </rPh>
    <phoneticPr fontId="2"/>
  </si>
  <si>
    <t>佐藤裕孝</t>
    <rPh sb="0" eb="2">
      <t>サトウ</t>
    </rPh>
    <rPh sb="2" eb="4">
      <t>ヒロタカ</t>
    </rPh>
    <phoneticPr fontId="2"/>
  </si>
  <si>
    <t>荒井係長</t>
    <rPh sb="0" eb="2">
      <t>アライ</t>
    </rPh>
    <rPh sb="2" eb="4">
      <t>カカリチョウ</t>
    </rPh>
    <phoneticPr fontId="2"/>
  </si>
  <si>
    <t>清水係長</t>
    <rPh sb="0" eb="2">
      <t>シミズ</t>
    </rPh>
    <rPh sb="2" eb="4">
      <t>カカリチョウ</t>
    </rPh>
    <phoneticPr fontId="2"/>
  </si>
  <si>
    <t>溝渕係長</t>
    <rPh sb="0" eb="1">
      <t>ミゾ</t>
    </rPh>
    <rPh sb="1" eb="2">
      <t>フチ</t>
    </rPh>
    <rPh sb="2" eb="4">
      <t>カカリチョウ</t>
    </rPh>
    <phoneticPr fontId="2"/>
  </si>
  <si>
    <t>浦山係長</t>
    <rPh sb="0" eb="2">
      <t>ウラヤマ</t>
    </rPh>
    <rPh sb="2" eb="4">
      <t>カカリチョウ</t>
    </rPh>
    <phoneticPr fontId="2"/>
  </si>
  <si>
    <t>東課長</t>
    <rPh sb="0" eb="1">
      <t>アズマ</t>
    </rPh>
    <rPh sb="1" eb="3">
      <t>カチョウ</t>
    </rPh>
    <phoneticPr fontId="2"/>
  </si>
  <si>
    <t>２０１９年度</t>
    <rPh sb="4" eb="6">
      <t>ネンド</t>
    </rPh>
    <phoneticPr fontId="2"/>
  </si>
  <si>
    <t>２０２０年度</t>
    <rPh sb="4" eb="6">
      <t>ネンド</t>
    </rPh>
    <phoneticPr fontId="2"/>
  </si>
  <si>
    <t>（ア）1号線の部</t>
    <rPh sb="4" eb="6">
      <t>ゴウセン</t>
    </rPh>
    <rPh sb="7" eb="8">
      <t>ブ</t>
    </rPh>
    <phoneticPr fontId="2"/>
  </si>
  <si>
    <t>江坂駅</t>
    <rPh sb="0" eb="2">
      <t>エサカ</t>
    </rPh>
    <rPh sb="2" eb="3">
      <t>エキ</t>
    </rPh>
    <phoneticPr fontId="2"/>
  </si>
  <si>
    <t>東三国駅</t>
    <rPh sb="0" eb="1">
      <t>ヒガシ</t>
    </rPh>
    <rPh sb="1" eb="3">
      <t>ミクニ</t>
    </rPh>
    <rPh sb="3" eb="4">
      <t>エキ</t>
    </rPh>
    <phoneticPr fontId="2"/>
  </si>
  <si>
    <t>新大阪駅</t>
    <rPh sb="0" eb="4">
      <t>シンオオサカエキ</t>
    </rPh>
    <phoneticPr fontId="2"/>
  </si>
  <si>
    <t>西中島南方駅</t>
    <rPh sb="0" eb="1">
      <t>ニシ</t>
    </rPh>
    <rPh sb="1" eb="3">
      <t>ナカジマ</t>
    </rPh>
    <rPh sb="3" eb="5">
      <t>ミナミカタ</t>
    </rPh>
    <rPh sb="5" eb="6">
      <t>エキ</t>
    </rPh>
    <phoneticPr fontId="2"/>
  </si>
  <si>
    <t>中津駅</t>
    <rPh sb="0" eb="2">
      <t>ナカツ</t>
    </rPh>
    <rPh sb="2" eb="3">
      <t>エキ</t>
    </rPh>
    <phoneticPr fontId="2"/>
  </si>
  <si>
    <t>梅田駅</t>
    <rPh sb="0" eb="3">
      <t>ウメダエキ</t>
    </rPh>
    <phoneticPr fontId="2"/>
  </si>
  <si>
    <t>淀屋橋駅</t>
    <rPh sb="0" eb="4">
      <t>ヨドヤバシエキ</t>
    </rPh>
    <phoneticPr fontId="2"/>
  </si>
  <si>
    <t>R1本町駅</t>
    <rPh sb="2" eb="4">
      <t>ホンマチ</t>
    </rPh>
    <rPh sb="4" eb="5">
      <t>エキ</t>
    </rPh>
    <phoneticPr fontId="2"/>
  </si>
  <si>
    <t>R1なんば駅</t>
    <rPh sb="5" eb="6">
      <t>エキ</t>
    </rPh>
    <phoneticPr fontId="2"/>
  </si>
  <si>
    <t>R1大国町駅</t>
    <rPh sb="2" eb="4">
      <t>タイコク</t>
    </rPh>
    <rPh sb="4" eb="5">
      <t>チョウ</t>
    </rPh>
    <rPh sb="5" eb="6">
      <t>エキ</t>
    </rPh>
    <phoneticPr fontId="2"/>
  </si>
  <si>
    <t>動物園前駅</t>
    <rPh sb="0" eb="3">
      <t>ドウブツエン</t>
    </rPh>
    <rPh sb="3" eb="4">
      <t>マエ</t>
    </rPh>
    <rPh sb="4" eb="5">
      <t>エキ</t>
    </rPh>
    <phoneticPr fontId="2"/>
  </si>
  <si>
    <t>昭和町駅</t>
    <rPh sb="0" eb="3">
      <t>ショウワチョウ</t>
    </rPh>
    <rPh sb="3" eb="4">
      <t>エキ</t>
    </rPh>
    <phoneticPr fontId="2"/>
  </si>
  <si>
    <t>西田辺駅</t>
    <rPh sb="0" eb="1">
      <t>ニシ</t>
    </rPh>
    <rPh sb="1" eb="3">
      <t>タナベ</t>
    </rPh>
    <rPh sb="3" eb="4">
      <t>エキ</t>
    </rPh>
    <phoneticPr fontId="2"/>
  </si>
  <si>
    <t>長居駅</t>
    <rPh sb="0" eb="2">
      <t>ナガイ</t>
    </rPh>
    <rPh sb="2" eb="3">
      <t>エキ</t>
    </rPh>
    <phoneticPr fontId="2"/>
  </si>
  <si>
    <t>あびこ駅</t>
    <rPh sb="3" eb="4">
      <t>エキ</t>
    </rPh>
    <phoneticPr fontId="2"/>
  </si>
  <si>
    <t>北花田駅</t>
    <rPh sb="0" eb="3">
      <t>キタハナダ</t>
    </rPh>
    <rPh sb="3" eb="4">
      <t>エキ</t>
    </rPh>
    <phoneticPr fontId="2"/>
  </si>
  <si>
    <t>新金岡駅</t>
    <rPh sb="0" eb="4">
      <t>シンカナオカエキ</t>
    </rPh>
    <phoneticPr fontId="2"/>
  </si>
  <si>
    <t>なかもず駅</t>
    <rPh sb="4" eb="5">
      <t>エキ</t>
    </rPh>
    <phoneticPr fontId="2"/>
  </si>
  <si>
    <t>西梅田駅</t>
    <rPh sb="0" eb="3">
      <t>ニシウメダ</t>
    </rPh>
    <rPh sb="3" eb="4">
      <t>エキ</t>
    </rPh>
    <phoneticPr fontId="2"/>
  </si>
  <si>
    <t>R3大国町駅</t>
    <rPh sb="2" eb="4">
      <t>タイコク</t>
    </rPh>
    <rPh sb="4" eb="5">
      <t>チョウ</t>
    </rPh>
    <rPh sb="5" eb="6">
      <t>エキ</t>
    </rPh>
    <phoneticPr fontId="2"/>
  </si>
  <si>
    <t>（イ）3号線の部</t>
    <rPh sb="4" eb="6">
      <t>ゴウセン</t>
    </rPh>
    <rPh sb="7" eb="8">
      <t>ブ</t>
    </rPh>
    <phoneticPr fontId="2"/>
  </si>
  <si>
    <t>1･3号線各駅可動式ホーム柵設置に伴う建築工事設計業務委託</t>
  </si>
  <si>
    <t>水田広起</t>
  </si>
  <si>
    <t>清家光</t>
  </si>
  <si>
    <t>2018年5月</t>
  </si>
  <si>
    <t>無し</t>
  </si>
  <si>
    <t>指名競争</t>
  </si>
  <si>
    <t>適用外</t>
  </si>
  <si>
    <t>有り</t>
  </si>
  <si>
    <t>建築設計・監理（一級）</t>
  </si>
  <si>
    <t>D2191005</t>
  </si>
  <si>
    <t>鹿島浩</t>
    <rPh sb="0" eb="2">
      <t>カシマ</t>
    </rPh>
    <rPh sb="2" eb="3">
      <t>ヒロシ</t>
    </rPh>
    <phoneticPr fontId="2"/>
  </si>
  <si>
    <t>受領済</t>
  </si>
  <si>
    <t>業務委託料内訳明細書</t>
  </si>
  <si>
    <t>１．名称</t>
  </si>
  <si>
    <t>業務委託金額</t>
  </si>
  <si>
    <t>２．業務委託料</t>
  </si>
  <si>
    <t>業務委託料内訳</t>
    <rPh sb="5" eb="7">
      <t>ウチワケ</t>
    </rPh>
    <phoneticPr fontId="2"/>
  </si>
  <si>
    <t>業務委託料</t>
  </si>
  <si>
    <t>全日本コンサルタント株式会社</t>
    <rPh sb="0" eb="3">
      <t>ゼンニホン</t>
    </rPh>
    <rPh sb="10" eb="12">
      <t>カブシキ</t>
    </rPh>
    <rPh sb="12" eb="14">
      <t>カイシャ</t>
    </rPh>
    <phoneticPr fontId="2"/>
  </si>
  <si>
    <t>06-6646-0030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</si>
</sst>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6" formatCode="&quot;¥&quot;#,##0;&quot;¥&quot;\!\-#,##0"/>
    <numFmt numFmtId="177" formatCode="&quot;¥&quot;#,##0;[Red]&quot;¥&quot;\!\-#,##0"/>
    <numFmt numFmtId="178" formatCode="#,##0;&quot;△ &quot;#,##0"/>
    <numFmt numFmtId="179" formatCode="0.0000_ "/>
    <numFmt numFmtId="180" formatCode="[$-411]ggge&quot;年&quot;m&quot;月&quot;d&quot;日&quot;;@"/>
    <numFmt numFmtId="181" formatCode="&quot;¥&quot;#,##0\-;[Red]&quot;¥&quot;\△#,##0\-"/>
    <numFmt numFmtId="182" formatCode="#,##0_);[Red]\(#,##0\)"/>
    <numFmt numFmtId="183" formatCode="0.0%"/>
    <numFmt numFmtId="184" formatCode="yyyy&quot;年&quot;m&quot;月&quot;d&quot;日&quot;;@"/>
    <numFmt numFmtId="185" formatCode="[$-F800]dddd\,\ mmmm\ dd\,\ yyyy"/>
  </numFmts>
  <fonts count="33" x14ac:knownFonts="1">
    <font>
      <sz val="11"/>
      <name val="ＭＳ Ｐゴシック"/>
      <family val="3"/>
      <charset val="128"/>
    </font>
    <font>
      <sz val="11"/>
      <name val="ＭＳ Ｐゴシック"/>
      <family val="3"/>
      <charset val="128"/>
    </font>
    <font>
      <sz val="6"/>
      <name val="ＭＳ Ｐゴシック"/>
      <family val="3"/>
      <charset val="128"/>
    </font>
    <font>
      <sz val="12"/>
      <name val="ＭＳ Ｐゴシック"/>
      <family val="3"/>
      <charset val="128"/>
    </font>
    <font>
      <sz val="11"/>
      <color indexed="10"/>
      <name val="ＭＳ Ｐゴシック"/>
      <family val="3"/>
      <charset val="128"/>
    </font>
    <font>
      <u/>
      <sz val="7.7"/>
      <color indexed="12"/>
      <name val="ＭＳ Ｐゴシック"/>
      <family val="3"/>
      <charset val="128"/>
    </font>
    <font>
      <sz val="11"/>
      <color indexed="51"/>
      <name val="ＭＳ Ｐゴシック"/>
      <family val="3"/>
      <charset val="128"/>
    </font>
    <font>
      <sz val="16"/>
      <name val="ＭＳ Ｐゴシック"/>
      <family val="3"/>
      <charset val="128"/>
    </font>
    <font>
      <sz val="9"/>
      <color indexed="81"/>
      <name val="ＭＳ Ｐゴシック"/>
      <family val="3"/>
      <charset val="128"/>
    </font>
    <font>
      <sz val="12"/>
      <color indexed="81"/>
      <name val="ＭＳ Ｐゴシック"/>
      <family val="3"/>
      <charset val="128"/>
    </font>
    <font>
      <b/>
      <sz val="9"/>
      <color indexed="81"/>
      <name val="ＭＳ Ｐゴシック"/>
      <family val="3"/>
      <charset val="128"/>
    </font>
    <font>
      <sz val="14"/>
      <name val="ＭＳ Ｐゴシック"/>
      <family val="3"/>
      <charset val="128"/>
    </font>
    <font>
      <sz val="10"/>
      <color indexed="81"/>
      <name val="ＭＳ Ｐゴシック"/>
      <family val="3"/>
      <charset val="128"/>
    </font>
    <font>
      <sz val="10"/>
      <name val="ＭＳ Ｐ明朝"/>
      <family val="1"/>
      <charset val="128"/>
    </font>
    <font>
      <sz val="12"/>
      <name val="ＭＳ Ｐ明朝"/>
      <family val="1"/>
      <charset val="128"/>
    </font>
    <font>
      <sz val="20"/>
      <name val="ＭＳ Ｐ明朝"/>
      <family val="1"/>
      <charset val="128"/>
    </font>
    <font>
      <b/>
      <sz val="10"/>
      <color rgb="FFFF0000"/>
      <name val="ＭＳ Ｐゴシック"/>
      <family val="3"/>
      <charset val="128"/>
    </font>
    <font>
      <sz val="10"/>
      <color rgb="FFFF0000"/>
      <name val="ＭＳ Ｐ明朝"/>
      <family val="1"/>
      <charset val="128"/>
    </font>
    <font>
      <b/>
      <sz val="12"/>
      <color indexed="81"/>
      <name val="ＭＳ Ｐゴシック"/>
      <family val="3"/>
      <charset val="128"/>
    </font>
    <font>
      <sz val="14"/>
      <color rgb="FF000000"/>
      <name val="ＭＳ Ｐゴシック"/>
      <family val="3"/>
      <charset val="128"/>
    </font>
    <font>
      <sz val="11"/>
      <color rgb="FFFF0000"/>
      <name val="ＭＳ Ｐゴシック"/>
      <family val="3"/>
      <charset val="128"/>
    </font>
    <font>
      <u/>
      <sz val="12"/>
      <color indexed="12"/>
      <name val="ＭＳ Ｐゴシック"/>
      <family val="3"/>
      <charset val="128"/>
    </font>
    <font>
      <sz val="11"/>
      <name val="ＭＳ Ｐ明朝"/>
      <family val="1"/>
      <charset val="128"/>
    </font>
    <font>
      <sz val="9"/>
      <name val="ＭＳ Ｐ明朝"/>
      <family val="1"/>
      <charset val="128"/>
    </font>
    <font>
      <sz val="10.5"/>
      <name val="ＭＳ Ｐゴシック"/>
      <family val="3"/>
      <charset val="128"/>
    </font>
    <font>
      <b/>
      <sz val="10.5"/>
      <name val="ＭＳ Ｐゴシック"/>
      <family val="3"/>
      <charset val="128"/>
    </font>
    <font>
      <sz val="10.5"/>
      <name val="ＭＳ 明朝"/>
      <family val="1"/>
      <charset val="128"/>
    </font>
    <font>
      <sz val="10.5"/>
      <name val="ＭＳ Ｐ明朝"/>
      <family val="1"/>
      <charset val="128"/>
    </font>
    <font>
      <b/>
      <u/>
      <sz val="14"/>
      <name val="ＭＳ Ｐゴシック"/>
      <family val="3"/>
      <charset val="128"/>
    </font>
    <font>
      <sz val="9"/>
      <name val="ＭＳ 明朝"/>
      <family val="1"/>
      <charset val="128"/>
    </font>
    <font>
      <b/>
      <sz val="14"/>
      <name val="ＭＳ 明朝"/>
      <family val="1"/>
      <charset val="128"/>
    </font>
    <font>
      <sz val="14"/>
      <name val="ＭＳ 明朝"/>
      <family val="1"/>
      <charset val="128"/>
    </font>
    <font>
      <sz val="14"/>
      <name val="ＭＳ Ｐ明朝"/>
      <family val="1"/>
      <charset val="128"/>
    </font>
  </fonts>
  <fills count="19">
    <fill>
      <patternFill patternType="none"/>
    </fill>
    <fill>
      <patternFill patternType="gray125"/>
    </fill>
    <fill>
      <patternFill patternType="solid">
        <fgColor indexed="44"/>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15"/>
        <bgColor indexed="64"/>
      </patternFill>
    </fill>
    <fill>
      <patternFill patternType="solid">
        <fgColor indexed="41"/>
        <bgColor indexed="64"/>
      </patternFill>
    </fill>
    <fill>
      <patternFill patternType="solid">
        <fgColor indexed="43"/>
        <bgColor indexed="64"/>
      </patternFill>
    </fill>
    <fill>
      <patternFill patternType="solid">
        <fgColor indexed="46"/>
        <bgColor indexed="64"/>
      </patternFill>
    </fill>
    <fill>
      <patternFill patternType="solid">
        <fgColor indexed="47"/>
        <bgColor indexed="64"/>
      </patternFill>
    </fill>
    <fill>
      <patternFill patternType="solid">
        <fgColor theme="0"/>
        <bgColor indexed="64"/>
      </patternFill>
    </fill>
    <fill>
      <patternFill patternType="solid">
        <fgColor theme="8" tint="0.39997558519241921"/>
        <bgColor indexed="64"/>
      </patternFill>
    </fill>
    <fill>
      <patternFill patternType="solid">
        <fgColor rgb="FF99CCFF"/>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99CC"/>
        <bgColor indexed="64"/>
      </patternFill>
    </fill>
  </fills>
  <borders count="83">
    <border>
      <left/>
      <right/>
      <top/>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style="thin">
        <color indexed="64"/>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medium">
        <color indexed="64"/>
      </left>
      <right/>
      <top style="medium">
        <color indexed="64"/>
      </top>
      <bottom style="medium">
        <color indexed="64"/>
      </bottom>
      <diagonal/>
    </border>
    <border>
      <left/>
      <right style="hair">
        <color indexed="64"/>
      </right>
      <top style="medium">
        <color indexed="64"/>
      </top>
      <bottom style="medium">
        <color indexed="64"/>
      </bottom>
      <diagonal/>
    </border>
    <border>
      <left/>
      <right style="thin">
        <color indexed="64"/>
      </right>
      <top style="hair">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auto="1"/>
      </left>
      <right style="medium">
        <color auto="1"/>
      </right>
      <top style="medium">
        <color auto="1"/>
      </top>
      <bottom style="medium">
        <color auto="1"/>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top style="hair">
        <color indexed="64"/>
      </top>
      <bottom style="medium">
        <color indexed="64"/>
      </bottom>
      <diagonal/>
    </border>
    <border>
      <left/>
      <right style="thin">
        <color indexed="64"/>
      </right>
      <top style="hair">
        <color indexed="64"/>
      </top>
      <bottom style="medium">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style="medium">
        <color indexed="64"/>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indexed="64"/>
      </left>
      <right style="medium">
        <color indexed="64"/>
      </right>
      <top/>
      <bottom style="medium">
        <color auto="1"/>
      </bottom>
      <diagonal/>
    </border>
    <border>
      <left style="medium">
        <color auto="1"/>
      </left>
      <right style="medium">
        <color auto="1"/>
      </right>
      <top style="thin">
        <color indexed="64"/>
      </top>
      <bottom style="medium">
        <color indexed="64"/>
      </bottom>
      <diagonal/>
    </border>
    <border>
      <left style="medium">
        <color indexed="64"/>
      </left>
      <right style="medium">
        <color indexed="64"/>
      </right>
      <top/>
      <bottom/>
      <diagonal/>
    </border>
    <border>
      <left/>
      <right/>
      <top/>
      <bottom style="medium">
        <color auto="1"/>
      </bottom>
      <diagonal/>
    </border>
    <border>
      <left style="medium">
        <color auto="1"/>
      </left>
      <right style="medium">
        <color auto="1"/>
      </right>
      <top/>
      <bottom style="thin">
        <color auto="1"/>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alignment vertical="top"/>
      <protection locked="0"/>
    </xf>
    <xf numFmtId="38" fontId="1" fillId="0" borderId="0" applyFont="0" applyFill="0" applyBorder="0" applyAlignment="0" applyProtection="0"/>
    <xf numFmtId="177" fontId="1" fillId="0" borderId="0" applyFont="0" applyFill="0" applyBorder="0" applyAlignment="0" applyProtection="0"/>
  </cellStyleXfs>
  <cellXfs count="410">
    <xf numFmtId="0" fontId="0" fillId="0" borderId="0" xfId="0"/>
    <xf numFmtId="0" fontId="0" fillId="0" borderId="0" xfId="0" applyAlignment="1">
      <alignment vertical="center"/>
    </xf>
    <xf numFmtId="0" fontId="0" fillId="0" borderId="2" xfId="0" quotePrefix="1" applyBorder="1" applyAlignment="1">
      <alignment vertical="center"/>
    </xf>
    <xf numFmtId="57" fontId="0" fillId="0" borderId="6" xfId="0" applyNumberFormat="1" applyBorder="1" applyAlignment="1">
      <alignment horizontal="center" vertical="center"/>
    </xf>
    <xf numFmtId="57" fontId="0" fillId="0" borderId="7" xfId="0" applyNumberForma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vertical="center"/>
    </xf>
    <xf numFmtId="0" fontId="0" fillId="0" borderId="0" xfId="0" applyAlignment="1">
      <alignment horizontal="center"/>
    </xf>
    <xf numFmtId="178" fontId="0" fillId="0" borderId="0" xfId="0" applyNumberFormat="1" applyAlignment="1"/>
    <xf numFmtId="9" fontId="0" fillId="0" borderId="0" xfId="1" applyFont="1"/>
    <xf numFmtId="178" fontId="0" fillId="0" borderId="0" xfId="0" applyNumberFormat="1"/>
    <xf numFmtId="0" fontId="4" fillId="0" borderId="0" xfId="0" applyFont="1" applyBorder="1"/>
    <xf numFmtId="0" fontId="0" fillId="2" borderId="0" xfId="0" applyFill="1"/>
    <xf numFmtId="0" fontId="4" fillId="0" borderId="0" xfId="0" applyFont="1"/>
    <xf numFmtId="0" fontId="0" fillId="3" borderId="0" xfId="0" applyFill="1"/>
    <xf numFmtId="9" fontId="0" fillId="0" borderId="0" xfId="0" applyNumberFormat="1"/>
    <xf numFmtId="178" fontId="0" fillId="3" borderId="0" xfId="0" applyNumberFormat="1" applyFill="1"/>
    <xf numFmtId="178" fontId="0" fillId="0" borderId="13" xfId="0" applyNumberFormat="1" applyBorder="1"/>
    <xf numFmtId="178" fontId="0" fillId="0" borderId="9" xfId="0" applyNumberFormat="1" applyBorder="1"/>
    <xf numFmtId="178" fontId="0" fillId="0" borderId="10" xfId="0" applyNumberFormat="1" applyBorder="1"/>
    <xf numFmtId="178" fontId="0" fillId="0" borderId="11" xfId="0" applyNumberFormat="1" applyBorder="1"/>
    <xf numFmtId="0" fontId="0" fillId="0" borderId="14" xfId="0" applyBorder="1" applyAlignment="1">
      <alignment horizontal="center"/>
    </xf>
    <xf numFmtId="0" fontId="0" fillId="0" borderId="15" xfId="0" applyBorder="1" applyAlignment="1">
      <alignment horizontal="center"/>
    </xf>
    <xf numFmtId="9" fontId="0" fillId="0" borderId="0" xfId="1" applyFont="1" applyAlignment="1">
      <alignment horizontal="center"/>
    </xf>
    <xf numFmtId="0" fontId="4" fillId="0" borderId="0" xfId="0" applyFont="1" applyAlignment="1">
      <alignment horizontal="center"/>
    </xf>
    <xf numFmtId="178" fontId="0" fillId="0" borderId="16" xfId="0" applyNumberFormat="1" applyBorder="1"/>
    <xf numFmtId="178" fontId="0" fillId="0" borderId="17" xfId="0" applyNumberFormat="1" applyBorder="1"/>
    <xf numFmtId="0" fontId="0" fillId="2" borderId="13" xfId="0" applyFill="1" applyBorder="1" applyAlignment="1">
      <alignment horizontal="center" vertical="center"/>
    </xf>
    <xf numFmtId="0" fontId="0" fillId="2" borderId="18"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19" xfId="0" applyFill="1" applyBorder="1" applyAlignment="1">
      <alignment horizontal="center" vertical="center"/>
    </xf>
    <xf numFmtId="0" fontId="0" fillId="2" borderId="20" xfId="0" applyFill="1" applyBorder="1" applyAlignment="1">
      <alignment horizontal="center" vertical="center"/>
    </xf>
    <xf numFmtId="178" fontId="0" fillId="3" borderId="10" xfId="0" applyNumberFormat="1" applyFill="1" applyBorder="1"/>
    <xf numFmtId="178" fontId="0" fillId="3" borderId="11" xfId="0" applyNumberFormat="1" applyFill="1" applyBorder="1"/>
    <xf numFmtId="0" fontId="0" fillId="0" borderId="0" xfId="0" applyAlignment="1">
      <alignment horizontal="right"/>
    </xf>
    <xf numFmtId="0" fontId="0" fillId="4" borderId="6" xfId="0" applyFill="1" applyBorder="1" applyAlignment="1">
      <alignment vertical="center"/>
    </xf>
    <xf numFmtId="0" fontId="0" fillId="4" borderId="8" xfId="0" applyFill="1" applyBorder="1" applyAlignment="1">
      <alignment vertical="center"/>
    </xf>
    <xf numFmtId="0" fontId="0" fillId="4" borderId="7" xfId="0" applyFill="1" applyBorder="1" applyAlignment="1">
      <alignment vertical="center"/>
    </xf>
    <xf numFmtId="0" fontId="0" fillId="0" borderId="0" xfId="0" applyFill="1"/>
    <xf numFmtId="0" fontId="0" fillId="5" borderId="0" xfId="0" applyFill="1"/>
    <xf numFmtId="0" fontId="0" fillId="6" borderId="0" xfId="0" applyFill="1"/>
    <xf numFmtId="0" fontId="1" fillId="7" borderId="0" xfId="0" applyFont="1" applyFill="1" applyBorder="1"/>
    <xf numFmtId="178" fontId="0" fillId="7" borderId="0" xfId="0" applyNumberFormat="1" applyFill="1"/>
    <xf numFmtId="0" fontId="0" fillId="8" borderId="0" xfId="0" applyFill="1"/>
    <xf numFmtId="178" fontId="0" fillId="8" borderId="0" xfId="0" applyNumberFormat="1" applyFill="1"/>
    <xf numFmtId="0" fontId="0" fillId="9" borderId="0" xfId="0" applyFill="1"/>
    <xf numFmtId="178" fontId="0" fillId="0" borderId="0" xfId="0" applyNumberFormat="1" applyFill="1"/>
    <xf numFmtId="0" fontId="0" fillId="0" borderId="0" xfId="0" applyFill="1" applyAlignment="1">
      <alignment horizontal="center"/>
    </xf>
    <xf numFmtId="0" fontId="6" fillId="10" borderId="0" xfId="0" applyFont="1" applyFill="1"/>
    <xf numFmtId="0" fontId="0" fillId="0" borderId="22" xfId="0" applyBorder="1"/>
    <xf numFmtId="0" fontId="0" fillId="0" borderId="23" xfId="0" applyBorder="1"/>
    <xf numFmtId="0" fontId="0" fillId="0" borderId="24" xfId="0" applyBorder="1"/>
    <xf numFmtId="0" fontId="0" fillId="0" borderId="25" xfId="0" applyBorder="1"/>
    <xf numFmtId="0" fontId="0" fillId="0" borderId="0"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0" xfId="0" applyBorder="1" applyAlignment="1">
      <alignment horizontal="center"/>
    </xf>
    <xf numFmtId="0" fontId="0" fillId="0" borderId="0" xfId="0" applyFill="1" applyBorder="1"/>
    <xf numFmtId="0" fontId="0" fillId="0" borderId="30" xfId="0" applyBorder="1"/>
    <xf numFmtId="0" fontId="0" fillId="0" borderId="31" xfId="0" applyBorder="1"/>
    <xf numFmtId="0" fontId="0" fillId="0" borderId="32" xfId="0" applyBorder="1"/>
    <xf numFmtId="0" fontId="0" fillId="7" borderId="0" xfId="0" applyFill="1"/>
    <xf numFmtId="38" fontId="0" fillId="3" borderId="0" xfId="0" applyNumberFormat="1" applyFill="1"/>
    <xf numFmtId="38" fontId="0" fillId="5" borderId="0" xfId="0" applyNumberFormat="1" applyFill="1"/>
    <xf numFmtId="0" fontId="7" fillId="0" borderId="22" xfId="0" applyFont="1" applyBorder="1" applyAlignment="1">
      <alignment vertical="center"/>
    </xf>
    <xf numFmtId="0" fontId="7" fillId="0" borderId="23" xfId="0" applyFont="1" applyBorder="1" applyAlignment="1">
      <alignment vertical="center"/>
    </xf>
    <xf numFmtId="0" fontId="7" fillId="0" borderId="24" xfId="0" applyFont="1" applyBorder="1" applyAlignment="1">
      <alignment vertical="center"/>
    </xf>
    <xf numFmtId="0" fontId="7" fillId="0" borderId="27" xfId="0" applyFont="1" applyBorder="1" applyAlignment="1">
      <alignment vertical="center"/>
    </xf>
    <xf numFmtId="0" fontId="7" fillId="0" borderId="28" xfId="0" applyFont="1" applyBorder="1" applyAlignment="1">
      <alignment vertical="center"/>
    </xf>
    <xf numFmtId="0" fontId="11" fillId="0" borderId="0" xfId="0" applyFont="1" applyAlignment="1">
      <alignment vertical="center"/>
    </xf>
    <xf numFmtId="0" fontId="5" fillId="0" borderId="35" xfId="2" applyBorder="1" applyAlignment="1" applyProtection="1">
      <alignment vertical="center"/>
    </xf>
    <xf numFmtId="0" fontId="16" fillId="0" borderId="0" xfId="0" applyFont="1" applyAlignment="1">
      <alignment horizontal="center" vertical="center"/>
    </xf>
    <xf numFmtId="0" fontId="13" fillId="0" borderId="0" xfId="0" applyFont="1"/>
    <xf numFmtId="0" fontId="14" fillId="0" borderId="0" xfId="0" applyFont="1" applyAlignment="1">
      <alignment vertical="center"/>
    </xf>
    <xf numFmtId="0" fontId="13" fillId="0" borderId="37" xfId="0" applyFont="1" applyBorder="1" applyAlignment="1">
      <alignment vertical="center"/>
    </xf>
    <xf numFmtId="0" fontId="13" fillId="0" borderId="37" xfId="0" applyFont="1" applyBorder="1" applyAlignment="1">
      <alignment horizontal="center" vertical="center"/>
    </xf>
    <xf numFmtId="38" fontId="13" fillId="0" borderId="37" xfId="3" applyFont="1" applyBorder="1" applyAlignment="1">
      <alignment vertical="center"/>
    </xf>
    <xf numFmtId="0" fontId="13" fillId="0" borderId="38" xfId="0" applyFont="1" applyBorder="1" applyAlignment="1">
      <alignment vertical="center"/>
    </xf>
    <xf numFmtId="0" fontId="13" fillId="0" borderId="38" xfId="0" applyFont="1" applyBorder="1" applyAlignment="1">
      <alignment horizontal="center" vertical="center"/>
    </xf>
    <xf numFmtId="38" fontId="13" fillId="0" borderId="38" xfId="3" applyFont="1" applyBorder="1" applyAlignment="1">
      <alignment vertical="center"/>
    </xf>
    <xf numFmtId="38" fontId="13" fillId="0" borderId="39" xfId="3" applyFont="1" applyBorder="1" applyAlignment="1">
      <alignment vertical="center"/>
    </xf>
    <xf numFmtId="0" fontId="13" fillId="0" borderId="40" xfId="0" applyFont="1" applyBorder="1" applyAlignment="1">
      <alignment horizontal="center" vertical="center"/>
    </xf>
    <xf numFmtId="0" fontId="13" fillId="0" borderId="40" xfId="0" applyFont="1" applyBorder="1" applyAlignment="1">
      <alignment vertical="center"/>
    </xf>
    <xf numFmtId="38" fontId="13" fillId="0" borderId="40" xfId="3" applyFont="1" applyBorder="1" applyAlignment="1">
      <alignment vertical="center"/>
    </xf>
    <xf numFmtId="181" fontId="14" fillId="0" borderId="0" xfId="3" applyNumberFormat="1" applyFont="1" applyAlignment="1">
      <alignment vertical="center"/>
    </xf>
    <xf numFmtId="0" fontId="13" fillId="0" borderId="0" xfId="0" applyFont="1" applyBorder="1"/>
    <xf numFmtId="0" fontId="13" fillId="0" borderId="35" xfId="0" applyFont="1" applyBorder="1" applyAlignment="1">
      <alignment horizontal="center" vertical="center"/>
    </xf>
    <xf numFmtId="0" fontId="13" fillId="0" borderId="35" xfId="0" applyFont="1" applyBorder="1" applyAlignment="1">
      <alignment horizontal="distributed" vertical="center" indent="1"/>
    </xf>
    <xf numFmtId="176" fontId="0" fillId="0" borderId="41" xfId="0" applyNumberFormat="1" applyBorder="1" applyAlignment="1">
      <alignment horizontal="center" vertical="center" shrinkToFit="1"/>
    </xf>
    <xf numFmtId="0" fontId="13" fillId="0" borderId="35" xfId="0" applyFont="1" applyBorder="1" applyAlignment="1">
      <alignment horizontal="distributed" vertical="center" justifyLastLine="1" shrinkToFit="1"/>
    </xf>
    <xf numFmtId="182" fontId="13" fillId="0" borderId="60" xfId="0" applyNumberFormat="1" applyFont="1" applyBorder="1" applyAlignment="1">
      <alignment vertical="center"/>
    </xf>
    <xf numFmtId="0" fontId="13" fillId="0" borderId="35" xfId="0" applyFont="1" applyBorder="1" applyAlignment="1">
      <alignment horizontal="distributed" vertical="center" justifyLastLine="1"/>
    </xf>
    <xf numFmtId="0" fontId="15" fillId="0" borderId="0" xfId="0" applyFont="1" applyAlignment="1">
      <alignment horizontal="center"/>
    </xf>
    <xf numFmtId="0" fontId="13" fillId="0" borderId="60" xfId="0" applyFont="1" applyBorder="1" applyAlignment="1">
      <alignment horizontal="center" vertical="center" shrinkToFit="1"/>
    </xf>
    <xf numFmtId="0" fontId="13" fillId="0" borderId="60" xfId="0" applyFont="1" applyBorder="1" applyAlignment="1">
      <alignment horizontal="distributed" vertical="center" shrinkToFit="1"/>
    </xf>
    <xf numFmtId="0" fontId="13" fillId="0" borderId="38" xfId="0" applyFont="1" applyBorder="1" applyAlignment="1">
      <alignment horizontal="center" vertical="center" shrinkToFit="1"/>
    </xf>
    <xf numFmtId="0" fontId="13" fillId="0" borderId="39" xfId="0" applyFont="1" applyBorder="1" applyAlignment="1">
      <alignment horizontal="center" vertical="center" shrinkToFit="1"/>
    </xf>
    <xf numFmtId="0" fontId="13" fillId="0" borderId="38" xfId="0" applyFont="1" applyBorder="1" applyAlignment="1">
      <alignment vertical="center" shrinkToFit="1"/>
    </xf>
    <xf numFmtId="0" fontId="13" fillId="0" borderId="40" xfId="0" applyFont="1" applyBorder="1" applyAlignment="1">
      <alignment horizontal="center" vertical="center" shrinkToFit="1"/>
    </xf>
    <xf numFmtId="0" fontId="0" fillId="0" borderId="0" xfId="0" applyBorder="1" applyAlignment="1">
      <alignment horizontal="center" shrinkToFit="1"/>
    </xf>
    <xf numFmtId="0" fontId="0" fillId="0" borderId="26" xfId="0" applyFill="1" applyBorder="1"/>
    <xf numFmtId="0" fontId="0" fillId="0" borderId="0" xfId="0" applyFill="1" applyBorder="1" applyAlignment="1">
      <alignment vertical="top" wrapText="1"/>
    </xf>
    <xf numFmtId="0" fontId="0" fillId="0" borderId="26" xfId="0" applyFill="1" applyBorder="1" applyAlignment="1">
      <alignment vertical="top" wrapText="1"/>
    </xf>
    <xf numFmtId="0" fontId="0" fillId="0" borderId="0" xfId="0" applyFill="1" applyBorder="1" applyAlignment="1">
      <alignment vertical="top"/>
    </xf>
    <xf numFmtId="0" fontId="0" fillId="0" borderId="0" xfId="0" applyAlignment="1">
      <alignment horizontal="right" vertical="center"/>
    </xf>
    <xf numFmtId="38" fontId="0" fillId="0" borderId="0" xfId="3" applyFont="1"/>
    <xf numFmtId="0" fontId="0" fillId="0" borderId="0" xfId="0" applyBorder="1" applyAlignment="1">
      <alignment horizontal="center"/>
    </xf>
    <xf numFmtId="0" fontId="0" fillId="0" borderId="0" xfId="0" applyBorder="1" applyAlignment="1">
      <alignment shrinkToFit="1"/>
    </xf>
    <xf numFmtId="0" fontId="13" fillId="0" borderId="0" xfId="0" applyFont="1" applyBorder="1" applyAlignment="1">
      <alignment horizontal="center" vertical="center"/>
    </xf>
    <xf numFmtId="0" fontId="13" fillId="0" borderId="0" xfId="0" applyFont="1" applyBorder="1" applyAlignment="1">
      <alignment vertical="center"/>
    </xf>
    <xf numFmtId="178" fontId="0" fillId="0" borderId="0" xfId="0" applyNumberFormat="1" applyAlignment="1"/>
    <xf numFmtId="0" fontId="0" fillId="2" borderId="43" xfId="0" applyFill="1" applyBorder="1" applyAlignment="1">
      <alignment horizontal="left" vertical="center" indent="1"/>
    </xf>
    <xf numFmtId="0" fontId="22" fillId="0" borderId="35" xfId="0" applyFont="1" applyFill="1" applyBorder="1"/>
    <xf numFmtId="0" fontId="22" fillId="0" borderId="35" xfId="0" applyFont="1" applyBorder="1" applyAlignment="1">
      <alignment shrinkToFit="1"/>
    </xf>
    <xf numFmtId="0" fontId="22" fillId="0" borderId="60" xfId="0" applyFont="1" applyBorder="1" applyAlignment="1">
      <alignment shrinkToFit="1"/>
    </xf>
    <xf numFmtId="0" fontId="22" fillId="0" borderId="0" xfId="0" applyFont="1" applyFill="1" applyAlignment="1">
      <alignment horizontal="right"/>
    </xf>
    <xf numFmtId="0" fontId="22" fillId="0" borderId="35" xfId="0" applyFont="1" applyFill="1" applyBorder="1" applyAlignment="1">
      <alignment horizontal="center"/>
    </xf>
    <xf numFmtId="0" fontId="22" fillId="0" borderId="35" xfId="0" applyFont="1" applyBorder="1" applyAlignment="1">
      <alignment vertical="center" shrinkToFit="1"/>
    </xf>
    <xf numFmtId="0" fontId="22" fillId="0" borderId="64" xfId="0" applyFont="1" applyBorder="1" applyAlignment="1">
      <alignment shrinkToFit="1"/>
    </xf>
    <xf numFmtId="0" fontId="22" fillId="0" borderId="0" xfId="0" applyFont="1" applyAlignment="1">
      <alignment shrinkToFit="1"/>
    </xf>
    <xf numFmtId="14" fontId="22" fillId="0" borderId="35" xfId="0" applyNumberFormat="1" applyFont="1" applyFill="1" applyBorder="1" applyAlignment="1">
      <alignment shrinkToFit="1"/>
    </xf>
    <xf numFmtId="0" fontId="22" fillId="0" borderId="25" xfId="0" applyFont="1" applyBorder="1" applyAlignment="1">
      <alignment shrinkToFit="1"/>
    </xf>
    <xf numFmtId="0" fontId="22" fillId="0" borderId="0" xfId="0" applyFont="1" applyAlignment="1">
      <alignment horizontal="right"/>
    </xf>
    <xf numFmtId="0" fontId="22" fillId="0" borderId="0" xfId="0" applyFont="1"/>
    <xf numFmtId="182" fontId="13" fillId="0" borderId="60" xfId="0" applyNumberFormat="1" applyFont="1" applyBorder="1" applyAlignment="1">
      <alignment vertical="center"/>
    </xf>
    <xf numFmtId="0" fontId="13" fillId="0" borderId="0" xfId="0" applyFont="1" applyFill="1"/>
    <xf numFmtId="0" fontId="13" fillId="0" borderId="60" xfId="0" applyFont="1" applyFill="1" applyBorder="1" applyAlignment="1">
      <alignment horizontal="center" vertical="center" shrinkToFit="1"/>
    </xf>
    <xf numFmtId="182" fontId="13" fillId="0" borderId="60" xfId="0" applyNumberFormat="1" applyFont="1" applyFill="1" applyBorder="1" applyAlignment="1">
      <alignment vertical="center"/>
    </xf>
    <xf numFmtId="0" fontId="17" fillId="0" borderId="0" xfId="0" applyFont="1" applyFill="1"/>
    <xf numFmtId="0" fontId="22" fillId="0" borderId="0" xfId="0" applyFont="1" applyFill="1" applyBorder="1" applyAlignment="1">
      <alignment shrinkToFit="1"/>
    </xf>
    <xf numFmtId="0" fontId="24" fillId="0" borderId="0" xfId="0" applyFont="1"/>
    <xf numFmtId="0" fontId="24" fillId="0" borderId="0" xfId="0" applyFont="1" applyBorder="1" applyAlignment="1">
      <alignment vertical="center" wrapText="1"/>
    </xf>
    <xf numFmtId="0" fontId="24" fillId="0" borderId="0" xfId="0" applyFont="1" applyBorder="1" applyAlignment="1">
      <alignment horizontal="center" vertical="center"/>
    </xf>
    <xf numFmtId="0" fontId="24" fillId="0" borderId="0" xfId="0" applyFont="1" applyBorder="1" applyAlignment="1">
      <alignment horizontal="center" vertical="center" wrapText="1"/>
    </xf>
    <xf numFmtId="0" fontId="25" fillId="0" borderId="0" xfId="0" applyFont="1"/>
    <xf numFmtId="0" fontId="26" fillId="0" borderId="0" xfId="0" applyFont="1" applyAlignment="1">
      <alignment vertical="center"/>
    </xf>
    <xf numFmtId="0" fontId="26" fillId="0" borderId="0" xfId="0" applyFont="1" applyAlignment="1">
      <alignment vertical="center" wrapText="1"/>
    </xf>
    <xf numFmtId="0" fontId="26" fillId="0" borderId="0" xfId="0" applyFont="1"/>
    <xf numFmtId="0" fontId="27" fillId="0" borderId="0" xfId="0" applyFont="1"/>
    <xf numFmtId="0" fontId="0" fillId="15" borderId="0" xfId="0" applyFill="1"/>
    <xf numFmtId="0" fontId="4" fillId="0" borderId="0" xfId="0" applyFont="1" applyAlignment="1">
      <alignment shrinkToFit="1"/>
    </xf>
    <xf numFmtId="178" fontId="3" fillId="0" borderId="66" xfId="3" applyNumberFormat="1" applyFont="1" applyBorder="1" applyAlignment="1">
      <alignment vertical="center"/>
    </xf>
    <xf numFmtId="178" fontId="3" fillId="0" borderId="56" xfId="3" applyNumberFormat="1" applyFont="1" applyBorder="1" applyAlignment="1">
      <alignment vertical="center"/>
    </xf>
    <xf numFmtId="0" fontId="0" fillId="0" borderId="0" xfId="0" applyAlignment="1">
      <alignment horizontal="center" vertical="center" shrinkToFit="1"/>
    </xf>
    <xf numFmtId="0" fontId="0" fillId="0" borderId="3" xfId="0" applyFont="1" applyBorder="1" applyAlignment="1">
      <alignment horizontal="center" vertical="center" shrinkToFit="1"/>
    </xf>
    <xf numFmtId="0" fontId="0" fillId="0" borderId="1" xfId="0" applyFont="1" applyBorder="1" applyAlignment="1">
      <alignment horizontal="center" vertical="center" shrinkToFit="1"/>
    </xf>
    <xf numFmtId="57" fontId="0" fillId="8" borderId="1" xfId="0" applyNumberFormat="1" applyFont="1" applyFill="1" applyBorder="1" applyAlignment="1">
      <alignment horizontal="center" vertical="center" shrinkToFit="1"/>
    </xf>
    <xf numFmtId="0" fontId="0" fillId="0" borderId="1" xfId="0" applyFont="1" applyFill="1" applyBorder="1" applyAlignment="1">
      <alignment horizontal="center" vertical="center" shrinkToFit="1"/>
    </xf>
    <xf numFmtId="0" fontId="0" fillId="0" borderId="21" xfId="0" applyFont="1" applyBorder="1" applyAlignment="1">
      <alignment horizontal="center" vertical="center" shrinkToFit="1"/>
    </xf>
    <xf numFmtId="179" fontId="0" fillId="0" borderId="1" xfId="0" applyNumberFormat="1" applyFont="1" applyBorder="1" applyAlignment="1">
      <alignment horizontal="center" vertical="center" shrinkToFit="1"/>
    </xf>
    <xf numFmtId="0" fontId="0" fillId="8" borderId="1" xfId="0" applyFont="1" applyFill="1" applyBorder="1" applyAlignment="1">
      <alignment horizontal="center" vertical="center" shrinkToFit="1"/>
    </xf>
    <xf numFmtId="0" fontId="0" fillId="0" borderId="4" xfId="0" applyFont="1" applyBorder="1" applyAlignment="1">
      <alignment horizontal="center" vertical="center" shrinkToFit="1"/>
    </xf>
    <xf numFmtId="0" fontId="0" fillId="8" borderId="5" xfId="0" applyFont="1" applyFill="1" applyBorder="1" applyAlignment="1">
      <alignment horizontal="center" vertical="center" shrinkToFit="1"/>
    </xf>
    <xf numFmtId="57" fontId="0" fillId="8" borderId="5" xfId="0" applyNumberFormat="1" applyFont="1" applyFill="1" applyBorder="1" applyAlignment="1">
      <alignment horizontal="center" vertical="center" shrinkToFit="1"/>
    </xf>
    <xf numFmtId="0" fontId="0" fillId="0" borderId="36" xfId="0" applyFont="1" applyBorder="1" applyAlignment="1">
      <alignment horizontal="center" vertical="center" shrinkToFit="1"/>
    </xf>
    <xf numFmtId="57" fontId="0" fillId="0" borderId="1" xfId="0" applyNumberFormat="1" applyFont="1" applyFill="1" applyBorder="1" applyAlignment="1">
      <alignment horizontal="center" vertical="center" shrinkToFit="1"/>
    </xf>
    <xf numFmtId="0" fontId="0" fillId="0" borderId="5" xfId="0" applyFont="1" applyFill="1" applyBorder="1" applyAlignment="1">
      <alignment horizontal="center" vertical="center" shrinkToFit="1"/>
    </xf>
    <xf numFmtId="178" fontId="3" fillId="0" borderId="67" xfId="3" applyNumberFormat="1" applyFont="1" applyBorder="1" applyAlignment="1">
      <alignment vertical="center" shrinkToFit="1"/>
    </xf>
    <xf numFmtId="0" fontId="0" fillId="0" borderId="35" xfId="0" applyBorder="1" applyAlignment="1">
      <alignment shrinkToFit="1"/>
    </xf>
    <xf numFmtId="0" fontId="0" fillId="0" borderId="35" xfId="0" applyBorder="1"/>
    <xf numFmtId="0" fontId="0" fillId="0" borderId="0" xfId="0" applyFill="1" applyAlignment="1">
      <alignment horizontal="right"/>
    </xf>
    <xf numFmtId="38" fontId="0" fillId="0" borderId="0" xfId="3" applyFont="1" applyAlignment="1">
      <alignment shrinkToFit="1"/>
    </xf>
    <xf numFmtId="0" fontId="22" fillId="0" borderId="35" xfId="0" applyFont="1" applyFill="1" applyBorder="1" applyAlignment="1">
      <alignment horizontal="center" shrinkToFit="1"/>
    </xf>
    <xf numFmtId="0" fontId="1" fillId="0" borderId="34" xfId="0" applyFont="1" applyFill="1" applyBorder="1" applyAlignment="1">
      <alignment horizontal="center" vertical="center" shrinkToFit="1"/>
    </xf>
    <xf numFmtId="0" fontId="22" fillId="0" borderId="0" xfId="0" applyFont="1" applyAlignment="1">
      <alignment horizontal="left" vertical="center"/>
    </xf>
    <xf numFmtId="0" fontId="22" fillId="0" borderId="0" xfId="0" applyFont="1" applyAlignment="1">
      <alignment vertical="center"/>
    </xf>
    <xf numFmtId="0" fontId="26" fillId="0" borderId="0" xfId="0" applyFont="1" applyAlignment="1">
      <alignment horizontal="center" wrapText="1"/>
    </xf>
    <xf numFmtId="38" fontId="24" fillId="0" borderId="0" xfId="3" applyFont="1"/>
    <xf numFmtId="0" fontId="29" fillId="0" borderId="76" xfId="0" applyFont="1" applyBorder="1" applyAlignment="1">
      <alignment horizontal="center" vertical="center" wrapText="1"/>
    </xf>
    <xf numFmtId="0" fontId="29" fillId="0" borderId="76" xfId="0" applyFont="1" applyBorder="1" applyAlignment="1">
      <alignment vertical="center" wrapText="1"/>
    </xf>
    <xf numFmtId="0" fontId="29" fillId="0" borderId="0" xfId="0" applyFont="1" applyBorder="1" applyAlignment="1">
      <alignment horizontal="center" vertical="center" wrapText="1"/>
    </xf>
    <xf numFmtId="0" fontId="29" fillId="0" borderId="62" xfId="0" applyFont="1" applyBorder="1" applyAlignment="1">
      <alignment horizontal="center" vertical="center" wrapText="1"/>
    </xf>
    <xf numFmtId="0" fontId="29" fillId="0" borderId="62" xfId="0" applyFont="1" applyBorder="1" applyAlignment="1">
      <alignment vertical="center" wrapText="1"/>
    </xf>
    <xf numFmtId="0" fontId="29" fillId="0" borderId="0" xfId="0" applyFont="1" applyAlignment="1">
      <alignment vertical="center" wrapText="1"/>
    </xf>
    <xf numFmtId="0" fontId="29" fillId="0" borderId="0" xfId="0" applyFont="1" applyAlignment="1">
      <alignment vertical="center"/>
    </xf>
    <xf numFmtId="38" fontId="27" fillId="0" borderId="0" xfId="3" applyFont="1"/>
    <xf numFmtId="0" fontId="26" fillId="0" borderId="0" xfId="0" applyFont="1" applyAlignment="1">
      <alignment wrapText="1"/>
    </xf>
    <xf numFmtId="0" fontId="0" fillId="0" borderId="0" xfId="0" applyBorder="1" applyAlignment="1">
      <alignment horizontal="center" shrinkToFit="1"/>
    </xf>
    <xf numFmtId="0" fontId="0" fillId="0" borderId="0" xfId="0" applyBorder="1" applyAlignment="1">
      <alignment vertical="center" shrinkToFit="1"/>
    </xf>
    <xf numFmtId="183" fontId="0" fillId="13" borderId="0" xfId="1" applyNumberFormat="1" applyFont="1" applyFill="1" applyBorder="1"/>
    <xf numFmtId="38" fontId="29" fillId="0" borderId="77" xfId="0" applyNumberFormat="1" applyFont="1" applyBorder="1" applyAlignment="1">
      <alignment horizontal="center" vertical="center" shrinkToFit="1"/>
    </xf>
    <xf numFmtId="183" fontId="29" fillId="16" borderId="77" xfId="1" applyNumberFormat="1" applyFont="1" applyFill="1" applyBorder="1" applyAlignment="1">
      <alignment horizontal="right" vertical="center" shrinkToFit="1"/>
    </xf>
    <xf numFmtId="183" fontId="29" fillId="0" borderId="77" xfId="1" applyNumberFormat="1" applyFont="1" applyBorder="1" applyAlignment="1">
      <alignment horizontal="right" vertical="center" shrinkToFit="1"/>
    </xf>
    <xf numFmtId="183" fontId="29" fillId="0" borderId="0" xfId="1" applyNumberFormat="1" applyFont="1" applyBorder="1" applyAlignment="1">
      <alignment horizontal="right" vertical="center" shrinkToFit="1"/>
    </xf>
    <xf numFmtId="38" fontId="29" fillId="0" borderId="77" xfId="3" applyFont="1" applyBorder="1" applyAlignment="1">
      <alignment horizontal="right" vertical="center" shrinkToFit="1"/>
    </xf>
    <xf numFmtId="38" fontId="29" fillId="0" borderId="77" xfId="3" applyFont="1" applyBorder="1" applyAlignment="1">
      <alignment vertical="center" shrinkToFit="1"/>
    </xf>
    <xf numFmtId="0" fontId="29" fillId="0" borderId="0" xfId="0" applyFont="1" applyAlignment="1">
      <alignment vertical="center" shrinkToFit="1"/>
    </xf>
    <xf numFmtId="38" fontId="29" fillId="0" borderId="0" xfId="3" applyFont="1" applyAlignment="1">
      <alignment vertical="center" shrinkToFit="1"/>
    </xf>
    <xf numFmtId="38" fontId="29" fillId="0" borderId="78" xfId="0" applyNumberFormat="1" applyFont="1" applyBorder="1" applyAlignment="1">
      <alignment horizontal="center" vertical="center" shrinkToFit="1"/>
    </xf>
    <xf numFmtId="183" fontId="29" fillId="16" borderId="78" xfId="1" applyNumberFormat="1" applyFont="1" applyFill="1" applyBorder="1" applyAlignment="1">
      <alignment horizontal="right" vertical="center" shrinkToFit="1"/>
    </xf>
    <xf numFmtId="183" fontId="29" fillId="0" borderId="78" xfId="1" applyNumberFormat="1" applyFont="1" applyBorder="1" applyAlignment="1">
      <alignment horizontal="right" vertical="center" shrinkToFit="1"/>
    </xf>
    <xf numFmtId="38" fontId="29" fillId="0" borderId="79" xfId="0" applyNumberFormat="1" applyFont="1" applyBorder="1" applyAlignment="1">
      <alignment horizontal="center" vertical="center" shrinkToFit="1"/>
    </xf>
    <xf numFmtId="38" fontId="29" fillId="0" borderId="79" xfId="3" applyFont="1" applyBorder="1" applyAlignment="1">
      <alignment horizontal="right" vertical="center" shrinkToFit="1"/>
    </xf>
    <xf numFmtId="38" fontId="29" fillId="0" borderId="79" xfId="3" applyFont="1" applyBorder="1" applyAlignment="1">
      <alignment vertical="center" shrinkToFit="1"/>
    </xf>
    <xf numFmtId="0" fontId="29" fillId="0" borderId="0" xfId="0" applyFont="1" applyAlignment="1">
      <alignment horizontal="left" vertical="center" shrinkToFit="1"/>
    </xf>
    <xf numFmtId="0" fontId="26" fillId="0" borderId="0" xfId="0" applyFont="1" applyAlignment="1">
      <alignment horizontal="center" shrinkToFit="1"/>
    </xf>
    <xf numFmtId="0" fontId="27" fillId="0" borderId="0" xfId="0" applyFont="1" applyAlignment="1">
      <alignment shrinkToFit="1"/>
    </xf>
    <xf numFmtId="38" fontId="27" fillId="0" borderId="0" xfId="3" applyFont="1" applyAlignment="1">
      <alignment shrinkToFit="1"/>
    </xf>
    <xf numFmtId="0" fontId="31" fillId="0" borderId="0" xfId="0" applyFont="1" applyAlignment="1">
      <alignment shrinkToFit="1"/>
    </xf>
    <xf numFmtId="0" fontId="31" fillId="0" borderId="0" xfId="0" applyFont="1" applyAlignment="1">
      <alignment horizontal="center" shrinkToFit="1"/>
    </xf>
    <xf numFmtId="0" fontId="32" fillId="0" borderId="0" xfId="0" applyFont="1" applyAlignment="1">
      <alignment shrinkToFit="1"/>
    </xf>
    <xf numFmtId="38" fontId="32" fillId="0" borderId="0" xfId="3" applyFont="1" applyAlignment="1">
      <alignment shrinkToFit="1"/>
    </xf>
    <xf numFmtId="0" fontId="31" fillId="0" borderId="0" xfId="0" applyFont="1" applyAlignment="1">
      <alignment horizontal="center" vertical="center" shrinkToFit="1"/>
    </xf>
    <xf numFmtId="0" fontId="22" fillId="13" borderId="35" xfId="0" applyFont="1" applyFill="1" applyBorder="1" applyAlignment="1">
      <alignment horizontal="center"/>
    </xf>
    <xf numFmtId="0" fontId="0" fillId="0" borderId="0" xfId="0" applyFill="1" applyAlignment="1"/>
    <xf numFmtId="178" fontId="3" fillId="0" borderId="6" xfId="3" applyNumberFormat="1" applyFont="1" applyBorder="1" applyAlignment="1">
      <alignment vertical="center"/>
    </xf>
    <xf numFmtId="0" fontId="0" fillId="0" borderId="43" xfId="0" applyBorder="1" applyAlignment="1">
      <alignment horizontal="left" vertical="center" indent="1"/>
    </xf>
    <xf numFmtId="0" fontId="0" fillId="0" borderId="44" xfId="0" applyBorder="1" applyAlignment="1">
      <alignment vertical="center"/>
    </xf>
    <xf numFmtId="0" fontId="0" fillId="0" borderId="45" xfId="0" applyBorder="1" applyAlignment="1">
      <alignment vertical="center"/>
    </xf>
    <xf numFmtId="0" fontId="0" fillId="11" borderId="10" xfId="0" applyFill="1" applyBorder="1" applyAlignment="1">
      <alignment horizontal="left" vertical="center" indent="1"/>
    </xf>
    <xf numFmtId="178" fontId="3" fillId="11" borderId="1" xfId="3" applyNumberFormat="1" applyFont="1" applyFill="1" applyBorder="1" applyAlignment="1">
      <alignment vertical="center"/>
    </xf>
    <xf numFmtId="0" fontId="0" fillId="2" borderId="10" xfId="0" applyFill="1" applyBorder="1" applyAlignment="1">
      <alignment horizontal="left" vertical="center" indent="1"/>
    </xf>
    <xf numFmtId="0" fontId="0" fillId="2" borderId="43" xfId="0" applyFill="1" applyBorder="1" applyAlignment="1">
      <alignment horizontal="left" vertical="center" indent="1"/>
    </xf>
    <xf numFmtId="178" fontId="3" fillId="2" borderId="1" xfId="3" applyNumberFormat="1" applyFont="1" applyFill="1" applyBorder="1" applyAlignment="1">
      <alignment vertical="center"/>
    </xf>
    <xf numFmtId="178" fontId="3" fillId="12" borderId="1" xfId="3" applyNumberFormat="1" applyFont="1" applyFill="1" applyBorder="1" applyAlignment="1">
      <alignment vertical="center"/>
    </xf>
    <xf numFmtId="178" fontId="3" fillId="2" borderId="6" xfId="3" applyNumberFormat="1" applyFont="1" applyFill="1" applyBorder="1" applyAlignment="1">
      <alignment vertical="center"/>
    </xf>
    <xf numFmtId="0" fontId="0" fillId="0" borderId="55" xfId="0" applyBorder="1" applyAlignment="1">
      <alignment horizontal="left" vertical="center" indent="1"/>
    </xf>
    <xf numFmtId="178" fontId="3" fillId="0" borderId="66" xfId="3" applyNumberFormat="1" applyFont="1" applyBorder="1" applyAlignment="1">
      <alignment vertical="center"/>
    </xf>
    <xf numFmtId="0" fontId="0" fillId="0" borderId="14" xfId="0" applyBorder="1" applyAlignment="1">
      <alignment horizontal="center"/>
    </xf>
    <xf numFmtId="0" fontId="0" fillId="0" borderId="57" xfId="0" applyBorder="1" applyAlignment="1">
      <alignment horizontal="center"/>
    </xf>
    <xf numFmtId="178" fontId="3" fillId="0" borderId="1" xfId="3" applyNumberFormat="1" applyFont="1" applyFill="1" applyBorder="1" applyAlignment="1">
      <alignment vertical="center"/>
    </xf>
    <xf numFmtId="0" fontId="1" fillId="11" borderId="43" xfId="0" applyFont="1" applyFill="1" applyBorder="1" applyAlignment="1">
      <alignment horizontal="left" vertical="center" indent="1"/>
    </xf>
    <xf numFmtId="0" fontId="0" fillId="0" borderId="10" xfId="0" applyFill="1" applyBorder="1" applyAlignment="1">
      <alignment horizontal="left" vertical="center" indent="1"/>
    </xf>
    <xf numFmtId="0" fontId="0" fillId="0" borderId="19" xfId="0" applyFill="1" applyBorder="1" applyAlignment="1">
      <alignment horizontal="left" vertical="center" indent="1"/>
    </xf>
    <xf numFmtId="178" fontId="3" fillId="0" borderId="20" xfId="3" applyNumberFormat="1" applyFont="1" applyFill="1" applyBorder="1" applyAlignment="1">
      <alignment vertical="center"/>
    </xf>
    <xf numFmtId="0" fontId="22" fillId="0" borderId="35" xfId="0" applyFont="1" applyFill="1" applyBorder="1" applyAlignment="1">
      <alignment vertical="center" shrinkToFit="1"/>
    </xf>
    <xf numFmtId="0" fontId="23" fillId="0" borderId="35" xfId="0" applyFont="1" applyBorder="1" applyAlignment="1">
      <alignment horizontal="center" vertical="center" shrinkToFit="1"/>
    </xf>
    <xf numFmtId="0" fontId="22" fillId="14" borderId="63" xfId="0" applyFont="1" applyFill="1" applyBorder="1" applyAlignment="1">
      <alignment horizontal="center" shrinkToFit="1"/>
    </xf>
    <xf numFmtId="0" fontId="22" fillId="13" borderId="63" xfId="0" applyFont="1" applyFill="1" applyBorder="1" applyAlignment="1">
      <alignment horizontal="center" shrinkToFit="1"/>
    </xf>
    <xf numFmtId="0" fontId="22" fillId="14" borderId="59" xfId="0" applyFont="1" applyFill="1" applyBorder="1" applyAlignment="1">
      <alignment horizontal="center" shrinkToFit="1"/>
    </xf>
    <xf numFmtId="0" fontId="22" fillId="13" borderId="59" xfId="0" applyFont="1" applyFill="1" applyBorder="1" applyAlignment="1">
      <alignment horizontal="center" shrinkToFit="1"/>
    </xf>
    <xf numFmtId="0" fontId="22" fillId="14" borderId="35" xfId="0" applyFont="1" applyFill="1" applyBorder="1" applyAlignment="1">
      <alignment horizontal="center" shrinkToFit="1"/>
    </xf>
    <xf numFmtId="0" fontId="22" fillId="13" borderId="35" xfId="0" applyFont="1" applyFill="1" applyBorder="1" applyAlignment="1">
      <alignment horizontal="center" shrinkToFit="1"/>
    </xf>
    <xf numFmtId="0" fontId="22" fillId="15" borderId="35" xfId="0" applyFont="1" applyFill="1" applyBorder="1" applyAlignment="1">
      <alignment horizontal="center" shrinkToFit="1"/>
    </xf>
    <xf numFmtId="14" fontId="23" fillId="14" borderId="35" xfId="0" applyNumberFormat="1" applyFont="1" applyFill="1" applyBorder="1" applyAlignment="1">
      <alignment horizontal="center" vertical="center" shrinkToFit="1"/>
    </xf>
    <xf numFmtId="0" fontId="0" fillId="14" borderId="35" xfId="0" applyFill="1" applyBorder="1" applyAlignment="1">
      <alignment horizontal="center"/>
    </xf>
    <xf numFmtId="14" fontId="0" fillId="0" borderId="1" xfId="0" applyNumberFormat="1" applyFont="1" applyFill="1" applyBorder="1" applyAlignment="1">
      <alignment horizontal="center" vertical="center" shrinkToFit="1"/>
    </xf>
    <xf numFmtId="49" fontId="22" fillId="14" borderId="35" xfId="0" applyNumberFormat="1" applyFont="1" applyFill="1" applyBorder="1" applyAlignment="1">
      <alignment horizontal="center"/>
    </xf>
    <xf numFmtId="0" fontId="22" fillId="0" borderId="35" xfId="0" applyFont="1" applyFill="1" applyBorder="1" applyAlignment="1">
      <alignment shrinkToFit="1"/>
    </xf>
    <xf numFmtId="14" fontId="23" fillId="14" borderId="35" xfId="0" applyNumberFormat="1" applyFont="1" applyFill="1" applyBorder="1" applyAlignment="1">
      <alignment horizontal="center" shrinkToFit="1"/>
    </xf>
    <xf numFmtId="0" fontId="0" fillId="18" borderId="0" xfId="0" applyFill="1"/>
    <xf numFmtId="182" fontId="13" fillId="0" borderId="60" xfId="0" applyNumberFormat="1" applyFont="1" applyBorder="1" applyAlignment="1">
      <alignment vertical="center"/>
    </xf>
    <xf numFmtId="0" fontId="13" fillId="0" borderId="38" xfId="0" applyFont="1" applyBorder="1" applyAlignment="1">
      <alignment horizontal="left" vertical="center"/>
    </xf>
    <xf numFmtId="0" fontId="0" fillId="17" borderId="35" xfId="0" applyFill="1" applyBorder="1" applyAlignment="1">
      <alignment horizontal="center" shrinkToFit="1"/>
    </xf>
    <xf numFmtId="0" fontId="0" fillId="0" borderId="0" xfId="0" applyAlignment="1">
      <alignment horizontal="center"/>
    </xf>
    <xf numFmtId="0" fontId="0" fillId="0" borderId="50" xfId="0" applyBorder="1" applyAlignment="1">
      <alignment horizontal="center" shrinkToFit="1"/>
    </xf>
    <xf numFmtId="0" fontId="0" fillId="0" borderId="33" xfId="0" applyBorder="1" applyAlignment="1">
      <alignment horizontal="center" shrinkToFit="1"/>
    </xf>
    <xf numFmtId="0" fontId="0" fillId="0" borderId="34" xfId="0" applyBorder="1" applyAlignment="1">
      <alignment horizontal="center" shrinkToFit="1"/>
    </xf>
    <xf numFmtId="0" fontId="0" fillId="12" borderId="50" xfId="0" applyFill="1" applyBorder="1" applyAlignment="1">
      <alignment horizontal="center"/>
    </xf>
    <xf numFmtId="0" fontId="0" fillId="12" borderId="33" xfId="0" applyFill="1" applyBorder="1" applyAlignment="1">
      <alignment horizontal="center"/>
    </xf>
    <xf numFmtId="0" fontId="0" fillId="12" borderId="34" xfId="0" applyFill="1" applyBorder="1" applyAlignment="1">
      <alignment horizontal="center"/>
    </xf>
    <xf numFmtId="0" fontId="0" fillId="0" borderId="0" xfId="0" applyFill="1" applyBorder="1" applyAlignment="1">
      <alignment horizontal="center" vertical="center" wrapText="1"/>
    </xf>
    <xf numFmtId="178" fontId="0" fillId="0" borderId="0" xfId="0" applyNumberFormat="1" applyAlignment="1"/>
    <xf numFmtId="0" fontId="22" fillId="14" borderId="59" xfId="0" applyFont="1" applyFill="1" applyBorder="1" applyAlignment="1">
      <alignment horizontal="center" shrinkToFit="1"/>
    </xf>
    <xf numFmtId="0" fontId="22" fillId="14" borderId="65" xfId="0" applyFont="1" applyFill="1" applyBorder="1" applyAlignment="1">
      <alignment horizontal="center" shrinkToFit="1"/>
    </xf>
    <xf numFmtId="0" fontId="22" fillId="14" borderId="60" xfId="0" applyFont="1" applyFill="1" applyBorder="1" applyAlignment="1">
      <alignment horizontal="center" shrinkToFit="1"/>
    </xf>
    <xf numFmtId="178" fontId="0" fillId="0" borderId="0" xfId="0" applyNumberFormat="1" applyAlignment="1">
      <alignment horizontal="center"/>
    </xf>
    <xf numFmtId="178" fontId="0" fillId="0" borderId="0" xfId="0" applyNumberFormat="1" applyFill="1" applyAlignment="1"/>
    <xf numFmtId="180" fontId="22" fillId="13" borderId="35" xfId="0" applyNumberFormat="1" applyFont="1" applyFill="1" applyBorder="1" applyAlignment="1">
      <alignment horizontal="center"/>
    </xf>
    <xf numFmtId="178" fontId="22" fillId="13" borderId="35" xfId="0" applyNumberFormat="1" applyFont="1" applyFill="1" applyBorder="1" applyAlignment="1"/>
    <xf numFmtId="0" fontId="1" fillId="0" borderId="0" xfId="0" applyFont="1" applyAlignment="1">
      <alignment horizontal="right"/>
    </xf>
    <xf numFmtId="0" fontId="4" fillId="0" borderId="0" xfId="0" applyFont="1" applyAlignment="1">
      <alignment horizontal="right"/>
    </xf>
    <xf numFmtId="185" fontId="22" fillId="13" borderId="59" xfId="0" applyNumberFormat="1" applyFont="1" applyFill="1" applyBorder="1" applyAlignment="1">
      <alignment horizontal="center"/>
    </xf>
    <xf numFmtId="185" fontId="22" fillId="13" borderId="60" xfId="0" applyNumberFormat="1" applyFont="1" applyFill="1" applyBorder="1" applyAlignment="1">
      <alignment horizontal="center"/>
    </xf>
    <xf numFmtId="185" fontId="22" fillId="14" borderId="59" xfId="0" applyNumberFormat="1" applyFont="1" applyFill="1" applyBorder="1" applyAlignment="1">
      <alignment horizontal="center"/>
    </xf>
    <xf numFmtId="185" fontId="22" fillId="14" borderId="60" xfId="0" applyNumberFormat="1" applyFont="1" applyFill="1" applyBorder="1" applyAlignment="1">
      <alignment horizontal="center"/>
    </xf>
    <xf numFmtId="0" fontId="22" fillId="13" borderId="35" xfId="0" applyFont="1" applyFill="1" applyBorder="1" applyAlignment="1">
      <alignment horizontal="center"/>
    </xf>
    <xf numFmtId="0" fontId="22" fillId="14" borderId="35" xfId="0" applyFont="1" applyFill="1" applyBorder="1" applyAlignment="1">
      <alignment horizontal="center"/>
    </xf>
    <xf numFmtId="0" fontId="22" fillId="14" borderId="59" xfId="0" applyFont="1" applyFill="1" applyBorder="1" applyAlignment="1">
      <alignment horizontal="left"/>
    </xf>
    <xf numFmtId="0" fontId="22" fillId="14" borderId="60" xfId="0" applyFont="1" applyFill="1" applyBorder="1" applyAlignment="1">
      <alignment horizontal="left"/>
    </xf>
    <xf numFmtId="0" fontId="22" fillId="0" borderId="59" xfId="0" applyFont="1" applyFill="1" applyBorder="1" applyAlignment="1">
      <alignment horizontal="center" shrinkToFit="1"/>
    </xf>
    <xf numFmtId="0" fontId="22" fillId="0" borderId="60" xfId="0" applyFont="1" applyFill="1" applyBorder="1" applyAlignment="1">
      <alignment horizontal="center" shrinkToFit="1"/>
    </xf>
    <xf numFmtId="0" fontId="0" fillId="0" borderId="50" xfId="0" applyBorder="1" applyAlignment="1">
      <alignment horizontal="center" vertical="center" shrinkToFit="1"/>
    </xf>
    <xf numFmtId="0" fontId="0" fillId="0" borderId="51" xfId="0" applyBorder="1" applyAlignment="1">
      <alignment horizontal="center" vertical="center" shrinkToFit="1"/>
    </xf>
    <xf numFmtId="178" fontId="3" fillId="0" borderId="42" xfId="3" applyNumberFormat="1" applyFont="1" applyBorder="1" applyAlignment="1">
      <alignment vertical="center"/>
    </xf>
    <xf numFmtId="178" fontId="3" fillId="0" borderId="12" xfId="3" applyNumberFormat="1" applyFont="1" applyBorder="1" applyAlignment="1">
      <alignment vertical="center"/>
    </xf>
    <xf numFmtId="178" fontId="3" fillId="0" borderId="52" xfId="3" applyNumberFormat="1" applyFont="1" applyBorder="1" applyAlignment="1">
      <alignment vertical="center"/>
    </xf>
    <xf numFmtId="178" fontId="3" fillId="0" borderId="6" xfId="3" applyNumberFormat="1" applyFont="1" applyBorder="1" applyAlignment="1">
      <alignment vertical="center"/>
    </xf>
    <xf numFmtId="178" fontId="3" fillId="0" borderId="8" xfId="3" applyNumberFormat="1" applyFont="1" applyBorder="1" applyAlignment="1">
      <alignment vertical="center"/>
    </xf>
    <xf numFmtId="178" fontId="3" fillId="0" borderId="49" xfId="3" applyNumberFormat="1" applyFont="1" applyBorder="1" applyAlignment="1">
      <alignment vertical="center"/>
    </xf>
    <xf numFmtId="0" fontId="0" fillId="0" borderId="53" xfId="0" applyFont="1" applyBorder="1" applyAlignment="1">
      <alignment horizontal="center" vertical="center"/>
    </xf>
    <xf numFmtId="0" fontId="0" fillId="0" borderId="54" xfId="0" applyFont="1" applyBorder="1" applyAlignment="1">
      <alignment horizontal="center" vertical="center"/>
    </xf>
    <xf numFmtId="0" fontId="0" fillId="0" borderId="0" xfId="0" applyFont="1" applyBorder="1" applyAlignment="1">
      <alignment horizontal="center" vertical="center"/>
    </xf>
    <xf numFmtId="0" fontId="0" fillId="0" borderId="75" xfId="0" applyFont="1" applyBorder="1" applyAlignment="1">
      <alignment horizontal="center" vertical="center"/>
    </xf>
    <xf numFmtId="0" fontId="0" fillId="0" borderId="43" xfId="0" applyBorder="1" applyAlignment="1">
      <alignment horizontal="left" vertical="center" indent="1"/>
    </xf>
    <xf numFmtId="0" fontId="0" fillId="0" borderId="8" xfId="0" applyBorder="1" applyAlignment="1">
      <alignment horizontal="left" vertical="center" indent="1"/>
    </xf>
    <xf numFmtId="0" fontId="0" fillId="0" borderId="7" xfId="0" applyBorder="1" applyAlignment="1">
      <alignment horizontal="left" vertical="center" indent="1"/>
    </xf>
    <xf numFmtId="178" fontId="3" fillId="0" borderId="7" xfId="3" applyNumberFormat="1" applyFont="1" applyBorder="1" applyAlignment="1">
      <alignment vertical="center"/>
    </xf>
    <xf numFmtId="0" fontId="0" fillId="0" borderId="5" xfId="0" applyFont="1" applyBorder="1" applyAlignment="1">
      <alignment horizontal="center" vertical="center" shrinkToFit="1"/>
    </xf>
    <xf numFmtId="0" fontId="0" fillId="0" borderId="1" xfId="0" applyFont="1" applyBorder="1" applyAlignment="1">
      <alignment horizontal="center" vertical="center" shrinkToFit="1"/>
    </xf>
    <xf numFmtId="0" fontId="0" fillId="0" borderId="1" xfId="0" applyFont="1" applyFill="1" applyBorder="1" applyAlignment="1">
      <alignment horizontal="center" vertical="center" shrinkToFit="1"/>
    </xf>
    <xf numFmtId="0" fontId="0" fillId="0" borderId="6" xfId="0" applyFont="1" applyBorder="1" applyAlignment="1">
      <alignment horizontal="center" vertical="center" shrinkToFit="1"/>
    </xf>
    <xf numFmtId="0" fontId="0" fillId="0" borderId="7" xfId="0" applyFont="1" applyBorder="1" applyAlignment="1">
      <alignment horizontal="center" vertical="center" shrinkToFi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42" xfId="0" applyBorder="1" applyAlignment="1">
      <alignment horizontal="left" vertical="center" indent="1"/>
    </xf>
    <xf numFmtId="178" fontId="3" fillId="0" borderId="2" xfId="3" applyNumberFormat="1" applyFont="1" applyBorder="1" applyAlignment="1">
      <alignment vertical="center"/>
    </xf>
    <xf numFmtId="178" fontId="3" fillId="0" borderId="5" xfId="3" applyNumberFormat="1" applyFont="1" applyFill="1" applyBorder="1" applyAlignment="1">
      <alignment vertical="center"/>
    </xf>
    <xf numFmtId="178" fontId="3" fillId="0" borderId="66" xfId="3" applyNumberFormat="1" applyFont="1" applyFill="1"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horizontal="center" vertical="center"/>
    </xf>
    <xf numFmtId="0" fontId="0" fillId="0" borderId="45"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178" fontId="3" fillId="0" borderId="20" xfId="3" applyNumberFormat="1" applyFont="1" applyBorder="1" applyAlignment="1">
      <alignment vertical="center"/>
    </xf>
    <xf numFmtId="178" fontId="3" fillId="0" borderId="41" xfId="3" applyNumberFormat="1" applyFont="1" applyBorder="1" applyAlignment="1">
      <alignment vertical="center"/>
    </xf>
    <xf numFmtId="178" fontId="3" fillId="14" borderId="20" xfId="3" applyNumberFormat="1" applyFont="1" applyFill="1" applyBorder="1" applyAlignment="1">
      <alignment vertical="center"/>
    </xf>
    <xf numFmtId="178" fontId="3" fillId="14" borderId="41" xfId="3" applyNumberFormat="1" applyFont="1" applyFill="1" applyBorder="1" applyAlignment="1">
      <alignment vertical="center"/>
    </xf>
    <xf numFmtId="58" fontId="0" fillId="0" borderId="18" xfId="0" applyNumberFormat="1" applyBorder="1" applyAlignment="1">
      <alignment horizontal="center" vertical="center"/>
    </xf>
    <xf numFmtId="0" fontId="0" fillId="0" borderId="18" xfId="0" applyBorder="1" applyAlignment="1">
      <alignment horizontal="center" vertical="center"/>
    </xf>
    <xf numFmtId="0" fontId="0" fillId="0" borderId="1" xfId="0" applyBorder="1" applyAlignment="1">
      <alignment vertical="center"/>
    </xf>
    <xf numFmtId="0" fontId="0" fillId="0" borderId="11" xfId="0" applyBorder="1" applyAlignment="1">
      <alignment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14" borderId="43" xfId="0" applyFill="1" applyBorder="1" applyAlignment="1">
      <alignment horizontal="left" vertical="center" indent="1"/>
    </xf>
    <xf numFmtId="0" fontId="0" fillId="14" borderId="8" xfId="0" applyFill="1" applyBorder="1" applyAlignment="1">
      <alignment horizontal="left" vertical="center" indent="1"/>
    </xf>
    <xf numFmtId="0" fontId="0" fillId="14" borderId="7" xfId="0" applyFill="1" applyBorder="1" applyAlignment="1">
      <alignment horizontal="left" vertical="center" indent="1"/>
    </xf>
    <xf numFmtId="176" fontId="3" fillId="0" borderId="20" xfId="0" applyNumberFormat="1" applyFont="1" applyBorder="1" applyAlignment="1">
      <alignment horizontal="center" vertical="center"/>
    </xf>
    <xf numFmtId="176" fontId="3" fillId="0" borderId="42" xfId="0" applyNumberFormat="1" applyFont="1" applyBorder="1" applyAlignment="1">
      <alignment horizontal="center" vertical="center"/>
    </xf>
    <xf numFmtId="176" fontId="0" fillId="0" borderId="2" xfId="0" applyNumberFormat="1" applyBorder="1" applyAlignment="1">
      <alignment horizontal="center" vertical="center"/>
    </xf>
    <xf numFmtId="176" fontId="0" fillId="0" borderId="42" xfId="0" applyNumberFormat="1" applyBorder="1" applyAlignment="1">
      <alignment horizontal="center" vertical="center"/>
    </xf>
    <xf numFmtId="0" fontId="0" fillId="14" borderId="19" xfId="0" applyFill="1" applyBorder="1" applyAlignment="1">
      <alignment horizontal="left" vertical="center" indent="1"/>
    </xf>
    <xf numFmtId="0" fontId="0" fillId="14" borderId="20" xfId="0" applyFill="1" applyBorder="1" applyAlignment="1">
      <alignment horizontal="left" vertical="center" indent="1"/>
    </xf>
    <xf numFmtId="0" fontId="0" fillId="0" borderId="19" xfId="0" applyFill="1" applyBorder="1" applyAlignment="1">
      <alignment horizontal="left" vertical="center" indent="1"/>
    </xf>
    <xf numFmtId="0" fontId="0" fillId="0" borderId="20" xfId="0" applyFill="1" applyBorder="1" applyAlignment="1">
      <alignment horizontal="left" vertical="center" indent="1"/>
    </xf>
    <xf numFmtId="178" fontId="3" fillId="0" borderId="20" xfId="3" applyNumberFormat="1" applyFont="1" applyFill="1" applyBorder="1" applyAlignment="1">
      <alignment vertical="center"/>
    </xf>
    <xf numFmtId="178" fontId="3" fillId="0" borderId="41" xfId="3" applyNumberFormat="1" applyFont="1" applyFill="1" applyBorder="1" applyAlignment="1">
      <alignment vertical="center"/>
    </xf>
    <xf numFmtId="38" fontId="0" fillId="0" borderId="25" xfId="3" applyFont="1" applyBorder="1" applyAlignment="1">
      <alignment horizontal="center"/>
    </xf>
    <xf numFmtId="38" fontId="0" fillId="0" borderId="0" xfId="3" applyFont="1" applyAlignment="1">
      <alignment horizontal="center"/>
    </xf>
    <xf numFmtId="0" fontId="0" fillId="0" borderId="48" xfId="0" applyBorder="1" applyAlignment="1">
      <alignment vertical="center"/>
    </xf>
    <xf numFmtId="178" fontId="3" fillId="0" borderId="66" xfId="3" applyNumberFormat="1" applyFont="1" applyBorder="1" applyAlignment="1">
      <alignment vertical="center"/>
    </xf>
    <xf numFmtId="178" fontId="3" fillId="0" borderId="56" xfId="3" applyNumberFormat="1" applyFont="1" applyBorder="1" applyAlignment="1">
      <alignment vertical="center"/>
    </xf>
    <xf numFmtId="178" fontId="3" fillId="0" borderId="67" xfId="3" applyNumberFormat="1" applyFont="1" applyBorder="1" applyAlignment="1">
      <alignment vertical="center"/>
    </xf>
    <xf numFmtId="0" fontId="0" fillId="0" borderId="57" xfId="0" applyBorder="1" applyAlignment="1">
      <alignment horizontal="center"/>
    </xf>
    <xf numFmtId="0" fontId="0" fillId="0" borderId="15" xfId="0" applyBorder="1" applyAlignment="1">
      <alignment horizontal="center"/>
    </xf>
    <xf numFmtId="0" fontId="7" fillId="0" borderId="23" xfId="0" applyFont="1" applyBorder="1" applyAlignment="1">
      <alignment horizontal="center" vertical="center" shrinkToFit="1"/>
    </xf>
    <xf numFmtId="0" fontId="7" fillId="0" borderId="28" xfId="0" applyFont="1" applyBorder="1" applyAlignment="1">
      <alignment horizontal="center" vertical="center" shrinkToFit="1"/>
    </xf>
    <xf numFmtId="185" fontId="1" fillId="0" borderId="28" xfId="0" applyNumberFormat="1" applyFont="1" applyBorder="1" applyAlignment="1">
      <alignment horizontal="right" vertical="center"/>
    </xf>
    <xf numFmtId="185" fontId="1" fillId="0" borderId="29" xfId="0" applyNumberFormat="1" applyFont="1" applyBorder="1" applyAlignment="1">
      <alignment horizontal="right" vertical="center"/>
    </xf>
    <xf numFmtId="0" fontId="0" fillId="0" borderId="0" xfId="0" applyBorder="1" applyAlignment="1">
      <alignment horizontal="center"/>
    </xf>
    <xf numFmtId="0" fontId="0" fillId="0" borderId="0" xfId="0" applyBorder="1" applyAlignment="1">
      <alignment horizontal="left"/>
    </xf>
    <xf numFmtId="0" fontId="0" fillId="0" borderId="26" xfId="0" applyBorder="1" applyAlignment="1">
      <alignment horizontal="left"/>
    </xf>
    <xf numFmtId="0" fontId="21" fillId="0" borderId="0" xfId="2" applyFont="1" applyFill="1" applyBorder="1" applyAlignment="1" applyProtection="1">
      <alignment horizontal="left" vertical="top" wrapText="1"/>
    </xf>
    <xf numFmtId="0" fontId="21" fillId="0" borderId="26" xfId="2" applyFont="1" applyFill="1" applyBorder="1" applyAlignment="1" applyProtection="1">
      <alignment horizontal="left" vertical="top" wrapText="1"/>
    </xf>
    <xf numFmtId="0" fontId="0" fillId="0" borderId="0" xfId="0" applyBorder="1" applyAlignment="1">
      <alignment horizontal="center" shrinkToFit="1"/>
    </xf>
    <xf numFmtId="177" fontId="0" fillId="0" borderId="0" xfId="4" applyFont="1" applyBorder="1" applyAlignment="1">
      <alignment horizontal="center"/>
    </xf>
    <xf numFmtId="0" fontId="0" fillId="0" borderId="0" xfId="0" applyBorder="1" applyAlignment="1">
      <alignment horizontal="center" vertical="center"/>
    </xf>
    <xf numFmtId="180" fontId="0" fillId="0" borderId="0" xfId="0" applyNumberFormat="1" applyBorder="1" applyAlignment="1">
      <alignment horizontal="center"/>
    </xf>
    <xf numFmtId="184" fontId="0" fillId="0" borderId="0" xfId="0" applyNumberFormat="1" applyBorder="1" applyAlignment="1">
      <alignment horizontal="center"/>
    </xf>
    <xf numFmtId="177" fontId="0" fillId="0" borderId="0" xfId="4" applyFont="1" applyBorder="1" applyAlignment="1">
      <alignment horizontal="center" vertical="center"/>
    </xf>
    <xf numFmtId="0" fontId="0" fillId="0" borderId="0" xfId="0" applyFill="1" applyBorder="1" applyAlignment="1">
      <alignment horizontal="left" vertical="top" wrapText="1"/>
    </xf>
    <xf numFmtId="0" fontId="0" fillId="0" borderId="26" xfId="0" applyFill="1" applyBorder="1" applyAlignment="1">
      <alignment horizontal="left" vertical="top" wrapText="1"/>
    </xf>
    <xf numFmtId="182" fontId="13" fillId="0" borderId="59" xfId="0" applyNumberFormat="1" applyFont="1" applyBorder="1" applyAlignment="1">
      <alignment vertical="center"/>
    </xf>
    <xf numFmtId="182" fontId="13" fillId="0" borderId="60" xfId="0" applyNumberFormat="1" applyFont="1" applyBorder="1" applyAlignment="1">
      <alignment vertical="center"/>
    </xf>
    <xf numFmtId="182" fontId="13" fillId="0" borderId="58" xfId="0" applyNumberFormat="1" applyFont="1" applyBorder="1" applyAlignment="1">
      <alignment vertical="center"/>
    </xf>
    <xf numFmtId="182" fontId="13" fillId="0" borderId="61" xfId="0" applyNumberFormat="1" applyFont="1" applyBorder="1" applyAlignment="1">
      <alignment vertical="center"/>
    </xf>
    <xf numFmtId="0" fontId="13" fillId="0" borderId="59" xfId="0" applyFont="1" applyBorder="1" applyAlignment="1">
      <alignment horizontal="center" vertical="center" shrinkToFit="1"/>
    </xf>
    <xf numFmtId="0" fontId="13" fillId="0" borderId="60" xfId="0" applyFont="1" applyBorder="1" applyAlignment="1">
      <alignment horizontal="center" vertical="center" shrinkToFit="1"/>
    </xf>
    <xf numFmtId="0" fontId="28" fillId="0" borderId="0" xfId="0" applyFont="1" applyAlignment="1">
      <alignment horizontal="center" vertical="center"/>
    </xf>
    <xf numFmtId="0" fontId="29" fillId="0" borderId="0" xfId="0" applyFont="1" applyAlignment="1">
      <alignment horizontal="center" vertical="center" wrapText="1"/>
    </xf>
    <xf numFmtId="0" fontId="29" fillId="0" borderId="76" xfId="0" applyFont="1" applyFill="1" applyBorder="1" applyAlignment="1">
      <alignment horizontal="left" vertical="center" shrinkToFit="1"/>
    </xf>
    <xf numFmtId="0" fontId="29" fillId="0" borderId="78" xfId="0" applyFont="1" applyFill="1" applyBorder="1" applyAlignment="1">
      <alignment horizontal="left" vertical="center" shrinkToFit="1"/>
    </xf>
    <xf numFmtId="38" fontId="29" fillId="0" borderId="76" xfId="0" applyNumberFormat="1" applyFont="1" applyBorder="1" applyAlignment="1">
      <alignment horizontal="center" vertical="center" shrinkToFit="1"/>
    </xf>
    <xf numFmtId="38" fontId="29" fillId="0" borderId="78" xfId="0" applyNumberFormat="1" applyFont="1" applyBorder="1" applyAlignment="1">
      <alignment horizontal="center" vertical="center" shrinkToFit="1"/>
    </xf>
    <xf numFmtId="0" fontId="29" fillId="0" borderId="76" xfId="0" applyFont="1" applyBorder="1" applyAlignment="1">
      <alignment horizontal="left" vertical="center" shrinkToFit="1"/>
    </xf>
    <xf numFmtId="0" fontId="29" fillId="0" borderId="78" xfId="0" applyFont="1" applyBorder="1" applyAlignment="1">
      <alignment horizontal="left" vertical="center" shrinkToFit="1"/>
    </xf>
    <xf numFmtId="0" fontId="29" fillId="0" borderId="0" xfId="0" applyFont="1" applyAlignment="1">
      <alignment horizontal="center" vertical="center" shrinkToFit="1"/>
    </xf>
    <xf numFmtId="0" fontId="29" fillId="0" borderId="78" xfId="0" applyFont="1" applyBorder="1" applyAlignment="1">
      <alignment horizontal="center" vertical="center" shrinkToFit="1"/>
    </xf>
    <xf numFmtId="0" fontId="29" fillId="0" borderId="80" xfId="0" applyFont="1" applyFill="1" applyBorder="1" applyAlignment="1">
      <alignment horizontal="left" vertical="center" shrinkToFit="1"/>
    </xf>
    <xf numFmtId="38" fontId="29" fillId="0" borderId="80" xfId="0" applyNumberFormat="1" applyFont="1" applyBorder="1" applyAlignment="1">
      <alignment horizontal="center" vertical="center" shrinkToFit="1"/>
    </xf>
    <xf numFmtId="0" fontId="29" fillId="0" borderId="80" xfId="0" applyFont="1" applyBorder="1" applyAlignment="1">
      <alignment horizontal="left" vertical="center" shrinkToFit="1"/>
    </xf>
    <xf numFmtId="0" fontId="26" fillId="0" borderId="0" xfId="0" applyFont="1" applyAlignment="1">
      <alignment horizontal="center" shrinkToFit="1"/>
    </xf>
    <xf numFmtId="0" fontId="30" fillId="17" borderId="0" xfId="0" applyFont="1" applyFill="1" applyAlignment="1">
      <alignment horizontal="center" vertical="center" shrinkToFit="1"/>
    </xf>
    <xf numFmtId="0" fontId="31" fillId="0" borderId="0" xfId="0" applyFont="1" applyAlignment="1">
      <alignment horizontal="center" vertical="center" shrinkToFit="1"/>
    </xf>
    <xf numFmtId="0" fontId="31" fillId="0" borderId="81" xfId="0" applyFont="1" applyBorder="1" applyAlignment="1">
      <alignment horizontal="center" vertical="center" shrinkToFit="1"/>
    </xf>
    <xf numFmtId="0" fontId="30" fillId="0" borderId="77" xfId="0" applyFont="1" applyBorder="1" applyAlignment="1">
      <alignment horizontal="center" vertical="center" shrinkToFit="1"/>
    </xf>
    <xf numFmtId="0" fontId="30" fillId="0" borderId="79" xfId="0" applyFont="1" applyBorder="1" applyAlignment="1">
      <alignment horizontal="center" vertical="center" shrinkToFit="1"/>
    </xf>
    <xf numFmtId="38" fontId="30" fillId="17" borderId="77" xfId="3" applyFont="1" applyFill="1" applyBorder="1" applyAlignment="1">
      <alignment horizontal="center" vertical="center" shrinkToFit="1"/>
    </xf>
    <xf numFmtId="38" fontId="30" fillId="17" borderId="79" xfId="3" applyFont="1" applyFill="1" applyBorder="1" applyAlignment="1">
      <alignment horizontal="center" vertical="center" shrinkToFit="1"/>
    </xf>
    <xf numFmtId="0" fontId="26" fillId="0" borderId="0" xfId="0" applyFont="1" applyAlignment="1">
      <alignment horizontal="center" wrapText="1"/>
    </xf>
    <xf numFmtId="0" fontId="30" fillId="0" borderId="82" xfId="0" applyFont="1" applyBorder="1" applyAlignment="1">
      <alignment horizontal="center" vertical="center" shrinkToFit="1"/>
    </xf>
    <xf numFmtId="38" fontId="30" fillId="17" borderId="82" xfId="3" applyFont="1" applyFill="1" applyBorder="1" applyAlignment="1">
      <alignment horizontal="center" vertical="center" shrinkToFit="1"/>
    </xf>
    <xf numFmtId="0" fontId="26" fillId="0" borderId="0" xfId="0" applyFont="1" applyAlignment="1">
      <alignment horizontal="left" vertical="center"/>
    </xf>
    <xf numFmtId="38" fontId="26" fillId="0" borderId="0" xfId="0" applyNumberFormat="1" applyFont="1" applyAlignment="1">
      <alignment horizontal="right" vertical="center" wrapText="1"/>
    </xf>
    <xf numFmtId="0" fontId="26" fillId="0" borderId="0" xfId="0" applyFont="1" applyAlignment="1">
      <alignment horizontal="right" vertical="center" wrapText="1"/>
    </xf>
    <xf numFmtId="0" fontId="26" fillId="0" borderId="0" xfId="0" applyFont="1" applyAlignment="1">
      <alignment horizontal="left" wrapText="1"/>
    </xf>
    <xf numFmtId="0" fontId="26" fillId="0" borderId="0" xfId="0" applyFont="1" applyAlignment="1">
      <alignment horizontal="left" vertical="center" wrapText="1"/>
    </xf>
    <xf numFmtId="0" fontId="24" fillId="0" borderId="20" xfId="0" applyFont="1" applyBorder="1" applyAlignment="1">
      <alignment horizontal="center" vertical="center"/>
    </xf>
    <xf numFmtId="0" fontId="24" fillId="0" borderId="68" xfId="0" applyFont="1" applyBorder="1" applyAlignment="1">
      <alignment horizontal="center" vertical="center"/>
    </xf>
    <xf numFmtId="0" fontId="24" fillId="0" borderId="71" xfId="0" applyFont="1" applyBorder="1" applyAlignment="1">
      <alignment horizontal="center" vertical="center"/>
    </xf>
    <xf numFmtId="38" fontId="24" fillId="0" borderId="42" xfId="0" applyNumberFormat="1" applyFont="1" applyBorder="1" applyAlignment="1">
      <alignment horizontal="left" vertical="center" wrapText="1"/>
    </xf>
    <xf numFmtId="0" fontId="24" fillId="0" borderId="12" xfId="0" applyFont="1" applyBorder="1" applyAlignment="1">
      <alignment horizontal="left" vertical="center" wrapText="1"/>
    </xf>
    <xf numFmtId="0" fontId="24" fillId="0" borderId="2" xfId="0" applyFont="1" applyBorder="1" applyAlignment="1">
      <alignment horizontal="left" vertical="center" wrapText="1"/>
    </xf>
    <xf numFmtId="0" fontId="24" fillId="0" borderId="69" xfId="0" applyFont="1" applyBorder="1" applyAlignment="1">
      <alignment horizontal="left" vertical="center" wrapText="1"/>
    </xf>
    <xf numFmtId="0" fontId="24" fillId="0" borderId="0" xfId="0" applyFont="1" applyBorder="1" applyAlignment="1">
      <alignment horizontal="left" vertical="center" wrapText="1"/>
    </xf>
    <xf numFmtId="0" fontId="24" fillId="0" borderId="70" xfId="0" applyFont="1" applyBorder="1" applyAlignment="1">
      <alignment horizontal="left" vertical="center" wrapText="1"/>
    </xf>
    <xf numFmtId="0" fontId="24" fillId="0" borderId="72" xfId="0" applyFont="1" applyBorder="1" applyAlignment="1">
      <alignment horizontal="left" vertical="center" wrapText="1"/>
    </xf>
    <xf numFmtId="0" fontId="24" fillId="0" borderId="73" xfId="0" applyFont="1" applyBorder="1" applyAlignment="1">
      <alignment horizontal="left" vertical="center" wrapText="1"/>
    </xf>
    <xf numFmtId="0" fontId="24" fillId="0" borderId="74" xfId="0" applyFont="1" applyBorder="1" applyAlignment="1">
      <alignment horizontal="left" vertical="center" wrapText="1"/>
    </xf>
    <xf numFmtId="0" fontId="26" fillId="0" borderId="0" xfId="0" applyFont="1" applyAlignment="1">
      <alignment horizontal="center" vertical="center" wrapText="1"/>
    </xf>
    <xf numFmtId="0" fontId="0" fillId="0" borderId="59" xfId="0" applyBorder="1" applyAlignment="1">
      <alignment horizontal="center"/>
    </xf>
    <xf numFmtId="0" fontId="0" fillId="0" borderId="65" xfId="0" applyBorder="1" applyAlignment="1">
      <alignment horizontal="center"/>
    </xf>
    <xf numFmtId="0" fontId="0" fillId="0" borderId="60" xfId="0" applyBorder="1" applyAlignment="1">
      <alignment horizontal="center"/>
    </xf>
  </cellXfs>
  <cellStyles count="5">
    <cellStyle name="パーセント" xfId="1" builtinId="5"/>
    <cellStyle name="ハイパーリンク" xfId="2" builtinId="8"/>
    <cellStyle name="桁区切り" xfId="3" builtinId="6"/>
    <cellStyle name="通貨" xfId="4" builtinId="7"/>
    <cellStyle name="標準" xfId="0" builtinId="0"/>
  </cellStyles>
  <dxfs count="6">
    <dxf>
      <font>
        <b/>
        <i/>
        <condense val="0"/>
        <extend val="0"/>
        <color indexed="10"/>
      </font>
    </dxf>
    <dxf>
      <font>
        <b/>
        <i/>
        <condense val="0"/>
        <extend val="0"/>
        <color indexed="10"/>
      </font>
    </dxf>
    <dxf>
      <fill>
        <patternFill>
          <bgColor rgb="FFFF0000"/>
        </patternFill>
      </fill>
    </dxf>
    <dxf>
      <fill>
        <patternFill>
          <bgColor indexed="10"/>
        </patternFill>
      </fill>
    </dxf>
    <dxf>
      <fill>
        <patternFill>
          <bgColor indexed="10"/>
        </patternFill>
      </fill>
    </dxf>
    <dxf>
      <font>
        <condense val="0"/>
        <extend val="0"/>
        <color auto="1"/>
      </font>
      <fill>
        <patternFill>
          <bgColor indexed="10"/>
        </patternFill>
      </fill>
    </dxf>
  </dxfs>
  <tableStyles count="0" defaultTableStyle="TableStyleMedium9" defaultPivotStyle="PivotStyleLight16"/>
  <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161925</xdr:colOff>
          <xdr:row>8</xdr:row>
          <xdr:rowOff>114300</xdr:rowOff>
        </xdr:from>
        <xdr:to>
          <xdr:col>9</xdr:col>
          <xdr:colOff>533400</xdr:colOff>
          <xdr:row>12</xdr:row>
          <xdr:rowOff>95250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000000"/>
                  </a:solidFill>
                  <a:latin typeface="ＭＳ Ｐゴシック"/>
                  <a:ea typeface="ＭＳ Ｐゴシック"/>
                </a:rPr>
                <a:t>参考明細から　取り込み</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1</xdr:row>
          <xdr:rowOff>190500</xdr:rowOff>
        </xdr:from>
        <xdr:to>
          <xdr:col>8</xdr:col>
          <xdr:colOff>333375</xdr:colOff>
          <xdr:row>4</xdr:row>
          <xdr:rowOff>142875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FF0000"/>
                  </a:solidFill>
                  <a:latin typeface="ＭＳ Ｐゴシック"/>
                  <a:ea typeface="ＭＳ Ｐゴシック"/>
                </a:rPr>
                <a:t>契約のお知らせ用</a:t>
              </a:r>
            </a:p>
          </xdr:txBody>
        </xdr:sp>
        <xdr:clientData fPrintsWithSheet="0"/>
      </xdr:twoCellAnchor>
    </mc:Choice>
    <mc:Fallback/>
  </mc:AlternateContent>
  <xdr:twoCellAnchor>
    <xdr:from>
      <xdr:col>10</xdr:col>
      <xdr:colOff>517071</xdr:colOff>
      <xdr:row>11</xdr:row>
      <xdr:rowOff>68036</xdr:rowOff>
    </xdr:from>
    <xdr:to>
      <xdr:col>14</xdr:col>
      <xdr:colOff>367393</xdr:colOff>
      <xdr:row>15</xdr:row>
      <xdr:rowOff>136071</xdr:rowOff>
    </xdr:to>
    <xdr:sp macro="" textlink="">
      <xdr:nvSpPr>
        <xdr:cNvPr id="3" name="左矢印吹き出し 2"/>
        <xdr:cNvSpPr/>
      </xdr:nvSpPr>
      <xdr:spPr>
        <a:xfrm>
          <a:off x="11457214" y="2190750"/>
          <a:ext cx="2571750" cy="666750"/>
        </a:xfrm>
        <a:prstGeom prst="leftArrowCallout">
          <a:avLst>
            <a:gd name="adj1" fmla="val 25000"/>
            <a:gd name="adj2" fmla="val 25000"/>
            <a:gd name="adj3" fmla="val 25000"/>
            <a:gd name="adj4" fmla="val 89845"/>
          </a:avLst>
        </a:prstGeom>
        <a:solidFill>
          <a:schemeClr val="accent6">
            <a:lumMod val="60000"/>
            <a:lumOff val="40000"/>
          </a:schemeClr>
        </a:solidFill>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科目が６以上ある場合は手作業で修正をお願い致します。</a:t>
          </a:r>
        </a:p>
      </xdr:txBody>
    </xdr:sp>
    <xdr:clientData/>
  </xdr:twoCellAnchor>
  <xdr:twoCellAnchor>
    <xdr:from>
      <xdr:col>10</xdr:col>
      <xdr:colOff>666749</xdr:colOff>
      <xdr:row>18</xdr:row>
      <xdr:rowOff>13607</xdr:rowOff>
    </xdr:from>
    <xdr:to>
      <xdr:col>14</xdr:col>
      <xdr:colOff>367392</xdr:colOff>
      <xdr:row>105</xdr:row>
      <xdr:rowOff>40821</xdr:rowOff>
    </xdr:to>
    <xdr:sp macro="" textlink="">
      <xdr:nvSpPr>
        <xdr:cNvPr id="4" name="正方形/長方形 3"/>
        <xdr:cNvSpPr/>
      </xdr:nvSpPr>
      <xdr:spPr>
        <a:xfrm>
          <a:off x="11606892" y="3184071"/>
          <a:ext cx="2422071" cy="25717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科目〇の場合のマクロは今回の変更に対応出来ていないため削除しております。</a:t>
          </a:r>
          <a:endParaRPr kumimoji="1" lang="en-US" altLang="ja-JP" sz="1100">
            <a:solidFill>
              <a:sysClr val="windowText" lastClr="000000"/>
            </a:solidFill>
          </a:endParaRPr>
        </a:p>
        <a:p>
          <a:pPr algn="l"/>
          <a:r>
            <a:rPr kumimoji="1" lang="ja-JP" altLang="en-US" sz="1100">
              <a:solidFill>
                <a:sysClr val="windowText" lastClr="000000"/>
              </a:solidFill>
            </a:rPr>
            <a:t>お手数ですが、手作業で不要な行の非表示等で対応願います。</a:t>
          </a:r>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行の削除はしないで下さい。合計欄がエラーになります。</a:t>
          </a:r>
          <a:endParaRPr kumimoji="1" lang="en-US" altLang="ja-JP" sz="1100">
            <a:solidFill>
              <a:sysClr val="windowText" lastClr="000000"/>
            </a:solidFill>
          </a:endParaRPr>
        </a:p>
        <a:p>
          <a:pPr algn="r"/>
          <a:r>
            <a:rPr kumimoji="1" lang="en-US" altLang="ja-JP" sz="1100">
              <a:solidFill>
                <a:sysClr val="windowText" lastClr="000000"/>
              </a:solidFill>
            </a:rPr>
            <a:t>2017.03.22</a:t>
          </a:r>
          <a:r>
            <a:rPr kumimoji="1" lang="ja-JP" altLang="en-US" sz="1100">
              <a:solidFill>
                <a:sysClr val="windowText" lastClr="000000"/>
              </a:solidFill>
            </a:rPr>
            <a:t>　佐藤</a:t>
          </a:r>
        </a:p>
      </xdr:txBody>
    </xdr:sp>
    <xdr:clientData/>
  </xdr:twoCellAnchor>
  <xdr:twoCellAnchor>
    <xdr:from>
      <xdr:col>10</xdr:col>
      <xdr:colOff>517071</xdr:colOff>
      <xdr:row>6</xdr:row>
      <xdr:rowOff>-1</xdr:rowOff>
    </xdr:from>
    <xdr:to>
      <xdr:col>14</xdr:col>
      <xdr:colOff>367393</xdr:colOff>
      <xdr:row>9</xdr:row>
      <xdr:rowOff>136071</xdr:rowOff>
    </xdr:to>
    <xdr:sp macro="" textlink="">
      <xdr:nvSpPr>
        <xdr:cNvPr id="10" name="左矢印吹き出し 9"/>
        <xdr:cNvSpPr/>
      </xdr:nvSpPr>
      <xdr:spPr>
        <a:xfrm>
          <a:off x="11457214" y="1292678"/>
          <a:ext cx="2571750" cy="666750"/>
        </a:xfrm>
        <a:prstGeom prst="leftArrowCallout">
          <a:avLst>
            <a:gd name="adj1" fmla="val 25000"/>
            <a:gd name="adj2" fmla="val 25000"/>
            <a:gd name="adj3" fmla="val 25000"/>
            <a:gd name="adj4" fmla="val 89845"/>
          </a:avLst>
        </a:prstGeom>
        <a:solidFill>
          <a:schemeClr val="accent6">
            <a:lumMod val="60000"/>
            <a:lumOff val="40000"/>
          </a:schemeClr>
        </a:solidFill>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科目単一の場合は８行～１３行を非表示に。</a:t>
          </a:r>
        </a:p>
      </xdr:txBody>
    </xdr:sp>
    <xdr:clientData/>
  </xdr:twoCellAnchor>
  <xdr:twoCellAnchor>
    <xdr:from>
      <xdr:col>8</xdr:col>
      <xdr:colOff>638736</xdr:colOff>
      <xdr:row>1</xdr:row>
      <xdr:rowOff>246530</xdr:rowOff>
    </xdr:from>
    <xdr:to>
      <xdr:col>9</xdr:col>
      <xdr:colOff>862853</xdr:colOff>
      <xdr:row>4</xdr:row>
      <xdr:rowOff>190500</xdr:rowOff>
    </xdr:to>
    <xdr:sp macro="[0]!Macro12" textlink="">
      <xdr:nvSpPr>
        <xdr:cNvPr id="2" name="正方形/長方形 1"/>
        <xdr:cNvSpPr/>
      </xdr:nvSpPr>
      <xdr:spPr>
        <a:xfrm>
          <a:off x="8785412" y="403412"/>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業務委託用に変更</a:t>
          </a:r>
        </a:p>
      </xdr:txBody>
    </xdr:sp>
    <xdr:clientData/>
  </xdr:twoCellAnchor>
  <xdr:twoCellAnchor>
    <xdr:from>
      <xdr:col>12</xdr:col>
      <xdr:colOff>112059</xdr:colOff>
      <xdr:row>1</xdr:row>
      <xdr:rowOff>235324</xdr:rowOff>
    </xdr:from>
    <xdr:to>
      <xdr:col>14</xdr:col>
      <xdr:colOff>336176</xdr:colOff>
      <xdr:row>4</xdr:row>
      <xdr:rowOff>179294</xdr:rowOff>
    </xdr:to>
    <xdr:sp macro="[0]!Macro14" textlink="">
      <xdr:nvSpPr>
        <xdr:cNvPr id="8" name="正方形/長方形 7"/>
        <xdr:cNvSpPr/>
      </xdr:nvSpPr>
      <xdr:spPr>
        <a:xfrm>
          <a:off x="12382500" y="392206"/>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工事用に戻す</a:t>
          </a:r>
        </a:p>
      </xdr:txBody>
    </xdr:sp>
    <xdr:clientData/>
  </xdr:twoCellAnchor>
  <xdr:twoCellAnchor>
    <xdr:from>
      <xdr:col>16</xdr:col>
      <xdr:colOff>0</xdr:colOff>
      <xdr:row>4</xdr:row>
      <xdr:rowOff>0</xdr:rowOff>
    </xdr:from>
    <xdr:to>
      <xdr:col>17</xdr:col>
      <xdr:colOff>638735</xdr:colOff>
      <xdr:row>6</xdr:row>
      <xdr:rowOff>179294</xdr:rowOff>
    </xdr:to>
    <xdr:sp macro="[0]!Macro13" textlink="">
      <xdr:nvSpPr>
        <xdr:cNvPr id="9" name="正方形/長方形 8"/>
        <xdr:cNvSpPr/>
      </xdr:nvSpPr>
      <xdr:spPr>
        <a:xfrm>
          <a:off x="10880912" y="840441"/>
          <a:ext cx="1322294"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設計業務委託用に変更</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156884</xdr:colOff>
      <xdr:row>16</xdr:row>
      <xdr:rowOff>0</xdr:rowOff>
    </xdr:from>
    <xdr:to>
      <xdr:col>11</xdr:col>
      <xdr:colOff>549090</xdr:colOff>
      <xdr:row>22</xdr:row>
      <xdr:rowOff>246531</xdr:rowOff>
    </xdr:to>
    <xdr:sp macro="" textlink="">
      <xdr:nvSpPr>
        <xdr:cNvPr id="3" name="正方形/長方形 2"/>
        <xdr:cNvSpPr/>
      </xdr:nvSpPr>
      <xdr:spPr>
        <a:xfrm>
          <a:off x="5636560" y="4639235"/>
          <a:ext cx="4997824" cy="187138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l"/>
          <a:r>
            <a:rPr kumimoji="1" lang="ja-JP" altLang="en-US" sz="1100"/>
            <a:t>①入力表シートの必要事項を入力する。</a:t>
          </a:r>
          <a:endParaRPr kumimoji="1" lang="en-US" altLang="ja-JP" sz="1100"/>
        </a:p>
        <a:p>
          <a:pPr algn="l"/>
          <a:r>
            <a:rPr kumimoji="1" lang="ja-JP" altLang="en-US" sz="1100"/>
            <a:t>②本シートのＤ４セル～Ｅ１５セルに設計書記載のそれぞれの％を記入する</a:t>
          </a:r>
          <a:endParaRPr kumimoji="1" lang="en-US" altLang="ja-JP" sz="1100"/>
        </a:p>
        <a:p>
          <a:pPr algn="l"/>
          <a:r>
            <a:rPr kumimoji="1" lang="ja-JP" altLang="en-US" sz="1100"/>
            <a:t>③その他の箇所については計算式を入れているので自動計算される</a:t>
          </a:r>
          <a:endParaRPr kumimoji="1" lang="en-US" altLang="ja-JP" sz="1100"/>
        </a:p>
        <a:p>
          <a:pPr algn="l"/>
          <a:r>
            <a:rPr kumimoji="1" lang="ja-JP" altLang="en-US" sz="1100"/>
            <a:t>④「債務負担行為に基づく契約における特約条項」のシートに金額がリンクしているので、それぞれ間違いがないか検算を行う。</a:t>
          </a:r>
          <a:endParaRPr kumimoji="1" lang="en-US" altLang="ja-JP" sz="1100"/>
        </a:p>
        <a:p>
          <a:pPr algn="l"/>
          <a:r>
            <a:rPr kumimoji="1" lang="ja-JP" altLang="en-US" sz="1100"/>
            <a:t>⑤契約のお知らせを送付し、本シートは関係者（設計担当係長・設計担当係員・工事担当係長・工事担当係員・本局経理担当にメールにて送付する。</a:t>
          </a:r>
          <a:endParaRPr kumimoji="1" lang="en-US" altLang="ja-JP" sz="1100"/>
        </a:p>
        <a:p>
          <a:pPr algn="l"/>
          <a:r>
            <a:rPr kumimoji="1" lang="en-US" altLang="ja-JP" sz="1100"/>
            <a:t>※</a:t>
          </a:r>
          <a:r>
            <a:rPr kumimoji="1" lang="ja-JP" altLang="en-US" sz="1100"/>
            <a:t>１：科目が７つ以上ある場合や３カ年以上に跨る場合は手動で追加願います</a:t>
          </a:r>
          <a:endParaRPr kumimoji="1" lang="en-US" altLang="ja-JP" sz="1100"/>
        </a:p>
        <a:p>
          <a:pPr algn="l"/>
          <a:r>
            <a:rPr kumimoji="1" lang="en-US" altLang="ja-JP" sz="1100"/>
            <a:t>※</a:t>
          </a:r>
          <a:r>
            <a:rPr kumimoji="1" lang="ja-JP" altLang="en-US" sz="1100"/>
            <a:t>２：必ず各科目、合計共に電卓により検算を行って下さい。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2.keiyaku.city.osaka.lg.jp/OsakaCity-PPI/PPI218index.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43"/>
  <sheetViews>
    <sheetView tabSelected="1" view="pageBreakPreview" zoomScale="85" zoomScaleNormal="100" zoomScaleSheetLayoutView="85" workbookViewId="0">
      <selection activeCell="B9" sqref="B9:C9"/>
    </sheetView>
  </sheetViews>
  <sheetFormatPr defaultRowHeight="13.5" x14ac:dyDescent="0.15"/>
  <cols>
    <col min="1" max="1" width="27.625" bestFit="1" customWidth="1"/>
    <col min="2" max="2" width="10" bestFit="1" customWidth="1"/>
    <col min="3" max="3" width="19.5" customWidth="1"/>
    <col min="4" max="4" width="9.625" customWidth="1"/>
    <col min="5" max="5" width="19.5" customWidth="1"/>
    <col min="6" max="6" width="6.5" customWidth="1"/>
    <col min="8" max="8" width="9.75" customWidth="1"/>
    <col min="9" max="9" width="12.125" customWidth="1"/>
    <col min="10" max="10" width="13.25" customWidth="1"/>
    <col min="11" max="11" width="13.25" bestFit="1" customWidth="1"/>
    <col min="12" max="12" width="13" style="42" bestFit="1" customWidth="1"/>
    <col min="13" max="19" width="13.25" customWidth="1"/>
    <col min="21" max="21" width="11.25" bestFit="1" customWidth="1"/>
    <col min="23" max="23" width="5.25" bestFit="1" customWidth="1"/>
    <col min="26" max="26" width="5.25" bestFit="1" customWidth="1"/>
  </cols>
  <sheetData>
    <row r="1" spans="1:28" x14ac:dyDescent="0.15">
      <c r="A1" t="s">
        <v>29</v>
      </c>
      <c r="B1" s="15"/>
      <c r="C1" s="16" t="s">
        <v>28</v>
      </c>
      <c r="D1" s="266" t="s">
        <v>35</v>
      </c>
      <c r="E1" s="267"/>
      <c r="F1" s="15"/>
      <c r="G1" s="16" t="s">
        <v>28</v>
      </c>
      <c r="J1" t="s">
        <v>104</v>
      </c>
      <c r="K1" s="111">
        <f>予定価格!B427</f>
        <v>22511000</v>
      </c>
      <c r="L1" s="166" t="s">
        <v>169</v>
      </c>
      <c r="M1" s="167">
        <f>M3/1.08</f>
        <v>16519999.999999998</v>
      </c>
      <c r="N1" s="250"/>
      <c r="O1" s="250"/>
      <c r="P1" s="250"/>
      <c r="Q1" s="250"/>
      <c r="R1" s="250"/>
    </row>
    <row r="2" spans="1:28" x14ac:dyDescent="0.15">
      <c r="B2" s="145"/>
      <c r="C2" s="146" t="s">
        <v>157</v>
      </c>
      <c r="D2" s="266" t="s">
        <v>37</v>
      </c>
      <c r="E2" s="267"/>
      <c r="F2" s="17"/>
      <c r="G2" s="16" t="s">
        <v>28</v>
      </c>
      <c r="J2" t="s">
        <v>105</v>
      </c>
      <c r="K2" s="111">
        <f>予定価格!B429</f>
        <v>1800880</v>
      </c>
      <c r="L2" s="166" t="s">
        <v>168</v>
      </c>
      <c r="M2" s="111">
        <f>M1*0.08</f>
        <v>1321599.9999999998</v>
      </c>
    </row>
    <row r="3" spans="1:28" x14ac:dyDescent="0.15">
      <c r="A3" s="118" t="s">
        <v>22</v>
      </c>
      <c r="B3" s="272" t="s">
        <v>160</v>
      </c>
      <c r="C3" s="272"/>
      <c r="E3" s="119" t="s">
        <v>109</v>
      </c>
      <c r="F3" s="233" t="s">
        <v>277</v>
      </c>
      <c r="G3" s="120" t="s">
        <v>110</v>
      </c>
      <c r="H3" s="237" t="s">
        <v>278</v>
      </c>
      <c r="I3" s="121"/>
      <c r="J3" s="42" t="s">
        <v>55</v>
      </c>
      <c r="K3" s="111">
        <f>+予定価格!B431</f>
        <v>24311880</v>
      </c>
      <c r="L3" s="166" t="s">
        <v>167</v>
      </c>
      <c r="M3" s="111">
        <f>B12</f>
        <v>17841600</v>
      </c>
    </row>
    <row r="4" spans="1:28" x14ac:dyDescent="0.15">
      <c r="A4" s="118" t="s">
        <v>21</v>
      </c>
      <c r="B4" s="264">
        <v>43636</v>
      </c>
      <c r="C4" s="264"/>
      <c r="E4" s="119" t="s">
        <v>111</v>
      </c>
      <c r="F4" s="234" t="str">
        <f>+F3</f>
        <v>水田広起</v>
      </c>
      <c r="G4" s="120" t="s">
        <v>67</v>
      </c>
      <c r="H4" s="238" t="str">
        <f>+H3</f>
        <v>清家光</v>
      </c>
      <c r="I4" s="168" t="s">
        <v>170</v>
      </c>
      <c r="J4" s="209" t="s">
        <v>220</v>
      </c>
      <c r="K4" s="38"/>
    </row>
    <row r="5" spans="1:28" ht="13.5" customHeight="1" thickBot="1" x14ac:dyDescent="0.2">
      <c r="A5" s="118" t="s">
        <v>17</v>
      </c>
      <c r="B5" s="273">
        <v>1011</v>
      </c>
      <c r="C5" s="273"/>
      <c r="E5" s="119" t="s">
        <v>106</v>
      </c>
      <c r="F5" s="234" t="s">
        <v>286</v>
      </c>
      <c r="G5" s="120" t="s">
        <v>77</v>
      </c>
      <c r="H5" s="238" t="s">
        <v>160</v>
      </c>
      <c r="I5" s="122" t="s">
        <v>113</v>
      </c>
      <c r="J5" s="243" t="s">
        <v>279</v>
      </c>
    </row>
    <row r="6" spans="1:28" ht="13.5" customHeight="1" thickBot="1" x14ac:dyDescent="0.2">
      <c r="A6" s="118" t="s">
        <v>23</v>
      </c>
      <c r="B6" s="274" t="s">
        <v>276</v>
      </c>
      <c r="C6" s="275"/>
      <c r="E6" s="123" t="s">
        <v>245</v>
      </c>
      <c r="F6" s="233" t="s">
        <v>280</v>
      </c>
      <c r="G6" s="124" t="s">
        <v>242</v>
      </c>
      <c r="H6" s="239" t="s">
        <v>281</v>
      </c>
      <c r="I6" s="122" t="s">
        <v>112</v>
      </c>
      <c r="J6" s="209" t="str">
        <f>+F4</f>
        <v>水田広起</v>
      </c>
      <c r="M6" s="251" t="s">
        <v>103</v>
      </c>
      <c r="N6" s="252"/>
      <c r="O6" s="253"/>
      <c r="P6" s="254"/>
      <c r="Q6" s="255"/>
      <c r="R6" s="255"/>
      <c r="S6" s="256"/>
    </row>
    <row r="7" spans="1:28" x14ac:dyDescent="0.15">
      <c r="A7" s="118" t="s">
        <v>0</v>
      </c>
      <c r="B7" s="272">
        <v>19000217</v>
      </c>
      <c r="C7" s="272"/>
      <c r="E7" s="123" t="s">
        <v>114</v>
      </c>
      <c r="F7" s="235" t="s">
        <v>282</v>
      </c>
      <c r="G7" s="231" t="s">
        <v>235</v>
      </c>
      <c r="H7" s="245">
        <v>43594</v>
      </c>
      <c r="I7" s="168" t="s">
        <v>238</v>
      </c>
      <c r="J7" s="241" t="s">
        <v>285</v>
      </c>
      <c r="K7" s="246" t="s">
        <v>244</v>
      </c>
      <c r="L7" s="246"/>
      <c r="M7" s="246"/>
    </row>
    <row r="8" spans="1:28" x14ac:dyDescent="0.15">
      <c r="A8" s="118" t="s">
        <v>38</v>
      </c>
      <c r="B8" s="268">
        <v>43636</v>
      </c>
      <c r="C8" s="269"/>
      <c r="D8" s="10"/>
      <c r="E8" s="119" t="s">
        <v>76</v>
      </c>
      <c r="F8" s="235" t="s">
        <v>283</v>
      </c>
      <c r="G8" s="231" t="s">
        <v>236</v>
      </c>
      <c r="H8" s="240">
        <v>43594</v>
      </c>
      <c r="I8" s="232" t="s">
        <v>237</v>
      </c>
      <c r="J8" s="249" t="s">
        <v>283</v>
      </c>
      <c r="K8" t="s">
        <v>102</v>
      </c>
      <c r="M8" s="257"/>
      <c r="N8" s="257"/>
      <c r="O8" s="257"/>
      <c r="P8" s="57"/>
      <c r="Q8" s="183"/>
      <c r="R8" s="183"/>
      <c r="S8" s="183"/>
    </row>
    <row r="9" spans="1:28" x14ac:dyDescent="0.15">
      <c r="A9" s="118" t="s">
        <v>39</v>
      </c>
      <c r="B9" s="270">
        <v>43798</v>
      </c>
      <c r="C9" s="271"/>
      <c r="D9" s="77" t="str">
        <f>IF(B9="","",IF(B9&gt;B8,"","←チェック！"))</f>
        <v/>
      </c>
      <c r="E9" s="126" t="s">
        <v>99</v>
      </c>
      <c r="F9" s="236" t="s">
        <v>280</v>
      </c>
      <c r="G9" s="127"/>
      <c r="H9" s="125"/>
      <c r="I9" s="128"/>
      <c r="J9" s="42"/>
      <c r="M9" s="257"/>
      <c r="N9" s="257"/>
      <c r="O9" s="257"/>
      <c r="P9" s="184"/>
      <c r="Q9" s="185"/>
      <c r="R9" s="185"/>
      <c r="S9" s="185"/>
    </row>
    <row r="10" spans="1:28" x14ac:dyDescent="0.15">
      <c r="A10" s="118" t="s">
        <v>7</v>
      </c>
      <c r="B10" s="272" t="s">
        <v>294</v>
      </c>
      <c r="C10" s="272"/>
      <c r="E10" s="119" t="s">
        <v>90</v>
      </c>
      <c r="F10" s="259" t="s">
        <v>284</v>
      </c>
      <c r="G10" s="260"/>
      <c r="H10" s="261"/>
      <c r="I10" s="129"/>
      <c r="M10" s="257"/>
      <c r="N10" s="257"/>
      <c r="O10" s="257"/>
      <c r="P10" s="184"/>
      <c r="Q10" s="185"/>
      <c r="R10" s="185"/>
      <c r="S10" s="185"/>
    </row>
    <row r="11" spans="1:28" x14ac:dyDescent="0.15">
      <c r="A11" s="118" t="s">
        <v>108</v>
      </c>
      <c r="B11" s="272" t="s">
        <v>295</v>
      </c>
      <c r="C11" s="272"/>
      <c r="E11" s="244" t="s">
        <v>243</v>
      </c>
      <c r="F11" s="276" t="s">
        <v>287</v>
      </c>
      <c r="G11" s="277"/>
      <c r="H11" s="135"/>
      <c r="I11" s="129"/>
    </row>
    <row r="12" spans="1:28" x14ac:dyDescent="0.15">
      <c r="A12" s="118" t="s">
        <v>24</v>
      </c>
      <c r="B12" s="265">
        <v>17841600</v>
      </c>
      <c r="C12" s="265"/>
      <c r="D12" s="210"/>
      <c r="E12" s="210"/>
      <c r="F12" s="263"/>
      <c r="G12" s="263"/>
    </row>
    <row r="13" spans="1:28" x14ac:dyDescent="0.15">
      <c r="A13" s="42"/>
      <c r="B13" s="263"/>
      <c r="C13" s="263"/>
      <c r="K13" s="16" t="s">
        <v>53</v>
      </c>
    </row>
    <row r="14" spans="1:28" x14ac:dyDescent="0.15">
      <c r="A14" s="42"/>
      <c r="B14" s="42"/>
      <c r="C14" s="42"/>
      <c r="E14" s="38" t="s">
        <v>42</v>
      </c>
      <c r="F14" s="44">
        <v>4</v>
      </c>
      <c r="G14" s="16" t="s">
        <v>48</v>
      </c>
      <c r="M14" s="49" t="s">
        <v>46</v>
      </c>
      <c r="U14" s="49" t="s">
        <v>46</v>
      </c>
    </row>
    <row r="15" spans="1:28" x14ac:dyDescent="0.15">
      <c r="A15" t="s">
        <v>54</v>
      </c>
      <c r="B15" s="52">
        <f>査定表!B437</f>
        <v>0.73380000000000001</v>
      </c>
      <c r="G15" s="16" t="s">
        <v>49</v>
      </c>
      <c r="M15" s="49">
        <f>B12/1.08-M443/1.08</f>
        <v>10000</v>
      </c>
      <c r="U15" s="49" t="e">
        <f>F12/1.08-U443/1.08</f>
        <v>#DIV/0!</v>
      </c>
    </row>
    <row r="16" spans="1:28" x14ac:dyDescent="0.15">
      <c r="A16" s="16" t="s">
        <v>27</v>
      </c>
      <c r="D16" s="14" t="s">
        <v>34</v>
      </c>
      <c r="E16" s="27" t="s">
        <v>36</v>
      </c>
      <c r="F16" s="250" t="s">
        <v>32</v>
      </c>
      <c r="G16" s="250"/>
      <c r="H16" s="14" t="s">
        <v>34</v>
      </c>
      <c r="I16" s="27" t="s">
        <v>36</v>
      </c>
      <c r="J16" s="10" t="s">
        <v>33</v>
      </c>
      <c r="K16" s="10" t="s">
        <v>51</v>
      </c>
      <c r="L16" s="51"/>
      <c r="M16" t="s">
        <v>47</v>
      </c>
      <c r="N16" t="s">
        <v>43</v>
      </c>
      <c r="O16" t="s">
        <v>41</v>
      </c>
      <c r="P16" t="s">
        <v>44</v>
      </c>
      <c r="Q16" t="s">
        <v>43</v>
      </c>
      <c r="R16" t="s">
        <v>41</v>
      </c>
      <c r="S16" t="s">
        <v>45</v>
      </c>
      <c r="T16" t="s">
        <v>20</v>
      </c>
      <c r="U16" t="s">
        <v>47</v>
      </c>
      <c r="V16" t="s">
        <v>43</v>
      </c>
      <c r="W16" t="s">
        <v>41</v>
      </c>
      <c r="X16" t="s">
        <v>44</v>
      </c>
      <c r="Y16" t="s">
        <v>43</v>
      </c>
      <c r="Z16" t="s">
        <v>41</v>
      </c>
      <c r="AA16" t="s">
        <v>45</v>
      </c>
      <c r="AB16" t="s">
        <v>20</v>
      </c>
    </row>
    <row r="17" spans="1:28" x14ac:dyDescent="0.15">
      <c r="A17">
        <f>+予定価格!A5</f>
        <v>0</v>
      </c>
      <c r="B17" s="258">
        <f>ROUND(予定価格!B5*査定表!$B$437,-D17)+E17</f>
        <v>0</v>
      </c>
      <c r="C17" s="258"/>
      <c r="D17" s="45">
        <f>+$F$14</f>
        <v>4</v>
      </c>
      <c r="E17" s="46">
        <f t="shared" ref="E17:E80" si="0">IF(F$12=0,+P17+S17,0)</f>
        <v>0</v>
      </c>
      <c r="F17" s="258">
        <f>IF($F$12=0,0,IF(予定価格!$G$427=0,ROUND(予定価格!H5*(入力表!$F$12/予定価格!$H$431),-H17),ROUND((予定価格!G5*(入力表!$F$12-予定価格!$H$431)/予定価格!$G$431)+予定価格!H5,-H17)))+I17</f>
        <v>0</v>
      </c>
      <c r="G17" s="258"/>
      <c r="H17" s="47">
        <f>+$F$14</f>
        <v>4</v>
      </c>
      <c r="I17" s="48">
        <f t="shared" ref="I17:I80" si="1">IF(F$12=0,0,+X17+AA17)</f>
        <v>0</v>
      </c>
      <c r="J17" s="11">
        <f t="shared" ref="J17:J80" si="2">+F17+K17</f>
        <v>0</v>
      </c>
      <c r="K17" s="19">
        <f t="shared" ref="K17:K80" si="3">+B17</f>
        <v>0</v>
      </c>
      <c r="L17" s="50"/>
      <c r="M17" s="13">
        <f>ROUND(予定価格!B5*査定表!$B$437,-$F$14)</f>
        <v>0</v>
      </c>
      <c r="N17">
        <f>IF(M17=0,1,M17/予定価格!B5)</f>
        <v>1</v>
      </c>
      <c r="O17">
        <f>RANK(N17,N$17:N$472,1)</f>
        <v>21</v>
      </c>
      <c r="P17">
        <f>IF(M$15&gt;0,IF(O17*10^$F$14&lt;=M$15,10^$F$14,0),0)</f>
        <v>0</v>
      </c>
      <c r="Q17">
        <f>IF(M17=0,0,M17/予定価格!B5)</f>
        <v>0</v>
      </c>
      <c r="R17">
        <f>RANK(Q17,Q$17:Q$472,0)</f>
        <v>21</v>
      </c>
      <c r="S17">
        <f t="shared" ref="S17" si="4">IF(M$15&lt;0,IF(R17*10^$F$14&lt;=-M$15,-(10^$F$14),0),0)</f>
        <v>0</v>
      </c>
      <c r="T17" s="13">
        <f t="shared" ref="T17" si="5">+M17+P17+S17</f>
        <v>0</v>
      </c>
      <c r="U17" s="13" t="e">
        <f>IF(予定価格!$G$427=0,ROUND(予定価格!H5*(入力表!$F$12/予定価格!$H$431),-$F$14),ROUND((予定価格!G5*(入力表!$F$12-予定価格!$H$431)/予定価格!$G$431)+予定価格!H5,-$F$14))</f>
        <v>#DIV/0!</v>
      </c>
      <c r="V17" t="e">
        <f>IF(U17=0,1,IF(予定価格!O5=0,1,(U17-予定価格!P5)/予定価格!O5))</f>
        <v>#DIV/0!</v>
      </c>
      <c r="W17" t="e">
        <f>RANK(V17,V$17:V$472,1)</f>
        <v>#DIV/0!</v>
      </c>
      <c r="X17" t="e">
        <f t="shared" ref="X17" si="6">IF(U$15&gt;0,IF(W17*10^$F$14&lt;=U$15,10^$F$14,0),0)</f>
        <v>#DIV/0!</v>
      </c>
      <c r="Y17" t="e">
        <f>IF(U17=0,0,IF(予定価格!G5=0,0,(U17-予定価格!H5)/予定価格!G5))</f>
        <v>#DIV/0!</v>
      </c>
      <c r="Z17" t="e">
        <f>RANK(Y17,Y$17:Y$472,0)</f>
        <v>#DIV/0!</v>
      </c>
      <c r="AA17" t="e">
        <f t="shared" ref="AA17" si="7">IF(U$15&lt;0,IF(Z17*10^$F$14&lt;=-U$15,-(10^$F$14),0),0)</f>
        <v>#DIV/0!</v>
      </c>
      <c r="AB17" s="13" t="e">
        <f t="shared" ref="AB17" si="8">+U17+X17+AA17</f>
        <v>#DIV/0!</v>
      </c>
    </row>
    <row r="18" spans="1:28" hidden="1" x14ac:dyDescent="0.15">
      <c r="A18">
        <f>+予定価格!A6</f>
        <v>0</v>
      </c>
      <c r="B18" s="258">
        <f>ROUND(予定価格!B6*査定表!$B$437,-D18)+E18</f>
        <v>0</v>
      </c>
      <c r="C18" s="258"/>
      <c r="D18" s="45">
        <f t="shared" ref="D18:D81" si="9">+$F$14</f>
        <v>4</v>
      </c>
      <c r="E18" s="46">
        <f t="shared" si="0"/>
        <v>0</v>
      </c>
      <c r="F18" s="258">
        <f>IF($F$12=0,0,IF(予定価格!$G$427=0,ROUND(予定価格!H6*(入力表!$F$12/予定価格!$H$431),-H18),ROUND((予定価格!G6*(入力表!$F$12-予定価格!$H$431)/予定価格!$G$431)+予定価格!H6,-H18)))+I18</f>
        <v>0</v>
      </c>
      <c r="G18" s="258"/>
      <c r="H18" s="47">
        <f t="shared" ref="H18:H81" si="10">+$F$14</f>
        <v>4</v>
      </c>
      <c r="I18" s="48">
        <f t="shared" si="1"/>
        <v>0</v>
      </c>
      <c r="J18" s="116">
        <f t="shared" si="2"/>
        <v>0</v>
      </c>
      <c r="K18" s="19">
        <f t="shared" si="3"/>
        <v>0</v>
      </c>
      <c r="L18" s="50"/>
      <c r="M18" s="13">
        <f>ROUND(予定価格!B6*査定表!$B$437,-$F$14)</f>
        <v>0</v>
      </c>
      <c r="N18">
        <f>IF(M18=0,1,M18/予定価格!B6)</f>
        <v>1</v>
      </c>
      <c r="O18">
        <f t="shared" ref="O18:O81" si="11">RANK(N18,N$17:N$472,1)</f>
        <v>21</v>
      </c>
      <c r="P18">
        <f t="shared" ref="P18:P81" si="12">IF(M$15&gt;0,IF(O18*10^$F$14&lt;=M$15,10^$F$14,0),0)</f>
        <v>0</v>
      </c>
      <c r="Q18">
        <f>IF(M18=0,0,M18/予定価格!B6)</f>
        <v>0</v>
      </c>
      <c r="R18">
        <f t="shared" ref="R18:R81" si="13">RANK(Q18,Q$17:Q$472,0)</f>
        <v>21</v>
      </c>
      <c r="S18">
        <f t="shared" ref="S18:S81" si="14">IF(M$15&lt;0,IF(R18*10^$F$14&lt;=-M$15,-(10^$F$14),0),0)</f>
        <v>0</v>
      </c>
      <c r="T18" s="13">
        <f t="shared" ref="T18:T81" si="15">+M18+P18+S18</f>
        <v>0</v>
      </c>
      <c r="U18" s="13" t="e">
        <f>IF(予定価格!$G$427=0,ROUND(予定価格!H6*(入力表!$F$12/予定価格!$H$431),-$F$14),ROUND((予定価格!G6*(入力表!$F$12-予定価格!$H$431)/予定価格!$G$431)+予定価格!H6,-$F$14))</f>
        <v>#DIV/0!</v>
      </c>
      <c r="V18" t="e">
        <f>IF(U18=0,1,IF(予定価格!O6=0,1,(U18-予定価格!P6)/予定価格!O6))</f>
        <v>#DIV/0!</v>
      </c>
      <c r="W18" t="e">
        <f t="shared" ref="W18:W81" si="16">RANK(V18,V$17:V$472,1)</f>
        <v>#DIV/0!</v>
      </c>
      <c r="X18" t="e">
        <f t="shared" ref="X18:X81" si="17">IF(U$15&gt;0,IF(W18*10^$F$14&lt;=U$15,10^$F$14,0),0)</f>
        <v>#DIV/0!</v>
      </c>
      <c r="Y18" t="e">
        <f>IF(U18=0,0,IF(予定価格!G6=0,0,(U18-予定価格!H6)/予定価格!G6))</f>
        <v>#DIV/0!</v>
      </c>
      <c r="Z18" t="e">
        <f t="shared" ref="Z18:Z81" si="18">RANK(Y18,Y$17:Y$472,0)</f>
        <v>#DIV/0!</v>
      </c>
      <c r="AA18" t="e">
        <f t="shared" ref="AA18:AA81" si="19">IF(U$15&lt;0,IF(Z18*10^$F$14&lt;=-U$15,-(10^$F$14),0),0)</f>
        <v>#DIV/0!</v>
      </c>
      <c r="AB18" s="13" t="e">
        <f t="shared" ref="AB18:AB81" si="20">+U18+X18+AA18</f>
        <v>#DIV/0!</v>
      </c>
    </row>
    <row r="19" spans="1:28" hidden="1" x14ac:dyDescent="0.15">
      <c r="A19" t="str">
        <f>+予定価格!A7</f>
        <v>（ア）1号線の部</v>
      </c>
      <c r="B19" s="258">
        <f>ROUND(予定価格!B7*査定表!$B$437,-D19)+E19</f>
        <v>0</v>
      </c>
      <c r="C19" s="258"/>
      <c r="D19" s="45">
        <f t="shared" si="9"/>
        <v>4</v>
      </c>
      <c r="E19" s="46">
        <f t="shared" si="0"/>
        <v>0</v>
      </c>
      <c r="F19" s="258">
        <f>IF($F$12=0,0,IF(予定価格!$G$427=0,ROUND(予定価格!H7*(入力表!$F$12/予定価格!$H$431),-H19),ROUND((予定価格!G7*(入力表!$F$12-予定価格!$H$431)/予定価格!$G$431)+予定価格!H7,-H19)))+I19</f>
        <v>0</v>
      </c>
      <c r="G19" s="258"/>
      <c r="H19" s="47">
        <f t="shared" si="10"/>
        <v>4</v>
      </c>
      <c r="I19" s="48">
        <f t="shared" si="1"/>
        <v>0</v>
      </c>
      <c r="J19" s="116">
        <f t="shared" si="2"/>
        <v>0</v>
      </c>
      <c r="K19" s="19">
        <f t="shared" si="3"/>
        <v>0</v>
      </c>
      <c r="L19" s="50"/>
      <c r="M19" s="13">
        <f>ROUND(予定価格!B7*査定表!$B$437,-$F$14)</f>
        <v>0</v>
      </c>
      <c r="N19">
        <f>IF(M19=0,1,M19/予定価格!B7)</f>
        <v>1</v>
      </c>
      <c r="O19">
        <f t="shared" si="11"/>
        <v>21</v>
      </c>
      <c r="P19">
        <f t="shared" si="12"/>
        <v>0</v>
      </c>
      <c r="Q19">
        <f>IF(M19=0,0,M19/予定価格!B7)</f>
        <v>0</v>
      </c>
      <c r="R19">
        <f t="shared" si="13"/>
        <v>21</v>
      </c>
      <c r="S19">
        <f t="shared" si="14"/>
        <v>0</v>
      </c>
      <c r="T19" s="13">
        <f t="shared" si="15"/>
        <v>0</v>
      </c>
      <c r="U19" s="13" t="e">
        <f>IF(予定価格!$G$427=0,ROUND(予定価格!H7*(入力表!$F$12/予定価格!$H$431),-$F$14),ROUND((予定価格!G7*(入力表!$F$12-予定価格!$H$431)/予定価格!$G$431)+予定価格!H7,-$F$14))</f>
        <v>#DIV/0!</v>
      </c>
      <c r="V19" t="e">
        <f>IF(U19=0,1,IF(予定価格!O7=0,1,(U19-予定価格!P7)/予定価格!O7))</f>
        <v>#DIV/0!</v>
      </c>
      <c r="W19" t="e">
        <f t="shared" si="16"/>
        <v>#DIV/0!</v>
      </c>
      <c r="X19" t="e">
        <f t="shared" si="17"/>
        <v>#DIV/0!</v>
      </c>
      <c r="Y19" t="e">
        <f>IF(U19=0,0,IF(予定価格!G7=0,0,(U19-予定価格!H7)/予定価格!G7))</f>
        <v>#DIV/0!</v>
      </c>
      <c r="Z19" t="e">
        <f t="shared" si="18"/>
        <v>#DIV/0!</v>
      </c>
      <c r="AA19" t="e">
        <f t="shared" si="19"/>
        <v>#DIV/0!</v>
      </c>
      <c r="AB19" s="13" t="e">
        <f t="shared" si="20"/>
        <v>#DIV/0!</v>
      </c>
    </row>
    <row r="20" spans="1:28" x14ac:dyDescent="0.15">
      <c r="A20">
        <f>+予定価格!A8</f>
        <v>0</v>
      </c>
      <c r="B20" s="258">
        <f>ROUND(予定価格!B8*査定表!$B$437,-D20)+E20</f>
        <v>0</v>
      </c>
      <c r="C20" s="258"/>
      <c r="D20" s="45">
        <f t="shared" si="9"/>
        <v>4</v>
      </c>
      <c r="E20" s="46">
        <f t="shared" si="0"/>
        <v>0</v>
      </c>
      <c r="F20" s="258">
        <f>IF($F$12=0,0,IF(予定価格!$G$427=0,ROUND(予定価格!H8*(入力表!$F$12/予定価格!$H$431),-H20),ROUND((予定価格!G8*(入力表!$F$12-予定価格!$H$431)/予定価格!$G$431)+予定価格!H8,-H20)))+I20</f>
        <v>0</v>
      </c>
      <c r="G20" s="258"/>
      <c r="H20" s="47">
        <f t="shared" si="10"/>
        <v>4</v>
      </c>
      <c r="I20" s="48">
        <f t="shared" si="1"/>
        <v>0</v>
      </c>
      <c r="J20" s="116">
        <f t="shared" si="2"/>
        <v>0</v>
      </c>
      <c r="K20" s="19">
        <f t="shared" si="3"/>
        <v>0</v>
      </c>
      <c r="L20" s="50"/>
      <c r="M20" s="13">
        <f>ROUND(予定価格!B8*査定表!$B$437,-$F$14)</f>
        <v>0</v>
      </c>
      <c r="N20">
        <f>IF(M20=0,1,M20/予定価格!B8)</f>
        <v>1</v>
      </c>
      <c r="O20">
        <f t="shared" si="11"/>
        <v>21</v>
      </c>
      <c r="P20">
        <f t="shared" si="12"/>
        <v>0</v>
      </c>
      <c r="Q20">
        <f>IF(M20=0,0,M20/予定価格!B8)</f>
        <v>0</v>
      </c>
      <c r="R20">
        <f t="shared" si="13"/>
        <v>21</v>
      </c>
      <c r="S20">
        <f t="shared" si="14"/>
        <v>0</v>
      </c>
      <c r="T20" s="13">
        <f t="shared" si="15"/>
        <v>0</v>
      </c>
      <c r="U20" s="13" t="e">
        <f>IF(予定価格!$G$427=0,ROUND(予定価格!H8*(入力表!$F$12/予定価格!$H$431),-$F$14),ROUND((予定価格!G8*(入力表!$F$12-予定価格!$H$431)/予定価格!$G$431)+予定価格!H8,-$F$14))</f>
        <v>#DIV/0!</v>
      </c>
      <c r="V20" t="e">
        <f>IF(U20=0,1,IF(予定価格!O8=0,1,(U20-予定価格!P8)/予定価格!O8))</f>
        <v>#DIV/0!</v>
      </c>
      <c r="W20" t="e">
        <f t="shared" si="16"/>
        <v>#DIV/0!</v>
      </c>
      <c r="X20" t="e">
        <f t="shared" si="17"/>
        <v>#DIV/0!</v>
      </c>
      <c r="Y20" t="e">
        <f>IF(U20=0,0,IF(予定価格!G8=0,0,(U20-予定価格!H8)/予定価格!G8))</f>
        <v>#DIV/0!</v>
      </c>
      <c r="Z20" t="e">
        <f t="shared" si="18"/>
        <v>#DIV/0!</v>
      </c>
      <c r="AA20" t="e">
        <f t="shared" si="19"/>
        <v>#DIV/0!</v>
      </c>
      <c r="AB20" s="13" t="e">
        <f t="shared" si="20"/>
        <v>#DIV/0!</v>
      </c>
    </row>
    <row r="21" spans="1:28" x14ac:dyDescent="0.15">
      <c r="A21" t="str">
        <f>+予定価格!A9</f>
        <v>江坂駅</v>
      </c>
      <c r="B21" s="258">
        <f>ROUND(予定価格!B9*査定表!$B$437,-D21)+E21</f>
        <v>740000</v>
      </c>
      <c r="C21" s="258"/>
      <c r="D21" s="45">
        <f t="shared" si="9"/>
        <v>4</v>
      </c>
      <c r="E21" s="46">
        <f t="shared" si="0"/>
        <v>0</v>
      </c>
      <c r="F21" s="258">
        <f>IF($F$12=0,0,IF(予定価格!$G$427=0,ROUND(予定価格!H9*(入力表!$F$12/予定価格!$H$431),-H21),ROUND((予定価格!G9*(入力表!$F$12-予定価格!$H$431)/予定価格!$G$431)+予定価格!H9,-H21)))+I21</f>
        <v>0</v>
      </c>
      <c r="G21" s="258"/>
      <c r="H21" s="47">
        <f t="shared" si="10"/>
        <v>4</v>
      </c>
      <c r="I21" s="48">
        <f t="shared" si="1"/>
        <v>0</v>
      </c>
      <c r="J21" s="116">
        <f t="shared" si="2"/>
        <v>740000</v>
      </c>
      <c r="K21" s="19">
        <f t="shared" si="3"/>
        <v>740000</v>
      </c>
      <c r="L21" s="50"/>
      <c r="M21" s="13">
        <f>ROUND(予定価格!B9*査定表!$B$437,-$F$14)</f>
        <v>740000</v>
      </c>
      <c r="N21">
        <f>IF(M21=0,1,M21/予定価格!B9)</f>
        <v>0.73339940535183346</v>
      </c>
      <c r="O21">
        <f t="shared" si="11"/>
        <v>10</v>
      </c>
      <c r="P21">
        <f t="shared" si="12"/>
        <v>0</v>
      </c>
      <c r="Q21">
        <f>IF(M21=0,0,M21/予定価格!B9)</f>
        <v>0.73339940535183346</v>
      </c>
      <c r="R21">
        <f t="shared" si="13"/>
        <v>9</v>
      </c>
      <c r="S21">
        <f t="shared" si="14"/>
        <v>0</v>
      </c>
      <c r="T21" s="13">
        <f t="shared" si="15"/>
        <v>740000</v>
      </c>
      <c r="U21" s="13" t="e">
        <f>IF(予定価格!$G$427=0,ROUND(予定価格!H9*(入力表!$F$12/予定価格!$H$431),-$F$14),ROUND((予定価格!G9*(入力表!$F$12-予定価格!$H$431)/予定価格!$G$431)+予定価格!H9,-$F$14))</f>
        <v>#DIV/0!</v>
      </c>
      <c r="V21" t="e">
        <f>IF(U21=0,1,IF(予定価格!O9=0,1,(U21-予定価格!P9)/予定価格!O9))</f>
        <v>#DIV/0!</v>
      </c>
      <c r="W21" t="e">
        <f t="shared" si="16"/>
        <v>#DIV/0!</v>
      </c>
      <c r="X21" t="e">
        <f t="shared" si="17"/>
        <v>#DIV/0!</v>
      </c>
      <c r="Y21" t="e">
        <f>IF(U21=0,0,IF(予定価格!G9=0,0,(U21-予定価格!H9)/予定価格!G9))</f>
        <v>#DIV/0!</v>
      </c>
      <c r="Z21" t="e">
        <f t="shared" si="18"/>
        <v>#DIV/0!</v>
      </c>
      <c r="AA21" t="e">
        <f t="shared" si="19"/>
        <v>#DIV/0!</v>
      </c>
      <c r="AB21" s="13" t="e">
        <f t="shared" si="20"/>
        <v>#DIV/0!</v>
      </c>
    </row>
    <row r="22" spans="1:28" x14ac:dyDescent="0.15">
      <c r="A22" t="str">
        <f>+予定価格!A10</f>
        <v>東三国駅</v>
      </c>
      <c r="B22" s="258">
        <f>ROUND(予定価格!B10*査定表!$B$437,-D22)+E22</f>
        <v>760000</v>
      </c>
      <c r="C22" s="258"/>
      <c r="D22" s="45">
        <f t="shared" si="9"/>
        <v>4</v>
      </c>
      <c r="E22" s="46">
        <f t="shared" si="0"/>
        <v>0</v>
      </c>
      <c r="F22" s="258">
        <f>IF($F$12=0,0,IF(予定価格!$G$427=0,ROUND(予定価格!H10*(入力表!$F$12/予定価格!$H$431),-H22),ROUND((予定価格!G10*(入力表!$F$12-予定価格!$H$431)/予定価格!$G$431)+予定価格!H10,-H22)))+I22</f>
        <v>0</v>
      </c>
      <c r="G22" s="258"/>
      <c r="H22" s="47">
        <f t="shared" si="10"/>
        <v>4</v>
      </c>
      <c r="I22" s="48">
        <f t="shared" si="1"/>
        <v>0</v>
      </c>
      <c r="J22" s="116">
        <f t="shared" si="2"/>
        <v>760000</v>
      </c>
      <c r="K22" s="19">
        <f t="shared" si="3"/>
        <v>760000</v>
      </c>
      <c r="L22" s="50"/>
      <c r="M22" s="13">
        <f>ROUND(予定価格!B10*査定表!$B$437,-$F$14)</f>
        <v>760000</v>
      </c>
      <c r="N22">
        <f>IF(M22=0,1,M22/予定価格!B10)</f>
        <v>0.73217726396917149</v>
      </c>
      <c r="O22">
        <f t="shared" si="11"/>
        <v>4</v>
      </c>
      <c r="P22">
        <f t="shared" si="12"/>
        <v>0</v>
      </c>
      <c r="Q22">
        <f>IF(M22=0,0,M22/予定価格!B10)</f>
        <v>0.73217726396917149</v>
      </c>
      <c r="R22">
        <f t="shared" si="13"/>
        <v>15</v>
      </c>
      <c r="S22">
        <f t="shared" si="14"/>
        <v>0</v>
      </c>
      <c r="T22" s="13">
        <f t="shared" si="15"/>
        <v>760000</v>
      </c>
      <c r="U22" s="13" t="e">
        <f>IF(予定価格!$G$427=0,ROUND(予定価格!H10*(入力表!$F$12/予定価格!$H$431),-$F$14),ROUND((予定価格!G10*(入力表!$F$12-予定価格!$H$431)/予定価格!$G$431)+予定価格!H10,-$F$14))</f>
        <v>#DIV/0!</v>
      </c>
      <c r="V22" t="e">
        <f>IF(U22=0,1,IF(予定価格!O10=0,1,(U22-予定価格!P10)/予定価格!O10))</f>
        <v>#DIV/0!</v>
      </c>
      <c r="W22" t="e">
        <f t="shared" si="16"/>
        <v>#DIV/0!</v>
      </c>
      <c r="X22" t="e">
        <f t="shared" si="17"/>
        <v>#DIV/0!</v>
      </c>
      <c r="Y22" t="e">
        <f>IF(U22=0,0,IF(予定価格!G10=0,0,(U22-予定価格!H10)/予定価格!G10))</f>
        <v>#DIV/0!</v>
      </c>
      <c r="Z22" t="e">
        <f t="shared" si="18"/>
        <v>#DIV/0!</v>
      </c>
      <c r="AA22" t="e">
        <f t="shared" si="19"/>
        <v>#DIV/0!</v>
      </c>
      <c r="AB22" s="13" t="e">
        <f t="shared" si="20"/>
        <v>#DIV/0!</v>
      </c>
    </row>
    <row r="23" spans="1:28" x14ac:dyDescent="0.15">
      <c r="A23" t="str">
        <f>+予定価格!A11</f>
        <v>新大阪駅</v>
      </c>
      <c r="B23" s="258">
        <f>ROUND(予定価格!B11*査定表!$B$437,-D23)+E23</f>
        <v>1030000</v>
      </c>
      <c r="C23" s="258"/>
      <c r="D23" s="45">
        <f t="shared" si="9"/>
        <v>4</v>
      </c>
      <c r="E23" s="46">
        <f t="shared" si="0"/>
        <v>10000</v>
      </c>
      <c r="F23" s="258">
        <f>IF($F$12=0,0,IF(予定価格!$G$427=0,ROUND(予定価格!H11*(入力表!$F$12/予定価格!$H$431),-H23),ROUND((予定価格!G11*(入力表!$F$12-予定価格!$H$431)/予定価格!$G$431)+予定価格!H11,-H23)))+I23</f>
        <v>0</v>
      </c>
      <c r="G23" s="258"/>
      <c r="H23" s="47">
        <f t="shared" si="10"/>
        <v>4</v>
      </c>
      <c r="I23" s="48">
        <f t="shared" si="1"/>
        <v>0</v>
      </c>
      <c r="J23" s="116">
        <f t="shared" si="2"/>
        <v>1030000</v>
      </c>
      <c r="K23" s="19">
        <f t="shared" si="3"/>
        <v>1030000</v>
      </c>
      <c r="L23" s="50"/>
      <c r="M23" s="13">
        <f>ROUND(予定価格!B11*査定表!$B$437,-$F$14)</f>
        <v>1020000</v>
      </c>
      <c r="N23">
        <f>IF(M23=0,1,M23/予定価格!B11)</f>
        <v>0.7306590257879656</v>
      </c>
      <c r="O23">
        <f t="shared" si="11"/>
        <v>1</v>
      </c>
      <c r="P23">
        <f t="shared" si="12"/>
        <v>10000</v>
      </c>
      <c r="Q23">
        <f>IF(M23=0,0,M23/予定価格!B11)</f>
        <v>0.7306590257879656</v>
      </c>
      <c r="R23">
        <f t="shared" si="13"/>
        <v>20</v>
      </c>
      <c r="S23">
        <f t="shared" si="14"/>
        <v>0</v>
      </c>
      <c r="T23" s="13">
        <f t="shared" si="15"/>
        <v>1030000</v>
      </c>
      <c r="U23" s="13" t="e">
        <f>IF(予定価格!$G$427=0,ROUND(予定価格!H11*(入力表!$F$12/予定価格!$H$431),-$F$14),ROUND((予定価格!G11*(入力表!$F$12-予定価格!$H$431)/予定価格!$G$431)+予定価格!H11,-$F$14))</f>
        <v>#DIV/0!</v>
      </c>
      <c r="V23" t="e">
        <f>IF(U23=0,1,IF(予定価格!O11=0,1,(U23-予定価格!P11)/予定価格!O11))</f>
        <v>#DIV/0!</v>
      </c>
      <c r="W23" t="e">
        <f t="shared" si="16"/>
        <v>#DIV/0!</v>
      </c>
      <c r="X23" t="e">
        <f t="shared" si="17"/>
        <v>#DIV/0!</v>
      </c>
      <c r="Y23" t="e">
        <f>IF(U23=0,0,IF(予定価格!G11=0,0,(U23-予定価格!H11)/予定価格!G11))</f>
        <v>#DIV/0!</v>
      </c>
      <c r="Z23" t="e">
        <f t="shared" si="18"/>
        <v>#DIV/0!</v>
      </c>
      <c r="AA23" t="e">
        <f t="shared" si="19"/>
        <v>#DIV/0!</v>
      </c>
      <c r="AB23" s="13" t="e">
        <f t="shared" si="20"/>
        <v>#DIV/0!</v>
      </c>
    </row>
    <row r="24" spans="1:28" x14ac:dyDescent="0.15">
      <c r="A24" t="str">
        <f>+予定価格!A12</f>
        <v>西中島南方駅</v>
      </c>
      <c r="B24" s="258">
        <f>ROUND(予定価格!B12*査定表!$B$437,-D24)+E24</f>
        <v>800000</v>
      </c>
      <c r="C24" s="258"/>
      <c r="D24" s="45">
        <f t="shared" si="9"/>
        <v>4</v>
      </c>
      <c r="E24" s="46">
        <f t="shared" si="0"/>
        <v>0</v>
      </c>
      <c r="F24" s="258">
        <f>IF($F$12=0,0,IF(予定価格!$G$427=0,ROUND(予定価格!H12*(入力表!$F$12/予定価格!$H$431),-H24),ROUND((予定価格!G12*(入力表!$F$12-予定価格!$H$431)/予定価格!$G$431)+予定価格!H12,-H24)))+I24</f>
        <v>0</v>
      </c>
      <c r="G24" s="258"/>
      <c r="H24" s="47">
        <f t="shared" si="10"/>
        <v>4</v>
      </c>
      <c r="I24" s="48">
        <f t="shared" si="1"/>
        <v>0</v>
      </c>
      <c r="J24" s="116">
        <f t="shared" si="2"/>
        <v>800000</v>
      </c>
      <c r="K24" s="19">
        <f t="shared" si="3"/>
        <v>800000</v>
      </c>
      <c r="L24" s="50"/>
      <c r="M24" s="13">
        <f>ROUND(予定価格!B12*査定表!$B$437,-$F$14)</f>
        <v>800000</v>
      </c>
      <c r="N24">
        <f>IF(M24=0,1,M24/予定価格!B12)</f>
        <v>0.73664825046040516</v>
      </c>
      <c r="O24">
        <f t="shared" si="11"/>
        <v>18</v>
      </c>
      <c r="P24">
        <f t="shared" si="12"/>
        <v>0</v>
      </c>
      <c r="Q24">
        <f>IF(M24=0,0,M24/予定価格!B12)</f>
        <v>0.73664825046040516</v>
      </c>
      <c r="R24">
        <f t="shared" si="13"/>
        <v>3</v>
      </c>
      <c r="S24">
        <f t="shared" si="14"/>
        <v>0</v>
      </c>
      <c r="T24" s="13">
        <f t="shared" si="15"/>
        <v>800000</v>
      </c>
      <c r="U24" s="13" t="e">
        <f>IF(予定価格!$G$427=0,ROUND(予定価格!H12*(入力表!$F$12/予定価格!$H$431),-$F$14),ROUND((予定価格!G12*(入力表!$F$12-予定価格!$H$431)/予定価格!$G$431)+予定価格!H12,-$F$14))</f>
        <v>#DIV/0!</v>
      </c>
      <c r="V24" t="e">
        <f>IF(U24=0,1,IF(予定価格!O12=0,1,(U24-予定価格!P12)/予定価格!O12))</f>
        <v>#DIV/0!</v>
      </c>
      <c r="W24" t="e">
        <f t="shared" si="16"/>
        <v>#DIV/0!</v>
      </c>
      <c r="X24" t="e">
        <f t="shared" si="17"/>
        <v>#DIV/0!</v>
      </c>
      <c r="Y24" t="e">
        <f>IF(U24=0,0,IF(予定価格!G12=0,0,(U24-予定価格!H12)/予定価格!G12))</f>
        <v>#DIV/0!</v>
      </c>
      <c r="Z24" t="e">
        <f t="shared" si="18"/>
        <v>#DIV/0!</v>
      </c>
      <c r="AA24" t="e">
        <f t="shared" si="19"/>
        <v>#DIV/0!</v>
      </c>
      <c r="AB24" s="13" t="e">
        <f t="shared" si="20"/>
        <v>#DIV/0!</v>
      </c>
    </row>
    <row r="25" spans="1:28" x14ac:dyDescent="0.15">
      <c r="A25" t="str">
        <f>+予定価格!A13</f>
        <v>中津駅</v>
      </c>
      <c r="B25" s="258">
        <f>ROUND(予定価格!B13*査定表!$B$437,-D25)+E25</f>
        <v>740000</v>
      </c>
      <c r="C25" s="258"/>
      <c r="D25" s="45">
        <f t="shared" si="9"/>
        <v>4</v>
      </c>
      <c r="E25" s="46">
        <f t="shared" si="0"/>
        <v>0</v>
      </c>
      <c r="F25" s="258">
        <f>IF($F$12=0,0,IF(予定価格!$G$427=0,ROUND(予定価格!H13*(入力表!$F$12/予定価格!$H$431),-H25),ROUND((予定価格!G13*(入力表!$F$12-予定価格!$H$431)/予定価格!$G$431)+予定価格!H13,-H25)))+I25</f>
        <v>0</v>
      </c>
      <c r="G25" s="258"/>
      <c r="H25" s="47">
        <f t="shared" si="10"/>
        <v>4</v>
      </c>
      <c r="I25" s="48">
        <f t="shared" si="1"/>
        <v>0</v>
      </c>
      <c r="J25" s="116">
        <f t="shared" si="2"/>
        <v>740000</v>
      </c>
      <c r="K25" s="19">
        <f t="shared" si="3"/>
        <v>740000</v>
      </c>
      <c r="L25" s="50"/>
      <c r="M25" s="13">
        <f>ROUND(予定価格!B13*査定表!$B$437,-$F$14)</f>
        <v>740000</v>
      </c>
      <c r="N25">
        <f>IF(M25=0,1,M25/予定価格!B13)</f>
        <v>0.73339940535183346</v>
      </c>
      <c r="O25">
        <f t="shared" si="11"/>
        <v>10</v>
      </c>
      <c r="P25">
        <f t="shared" si="12"/>
        <v>0</v>
      </c>
      <c r="Q25">
        <f>IF(M25=0,0,M25/予定価格!B13)</f>
        <v>0.73339940535183346</v>
      </c>
      <c r="R25">
        <f t="shared" si="13"/>
        <v>9</v>
      </c>
      <c r="S25">
        <f t="shared" si="14"/>
        <v>0</v>
      </c>
      <c r="T25" s="13">
        <f t="shared" si="15"/>
        <v>740000</v>
      </c>
      <c r="U25" s="13" t="e">
        <f>IF(予定価格!$G$427=0,ROUND(予定価格!H13*(入力表!$F$12/予定価格!$H$431),-$F$14),ROUND((予定価格!G13*(入力表!$F$12-予定価格!$H$431)/予定価格!$G$431)+予定価格!H13,-$F$14))</f>
        <v>#DIV/0!</v>
      </c>
      <c r="V25" t="e">
        <f>IF(U25=0,1,IF(予定価格!O13=0,1,(U25-予定価格!P13)/予定価格!O13))</f>
        <v>#DIV/0!</v>
      </c>
      <c r="W25" t="e">
        <f t="shared" si="16"/>
        <v>#DIV/0!</v>
      </c>
      <c r="X25" t="e">
        <f t="shared" si="17"/>
        <v>#DIV/0!</v>
      </c>
      <c r="Y25" t="e">
        <f>IF(U25=0,0,IF(予定価格!G13=0,0,(U25-予定価格!H13)/予定価格!G13))</f>
        <v>#DIV/0!</v>
      </c>
      <c r="Z25" t="e">
        <f t="shared" si="18"/>
        <v>#DIV/0!</v>
      </c>
      <c r="AA25" t="e">
        <f t="shared" si="19"/>
        <v>#DIV/0!</v>
      </c>
      <c r="AB25" s="13" t="e">
        <f t="shared" si="20"/>
        <v>#DIV/0!</v>
      </c>
    </row>
    <row r="26" spans="1:28" x14ac:dyDescent="0.15">
      <c r="A26" t="str">
        <f>+予定価格!A14</f>
        <v>梅田駅</v>
      </c>
      <c r="B26" s="258">
        <f>ROUND(予定価格!B14*査定表!$B$437,-D26)+E26</f>
        <v>1430000</v>
      </c>
      <c r="C26" s="258"/>
      <c r="D26" s="45">
        <f t="shared" si="9"/>
        <v>4</v>
      </c>
      <c r="E26" s="46">
        <f t="shared" si="0"/>
        <v>0</v>
      </c>
      <c r="F26" s="258">
        <f>IF($F$12=0,0,IF(予定価格!$G$427=0,ROUND(予定価格!H14*(入力表!$F$12/予定価格!$H$431),-H26),ROUND((予定価格!G14*(入力表!$F$12-予定価格!$H$431)/予定価格!$G$431)+予定価格!H14,-H26)))+I26</f>
        <v>0</v>
      </c>
      <c r="G26" s="258"/>
      <c r="H26" s="47">
        <f t="shared" si="10"/>
        <v>4</v>
      </c>
      <c r="I26" s="48">
        <f t="shared" si="1"/>
        <v>0</v>
      </c>
      <c r="J26" s="116">
        <f t="shared" si="2"/>
        <v>1430000</v>
      </c>
      <c r="K26" s="19">
        <f t="shared" si="3"/>
        <v>1430000</v>
      </c>
      <c r="L26" s="50"/>
      <c r="M26" s="13">
        <f>ROUND(予定価格!B14*査定表!$B$437,-$F$14)</f>
        <v>1430000</v>
      </c>
      <c r="N26">
        <f>IF(M26=0,1,M26/予定価格!B14)</f>
        <v>0.7344632768361582</v>
      </c>
      <c r="O26">
        <f t="shared" si="11"/>
        <v>16</v>
      </c>
      <c r="P26">
        <f t="shared" si="12"/>
        <v>0</v>
      </c>
      <c r="Q26">
        <f>IF(M26=0,0,M26/予定価格!B14)</f>
        <v>0.7344632768361582</v>
      </c>
      <c r="R26">
        <f t="shared" si="13"/>
        <v>5</v>
      </c>
      <c r="S26">
        <f t="shared" si="14"/>
        <v>0</v>
      </c>
      <c r="T26" s="13">
        <f t="shared" si="15"/>
        <v>1430000</v>
      </c>
      <c r="U26" s="13" t="e">
        <f>IF(予定価格!$G$427=0,ROUND(予定価格!H14*(入力表!$F$12/予定価格!$H$431),-$F$14),ROUND((予定価格!G14*(入力表!$F$12-予定価格!$H$431)/予定価格!$G$431)+予定価格!H14,-$F$14))</f>
        <v>#DIV/0!</v>
      </c>
      <c r="V26" t="e">
        <f>IF(U26=0,1,IF(予定価格!O14=0,1,(U26-予定価格!P14)/予定価格!O14))</f>
        <v>#DIV/0!</v>
      </c>
      <c r="W26" t="e">
        <f t="shared" si="16"/>
        <v>#DIV/0!</v>
      </c>
      <c r="X26" t="e">
        <f t="shared" si="17"/>
        <v>#DIV/0!</v>
      </c>
      <c r="Y26" t="e">
        <f>IF(U26=0,0,IF(予定価格!G14=0,0,(U26-予定価格!H14)/予定価格!G14))</f>
        <v>#DIV/0!</v>
      </c>
      <c r="Z26" t="e">
        <f t="shared" si="18"/>
        <v>#DIV/0!</v>
      </c>
      <c r="AA26" t="e">
        <f t="shared" si="19"/>
        <v>#DIV/0!</v>
      </c>
      <c r="AB26" s="13" t="e">
        <f t="shared" si="20"/>
        <v>#DIV/0!</v>
      </c>
    </row>
    <row r="27" spans="1:28" x14ac:dyDescent="0.15">
      <c r="A27" t="str">
        <f>+予定価格!A15</f>
        <v>淀屋橋駅</v>
      </c>
      <c r="B27" s="258">
        <f>ROUND(予定価格!B15*査定表!$B$437,-D27)+E27</f>
        <v>740000</v>
      </c>
      <c r="C27" s="258"/>
      <c r="D27" s="45">
        <f t="shared" si="9"/>
        <v>4</v>
      </c>
      <c r="E27" s="46">
        <f t="shared" si="0"/>
        <v>0</v>
      </c>
      <c r="F27" s="258">
        <f>IF($F$12=0,0,IF(予定価格!$G$427=0,ROUND(予定価格!H15*(入力表!$F$12/予定価格!$H$431),-H27),ROUND((予定価格!G15*(入力表!$F$12-予定価格!$H$431)/予定価格!$G$431)+予定価格!H15,-H27)))+I27</f>
        <v>0</v>
      </c>
      <c r="G27" s="258"/>
      <c r="H27" s="47">
        <f t="shared" si="10"/>
        <v>4</v>
      </c>
      <c r="I27" s="48">
        <f t="shared" si="1"/>
        <v>0</v>
      </c>
      <c r="J27" s="116">
        <f t="shared" si="2"/>
        <v>740000</v>
      </c>
      <c r="K27" s="19">
        <f t="shared" si="3"/>
        <v>740000</v>
      </c>
      <c r="L27" s="50"/>
      <c r="M27" s="13">
        <f>ROUND(予定価格!B15*査定表!$B$437,-$F$14)</f>
        <v>740000</v>
      </c>
      <c r="N27">
        <f>IF(M27=0,1,M27/予定価格!B15)</f>
        <v>0.73339940535183346</v>
      </c>
      <c r="O27">
        <f t="shared" si="11"/>
        <v>10</v>
      </c>
      <c r="P27">
        <f t="shared" si="12"/>
        <v>0</v>
      </c>
      <c r="Q27">
        <f>IF(M27=0,0,M27/予定価格!B15)</f>
        <v>0.73339940535183346</v>
      </c>
      <c r="R27">
        <f t="shared" si="13"/>
        <v>9</v>
      </c>
      <c r="S27">
        <f t="shared" si="14"/>
        <v>0</v>
      </c>
      <c r="T27" s="13">
        <f t="shared" si="15"/>
        <v>740000</v>
      </c>
      <c r="U27" s="13" t="e">
        <f>IF(予定価格!$G$427=0,ROUND(予定価格!H15*(入力表!$F$12/予定価格!$H$431),-$F$14),ROUND((予定価格!G15*(入力表!$F$12-予定価格!$H$431)/予定価格!$G$431)+予定価格!H15,-$F$14))</f>
        <v>#DIV/0!</v>
      </c>
      <c r="V27" t="e">
        <f>IF(U27=0,1,IF(予定価格!O15=0,1,(U27-予定価格!P15)/予定価格!O15))</f>
        <v>#DIV/0!</v>
      </c>
      <c r="W27" t="e">
        <f t="shared" si="16"/>
        <v>#DIV/0!</v>
      </c>
      <c r="X27" t="e">
        <f t="shared" si="17"/>
        <v>#DIV/0!</v>
      </c>
      <c r="Y27" t="e">
        <f>IF(U27=0,0,IF(予定価格!G15=0,0,(U27-予定価格!H15)/予定価格!G15))</f>
        <v>#DIV/0!</v>
      </c>
      <c r="Z27" t="e">
        <f t="shared" si="18"/>
        <v>#DIV/0!</v>
      </c>
      <c r="AA27" t="e">
        <f t="shared" si="19"/>
        <v>#DIV/0!</v>
      </c>
      <c r="AB27" s="13" t="e">
        <f t="shared" si="20"/>
        <v>#DIV/0!</v>
      </c>
    </row>
    <row r="28" spans="1:28" x14ac:dyDescent="0.15">
      <c r="A28" t="str">
        <f>+予定価格!A16</f>
        <v>R1本町駅</v>
      </c>
      <c r="B28" s="258">
        <f>ROUND(予定価格!B16*査定表!$B$437,-D28)+E28</f>
        <v>720000</v>
      </c>
      <c r="C28" s="258"/>
      <c r="D28" s="45">
        <f t="shared" si="9"/>
        <v>4</v>
      </c>
      <c r="E28" s="46">
        <f t="shared" si="0"/>
        <v>0</v>
      </c>
      <c r="F28" s="258">
        <f>IF($F$12=0,0,IF(予定価格!$G$427=0,ROUND(予定価格!H16*(入力表!$F$12/予定価格!$H$431),-H28),ROUND((予定価格!G16*(入力表!$F$12-予定価格!$H$431)/予定価格!$G$431)+予定価格!H16,-H28)))+I28</f>
        <v>0</v>
      </c>
      <c r="G28" s="258"/>
      <c r="H28" s="47">
        <f t="shared" si="10"/>
        <v>4</v>
      </c>
      <c r="I28" s="48">
        <f t="shared" si="1"/>
        <v>0</v>
      </c>
      <c r="J28" s="116">
        <f t="shared" si="2"/>
        <v>720000</v>
      </c>
      <c r="K28" s="19">
        <f t="shared" si="3"/>
        <v>720000</v>
      </c>
      <c r="L28" s="50"/>
      <c r="M28" s="13">
        <f>ROUND(予定価格!B16*査定表!$B$437,-$F$14)</f>
        <v>720000</v>
      </c>
      <c r="N28">
        <f>IF(M28=0,1,M28/予定価格!B16)</f>
        <v>0.73394495412844041</v>
      </c>
      <c r="O28">
        <f t="shared" si="11"/>
        <v>15</v>
      </c>
      <c r="P28">
        <f t="shared" si="12"/>
        <v>0</v>
      </c>
      <c r="Q28">
        <f>IF(M28=0,0,M28/予定価格!B16)</f>
        <v>0.73394495412844041</v>
      </c>
      <c r="R28">
        <f t="shared" si="13"/>
        <v>6</v>
      </c>
      <c r="S28">
        <f t="shared" si="14"/>
        <v>0</v>
      </c>
      <c r="T28" s="13">
        <f t="shared" si="15"/>
        <v>720000</v>
      </c>
      <c r="U28" s="13" t="e">
        <f>IF(予定価格!$G$427=0,ROUND(予定価格!H16*(入力表!$F$12/予定価格!$H$431),-$F$14),ROUND((予定価格!G16*(入力表!$F$12-予定価格!$H$431)/予定価格!$G$431)+予定価格!H16,-$F$14))</f>
        <v>#DIV/0!</v>
      </c>
      <c r="V28" t="e">
        <f>IF(U28=0,1,IF(予定価格!O16=0,1,(U28-予定価格!P16)/予定価格!O16))</f>
        <v>#DIV/0!</v>
      </c>
      <c r="W28" t="e">
        <f t="shared" si="16"/>
        <v>#DIV/0!</v>
      </c>
      <c r="X28" t="e">
        <f t="shared" si="17"/>
        <v>#DIV/0!</v>
      </c>
      <c r="Y28" t="e">
        <f>IF(U28=0,0,IF(予定価格!G16=0,0,(U28-予定価格!H16)/予定価格!G16))</f>
        <v>#DIV/0!</v>
      </c>
      <c r="Z28" t="e">
        <f t="shared" si="18"/>
        <v>#DIV/0!</v>
      </c>
      <c r="AA28" t="e">
        <f t="shared" si="19"/>
        <v>#DIV/0!</v>
      </c>
      <c r="AB28" s="13" t="e">
        <f t="shared" si="20"/>
        <v>#DIV/0!</v>
      </c>
    </row>
    <row r="29" spans="1:28" x14ac:dyDescent="0.15">
      <c r="A29" t="str">
        <f>+予定価格!A17</f>
        <v>R1なんば駅</v>
      </c>
      <c r="B29" s="258">
        <f>ROUND(予定価格!B17*査定表!$B$437,-D29)+E29</f>
        <v>1180000</v>
      </c>
      <c r="C29" s="258"/>
      <c r="D29" s="45">
        <f t="shared" si="9"/>
        <v>4</v>
      </c>
      <c r="E29" s="46">
        <f t="shared" si="0"/>
        <v>0</v>
      </c>
      <c r="F29" s="258">
        <f>IF($F$12=0,0,IF(予定価格!$G$427=0,ROUND(予定価格!H17*(入力表!$F$12/予定価格!$H$431),-H29),ROUND((予定価格!G17*(入力表!$F$12-予定価格!$H$431)/予定価格!$G$431)+予定価格!H17,-H29)))+I29</f>
        <v>0</v>
      </c>
      <c r="G29" s="258"/>
      <c r="H29" s="47">
        <f t="shared" si="10"/>
        <v>4</v>
      </c>
      <c r="I29" s="48">
        <f t="shared" si="1"/>
        <v>0</v>
      </c>
      <c r="J29" s="116">
        <f t="shared" si="2"/>
        <v>1180000</v>
      </c>
      <c r="K29" s="19">
        <f t="shared" si="3"/>
        <v>1180000</v>
      </c>
      <c r="L29" s="50"/>
      <c r="M29" s="13">
        <f>ROUND(予定価格!B17*査定表!$B$437,-$F$14)</f>
        <v>1180000</v>
      </c>
      <c r="N29">
        <f>IF(M29=0,1,M29/予定価格!B17)</f>
        <v>0.73383084577114432</v>
      </c>
      <c r="O29">
        <f t="shared" si="11"/>
        <v>14</v>
      </c>
      <c r="P29">
        <f t="shared" si="12"/>
        <v>0</v>
      </c>
      <c r="Q29">
        <f>IF(M29=0,0,M29/予定価格!B17)</f>
        <v>0.73383084577114432</v>
      </c>
      <c r="R29">
        <f t="shared" si="13"/>
        <v>7</v>
      </c>
      <c r="S29">
        <f t="shared" si="14"/>
        <v>0</v>
      </c>
      <c r="T29" s="13">
        <f t="shared" si="15"/>
        <v>1180000</v>
      </c>
      <c r="U29" s="13" t="e">
        <f>IF(予定価格!$G$427=0,ROUND(予定価格!H17*(入力表!$F$12/予定価格!$H$431),-$F$14),ROUND((予定価格!G17*(入力表!$F$12-予定価格!$H$431)/予定価格!$G$431)+予定価格!H17,-$F$14))</f>
        <v>#DIV/0!</v>
      </c>
      <c r="V29" t="e">
        <f>IF(U29=0,1,IF(予定価格!O17=0,1,(U29-予定価格!P17)/予定価格!O17))</f>
        <v>#DIV/0!</v>
      </c>
      <c r="W29" t="e">
        <f t="shared" si="16"/>
        <v>#DIV/0!</v>
      </c>
      <c r="X29" t="e">
        <f t="shared" si="17"/>
        <v>#DIV/0!</v>
      </c>
      <c r="Y29" t="e">
        <f>IF(U29=0,0,IF(予定価格!G17=0,0,(U29-予定価格!H17)/予定価格!G17))</f>
        <v>#DIV/0!</v>
      </c>
      <c r="Z29" t="e">
        <f t="shared" si="18"/>
        <v>#DIV/0!</v>
      </c>
      <c r="AA29" t="e">
        <f t="shared" si="19"/>
        <v>#DIV/0!</v>
      </c>
      <c r="AB29" s="13" t="e">
        <f t="shared" si="20"/>
        <v>#DIV/0!</v>
      </c>
    </row>
    <row r="30" spans="1:28" x14ac:dyDescent="0.15">
      <c r="A30" t="str">
        <f>+予定価格!A18</f>
        <v>R1大国町駅</v>
      </c>
      <c r="B30" s="258">
        <f>ROUND(予定価格!B18*査定表!$B$437,-D30)+E30</f>
        <v>460000</v>
      </c>
      <c r="C30" s="258"/>
      <c r="D30" s="45">
        <f t="shared" si="9"/>
        <v>4</v>
      </c>
      <c r="E30" s="46">
        <f t="shared" si="0"/>
        <v>0</v>
      </c>
      <c r="F30" s="258">
        <f>IF($F$12=0,0,IF(予定価格!$G$427=0,ROUND(予定価格!H18*(入力表!$F$12/予定価格!$H$431),-H30),ROUND((予定価格!G18*(入力表!$F$12-予定価格!$H$431)/予定価格!$G$431)+予定価格!H18,-H30)))+I30</f>
        <v>0</v>
      </c>
      <c r="G30" s="258"/>
      <c r="H30" s="47">
        <f t="shared" si="10"/>
        <v>4</v>
      </c>
      <c r="I30" s="48">
        <f t="shared" si="1"/>
        <v>0</v>
      </c>
      <c r="J30" s="116">
        <f t="shared" si="2"/>
        <v>460000</v>
      </c>
      <c r="K30" s="19">
        <f t="shared" si="3"/>
        <v>460000</v>
      </c>
      <c r="L30" s="50"/>
      <c r="M30" s="13">
        <f>ROUND(予定価格!B18*査定表!$B$437,-$F$14)</f>
        <v>460000</v>
      </c>
      <c r="N30">
        <f>IF(M30=0,1,M30/予定価格!B18)</f>
        <v>0.73836276083467089</v>
      </c>
      <c r="O30">
        <f t="shared" si="11"/>
        <v>19</v>
      </c>
      <c r="P30">
        <f t="shared" si="12"/>
        <v>0</v>
      </c>
      <c r="Q30">
        <f>IF(M30=0,0,M30/予定価格!B18)</f>
        <v>0.73836276083467089</v>
      </c>
      <c r="R30">
        <f t="shared" si="13"/>
        <v>1</v>
      </c>
      <c r="S30">
        <f t="shared" si="14"/>
        <v>0</v>
      </c>
      <c r="T30" s="13">
        <f t="shared" si="15"/>
        <v>460000</v>
      </c>
      <c r="U30" s="13" t="e">
        <f>IF(予定価格!$G$427=0,ROUND(予定価格!H18*(入力表!$F$12/予定価格!$H$431),-$F$14),ROUND((予定価格!G18*(入力表!$F$12-予定価格!$H$431)/予定価格!$G$431)+予定価格!H18,-$F$14))</f>
        <v>#DIV/0!</v>
      </c>
      <c r="V30" t="e">
        <f>IF(U30=0,1,IF(予定価格!O18=0,1,(U30-予定価格!P18)/予定価格!O18))</f>
        <v>#DIV/0!</v>
      </c>
      <c r="W30" t="e">
        <f t="shared" si="16"/>
        <v>#DIV/0!</v>
      </c>
      <c r="X30" t="e">
        <f t="shared" si="17"/>
        <v>#DIV/0!</v>
      </c>
      <c r="Y30" t="e">
        <f>IF(U30=0,0,IF(予定価格!G18=0,0,(U30-予定価格!H18)/予定価格!G18))</f>
        <v>#DIV/0!</v>
      </c>
      <c r="Z30" t="e">
        <f t="shared" si="18"/>
        <v>#DIV/0!</v>
      </c>
      <c r="AA30" t="e">
        <f t="shared" si="19"/>
        <v>#DIV/0!</v>
      </c>
      <c r="AB30" s="13" t="e">
        <f t="shared" si="20"/>
        <v>#DIV/0!</v>
      </c>
    </row>
    <row r="31" spans="1:28" x14ac:dyDescent="0.15">
      <c r="A31" t="str">
        <f>+予定価格!A19</f>
        <v>動物園前駅</v>
      </c>
      <c r="B31" s="258">
        <f>ROUND(予定価格!B19*査定表!$B$437,-D31)+E31</f>
        <v>810000</v>
      </c>
      <c r="C31" s="258"/>
      <c r="D31" s="45">
        <f t="shared" si="9"/>
        <v>4</v>
      </c>
      <c r="E31" s="46">
        <f t="shared" si="0"/>
        <v>0</v>
      </c>
      <c r="F31" s="258">
        <f>IF($F$12=0,0,IF(予定価格!$G$427=0,ROUND(予定価格!H19*(入力表!$F$12/予定価格!$H$431),-H31),ROUND((予定価格!G19*(入力表!$F$12-予定価格!$H$431)/予定価格!$G$431)+予定価格!H19,-H31)))+I31</f>
        <v>0</v>
      </c>
      <c r="G31" s="258"/>
      <c r="H31" s="47">
        <f t="shared" si="10"/>
        <v>4</v>
      </c>
      <c r="I31" s="48">
        <f t="shared" si="1"/>
        <v>0</v>
      </c>
      <c r="J31" s="116">
        <f t="shared" si="2"/>
        <v>810000</v>
      </c>
      <c r="K31" s="19">
        <f t="shared" si="3"/>
        <v>810000</v>
      </c>
      <c r="L31" s="50"/>
      <c r="M31" s="13">
        <f>ROUND(予定価格!B19*査定表!$B$437,-$F$14)</f>
        <v>810000</v>
      </c>
      <c r="N31">
        <f>IF(M31=0,1,M31/予定価格!B19)</f>
        <v>0.73236889692585894</v>
      </c>
      <c r="O31">
        <f t="shared" si="11"/>
        <v>7</v>
      </c>
      <c r="P31">
        <f t="shared" si="12"/>
        <v>0</v>
      </c>
      <c r="Q31">
        <f>IF(M31=0,0,M31/予定価格!B19)</f>
        <v>0.73236889692585894</v>
      </c>
      <c r="R31">
        <f t="shared" si="13"/>
        <v>14</v>
      </c>
      <c r="S31">
        <f t="shared" si="14"/>
        <v>0</v>
      </c>
      <c r="T31" s="13">
        <f t="shared" si="15"/>
        <v>810000</v>
      </c>
      <c r="U31" s="13" t="e">
        <f>IF(予定価格!$G$427=0,ROUND(予定価格!H19*(入力表!$F$12/予定価格!$H$431),-$F$14),ROUND((予定価格!G19*(入力表!$F$12-予定価格!$H$431)/予定価格!$G$431)+予定価格!H19,-$F$14))</f>
        <v>#DIV/0!</v>
      </c>
      <c r="V31" t="e">
        <f>IF(U31=0,1,IF(予定価格!O19=0,1,(U31-予定価格!P19)/予定価格!O19))</f>
        <v>#DIV/0!</v>
      </c>
      <c r="W31" t="e">
        <f t="shared" si="16"/>
        <v>#DIV/0!</v>
      </c>
      <c r="X31" t="e">
        <f t="shared" si="17"/>
        <v>#DIV/0!</v>
      </c>
      <c r="Y31" t="e">
        <f>IF(U31=0,0,IF(予定価格!G19=0,0,(U31-予定価格!H19)/予定価格!G19))</f>
        <v>#DIV/0!</v>
      </c>
      <c r="Z31" t="e">
        <f t="shared" si="18"/>
        <v>#DIV/0!</v>
      </c>
      <c r="AA31" t="e">
        <f t="shared" si="19"/>
        <v>#DIV/0!</v>
      </c>
      <c r="AB31" s="13" t="e">
        <f t="shared" si="20"/>
        <v>#DIV/0!</v>
      </c>
    </row>
    <row r="32" spans="1:28" x14ac:dyDescent="0.15">
      <c r="A32" t="str">
        <f>+予定価格!A20</f>
        <v>昭和町駅</v>
      </c>
      <c r="B32" s="258">
        <f>ROUND(予定価格!B20*査定表!$B$437,-D32)+E32</f>
        <v>760000</v>
      </c>
      <c r="C32" s="258"/>
      <c r="D32" s="45">
        <f t="shared" si="9"/>
        <v>4</v>
      </c>
      <c r="E32" s="46">
        <f t="shared" si="0"/>
        <v>0</v>
      </c>
      <c r="F32" s="258">
        <f>IF($F$12=0,0,IF(予定価格!$G$427=0,ROUND(予定価格!H20*(入力表!$F$12/予定価格!$H$431),-H32),ROUND((予定価格!G20*(入力表!$F$12-予定価格!$H$431)/予定価格!$G$431)+予定価格!H20,-H32)))+I32</f>
        <v>0</v>
      </c>
      <c r="G32" s="258"/>
      <c r="H32" s="47">
        <f t="shared" si="10"/>
        <v>4</v>
      </c>
      <c r="I32" s="48">
        <f t="shared" si="1"/>
        <v>0</v>
      </c>
      <c r="J32" s="116">
        <f t="shared" si="2"/>
        <v>760000</v>
      </c>
      <c r="K32" s="19">
        <f t="shared" si="3"/>
        <v>760000</v>
      </c>
      <c r="L32" s="50"/>
      <c r="M32" s="13">
        <f>ROUND(予定価格!B20*査定表!$B$437,-$F$14)</f>
        <v>760000</v>
      </c>
      <c r="N32">
        <f>IF(M32=0,1,M32/予定価格!B20)</f>
        <v>0.73217726396917149</v>
      </c>
      <c r="O32">
        <f t="shared" si="11"/>
        <v>4</v>
      </c>
      <c r="P32">
        <f t="shared" si="12"/>
        <v>0</v>
      </c>
      <c r="Q32">
        <f>IF(M32=0,0,M32/予定価格!B20)</f>
        <v>0.73217726396917149</v>
      </c>
      <c r="R32">
        <f t="shared" si="13"/>
        <v>15</v>
      </c>
      <c r="S32">
        <f t="shared" si="14"/>
        <v>0</v>
      </c>
      <c r="T32" s="13">
        <f t="shared" si="15"/>
        <v>760000</v>
      </c>
      <c r="U32" s="13" t="e">
        <f>IF(予定価格!$G$427=0,ROUND(予定価格!H20*(入力表!$F$12/予定価格!$H$431),-$F$14),ROUND((予定価格!G20*(入力表!$F$12-予定価格!$H$431)/予定価格!$G$431)+予定価格!H20,-$F$14))</f>
        <v>#DIV/0!</v>
      </c>
      <c r="V32" t="e">
        <f>IF(U32=0,1,IF(予定価格!O20=0,1,(U32-予定価格!P20)/予定価格!O20))</f>
        <v>#DIV/0!</v>
      </c>
      <c r="W32" t="e">
        <f t="shared" si="16"/>
        <v>#DIV/0!</v>
      </c>
      <c r="X32" t="e">
        <f t="shared" si="17"/>
        <v>#DIV/0!</v>
      </c>
      <c r="Y32" t="e">
        <f>IF(U32=0,0,IF(予定価格!G20=0,0,(U32-予定価格!H20)/予定価格!G20))</f>
        <v>#DIV/0!</v>
      </c>
      <c r="Z32" t="e">
        <f t="shared" si="18"/>
        <v>#DIV/0!</v>
      </c>
      <c r="AA32" t="e">
        <f t="shared" si="19"/>
        <v>#DIV/0!</v>
      </c>
      <c r="AB32" s="13" t="e">
        <f t="shared" si="20"/>
        <v>#DIV/0!</v>
      </c>
    </row>
    <row r="33" spans="1:28" x14ac:dyDescent="0.15">
      <c r="A33" t="str">
        <f>+予定価格!A21</f>
        <v>西田辺駅</v>
      </c>
      <c r="B33" s="258">
        <f>ROUND(予定価格!B21*査定表!$B$437,-D33)+E33</f>
        <v>730000</v>
      </c>
      <c r="C33" s="258"/>
      <c r="D33" s="45">
        <f t="shared" si="9"/>
        <v>4</v>
      </c>
      <c r="E33" s="46">
        <f t="shared" si="0"/>
        <v>0</v>
      </c>
      <c r="F33" s="258">
        <f>IF($F$12=0,0,IF(予定価格!$G$427=0,ROUND(予定価格!H21*(入力表!$F$12/予定価格!$H$431),-H33),ROUND((予定価格!G21*(入力表!$F$12-予定価格!$H$431)/予定価格!$G$431)+予定価格!H21,-H33)))+I33</f>
        <v>0</v>
      </c>
      <c r="G33" s="258"/>
      <c r="H33" s="47">
        <f t="shared" si="10"/>
        <v>4</v>
      </c>
      <c r="I33" s="48">
        <f t="shared" si="1"/>
        <v>0</v>
      </c>
      <c r="J33" s="116">
        <f t="shared" si="2"/>
        <v>730000</v>
      </c>
      <c r="K33" s="19">
        <f t="shared" si="3"/>
        <v>730000</v>
      </c>
      <c r="L33" s="50"/>
      <c r="M33" s="13">
        <f>ROUND(予定価格!B21*査定表!$B$437,-$F$14)</f>
        <v>730000</v>
      </c>
      <c r="N33">
        <f>IF(M33=0,1,M33/予定価格!B21)</f>
        <v>0.73073073073073069</v>
      </c>
      <c r="O33">
        <f t="shared" si="11"/>
        <v>2</v>
      </c>
      <c r="P33">
        <f t="shared" si="12"/>
        <v>0</v>
      </c>
      <c r="Q33">
        <f>IF(M33=0,0,M33/予定価格!B21)</f>
        <v>0.73073073073073069</v>
      </c>
      <c r="R33">
        <f t="shared" si="13"/>
        <v>19</v>
      </c>
      <c r="S33">
        <f t="shared" si="14"/>
        <v>0</v>
      </c>
      <c r="T33" s="13">
        <f t="shared" si="15"/>
        <v>730000</v>
      </c>
      <c r="U33" s="13" t="e">
        <f>IF(予定価格!$G$427=0,ROUND(予定価格!H21*(入力表!$F$12/予定価格!$H$431),-$F$14),ROUND((予定価格!G21*(入力表!$F$12-予定価格!$H$431)/予定価格!$G$431)+予定価格!H21,-$F$14))</f>
        <v>#DIV/0!</v>
      </c>
      <c r="V33" t="e">
        <f>IF(U33=0,1,IF(予定価格!O21=0,1,(U33-予定価格!P21)/予定価格!O21))</f>
        <v>#DIV/0!</v>
      </c>
      <c r="W33" t="e">
        <f t="shared" si="16"/>
        <v>#DIV/0!</v>
      </c>
      <c r="X33" t="e">
        <f t="shared" si="17"/>
        <v>#DIV/0!</v>
      </c>
      <c r="Y33" t="e">
        <f>IF(U33=0,0,IF(予定価格!G21=0,0,(U33-予定価格!H21)/予定価格!G21))</f>
        <v>#DIV/0!</v>
      </c>
      <c r="Z33" t="e">
        <f t="shared" si="18"/>
        <v>#DIV/0!</v>
      </c>
      <c r="AA33" t="e">
        <f t="shared" si="19"/>
        <v>#DIV/0!</v>
      </c>
      <c r="AB33" s="13" t="e">
        <f t="shared" si="20"/>
        <v>#DIV/0!</v>
      </c>
    </row>
    <row r="34" spans="1:28" x14ac:dyDescent="0.15">
      <c r="A34" t="str">
        <f>+予定価格!A22</f>
        <v>長居駅</v>
      </c>
      <c r="B34" s="258">
        <f>ROUND(予定価格!B22*査定表!$B$437,-D34)+E34</f>
        <v>1080000</v>
      </c>
      <c r="C34" s="258"/>
      <c r="D34" s="45">
        <f t="shared" si="9"/>
        <v>4</v>
      </c>
      <c r="E34" s="46">
        <f t="shared" si="0"/>
        <v>0</v>
      </c>
      <c r="F34" s="258">
        <f>IF($F$12=0,0,IF(予定価格!$G$427=0,ROUND(予定価格!H22*(入力表!$F$12/予定価格!$H$431),-H34),ROUND((予定価格!G22*(入力表!$F$12-予定価格!$H$431)/予定価格!$G$431)+予定価格!H22,-H34)))+I34</f>
        <v>0</v>
      </c>
      <c r="G34" s="258"/>
      <c r="H34" s="47">
        <f t="shared" si="10"/>
        <v>4</v>
      </c>
      <c r="I34" s="48">
        <f t="shared" si="1"/>
        <v>0</v>
      </c>
      <c r="J34" s="116">
        <f t="shared" si="2"/>
        <v>1080000</v>
      </c>
      <c r="K34" s="19">
        <f t="shared" si="3"/>
        <v>1080000</v>
      </c>
      <c r="L34" s="50"/>
      <c r="M34" s="13">
        <f>ROUND(予定価格!B22*査定表!$B$437,-$F$14)</f>
        <v>1080000</v>
      </c>
      <c r="N34">
        <f>IF(M34=0,1,M34/予定価格!B22)</f>
        <v>0.73319755600814662</v>
      </c>
      <c r="O34">
        <f t="shared" si="11"/>
        <v>9</v>
      </c>
      <c r="P34">
        <f t="shared" si="12"/>
        <v>0</v>
      </c>
      <c r="Q34">
        <f>IF(M34=0,0,M34/予定価格!B22)</f>
        <v>0.73319755600814662</v>
      </c>
      <c r="R34">
        <f t="shared" si="13"/>
        <v>12</v>
      </c>
      <c r="S34">
        <f t="shared" si="14"/>
        <v>0</v>
      </c>
      <c r="T34" s="13">
        <f t="shared" si="15"/>
        <v>1080000</v>
      </c>
      <c r="U34" s="13" t="e">
        <f>IF(予定価格!$G$427=0,ROUND(予定価格!H22*(入力表!$F$12/予定価格!$H$431),-$F$14),ROUND((予定価格!G22*(入力表!$F$12-予定価格!$H$431)/予定価格!$G$431)+予定価格!H22,-$F$14))</f>
        <v>#DIV/0!</v>
      </c>
      <c r="V34" t="e">
        <f>IF(U34=0,1,IF(予定価格!O22=0,1,(U34-予定価格!P22)/予定価格!O22))</f>
        <v>#DIV/0!</v>
      </c>
      <c r="W34" t="e">
        <f t="shared" si="16"/>
        <v>#DIV/0!</v>
      </c>
      <c r="X34" t="e">
        <f t="shared" si="17"/>
        <v>#DIV/0!</v>
      </c>
      <c r="Y34" t="e">
        <f>IF(U34=0,0,IF(予定価格!G22=0,0,(U34-予定価格!H22)/予定価格!G22))</f>
        <v>#DIV/0!</v>
      </c>
      <c r="Z34" t="e">
        <f t="shared" si="18"/>
        <v>#DIV/0!</v>
      </c>
      <c r="AA34" t="e">
        <f t="shared" si="19"/>
        <v>#DIV/0!</v>
      </c>
      <c r="AB34" s="13" t="e">
        <f t="shared" si="20"/>
        <v>#DIV/0!</v>
      </c>
    </row>
    <row r="35" spans="1:28" x14ac:dyDescent="0.15">
      <c r="A35" t="str">
        <f>+予定価格!A23</f>
        <v>あびこ駅</v>
      </c>
      <c r="B35" s="258">
        <f>ROUND(予定価格!B23*査定表!$B$437,-D35)+E35</f>
        <v>980000</v>
      </c>
      <c r="C35" s="258"/>
      <c r="D35" s="45">
        <f t="shared" si="9"/>
        <v>4</v>
      </c>
      <c r="E35" s="46">
        <f t="shared" si="0"/>
        <v>0</v>
      </c>
      <c r="F35" s="258">
        <f>IF($F$12=0,0,IF(予定価格!$G$427=0,ROUND(予定価格!H23*(入力表!$F$12/予定価格!$H$431),-H35),ROUND((予定価格!G23*(入力表!$F$12-予定価格!$H$431)/予定価格!$G$431)+予定価格!H23,-H35)))+I35</f>
        <v>0</v>
      </c>
      <c r="G35" s="258"/>
      <c r="H35" s="47">
        <f t="shared" si="10"/>
        <v>4</v>
      </c>
      <c r="I35" s="48">
        <f t="shared" si="1"/>
        <v>0</v>
      </c>
      <c r="J35" s="116">
        <f t="shared" si="2"/>
        <v>980000</v>
      </c>
      <c r="K35" s="19">
        <f t="shared" si="3"/>
        <v>980000</v>
      </c>
      <c r="L35" s="50"/>
      <c r="M35" s="13">
        <f>ROUND(予定価格!B23*査定表!$B$437,-$F$14)</f>
        <v>980000</v>
      </c>
      <c r="N35">
        <f>IF(M35=0,1,M35/予定価格!B23)</f>
        <v>0.73298429319371727</v>
      </c>
      <c r="O35">
        <f t="shared" si="11"/>
        <v>8</v>
      </c>
      <c r="P35">
        <f t="shared" si="12"/>
        <v>0</v>
      </c>
      <c r="Q35">
        <f>IF(M35=0,0,M35/予定価格!B23)</f>
        <v>0.73298429319371727</v>
      </c>
      <c r="R35">
        <f t="shared" si="13"/>
        <v>13</v>
      </c>
      <c r="S35">
        <f t="shared" si="14"/>
        <v>0</v>
      </c>
      <c r="T35" s="13">
        <f t="shared" si="15"/>
        <v>980000</v>
      </c>
      <c r="U35" s="13" t="e">
        <f>IF(予定価格!$G$427=0,ROUND(予定価格!H23*(入力表!$F$12/予定価格!$H$431),-$F$14),ROUND((予定価格!G23*(入力表!$F$12-予定価格!$H$431)/予定価格!$G$431)+予定価格!H23,-$F$14))</f>
        <v>#DIV/0!</v>
      </c>
      <c r="V35" t="e">
        <f>IF(U35=0,1,IF(予定価格!O23=0,1,(U35-予定価格!P23)/予定価格!O23))</f>
        <v>#DIV/0!</v>
      </c>
      <c r="W35" t="e">
        <f t="shared" si="16"/>
        <v>#DIV/0!</v>
      </c>
      <c r="X35" t="e">
        <f t="shared" si="17"/>
        <v>#DIV/0!</v>
      </c>
      <c r="Y35" t="e">
        <f>IF(U35=0,0,IF(予定価格!G23=0,0,(U35-予定価格!H23)/予定価格!G23))</f>
        <v>#DIV/0!</v>
      </c>
      <c r="Z35" t="e">
        <f t="shared" si="18"/>
        <v>#DIV/0!</v>
      </c>
      <c r="AA35" t="e">
        <f t="shared" si="19"/>
        <v>#DIV/0!</v>
      </c>
      <c r="AB35" s="13" t="e">
        <f t="shared" si="20"/>
        <v>#DIV/0!</v>
      </c>
    </row>
    <row r="36" spans="1:28" x14ac:dyDescent="0.15">
      <c r="A36" t="str">
        <f>+予定価格!A24</f>
        <v>北花田駅</v>
      </c>
      <c r="B36" s="258">
        <f>ROUND(予定価格!B24*査定表!$B$437,-D36)+E36</f>
        <v>770000</v>
      </c>
      <c r="C36" s="258"/>
      <c r="D36" s="45">
        <f t="shared" si="9"/>
        <v>4</v>
      </c>
      <c r="E36" s="46">
        <f t="shared" si="0"/>
        <v>0</v>
      </c>
      <c r="F36" s="258">
        <f>IF($F$12=0,0,IF(予定価格!$G$427=0,ROUND(予定価格!H24*(入力表!$F$12/予定価格!$H$431),-H36),ROUND((予定価格!G24*(入力表!$F$12-予定価格!$H$431)/予定価格!$G$431)+予定価格!H24,-H36)))+I36</f>
        <v>0</v>
      </c>
      <c r="G36" s="258"/>
      <c r="H36" s="47">
        <f t="shared" si="10"/>
        <v>4</v>
      </c>
      <c r="I36" s="48">
        <f t="shared" si="1"/>
        <v>0</v>
      </c>
      <c r="J36" s="116">
        <f t="shared" si="2"/>
        <v>770000</v>
      </c>
      <c r="K36" s="19">
        <f t="shared" si="3"/>
        <v>770000</v>
      </c>
      <c r="L36" s="50"/>
      <c r="M36" s="13">
        <f>ROUND(予定価格!B24*査定表!$B$437,-$F$14)</f>
        <v>770000</v>
      </c>
      <c r="N36">
        <f>IF(M36=0,1,M36/予定価格!B24)</f>
        <v>0.7354345749761223</v>
      </c>
      <c r="O36">
        <f t="shared" si="11"/>
        <v>17</v>
      </c>
      <c r="P36">
        <f t="shared" si="12"/>
        <v>0</v>
      </c>
      <c r="Q36">
        <f>IF(M36=0,0,M36/予定価格!B24)</f>
        <v>0.7354345749761223</v>
      </c>
      <c r="R36">
        <f t="shared" si="13"/>
        <v>4</v>
      </c>
      <c r="S36">
        <f t="shared" si="14"/>
        <v>0</v>
      </c>
      <c r="T36" s="13">
        <f t="shared" si="15"/>
        <v>770000</v>
      </c>
      <c r="U36" s="13" t="e">
        <f>IF(予定価格!$G$427=0,ROUND(予定価格!H24*(入力表!$F$12/予定価格!$H$431),-$F$14),ROUND((予定価格!G24*(入力表!$F$12-予定価格!$H$431)/予定価格!$G$431)+予定価格!H24,-$F$14))</f>
        <v>#DIV/0!</v>
      </c>
      <c r="V36" t="e">
        <f>IF(U36=0,1,IF(予定価格!O24=0,1,(U36-予定価格!P24)/予定価格!O24))</f>
        <v>#DIV/0!</v>
      </c>
      <c r="W36" t="e">
        <f t="shared" si="16"/>
        <v>#DIV/0!</v>
      </c>
      <c r="X36" t="e">
        <f t="shared" si="17"/>
        <v>#DIV/0!</v>
      </c>
      <c r="Y36" t="e">
        <f>IF(U36=0,0,IF(予定価格!G24=0,0,(U36-予定価格!H24)/予定価格!G24))</f>
        <v>#DIV/0!</v>
      </c>
      <c r="Z36" t="e">
        <f t="shared" si="18"/>
        <v>#DIV/0!</v>
      </c>
      <c r="AA36" t="e">
        <f t="shared" si="19"/>
        <v>#DIV/0!</v>
      </c>
      <c r="AB36" s="13" t="e">
        <f t="shared" si="20"/>
        <v>#DIV/0!</v>
      </c>
    </row>
    <row r="37" spans="1:28" x14ac:dyDescent="0.15">
      <c r="A37" t="str">
        <f>+予定価格!A25</f>
        <v>新金岡駅</v>
      </c>
      <c r="B37" s="258">
        <f>ROUND(予定価格!B25*査定表!$B$437,-D37)+E37</f>
        <v>790000</v>
      </c>
      <c r="C37" s="258"/>
      <c r="D37" s="45">
        <f t="shared" si="9"/>
        <v>4</v>
      </c>
      <c r="E37" s="46">
        <f t="shared" si="0"/>
        <v>0</v>
      </c>
      <c r="F37" s="258">
        <f>IF($F$12=0,0,IF(予定価格!$G$427=0,ROUND(予定価格!H25*(入力表!$F$12/予定価格!$H$431),-H37),ROUND((予定価格!G25*(入力表!$F$12-予定価格!$H$431)/予定価格!$G$431)+予定価格!H25,-H37)))+I37</f>
        <v>0</v>
      </c>
      <c r="G37" s="258"/>
      <c r="H37" s="47">
        <f t="shared" si="10"/>
        <v>4</v>
      </c>
      <c r="I37" s="48">
        <f t="shared" si="1"/>
        <v>0</v>
      </c>
      <c r="J37" s="116">
        <f t="shared" si="2"/>
        <v>790000</v>
      </c>
      <c r="K37" s="19">
        <f t="shared" si="3"/>
        <v>790000</v>
      </c>
      <c r="L37" s="50"/>
      <c r="M37" s="13">
        <f>ROUND(予定価格!B25*査定表!$B$437,-$F$14)</f>
        <v>790000</v>
      </c>
      <c r="N37">
        <f>IF(M37=0,1,M37/予定価格!B25)</f>
        <v>0.7335190343546889</v>
      </c>
      <c r="O37">
        <f t="shared" si="11"/>
        <v>13</v>
      </c>
      <c r="P37">
        <f t="shared" si="12"/>
        <v>0</v>
      </c>
      <c r="Q37">
        <f>IF(M37=0,0,M37/予定価格!B25)</f>
        <v>0.7335190343546889</v>
      </c>
      <c r="R37">
        <f t="shared" si="13"/>
        <v>8</v>
      </c>
      <c r="S37">
        <f t="shared" si="14"/>
        <v>0</v>
      </c>
      <c r="T37" s="13">
        <f t="shared" si="15"/>
        <v>790000</v>
      </c>
      <c r="U37" s="13" t="e">
        <f>IF(予定価格!$G$427=0,ROUND(予定価格!H25*(入力表!$F$12/予定価格!$H$431),-$F$14),ROUND((予定価格!G25*(入力表!$F$12-予定価格!$H$431)/予定価格!$G$431)+予定価格!H25,-$F$14))</f>
        <v>#DIV/0!</v>
      </c>
      <c r="V37" t="e">
        <f>IF(U37=0,1,IF(予定価格!O25=0,1,(U37-予定価格!P25)/予定価格!O25))</f>
        <v>#DIV/0!</v>
      </c>
      <c r="W37" t="e">
        <f t="shared" si="16"/>
        <v>#DIV/0!</v>
      </c>
      <c r="X37" t="e">
        <f t="shared" si="17"/>
        <v>#DIV/0!</v>
      </c>
      <c r="Y37" t="e">
        <f>IF(U37=0,0,IF(予定価格!G25=0,0,(U37-予定価格!H25)/予定価格!G25))</f>
        <v>#DIV/0!</v>
      </c>
      <c r="Z37" t="e">
        <f t="shared" si="18"/>
        <v>#DIV/0!</v>
      </c>
      <c r="AA37" t="e">
        <f t="shared" si="19"/>
        <v>#DIV/0!</v>
      </c>
      <c r="AB37" s="13" t="e">
        <f t="shared" si="20"/>
        <v>#DIV/0!</v>
      </c>
    </row>
    <row r="38" spans="1:28" x14ac:dyDescent="0.15">
      <c r="A38" t="str">
        <f>+予定価格!A26</f>
        <v>なかもず駅</v>
      </c>
      <c r="B38" s="258">
        <f>ROUND(予定価格!B26*査定表!$B$437,-D38)+E38</f>
        <v>780000</v>
      </c>
      <c r="C38" s="258"/>
      <c r="D38" s="45">
        <f t="shared" si="9"/>
        <v>4</v>
      </c>
      <c r="E38" s="46">
        <f t="shared" si="0"/>
        <v>0</v>
      </c>
      <c r="F38" s="258">
        <f>IF($F$12=0,0,IF(予定価格!$G$427=0,ROUND(予定価格!H26*(入力表!$F$12/予定価格!$H$431),-H38),ROUND((予定価格!G26*(入力表!$F$12-予定価格!$H$431)/予定価格!$G$431)+予定価格!H26,-H38)))+I38</f>
        <v>0</v>
      </c>
      <c r="G38" s="258"/>
      <c r="H38" s="47">
        <f t="shared" si="10"/>
        <v>4</v>
      </c>
      <c r="I38" s="48">
        <f t="shared" si="1"/>
        <v>0</v>
      </c>
      <c r="J38" s="116">
        <f t="shared" si="2"/>
        <v>780000</v>
      </c>
      <c r="K38" s="19">
        <f t="shared" si="3"/>
        <v>780000</v>
      </c>
      <c r="L38" s="50"/>
      <c r="M38" s="13">
        <f>ROUND(予定価格!B26*査定表!$B$437,-$F$14)</f>
        <v>780000</v>
      </c>
      <c r="N38">
        <f>IF(M38=0,1,M38/予定価格!B26)</f>
        <v>0.73102155576382377</v>
      </c>
      <c r="O38">
        <f t="shared" si="11"/>
        <v>3</v>
      </c>
      <c r="P38">
        <f t="shared" si="12"/>
        <v>0</v>
      </c>
      <c r="Q38">
        <f>IF(M38=0,0,M38/予定価格!B26)</f>
        <v>0.73102155576382377</v>
      </c>
      <c r="R38">
        <f t="shared" si="13"/>
        <v>18</v>
      </c>
      <c r="S38">
        <f t="shared" si="14"/>
        <v>0</v>
      </c>
      <c r="T38" s="13">
        <f t="shared" si="15"/>
        <v>780000</v>
      </c>
      <c r="U38" s="13" t="e">
        <f>IF(予定価格!$G$427=0,ROUND(予定価格!H26*(入力表!$F$12/予定価格!$H$431),-$F$14),ROUND((予定価格!G26*(入力表!$F$12-予定価格!$H$431)/予定価格!$G$431)+予定価格!H26,-$F$14))</f>
        <v>#DIV/0!</v>
      </c>
      <c r="V38" t="e">
        <f>IF(U38=0,1,IF(予定価格!O26=0,1,(U38-予定価格!P26)/予定価格!O26))</f>
        <v>#DIV/0!</v>
      </c>
      <c r="W38" t="e">
        <f t="shared" si="16"/>
        <v>#DIV/0!</v>
      </c>
      <c r="X38" t="e">
        <f t="shared" si="17"/>
        <v>#DIV/0!</v>
      </c>
      <c r="Y38" t="e">
        <f>IF(U38=0,0,IF(予定価格!G26=0,0,(U38-予定価格!H26)/予定価格!G26))</f>
        <v>#DIV/0!</v>
      </c>
      <c r="Z38" t="e">
        <f t="shared" si="18"/>
        <v>#DIV/0!</v>
      </c>
      <c r="AA38" t="e">
        <f t="shared" si="19"/>
        <v>#DIV/0!</v>
      </c>
      <c r="AB38" s="13" t="e">
        <f t="shared" si="20"/>
        <v>#DIV/0!</v>
      </c>
    </row>
    <row r="39" spans="1:28" x14ac:dyDescent="0.15">
      <c r="A39">
        <f>+予定価格!A27</f>
        <v>0</v>
      </c>
      <c r="B39" s="258">
        <f>ROUND(予定価格!B27*査定表!$B$437,-D39)+E39</f>
        <v>0</v>
      </c>
      <c r="C39" s="258"/>
      <c r="D39" s="45">
        <f t="shared" si="9"/>
        <v>4</v>
      </c>
      <c r="E39" s="46">
        <f t="shared" si="0"/>
        <v>0</v>
      </c>
      <c r="F39" s="258">
        <f>IF($F$12=0,0,IF(予定価格!$G$427=0,ROUND(予定価格!H27*(入力表!$F$12/予定価格!$H$431),-H39),ROUND((予定価格!G27*(入力表!$F$12-予定価格!$H$431)/予定価格!$G$431)+予定価格!H27,-H39)))+I39</f>
        <v>0</v>
      </c>
      <c r="G39" s="258"/>
      <c r="H39" s="47">
        <f t="shared" si="10"/>
        <v>4</v>
      </c>
      <c r="I39" s="48">
        <f t="shared" si="1"/>
        <v>0</v>
      </c>
      <c r="J39" s="116">
        <f t="shared" si="2"/>
        <v>0</v>
      </c>
      <c r="K39" s="19">
        <f t="shared" si="3"/>
        <v>0</v>
      </c>
      <c r="L39" s="50"/>
      <c r="M39" s="13">
        <f>ROUND(予定価格!B27*査定表!$B$437,-$F$14)</f>
        <v>0</v>
      </c>
      <c r="N39">
        <f>IF(M39=0,1,M39/予定価格!B27)</f>
        <v>1</v>
      </c>
      <c r="O39">
        <f t="shared" si="11"/>
        <v>21</v>
      </c>
      <c r="P39">
        <f t="shared" si="12"/>
        <v>0</v>
      </c>
      <c r="Q39">
        <f>IF(M39=0,0,M39/予定価格!B27)</f>
        <v>0</v>
      </c>
      <c r="R39">
        <f t="shared" si="13"/>
        <v>21</v>
      </c>
      <c r="S39">
        <f t="shared" si="14"/>
        <v>0</v>
      </c>
      <c r="T39" s="13">
        <f t="shared" si="15"/>
        <v>0</v>
      </c>
      <c r="U39" s="13" t="e">
        <f>IF(予定価格!$G$427=0,ROUND(予定価格!H27*(入力表!$F$12/予定価格!$H$431),-$F$14),ROUND((予定価格!G27*(入力表!$F$12-予定価格!$H$431)/予定価格!$G$431)+予定価格!H27,-$F$14))</f>
        <v>#DIV/0!</v>
      </c>
      <c r="V39" t="e">
        <f>IF(U39=0,1,IF(予定価格!O27=0,1,(U39-予定価格!P27)/予定価格!O27))</f>
        <v>#DIV/0!</v>
      </c>
      <c r="W39" t="e">
        <f t="shared" si="16"/>
        <v>#DIV/0!</v>
      </c>
      <c r="X39" t="e">
        <f t="shared" si="17"/>
        <v>#DIV/0!</v>
      </c>
      <c r="Y39" t="e">
        <f>IF(U39=0,0,IF(予定価格!G27=0,0,(U39-予定価格!H27)/予定価格!G27))</f>
        <v>#DIV/0!</v>
      </c>
      <c r="Z39" t="e">
        <f t="shared" si="18"/>
        <v>#DIV/0!</v>
      </c>
      <c r="AA39" t="e">
        <f t="shared" si="19"/>
        <v>#DIV/0!</v>
      </c>
      <c r="AB39" s="13" t="e">
        <f t="shared" si="20"/>
        <v>#DIV/0!</v>
      </c>
    </row>
    <row r="40" spans="1:28" hidden="1" x14ac:dyDescent="0.15">
      <c r="A40">
        <f>+予定価格!A28</f>
        <v>0</v>
      </c>
      <c r="B40" s="258">
        <f>ROUND(予定価格!B28*査定表!$B$437,-D40)+E40</f>
        <v>0</v>
      </c>
      <c r="C40" s="258"/>
      <c r="D40" s="45">
        <f t="shared" si="9"/>
        <v>4</v>
      </c>
      <c r="E40" s="46">
        <f t="shared" si="0"/>
        <v>0</v>
      </c>
      <c r="F40" s="258">
        <f>IF($F$12=0,0,IF(予定価格!$G$427=0,ROUND(予定価格!H28*(入力表!$F$12/予定価格!$H$431),-H40),ROUND((予定価格!G28*(入力表!$F$12-予定価格!$H$431)/予定価格!$G$431)+予定価格!H28,-H40)))+I40</f>
        <v>0</v>
      </c>
      <c r="G40" s="258"/>
      <c r="H40" s="47">
        <f t="shared" si="10"/>
        <v>4</v>
      </c>
      <c r="I40" s="48">
        <f t="shared" si="1"/>
        <v>0</v>
      </c>
      <c r="J40" s="116">
        <f t="shared" si="2"/>
        <v>0</v>
      </c>
      <c r="K40" s="19">
        <f t="shared" si="3"/>
        <v>0</v>
      </c>
      <c r="L40" s="50"/>
      <c r="M40" s="13">
        <f>ROUND(予定価格!B28*査定表!$B$437,-$F$14)</f>
        <v>0</v>
      </c>
      <c r="N40">
        <f>IF(M40=0,1,M40/予定価格!B28)</f>
        <v>1</v>
      </c>
      <c r="O40">
        <f t="shared" si="11"/>
        <v>21</v>
      </c>
      <c r="P40">
        <f t="shared" si="12"/>
        <v>0</v>
      </c>
      <c r="Q40">
        <f>IF(M40=0,0,M40/予定価格!B28)</f>
        <v>0</v>
      </c>
      <c r="R40">
        <f t="shared" si="13"/>
        <v>21</v>
      </c>
      <c r="S40">
        <f t="shared" si="14"/>
        <v>0</v>
      </c>
      <c r="T40" s="13">
        <f t="shared" si="15"/>
        <v>0</v>
      </c>
      <c r="U40" s="13" t="e">
        <f>IF(予定価格!$G$427=0,ROUND(予定価格!H28*(入力表!$F$12/予定価格!$H$431),-$F$14),ROUND((予定価格!G28*(入力表!$F$12-予定価格!$H$431)/予定価格!$G$431)+予定価格!H28,-$F$14))</f>
        <v>#DIV/0!</v>
      </c>
      <c r="V40" t="e">
        <f>IF(U40=0,1,IF(予定価格!O28=0,1,(U40-予定価格!P28)/予定価格!O28))</f>
        <v>#DIV/0!</v>
      </c>
      <c r="W40" t="e">
        <f t="shared" si="16"/>
        <v>#DIV/0!</v>
      </c>
      <c r="X40" t="e">
        <f t="shared" si="17"/>
        <v>#DIV/0!</v>
      </c>
      <c r="Y40" t="e">
        <f>IF(U40=0,0,IF(予定価格!G28=0,0,(U40-予定価格!H28)/予定価格!G28))</f>
        <v>#DIV/0!</v>
      </c>
      <c r="Z40" t="e">
        <f t="shared" si="18"/>
        <v>#DIV/0!</v>
      </c>
      <c r="AA40" t="e">
        <f t="shared" si="19"/>
        <v>#DIV/0!</v>
      </c>
      <c r="AB40" s="13" t="e">
        <f t="shared" si="20"/>
        <v>#DIV/0!</v>
      </c>
    </row>
    <row r="41" spans="1:28" hidden="1" x14ac:dyDescent="0.15">
      <c r="A41">
        <f>+予定価格!A29</f>
        <v>0</v>
      </c>
      <c r="B41" s="258">
        <f>ROUND(予定価格!B29*査定表!$B$437,-D41)+E41</f>
        <v>0</v>
      </c>
      <c r="C41" s="258"/>
      <c r="D41" s="45">
        <f t="shared" si="9"/>
        <v>4</v>
      </c>
      <c r="E41" s="46">
        <f t="shared" si="0"/>
        <v>0</v>
      </c>
      <c r="F41" s="258">
        <f>IF($F$12=0,0,IF(予定価格!$G$427=0,ROUND(予定価格!H29*(入力表!$F$12/予定価格!$H$431),-H41),ROUND((予定価格!G29*(入力表!$F$12-予定価格!$H$431)/予定価格!$G$431)+予定価格!H29,-H41)))+I41</f>
        <v>0</v>
      </c>
      <c r="G41" s="258"/>
      <c r="H41" s="47">
        <f t="shared" si="10"/>
        <v>4</v>
      </c>
      <c r="I41" s="48">
        <f t="shared" si="1"/>
        <v>0</v>
      </c>
      <c r="J41" s="116">
        <f t="shared" si="2"/>
        <v>0</v>
      </c>
      <c r="K41" s="19">
        <f t="shared" si="3"/>
        <v>0</v>
      </c>
      <c r="L41" s="50"/>
      <c r="M41" s="13">
        <f>ROUND(予定価格!B29*査定表!$B$437,-$F$14)</f>
        <v>0</v>
      </c>
      <c r="N41">
        <f>IF(M41=0,1,M41/予定価格!B29)</f>
        <v>1</v>
      </c>
      <c r="O41">
        <f t="shared" si="11"/>
        <v>21</v>
      </c>
      <c r="P41">
        <f t="shared" si="12"/>
        <v>0</v>
      </c>
      <c r="Q41">
        <f>IF(M41=0,0,M41/予定価格!B29)</f>
        <v>0</v>
      </c>
      <c r="R41">
        <f t="shared" si="13"/>
        <v>21</v>
      </c>
      <c r="S41">
        <f t="shared" si="14"/>
        <v>0</v>
      </c>
      <c r="T41" s="13">
        <f t="shared" si="15"/>
        <v>0</v>
      </c>
      <c r="U41" s="13" t="e">
        <f>IF(予定価格!$G$427=0,ROUND(予定価格!H29*(入力表!$F$12/予定価格!$H$431),-$F$14),ROUND((予定価格!G29*(入力表!$F$12-予定価格!$H$431)/予定価格!$G$431)+予定価格!H29,-$F$14))</f>
        <v>#DIV/0!</v>
      </c>
      <c r="V41" t="e">
        <f>IF(U41=0,1,IF(予定価格!O29=0,1,(U41-予定価格!P29)/予定価格!O29))</f>
        <v>#DIV/0!</v>
      </c>
      <c r="W41" t="e">
        <f t="shared" si="16"/>
        <v>#DIV/0!</v>
      </c>
      <c r="X41" t="e">
        <f t="shared" si="17"/>
        <v>#DIV/0!</v>
      </c>
      <c r="Y41" t="e">
        <f>IF(U41=0,0,IF(予定価格!G29=0,0,(U41-予定価格!H29)/予定価格!G29))</f>
        <v>#DIV/0!</v>
      </c>
      <c r="Z41" t="e">
        <f t="shared" si="18"/>
        <v>#DIV/0!</v>
      </c>
      <c r="AA41" t="e">
        <f t="shared" si="19"/>
        <v>#DIV/0!</v>
      </c>
      <c r="AB41" s="13" t="e">
        <f t="shared" si="20"/>
        <v>#DIV/0!</v>
      </c>
    </row>
    <row r="42" spans="1:28" hidden="1" x14ac:dyDescent="0.15">
      <c r="A42">
        <f>+予定価格!A30</f>
        <v>0</v>
      </c>
      <c r="B42" s="258">
        <f>ROUND(予定価格!B30*査定表!$B$437,-D42)+E42</f>
        <v>0</v>
      </c>
      <c r="C42" s="258"/>
      <c r="D42" s="45">
        <f t="shared" si="9"/>
        <v>4</v>
      </c>
      <c r="E42" s="46">
        <f t="shared" si="0"/>
        <v>0</v>
      </c>
      <c r="F42" s="258">
        <f>IF($F$12=0,0,IF(予定価格!$G$427=0,ROUND(予定価格!H30*(入力表!$F$12/予定価格!$H$431),-H42),ROUND((予定価格!G30*(入力表!$F$12-予定価格!$H$431)/予定価格!$G$431)+予定価格!H30,-H42)))+I42</f>
        <v>0</v>
      </c>
      <c r="G42" s="258"/>
      <c r="H42" s="47">
        <f t="shared" si="10"/>
        <v>4</v>
      </c>
      <c r="I42" s="48">
        <f t="shared" si="1"/>
        <v>0</v>
      </c>
      <c r="J42" s="116">
        <f t="shared" si="2"/>
        <v>0</v>
      </c>
      <c r="K42" s="19">
        <f t="shared" si="3"/>
        <v>0</v>
      </c>
      <c r="L42" s="50"/>
      <c r="M42" s="13">
        <f>ROUND(予定価格!B30*査定表!$B$437,-$F$14)</f>
        <v>0</v>
      </c>
      <c r="N42">
        <f>IF(M42=0,1,M42/予定価格!B30)</f>
        <v>1</v>
      </c>
      <c r="O42">
        <f t="shared" si="11"/>
        <v>21</v>
      </c>
      <c r="P42">
        <f t="shared" si="12"/>
        <v>0</v>
      </c>
      <c r="Q42">
        <f>IF(M42=0,0,M42/予定価格!B30)</f>
        <v>0</v>
      </c>
      <c r="R42">
        <f t="shared" si="13"/>
        <v>21</v>
      </c>
      <c r="S42">
        <f t="shared" si="14"/>
        <v>0</v>
      </c>
      <c r="T42" s="13">
        <f t="shared" si="15"/>
        <v>0</v>
      </c>
      <c r="U42" s="13" t="e">
        <f>IF(予定価格!$G$427=0,ROUND(予定価格!H30*(入力表!$F$12/予定価格!$H$431),-$F$14),ROUND((予定価格!G30*(入力表!$F$12-予定価格!$H$431)/予定価格!$G$431)+予定価格!H30,-$F$14))</f>
        <v>#DIV/0!</v>
      </c>
      <c r="V42" t="e">
        <f>IF(U42=0,1,IF(予定価格!O30=0,1,(U42-予定価格!P30)/予定価格!O30))</f>
        <v>#DIV/0!</v>
      </c>
      <c r="W42" t="e">
        <f t="shared" si="16"/>
        <v>#DIV/0!</v>
      </c>
      <c r="X42" t="e">
        <f t="shared" si="17"/>
        <v>#DIV/0!</v>
      </c>
      <c r="Y42" t="e">
        <f>IF(U42=0,0,IF(予定価格!G30=0,0,(U42-予定価格!H30)/予定価格!G30))</f>
        <v>#DIV/0!</v>
      </c>
      <c r="Z42" t="e">
        <f t="shared" si="18"/>
        <v>#DIV/0!</v>
      </c>
      <c r="AA42" t="e">
        <f t="shared" si="19"/>
        <v>#DIV/0!</v>
      </c>
      <c r="AB42" s="13" t="e">
        <f t="shared" si="20"/>
        <v>#DIV/0!</v>
      </c>
    </row>
    <row r="43" spans="1:28" hidden="1" x14ac:dyDescent="0.15">
      <c r="A43">
        <f>+予定価格!A31</f>
        <v>0</v>
      </c>
      <c r="B43" s="258">
        <f>ROUND(予定価格!B31*査定表!$B$437,-D43)+E43</f>
        <v>0</v>
      </c>
      <c r="C43" s="258"/>
      <c r="D43" s="45">
        <f t="shared" si="9"/>
        <v>4</v>
      </c>
      <c r="E43" s="46">
        <f t="shared" si="0"/>
        <v>0</v>
      </c>
      <c r="F43" s="258">
        <f>IF($F$12=0,0,IF(予定価格!$G$427=0,ROUND(予定価格!H31*(入力表!$F$12/予定価格!$H$431),-H43),ROUND((予定価格!G31*(入力表!$F$12-予定価格!$H$431)/予定価格!$G$431)+予定価格!H31,-H43)))+I43</f>
        <v>0</v>
      </c>
      <c r="G43" s="258"/>
      <c r="H43" s="47">
        <f t="shared" si="10"/>
        <v>4</v>
      </c>
      <c r="I43" s="48">
        <f t="shared" si="1"/>
        <v>0</v>
      </c>
      <c r="J43" s="116">
        <f t="shared" si="2"/>
        <v>0</v>
      </c>
      <c r="K43" s="19">
        <f t="shared" si="3"/>
        <v>0</v>
      </c>
      <c r="L43" s="50"/>
      <c r="M43" s="13">
        <f>ROUND(予定価格!B31*査定表!$B$437,-$F$14)</f>
        <v>0</v>
      </c>
      <c r="N43">
        <f>IF(M43=0,1,M43/予定価格!B31)</f>
        <v>1</v>
      </c>
      <c r="O43">
        <f t="shared" si="11"/>
        <v>21</v>
      </c>
      <c r="P43">
        <f t="shared" si="12"/>
        <v>0</v>
      </c>
      <c r="Q43">
        <f>IF(M43=0,0,M43/予定価格!B31)</f>
        <v>0</v>
      </c>
      <c r="R43">
        <f t="shared" si="13"/>
        <v>21</v>
      </c>
      <c r="S43">
        <f t="shared" si="14"/>
        <v>0</v>
      </c>
      <c r="T43" s="13">
        <f t="shared" si="15"/>
        <v>0</v>
      </c>
      <c r="U43" s="13" t="e">
        <f>IF(予定価格!$G$427=0,ROUND(予定価格!H31*(入力表!$F$12/予定価格!$H$431),-$F$14),ROUND((予定価格!G31*(入力表!$F$12-予定価格!$H$431)/予定価格!$G$431)+予定価格!H31,-$F$14))</f>
        <v>#DIV/0!</v>
      </c>
      <c r="V43" t="e">
        <f>IF(U43=0,1,IF(予定価格!O31=0,1,(U43-予定価格!P31)/予定価格!O31))</f>
        <v>#DIV/0!</v>
      </c>
      <c r="W43" t="e">
        <f t="shared" si="16"/>
        <v>#DIV/0!</v>
      </c>
      <c r="X43" t="e">
        <f t="shared" si="17"/>
        <v>#DIV/0!</v>
      </c>
      <c r="Y43" t="e">
        <f>IF(U43=0,0,IF(予定価格!G31=0,0,(U43-予定価格!H31)/予定価格!G31))</f>
        <v>#DIV/0!</v>
      </c>
      <c r="Z43" t="e">
        <f t="shared" si="18"/>
        <v>#DIV/0!</v>
      </c>
      <c r="AA43" t="e">
        <f t="shared" si="19"/>
        <v>#DIV/0!</v>
      </c>
      <c r="AB43" s="13" t="e">
        <f t="shared" si="20"/>
        <v>#DIV/0!</v>
      </c>
    </row>
    <row r="44" spans="1:28" hidden="1" x14ac:dyDescent="0.15">
      <c r="A44">
        <f>+予定価格!A32</f>
        <v>0</v>
      </c>
      <c r="B44" s="258">
        <f>ROUND(予定価格!B32*査定表!$B$437,-D44)+E44</f>
        <v>0</v>
      </c>
      <c r="C44" s="258"/>
      <c r="D44" s="45">
        <f t="shared" si="9"/>
        <v>4</v>
      </c>
      <c r="E44" s="46">
        <f t="shared" si="0"/>
        <v>0</v>
      </c>
      <c r="F44" s="258">
        <f>IF($F$12=0,0,IF(予定価格!$G$427=0,ROUND(予定価格!H32*(入力表!$F$12/予定価格!$H$431),-H44),ROUND((予定価格!G32*(入力表!$F$12-予定価格!$H$431)/予定価格!$G$431)+予定価格!H32,-H44)))+I44</f>
        <v>0</v>
      </c>
      <c r="G44" s="258"/>
      <c r="H44" s="47">
        <f t="shared" si="10"/>
        <v>4</v>
      </c>
      <c r="I44" s="48">
        <f t="shared" si="1"/>
        <v>0</v>
      </c>
      <c r="J44" s="116">
        <f t="shared" si="2"/>
        <v>0</v>
      </c>
      <c r="K44" s="19">
        <f t="shared" si="3"/>
        <v>0</v>
      </c>
      <c r="L44" s="50"/>
      <c r="M44" s="13">
        <f>ROUND(予定価格!B32*査定表!$B$437,-$F$14)</f>
        <v>0</v>
      </c>
      <c r="N44">
        <f>IF(M44=0,1,M44/予定価格!B32)</f>
        <v>1</v>
      </c>
      <c r="O44">
        <f t="shared" si="11"/>
        <v>21</v>
      </c>
      <c r="P44">
        <f t="shared" si="12"/>
        <v>0</v>
      </c>
      <c r="Q44">
        <f>IF(M44=0,0,M44/予定価格!B32)</f>
        <v>0</v>
      </c>
      <c r="R44">
        <f t="shared" si="13"/>
        <v>21</v>
      </c>
      <c r="S44">
        <f t="shared" si="14"/>
        <v>0</v>
      </c>
      <c r="T44" s="13">
        <f t="shared" si="15"/>
        <v>0</v>
      </c>
      <c r="U44" s="13" t="e">
        <f>IF(予定価格!$G$427=0,ROUND(予定価格!H32*(入力表!$F$12/予定価格!$H$431),-$F$14),ROUND((予定価格!G32*(入力表!$F$12-予定価格!$H$431)/予定価格!$G$431)+予定価格!H32,-$F$14))</f>
        <v>#DIV/0!</v>
      </c>
      <c r="V44" t="e">
        <f>IF(U44=0,1,IF(予定価格!O32=0,1,(U44-予定価格!P32)/予定価格!O32))</f>
        <v>#DIV/0!</v>
      </c>
      <c r="W44" t="e">
        <f t="shared" si="16"/>
        <v>#DIV/0!</v>
      </c>
      <c r="X44" t="e">
        <f t="shared" si="17"/>
        <v>#DIV/0!</v>
      </c>
      <c r="Y44" t="e">
        <f>IF(U44=0,0,IF(予定価格!G32=0,0,(U44-予定価格!H32)/予定価格!G32))</f>
        <v>#DIV/0!</v>
      </c>
      <c r="Z44" t="e">
        <f t="shared" si="18"/>
        <v>#DIV/0!</v>
      </c>
      <c r="AA44" t="e">
        <f t="shared" si="19"/>
        <v>#DIV/0!</v>
      </c>
      <c r="AB44" s="13" t="e">
        <f t="shared" si="20"/>
        <v>#DIV/0!</v>
      </c>
    </row>
    <row r="45" spans="1:28" hidden="1" x14ac:dyDescent="0.15">
      <c r="A45">
        <f>+予定価格!A33</f>
        <v>0</v>
      </c>
      <c r="B45" s="258">
        <f>ROUND(予定価格!B33*査定表!$B$437,-D45)+E45</f>
        <v>0</v>
      </c>
      <c r="C45" s="258"/>
      <c r="D45" s="45">
        <f t="shared" si="9"/>
        <v>4</v>
      </c>
      <c r="E45" s="46">
        <f t="shared" si="0"/>
        <v>0</v>
      </c>
      <c r="F45" s="258">
        <f>IF($F$12=0,0,IF(予定価格!$G$427=0,ROUND(予定価格!H33*(入力表!$F$12/予定価格!$H$431),-H45),ROUND((予定価格!G33*(入力表!$F$12-予定価格!$H$431)/予定価格!$G$431)+予定価格!H33,-H45)))+I45</f>
        <v>0</v>
      </c>
      <c r="G45" s="258"/>
      <c r="H45" s="47">
        <f t="shared" si="10"/>
        <v>4</v>
      </c>
      <c r="I45" s="48">
        <f t="shared" si="1"/>
        <v>0</v>
      </c>
      <c r="J45" s="116">
        <f t="shared" si="2"/>
        <v>0</v>
      </c>
      <c r="K45" s="19">
        <f t="shared" si="3"/>
        <v>0</v>
      </c>
      <c r="L45" s="50"/>
      <c r="M45" s="13">
        <f>ROUND(予定価格!B33*査定表!$B$437,-$F$14)</f>
        <v>0</v>
      </c>
      <c r="N45">
        <f>IF(M45=0,1,M45/予定価格!B33)</f>
        <v>1</v>
      </c>
      <c r="O45">
        <f t="shared" si="11"/>
        <v>21</v>
      </c>
      <c r="P45">
        <f t="shared" si="12"/>
        <v>0</v>
      </c>
      <c r="Q45">
        <f>IF(M45=0,0,M45/予定価格!B33)</f>
        <v>0</v>
      </c>
      <c r="R45">
        <f t="shared" si="13"/>
        <v>21</v>
      </c>
      <c r="S45">
        <f t="shared" si="14"/>
        <v>0</v>
      </c>
      <c r="T45" s="13">
        <f t="shared" si="15"/>
        <v>0</v>
      </c>
      <c r="U45" s="13" t="e">
        <f>IF(予定価格!$G$427=0,ROUND(予定価格!H33*(入力表!$F$12/予定価格!$H$431),-$F$14),ROUND((予定価格!G33*(入力表!$F$12-予定価格!$H$431)/予定価格!$G$431)+予定価格!H33,-$F$14))</f>
        <v>#DIV/0!</v>
      </c>
      <c r="V45" t="e">
        <f>IF(U45=0,1,IF(予定価格!O33=0,1,(U45-予定価格!P33)/予定価格!O33))</f>
        <v>#DIV/0!</v>
      </c>
      <c r="W45" t="e">
        <f t="shared" si="16"/>
        <v>#DIV/0!</v>
      </c>
      <c r="X45" t="e">
        <f t="shared" si="17"/>
        <v>#DIV/0!</v>
      </c>
      <c r="Y45" t="e">
        <f>IF(U45=0,0,IF(予定価格!G33=0,0,(U45-予定価格!H33)/予定価格!G33))</f>
        <v>#DIV/0!</v>
      </c>
      <c r="Z45" t="e">
        <f t="shared" si="18"/>
        <v>#DIV/0!</v>
      </c>
      <c r="AA45" t="e">
        <f t="shared" si="19"/>
        <v>#DIV/0!</v>
      </c>
      <c r="AB45" s="13" t="e">
        <f t="shared" si="20"/>
        <v>#DIV/0!</v>
      </c>
    </row>
    <row r="46" spans="1:28" hidden="1" x14ac:dyDescent="0.15">
      <c r="A46">
        <f>+予定価格!A34</f>
        <v>0</v>
      </c>
      <c r="B46" s="258">
        <f>ROUND(予定価格!B34*査定表!$B$437,-D46)+E46</f>
        <v>0</v>
      </c>
      <c r="C46" s="258"/>
      <c r="D46" s="45">
        <f t="shared" si="9"/>
        <v>4</v>
      </c>
      <c r="E46" s="46">
        <f t="shared" si="0"/>
        <v>0</v>
      </c>
      <c r="F46" s="258">
        <f>IF($F$12=0,0,IF(予定価格!$G$427=0,ROUND(予定価格!H34*(入力表!$F$12/予定価格!$H$431),-H46),ROUND((予定価格!G34*(入力表!$F$12-予定価格!$H$431)/予定価格!$G$431)+予定価格!H34,-H46)))+I46</f>
        <v>0</v>
      </c>
      <c r="G46" s="258"/>
      <c r="H46" s="47">
        <f t="shared" si="10"/>
        <v>4</v>
      </c>
      <c r="I46" s="48">
        <f t="shared" si="1"/>
        <v>0</v>
      </c>
      <c r="J46" s="116">
        <f t="shared" si="2"/>
        <v>0</v>
      </c>
      <c r="K46" s="19">
        <f t="shared" si="3"/>
        <v>0</v>
      </c>
      <c r="L46" s="50"/>
      <c r="M46" s="13">
        <f>ROUND(予定価格!B34*査定表!$B$437,-$F$14)</f>
        <v>0</v>
      </c>
      <c r="N46">
        <f>IF(M46=0,1,M46/予定価格!B34)</f>
        <v>1</v>
      </c>
      <c r="O46">
        <f t="shared" si="11"/>
        <v>21</v>
      </c>
      <c r="P46">
        <f t="shared" si="12"/>
        <v>0</v>
      </c>
      <c r="Q46">
        <f>IF(M46=0,0,M46/予定価格!B34)</f>
        <v>0</v>
      </c>
      <c r="R46">
        <f t="shared" si="13"/>
        <v>21</v>
      </c>
      <c r="S46">
        <f t="shared" si="14"/>
        <v>0</v>
      </c>
      <c r="T46" s="13">
        <f t="shared" si="15"/>
        <v>0</v>
      </c>
      <c r="U46" s="13" t="e">
        <f>IF(予定価格!$G$427=0,ROUND(予定価格!H34*(入力表!$F$12/予定価格!$H$431),-$F$14),ROUND((予定価格!G34*(入力表!$F$12-予定価格!$H$431)/予定価格!$G$431)+予定価格!H34,-$F$14))</f>
        <v>#DIV/0!</v>
      </c>
      <c r="V46" t="e">
        <f>IF(U46=0,1,IF(予定価格!O34=0,1,(U46-予定価格!P34)/予定価格!O34))</f>
        <v>#DIV/0!</v>
      </c>
      <c r="W46" t="e">
        <f t="shared" si="16"/>
        <v>#DIV/0!</v>
      </c>
      <c r="X46" t="e">
        <f t="shared" si="17"/>
        <v>#DIV/0!</v>
      </c>
      <c r="Y46" t="e">
        <f>IF(U46=0,0,IF(予定価格!G34=0,0,(U46-予定価格!H34)/予定価格!G34))</f>
        <v>#DIV/0!</v>
      </c>
      <c r="Z46" t="e">
        <f t="shared" si="18"/>
        <v>#DIV/0!</v>
      </c>
      <c r="AA46" t="e">
        <f t="shared" si="19"/>
        <v>#DIV/0!</v>
      </c>
      <c r="AB46" s="13" t="e">
        <f t="shared" si="20"/>
        <v>#DIV/0!</v>
      </c>
    </row>
    <row r="47" spans="1:28" hidden="1" x14ac:dyDescent="0.15">
      <c r="A47">
        <f>+予定価格!A35</f>
        <v>0</v>
      </c>
      <c r="B47" s="258">
        <f>ROUND(予定価格!B35*査定表!$B$437,-D47)+E47</f>
        <v>0</v>
      </c>
      <c r="C47" s="258"/>
      <c r="D47" s="45">
        <f t="shared" si="9"/>
        <v>4</v>
      </c>
      <c r="E47" s="46">
        <f t="shared" si="0"/>
        <v>0</v>
      </c>
      <c r="F47" s="258">
        <f>IF($F$12=0,0,IF(予定価格!$G$427=0,ROUND(予定価格!H35*(入力表!$F$12/予定価格!$H$431),-H47),ROUND((予定価格!G35*(入力表!$F$12-予定価格!$H$431)/予定価格!$G$431)+予定価格!H35,-H47)))+I47</f>
        <v>0</v>
      </c>
      <c r="G47" s="258"/>
      <c r="H47" s="47">
        <f t="shared" si="10"/>
        <v>4</v>
      </c>
      <c r="I47" s="48">
        <f t="shared" si="1"/>
        <v>0</v>
      </c>
      <c r="J47" s="116">
        <f t="shared" si="2"/>
        <v>0</v>
      </c>
      <c r="K47" s="19">
        <f t="shared" si="3"/>
        <v>0</v>
      </c>
      <c r="L47" s="50"/>
      <c r="M47" s="13">
        <f>ROUND(予定価格!B35*査定表!$B$437,-$F$14)</f>
        <v>0</v>
      </c>
      <c r="N47">
        <f>IF(M47=0,1,M47/予定価格!B35)</f>
        <v>1</v>
      </c>
      <c r="O47">
        <f t="shared" si="11"/>
        <v>21</v>
      </c>
      <c r="P47">
        <f t="shared" si="12"/>
        <v>0</v>
      </c>
      <c r="Q47">
        <f>IF(M47=0,0,M47/予定価格!B35)</f>
        <v>0</v>
      </c>
      <c r="R47">
        <f t="shared" si="13"/>
        <v>21</v>
      </c>
      <c r="S47">
        <f t="shared" si="14"/>
        <v>0</v>
      </c>
      <c r="T47" s="13">
        <f t="shared" si="15"/>
        <v>0</v>
      </c>
      <c r="U47" s="13" t="e">
        <f>IF(予定価格!$G$427=0,ROUND(予定価格!H35*(入力表!$F$12/予定価格!$H$431),-$F$14),ROUND((予定価格!G35*(入力表!$F$12-予定価格!$H$431)/予定価格!$G$431)+予定価格!H35,-$F$14))</f>
        <v>#DIV/0!</v>
      </c>
      <c r="V47" t="e">
        <f>IF(U47=0,1,IF(予定価格!O35=0,1,(U47-予定価格!P35)/予定価格!O35))</f>
        <v>#DIV/0!</v>
      </c>
      <c r="W47" t="e">
        <f t="shared" si="16"/>
        <v>#DIV/0!</v>
      </c>
      <c r="X47" t="e">
        <f t="shared" si="17"/>
        <v>#DIV/0!</v>
      </c>
      <c r="Y47" t="e">
        <f>IF(U47=0,0,IF(予定価格!G35=0,0,(U47-予定価格!H35)/予定価格!G35))</f>
        <v>#DIV/0!</v>
      </c>
      <c r="Z47" t="e">
        <f t="shared" si="18"/>
        <v>#DIV/0!</v>
      </c>
      <c r="AA47" t="e">
        <f t="shared" si="19"/>
        <v>#DIV/0!</v>
      </c>
      <c r="AB47" s="13" t="e">
        <f t="shared" si="20"/>
        <v>#DIV/0!</v>
      </c>
    </row>
    <row r="48" spans="1:28" hidden="1" x14ac:dyDescent="0.15">
      <c r="A48">
        <f>+予定価格!A36</f>
        <v>0</v>
      </c>
      <c r="B48" s="258">
        <f>ROUND(予定価格!B36*査定表!$B$437,-D48)+E48</f>
        <v>0</v>
      </c>
      <c r="C48" s="258"/>
      <c r="D48" s="45">
        <f t="shared" si="9"/>
        <v>4</v>
      </c>
      <c r="E48" s="46">
        <f t="shared" si="0"/>
        <v>0</v>
      </c>
      <c r="F48" s="258">
        <f>IF($F$12=0,0,IF(予定価格!$G$427=0,ROUND(予定価格!H36*(入力表!$F$12/予定価格!$H$431),-H48),ROUND((予定価格!G36*(入力表!$F$12-予定価格!$H$431)/予定価格!$G$431)+予定価格!H36,-H48)))+I48</f>
        <v>0</v>
      </c>
      <c r="G48" s="258"/>
      <c r="H48" s="47">
        <f t="shared" si="10"/>
        <v>4</v>
      </c>
      <c r="I48" s="48">
        <f t="shared" si="1"/>
        <v>0</v>
      </c>
      <c r="J48" s="116">
        <f t="shared" si="2"/>
        <v>0</v>
      </c>
      <c r="K48" s="19">
        <f t="shared" si="3"/>
        <v>0</v>
      </c>
      <c r="L48" s="50"/>
      <c r="M48" s="13">
        <f>ROUND(予定価格!B36*査定表!$B$437,-$F$14)</f>
        <v>0</v>
      </c>
      <c r="N48">
        <f>IF(M48=0,1,M48/予定価格!B36)</f>
        <v>1</v>
      </c>
      <c r="O48">
        <f t="shared" si="11"/>
        <v>21</v>
      </c>
      <c r="P48">
        <f t="shared" si="12"/>
        <v>0</v>
      </c>
      <c r="Q48">
        <f>IF(M48=0,0,M48/予定価格!B36)</f>
        <v>0</v>
      </c>
      <c r="R48">
        <f t="shared" si="13"/>
        <v>21</v>
      </c>
      <c r="S48">
        <f t="shared" si="14"/>
        <v>0</v>
      </c>
      <c r="T48" s="13">
        <f t="shared" si="15"/>
        <v>0</v>
      </c>
      <c r="U48" s="13" t="e">
        <f>IF(予定価格!$G$427=0,ROUND(予定価格!H36*(入力表!$F$12/予定価格!$H$431),-$F$14),ROUND((予定価格!G36*(入力表!$F$12-予定価格!$H$431)/予定価格!$G$431)+予定価格!H36,-$F$14))</f>
        <v>#DIV/0!</v>
      </c>
      <c r="V48" t="e">
        <f>IF(U48=0,1,IF(予定価格!O36=0,1,(U48-予定価格!P36)/予定価格!O36))</f>
        <v>#DIV/0!</v>
      </c>
      <c r="W48" t="e">
        <f t="shared" si="16"/>
        <v>#DIV/0!</v>
      </c>
      <c r="X48" t="e">
        <f t="shared" si="17"/>
        <v>#DIV/0!</v>
      </c>
      <c r="Y48" t="e">
        <f>IF(U48=0,0,IF(予定価格!G36=0,0,(U48-予定価格!H36)/予定価格!G36))</f>
        <v>#DIV/0!</v>
      </c>
      <c r="Z48" t="e">
        <f t="shared" si="18"/>
        <v>#DIV/0!</v>
      </c>
      <c r="AA48" t="e">
        <f t="shared" si="19"/>
        <v>#DIV/0!</v>
      </c>
      <c r="AB48" s="13" t="e">
        <f t="shared" si="20"/>
        <v>#DIV/0!</v>
      </c>
    </row>
    <row r="49" spans="1:28" hidden="1" x14ac:dyDescent="0.15">
      <c r="A49">
        <f>+予定価格!A37</f>
        <v>0</v>
      </c>
      <c r="B49" s="258">
        <f>ROUND(予定価格!B37*査定表!$B$437,-D49)+E49</f>
        <v>0</v>
      </c>
      <c r="C49" s="258"/>
      <c r="D49" s="45">
        <f t="shared" si="9"/>
        <v>4</v>
      </c>
      <c r="E49" s="46">
        <f t="shared" si="0"/>
        <v>0</v>
      </c>
      <c r="F49" s="258">
        <f>IF($F$12=0,0,IF(予定価格!$G$427=0,ROUND(予定価格!H37*(入力表!$F$12/予定価格!$H$431),-H49),ROUND((予定価格!G37*(入力表!$F$12-予定価格!$H$431)/予定価格!$G$431)+予定価格!H37,-H49)))+I49</f>
        <v>0</v>
      </c>
      <c r="G49" s="258"/>
      <c r="H49" s="47">
        <f t="shared" si="10"/>
        <v>4</v>
      </c>
      <c r="I49" s="48">
        <f t="shared" si="1"/>
        <v>0</v>
      </c>
      <c r="J49" s="116">
        <f t="shared" si="2"/>
        <v>0</v>
      </c>
      <c r="K49" s="19">
        <f t="shared" si="3"/>
        <v>0</v>
      </c>
      <c r="L49" s="50"/>
      <c r="M49" s="13">
        <f>ROUND(予定価格!B37*査定表!$B$437,-$F$14)</f>
        <v>0</v>
      </c>
      <c r="N49">
        <f>IF(M49=0,1,M49/予定価格!B37)</f>
        <v>1</v>
      </c>
      <c r="O49">
        <f t="shared" si="11"/>
        <v>21</v>
      </c>
      <c r="P49">
        <f t="shared" si="12"/>
        <v>0</v>
      </c>
      <c r="Q49">
        <f>IF(M49=0,0,M49/予定価格!B37)</f>
        <v>0</v>
      </c>
      <c r="R49">
        <f t="shared" si="13"/>
        <v>21</v>
      </c>
      <c r="S49">
        <f t="shared" si="14"/>
        <v>0</v>
      </c>
      <c r="T49" s="13">
        <f t="shared" si="15"/>
        <v>0</v>
      </c>
      <c r="U49" s="13" t="e">
        <f>IF(予定価格!$G$427=0,ROUND(予定価格!H37*(入力表!$F$12/予定価格!$H$431),-$F$14),ROUND((予定価格!G37*(入力表!$F$12-予定価格!$H$431)/予定価格!$G$431)+予定価格!H37,-$F$14))</f>
        <v>#DIV/0!</v>
      </c>
      <c r="V49" t="e">
        <f>IF(U49=0,1,IF(予定価格!O37=0,1,(U49-予定価格!P37)/予定価格!O37))</f>
        <v>#DIV/0!</v>
      </c>
      <c r="W49" t="e">
        <f t="shared" si="16"/>
        <v>#DIV/0!</v>
      </c>
      <c r="X49" t="e">
        <f t="shared" si="17"/>
        <v>#DIV/0!</v>
      </c>
      <c r="Y49" t="e">
        <f>IF(U49=0,0,IF(予定価格!G37=0,0,(U49-予定価格!H37)/予定価格!G37))</f>
        <v>#DIV/0!</v>
      </c>
      <c r="Z49" t="e">
        <f t="shared" si="18"/>
        <v>#DIV/0!</v>
      </c>
      <c r="AA49" t="e">
        <f t="shared" si="19"/>
        <v>#DIV/0!</v>
      </c>
      <c r="AB49" s="13" t="e">
        <f t="shared" si="20"/>
        <v>#DIV/0!</v>
      </c>
    </row>
    <row r="50" spans="1:28" hidden="1" x14ac:dyDescent="0.15">
      <c r="A50">
        <f>+予定価格!A38</f>
        <v>0</v>
      </c>
      <c r="B50" s="258">
        <f>ROUND(予定価格!B38*査定表!$B$437,-D50)+E50</f>
        <v>0</v>
      </c>
      <c r="C50" s="258"/>
      <c r="D50" s="45">
        <f t="shared" si="9"/>
        <v>4</v>
      </c>
      <c r="E50" s="46">
        <f t="shared" si="0"/>
        <v>0</v>
      </c>
      <c r="F50" s="258">
        <f>IF($F$12=0,0,IF(予定価格!$G$427=0,ROUND(予定価格!H38*(入力表!$F$12/予定価格!$H$431),-H50),ROUND((予定価格!G38*(入力表!$F$12-予定価格!$H$431)/予定価格!$G$431)+予定価格!H38,-H50)))+I50</f>
        <v>0</v>
      </c>
      <c r="G50" s="258"/>
      <c r="H50" s="47">
        <f t="shared" si="10"/>
        <v>4</v>
      </c>
      <c r="I50" s="48">
        <f t="shared" si="1"/>
        <v>0</v>
      </c>
      <c r="J50" s="116">
        <f t="shared" si="2"/>
        <v>0</v>
      </c>
      <c r="K50" s="19">
        <f t="shared" si="3"/>
        <v>0</v>
      </c>
      <c r="L50" s="50"/>
      <c r="M50" s="13">
        <f>ROUND(予定価格!B38*査定表!$B$437,-$F$14)</f>
        <v>0</v>
      </c>
      <c r="N50">
        <f>IF(M50=0,1,M50/予定価格!B38)</f>
        <v>1</v>
      </c>
      <c r="O50">
        <f t="shared" si="11"/>
        <v>21</v>
      </c>
      <c r="P50">
        <f t="shared" si="12"/>
        <v>0</v>
      </c>
      <c r="Q50">
        <f>IF(M50=0,0,M50/予定価格!B38)</f>
        <v>0</v>
      </c>
      <c r="R50">
        <f t="shared" si="13"/>
        <v>21</v>
      </c>
      <c r="S50">
        <f t="shared" si="14"/>
        <v>0</v>
      </c>
      <c r="T50" s="13">
        <f t="shared" si="15"/>
        <v>0</v>
      </c>
      <c r="U50" s="13" t="e">
        <f>IF(予定価格!$G$427=0,ROUND(予定価格!H38*(入力表!$F$12/予定価格!$H$431),-$F$14),ROUND((予定価格!G38*(入力表!$F$12-予定価格!$H$431)/予定価格!$G$431)+予定価格!H38,-$F$14))</f>
        <v>#DIV/0!</v>
      </c>
      <c r="V50" t="e">
        <f>IF(U50=0,1,IF(予定価格!O38=0,1,(U50-予定価格!P38)/予定価格!O38))</f>
        <v>#DIV/0!</v>
      </c>
      <c r="W50" t="e">
        <f t="shared" si="16"/>
        <v>#DIV/0!</v>
      </c>
      <c r="X50" t="e">
        <f t="shared" si="17"/>
        <v>#DIV/0!</v>
      </c>
      <c r="Y50" t="e">
        <f>IF(U50=0,0,IF(予定価格!G38=0,0,(U50-予定価格!H38)/予定価格!G38))</f>
        <v>#DIV/0!</v>
      </c>
      <c r="Z50" t="e">
        <f t="shared" si="18"/>
        <v>#DIV/0!</v>
      </c>
      <c r="AA50" t="e">
        <f t="shared" si="19"/>
        <v>#DIV/0!</v>
      </c>
      <c r="AB50" s="13" t="e">
        <f t="shared" si="20"/>
        <v>#DIV/0!</v>
      </c>
    </row>
    <row r="51" spans="1:28" hidden="1" x14ac:dyDescent="0.15">
      <c r="A51">
        <f>+予定価格!A39</f>
        <v>0</v>
      </c>
      <c r="B51" s="258">
        <f>ROUND(予定価格!B39*査定表!$B$437,-D51)+E51</f>
        <v>0</v>
      </c>
      <c r="C51" s="258"/>
      <c r="D51" s="45">
        <f t="shared" si="9"/>
        <v>4</v>
      </c>
      <c r="E51" s="46">
        <f t="shared" si="0"/>
        <v>0</v>
      </c>
      <c r="F51" s="258">
        <f>IF($F$12=0,0,IF(予定価格!$G$427=0,ROUND(予定価格!H39*(入力表!$F$12/予定価格!$H$431),-H51),ROUND((予定価格!G39*(入力表!$F$12-予定価格!$H$431)/予定価格!$G$431)+予定価格!H39,-H51)))+I51</f>
        <v>0</v>
      </c>
      <c r="G51" s="258"/>
      <c r="H51" s="47">
        <f t="shared" si="10"/>
        <v>4</v>
      </c>
      <c r="I51" s="48">
        <f t="shared" si="1"/>
        <v>0</v>
      </c>
      <c r="J51" s="116">
        <f t="shared" si="2"/>
        <v>0</v>
      </c>
      <c r="K51" s="19">
        <f t="shared" si="3"/>
        <v>0</v>
      </c>
      <c r="L51" s="50"/>
      <c r="M51" s="13">
        <f>ROUND(予定価格!B39*査定表!$B$437,-$F$14)</f>
        <v>0</v>
      </c>
      <c r="N51">
        <f>IF(M51=0,1,M51/予定価格!B39)</f>
        <v>1</v>
      </c>
      <c r="O51">
        <f t="shared" si="11"/>
        <v>21</v>
      </c>
      <c r="P51">
        <f t="shared" si="12"/>
        <v>0</v>
      </c>
      <c r="Q51">
        <f>IF(M51=0,0,M51/予定価格!B39)</f>
        <v>0</v>
      </c>
      <c r="R51">
        <f t="shared" si="13"/>
        <v>21</v>
      </c>
      <c r="S51">
        <f t="shared" si="14"/>
        <v>0</v>
      </c>
      <c r="T51" s="13">
        <f t="shared" si="15"/>
        <v>0</v>
      </c>
      <c r="U51" s="13" t="e">
        <f>IF(予定価格!$G$427=0,ROUND(予定価格!H39*(入力表!$F$12/予定価格!$H$431),-$F$14),ROUND((予定価格!G39*(入力表!$F$12-予定価格!$H$431)/予定価格!$G$431)+予定価格!H39,-$F$14))</f>
        <v>#DIV/0!</v>
      </c>
      <c r="V51" t="e">
        <f>IF(U51=0,1,IF(予定価格!O39=0,1,(U51-予定価格!P39)/予定価格!O39))</f>
        <v>#DIV/0!</v>
      </c>
      <c r="W51" t="e">
        <f t="shared" si="16"/>
        <v>#DIV/0!</v>
      </c>
      <c r="X51" t="e">
        <f t="shared" si="17"/>
        <v>#DIV/0!</v>
      </c>
      <c r="Y51" t="e">
        <f>IF(U51=0,0,IF(予定価格!G39=0,0,(U51-予定価格!H39)/予定価格!G39))</f>
        <v>#DIV/0!</v>
      </c>
      <c r="Z51" t="e">
        <f t="shared" si="18"/>
        <v>#DIV/0!</v>
      </c>
      <c r="AA51" t="e">
        <f t="shared" si="19"/>
        <v>#DIV/0!</v>
      </c>
      <c r="AB51" s="13" t="e">
        <f t="shared" si="20"/>
        <v>#DIV/0!</v>
      </c>
    </row>
    <row r="52" spans="1:28" hidden="1" x14ac:dyDescent="0.15">
      <c r="A52">
        <f>+予定価格!A40</f>
        <v>0</v>
      </c>
      <c r="B52" s="258">
        <f>ROUND(予定価格!B40*査定表!$B$437,-D52)+E52</f>
        <v>0</v>
      </c>
      <c r="C52" s="258"/>
      <c r="D52" s="45">
        <f t="shared" si="9"/>
        <v>4</v>
      </c>
      <c r="E52" s="46">
        <f t="shared" si="0"/>
        <v>0</v>
      </c>
      <c r="F52" s="258">
        <f>IF($F$12=0,0,IF(予定価格!$G$427=0,ROUND(予定価格!H40*(入力表!$F$12/予定価格!$H$431),-H52),ROUND((予定価格!G40*(入力表!$F$12-予定価格!$H$431)/予定価格!$G$431)+予定価格!H40,-H52)))+I52</f>
        <v>0</v>
      </c>
      <c r="G52" s="258"/>
      <c r="H52" s="47">
        <f t="shared" si="10"/>
        <v>4</v>
      </c>
      <c r="I52" s="48">
        <f t="shared" si="1"/>
        <v>0</v>
      </c>
      <c r="J52" s="116">
        <f t="shared" si="2"/>
        <v>0</v>
      </c>
      <c r="K52" s="19">
        <f t="shared" si="3"/>
        <v>0</v>
      </c>
      <c r="L52" s="50"/>
      <c r="M52" s="13">
        <f>ROUND(予定価格!B40*査定表!$B$437,-$F$14)</f>
        <v>0</v>
      </c>
      <c r="N52">
        <f>IF(M52=0,1,M52/予定価格!B40)</f>
        <v>1</v>
      </c>
      <c r="O52">
        <f t="shared" si="11"/>
        <v>21</v>
      </c>
      <c r="P52">
        <f t="shared" si="12"/>
        <v>0</v>
      </c>
      <c r="Q52">
        <f>IF(M52=0,0,M52/予定価格!B40)</f>
        <v>0</v>
      </c>
      <c r="R52">
        <f t="shared" si="13"/>
        <v>21</v>
      </c>
      <c r="S52">
        <f t="shared" si="14"/>
        <v>0</v>
      </c>
      <c r="T52" s="13">
        <f t="shared" si="15"/>
        <v>0</v>
      </c>
      <c r="U52" s="13" t="e">
        <f>IF(予定価格!$G$427=0,ROUND(予定価格!H40*(入力表!$F$12/予定価格!$H$431),-$F$14),ROUND((予定価格!G40*(入力表!$F$12-予定価格!$H$431)/予定価格!$G$431)+予定価格!H40,-$F$14))</f>
        <v>#DIV/0!</v>
      </c>
      <c r="V52" t="e">
        <f>IF(U52=0,1,IF(予定価格!O40=0,1,(U52-予定価格!P40)/予定価格!O40))</f>
        <v>#DIV/0!</v>
      </c>
      <c r="W52" t="e">
        <f t="shared" si="16"/>
        <v>#DIV/0!</v>
      </c>
      <c r="X52" t="e">
        <f t="shared" si="17"/>
        <v>#DIV/0!</v>
      </c>
      <c r="Y52" t="e">
        <f>IF(U52=0,0,IF(予定価格!G40=0,0,(U52-予定価格!H40)/予定価格!G40))</f>
        <v>#DIV/0!</v>
      </c>
      <c r="Z52" t="e">
        <f t="shared" si="18"/>
        <v>#DIV/0!</v>
      </c>
      <c r="AA52" t="e">
        <f t="shared" si="19"/>
        <v>#DIV/0!</v>
      </c>
      <c r="AB52" s="13" t="e">
        <f t="shared" si="20"/>
        <v>#DIV/0!</v>
      </c>
    </row>
    <row r="53" spans="1:28" hidden="1" x14ac:dyDescent="0.15">
      <c r="A53">
        <f>+予定価格!A41</f>
        <v>0</v>
      </c>
      <c r="B53" s="258">
        <f>ROUND(予定価格!B41*査定表!$B$437,-D53)+E53</f>
        <v>0</v>
      </c>
      <c r="C53" s="258"/>
      <c r="D53" s="45">
        <f t="shared" si="9"/>
        <v>4</v>
      </c>
      <c r="E53" s="46">
        <f t="shared" si="0"/>
        <v>0</v>
      </c>
      <c r="F53" s="258">
        <f>IF($F$12=0,0,IF(予定価格!$G$427=0,ROUND(予定価格!H41*(入力表!$F$12/予定価格!$H$431),-H53),ROUND((予定価格!G41*(入力表!$F$12-予定価格!$H$431)/予定価格!$G$431)+予定価格!H41,-H53)))+I53</f>
        <v>0</v>
      </c>
      <c r="G53" s="258"/>
      <c r="H53" s="47">
        <f t="shared" si="10"/>
        <v>4</v>
      </c>
      <c r="I53" s="48">
        <f t="shared" si="1"/>
        <v>0</v>
      </c>
      <c r="J53" s="116">
        <f t="shared" si="2"/>
        <v>0</v>
      </c>
      <c r="K53" s="19">
        <f t="shared" si="3"/>
        <v>0</v>
      </c>
      <c r="L53" s="50"/>
      <c r="M53" s="13">
        <f>ROUND(予定価格!B41*査定表!$B$437,-$F$14)</f>
        <v>0</v>
      </c>
      <c r="N53">
        <f>IF(M53=0,1,M53/予定価格!B41)</f>
        <v>1</v>
      </c>
      <c r="O53">
        <f t="shared" si="11"/>
        <v>21</v>
      </c>
      <c r="P53">
        <f t="shared" si="12"/>
        <v>0</v>
      </c>
      <c r="Q53">
        <f>IF(M53=0,0,M53/予定価格!B41)</f>
        <v>0</v>
      </c>
      <c r="R53">
        <f t="shared" si="13"/>
        <v>21</v>
      </c>
      <c r="S53">
        <f t="shared" si="14"/>
        <v>0</v>
      </c>
      <c r="T53" s="13">
        <f t="shared" si="15"/>
        <v>0</v>
      </c>
      <c r="U53" s="13" t="e">
        <f>IF(予定価格!$G$427=0,ROUND(予定価格!H41*(入力表!$F$12/予定価格!$H$431),-$F$14),ROUND((予定価格!G41*(入力表!$F$12-予定価格!$H$431)/予定価格!$G$431)+予定価格!H41,-$F$14))</f>
        <v>#DIV/0!</v>
      </c>
      <c r="V53" t="e">
        <f>IF(U53=0,1,IF(予定価格!O41=0,1,(U53-予定価格!P41)/予定価格!O41))</f>
        <v>#DIV/0!</v>
      </c>
      <c r="W53" t="e">
        <f t="shared" si="16"/>
        <v>#DIV/0!</v>
      </c>
      <c r="X53" t="e">
        <f t="shared" si="17"/>
        <v>#DIV/0!</v>
      </c>
      <c r="Y53" t="e">
        <f>IF(U53=0,0,IF(予定価格!G41=0,0,(U53-予定価格!H41)/予定価格!G41))</f>
        <v>#DIV/0!</v>
      </c>
      <c r="Z53" t="e">
        <f t="shared" si="18"/>
        <v>#DIV/0!</v>
      </c>
      <c r="AA53" t="e">
        <f t="shared" si="19"/>
        <v>#DIV/0!</v>
      </c>
      <c r="AB53" s="13" t="e">
        <f t="shared" si="20"/>
        <v>#DIV/0!</v>
      </c>
    </row>
    <row r="54" spans="1:28" hidden="1" x14ac:dyDescent="0.15">
      <c r="A54">
        <f>+予定価格!A42</f>
        <v>0</v>
      </c>
      <c r="B54" s="258">
        <f>ROUND(予定価格!B42*査定表!$B$437,-D54)+E54</f>
        <v>0</v>
      </c>
      <c r="C54" s="258"/>
      <c r="D54" s="45">
        <f t="shared" si="9"/>
        <v>4</v>
      </c>
      <c r="E54" s="46">
        <f t="shared" si="0"/>
        <v>0</v>
      </c>
      <c r="F54" s="258">
        <f>IF($F$12=0,0,IF(予定価格!$G$427=0,ROUND(予定価格!H42*(入力表!$F$12/予定価格!$H$431),-H54),ROUND((予定価格!G42*(入力表!$F$12-予定価格!$H$431)/予定価格!$G$431)+予定価格!H42,-H54)))+I54</f>
        <v>0</v>
      </c>
      <c r="G54" s="258"/>
      <c r="H54" s="47">
        <f t="shared" si="10"/>
        <v>4</v>
      </c>
      <c r="I54" s="48">
        <f t="shared" si="1"/>
        <v>0</v>
      </c>
      <c r="J54" s="116">
        <f t="shared" si="2"/>
        <v>0</v>
      </c>
      <c r="K54" s="19">
        <f t="shared" si="3"/>
        <v>0</v>
      </c>
      <c r="L54" s="50"/>
      <c r="M54" s="13">
        <f>ROUND(予定価格!B42*査定表!$B$437,-$F$14)</f>
        <v>0</v>
      </c>
      <c r="N54">
        <f>IF(M54=0,1,M54/予定価格!B42)</f>
        <v>1</v>
      </c>
      <c r="O54">
        <f t="shared" si="11"/>
        <v>21</v>
      </c>
      <c r="P54">
        <f t="shared" si="12"/>
        <v>0</v>
      </c>
      <c r="Q54">
        <f>IF(M54=0,0,M54/予定価格!B42)</f>
        <v>0</v>
      </c>
      <c r="R54">
        <f t="shared" si="13"/>
        <v>21</v>
      </c>
      <c r="S54">
        <f t="shared" si="14"/>
        <v>0</v>
      </c>
      <c r="T54" s="13">
        <f t="shared" si="15"/>
        <v>0</v>
      </c>
      <c r="U54" s="13" t="e">
        <f>IF(予定価格!$G$427=0,ROUND(予定価格!H42*(入力表!$F$12/予定価格!$H$431),-$F$14),ROUND((予定価格!G42*(入力表!$F$12-予定価格!$H$431)/予定価格!$G$431)+予定価格!H42,-$F$14))</f>
        <v>#DIV/0!</v>
      </c>
      <c r="V54" t="e">
        <f>IF(U54=0,1,IF(予定価格!O42=0,1,(U54-予定価格!P42)/予定価格!O42))</f>
        <v>#DIV/0!</v>
      </c>
      <c r="W54" t="e">
        <f t="shared" si="16"/>
        <v>#DIV/0!</v>
      </c>
      <c r="X54" t="e">
        <f t="shared" si="17"/>
        <v>#DIV/0!</v>
      </c>
      <c r="Y54" t="e">
        <f>IF(U54=0,0,IF(予定価格!G42=0,0,(U54-予定価格!H42)/予定価格!G42))</f>
        <v>#DIV/0!</v>
      </c>
      <c r="Z54" t="e">
        <f t="shared" si="18"/>
        <v>#DIV/0!</v>
      </c>
      <c r="AA54" t="e">
        <f t="shared" si="19"/>
        <v>#DIV/0!</v>
      </c>
      <c r="AB54" s="13" t="e">
        <f t="shared" si="20"/>
        <v>#DIV/0!</v>
      </c>
    </row>
    <row r="55" spans="1:28" hidden="1" x14ac:dyDescent="0.15">
      <c r="A55">
        <f>+予定価格!A43</f>
        <v>0</v>
      </c>
      <c r="B55" s="258">
        <f>ROUND(予定価格!B43*査定表!$B$437,-D55)+E55</f>
        <v>0</v>
      </c>
      <c r="C55" s="258"/>
      <c r="D55" s="45">
        <f t="shared" si="9"/>
        <v>4</v>
      </c>
      <c r="E55" s="46">
        <f t="shared" si="0"/>
        <v>0</v>
      </c>
      <c r="F55" s="258">
        <f>IF($F$12=0,0,IF(予定価格!$G$427=0,ROUND(予定価格!H43*(入力表!$F$12/予定価格!$H$431),-H55),ROUND((予定価格!G43*(入力表!$F$12-予定価格!$H$431)/予定価格!$G$431)+予定価格!H43,-H55)))+I55</f>
        <v>0</v>
      </c>
      <c r="G55" s="258"/>
      <c r="H55" s="47">
        <f t="shared" si="10"/>
        <v>4</v>
      </c>
      <c r="I55" s="48">
        <f t="shared" si="1"/>
        <v>0</v>
      </c>
      <c r="J55" s="116">
        <f t="shared" si="2"/>
        <v>0</v>
      </c>
      <c r="K55" s="19">
        <f t="shared" si="3"/>
        <v>0</v>
      </c>
      <c r="L55" s="50"/>
      <c r="M55" s="13">
        <f>ROUND(予定価格!B43*査定表!$B$437,-$F$14)</f>
        <v>0</v>
      </c>
      <c r="N55">
        <f>IF(M55=0,1,M55/予定価格!B43)</f>
        <v>1</v>
      </c>
      <c r="O55">
        <f t="shared" si="11"/>
        <v>21</v>
      </c>
      <c r="P55">
        <f t="shared" si="12"/>
        <v>0</v>
      </c>
      <c r="Q55">
        <f>IF(M55=0,0,M55/予定価格!B43)</f>
        <v>0</v>
      </c>
      <c r="R55">
        <f t="shared" si="13"/>
        <v>21</v>
      </c>
      <c r="S55">
        <f t="shared" si="14"/>
        <v>0</v>
      </c>
      <c r="T55" s="13">
        <f t="shared" si="15"/>
        <v>0</v>
      </c>
      <c r="U55" s="13" t="e">
        <f>IF(予定価格!$G$427=0,ROUND(予定価格!H43*(入力表!$F$12/予定価格!$H$431),-$F$14),ROUND((予定価格!G43*(入力表!$F$12-予定価格!$H$431)/予定価格!$G$431)+予定価格!H43,-$F$14))</f>
        <v>#DIV/0!</v>
      </c>
      <c r="V55" t="e">
        <f>IF(U55=0,1,IF(予定価格!O43=0,1,(U55-予定価格!P43)/予定価格!O43))</f>
        <v>#DIV/0!</v>
      </c>
      <c r="W55" t="e">
        <f t="shared" si="16"/>
        <v>#DIV/0!</v>
      </c>
      <c r="X55" t="e">
        <f t="shared" si="17"/>
        <v>#DIV/0!</v>
      </c>
      <c r="Y55" t="e">
        <f>IF(U55=0,0,IF(予定価格!G43=0,0,(U55-予定価格!H43)/予定価格!G43))</f>
        <v>#DIV/0!</v>
      </c>
      <c r="Z55" t="e">
        <f t="shared" si="18"/>
        <v>#DIV/0!</v>
      </c>
      <c r="AA55" t="e">
        <f t="shared" si="19"/>
        <v>#DIV/0!</v>
      </c>
      <c r="AB55" s="13" t="e">
        <f t="shared" si="20"/>
        <v>#DIV/0!</v>
      </c>
    </row>
    <row r="56" spans="1:28" hidden="1" x14ac:dyDescent="0.15">
      <c r="A56">
        <f>+予定価格!A44</f>
        <v>0</v>
      </c>
      <c r="B56" s="258">
        <f>ROUND(予定価格!B44*査定表!$B$437,-D56)+E56</f>
        <v>0</v>
      </c>
      <c r="C56" s="258"/>
      <c r="D56" s="45">
        <f t="shared" si="9"/>
        <v>4</v>
      </c>
      <c r="E56" s="46">
        <f t="shared" si="0"/>
        <v>0</v>
      </c>
      <c r="F56" s="258">
        <f>IF($F$12=0,0,IF(予定価格!$G$427=0,ROUND(予定価格!H44*(入力表!$F$12/予定価格!$H$431),-H56),ROUND((予定価格!G44*(入力表!$F$12-予定価格!$H$431)/予定価格!$G$431)+予定価格!H44,-H56)))+I56</f>
        <v>0</v>
      </c>
      <c r="G56" s="258"/>
      <c r="H56" s="47">
        <f t="shared" si="10"/>
        <v>4</v>
      </c>
      <c r="I56" s="48">
        <f t="shared" si="1"/>
        <v>0</v>
      </c>
      <c r="J56" s="116">
        <f t="shared" si="2"/>
        <v>0</v>
      </c>
      <c r="K56" s="19">
        <f t="shared" si="3"/>
        <v>0</v>
      </c>
      <c r="L56" s="50"/>
      <c r="M56" s="13">
        <f>ROUND(予定価格!B44*査定表!$B$437,-$F$14)</f>
        <v>0</v>
      </c>
      <c r="N56">
        <f>IF(M56=0,1,M56/予定価格!B44)</f>
        <v>1</v>
      </c>
      <c r="O56">
        <f t="shared" si="11"/>
        <v>21</v>
      </c>
      <c r="P56">
        <f t="shared" si="12"/>
        <v>0</v>
      </c>
      <c r="Q56">
        <f>IF(M56=0,0,M56/予定価格!B44)</f>
        <v>0</v>
      </c>
      <c r="R56">
        <f t="shared" si="13"/>
        <v>21</v>
      </c>
      <c r="S56">
        <f t="shared" si="14"/>
        <v>0</v>
      </c>
      <c r="T56" s="13">
        <f t="shared" si="15"/>
        <v>0</v>
      </c>
      <c r="U56" s="13" t="e">
        <f>IF(予定価格!$G$427=0,ROUND(予定価格!H44*(入力表!$F$12/予定価格!$H$431),-$F$14),ROUND((予定価格!G44*(入力表!$F$12-予定価格!$H$431)/予定価格!$G$431)+予定価格!H44,-$F$14))</f>
        <v>#DIV/0!</v>
      </c>
      <c r="V56" t="e">
        <f>IF(U56=0,1,IF(予定価格!O44=0,1,(U56-予定価格!P44)/予定価格!O44))</f>
        <v>#DIV/0!</v>
      </c>
      <c r="W56" t="e">
        <f t="shared" si="16"/>
        <v>#DIV/0!</v>
      </c>
      <c r="X56" t="e">
        <f t="shared" si="17"/>
        <v>#DIV/0!</v>
      </c>
      <c r="Y56" t="e">
        <f>IF(U56=0,0,IF(予定価格!G44=0,0,(U56-予定価格!H44)/予定価格!G44))</f>
        <v>#DIV/0!</v>
      </c>
      <c r="Z56" t="e">
        <f t="shared" si="18"/>
        <v>#DIV/0!</v>
      </c>
      <c r="AA56" t="e">
        <f t="shared" si="19"/>
        <v>#DIV/0!</v>
      </c>
      <c r="AB56" s="13" t="e">
        <f t="shared" si="20"/>
        <v>#DIV/0!</v>
      </c>
    </row>
    <row r="57" spans="1:28" hidden="1" x14ac:dyDescent="0.15">
      <c r="A57">
        <f>+予定価格!A45</f>
        <v>0</v>
      </c>
      <c r="B57" s="258">
        <f>ROUND(予定価格!B45*査定表!$B$437,-D57)+E57</f>
        <v>0</v>
      </c>
      <c r="C57" s="258"/>
      <c r="D57" s="45">
        <f t="shared" si="9"/>
        <v>4</v>
      </c>
      <c r="E57" s="46">
        <f t="shared" si="0"/>
        <v>0</v>
      </c>
      <c r="F57" s="258">
        <f>IF($F$12=0,0,IF(予定価格!$G$427=0,ROUND(予定価格!H45*(入力表!$F$12/予定価格!$H$431),-H57),ROUND((予定価格!G45*(入力表!$F$12-予定価格!$H$431)/予定価格!$G$431)+予定価格!H45,-H57)))+I57</f>
        <v>0</v>
      </c>
      <c r="G57" s="258"/>
      <c r="H57" s="47">
        <f t="shared" si="10"/>
        <v>4</v>
      </c>
      <c r="I57" s="48">
        <f t="shared" si="1"/>
        <v>0</v>
      </c>
      <c r="J57" s="116">
        <f t="shared" si="2"/>
        <v>0</v>
      </c>
      <c r="K57" s="19">
        <f t="shared" si="3"/>
        <v>0</v>
      </c>
      <c r="L57" s="50"/>
      <c r="M57" s="13">
        <f>ROUND(予定価格!B45*査定表!$B$437,-$F$14)</f>
        <v>0</v>
      </c>
      <c r="N57">
        <f>IF(M57=0,1,M57/予定価格!B45)</f>
        <v>1</v>
      </c>
      <c r="O57">
        <f t="shared" si="11"/>
        <v>21</v>
      </c>
      <c r="P57">
        <f t="shared" si="12"/>
        <v>0</v>
      </c>
      <c r="Q57">
        <f>IF(M57=0,0,M57/予定価格!B45)</f>
        <v>0</v>
      </c>
      <c r="R57">
        <f t="shared" si="13"/>
        <v>21</v>
      </c>
      <c r="S57">
        <f t="shared" si="14"/>
        <v>0</v>
      </c>
      <c r="T57" s="13">
        <f t="shared" si="15"/>
        <v>0</v>
      </c>
      <c r="U57" s="13" t="e">
        <f>IF(予定価格!$G$427=0,ROUND(予定価格!H45*(入力表!$F$12/予定価格!$H$431),-$F$14),ROUND((予定価格!G45*(入力表!$F$12-予定価格!$H$431)/予定価格!$G$431)+予定価格!H45,-$F$14))</f>
        <v>#DIV/0!</v>
      </c>
      <c r="V57" t="e">
        <f>IF(U57=0,1,IF(予定価格!O45=0,1,(U57-予定価格!P45)/予定価格!O45))</f>
        <v>#DIV/0!</v>
      </c>
      <c r="W57" t="e">
        <f t="shared" si="16"/>
        <v>#DIV/0!</v>
      </c>
      <c r="X57" t="e">
        <f t="shared" si="17"/>
        <v>#DIV/0!</v>
      </c>
      <c r="Y57" t="e">
        <f>IF(U57=0,0,IF(予定価格!G45=0,0,(U57-予定価格!H45)/予定価格!G45))</f>
        <v>#DIV/0!</v>
      </c>
      <c r="Z57" t="e">
        <f t="shared" si="18"/>
        <v>#DIV/0!</v>
      </c>
      <c r="AA57" t="e">
        <f t="shared" si="19"/>
        <v>#DIV/0!</v>
      </c>
      <c r="AB57" s="13" t="e">
        <f t="shared" si="20"/>
        <v>#DIV/0!</v>
      </c>
    </row>
    <row r="58" spans="1:28" hidden="1" x14ac:dyDescent="0.15">
      <c r="A58">
        <f>+予定価格!A46</f>
        <v>0</v>
      </c>
      <c r="B58" s="258">
        <f>ROUND(予定価格!B46*査定表!$B$437,-D58)+E58</f>
        <v>0</v>
      </c>
      <c r="C58" s="258"/>
      <c r="D58" s="45">
        <f t="shared" si="9"/>
        <v>4</v>
      </c>
      <c r="E58" s="46">
        <f t="shared" si="0"/>
        <v>0</v>
      </c>
      <c r="F58" s="258">
        <f>IF($F$12=0,0,IF(予定価格!$G$427=0,ROUND(予定価格!H46*(入力表!$F$12/予定価格!$H$431),-H58),ROUND((予定価格!G46*(入力表!$F$12-予定価格!$H$431)/予定価格!$G$431)+予定価格!H46,-H58)))+I58</f>
        <v>0</v>
      </c>
      <c r="G58" s="258"/>
      <c r="H58" s="47">
        <f t="shared" si="10"/>
        <v>4</v>
      </c>
      <c r="I58" s="48">
        <f t="shared" si="1"/>
        <v>0</v>
      </c>
      <c r="J58" s="116">
        <f t="shared" si="2"/>
        <v>0</v>
      </c>
      <c r="K58" s="19">
        <f t="shared" si="3"/>
        <v>0</v>
      </c>
      <c r="L58" s="50"/>
      <c r="M58" s="13">
        <f>ROUND(予定価格!B46*査定表!$B$437,-$F$14)</f>
        <v>0</v>
      </c>
      <c r="N58">
        <f>IF(M58=0,1,M58/予定価格!B46)</f>
        <v>1</v>
      </c>
      <c r="O58">
        <f t="shared" si="11"/>
        <v>21</v>
      </c>
      <c r="P58">
        <f t="shared" si="12"/>
        <v>0</v>
      </c>
      <c r="Q58">
        <f>IF(M58=0,0,M58/予定価格!B46)</f>
        <v>0</v>
      </c>
      <c r="R58">
        <f t="shared" si="13"/>
        <v>21</v>
      </c>
      <c r="S58">
        <f t="shared" si="14"/>
        <v>0</v>
      </c>
      <c r="T58" s="13">
        <f t="shared" si="15"/>
        <v>0</v>
      </c>
      <c r="U58" s="13" t="e">
        <f>IF(予定価格!$G$427=0,ROUND(予定価格!H46*(入力表!$F$12/予定価格!$H$431),-$F$14),ROUND((予定価格!G46*(入力表!$F$12-予定価格!$H$431)/予定価格!$G$431)+予定価格!H46,-$F$14))</f>
        <v>#DIV/0!</v>
      </c>
      <c r="V58" t="e">
        <f>IF(U58=0,1,IF(予定価格!O46=0,1,(U58-予定価格!P46)/予定価格!O46))</f>
        <v>#DIV/0!</v>
      </c>
      <c r="W58" t="e">
        <f t="shared" si="16"/>
        <v>#DIV/0!</v>
      </c>
      <c r="X58" t="e">
        <f t="shared" si="17"/>
        <v>#DIV/0!</v>
      </c>
      <c r="Y58" t="e">
        <f>IF(U58=0,0,IF(予定価格!G46=0,0,(U58-予定価格!H46)/予定価格!G46))</f>
        <v>#DIV/0!</v>
      </c>
      <c r="Z58" t="e">
        <f t="shared" si="18"/>
        <v>#DIV/0!</v>
      </c>
      <c r="AA58" t="e">
        <f t="shared" si="19"/>
        <v>#DIV/0!</v>
      </c>
      <c r="AB58" s="13" t="e">
        <f t="shared" si="20"/>
        <v>#DIV/0!</v>
      </c>
    </row>
    <row r="59" spans="1:28" hidden="1" x14ac:dyDescent="0.15">
      <c r="A59">
        <f>+予定価格!A47</f>
        <v>0</v>
      </c>
      <c r="B59" s="258">
        <f>ROUND(予定価格!B47*査定表!$B$437,-D59)+E59</f>
        <v>0</v>
      </c>
      <c r="C59" s="258"/>
      <c r="D59" s="45">
        <f t="shared" si="9"/>
        <v>4</v>
      </c>
      <c r="E59" s="46">
        <f t="shared" si="0"/>
        <v>0</v>
      </c>
      <c r="F59" s="258">
        <f>IF($F$12=0,0,IF(予定価格!$G$427=0,ROUND(予定価格!H47*(入力表!$F$12/予定価格!$H$431),-H59),ROUND((予定価格!G47*(入力表!$F$12-予定価格!$H$431)/予定価格!$G$431)+予定価格!H47,-H59)))+I59</f>
        <v>0</v>
      </c>
      <c r="G59" s="258"/>
      <c r="H59" s="47">
        <f t="shared" si="10"/>
        <v>4</v>
      </c>
      <c r="I59" s="48">
        <f t="shared" si="1"/>
        <v>0</v>
      </c>
      <c r="J59" s="116">
        <f t="shared" si="2"/>
        <v>0</v>
      </c>
      <c r="K59" s="19">
        <f t="shared" si="3"/>
        <v>0</v>
      </c>
      <c r="L59" s="50"/>
      <c r="M59" s="13">
        <f>ROUND(予定価格!B47*査定表!$B$437,-$F$14)</f>
        <v>0</v>
      </c>
      <c r="N59">
        <f>IF(M59=0,1,M59/予定価格!B47)</f>
        <v>1</v>
      </c>
      <c r="O59">
        <f t="shared" si="11"/>
        <v>21</v>
      </c>
      <c r="P59">
        <f t="shared" si="12"/>
        <v>0</v>
      </c>
      <c r="Q59">
        <f>IF(M59=0,0,M59/予定価格!B47)</f>
        <v>0</v>
      </c>
      <c r="R59">
        <f t="shared" si="13"/>
        <v>21</v>
      </c>
      <c r="S59">
        <f t="shared" si="14"/>
        <v>0</v>
      </c>
      <c r="T59" s="13">
        <f t="shared" si="15"/>
        <v>0</v>
      </c>
      <c r="U59" s="13" t="e">
        <f>IF(予定価格!$G$427=0,ROUND(予定価格!H47*(入力表!$F$12/予定価格!$H$431),-$F$14),ROUND((予定価格!G47*(入力表!$F$12-予定価格!$H$431)/予定価格!$G$431)+予定価格!H47,-$F$14))</f>
        <v>#DIV/0!</v>
      </c>
      <c r="V59" t="e">
        <f>IF(U59=0,1,IF(予定価格!O47=0,1,(U59-予定価格!P47)/予定価格!O47))</f>
        <v>#DIV/0!</v>
      </c>
      <c r="W59" t="e">
        <f t="shared" si="16"/>
        <v>#DIV/0!</v>
      </c>
      <c r="X59" t="e">
        <f t="shared" si="17"/>
        <v>#DIV/0!</v>
      </c>
      <c r="Y59" t="e">
        <f>IF(U59=0,0,IF(予定価格!G47=0,0,(U59-予定価格!H47)/予定価格!G47))</f>
        <v>#DIV/0!</v>
      </c>
      <c r="Z59" t="e">
        <f t="shared" si="18"/>
        <v>#DIV/0!</v>
      </c>
      <c r="AA59" t="e">
        <f t="shared" si="19"/>
        <v>#DIV/0!</v>
      </c>
      <c r="AB59" s="13" t="e">
        <f t="shared" si="20"/>
        <v>#DIV/0!</v>
      </c>
    </row>
    <row r="60" spans="1:28" hidden="1" x14ac:dyDescent="0.15">
      <c r="A60">
        <f>+予定価格!A48</f>
        <v>0</v>
      </c>
      <c r="B60" s="258">
        <f>ROUND(予定価格!B48*査定表!$B$437,-D60)+E60</f>
        <v>0</v>
      </c>
      <c r="C60" s="258"/>
      <c r="D60" s="45">
        <f t="shared" si="9"/>
        <v>4</v>
      </c>
      <c r="E60" s="46">
        <f t="shared" si="0"/>
        <v>0</v>
      </c>
      <c r="F60" s="258">
        <f>IF($F$12=0,0,IF(予定価格!$G$427=0,ROUND(予定価格!H48*(入力表!$F$12/予定価格!$H$431),-H60),ROUND((予定価格!G48*(入力表!$F$12-予定価格!$H$431)/予定価格!$G$431)+予定価格!H48,-H60)))+I60</f>
        <v>0</v>
      </c>
      <c r="G60" s="258"/>
      <c r="H60" s="47">
        <f t="shared" si="10"/>
        <v>4</v>
      </c>
      <c r="I60" s="48">
        <f t="shared" si="1"/>
        <v>0</v>
      </c>
      <c r="J60" s="116">
        <f t="shared" si="2"/>
        <v>0</v>
      </c>
      <c r="K60" s="19">
        <f t="shared" si="3"/>
        <v>0</v>
      </c>
      <c r="L60" s="50"/>
      <c r="M60" s="13">
        <f>ROUND(予定価格!B48*査定表!$B$437,-$F$14)</f>
        <v>0</v>
      </c>
      <c r="N60">
        <f>IF(M60=0,1,M60/予定価格!B48)</f>
        <v>1</v>
      </c>
      <c r="O60">
        <f t="shared" si="11"/>
        <v>21</v>
      </c>
      <c r="P60">
        <f t="shared" si="12"/>
        <v>0</v>
      </c>
      <c r="Q60">
        <f>IF(M60=0,0,M60/予定価格!B48)</f>
        <v>0</v>
      </c>
      <c r="R60">
        <f t="shared" si="13"/>
        <v>21</v>
      </c>
      <c r="S60">
        <f t="shared" si="14"/>
        <v>0</v>
      </c>
      <c r="T60" s="13">
        <f t="shared" si="15"/>
        <v>0</v>
      </c>
      <c r="U60" s="13" t="e">
        <f>IF(予定価格!$G$427=0,ROUND(予定価格!H48*(入力表!$F$12/予定価格!$H$431),-$F$14),ROUND((予定価格!G48*(入力表!$F$12-予定価格!$H$431)/予定価格!$G$431)+予定価格!H48,-$F$14))</f>
        <v>#DIV/0!</v>
      </c>
      <c r="V60" t="e">
        <f>IF(U60=0,1,IF(予定価格!O48=0,1,(U60-予定価格!P48)/予定価格!O48))</f>
        <v>#DIV/0!</v>
      </c>
      <c r="W60" t="e">
        <f t="shared" si="16"/>
        <v>#DIV/0!</v>
      </c>
      <c r="X60" t="e">
        <f t="shared" si="17"/>
        <v>#DIV/0!</v>
      </c>
      <c r="Y60" t="e">
        <f>IF(U60=0,0,IF(予定価格!G48=0,0,(U60-予定価格!H48)/予定価格!G48))</f>
        <v>#DIV/0!</v>
      </c>
      <c r="Z60" t="e">
        <f t="shared" si="18"/>
        <v>#DIV/0!</v>
      </c>
      <c r="AA60" t="e">
        <f t="shared" si="19"/>
        <v>#DIV/0!</v>
      </c>
      <c r="AB60" s="13" t="e">
        <f t="shared" si="20"/>
        <v>#DIV/0!</v>
      </c>
    </row>
    <row r="61" spans="1:28" x14ac:dyDescent="0.15">
      <c r="A61" t="str">
        <f>+予定価格!A49</f>
        <v>（イ）3号線の部</v>
      </c>
      <c r="B61" s="258">
        <f>ROUND(予定価格!B49*査定表!$B$437,-D61)+E61</f>
        <v>0</v>
      </c>
      <c r="C61" s="258"/>
      <c r="D61" s="45">
        <f t="shared" si="9"/>
        <v>4</v>
      </c>
      <c r="E61" s="46">
        <f t="shared" si="0"/>
        <v>0</v>
      </c>
      <c r="F61" s="258">
        <f>IF($F$12=0,0,IF(予定価格!$G$427=0,ROUND(予定価格!H49*(入力表!$F$12/予定価格!$H$431),-H61),ROUND((予定価格!G49*(入力表!$F$12-予定価格!$H$431)/予定価格!$G$431)+予定価格!H49,-H61)))+I61</f>
        <v>0</v>
      </c>
      <c r="G61" s="258"/>
      <c r="H61" s="47">
        <f t="shared" si="10"/>
        <v>4</v>
      </c>
      <c r="I61" s="48">
        <f t="shared" si="1"/>
        <v>0</v>
      </c>
      <c r="J61" s="116">
        <f t="shared" si="2"/>
        <v>0</v>
      </c>
      <c r="K61" s="19">
        <f t="shared" si="3"/>
        <v>0</v>
      </c>
      <c r="L61" s="50"/>
      <c r="M61" s="13">
        <f>ROUND(予定価格!B49*査定表!$B$437,-$F$14)</f>
        <v>0</v>
      </c>
      <c r="N61">
        <f>IF(M61=0,1,M61/予定価格!B49)</f>
        <v>1</v>
      </c>
      <c r="O61">
        <f t="shared" si="11"/>
        <v>21</v>
      </c>
      <c r="P61">
        <f t="shared" si="12"/>
        <v>0</v>
      </c>
      <c r="Q61">
        <f>IF(M61=0,0,M61/予定価格!B49)</f>
        <v>0</v>
      </c>
      <c r="R61">
        <f t="shared" si="13"/>
        <v>21</v>
      </c>
      <c r="S61">
        <f t="shared" si="14"/>
        <v>0</v>
      </c>
      <c r="T61" s="13">
        <f t="shared" si="15"/>
        <v>0</v>
      </c>
      <c r="U61" s="13" t="e">
        <f>IF(予定価格!$G$427=0,ROUND(予定価格!H49*(入力表!$F$12/予定価格!$H$431),-$F$14),ROUND((予定価格!G49*(入力表!$F$12-予定価格!$H$431)/予定価格!$G$431)+予定価格!H49,-$F$14))</f>
        <v>#DIV/0!</v>
      </c>
      <c r="V61" t="e">
        <f>IF(U61=0,1,IF(予定価格!O49=0,1,(U61-予定価格!P49)/予定価格!O49))</f>
        <v>#DIV/0!</v>
      </c>
      <c r="W61" t="e">
        <f t="shared" si="16"/>
        <v>#DIV/0!</v>
      </c>
      <c r="X61" t="e">
        <f t="shared" si="17"/>
        <v>#DIV/0!</v>
      </c>
      <c r="Y61" t="e">
        <f>IF(U61=0,0,IF(予定価格!G49=0,0,(U61-予定価格!H49)/予定価格!G49))</f>
        <v>#DIV/0!</v>
      </c>
      <c r="Z61" t="e">
        <f t="shared" si="18"/>
        <v>#DIV/0!</v>
      </c>
      <c r="AA61" t="e">
        <f t="shared" si="19"/>
        <v>#DIV/0!</v>
      </c>
      <c r="AB61" s="13" t="e">
        <f t="shared" si="20"/>
        <v>#DIV/0!</v>
      </c>
    </row>
    <row r="62" spans="1:28" x14ac:dyDescent="0.15">
      <c r="A62">
        <f>+予定価格!A50</f>
        <v>0</v>
      </c>
      <c r="B62" s="258">
        <f>ROUND(予定価格!B50*査定表!$B$437,-D62)+E62</f>
        <v>0</v>
      </c>
      <c r="C62" s="258"/>
      <c r="D62" s="45">
        <f t="shared" si="9"/>
        <v>4</v>
      </c>
      <c r="E62" s="46">
        <f t="shared" si="0"/>
        <v>0</v>
      </c>
      <c r="F62" s="258">
        <f>IF($F$12=0,0,IF(予定価格!$G$427=0,ROUND(予定価格!H50*(入力表!$F$12/予定価格!$H$431),-H62),ROUND((予定価格!G50*(入力表!$F$12-予定価格!$H$431)/予定価格!$G$431)+予定価格!H50,-H62)))+I62</f>
        <v>0</v>
      </c>
      <c r="G62" s="258"/>
      <c r="H62" s="47">
        <f t="shared" si="10"/>
        <v>4</v>
      </c>
      <c r="I62" s="48">
        <f t="shared" si="1"/>
        <v>0</v>
      </c>
      <c r="J62" s="116">
        <f t="shared" si="2"/>
        <v>0</v>
      </c>
      <c r="K62" s="19">
        <f t="shared" si="3"/>
        <v>0</v>
      </c>
      <c r="L62" s="50"/>
      <c r="M62" s="13">
        <f>ROUND(予定価格!B50*査定表!$B$437,-$F$14)</f>
        <v>0</v>
      </c>
      <c r="N62">
        <f>IF(M62=0,1,M62/予定価格!B50)</f>
        <v>1</v>
      </c>
      <c r="O62">
        <f t="shared" si="11"/>
        <v>21</v>
      </c>
      <c r="P62">
        <f t="shared" si="12"/>
        <v>0</v>
      </c>
      <c r="Q62">
        <f>IF(M62=0,0,M62/予定価格!B50)</f>
        <v>0</v>
      </c>
      <c r="R62">
        <f t="shared" si="13"/>
        <v>21</v>
      </c>
      <c r="S62">
        <f t="shared" si="14"/>
        <v>0</v>
      </c>
      <c r="T62" s="13">
        <f t="shared" si="15"/>
        <v>0</v>
      </c>
      <c r="U62" s="13" t="e">
        <f>IF(予定価格!$G$427=0,ROUND(予定価格!H50*(入力表!$F$12/予定価格!$H$431),-$F$14),ROUND((予定価格!G50*(入力表!$F$12-予定価格!$H$431)/予定価格!$G$431)+予定価格!H50,-$F$14))</f>
        <v>#DIV/0!</v>
      </c>
      <c r="V62" t="e">
        <f>IF(U62=0,1,IF(予定価格!O50=0,1,(U62-予定価格!P50)/予定価格!O50))</f>
        <v>#DIV/0!</v>
      </c>
      <c r="W62" t="e">
        <f t="shared" si="16"/>
        <v>#DIV/0!</v>
      </c>
      <c r="X62" t="e">
        <f t="shared" si="17"/>
        <v>#DIV/0!</v>
      </c>
      <c r="Y62" t="e">
        <f>IF(U62=0,0,IF(予定価格!G50=0,0,(U62-予定価格!H50)/予定価格!G50))</f>
        <v>#DIV/0!</v>
      </c>
      <c r="Z62" t="e">
        <f t="shared" si="18"/>
        <v>#DIV/0!</v>
      </c>
      <c r="AA62" t="e">
        <f t="shared" si="19"/>
        <v>#DIV/0!</v>
      </c>
      <c r="AB62" s="13" t="e">
        <f t="shared" si="20"/>
        <v>#DIV/0!</v>
      </c>
    </row>
    <row r="63" spans="1:28" x14ac:dyDescent="0.15">
      <c r="A63" t="str">
        <f>+予定価格!A51</f>
        <v>西梅田駅</v>
      </c>
      <c r="B63" s="258">
        <f>ROUND(予定価格!B51*査定表!$B$437,-D63)+E63</f>
        <v>760000</v>
      </c>
      <c r="C63" s="258"/>
      <c r="D63" s="45">
        <f t="shared" si="9"/>
        <v>4</v>
      </c>
      <c r="E63" s="46">
        <f t="shared" si="0"/>
        <v>0</v>
      </c>
      <c r="F63" s="258">
        <f>IF($F$12=0,0,IF(予定価格!$G$427=0,ROUND(予定価格!H51*(入力表!$F$12/予定価格!$H$431),-H63),ROUND((予定価格!G51*(入力表!$F$12-予定価格!$H$431)/予定価格!$G$431)+予定価格!H51,-H63)))+I63</f>
        <v>0</v>
      </c>
      <c r="G63" s="258"/>
      <c r="H63" s="47">
        <f t="shared" si="10"/>
        <v>4</v>
      </c>
      <c r="I63" s="48">
        <f t="shared" si="1"/>
        <v>0</v>
      </c>
      <c r="J63" s="116">
        <f t="shared" si="2"/>
        <v>760000</v>
      </c>
      <c r="K63" s="19">
        <f t="shared" si="3"/>
        <v>760000</v>
      </c>
      <c r="L63" s="50"/>
      <c r="M63" s="13">
        <f>ROUND(予定価格!B51*査定表!$B$437,-$F$14)</f>
        <v>760000</v>
      </c>
      <c r="N63">
        <f>IF(M63=0,1,M63/予定価格!B51)</f>
        <v>0.73217726396917149</v>
      </c>
      <c r="O63">
        <f t="shared" si="11"/>
        <v>4</v>
      </c>
      <c r="P63">
        <f t="shared" si="12"/>
        <v>0</v>
      </c>
      <c r="Q63">
        <f>IF(M63=0,0,M63/予定価格!B51)</f>
        <v>0.73217726396917149</v>
      </c>
      <c r="R63">
        <f t="shared" si="13"/>
        <v>15</v>
      </c>
      <c r="S63">
        <f t="shared" si="14"/>
        <v>0</v>
      </c>
      <c r="T63" s="13">
        <f t="shared" si="15"/>
        <v>760000</v>
      </c>
      <c r="U63" s="13" t="e">
        <f>IF(予定価格!$G$427=0,ROUND(予定価格!H51*(入力表!$F$12/予定価格!$H$431),-$F$14),ROUND((予定価格!G51*(入力表!$F$12-予定価格!$H$431)/予定価格!$G$431)+予定価格!H51,-$F$14))</f>
        <v>#DIV/0!</v>
      </c>
      <c r="V63" t="e">
        <f>IF(U63=0,1,IF(予定価格!O51=0,1,(U63-予定価格!P51)/予定価格!O51))</f>
        <v>#DIV/0!</v>
      </c>
      <c r="W63" t="e">
        <f t="shared" si="16"/>
        <v>#DIV/0!</v>
      </c>
      <c r="X63" t="e">
        <f t="shared" si="17"/>
        <v>#DIV/0!</v>
      </c>
      <c r="Y63" t="e">
        <f>IF(U63=0,0,IF(予定価格!G51=0,0,(U63-予定価格!H51)/予定価格!G51))</f>
        <v>#DIV/0!</v>
      </c>
      <c r="Z63" t="e">
        <f t="shared" si="18"/>
        <v>#DIV/0!</v>
      </c>
      <c r="AA63" t="e">
        <f t="shared" si="19"/>
        <v>#DIV/0!</v>
      </c>
      <c r="AB63" s="13" t="e">
        <f t="shared" si="20"/>
        <v>#DIV/0!</v>
      </c>
    </row>
    <row r="64" spans="1:28" x14ac:dyDescent="0.15">
      <c r="A64" t="str">
        <f>+予定価格!A52</f>
        <v>R3大国町駅</v>
      </c>
      <c r="B64" s="258">
        <f>ROUND(予定価格!B52*査定表!$B$437,-D64)+E64</f>
        <v>460000</v>
      </c>
      <c r="C64" s="258"/>
      <c r="D64" s="45">
        <f t="shared" si="9"/>
        <v>4</v>
      </c>
      <c r="E64" s="46">
        <f t="shared" si="0"/>
        <v>0</v>
      </c>
      <c r="F64" s="258">
        <f>IF($F$12=0,0,IF(予定価格!$G$427=0,ROUND(予定価格!H52*(入力表!$F$12/予定価格!$H$431),-H64),ROUND((予定価格!G52*(入力表!$F$12-予定価格!$H$431)/予定価格!$G$431)+予定価格!H52,-H64)))+I64</f>
        <v>0</v>
      </c>
      <c r="G64" s="258"/>
      <c r="H64" s="47">
        <f t="shared" si="10"/>
        <v>4</v>
      </c>
      <c r="I64" s="48">
        <f t="shared" si="1"/>
        <v>0</v>
      </c>
      <c r="J64" s="116">
        <f t="shared" si="2"/>
        <v>460000</v>
      </c>
      <c r="K64" s="19">
        <f t="shared" si="3"/>
        <v>460000</v>
      </c>
      <c r="L64" s="50"/>
      <c r="M64" s="13">
        <f>ROUND(予定価格!B52*査定表!$B$437,-$F$14)</f>
        <v>460000</v>
      </c>
      <c r="N64">
        <f>IF(M64=0,1,M64/予定価格!B52)</f>
        <v>0.73836276083467089</v>
      </c>
      <c r="O64">
        <f t="shared" si="11"/>
        <v>19</v>
      </c>
      <c r="P64">
        <f t="shared" si="12"/>
        <v>0</v>
      </c>
      <c r="Q64">
        <f>IF(M64=0,0,M64/予定価格!B52)</f>
        <v>0.73836276083467089</v>
      </c>
      <c r="R64">
        <f t="shared" si="13"/>
        <v>1</v>
      </c>
      <c r="S64">
        <f t="shared" si="14"/>
        <v>0</v>
      </c>
      <c r="T64" s="13">
        <f t="shared" si="15"/>
        <v>460000</v>
      </c>
      <c r="U64" s="13" t="e">
        <f>IF(予定価格!$G$427=0,ROUND(予定価格!H52*(入力表!$F$12/予定価格!$H$431),-$F$14),ROUND((予定価格!G52*(入力表!$F$12-予定価格!$H$431)/予定価格!$G$431)+予定価格!H52,-$F$14))</f>
        <v>#DIV/0!</v>
      </c>
      <c r="V64" t="e">
        <f>IF(U64=0,1,IF(予定価格!O52=0,1,(U64-予定価格!P52)/予定価格!O52))</f>
        <v>#DIV/0!</v>
      </c>
      <c r="W64" t="e">
        <f t="shared" si="16"/>
        <v>#DIV/0!</v>
      </c>
      <c r="X64" t="e">
        <f t="shared" si="17"/>
        <v>#DIV/0!</v>
      </c>
      <c r="Y64" t="e">
        <f>IF(U64=0,0,IF(予定価格!G52=0,0,(U64-予定価格!H52)/予定価格!G52))</f>
        <v>#DIV/0!</v>
      </c>
      <c r="Z64" t="e">
        <f t="shared" si="18"/>
        <v>#DIV/0!</v>
      </c>
      <c r="AA64" t="e">
        <f t="shared" si="19"/>
        <v>#DIV/0!</v>
      </c>
      <c r="AB64" s="13" t="e">
        <f t="shared" si="20"/>
        <v>#DIV/0!</v>
      </c>
    </row>
    <row r="65" spans="1:28" x14ac:dyDescent="0.15">
      <c r="A65">
        <f>+予定価格!A53</f>
        <v>0</v>
      </c>
      <c r="B65" s="258">
        <f>ROUND(予定価格!B53*査定表!$B$437,-D65)+E65</f>
        <v>0</v>
      </c>
      <c r="C65" s="258"/>
      <c r="D65" s="45">
        <f t="shared" si="9"/>
        <v>4</v>
      </c>
      <c r="E65" s="46">
        <f t="shared" si="0"/>
        <v>0</v>
      </c>
      <c r="F65" s="258">
        <f>IF($F$12=0,0,IF(予定価格!$G$427=0,ROUND(予定価格!H53*(入力表!$F$12/予定価格!$H$431),-H65),ROUND((予定価格!G53*(入力表!$F$12-予定価格!$H$431)/予定価格!$G$431)+予定価格!H53,-H65)))+I65</f>
        <v>0</v>
      </c>
      <c r="G65" s="258"/>
      <c r="H65" s="47">
        <f t="shared" si="10"/>
        <v>4</v>
      </c>
      <c r="I65" s="48">
        <f t="shared" si="1"/>
        <v>0</v>
      </c>
      <c r="J65" s="116">
        <f t="shared" si="2"/>
        <v>0</v>
      </c>
      <c r="K65" s="19">
        <f t="shared" si="3"/>
        <v>0</v>
      </c>
      <c r="L65" s="50"/>
      <c r="M65" s="13">
        <f>ROUND(予定価格!B53*査定表!$B$437,-$F$14)</f>
        <v>0</v>
      </c>
      <c r="N65">
        <f>IF(M65=0,1,M65/予定価格!B53)</f>
        <v>1</v>
      </c>
      <c r="O65">
        <f t="shared" si="11"/>
        <v>21</v>
      </c>
      <c r="P65">
        <f t="shared" si="12"/>
        <v>0</v>
      </c>
      <c r="Q65">
        <f>IF(M65=0,0,M65/予定価格!B53)</f>
        <v>0</v>
      </c>
      <c r="R65">
        <f t="shared" si="13"/>
        <v>21</v>
      </c>
      <c r="S65">
        <f t="shared" si="14"/>
        <v>0</v>
      </c>
      <c r="T65" s="13">
        <f t="shared" si="15"/>
        <v>0</v>
      </c>
      <c r="U65" s="13" t="e">
        <f>IF(予定価格!$G$427=0,ROUND(予定価格!H53*(入力表!$F$12/予定価格!$H$431),-$F$14),ROUND((予定価格!G53*(入力表!$F$12-予定価格!$H$431)/予定価格!$G$431)+予定価格!H53,-$F$14))</f>
        <v>#DIV/0!</v>
      </c>
      <c r="V65" t="e">
        <f>IF(U65=0,1,IF(予定価格!O53=0,1,(U65-予定価格!P53)/予定価格!O53))</f>
        <v>#DIV/0!</v>
      </c>
      <c r="W65" t="e">
        <f t="shared" si="16"/>
        <v>#DIV/0!</v>
      </c>
      <c r="X65" t="e">
        <f t="shared" si="17"/>
        <v>#DIV/0!</v>
      </c>
      <c r="Y65" t="e">
        <f>IF(U65=0,0,IF(予定価格!G53=0,0,(U65-予定価格!H53)/予定価格!G53))</f>
        <v>#DIV/0!</v>
      </c>
      <c r="Z65" t="e">
        <f t="shared" si="18"/>
        <v>#DIV/0!</v>
      </c>
      <c r="AA65" t="e">
        <f t="shared" si="19"/>
        <v>#DIV/0!</v>
      </c>
      <c r="AB65" s="13" t="e">
        <f t="shared" si="20"/>
        <v>#DIV/0!</v>
      </c>
    </row>
    <row r="66" spans="1:28" hidden="1" x14ac:dyDescent="0.15">
      <c r="A66">
        <f>+予定価格!A54</f>
        <v>0</v>
      </c>
      <c r="B66" s="258">
        <f>ROUND(予定価格!B54*査定表!$B$437,-D66)+E66</f>
        <v>0</v>
      </c>
      <c r="C66" s="258"/>
      <c r="D66" s="45">
        <f t="shared" si="9"/>
        <v>4</v>
      </c>
      <c r="E66" s="46">
        <f t="shared" si="0"/>
        <v>0</v>
      </c>
      <c r="F66" s="258">
        <f>IF($F$12=0,0,IF(予定価格!$G$427=0,ROUND(予定価格!H54*(入力表!$F$12/予定価格!$H$431),-H66),ROUND((予定価格!G54*(入力表!$F$12-予定価格!$H$431)/予定価格!$G$431)+予定価格!H54,-H66)))+I66</f>
        <v>0</v>
      </c>
      <c r="G66" s="258"/>
      <c r="H66" s="47">
        <f t="shared" si="10"/>
        <v>4</v>
      </c>
      <c r="I66" s="48">
        <f t="shared" si="1"/>
        <v>0</v>
      </c>
      <c r="J66" s="116">
        <f t="shared" si="2"/>
        <v>0</v>
      </c>
      <c r="K66" s="19">
        <f t="shared" si="3"/>
        <v>0</v>
      </c>
      <c r="L66" s="50"/>
      <c r="M66" s="13">
        <f>ROUND(予定価格!B54*査定表!$B$437,-$F$14)</f>
        <v>0</v>
      </c>
      <c r="N66">
        <f>IF(M66=0,1,M66/予定価格!B54)</f>
        <v>1</v>
      </c>
      <c r="O66">
        <f t="shared" si="11"/>
        <v>21</v>
      </c>
      <c r="P66">
        <f t="shared" si="12"/>
        <v>0</v>
      </c>
      <c r="Q66">
        <f>IF(M66=0,0,M66/予定価格!B54)</f>
        <v>0</v>
      </c>
      <c r="R66">
        <f t="shared" si="13"/>
        <v>21</v>
      </c>
      <c r="S66">
        <f t="shared" si="14"/>
        <v>0</v>
      </c>
      <c r="T66" s="13">
        <f t="shared" si="15"/>
        <v>0</v>
      </c>
      <c r="U66" s="13" t="e">
        <f>IF(予定価格!$G$427=0,ROUND(予定価格!H54*(入力表!$F$12/予定価格!$H$431),-$F$14),ROUND((予定価格!G54*(入力表!$F$12-予定価格!$H$431)/予定価格!$G$431)+予定価格!H54,-$F$14))</f>
        <v>#DIV/0!</v>
      </c>
      <c r="V66" t="e">
        <f>IF(U66=0,1,IF(予定価格!O54=0,1,(U66-予定価格!P54)/予定価格!O54))</f>
        <v>#DIV/0!</v>
      </c>
      <c r="W66" t="e">
        <f t="shared" si="16"/>
        <v>#DIV/0!</v>
      </c>
      <c r="X66" t="e">
        <f t="shared" si="17"/>
        <v>#DIV/0!</v>
      </c>
      <c r="Y66" t="e">
        <f>IF(U66=0,0,IF(予定価格!G54=0,0,(U66-予定価格!H54)/予定価格!G54))</f>
        <v>#DIV/0!</v>
      </c>
      <c r="Z66" t="e">
        <f t="shared" si="18"/>
        <v>#DIV/0!</v>
      </c>
      <c r="AA66" t="e">
        <f t="shared" si="19"/>
        <v>#DIV/0!</v>
      </c>
      <c r="AB66" s="13" t="e">
        <f t="shared" si="20"/>
        <v>#DIV/0!</v>
      </c>
    </row>
    <row r="67" spans="1:28" hidden="1" x14ac:dyDescent="0.15">
      <c r="A67">
        <f>+予定価格!A55</f>
        <v>0</v>
      </c>
      <c r="B67" s="258">
        <f>ROUND(予定価格!B55*査定表!$B$437,-D67)+E67</f>
        <v>0</v>
      </c>
      <c r="C67" s="258"/>
      <c r="D67" s="45">
        <f t="shared" si="9"/>
        <v>4</v>
      </c>
      <c r="E67" s="46">
        <f t="shared" si="0"/>
        <v>0</v>
      </c>
      <c r="F67" s="258">
        <f>IF($F$12=0,0,IF(予定価格!$G$427=0,ROUND(予定価格!H55*(入力表!$F$12/予定価格!$H$431),-H67),ROUND((予定価格!G55*(入力表!$F$12-予定価格!$H$431)/予定価格!$G$431)+予定価格!H55,-H67)))+I67</f>
        <v>0</v>
      </c>
      <c r="G67" s="258"/>
      <c r="H67" s="47">
        <f t="shared" si="10"/>
        <v>4</v>
      </c>
      <c r="I67" s="48">
        <f t="shared" si="1"/>
        <v>0</v>
      </c>
      <c r="J67" s="116">
        <f t="shared" si="2"/>
        <v>0</v>
      </c>
      <c r="K67" s="19">
        <f t="shared" si="3"/>
        <v>0</v>
      </c>
      <c r="L67" s="50"/>
      <c r="M67" s="13">
        <f>ROUND(予定価格!B55*査定表!$B$437,-$F$14)</f>
        <v>0</v>
      </c>
      <c r="N67">
        <f>IF(M67=0,1,M67/予定価格!B55)</f>
        <v>1</v>
      </c>
      <c r="O67">
        <f t="shared" si="11"/>
        <v>21</v>
      </c>
      <c r="P67">
        <f t="shared" si="12"/>
        <v>0</v>
      </c>
      <c r="Q67">
        <f>IF(M67=0,0,M67/予定価格!B55)</f>
        <v>0</v>
      </c>
      <c r="R67">
        <f t="shared" si="13"/>
        <v>21</v>
      </c>
      <c r="S67">
        <f t="shared" si="14"/>
        <v>0</v>
      </c>
      <c r="T67" s="13">
        <f t="shared" si="15"/>
        <v>0</v>
      </c>
      <c r="U67" s="13" t="e">
        <f>IF(予定価格!$G$427=0,ROUND(予定価格!H55*(入力表!$F$12/予定価格!$H$431),-$F$14),ROUND((予定価格!G55*(入力表!$F$12-予定価格!$H$431)/予定価格!$G$431)+予定価格!H55,-$F$14))</f>
        <v>#DIV/0!</v>
      </c>
      <c r="V67" t="e">
        <f>IF(U67=0,1,IF(予定価格!O55=0,1,(U67-予定価格!P55)/予定価格!O55))</f>
        <v>#DIV/0!</v>
      </c>
      <c r="W67" t="e">
        <f t="shared" si="16"/>
        <v>#DIV/0!</v>
      </c>
      <c r="X67" t="e">
        <f t="shared" si="17"/>
        <v>#DIV/0!</v>
      </c>
      <c r="Y67" t="e">
        <f>IF(U67=0,0,IF(予定価格!G55=0,0,(U67-予定価格!H55)/予定価格!G55))</f>
        <v>#DIV/0!</v>
      </c>
      <c r="Z67" t="e">
        <f t="shared" si="18"/>
        <v>#DIV/0!</v>
      </c>
      <c r="AA67" t="e">
        <f t="shared" si="19"/>
        <v>#DIV/0!</v>
      </c>
      <c r="AB67" s="13" t="e">
        <f t="shared" si="20"/>
        <v>#DIV/0!</v>
      </c>
    </row>
    <row r="68" spans="1:28" hidden="1" x14ac:dyDescent="0.15">
      <c r="A68">
        <f>+予定価格!A56</f>
        <v>0</v>
      </c>
      <c r="B68" s="258">
        <f>ROUND(予定価格!B56*査定表!$B$437,-D68)+E68</f>
        <v>0</v>
      </c>
      <c r="C68" s="258"/>
      <c r="D68" s="45">
        <f t="shared" si="9"/>
        <v>4</v>
      </c>
      <c r="E68" s="46">
        <f t="shared" si="0"/>
        <v>0</v>
      </c>
      <c r="F68" s="258">
        <f>IF($F$12=0,0,IF(予定価格!$G$427=0,ROUND(予定価格!H56*(入力表!$F$12/予定価格!$H$431),-H68),ROUND((予定価格!G56*(入力表!$F$12-予定価格!$H$431)/予定価格!$G$431)+予定価格!H56,-H68)))+I68</f>
        <v>0</v>
      </c>
      <c r="G68" s="258"/>
      <c r="H68" s="47">
        <f t="shared" si="10"/>
        <v>4</v>
      </c>
      <c r="I68" s="48">
        <f t="shared" si="1"/>
        <v>0</v>
      </c>
      <c r="J68" s="116">
        <f t="shared" si="2"/>
        <v>0</v>
      </c>
      <c r="K68" s="19">
        <f t="shared" si="3"/>
        <v>0</v>
      </c>
      <c r="L68" s="50"/>
      <c r="M68" s="13">
        <f>ROUND(予定価格!B56*査定表!$B$437,-$F$14)</f>
        <v>0</v>
      </c>
      <c r="N68">
        <f>IF(M68=0,1,M68/予定価格!B56)</f>
        <v>1</v>
      </c>
      <c r="O68">
        <f t="shared" si="11"/>
        <v>21</v>
      </c>
      <c r="P68">
        <f t="shared" si="12"/>
        <v>0</v>
      </c>
      <c r="Q68">
        <f>IF(M68=0,0,M68/予定価格!B56)</f>
        <v>0</v>
      </c>
      <c r="R68">
        <f t="shared" si="13"/>
        <v>21</v>
      </c>
      <c r="S68">
        <f t="shared" si="14"/>
        <v>0</v>
      </c>
      <c r="T68" s="13">
        <f t="shared" si="15"/>
        <v>0</v>
      </c>
      <c r="U68" s="13" t="e">
        <f>IF(予定価格!$G$427=0,ROUND(予定価格!H56*(入力表!$F$12/予定価格!$H$431),-$F$14),ROUND((予定価格!G56*(入力表!$F$12-予定価格!$H$431)/予定価格!$G$431)+予定価格!H56,-$F$14))</f>
        <v>#DIV/0!</v>
      </c>
      <c r="V68" t="e">
        <f>IF(U68=0,1,IF(予定価格!O56=0,1,(U68-予定価格!P56)/予定価格!O56))</f>
        <v>#DIV/0!</v>
      </c>
      <c r="W68" t="e">
        <f t="shared" si="16"/>
        <v>#DIV/0!</v>
      </c>
      <c r="X68" t="e">
        <f t="shared" si="17"/>
        <v>#DIV/0!</v>
      </c>
      <c r="Y68" t="e">
        <f>IF(U68=0,0,IF(予定価格!G56=0,0,(U68-予定価格!H56)/予定価格!G56))</f>
        <v>#DIV/0!</v>
      </c>
      <c r="Z68" t="e">
        <f t="shared" si="18"/>
        <v>#DIV/0!</v>
      </c>
      <c r="AA68" t="e">
        <f t="shared" si="19"/>
        <v>#DIV/0!</v>
      </c>
      <c r="AB68" s="13" t="e">
        <f t="shared" si="20"/>
        <v>#DIV/0!</v>
      </c>
    </row>
    <row r="69" spans="1:28" hidden="1" x14ac:dyDescent="0.15">
      <c r="A69">
        <f>+予定価格!A57</f>
        <v>0</v>
      </c>
      <c r="B69" s="258">
        <f>ROUND(予定価格!B57*査定表!$B$437,-D69)+E69</f>
        <v>0</v>
      </c>
      <c r="C69" s="258"/>
      <c r="D69" s="45">
        <f t="shared" si="9"/>
        <v>4</v>
      </c>
      <c r="E69" s="46">
        <f t="shared" si="0"/>
        <v>0</v>
      </c>
      <c r="F69" s="258">
        <f>IF($F$12=0,0,IF(予定価格!$G$427=0,ROUND(予定価格!H57*(入力表!$F$12/予定価格!$H$431),-H69),ROUND((予定価格!G57*(入力表!$F$12-予定価格!$H$431)/予定価格!$G$431)+予定価格!H57,-H69)))+I69</f>
        <v>0</v>
      </c>
      <c r="G69" s="258"/>
      <c r="H69" s="47">
        <f t="shared" si="10"/>
        <v>4</v>
      </c>
      <c r="I69" s="48">
        <f t="shared" si="1"/>
        <v>0</v>
      </c>
      <c r="J69" s="116">
        <f t="shared" si="2"/>
        <v>0</v>
      </c>
      <c r="K69" s="19">
        <f t="shared" si="3"/>
        <v>0</v>
      </c>
      <c r="L69" s="50"/>
      <c r="M69" s="13">
        <f>ROUND(予定価格!B57*査定表!$B$437,-$F$14)</f>
        <v>0</v>
      </c>
      <c r="N69">
        <f>IF(M69=0,1,M69/予定価格!B57)</f>
        <v>1</v>
      </c>
      <c r="O69">
        <f t="shared" si="11"/>
        <v>21</v>
      </c>
      <c r="P69">
        <f t="shared" si="12"/>
        <v>0</v>
      </c>
      <c r="Q69">
        <f>IF(M69=0,0,M69/予定価格!B57)</f>
        <v>0</v>
      </c>
      <c r="R69">
        <f t="shared" si="13"/>
        <v>21</v>
      </c>
      <c r="S69">
        <f t="shared" si="14"/>
        <v>0</v>
      </c>
      <c r="T69" s="13">
        <f t="shared" si="15"/>
        <v>0</v>
      </c>
      <c r="U69" s="13" t="e">
        <f>IF(予定価格!$G$427=0,ROUND(予定価格!H57*(入力表!$F$12/予定価格!$H$431),-$F$14),ROUND((予定価格!G57*(入力表!$F$12-予定価格!$H$431)/予定価格!$G$431)+予定価格!H57,-$F$14))</f>
        <v>#DIV/0!</v>
      </c>
      <c r="V69" t="e">
        <f>IF(U69=0,1,IF(予定価格!O57=0,1,(U69-予定価格!P57)/予定価格!O57))</f>
        <v>#DIV/0!</v>
      </c>
      <c r="W69" t="e">
        <f t="shared" si="16"/>
        <v>#DIV/0!</v>
      </c>
      <c r="X69" t="e">
        <f t="shared" si="17"/>
        <v>#DIV/0!</v>
      </c>
      <c r="Y69" t="e">
        <f>IF(U69=0,0,IF(予定価格!G57=0,0,(U69-予定価格!H57)/予定価格!G57))</f>
        <v>#DIV/0!</v>
      </c>
      <c r="Z69" t="e">
        <f t="shared" si="18"/>
        <v>#DIV/0!</v>
      </c>
      <c r="AA69" t="e">
        <f t="shared" si="19"/>
        <v>#DIV/0!</v>
      </c>
      <c r="AB69" s="13" t="e">
        <f t="shared" si="20"/>
        <v>#DIV/0!</v>
      </c>
    </row>
    <row r="70" spans="1:28" hidden="1" x14ac:dyDescent="0.15">
      <c r="A70">
        <f>+予定価格!A58</f>
        <v>0</v>
      </c>
      <c r="B70" s="258">
        <f>ROUND(予定価格!B58*査定表!$B$437,-D70)+E70</f>
        <v>0</v>
      </c>
      <c r="C70" s="258"/>
      <c r="D70" s="45">
        <f t="shared" si="9"/>
        <v>4</v>
      </c>
      <c r="E70" s="46">
        <f t="shared" si="0"/>
        <v>0</v>
      </c>
      <c r="F70" s="258">
        <f>IF($F$12=0,0,IF(予定価格!$G$427=0,ROUND(予定価格!H58*(入力表!$F$12/予定価格!$H$431),-H70),ROUND((予定価格!G58*(入力表!$F$12-予定価格!$H$431)/予定価格!$G$431)+予定価格!H58,-H70)))+I70</f>
        <v>0</v>
      </c>
      <c r="G70" s="258"/>
      <c r="H70" s="47">
        <f t="shared" si="10"/>
        <v>4</v>
      </c>
      <c r="I70" s="48">
        <f t="shared" si="1"/>
        <v>0</v>
      </c>
      <c r="J70" s="116">
        <f t="shared" si="2"/>
        <v>0</v>
      </c>
      <c r="K70" s="19">
        <f t="shared" si="3"/>
        <v>0</v>
      </c>
      <c r="L70" s="50"/>
      <c r="M70" s="13">
        <f>ROUND(予定価格!B58*査定表!$B$437,-$F$14)</f>
        <v>0</v>
      </c>
      <c r="N70">
        <f>IF(M70=0,1,M70/予定価格!B58)</f>
        <v>1</v>
      </c>
      <c r="O70">
        <f t="shared" si="11"/>
        <v>21</v>
      </c>
      <c r="P70">
        <f t="shared" si="12"/>
        <v>0</v>
      </c>
      <c r="Q70">
        <f>IF(M70=0,0,M70/予定価格!B58)</f>
        <v>0</v>
      </c>
      <c r="R70">
        <f t="shared" si="13"/>
        <v>21</v>
      </c>
      <c r="S70">
        <f t="shared" si="14"/>
        <v>0</v>
      </c>
      <c r="T70" s="13">
        <f t="shared" si="15"/>
        <v>0</v>
      </c>
      <c r="U70" s="13" t="e">
        <f>IF(予定価格!$G$427=0,ROUND(予定価格!H58*(入力表!$F$12/予定価格!$H$431),-$F$14),ROUND((予定価格!G58*(入力表!$F$12-予定価格!$H$431)/予定価格!$G$431)+予定価格!H58,-$F$14))</f>
        <v>#DIV/0!</v>
      </c>
      <c r="V70" t="e">
        <f>IF(U70=0,1,IF(予定価格!O58=0,1,(U70-予定価格!P58)/予定価格!O58))</f>
        <v>#DIV/0!</v>
      </c>
      <c r="W70" t="e">
        <f t="shared" si="16"/>
        <v>#DIV/0!</v>
      </c>
      <c r="X70" t="e">
        <f t="shared" si="17"/>
        <v>#DIV/0!</v>
      </c>
      <c r="Y70" t="e">
        <f>IF(U70=0,0,IF(予定価格!G58=0,0,(U70-予定価格!H58)/予定価格!G58))</f>
        <v>#DIV/0!</v>
      </c>
      <c r="Z70" t="e">
        <f t="shared" si="18"/>
        <v>#DIV/0!</v>
      </c>
      <c r="AA70" t="e">
        <f t="shared" si="19"/>
        <v>#DIV/0!</v>
      </c>
      <c r="AB70" s="13" t="e">
        <f t="shared" si="20"/>
        <v>#DIV/0!</v>
      </c>
    </row>
    <row r="71" spans="1:28" hidden="1" x14ac:dyDescent="0.15">
      <c r="A71">
        <f>+予定価格!A59</f>
        <v>0</v>
      </c>
      <c r="B71" s="258">
        <f>ROUND(予定価格!B59*査定表!$B$437,-D71)+E71</f>
        <v>0</v>
      </c>
      <c r="C71" s="258"/>
      <c r="D71" s="45">
        <f t="shared" si="9"/>
        <v>4</v>
      </c>
      <c r="E71" s="46">
        <f t="shared" si="0"/>
        <v>0</v>
      </c>
      <c r="F71" s="258">
        <f>IF($F$12=0,0,IF(予定価格!$G$427=0,ROUND(予定価格!H59*(入力表!$F$12/予定価格!$H$431),-H71),ROUND((予定価格!G59*(入力表!$F$12-予定価格!$H$431)/予定価格!$G$431)+予定価格!H59,-H71)))+I71</f>
        <v>0</v>
      </c>
      <c r="G71" s="258"/>
      <c r="H71" s="47">
        <f t="shared" si="10"/>
        <v>4</v>
      </c>
      <c r="I71" s="48">
        <f t="shared" si="1"/>
        <v>0</v>
      </c>
      <c r="J71" s="116">
        <f t="shared" si="2"/>
        <v>0</v>
      </c>
      <c r="K71" s="19">
        <f t="shared" si="3"/>
        <v>0</v>
      </c>
      <c r="L71" s="50"/>
      <c r="M71" s="13">
        <f>ROUND(予定価格!B59*査定表!$B$437,-$F$14)</f>
        <v>0</v>
      </c>
      <c r="N71">
        <f>IF(M71=0,1,M71/予定価格!B59)</f>
        <v>1</v>
      </c>
      <c r="O71">
        <f t="shared" si="11"/>
        <v>21</v>
      </c>
      <c r="P71">
        <f t="shared" si="12"/>
        <v>0</v>
      </c>
      <c r="Q71">
        <f>IF(M71=0,0,M71/予定価格!B59)</f>
        <v>0</v>
      </c>
      <c r="R71">
        <f t="shared" si="13"/>
        <v>21</v>
      </c>
      <c r="S71">
        <f t="shared" si="14"/>
        <v>0</v>
      </c>
      <c r="T71" s="13">
        <f t="shared" si="15"/>
        <v>0</v>
      </c>
      <c r="U71" s="13" t="e">
        <f>IF(予定価格!$G$427=0,ROUND(予定価格!H59*(入力表!$F$12/予定価格!$H$431),-$F$14),ROUND((予定価格!G59*(入力表!$F$12-予定価格!$H$431)/予定価格!$G$431)+予定価格!H59,-$F$14))</f>
        <v>#DIV/0!</v>
      </c>
      <c r="V71" t="e">
        <f>IF(U71=0,1,IF(予定価格!O59=0,1,(U71-予定価格!P59)/予定価格!O59))</f>
        <v>#DIV/0!</v>
      </c>
      <c r="W71" t="e">
        <f t="shared" si="16"/>
        <v>#DIV/0!</v>
      </c>
      <c r="X71" t="e">
        <f t="shared" si="17"/>
        <v>#DIV/0!</v>
      </c>
      <c r="Y71" t="e">
        <f>IF(U71=0,0,IF(予定価格!G59=0,0,(U71-予定価格!H59)/予定価格!G59))</f>
        <v>#DIV/0!</v>
      </c>
      <c r="Z71" t="e">
        <f t="shared" si="18"/>
        <v>#DIV/0!</v>
      </c>
      <c r="AA71" t="e">
        <f t="shared" si="19"/>
        <v>#DIV/0!</v>
      </c>
      <c r="AB71" s="13" t="e">
        <f t="shared" si="20"/>
        <v>#DIV/0!</v>
      </c>
    </row>
    <row r="72" spans="1:28" hidden="1" x14ac:dyDescent="0.15">
      <c r="A72">
        <f>+予定価格!A60</f>
        <v>0</v>
      </c>
      <c r="B72" s="258">
        <f>ROUND(予定価格!B60*査定表!$B$437,-D72)+E72</f>
        <v>0</v>
      </c>
      <c r="C72" s="258"/>
      <c r="D72" s="45">
        <f t="shared" si="9"/>
        <v>4</v>
      </c>
      <c r="E72" s="46">
        <f t="shared" si="0"/>
        <v>0</v>
      </c>
      <c r="F72" s="258">
        <f>IF($F$12=0,0,IF(予定価格!$G$427=0,ROUND(予定価格!H60*(入力表!$F$12/予定価格!$H$431),-H72),ROUND((予定価格!G60*(入力表!$F$12-予定価格!$H$431)/予定価格!$G$431)+予定価格!H60,-H72)))+I72</f>
        <v>0</v>
      </c>
      <c r="G72" s="258"/>
      <c r="H72" s="47">
        <f t="shared" si="10"/>
        <v>4</v>
      </c>
      <c r="I72" s="48">
        <f t="shared" si="1"/>
        <v>0</v>
      </c>
      <c r="J72" s="116">
        <f t="shared" si="2"/>
        <v>0</v>
      </c>
      <c r="K72" s="19">
        <f t="shared" si="3"/>
        <v>0</v>
      </c>
      <c r="L72" s="50"/>
      <c r="M72" s="13">
        <f>ROUND(予定価格!B60*査定表!$B$437,-$F$14)</f>
        <v>0</v>
      </c>
      <c r="N72">
        <f>IF(M72=0,1,M72/予定価格!B60)</f>
        <v>1</v>
      </c>
      <c r="O72">
        <f t="shared" si="11"/>
        <v>21</v>
      </c>
      <c r="P72">
        <f t="shared" si="12"/>
        <v>0</v>
      </c>
      <c r="Q72">
        <f>IF(M72=0,0,M72/予定価格!B60)</f>
        <v>0</v>
      </c>
      <c r="R72">
        <f t="shared" si="13"/>
        <v>21</v>
      </c>
      <c r="S72">
        <f t="shared" si="14"/>
        <v>0</v>
      </c>
      <c r="T72" s="13">
        <f t="shared" si="15"/>
        <v>0</v>
      </c>
      <c r="U72" s="13" t="e">
        <f>IF(予定価格!$G$427=0,ROUND(予定価格!H60*(入力表!$F$12/予定価格!$H$431),-$F$14),ROUND((予定価格!G60*(入力表!$F$12-予定価格!$H$431)/予定価格!$G$431)+予定価格!H60,-$F$14))</f>
        <v>#DIV/0!</v>
      </c>
      <c r="V72" t="e">
        <f>IF(U72=0,1,IF(予定価格!O60=0,1,(U72-予定価格!P60)/予定価格!O60))</f>
        <v>#DIV/0!</v>
      </c>
      <c r="W72" t="e">
        <f t="shared" si="16"/>
        <v>#DIV/0!</v>
      </c>
      <c r="X72" t="e">
        <f t="shared" si="17"/>
        <v>#DIV/0!</v>
      </c>
      <c r="Y72" t="e">
        <f>IF(U72=0,0,IF(予定価格!G60=0,0,(U72-予定価格!H60)/予定価格!G60))</f>
        <v>#DIV/0!</v>
      </c>
      <c r="Z72" t="e">
        <f t="shared" si="18"/>
        <v>#DIV/0!</v>
      </c>
      <c r="AA72" t="e">
        <f t="shared" si="19"/>
        <v>#DIV/0!</v>
      </c>
      <c r="AB72" s="13" t="e">
        <f t="shared" si="20"/>
        <v>#DIV/0!</v>
      </c>
    </row>
    <row r="73" spans="1:28" hidden="1" x14ac:dyDescent="0.15">
      <c r="A73">
        <f>+予定価格!A61</f>
        <v>0</v>
      </c>
      <c r="B73" s="258">
        <f>ROUND(予定価格!B61*査定表!$B$437,-D73)+E73</f>
        <v>0</v>
      </c>
      <c r="C73" s="258"/>
      <c r="D73" s="45">
        <f t="shared" si="9"/>
        <v>4</v>
      </c>
      <c r="E73" s="46">
        <f t="shared" si="0"/>
        <v>0</v>
      </c>
      <c r="F73" s="258">
        <f>IF($F$12=0,0,IF(予定価格!$G$427=0,ROUND(予定価格!H61*(入力表!$F$12/予定価格!$H$431),-H73),ROUND((予定価格!G61*(入力表!$F$12-予定価格!$H$431)/予定価格!$G$431)+予定価格!H61,-H73)))+I73</f>
        <v>0</v>
      </c>
      <c r="G73" s="258"/>
      <c r="H73" s="47">
        <f t="shared" si="10"/>
        <v>4</v>
      </c>
      <c r="I73" s="48">
        <f t="shared" si="1"/>
        <v>0</v>
      </c>
      <c r="J73" s="116">
        <f t="shared" si="2"/>
        <v>0</v>
      </c>
      <c r="K73" s="19">
        <f t="shared" si="3"/>
        <v>0</v>
      </c>
      <c r="L73" s="50"/>
      <c r="M73" s="13">
        <f>ROUND(予定価格!B61*査定表!$B$437,-$F$14)</f>
        <v>0</v>
      </c>
      <c r="N73">
        <f>IF(M73=0,1,M73/予定価格!B61)</f>
        <v>1</v>
      </c>
      <c r="O73">
        <f t="shared" si="11"/>
        <v>21</v>
      </c>
      <c r="P73">
        <f t="shared" si="12"/>
        <v>0</v>
      </c>
      <c r="Q73">
        <f>IF(M73=0,0,M73/予定価格!B61)</f>
        <v>0</v>
      </c>
      <c r="R73">
        <f t="shared" si="13"/>
        <v>21</v>
      </c>
      <c r="S73">
        <f t="shared" si="14"/>
        <v>0</v>
      </c>
      <c r="T73" s="13">
        <f t="shared" si="15"/>
        <v>0</v>
      </c>
      <c r="U73" s="13" t="e">
        <f>IF(予定価格!$G$427=0,ROUND(予定価格!H61*(入力表!$F$12/予定価格!$H$431),-$F$14),ROUND((予定価格!G61*(入力表!$F$12-予定価格!$H$431)/予定価格!$G$431)+予定価格!H61,-$F$14))</f>
        <v>#DIV/0!</v>
      </c>
      <c r="V73" t="e">
        <f>IF(U73=0,1,IF(予定価格!O61=0,1,(U73-予定価格!P61)/予定価格!O61))</f>
        <v>#DIV/0!</v>
      </c>
      <c r="W73" t="e">
        <f t="shared" si="16"/>
        <v>#DIV/0!</v>
      </c>
      <c r="X73" t="e">
        <f t="shared" si="17"/>
        <v>#DIV/0!</v>
      </c>
      <c r="Y73" t="e">
        <f>IF(U73=0,0,IF(予定価格!G61=0,0,(U73-予定価格!H61)/予定価格!G61))</f>
        <v>#DIV/0!</v>
      </c>
      <c r="Z73" t="e">
        <f t="shared" si="18"/>
        <v>#DIV/0!</v>
      </c>
      <c r="AA73" t="e">
        <f t="shared" si="19"/>
        <v>#DIV/0!</v>
      </c>
      <c r="AB73" s="13" t="e">
        <f t="shared" si="20"/>
        <v>#DIV/0!</v>
      </c>
    </row>
    <row r="74" spans="1:28" hidden="1" x14ac:dyDescent="0.15">
      <c r="A74">
        <f>+予定価格!A62</f>
        <v>0</v>
      </c>
      <c r="B74" s="258">
        <f>ROUND(予定価格!B62*査定表!$B$437,-D74)+E74</f>
        <v>0</v>
      </c>
      <c r="C74" s="258"/>
      <c r="D74" s="45">
        <f t="shared" si="9"/>
        <v>4</v>
      </c>
      <c r="E74" s="46">
        <f t="shared" si="0"/>
        <v>0</v>
      </c>
      <c r="F74" s="258">
        <f>IF($F$12=0,0,IF(予定価格!$G$427=0,ROUND(予定価格!H62*(入力表!$F$12/予定価格!$H$431),-H74),ROUND((予定価格!G62*(入力表!$F$12-予定価格!$H$431)/予定価格!$G$431)+予定価格!H62,-H74)))+I74</f>
        <v>0</v>
      </c>
      <c r="G74" s="258"/>
      <c r="H74" s="47">
        <f t="shared" si="10"/>
        <v>4</v>
      </c>
      <c r="I74" s="48">
        <f t="shared" si="1"/>
        <v>0</v>
      </c>
      <c r="J74" s="116">
        <f t="shared" si="2"/>
        <v>0</v>
      </c>
      <c r="K74" s="19">
        <f t="shared" si="3"/>
        <v>0</v>
      </c>
      <c r="L74" s="50"/>
      <c r="M74" s="13">
        <f>ROUND(予定価格!B62*査定表!$B$437,-$F$14)</f>
        <v>0</v>
      </c>
      <c r="N74">
        <f>IF(M74=0,1,M74/予定価格!B62)</f>
        <v>1</v>
      </c>
      <c r="O74">
        <f t="shared" si="11"/>
        <v>21</v>
      </c>
      <c r="P74">
        <f t="shared" si="12"/>
        <v>0</v>
      </c>
      <c r="Q74">
        <f>IF(M74=0,0,M74/予定価格!B62)</f>
        <v>0</v>
      </c>
      <c r="R74">
        <f t="shared" si="13"/>
        <v>21</v>
      </c>
      <c r="S74">
        <f t="shared" si="14"/>
        <v>0</v>
      </c>
      <c r="T74" s="13">
        <f t="shared" si="15"/>
        <v>0</v>
      </c>
      <c r="U74" s="13" t="e">
        <f>IF(予定価格!$G$427=0,ROUND(予定価格!H62*(入力表!$F$12/予定価格!$H$431),-$F$14),ROUND((予定価格!G62*(入力表!$F$12-予定価格!$H$431)/予定価格!$G$431)+予定価格!H62,-$F$14))</f>
        <v>#DIV/0!</v>
      </c>
      <c r="V74" t="e">
        <f>IF(U74=0,1,IF(予定価格!O62=0,1,(U74-予定価格!P62)/予定価格!O62))</f>
        <v>#DIV/0!</v>
      </c>
      <c r="W74" t="e">
        <f t="shared" si="16"/>
        <v>#DIV/0!</v>
      </c>
      <c r="X74" t="e">
        <f t="shared" si="17"/>
        <v>#DIV/0!</v>
      </c>
      <c r="Y74" t="e">
        <f>IF(U74=0,0,IF(予定価格!G62=0,0,(U74-予定価格!H62)/予定価格!G62))</f>
        <v>#DIV/0!</v>
      </c>
      <c r="Z74" t="e">
        <f t="shared" si="18"/>
        <v>#DIV/0!</v>
      </c>
      <c r="AA74" t="e">
        <f t="shared" si="19"/>
        <v>#DIV/0!</v>
      </c>
      <c r="AB74" s="13" t="e">
        <f t="shared" si="20"/>
        <v>#DIV/0!</v>
      </c>
    </row>
    <row r="75" spans="1:28" hidden="1" x14ac:dyDescent="0.15">
      <c r="A75">
        <f>+予定価格!A63</f>
        <v>0</v>
      </c>
      <c r="B75" s="258">
        <f>ROUND(予定価格!B63*査定表!$B$437,-D75)+E75</f>
        <v>0</v>
      </c>
      <c r="C75" s="258"/>
      <c r="D75" s="45">
        <f t="shared" si="9"/>
        <v>4</v>
      </c>
      <c r="E75" s="46">
        <f t="shared" si="0"/>
        <v>0</v>
      </c>
      <c r="F75" s="258">
        <f>IF($F$12=0,0,IF(予定価格!$G$427=0,ROUND(予定価格!H63*(入力表!$F$12/予定価格!$H$431),-H75),ROUND((予定価格!G63*(入力表!$F$12-予定価格!$H$431)/予定価格!$G$431)+予定価格!H63,-H75)))+I75</f>
        <v>0</v>
      </c>
      <c r="G75" s="258"/>
      <c r="H75" s="47">
        <f t="shared" si="10"/>
        <v>4</v>
      </c>
      <c r="I75" s="48">
        <f t="shared" si="1"/>
        <v>0</v>
      </c>
      <c r="J75" s="116">
        <f t="shared" si="2"/>
        <v>0</v>
      </c>
      <c r="K75" s="19">
        <f t="shared" si="3"/>
        <v>0</v>
      </c>
      <c r="L75" s="50"/>
      <c r="M75" s="13">
        <f>ROUND(予定価格!B63*査定表!$B$437,-$F$14)</f>
        <v>0</v>
      </c>
      <c r="N75">
        <f>IF(M75=0,1,M75/予定価格!B63)</f>
        <v>1</v>
      </c>
      <c r="O75">
        <f t="shared" si="11"/>
        <v>21</v>
      </c>
      <c r="P75">
        <f t="shared" si="12"/>
        <v>0</v>
      </c>
      <c r="Q75">
        <f>IF(M75=0,0,M75/予定価格!B63)</f>
        <v>0</v>
      </c>
      <c r="R75">
        <f t="shared" si="13"/>
        <v>21</v>
      </c>
      <c r="S75">
        <f t="shared" si="14"/>
        <v>0</v>
      </c>
      <c r="T75" s="13">
        <f t="shared" si="15"/>
        <v>0</v>
      </c>
      <c r="U75" s="13" t="e">
        <f>IF(予定価格!$G$427=0,ROUND(予定価格!H63*(入力表!$F$12/予定価格!$H$431),-$F$14),ROUND((予定価格!G63*(入力表!$F$12-予定価格!$H$431)/予定価格!$G$431)+予定価格!H63,-$F$14))</f>
        <v>#DIV/0!</v>
      </c>
      <c r="V75" t="e">
        <f>IF(U75=0,1,IF(予定価格!O63=0,1,(U75-予定価格!P63)/予定価格!O63))</f>
        <v>#DIV/0!</v>
      </c>
      <c r="W75" t="e">
        <f t="shared" si="16"/>
        <v>#DIV/0!</v>
      </c>
      <c r="X75" t="e">
        <f t="shared" si="17"/>
        <v>#DIV/0!</v>
      </c>
      <c r="Y75" t="e">
        <f>IF(U75=0,0,IF(予定価格!G63=0,0,(U75-予定価格!H63)/予定価格!G63))</f>
        <v>#DIV/0!</v>
      </c>
      <c r="Z75" t="e">
        <f t="shared" si="18"/>
        <v>#DIV/0!</v>
      </c>
      <c r="AA75" t="e">
        <f t="shared" si="19"/>
        <v>#DIV/0!</v>
      </c>
      <c r="AB75" s="13" t="e">
        <f t="shared" si="20"/>
        <v>#DIV/0!</v>
      </c>
    </row>
    <row r="76" spans="1:28" hidden="1" x14ac:dyDescent="0.15">
      <c r="A76">
        <f>+予定価格!A64</f>
        <v>0</v>
      </c>
      <c r="B76" s="258">
        <f>ROUND(予定価格!B64*査定表!$B$437,-D76)+E76</f>
        <v>0</v>
      </c>
      <c r="C76" s="258"/>
      <c r="D76" s="45">
        <f t="shared" si="9"/>
        <v>4</v>
      </c>
      <c r="E76" s="46">
        <f t="shared" si="0"/>
        <v>0</v>
      </c>
      <c r="F76" s="258">
        <f>IF($F$12=0,0,IF(予定価格!$G$427=0,ROUND(予定価格!H64*(入力表!$F$12/予定価格!$H$431),-H76),ROUND((予定価格!G64*(入力表!$F$12-予定価格!$H$431)/予定価格!$G$431)+予定価格!H64,-H76)))+I76</f>
        <v>0</v>
      </c>
      <c r="G76" s="258"/>
      <c r="H76" s="47">
        <f t="shared" si="10"/>
        <v>4</v>
      </c>
      <c r="I76" s="48">
        <f t="shared" si="1"/>
        <v>0</v>
      </c>
      <c r="J76" s="116">
        <f t="shared" si="2"/>
        <v>0</v>
      </c>
      <c r="K76" s="19">
        <f t="shared" si="3"/>
        <v>0</v>
      </c>
      <c r="L76" s="50"/>
      <c r="M76" s="13">
        <f>ROUND(予定価格!B64*査定表!$B$437,-$F$14)</f>
        <v>0</v>
      </c>
      <c r="N76">
        <f>IF(M76=0,1,M76/予定価格!B64)</f>
        <v>1</v>
      </c>
      <c r="O76">
        <f t="shared" si="11"/>
        <v>21</v>
      </c>
      <c r="P76">
        <f t="shared" si="12"/>
        <v>0</v>
      </c>
      <c r="Q76">
        <f>IF(M76=0,0,M76/予定価格!B64)</f>
        <v>0</v>
      </c>
      <c r="R76">
        <f t="shared" si="13"/>
        <v>21</v>
      </c>
      <c r="S76">
        <f t="shared" si="14"/>
        <v>0</v>
      </c>
      <c r="T76" s="13">
        <f t="shared" si="15"/>
        <v>0</v>
      </c>
      <c r="U76" s="13" t="e">
        <f>IF(予定価格!$G$427=0,ROUND(予定価格!H64*(入力表!$F$12/予定価格!$H$431),-$F$14),ROUND((予定価格!G64*(入力表!$F$12-予定価格!$H$431)/予定価格!$G$431)+予定価格!H64,-$F$14))</f>
        <v>#DIV/0!</v>
      </c>
      <c r="V76" t="e">
        <f>IF(U76=0,1,IF(予定価格!O64=0,1,(U76-予定価格!P64)/予定価格!O64))</f>
        <v>#DIV/0!</v>
      </c>
      <c r="W76" t="e">
        <f t="shared" si="16"/>
        <v>#DIV/0!</v>
      </c>
      <c r="X76" t="e">
        <f t="shared" si="17"/>
        <v>#DIV/0!</v>
      </c>
      <c r="Y76" t="e">
        <f>IF(U76=0,0,IF(予定価格!G64=0,0,(U76-予定価格!H64)/予定価格!G64))</f>
        <v>#DIV/0!</v>
      </c>
      <c r="Z76" t="e">
        <f t="shared" si="18"/>
        <v>#DIV/0!</v>
      </c>
      <c r="AA76" t="e">
        <f t="shared" si="19"/>
        <v>#DIV/0!</v>
      </c>
      <c r="AB76" s="13" t="e">
        <f t="shared" si="20"/>
        <v>#DIV/0!</v>
      </c>
    </row>
    <row r="77" spans="1:28" hidden="1" x14ac:dyDescent="0.15">
      <c r="A77">
        <f>+予定価格!A65</f>
        <v>0</v>
      </c>
      <c r="B77" s="258">
        <f>ROUND(予定価格!B65*査定表!$B$437,-D77)+E77</f>
        <v>0</v>
      </c>
      <c r="C77" s="258"/>
      <c r="D77" s="45">
        <f t="shared" si="9"/>
        <v>4</v>
      </c>
      <c r="E77" s="46">
        <f t="shared" si="0"/>
        <v>0</v>
      </c>
      <c r="F77" s="258">
        <f>IF($F$12=0,0,IF(予定価格!$G$427=0,ROUND(予定価格!H65*(入力表!$F$12/予定価格!$H$431),-H77),ROUND((予定価格!G65*(入力表!$F$12-予定価格!$H$431)/予定価格!$G$431)+予定価格!H65,-H77)))+I77</f>
        <v>0</v>
      </c>
      <c r="G77" s="258"/>
      <c r="H77" s="47">
        <f t="shared" si="10"/>
        <v>4</v>
      </c>
      <c r="I77" s="48">
        <f t="shared" si="1"/>
        <v>0</v>
      </c>
      <c r="J77" s="116">
        <f t="shared" si="2"/>
        <v>0</v>
      </c>
      <c r="K77" s="19">
        <f t="shared" si="3"/>
        <v>0</v>
      </c>
      <c r="L77" s="50"/>
      <c r="M77" s="13">
        <f>ROUND(予定価格!B65*査定表!$B$437,-$F$14)</f>
        <v>0</v>
      </c>
      <c r="N77">
        <f>IF(M77=0,1,M77/予定価格!B65)</f>
        <v>1</v>
      </c>
      <c r="O77">
        <f t="shared" si="11"/>
        <v>21</v>
      </c>
      <c r="P77">
        <f t="shared" si="12"/>
        <v>0</v>
      </c>
      <c r="Q77">
        <f>IF(M77=0,0,M77/予定価格!B65)</f>
        <v>0</v>
      </c>
      <c r="R77">
        <f t="shared" si="13"/>
        <v>21</v>
      </c>
      <c r="S77">
        <f t="shared" si="14"/>
        <v>0</v>
      </c>
      <c r="T77" s="13">
        <f t="shared" si="15"/>
        <v>0</v>
      </c>
      <c r="U77" s="13" t="e">
        <f>IF(予定価格!$G$427=0,ROUND(予定価格!H65*(入力表!$F$12/予定価格!$H$431),-$F$14),ROUND((予定価格!G65*(入力表!$F$12-予定価格!$H$431)/予定価格!$G$431)+予定価格!H65,-$F$14))</f>
        <v>#DIV/0!</v>
      </c>
      <c r="V77" t="e">
        <f>IF(U77=0,1,IF(予定価格!O65=0,1,(U77-予定価格!P65)/予定価格!O65))</f>
        <v>#DIV/0!</v>
      </c>
      <c r="W77" t="e">
        <f t="shared" si="16"/>
        <v>#DIV/0!</v>
      </c>
      <c r="X77" t="e">
        <f t="shared" si="17"/>
        <v>#DIV/0!</v>
      </c>
      <c r="Y77" t="e">
        <f>IF(U77=0,0,IF(予定価格!G65=0,0,(U77-予定価格!H65)/予定価格!G65))</f>
        <v>#DIV/0!</v>
      </c>
      <c r="Z77" t="e">
        <f t="shared" si="18"/>
        <v>#DIV/0!</v>
      </c>
      <c r="AA77" t="e">
        <f t="shared" si="19"/>
        <v>#DIV/0!</v>
      </c>
      <c r="AB77" s="13" t="e">
        <f t="shared" si="20"/>
        <v>#DIV/0!</v>
      </c>
    </row>
    <row r="78" spans="1:28" hidden="1" x14ac:dyDescent="0.15">
      <c r="A78">
        <f>+予定価格!A66</f>
        <v>0</v>
      </c>
      <c r="B78" s="258">
        <f>ROUND(予定価格!B66*査定表!$B$437,-D78)+E78</f>
        <v>0</v>
      </c>
      <c r="C78" s="258"/>
      <c r="D78" s="45">
        <f t="shared" si="9"/>
        <v>4</v>
      </c>
      <c r="E78" s="46">
        <f t="shared" si="0"/>
        <v>0</v>
      </c>
      <c r="F78" s="258">
        <f>IF($F$12=0,0,IF(予定価格!$G$427=0,ROUND(予定価格!H66*(入力表!$F$12/予定価格!$H$431),-H78),ROUND((予定価格!G66*(入力表!$F$12-予定価格!$H$431)/予定価格!$G$431)+予定価格!H66,-H78)))+I78</f>
        <v>0</v>
      </c>
      <c r="G78" s="258"/>
      <c r="H78" s="47">
        <f t="shared" si="10"/>
        <v>4</v>
      </c>
      <c r="I78" s="48">
        <f t="shared" si="1"/>
        <v>0</v>
      </c>
      <c r="J78" s="116">
        <f t="shared" si="2"/>
        <v>0</v>
      </c>
      <c r="K78" s="19">
        <f t="shared" si="3"/>
        <v>0</v>
      </c>
      <c r="L78" s="50"/>
      <c r="M78" s="13">
        <f>ROUND(予定価格!B66*査定表!$B$437,-$F$14)</f>
        <v>0</v>
      </c>
      <c r="N78">
        <f>IF(M78=0,1,M78/予定価格!B66)</f>
        <v>1</v>
      </c>
      <c r="O78">
        <f t="shared" si="11"/>
        <v>21</v>
      </c>
      <c r="P78">
        <f t="shared" si="12"/>
        <v>0</v>
      </c>
      <c r="Q78">
        <f>IF(M78=0,0,M78/予定価格!B66)</f>
        <v>0</v>
      </c>
      <c r="R78">
        <f t="shared" si="13"/>
        <v>21</v>
      </c>
      <c r="S78">
        <f t="shared" si="14"/>
        <v>0</v>
      </c>
      <c r="T78" s="13">
        <f t="shared" si="15"/>
        <v>0</v>
      </c>
      <c r="U78" s="13" t="e">
        <f>IF(予定価格!$G$427=0,ROUND(予定価格!H66*(入力表!$F$12/予定価格!$H$431),-$F$14),ROUND((予定価格!G66*(入力表!$F$12-予定価格!$H$431)/予定価格!$G$431)+予定価格!H66,-$F$14))</f>
        <v>#DIV/0!</v>
      </c>
      <c r="V78" t="e">
        <f>IF(U78=0,1,IF(予定価格!O66=0,1,(U78-予定価格!P66)/予定価格!O66))</f>
        <v>#DIV/0!</v>
      </c>
      <c r="W78" t="e">
        <f t="shared" si="16"/>
        <v>#DIV/0!</v>
      </c>
      <c r="X78" t="e">
        <f t="shared" si="17"/>
        <v>#DIV/0!</v>
      </c>
      <c r="Y78" t="e">
        <f>IF(U78=0,0,IF(予定価格!G66=0,0,(U78-予定価格!H66)/予定価格!G66))</f>
        <v>#DIV/0!</v>
      </c>
      <c r="Z78" t="e">
        <f t="shared" si="18"/>
        <v>#DIV/0!</v>
      </c>
      <c r="AA78" t="e">
        <f t="shared" si="19"/>
        <v>#DIV/0!</v>
      </c>
      <c r="AB78" s="13" t="e">
        <f t="shared" si="20"/>
        <v>#DIV/0!</v>
      </c>
    </row>
    <row r="79" spans="1:28" hidden="1" x14ac:dyDescent="0.15">
      <c r="A79">
        <f>+予定価格!A67</f>
        <v>0</v>
      </c>
      <c r="B79" s="258">
        <f>ROUND(予定価格!B67*査定表!$B$437,-D79)+E79</f>
        <v>0</v>
      </c>
      <c r="C79" s="258"/>
      <c r="D79" s="45">
        <f t="shared" si="9"/>
        <v>4</v>
      </c>
      <c r="E79" s="46">
        <f t="shared" si="0"/>
        <v>0</v>
      </c>
      <c r="F79" s="258">
        <f>IF($F$12=0,0,IF(予定価格!$G$427=0,ROUND(予定価格!H67*(入力表!$F$12/予定価格!$H$431),-H79),ROUND((予定価格!G67*(入力表!$F$12-予定価格!$H$431)/予定価格!$G$431)+予定価格!H67,-H79)))+I79</f>
        <v>0</v>
      </c>
      <c r="G79" s="258"/>
      <c r="H79" s="47">
        <f t="shared" si="10"/>
        <v>4</v>
      </c>
      <c r="I79" s="48">
        <f t="shared" si="1"/>
        <v>0</v>
      </c>
      <c r="J79" s="116">
        <f t="shared" si="2"/>
        <v>0</v>
      </c>
      <c r="K79" s="19">
        <f t="shared" si="3"/>
        <v>0</v>
      </c>
      <c r="L79" s="50"/>
      <c r="M79" s="13">
        <f>ROUND(予定価格!B67*査定表!$B$437,-$F$14)</f>
        <v>0</v>
      </c>
      <c r="N79">
        <f>IF(M79=0,1,M79/予定価格!B67)</f>
        <v>1</v>
      </c>
      <c r="O79">
        <f t="shared" si="11"/>
        <v>21</v>
      </c>
      <c r="P79">
        <f t="shared" si="12"/>
        <v>0</v>
      </c>
      <c r="Q79">
        <f>IF(M79=0,0,M79/予定価格!B67)</f>
        <v>0</v>
      </c>
      <c r="R79">
        <f t="shared" si="13"/>
        <v>21</v>
      </c>
      <c r="S79">
        <f t="shared" si="14"/>
        <v>0</v>
      </c>
      <c r="T79" s="13">
        <f t="shared" si="15"/>
        <v>0</v>
      </c>
      <c r="U79" s="13" t="e">
        <f>IF(予定価格!$G$427=0,ROUND(予定価格!H67*(入力表!$F$12/予定価格!$H$431),-$F$14),ROUND((予定価格!G67*(入力表!$F$12-予定価格!$H$431)/予定価格!$G$431)+予定価格!H67,-$F$14))</f>
        <v>#DIV/0!</v>
      </c>
      <c r="V79" t="e">
        <f>IF(U79=0,1,IF(予定価格!O67=0,1,(U79-予定価格!P67)/予定価格!O67))</f>
        <v>#DIV/0!</v>
      </c>
      <c r="W79" t="e">
        <f t="shared" si="16"/>
        <v>#DIV/0!</v>
      </c>
      <c r="X79" t="e">
        <f t="shared" si="17"/>
        <v>#DIV/0!</v>
      </c>
      <c r="Y79" t="e">
        <f>IF(U79=0,0,IF(予定価格!G67=0,0,(U79-予定価格!H67)/予定価格!G67))</f>
        <v>#DIV/0!</v>
      </c>
      <c r="Z79" t="e">
        <f t="shared" si="18"/>
        <v>#DIV/0!</v>
      </c>
      <c r="AA79" t="e">
        <f t="shared" si="19"/>
        <v>#DIV/0!</v>
      </c>
      <c r="AB79" s="13" t="e">
        <f t="shared" si="20"/>
        <v>#DIV/0!</v>
      </c>
    </row>
    <row r="80" spans="1:28" hidden="1" x14ac:dyDescent="0.15">
      <c r="A80">
        <f>+予定価格!A68</f>
        <v>0</v>
      </c>
      <c r="B80" s="258">
        <f>ROUND(予定価格!B68*査定表!$B$437,-D80)+E80</f>
        <v>0</v>
      </c>
      <c r="C80" s="258"/>
      <c r="D80" s="45">
        <f t="shared" si="9"/>
        <v>4</v>
      </c>
      <c r="E80" s="46">
        <f t="shared" si="0"/>
        <v>0</v>
      </c>
      <c r="F80" s="258">
        <f>IF($F$12=0,0,IF(予定価格!$G$427=0,ROUND(予定価格!H68*(入力表!$F$12/予定価格!$H$431),-H80),ROUND((予定価格!G68*(入力表!$F$12-予定価格!$H$431)/予定価格!$G$431)+予定価格!H68,-H80)))+I80</f>
        <v>0</v>
      </c>
      <c r="G80" s="258"/>
      <c r="H80" s="47">
        <f t="shared" si="10"/>
        <v>4</v>
      </c>
      <c r="I80" s="48">
        <f t="shared" si="1"/>
        <v>0</v>
      </c>
      <c r="J80" s="116">
        <f t="shared" si="2"/>
        <v>0</v>
      </c>
      <c r="K80" s="19">
        <f t="shared" si="3"/>
        <v>0</v>
      </c>
      <c r="L80" s="50"/>
      <c r="M80" s="13">
        <f>ROUND(予定価格!B68*査定表!$B$437,-$F$14)</f>
        <v>0</v>
      </c>
      <c r="N80">
        <f>IF(M80=0,1,M80/予定価格!B68)</f>
        <v>1</v>
      </c>
      <c r="O80">
        <f t="shared" si="11"/>
        <v>21</v>
      </c>
      <c r="P80">
        <f t="shared" si="12"/>
        <v>0</v>
      </c>
      <c r="Q80">
        <f>IF(M80=0,0,M80/予定価格!B68)</f>
        <v>0</v>
      </c>
      <c r="R80">
        <f t="shared" si="13"/>
        <v>21</v>
      </c>
      <c r="S80">
        <f t="shared" si="14"/>
        <v>0</v>
      </c>
      <c r="T80" s="13">
        <f t="shared" si="15"/>
        <v>0</v>
      </c>
      <c r="U80" s="13" t="e">
        <f>IF(予定価格!$G$427=0,ROUND(予定価格!H68*(入力表!$F$12/予定価格!$H$431),-$F$14),ROUND((予定価格!G68*(入力表!$F$12-予定価格!$H$431)/予定価格!$G$431)+予定価格!H68,-$F$14))</f>
        <v>#DIV/0!</v>
      </c>
      <c r="V80" t="e">
        <f>IF(U80=0,1,IF(予定価格!O68=0,1,(U80-予定価格!P68)/予定価格!O68))</f>
        <v>#DIV/0!</v>
      </c>
      <c r="W80" t="e">
        <f t="shared" si="16"/>
        <v>#DIV/0!</v>
      </c>
      <c r="X80" t="e">
        <f t="shared" si="17"/>
        <v>#DIV/0!</v>
      </c>
      <c r="Y80" t="e">
        <f>IF(U80=0,0,IF(予定価格!G68=0,0,(U80-予定価格!H68)/予定価格!G68))</f>
        <v>#DIV/0!</v>
      </c>
      <c r="Z80" t="e">
        <f t="shared" si="18"/>
        <v>#DIV/0!</v>
      </c>
      <c r="AA80" t="e">
        <f t="shared" si="19"/>
        <v>#DIV/0!</v>
      </c>
      <c r="AB80" s="13" t="e">
        <f t="shared" si="20"/>
        <v>#DIV/0!</v>
      </c>
    </row>
    <row r="81" spans="1:28" hidden="1" x14ac:dyDescent="0.15">
      <c r="A81">
        <f>+予定価格!A69</f>
        <v>0</v>
      </c>
      <c r="B81" s="258">
        <f>ROUND(予定価格!B69*査定表!$B$437,-D81)+E81</f>
        <v>0</v>
      </c>
      <c r="C81" s="258"/>
      <c r="D81" s="45">
        <f t="shared" si="9"/>
        <v>4</v>
      </c>
      <c r="E81" s="46">
        <f t="shared" ref="E81:E144" si="21">IF(F$12=0,+P81+S81,0)</f>
        <v>0</v>
      </c>
      <c r="F81" s="258">
        <f>IF($F$12=0,0,IF(予定価格!$G$427=0,ROUND(予定価格!H69*(入力表!$F$12/予定価格!$H$431),-H81),ROUND((予定価格!G69*(入力表!$F$12-予定価格!$H$431)/予定価格!$G$431)+予定価格!H69,-H81)))+I81</f>
        <v>0</v>
      </c>
      <c r="G81" s="258"/>
      <c r="H81" s="47">
        <f t="shared" si="10"/>
        <v>4</v>
      </c>
      <c r="I81" s="48">
        <f t="shared" ref="I81:I144" si="22">IF(F$12=0,0,+X81+AA81)</f>
        <v>0</v>
      </c>
      <c r="J81" s="116">
        <f t="shared" ref="J81:J144" si="23">+F81+K81</f>
        <v>0</v>
      </c>
      <c r="K81" s="19">
        <f t="shared" ref="K81:K144" si="24">+B81</f>
        <v>0</v>
      </c>
      <c r="L81" s="50"/>
      <c r="M81" s="13">
        <f>ROUND(予定価格!B69*査定表!$B$437,-$F$14)</f>
        <v>0</v>
      </c>
      <c r="N81">
        <f>IF(M81=0,1,M81/予定価格!B69)</f>
        <v>1</v>
      </c>
      <c r="O81">
        <f t="shared" si="11"/>
        <v>21</v>
      </c>
      <c r="P81">
        <f t="shared" si="12"/>
        <v>0</v>
      </c>
      <c r="Q81">
        <f>IF(M81=0,0,M81/予定価格!B69)</f>
        <v>0</v>
      </c>
      <c r="R81">
        <f t="shared" si="13"/>
        <v>21</v>
      </c>
      <c r="S81">
        <f t="shared" si="14"/>
        <v>0</v>
      </c>
      <c r="T81" s="13">
        <f t="shared" si="15"/>
        <v>0</v>
      </c>
      <c r="U81" s="13" t="e">
        <f>IF(予定価格!$G$427=0,ROUND(予定価格!H69*(入力表!$F$12/予定価格!$H$431),-$F$14),ROUND((予定価格!G69*(入力表!$F$12-予定価格!$H$431)/予定価格!$G$431)+予定価格!H69,-$F$14))</f>
        <v>#DIV/0!</v>
      </c>
      <c r="V81" t="e">
        <f>IF(U81=0,1,IF(予定価格!O69=0,1,(U81-予定価格!P69)/予定価格!O69))</f>
        <v>#DIV/0!</v>
      </c>
      <c r="W81" t="e">
        <f t="shared" si="16"/>
        <v>#DIV/0!</v>
      </c>
      <c r="X81" t="e">
        <f t="shared" si="17"/>
        <v>#DIV/0!</v>
      </c>
      <c r="Y81" t="e">
        <f>IF(U81=0,0,IF(予定価格!G69=0,0,(U81-予定価格!H69)/予定価格!G69))</f>
        <v>#DIV/0!</v>
      </c>
      <c r="Z81" t="e">
        <f t="shared" si="18"/>
        <v>#DIV/0!</v>
      </c>
      <c r="AA81" t="e">
        <f t="shared" si="19"/>
        <v>#DIV/0!</v>
      </c>
      <c r="AB81" s="13" t="e">
        <f t="shared" si="20"/>
        <v>#DIV/0!</v>
      </c>
    </row>
    <row r="82" spans="1:28" hidden="1" x14ac:dyDescent="0.15">
      <c r="A82">
        <f>+予定価格!A70</f>
        <v>0</v>
      </c>
      <c r="B82" s="258">
        <f>ROUND(予定価格!B70*査定表!$B$437,-D82)+E82</f>
        <v>0</v>
      </c>
      <c r="C82" s="258"/>
      <c r="D82" s="45">
        <f t="shared" ref="D82:D145" si="25">+$F$14</f>
        <v>4</v>
      </c>
      <c r="E82" s="46">
        <f t="shared" si="21"/>
        <v>0</v>
      </c>
      <c r="F82" s="258">
        <f>IF($F$12=0,0,IF(予定価格!$G$427=0,ROUND(予定価格!H70*(入力表!$F$12/予定価格!$H$431),-H82),ROUND((予定価格!G70*(入力表!$F$12-予定価格!$H$431)/予定価格!$G$431)+予定価格!H70,-H82)))+I82</f>
        <v>0</v>
      </c>
      <c r="G82" s="258"/>
      <c r="H82" s="47">
        <f t="shared" ref="H82:H145" si="26">+$F$14</f>
        <v>4</v>
      </c>
      <c r="I82" s="48">
        <f t="shared" si="22"/>
        <v>0</v>
      </c>
      <c r="J82" s="116">
        <f t="shared" si="23"/>
        <v>0</v>
      </c>
      <c r="K82" s="19">
        <f t="shared" si="24"/>
        <v>0</v>
      </c>
      <c r="L82" s="50"/>
      <c r="M82" s="13">
        <f>ROUND(予定価格!B70*査定表!$B$437,-$F$14)</f>
        <v>0</v>
      </c>
      <c r="N82">
        <f>IF(M82=0,1,M82/予定価格!B70)</f>
        <v>1</v>
      </c>
      <c r="O82">
        <f t="shared" ref="O82:O145" si="27">RANK(N82,N$17:N$472,1)</f>
        <v>21</v>
      </c>
      <c r="P82">
        <f t="shared" ref="P82:P145" si="28">IF(M$15&gt;0,IF(O82*10^$F$14&lt;=M$15,10^$F$14,0),0)</f>
        <v>0</v>
      </c>
      <c r="Q82">
        <f>IF(M82=0,0,M82/予定価格!B70)</f>
        <v>0</v>
      </c>
      <c r="R82">
        <f t="shared" ref="R82:R145" si="29">RANK(Q82,Q$17:Q$472,0)</f>
        <v>21</v>
      </c>
      <c r="S82">
        <f t="shared" ref="S82:S145" si="30">IF(M$15&lt;0,IF(R82*10^$F$14&lt;=-M$15,-(10^$F$14),0),0)</f>
        <v>0</v>
      </c>
      <c r="T82" s="13">
        <f t="shared" ref="T82:T145" si="31">+M82+P82+S82</f>
        <v>0</v>
      </c>
      <c r="U82" s="13" t="e">
        <f>IF(予定価格!$G$427=0,ROUND(予定価格!H70*(入力表!$F$12/予定価格!$H$431),-$F$14),ROUND((予定価格!G70*(入力表!$F$12-予定価格!$H$431)/予定価格!$G$431)+予定価格!H70,-$F$14))</f>
        <v>#DIV/0!</v>
      </c>
      <c r="V82" t="e">
        <f>IF(U82=0,1,IF(予定価格!O70=0,1,(U82-予定価格!P70)/予定価格!O70))</f>
        <v>#DIV/0!</v>
      </c>
      <c r="W82" t="e">
        <f t="shared" ref="W82:W145" si="32">RANK(V82,V$17:V$472,1)</f>
        <v>#DIV/0!</v>
      </c>
      <c r="X82" t="e">
        <f t="shared" ref="X82:X145" si="33">IF(U$15&gt;0,IF(W82*10^$F$14&lt;=U$15,10^$F$14,0),0)</f>
        <v>#DIV/0!</v>
      </c>
      <c r="Y82" t="e">
        <f>IF(U82=0,0,IF(予定価格!G70=0,0,(U82-予定価格!H70)/予定価格!G70))</f>
        <v>#DIV/0!</v>
      </c>
      <c r="Z82" t="e">
        <f t="shared" ref="Z82:Z145" si="34">RANK(Y82,Y$17:Y$472,0)</f>
        <v>#DIV/0!</v>
      </c>
      <c r="AA82" t="e">
        <f t="shared" ref="AA82:AA145" si="35">IF(U$15&lt;0,IF(Z82*10^$F$14&lt;=-U$15,-(10^$F$14),0),0)</f>
        <v>#DIV/0!</v>
      </c>
      <c r="AB82" s="13" t="e">
        <f t="shared" ref="AB82:AB145" si="36">+U82+X82+AA82</f>
        <v>#DIV/0!</v>
      </c>
    </row>
    <row r="83" spans="1:28" hidden="1" x14ac:dyDescent="0.15">
      <c r="A83">
        <f>+予定価格!A71</f>
        <v>0</v>
      </c>
      <c r="B83" s="258">
        <f>ROUND(予定価格!B71*査定表!$B$437,-D83)+E83</f>
        <v>0</v>
      </c>
      <c r="C83" s="258"/>
      <c r="D83" s="45">
        <f t="shared" si="25"/>
        <v>4</v>
      </c>
      <c r="E83" s="46">
        <f t="shared" si="21"/>
        <v>0</v>
      </c>
      <c r="F83" s="258">
        <f>IF($F$12=0,0,IF(予定価格!$G$427=0,ROUND(予定価格!H71*(入力表!$F$12/予定価格!$H$431),-H83),ROUND((予定価格!G71*(入力表!$F$12-予定価格!$H$431)/予定価格!$G$431)+予定価格!H71,-H83)))+I83</f>
        <v>0</v>
      </c>
      <c r="G83" s="258"/>
      <c r="H83" s="47">
        <f t="shared" si="26"/>
        <v>4</v>
      </c>
      <c r="I83" s="48">
        <f t="shared" si="22"/>
        <v>0</v>
      </c>
      <c r="J83" s="116">
        <f t="shared" si="23"/>
        <v>0</v>
      </c>
      <c r="K83" s="19">
        <f t="shared" si="24"/>
        <v>0</v>
      </c>
      <c r="L83" s="50"/>
      <c r="M83" s="13">
        <f>ROUND(予定価格!B71*査定表!$B$437,-$F$14)</f>
        <v>0</v>
      </c>
      <c r="N83">
        <f>IF(M83=0,1,M83/予定価格!B71)</f>
        <v>1</v>
      </c>
      <c r="O83">
        <f t="shared" si="27"/>
        <v>21</v>
      </c>
      <c r="P83">
        <f t="shared" si="28"/>
        <v>0</v>
      </c>
      <c r="Q83">
        <f>IF(M83=0,0,M83/予定価格!B71)</f>
        <v>0</v>
      </c>
      <c r="R83">
        <f t="shared" si="29"/>
        <v>21</v>
      </c>
      <c r="S83">
        <f t="shared" si="30"/>
        <v>0</v>
      </c>
      <c r="T83" s="13">
        <f t="shared" si="31"/>
        <v>0</v>
      </c>
      <c r="U83" s="13" t="e">
        <f>IF(予定価格!$G$427=0,ROUND(予定価格!H71*(入力表!$F$12/予定価格!$H$431),-$F$14),ROUND((予定価格!G71*(入力表!$F$12-予定価格!$H$431)/予定価格!$G$431)+予定価格!H71,-$F$14))</f>
        <v>#DIV/0!</v>
      </c>
      <c r="V83" t="e">
        <f>IF(U83=0,1,IF(予定価格!O71=0,1,(U83-予定価格!P71)/予定価格!O71))</f>
        <v>#DIV/0!</v>
      </c>
      <c r="W83" t="e">
        <f t="shared" si="32"/>
        <v>#DIV/0!</v>
      </c>
      <c r="X83" t="e">
        <f t="shared" si="33"/>
        <v>#DIV/0!</v>
      </c>
      <c r="Y83" t="e">
        <f>IF(U83=0,0,IF(予定価格!G71=0,0,(U83-予定価格!H71)/予定価格!G71))</f>
        <v>#DIV/0!</v>
      </c>
      <c r="Z83" t="e">
        <f t="shared" si="34"/>
        <v>#DIV/0!</v>
      </c>
      <c r="AA83" t="e">
        <f t="shared" si="35"/>
        <v>#DIV/0!</v>
      </c>
      <c r="AB83" s="13" t="e">
        <f t="shared" si="36"/>
        <v>#DIV/0!</v>
      </c>
    </row>
    <row r="84" spans="1:28" hidden="1" x14ac:dyDescent="0.15">
      <c r="A84">
        <f>+予定価格!A72</f>
        <v>0</v>
      </c>
      <c r="B84" s="258">
        <f>ROUND(予定価格!B72*査定表!$B$437,-D84)+E84</f>
        <v>0</v>
      </c>
      <c r="C84" s="258"/>
      <c r="D84" s="45">
        <f t="shared" si="25"/>
        <v>4</v>
      </c>
      <c r="E84" s="46">
        <f t="shared" si="21"/>
        <v>0</v>
      </c>
      <c r="F84" s="258">
        <f>IF($F$12=0,0,IF(予定価格!$G$427=0,ROUND(予定価格!H72*(入力表!$F$12/予定価格!$H$431),-H84),ROUND((予定価格!G72*(入力表!$F$12-予定価格!$H$431)/予定価格!$G$431)+予定価格!H72,-H84)))+I84</f>
        <v>0</v>
      </c>
      <c r="G84" s="258"/>
      <c r="H84" s="47">
        <f t="shared" si="26"/>
        <v>4</v>
      </c>
      <c r="I84" s="48">
        <f t="shared" si="22"/>
        <v>0</v>
      </c>
      <c r="J84" s="116">
        <f t="shared" si="23"/>
        <v>0</v>
      </c>
      <c r="K84" s="19">
        <f t="shared" si="24"/>
        <v>0</v>
      </c>
      <c r="L84" s="50"/>
      <c r="M84" s="13">
        <f>ROUND(予定価格!B72*査定表!$B$437,-$F$14)</f>
        <v>0</v>
      </c>
      <c r="N84">
        <f>IF(M84=0,1,M84/予定価格!B72)</f>
        <v>1</v>
      </c>
      <c r="O84">
        <f t="shared" si="27"/>
        <v>21</v>
      </c>
      <c r="P84">
        <f t="shared" si="28"/>
        <v>0</v>
      </c>
      <c r="Q84">
        <f>IF(M84=0,0,M84/予定価格!B72)</f>
        <v>0</v>
      </c>
      <c r="R84">
        <f t="shared" si="29"/>
        <v>21</v>
      </c>
      <c r="S84">
        <f t="shared" si="30"/>
        <v>0</v>
      </c>
      <c r="T84" s="13">
        <f t="shared" si="31"/>
        <v>0</v>
      </c>
      <c r="U84" s="13" t="e">
        <f>IF(予定価格!$G$427=0,ROUND(予定価格!H72*(入力表!$F$12/予定価格!$H$431),-$F$14),ROUND((予定価格!G72*(入力表!$F$12-予定価格!$H$431)/予定価格!$G$431)+予定価格!H72,-$F$14))</f>
        <v>#DIV/0!</v>
      </c>
      <c r="V84" t="e">
        <f>IF(U84=0,1,IF(予定価格!O72=0,1,(U84-予定価格!P72)/予定価格!O72))</f>
        <v>#DIV/0!</v>
      </c>
      <c r="W84" t="e">
        <f t="shared" si="32"/>
        <v>#DIV/0!</v>
      </c>
      <c r="X84" t="e">
        <f t="shared" si="33"/>
        <v>#DIV/0!</v>
      </c>
      <c r="Y84" t="e">
        <f>IF(U84=0,0,IF(予定価格!G72=0,0,(U84-予定価格!H72)/予定価格!G72))</f>
        <v>#DIV/0!</v>
      </c>
      <c r="Z84" t="e">
        <f t="shared" si="34"/>
        <v>#DIV/0!</v>
      </c>
      <c r="AA84" t="e">
        <f t="shared" si="35"/>
        <v>#DIV/0!</v>
      </c>
      <c r="AB84" s="13" t="e">
        <f t="shared" si="36"/>
        <v>#DIV/0!</v>
      </c>
    </row>
    <row r="85" spans="1:28" hidden="1" x14ac:dyDescent="0.15">
      <c r="A85">
        <f>+予定価格!A73</f>
        <v>0</v>
      </c>
      <c r="B85" s="258">
        <f>ROUND(予定価格!B73*査定表!$B$437,-D85)+E85</f>
        <v>0</v>
      </c>
      <c r="C85" s="258"/>
      <c r="D85" s="45">
        <f t="shared" si="25"/>
        <v>4</v>
      </c>
      <c r="E85" s="46">
        <f t="shared" si="21"/>
        <v>0</v>
      </c>
      <c r="F85" s="258">
        <f>IF($F$12=0,0,IF(予定価格!$G$427=0,ROUND(予定価格!H73*(入力表!$F$12/予定価格!$H$431),-H85),ROUND((予定価格!G73*(入力表!$F$12-予定価格!$H$431)/予定価格!$G$431)+予定価格!H73,-H85)))+I85</f>
        <v>0</v>
      </c>
      <c r="G85" s="258"/>
      <c r="H85" s="47">
        <f t="shared" si="26"/>
        <v>4</v>
      </c>
      <c r="I85" s="48">
        <f t="shared" si="22"/>
        <v>0</v>
      </c>
      <c r="J85" s="116">
        <f t="shared" si="23"/>
        <v>0</v>
      </c>
      <c r="K85" s="19">
        <f t="shared" si="24"/>
        <v>0</v>
      </c>
      <c r="L85" s="50"/>
      <c r="M85" s="13">
        <f>ROUND(予定価格!B73*査定表!$B$437,-$F$14)</f>
        <v>0</v>
      </c>
      <c r="N85">
        <f>IF(M85=0,1,M85/予定価格!B73)</f>
        <v>1</v>
      </c>
      <c r="O85">
        <f t="shared" si="27"/>
        <v>21</v>
      </c>
      <c r="P85">
        <f t="shared" si="28"/>
        <v>0</v>
      </c>
      <c r="Q85">
        <f>IF(M85=0,0,M85/予定価格!B73)</f>
        <v>0</v>
      </c>
      <c r="R85">
        <f t="shared" si="29"/>
        <v>21</v>
      </c>
      <c r="S85">
        <f t="shared" si="30"/>
        <v>0</v>
      </c>
      <c r="T85" s="13">
        <f t="shared" si="31"/>
        <v>0</v>
      </c>
      <c r="U85" s="13" t="e">
        <f>IF(予定価格!$G$427=0,ROUND(予定価格!H73*(入力表!$F$12/予定価格!$H$431),-$F$14),ROUND((予定価格!G73*(入力表!$F$12-予定価格!$H$431)/予定価格!$G$431)+予定価格!H73,-$F$14))</f>
        <v>#DIV/0!</v>
      </c>
      <c r="V85" t="e">
        <f>IF(U85=0,1,IF(予定価格!O73=0,1,(U85-予定価格!P73)/予定価格!O73))</f>
        <v>#DIV/0!</v>
      </c>
      <c r="W85" t="e">
        <f t="shared" si="32"/>
        <v>#DIV/0!</v>
      </c>
      <c r="X85" t="e">
        <f t="shared" si="33"/>
        <v>#DIV/0!</v>
      </c>
      <c r="Y85" t="e">
        <f>IF(U85=0,0,IF(予定価格!G73=0,0,(U85-予定価格!H73)/予定価格!G73))</f>
        <v>#DIV/0!</v>
      </c>
      <c r="Z85" t="e">
        <f t="shared" si="34"/>
        <v>#DIV/0!</v>
      </c>
      <c r="AA85" t="e">
        <f t="shared" si="35"/>
        <v>#DIV/0!</v>
      </c>
      <c r="AB85" s="13" t="e">
        <f t="shared" si="36"/>
        <v>#DIV/0!</v>
      </c>
    </row>
    <row r="86" spans="1:28" hidden="1" x14ac:dyDescent="0.15">
      <c r="A86">
        <f>+予定価格!A74</f>
        <v>0</v>
      </c>
      <c r="B86" s="258">
        <f>ROUND(予定価格!B74*査定表!$B$437,-D86)+E86</f>
        <v>0</v>
      </c>
      <c r="C86" s="258"/>
      <c r="D86" s="45">
        <f t="shared" si="25"/>
        <v>4</v>
      </c>
      <c r="E86" s="46">
        <f t="shared" si="21"/>
        <v>0</v>
      </c>
      <c r="F86" s="258">
        <f>IF($F$12=0,0,IF(予定価格!$G$427=0,ROUND(予定価格!H74*(入力表!$F$12/予定価格!$H$431),-H86),ROUND((予定価格!G74*(入力表!$F$12-予定価格!$H$431)/予定価格!$G$431)+予定価格!H74,-H86)))+I86</f>
        <v>0</v>
      </c>
      <c r="G86" s="258"/>
      <c r="H86" s="47">
        <f t="shared" si="26"/>
        <v>4</v>
      </c>
      <c r="I86" s="48">
        <f t="shared" si="22"/>
        <v>0</v>
      </c>
      <c r="J86" s="116">
        <f t="shared" si="23"/>
        <v>0</v>
      </c>
      <c r="K86" s="19">
        <f t="shared" si="24"/>
        <v>0</v>
      </c>
      <c r="L86" s="50"/>
      <c r="M86" s="13">
        <f>ROUND(予定価格!B74*査定表!$B$437,-$F$14)</f>
        <v>0</v>
      </c>
      <c r="N86">
        <f>IF(M86=0,1,M86/予定価格!B74)</f>
        <v>1</v>
      </c>
      <c r="O86">
        <f t="shared" si="27"/>
        <v>21</v>
      </c>
      <c r="P86">
        <f t="shared" si="28"/>
        <v>0</v>
      </c>
      <c r="Q86">
        <f>IF(M86=0,0,M86/予定価格!B74)</f>
        <v>0</v>
      </c>
      <c r="R86">
        <f t="shared" si="29"/>
        <v>21</v>
      </c>
      <c r="S86">
        <f t="shared" si="30"/>
        <v>0</v>
      </c>
      <c r="T86" s="13">
        <f t="shared" si="31"/>
        <v>0</v>
      </c>
      <c r="U86" s="13" t="e">
        <f>IF(予定価格!$G$427=0,ROUND(予定価格!H74*(入力表!$F$12/予定価格!$H$431),-$F$14),ROUND((予定価格!G74*(入力表!$F$12-予定価格!$H$431)/予定価格!$G$431)+予定価格!H74,-$F$14))</f>
        <v>#DIV/0!</v>
      </c>
      <c r="V86" t="e">
        <f>IF(U86=0,1,IF(予定価格!O74=0,1,(U86-予定価格!P74)/予定価格!O74))</f>
        <v>#DIV/0!</v>
      </c>
      <c r="W86" t="e">
        <f t="shared" si="32"/>
        <v>#DIV/0!</v>
      </c>
      <c r="X86" t="e">
        <f t="shared" si="33"/>
        <v>#DIV/0!</v>
      </c>
      <c r="Y86" t="e">
        <f>IF(U86=0,0,IF(予定価格!G74=0,0,(U86-予定価格!H74)/予定価格!G74))</f>
        <v>#DIV/0!</v>
      </c>
      <c r="Z86" t="e">
        <f t="shared" si="34"/>
        <v>#DIV/0!</v>
      </c>
      <c r="AA86" t="e">
        <f t="shared" si="35"/>
        <v>#DIV/0!</v>
      </c>
      <c r="AB86" s="13" t="e">
        <f t="shared" si="36"/>
        <v>#DIV/0!</v>
      </c>
    </row>
    <row r="87" spans="1:28" hidden="1" x14ac:dyDescent="0.15">
      <c r="A87">
        <f>+予定価格!A75</f>
        <v>0</v>
      </c>
      <c r="B87" s="258">
        <f>ROUND(予定価格!B75*査定表!$B$437,-D87)+E87</f>
        <v>0</v>
      </c>
      <c r="C87" s="258"/>
      <c r="D87" s="45">
        <f t="shared" si="25"/>
        <v>4</v>
      </c>
      <c r="E87" s="46">
        <f t="shared" si="21"/>
        <v>0</v>
      </c>
      <c r="F87" s="258">
        <f>IF($F$12=0,0,IF(予定価格!$G$427=0,ROUND(予定価格!H75*(入力表!$F$12/予定価格!$H$431),-H87),ROUND((予定価格!G75*(入力表!$F$12-予定価格!$H$431)/予定価格!$G$431)+予定価格!H75,-H87)))+I87</f>
        <v>0</v>
      </c>
      <c r="G87" s="258"/>
      <c r="H87" s="47">
        <f t="shared" si="26"/>
        <v>4</v>
      </c>
      <c r="I87" s="48">
        <f t="shared" si="22"/>
        <v>0</v>
      </c>
      <c r="J87" s="116">
        <f t="shared" si="23"/>
        <v>0</v>
      </c>
      <c r="K87" s="19">
        <f t="shared" si="24"/>
        <v>0</v>
      </c>
      <c r="L87" s="50"/>
      <c r="M87" s="13">
        <f>ROUND(予定価格!B75*査定表!$B$437,-$F$14)</f>
        <v>0</v>
      </c>
      <c r="N87">
        <f>IF(M87=0,1,M87/予定価格!B75)</f>
        <v>1</v>
      </c>
      <c r="O87">
        <f t="shared" si="27"/>
        <v>21</v>
      </c>
      <c r="P87">
        <f t="shared" si="28"/>
        <v>0</v>
      </c>
      <c r="Q87">
        <f>IF(M87=0,0,M87/予定価格!B75)</f>
        <v>0</v>
      </c>
      <c r="R87">
        <f t="shared" si="29"/>
        <v>21</v>
      </c>
      <c r="S87">
        <f t="shared" si="30"/>
        <v>0</v>
      </c>
      <c r="T87" s="13">
        <f t="shared" si="31"/>
        <v>0</v>
      </c>
      <c r="U87" s="13" t="e">
        <f>IF(予定価格!$G$427=0,ROUND(予定価格!H75*(入力表!$F$12/予定価格!$H$431),-$F$14),ROUND((予定価格!G75*(入力表!$F$12-予定価格!$H$431)/予定価格!$G$431)+予定価格!H75,-$F$14))</f>
        <v>#DIV/0!</v>
      </c>
      <c r="V87" t="e">
        <f>IF(U87=0,1,IF(予定価格!O75=0,1,(U87-予定価格!P75)/予定価格!O75))</f>
        <v>#DIV/0!</v>
      </c>
      <c r="W87" t="e">
        <f t="shared" si="32"/>
        <v>#DIV/0!</v>
      </c>
      <c r="X87" t="e">
        <f t="shared" si="33"/>
        <v>#DIV/0!</v>
      </c>
      <c r="Y87" t="e">
        <f>IF(U87=0,0,IF(予定価格!G75=0,0,(U87-予定価格!H75)/予定価格!G75))</f>
        <v>#DIV/0!</v>
      </c>
      <c r="Z87" t="e">
        <f t="shared" si="34"/>
        <v>#DIV/0!</v>
      </c>
      <c r="AA87" t="e">
        <f t="shared" si="35"/>
        <v>#DIV/0!</v>
      </c>
      <c r="AB87" s="13" t="e">
        <f t="shared" si="36"/>
        <v>#DIV/0!</v>
      </c>
    </row>
    <row r="88" spans="1:28" hidden="1" x14ac:dyDescent="0.15">
      <c r="A88">
        <f>+予定価格!A76</f>
        <v>0</v>
      </c>
      <c r="B88" s="258">
        <f>ROUND(予定価格!B76*査定表!$B$437,-D88)+E88</f>
        <v>0</v>
      </c>
      <c r="C88" s="258"/>
      <c r="D88" s="45">
        <f t="shared" si="25"/>
        <v>4</v>
      </c>
      <c r="E88" s="46">
        <f t="shared" si="21"/>
        <v>0</v>
      </c>
      <c r="F88" s="258">
        <f>IF($F$12=0,0,IF(予定価格!$G$427=0,ROUND(予定価格!H76*(入力表!$F$12/予定価格!$H$431),-H88),ROUND((予定価格!G76*(入力表!$F$12-予定価格!$H$431)/予定価格!$G$431)+予定価格!H76,-H88)))+I88</f>
        <v>0</v>
      </c>
      <c r="G88" s="258"/>
      <c r="H88" s="47">
        <f t="shared" si="26"/>
        <v>4</v>
      </c>
      <c r="I88" s="48">
        <f t="shared" si="22"/>
        <v>0</v>
      </c>
      <c r="J88" s="116">
        <f t="shared" si="23"/>
        <v>0</v>
      </c>
      <c r="K88" s="19">
        <f t="shared" si="24"/>
        <v>0</v>
      </c>
      <c r="L88" s="50"/>
      <c r="M88" s="13">
        <f>ROUND(予定価格!B76*査定表!$B$437,-$F$14)</f>
        <v>0</v>
      </c>
      <c r="N88">
        <f>IF(M88=0,1,M88/予定価格!B76)</f>
        <v>1</v>
      </c>
      <c r="O88">
        <f t="shared" si="27"/>
        <v>21</v>
      </c>
      <c r="P88">
        <f t="shared" si="28"/>
        <v>0</v>
      </c>
      <c r="Q88">
        <f>IF(M88=0,0,M88/予定価格!B76)</f>
        <v>0</v>
      </c>
      <c r="R88">
        <f t="shared" si="29"/>
        <v>21</v>
      </c>
      <c r="S88">
        <f t="shared" si="30"/>
        <v>0</v>
      </c>
      <c r="T88" s="13">
        <f t="shared" si="31"/>
        <v>0</v>
      </c>
      <c r="U88" s="13" t="e">
        <f>IF(予定価格!$G$427=0,ROUND(予定価格!H76*(入力表!$F$12/予定価格!$H$431),-$F$14),ROUND((予定価格!G76*(入力表!$F$12-予定価格!$H$431)/予定価格!$G$431)+予定価格!H76,-$F$14))</f>
        <v>#DIV/0!</v>
      </c>
      <c r="V88" t="e">
        <f>IF(U88=0,1,IF(予定価格!O76=0,1,(U88-予定価格!P76)/予定価格!O76))</f>
        <v>#DIV/0!</v>
      </c>
      <c r="W88" t="e">
        <f t="shared" si="32"/>
        <v>#DIV/0!</v>
      </c>
      <c r="X88" t="e">
        <f t="shared" si="33"/>
        <v>#DIV/0!</v>
      </c>
      <c r="Y88" t="e">
        <f>IF(U88=0,0,IF(予定価格!G76=0,0,(U88-予定価格!H76)/予定価格!G76))</f>
        <v>#DIV/0!</v>
      </c>
      <c r="Z88" t="e">
        <f t="shared" si="34"/>
        <v>#DIV/0!</v>
      </c>
      <c r="AA88" t="e">
        <f t="shared" si="35"/>
        <v>#DIV/0!</v>
      </c>
      <c r="AB88" s="13" t="e">
        <f t="shared" si="36"/>
        <v>#DIV/0!</v>
      </c>
    </row>
    <row r="89" spans="1:28" hidden="1" x14ac:dyDescent="0.15">
      <c r="A89">
        <f>+予定価格!A77</f>
        <v>0</v>
      </c>
      <c r="B89" s="258">
        <f>ROUND(予定価格!B77*査定表!$B$437,-D89)+E89</f>
        <v>0</v>
      </c>
      <c r="C89" s="258"/>
      <c r="D89" s="45">
        <f t="shared" si="25"/>
        <v>4</v>
      </c>
      <c r="E89" s="46">
        <f t="shared" si="21"/>
        <v>0</v>
      </c>
      <c r="F89" s="258">
        <f>IF($F$12=0,0,IF(予定価格!$G$427=0,ROUND(予定価格!H77*(入力表!$F$12/予定価格!$H$431),-H89),ROUND((予定価格!G77*(入力表!$F$12-予定価格!$H$431)/予定価格!$G$431)+予定価格!H77,-H89)))+I89</f>
        <v>0</v>
      </c>
      <c r="G89" s="258"/>
      <c r="H89" s="47">
        <f t="shared" si="26"/>
        <v>4</v>
      </c>
      <c r="I89" s="48">
        <f t="shared" si="22"/>
        <v>0</v>
      </c>
      <c r="J89" s="116">
        <f t="shared" si="23"/>
        <v>0</v>
      </c>
      <c r="K89" s="19">
        <f t="shared" si="24"/>
        <v>0</v>
      </c>
      <c r="L89" s="50"/>
      <c r="M89" s="13">
        <f>ROUND(予定価格!B77*査定表!$B$437,-$F$14)</f>
        <v>0</v>
      </c>
      <c r="N89">
        <f>IF(M89=0,1,M89/予定価格!B77)</f>
        <v>1</v>
      </c>
      <c r="O89">
        <f t="shared" si="27"/>
        <v>21</v>
      </c>
      <c r="P89">
        <f t="shared" si="28"/>
        <v>0</v>
      </c>
      <c r="Q89">
        <f>IF(M89=0,0,M89/予定価格!B77)</f>
        <v>0</v>
      </c>
      <c r="R89">
        <f t="shared" si="29"/>
        <v>21</v>
      </c>
      <c r="S89">
        <f t="shared" si="30"/>
        <v>0</v>
      </c>
      <c r="T89" s="13">
        <f t="shared" si="31"/>
        <v>0</v>
      </c>
      <c r="U89" s="13" t="e">
        <f>IF(予定価格!$G$427=0,ROUND(予定価格!H77*(入力表!$F$12/予定価格!$H$431),-$F$14),ROUND((予定価格!G77*(入力表!$F$12-予定価格!$H$431)/予定価格!$G$431)+予定価格!H77,-$F$14))</f>
        <v>#DIV/0!</v>
      </c>
      <c r="V89" t="e">
        <f>IF(U89=0,1,IF(予定価格!O77=0,1,(U89-予定価格!P77)/予定価格!O77))</f>
        <v>#DIV/0!</v>
      </c>
      <c r="W89" t="e">
        <f t="shared" si="32"/>
        <v>#DIV/0!</v>
      </c>
      <c r="X89" t="e">
        <f t="shared" si="33"/>
        <v>#DIV/0!</v>
      </c>
      <c r="Y89" t="e">
        <f>IF(U89=0,0,IF(予定価格!G77=0,0,(U89-予定価格!H77)/予定価格!G77))</f>
        <v>#DIV/0!</v>
      </c>
      <c r="Z89" t="e">
        <f t="shared" si="34"/>
        <v>#DIV/0!</v>
      </c>
      <c r="AA89" t="e">
        <f t="shared" si="35"/>
        <v>#DIV/0!</v>
      </c>
      <c r="AB89" s="13" t="e">
        <f t="shared" si="36"/>
        <v>#DIV/0!</v>
      </c>
    </row>
    <row r="90" spans="1:28" hidden="1" x14ac:dyDescent="0.15">
      <c r="A90">
        <f>+予定価格!A78</f>
        <v>0</v>
      </c>
      <c r="B90" s="258">
        <f>ROUND(予定価格!B78*査定表!$B$437,-D90)+E90</f>
        <v>0</v>
      </c>
      <c r="C90" s="258"/>
      <c r="D90" s="45">
        <f t="shared" si="25"/>
        <v>4</v>
      </c>
      <c r="E90" s="46">
        <f t="shared" si="21"/>
        <v>0</v>
      </c>
      <c r="F90" s="258">
        <f>IF($F$12=0,0,IF(予定価格!$G$427=0,ROUND(予定価格!H78*(入力表!$F$12/予定価格!$H$431),-H90),ROUND((予定価格!G78*(入力表!$F$12-予定価格!$H$431)/予定価格!$G$431)+予定価格!H78,-H90)))+I90</f>
        <v>0</v>
      </c>
      <c r="G90" s="258"/>
      <c r="H90" s="47">
        <f t="shared" si="26"/>
        <v>4</v>
      </c>
      <c r="I90" s="48">
        <f t="shared" si="22"/>
        <v>0</v>
      </c>
      <c r="J90" s="116">
        <f t="shared" si="23"/>
        <v>0</v>
      </c>
      <c r="K90" s="19">
        <f t="shared" si="24"/>
        <v>0</v>
      </c>
      <c r="L90" s="50"/>
      <c r="M90" s="13">
        <f>ROUND(予定価格!B78*査定表!$B$437,-$F$14)</f>
        <v>0</v>
      </c>
      <c r="N90">
        <f>IF(M90=0,1,M90/予定価格!B78)</f>
        <v>1</v>
      </c>
      <c r="O90">
        <f t="shared" si="27"/>
        <v>21</v>
      </c>
      <c r="P90">
        <f t="shared" si="28"/>
        <v>0</v>
      </c>
      <c r="Q90">
        <f>IF(M90=0,0,M90/予定価格!B78)</f>
        <v>0</v>
      </c>
      <c r="R90">
        <f t="shared" si="29"/>
        <v>21</v>
      </c>
      <c r="S90">
        <f t="shared" si="30"/>
        <v>0</v>
      </c>
      <c r="T90" s="13">
        <f t="shared" si="31"/>
        <v>0</v>
      </c>
      <c r="U90" s="13" t="e">
        <f>IF(予定価格!$G$427=0,ROUND(予定価格!H78*(入力表!$F$12/予定価格!$H$431),-$F$14),ROUND((予定価格!G78*(入力表!$F$12-予定価格!$H$431)/予定価格!$G$431)+予定価格!H78,-$F$14))</f>
        <v>#DIV/0!</v>
      </c>
      <c r="V90" t="e">
        <f>IF(U90=0,1,IF(予定価格!O78=0,1,(U90-予定価格!P78)/予定価格!O78))</f>
        <v>#DIV/0!</v>
      </c>
      <c r="W90" t="e">
        <f t="shared" si="32"/>
        <v>#DIV/0!</v>
      </c>
      <c r="X90" t="e">
        <f t="shared" si="33"/>
        <v>#DIV/0!</v>
      </c>
      <c r="Y90" t="e">
        <f>IF(U90=0,0,IF(予定価格!G78=0,0,(U90-予定価格!H78)/予定価格!G78))</f>
        <v>#DIV/0!</v>
      </c>
      <c r="Z90" t="e">
        <f t="shared" si="34"/>
        <v>#DIV/0!</v>
      </c>
      <c r="AA90" t="e">
        <f t="shared" si="35"/>
        <v>#DIV/0!</v>
      </c>
      <c r="AB90" s="13" t="e">
        <f t="shared" si="36"/>
        <v>#DIV/0!</v>
      </c>
    </row>
    <row r="91" spans="1:28" hidden="1" x14ac:dyDescent="0.15">
      <c r="A91">
        <f>+予定価格!A79</f>
        <v>0</v>
      </c>
      <c r="B91" s="258">
        <f>ROUND(予定価格!B79*査定表!$B$437,-D91)+E91</f>
        <v>0</v>
      </c>
      <c r="C91" s="258"/>
      <c r="D91" s="45">
        <f t="shared" si="25"/>
        <v>4</v>
      </c>
      <c r="E91" s="46">
        <f t="shared" si="21"/>
        <v>0</v>
      </c>
      <c r="F91" s="258">
        <f>IF($F$12=0,0,IF(予定価格!$G$427=0,ROUND(予定価格!H79*(入力表!$F$12/予定価格!$H$431),-H91),ROUND((予定価格!G79*(入力表!$F$12-予定価格!$H$431)/予定価格!$G$431)+予定価格!H79,-H91)))+I91</f>
        <v>0</v>
      </c>
      <c r="G91" s="258"/>
      <c r="H91" s="47">
        <f t="shared" si="26"/>
        <v>4</v>
      </c>
      <c r="I91" s="48">
        <f t="shared" si="22"/>
        <v>0</v>
      </c>
      <c r="J91" s="116">
        <f t="shared" si="23"/>
        <v>0</v>
      </c>
      <c r="K91" s="19">
        <f t="shared" si="24"/>
        <v>0</v>
      </c>
      <c r="L91" s="50"/>
      <c r="M91" s="13">
        <f>ROUND(予定価格!B79*査定表!$B$437,-$F$14)</f>
        <v>0</v>
      </c>
      <c r="N91">
        <f>IF(M91=0,1,M91/予定価格!B79)</f>
        <v>1</v>
      </c>
      <c r="O91">
        <f t="shared" si="27"/>
        <v>21</v>
      </c>
      <c r="P91">
        <f t="shared" si="28"/>
        <v>0</v>
      </c>
      <c r="Q91">
        <f>IF(M91=0,0,M91/予定価格!B79)</f>
        <v>0</v>
      </c>
      <c r="R91">
        <f t="shared" si="29"/>
        <v>21</v>
      </c>
      <c r="S91">
        <f t="shared" si="30"/>
        <v>0</v>
      </c>
      <c r="T91" s="13">
        <f t="shared" si="31"/>
        <v>0</v>
      </c>
      <c r="U91" s="13" t="e">
        <f>IF(予定価格!$G$427=0,ROUND(予定価格!H79*(入力表!$F$12/予定価格!$H$431),-$F$14),ROUND((予定価格!G79*(入力表!$F$12-予定価格!$H$431)/予定価格!$G$431)+予定価格!H79,-$F$14))</f>
        <v>#DIV/0!</v>
      </c>
      <c r="V91" t="e">
        <f>IF(U91=0,1,IF(予定価格!O79=0,1,(U91-予定価格!P79)/予定価格!O79))</f>
        <v>#DIV/0!</v>
      </c>
      <c r="W91" t="e">
        <f t="shared" si="32"/>
        <v>#DIV/0!</v>
      </c>
      <c r="X91" t="e">
        <f t="shared" si="33"/>
        <v>#DIV/0!</v>
      </c>
      <c r="Y91" t="e">
        <f>IF(U91=0,0,IF(予定価格!G79=0,0,(U91-予定価格!H79)/予定価格!G79))</f>
        <v>#DIV/0!</v>
      </c>
      <c r="Z91" t="e">
        <f t="shared" si="34"/>
        <v>#DIV/0!</v>
      </c>
      <c r="AA91" t="e">
        <f t="shared" si="35"/>
        <v>#DIV/0!</v>
      </c>
      <c r="AB91" s="13" t="e">
        <f t="shared" si="36"/>
        <v>#DIV/0!</v>
      </c>
    </row>
    <row r="92" spans="1:28" hidden="1" x14ac:dyDescent="0.15">
      <c r="A92">
        <f>+予定価格!A80</f>
        <v>0</v>
      </c>
      <c r="B92" s="258">
        <f>ROUND(予定価格!B80*査定表!$B$437,-D92)+E92</f>
        <v>0</v>
      </c>
      <c r="C92" s="258"/>
      <c r="D92" s="45">
        <f t="shared" si="25"/>
        <v>4</v>
      </c>
      <c r="E92" s="46">
        <f t="shared" si="21"/>
        <v>0</v>
      </c>
      <c r="F92" s="258">
        <f>IF($F$12=0,0,IF(予定価格!$G$427=0,ROUND(予定価格!H80*(入力表!$F$12/予定価格!$H$431),-H92),ROUND((予定価格!G80*(入力表!$F$12-予定価格!$H$431)/予定価格!$G$431)+予定価格!H80,-H92)))+I92</f>
        <v>0</v>
      </c>
      <c r="G92" s="258"/>
      <c r="H92" s="47">
        <f t="shared" si="26"/>
        <v>4</v>
      </c>
      <c r="I92" s="48">
        <f t="shared" si="22"/>
        <v>0</v>
      </c>
      <c r="J92" s="116">
        <f t="shared" si="23"/>
        <v>0</v>
      </c>
      <c r="K92" s="19">
        <f t="shared" si="24"/>
        <v>0</v>
      </c>
      <c r="L92" s="50"/>
      <c r="M92" s="13">
        <f>ROUND(予定価格!B80*査定表!$B$437,-$F$14)</f>
        <v>0</v>
      </c>
      <c r="N92">
        <f>IF(M92=0,1,M92/予定価格!B80)</f>
        <v>1</v>
      </c>
      <c r="O92">
        <f t="shared" si="27"/>
        <v>21</v>
      </c>
      <c r="P92">
        <f t="shared" si="28"/>
        <v>0</v>
      </c>
      <c r="Q92">
        <f>IF(M92=0,0,M92/予定価格!B80)</f>
        <v>0</v>
      </c>
      <c r="R92">
        <f t="shared" si="29"/>
        <v>21</v>
      </c>
      <c r="S92">
        <f t="shared" si="30"/>
        <v>0</v>
      </c>
      <c r="T92" s="13">
        <f t="shared" si="31"/>
        <v>0</v>
      </c>
      <c r="U92" s="13" t="e">
        <f>IF(予定価格!$G$427=0,ROUND(予定価格!H80*(入力表!$F$12/予定価格!$H$431),-$F$14),ROUND((予定価格!G80*(入力表!$F$12-予定価格!$H$431)/予定価格!$G$431)+予定価格!H80,-$F$14))</f>
        <v>#DIV/0!</v>
      </c>
      <c r="V92" t="e">
        <f>IF(U92=0,1,IF(予定価格!O80=0,1,(U92-予定価格!P80)/予定価格!O80))</f>
        <v>#DIV/0!</v>
      </c>
      <c r="W92" t="e">
        <f t="shared" si="32"/>
        <v>#DIV/0!</v>
      </c>
      <c r="X92" t="e">
        <f t="shared" si="33"/>
        <v>#DIV/0!</v>
      </c>
      <c r="Y92" t="e">
        <f>IF(U92=0,0,IF(予定価格!G80=0,0,(U92-予定価格!H80)/予定価格!G80))</f>
        <v>#DIV/0!</v>
      </c>
      <c r="Z92" t="e">
        <f t="shared" si="34"/>
        <v>#DIV/0!</v>
      </c>
      <c r="AA92" t="e">
        <f t="shared" si="35"/>
        <v>#DIV/0!</v>
      </c>
      <c r="AB92" s="13" t="e">
        <f t="shared" si="36"/>
        <v>#DIV/0!</v>
      </c>
    </row>
    <row r="93" spans="1:28" hidden="1" x14ac:dyDescent="0.15">
      <c r="A93">
        <f>+予定価格!A81</f>
        <v>0</v>
      </c>
      <c r="B93" s="258">
        <f>ROUND(予定価格!B81*査定表!$B$437,-D93)+E93</f>
        <v>0</v>
      </c>
      <c r="C93" s="258"/>
      <c r="D93" s="45">
        <f t="shared" si="25"/>
        <v>4</v>
      </c>
      <c r="E93" s="46">
        <f t="shared" si="21"/>
        <v>0</v>
      </c>
      <c r="F93" s="258">
        <f>IF($F$12=0,0,IF(予定価格!$G$427=0,ROUND(予定価格!H81*(入力表!$F$12/予定価格!$H$431),-H93),ROUND((予定価格!G81*(入力表!$F$12-予定価格!$H$431)/予定価格!$G$431)+予定価格!H81,-H93)))+I93</f>
        <v>0</v>
      </c>
      <c r="G93" s="258"/>
      <c r="H93" s="47">
        <f t="shared" si="26"/>
        <v>4</v>
      </c>
      <c r="I93" s="48">
        <f t="shared" si="22"/>
        <v>0</v>
      </c>
      <c r="J93" s="116">
        <f t="shared" si="23"/>
        <v>0</v>
      </c>
      <c r="K93" s="19">
        <f t="shared" si="24"/>
        <v>0</v>
      </c>
      <c r="L93" s="50"/>
      <c r="M93" s="13">
        <f>ROUND(予定価格!B81*査定表!$B$437,-$F$14)</f>
        <v>0</v>
      </c>
      <c r="N93">
        <f>IF(M93=0,1,M93/予定価格!B81)</f>
        <v>1</v>
      </c>
      <c r="O93">
        <f t="shared" si="27"/>
        <v>21</v>
      </c>
      <c r="P93">
        <f t="shared" si="28"/>
        <v>0</v>
      </c>
      <c r="Q93">
        <f>IF(M93=0,0,M93/予定価格!B81)</f>
        <v>0</v>
      </c>
      <c r="R93">
        <f t="shared" si="29"/>
        <v>21</v>
      </c>
      <c r="S93">
        <f t="shared" si="30"/>
        <v>0</v>
      </c>
      <c r="T93" s="13">
        <f t="shared" si="31"/>
        <v>0</v>
      </c>
      <c r="U93" s="13" t="e">
        <f>IF(予定価格!$G$427=0,ROUND(予定価格!H81*(入力表!$F$12/予定価格!$H$431),-$F$14),ROUND((予定価格!G81*(入力表!$F$12-予定価格!$H$431)/予定価格!$G$431)+予定価格!H81,-$F$14))</f>
        <v>#DIV/0!</v>
      </c>
      <c r="V93" t="e">
        <f>IF(U93=0,1,IF(予定価格!O81=0,1,(U93-予定価格!P81)/予定価格!O81))</f>
        <v>#DIV/0!</v>
      </c>
      <c r="W93" t="e">
        <f t="shared" si="32"/>
        <v>#DIV/0!</v>
      </c>
      <c r="X93" t="e">
        <f t="shared" si="33"/>
        <v>#DIV/0!</v>
      </c>
      <c r="Y93" t="e">
        <f>IF(U93=0,0,IF(予定価格!G81=0,0,(U93-予定価格!H81)/予定価格!G81))</f>
        <v>#DIV/0!</v>
      </c>
      <c r="Z93" t="e">
        <f t="shared" si="34"/>
        <v>#DIV/0!</v>
      </c>
      <c r="AA93" t="e">
        <f t="shared" si="35"/>
        <v>#DIV/0!</v>
      </c>
      <c r="AB93" s="13" t="e">
        <f t="shared" si="36"/>
        <v>#DIV/0!</v>
      </c>
    </row>
    <row r="94" spans="1:28" hidden="1" x14ac:dyDescent="0.15">
      <c r="A94">
        <f>+予定価格!A82</f>
        <v>0</v>
      </c>
      <c r="B94" s="258">
        <f>ROUND(予定価格!B82*査定表!$B$437,-D94)+E94</f>
        <v>0</v>
      </c>
      <c r="C94" s="258"/>
      <c r="D94" s="45">
        <f t="shared" si="25"/>
        <v>4</v>
      </c>
      <c r="E94" s="46">
        <f t="shared" si="21"/>
        <v>0</v>
      </c>
      <c r="F94" s="258">
        <f>IF($F$12=0,0,IF(予定価格!$G$427=0,ROUND(予定価格!H82*(入力表!$F$12/予定価格!$H$431),-H94),ROUND((予定価格!G82*(入力表!$F$12-予定価格!$H$431)/予定価格!$G$431)+予定価格!H82,-H94)))+I94</f>
        <v>0</v>
      </c>
      <c r="G94" s="258"/>
      <c r="H94" s="47">
        <f t="shared" si="26"/>
        <v>4</v>
      </c>
      <c r="I94" s="48">
        <f t="shared" si="22"/>
        <v>0</v>
      </c>
      <c r="J94" s="116">
        <f t="shared" si="23"/>
        <v>0</v>
      </c>
      <c r="K94" s="19">
        <f t="shared" si="24"/>
        <v>0</v>
      </c>
      <c r="L94" s="50"/>
      <c r="M94" s="13">
        <f>ROUND(予定価格!B82*査定表!$B$437,-$F$14)</f>
        <v>0</v>
      </c>
      <c r="N94">
        <f>IF(M94=0,1,M94/予定価格!B82)</f>
        <v>1</v>
      </c>
      <c r="O94">
        <f t="shared" si="27"/>
        <v>21</v>
      </c>
      <c r="P94">
        <f t="shared" si="28"/>
        <v>0</v>
      </c>
      <c r="Q94">
        <f>IF(M94=0,0,M94/予定価格!B82)</f>
        <v>0</v>
      </c>
      <c r="R94">
        <f t="shared" si="29"/>
        <v>21</v>
      </c>
      <c r="S94">
        <f t="shared" si="30"/>
        <v>0</v>
      </c>
      <c r="T94" s="13">
        <f t="shared" si="31"/>
        <v>0</v>
      </c>
      <c r="U94" s="13" t="e">
        <f>IF(予定価格!$G$427=0,ROUND(予定価格!H82*(入力表!$F$12/予定価格!$H$431),-$F$14),ROUND((予定価格!G82*(入力表!$F$12-予定価格!$H$431)/予定価格!$G$431)+予定価格!H82,-$F$14))</f>
        <v>#DIV/0!</v>
      </c>
      <c r="V94" t="e">
        <f>IF(U94=0,1,IF(予定価格!O82=0,1,(U94-予定価格!P82)/予定価格!O82))</f>
        <v>#DIV/0!</v>
      </c>
      <c r="W94" t="e">
        <f t="shared" si="32"/>
        <v>#DIV/0!</v>
      </c>
      <c r="X94" t="e">
        <f t="shared" si="33"/>
        <v>#DIV/0!</v>
      </c>
      <c r="Y94" t="e">
        <f>IF(U94=0,0,IF(予定価格!G82=0,0,(U94-予定価格!H82)/予定価格!G82))</f>
        <v>#DIV/0!</v>
      </c>
      <c r="Z94" t="e">
        <f t="shared" si="34"/>
        <v>#DIV/0!</v>
      </c>
      <c r="AA94" t="e">
        <f t="shared" si="35"/>
        <v>#DIV/0!</v>
      </c>
      <c r="AB94" s="13" t="e">
        <f t="shared" si="36"/>
        <v>#DIV/0!</v>
      </c>
    </row>
    <row r="95" spans="1:28" hidden="1" x14ac:dyDescent="0.15">
      <c r="A95">
        <f>+予定価格!A83</f>
        <v>0</v>
      </c>
      <c r="B95" s="258">
        <f>ROUND(予定価格!B83*査定表!$B$437,-D95)+E95</f>
        <v>0</v>
      </c>
      <c r="C95" s="258"/>
      <c r="D95" s="45">
        <f t="shared" si="25"/>
        <v>4</v>
      </c>
      <c r="E95" s="46">
        <f t="shared" si="21"/>
        <v>0</v>
      </c>
      <c r="F95" s="258">
        <f>IF($F$12=0,0,IF(予定価格!$G$427=0,ROUND(予定価格!H83*(入力表!$F$12/予定価格!$H$431),-H95),ROUND((予定価格!G83*(入力表!$F$12-予定価格!$H$431)/予定価格!$G$431)+予定価格!H83,-H95)))+I95</f>
        <v>0</v>
      </c>
      <c r="G95" s="258"/>
      <c r="H95" s="47">
        <f t="shared" si="26"/>
        <v>4</v>
      </c>
      <c r="I95" s="48">
        <f t="shared" si="22"/>
        <v>0</v>
      </c>
      <c r="J95" s="116">
        <f t="shared" si="23"/>
        <v>0</v>
      </c>
      <c r="K95" s="19">
        <f t="shared" si="24"/>
        <v>0</v>
      </c>
      <c r="L95" s="50"/>
      <c r="M95" s="13">
        <f>ROUND(予定価格!B83*査定表!$B$437,-$F$14)</f>
        <v>0</v>
      </c>
      <c r="N95">
        <f>IF(M95=0,1,M95/予定価格!B83)</f>
        <v>1</v>
      </c>
      <c r="O95">
        <f t="shared" si="27"/>
        <v>21</v>
      </c>
      <c r="P95">
        <f t="shared" si="28"/>
        <v>0</v>
      </c>
      <c r="Q95">
        <f>IF(M95=0,0,M95/予定価格!B83)</f>
        <v>0</v>
      </c>
      <c r="R95">
        <f t="shared" si="29"/>
        <v>21</v>
      </c>
      <c r="S95">
        <f t="shared" si="30"/>
        <v>0</v>
      </c>
      <c r="T95" s="13">
        <f t="shared" si="31"/>
        <v>0</v>
      </c>
      <c r="U95" s="13" t="e">
        <f>IF(予定価格!$G$427=0,ROUND(予定価格!H83*(入力表!$F$12/予定価格!$H$431),-$F$14),ROUND((予定価格!G83*(入力表!$F$12-予定価格!$H$431)/予定価格!$G$431)+予定価格!H83,-$F$14))</f>
        <v>#DIV/0!</v>
      </c>
      <c r="V95" t="e">
        <f>IF(U95=0,1,IF(予定価格!O83=0,1,(U95-予定価格!P83)/予定価格!O83))</f>
        <v>#DIV/0!</v>
      </c>
      <c r="W95" t="e">
        <f t="shared" si="32"/>
        <v>#DIV/0!</v>
      </c>
      <c r="X95" t="e">
        <f t="shared" si="33"/>
        <v>#DIV/0!</v>
      </c>
      <c r="Y95" t="e">
        <f>IF(U95=0,0,IF(予定価格!G83=0,0,(U95-予定価格!H83)/予定価格!G83))</f>
        <v>#DIV/0!</v>
      </c>
      <c r="Z95" t="e">
        <f t="shared" si="34"/>
        <v>#DIV/0!</v>
      </c>
      <c r="AA95" t="e">
        <f t="shared" si="35"/>
        <v>#DIV/0!</v>
      </c>
      <c r="AB95" s="13" t="e">
        <f t="shared" si="36"/>
        <v>#DIV/0!</v>
      </c>
    </row>
    <row r="96" spans="1:28" hidden="1" x14ac:dyDescent="0.15">
      <c r="A96">
        <f>+予定価格!A84</f>
        <v>0</v>
      </c>
      <c r="B96" s="258">
        <f>ROUND(予定価格!B84*査定表!$B$437,-D96)+E96</f>
        <v>0</v>
      </c>
      <c r="C96" s="258"/>
      <c r="D96" s="45">
        <f t="shared" si="25"/>
        <v>4</v>
      </c>
      <c r="E96" s="46">
        <f t="shared" si="21"/>
        <v>0</v>
      </c>
      <c r="F96" s="258">
        <f>IF($F$12=0,0,IF(予定価格!$G$427=0,ROUND(予定価格!H84*(入力表!$F$12/予定価格!$H$431),-H96),ROUND((予定価格!G84*(入力表!$F$12-予定価格!$H$431)/予定価格!$G$431)+予定価格!H84,-H96)))+I96</f>
        <v>0</v>
      </c>
      <c r="G96" s="258"/>
      <c r="H96" s="47">
        <f t="shared" si="26"/>
        <v>4</v>
      </c>
      <c r="I96" s="48">
        <f t="shared" si="22"/>
        <v>0</v>
      </c>
      <c r="J96" s="116">
        <f t="shared" si="23"/>
        <v>0</v>
      </c>
      <c r="K96" s="19">
        <f t="shared" si="24"/>
        <v>0</v>
      </c>
      <c r="L96" s="50"/>
      <c r="M96" s="13">
        <f>ROUND(予定価格!B84*査定表!$B$437,-$F$14)</f>
        <v>0</v>
      </c>
      <c r="N96">
        <f>IF(M96=0,1,M96/予定価格!B84)</f>
        <v>1</v>
      </c>
      <c r="O96">
        <f t="shared" si="27"/>
        <v>21</v>
      </c>
      <c r="P96">
        <f t="shared" si="28"/>
        <v>0</v>
      </c>
      <c r="Q96">
        <f>IF(M96=0,0,M96/予定価格!B84)</f>
        <v>0</v>
      </c>
      <c r="R96">
        <f t="shared" si="29"/>
        <v>21</v>
      </c>
      <c r="S96">
        <f t="shared" si="30"/>
        <v>0</v>
      </c>
      <c r="T96" s="13">
        <f t="shared" si="31"/>
        <v>0</v>
      </c>
      <c r="U96" s="13" t="e">
        <f>IF(予定価格!$G$427=0,ROUND(予定価格!H84*(入力表!$F$12/予定価格!$H$431),-$F$14),ROUND((予定価格!G84*(入力表!$F$12-予定価格!$H$431)/予定価格!$G$431)+予定価格!H84,-$F$14))</f>
        <v>#DIV/0!</v>
      </c>
      <c r="V96" t="e">
        <f>IF(U96=0,1,IF(予定価格!O84=0,1,(U96-予定価格!P84)/予定価格!O84))</f>
        <v>#DIV/0!</v>
      </c>
      <c r="W96" t="e">
        <f t="shared" si="32"/>
        <v>#DIV/0!</v>
      </c>
      <c r="X96" t="e">
        <f t="shared" si="33"/>
        <v>#DIV/0!</v>
      </c>
      <c r="Y96" t="e">
        <f>IF(U96=0,0,IF(予定価格!G84=0,0,(U96-予定価格!H84)/予定価格!G84))</f>
        <v>#DIV/0!</v>
      </c>
      <c r="Z96" t="e">
        <f t="shared" si="34"/>
        <v>#DIV/0!</v>
      </c>
      <c r="AA96" t="e">
        <f t="shared" si="35"/>
        <v>#DIV/0!</v>
      </c>
      <c r="AB96" s="13" t="e">
        <f t="shared" si="36"/>
        <v>#DIV/0!</v>
      </c>
    </row>
    <row r="97" spans="1:28" hidden="1" x14ac:dyDescent="0.15">
      <c r="A97">
        <f>+予定価格!A85</f>
        <v>0</v>
      </c>
      <c r="B97" s="258">
        <f>ROUND(予定価格!B85*査定表!$B$437,-D97)+E97</f>
        <v>0</v>
      </c>
      <c r="C97" s="258"/>
      <c r="D97" s="45">
        <f t="shared" si="25"/>
        <v>4</v>
      </c>
      <c r="E97" s="46">
        <f t="shared" si="21"/>
        <v>0</v>
      </c>
      <c r="F97" s="258">
        <f>IF($F$12=0,0,IF(予定価格!$G$427=0,ROUND(予定価格!H85*(入力表!$F$12/予定価格!$H$431),-H97),ROUND((予定価格!G85*(入力表!$F$12-予定価格!$H$431)/予定価格!$G$431)+予定価格!H85,-H97)))+I97</f>
        <v>0</v>
      </c>
      <c r="G97" s="258"/>
      <c r="H97" s="47">
        <f t="shared" si="26"/>
        <v>4</v>
      </c>
      <c r="I97" s="48">
        <f t="shared" si="22"/>
        <v>0</v>
      </c>
      <c r="J97" s="116">
        <f t="shared" si="23"/>
        <v>0</v>
      </c>
      <c r="K97" s="19">
        <f t="shared" si="24"/>
        <v>0</v>
      </c>
      <c r="L97" s="50"/>
      <c r="M97" s="13">
        <f>ROUND(予定価格!B85*査定表!$B$437,-$F$14)</f>
        <v>0</v>
      </c>
      <c r="N97">
        <f>IF(M97=0,1,M97/予定価格!B85)</f>
        <v>1</v>
      </c>
      <c r="O97">
        <f t="shared" si="27"/>
        <v>21</v>
      </c>
      <c r="P97">
        <f t="shared" si="28"/>
        <v>0</v>
      </c>
      <c r="Q97">
        <f>IF(M97=0,0,M97/予定価格!B85)</f>
        <v>0</v>
      </c>
      <c r="R97">
        <f t="shared" si="29"/>
        <v>21</v>
      </c>
      <c r="S97">
        <f t="shared" si="30"/>
        <v>0</v>
      </c>
      <c r="T97" s="13">
        <f t="shared" si="31"/>
        <v>0</v>
      </c>
      <c r="U97" s="13" t="e">
        <f>IF(予定価格!$G$427=0,ROUND(予定価格!H85*(入力表!$F$12/予定価格!$H$431),-$F$14),ROUND((予定価格!G85*(入力表!$F$12-予定価格!$H$431)/予定価格!$G$431)+予定価格!H85,-$F$14))</f>
        <v>#DIV/0!</v>
      </c>
      <c r="V97" t="e">
        <f>IF(U97=0,1,IF(予定価格!O85=0,1,(U97-予定価格!P85)/予定価格!O85))</f>
        <v>#DIV/0!</v>
      </c>
      <c r="W97" t="e">
        <f t="shared" si="32"/>
        <v>#DIV/0!</v>
      </c>
      <c r="X97" t="e">
        <f t="shared" si="33"/>
        <v>#DIV/0!</v>
      </c>
      <c r="Y97" t="e">
        <f>IF(U97=0,0,IF(予定価格!G85=0,0,(U97-予定価格!H85)/予定価格!G85))</f>
        <v>#DIV/0!</v>
      </c>
      <c r="Z97" t="e">
        <f t="shared" si="34"/>
        <v>#DIV/0!</v>
      </c>
      <c r="AA97" t="e">
        <f t="shared" si="35"/>
        <v>#DIV/0!</v>
      </c>
      <c r="AB97" s="13" t="e">
        <f t="shared" si="36"/>
        <v>#DIV/0!</v>
      </c>
    </row>
    <row r="98" spans="1:28" hidden="1" x14ac:dyDescent="0.15">
      <c r="A98">
        <f>+予定価格!A86</f>
        <v>0</v>
      </c>
      <c r="B98" s="258">
        <f>ROUND(予定価格!B86*査定表!$B$437,-D98)+E98</f>
        <v>0</v>
      </c>
      <c r="C98" s="258"/>
      <c r="D98" s="45">
        <f t="shared" si="25"/>
        <v>4</v>
      </c>
      <c r="E98" s="46">
        <f t="shared" si="21"/>
        <v>0</v>
      </c>
      <c r="F98" s="258">
        <f>IF($F$12=0,0,IF(予定価格!$G$427=0,ROUND(予定価格!H86*(入力表!$F$12/予定価格!$H$431),-H98),ROUND((予定価格!G86*(入力表!$F$12-予定価格!$H$431)/予定価格!$G$431)+予定価格!H86,-H98)))+I98</f>
        <v>0</v>
      </c>
      <c r="G98" s="258"/>
      <c r="H98" s="47">
        <f t="shared" si="26"/>
        <v>4</v>
      </c>
      <c r="I98" s="48">
        <f t="shared" si="22"/>
        <v>0</v>
      </c>
      <c r="J98" s="116">
        <f t="shared" si="23"/>
        <v>0</v>
      </c>
      <c r="K98" s="19">
        <f t="shared" si="24"/>
        <v>0</v>
      </c>
      <c r="L98" s="50"/>
      <c r="M98" s="13">
        <f>ROUND(予定価格!B86*査定表!$B$437,-$F$14)</f>
        <v>0</v>
      </c>
      <c r="N98">
        <f>IF(M98=0,1,M98/予定価格!B86)</f>
        <v>1</v>
      </c>
      <c r="O98">
        <f t="shared" si="27"/>
        <v>21</v>
      </c>
      <c r="P98">
        <f t="shared" si="28"/>
        <v>0</v>
      </c>
      <c r="Q98">
        <f>IF(M98=0,0,M98/予定価格!B86)</f>
        <v>0</v>
      </c>
      <c r="R98">
        <f t="shared" si="29"/>
        <v>21</v>
      </c>
      <c r="S98">
        <f t="shared" si="30"/>
        <v>0</v>
      </c>
      <c r="T98" s="13">
        <f t="shared" si="31"/>
        <v>0</v>
      </c>
      <c r="U98" s="13" t="e">
        <f>IF(予定価格!$G$427=0,ROUND(予定価格!H86*(入力表!$F$12/予定価格!$H$431),-$F$14),ROUND((予定価格!G86*(入力表!$F$12-予定価格!$H$431)/予定価格!$G$431)+予定価格!H86,-$F$14))</f>
        <v>#DIV/0!</v>
      </c>
      <c r="V98" t="e">
        <f>IF(U98=0,1,IF(予定価格!O86=0,1,(U98-予定価格!P86)/予定価格!O86))</f>
        <v>#DIV/0!</v>
      </c>
      <c r="W98" t="e">
        <f t="shared" si="32"/>
        <v>#DIV/0!</v>
      </c>
      <c r="X98" t="e">
        <f t="shared" si="33"/>
        <v>#DIV/0!</v>
      </c>
      <c r="Y98" t="e">
        <f>IF(U98=0,0,IF(予定価格!G86=0,0,(U98-予定価格!H86)/予定価格!G86))</f>
        <v>#DIV/0!</v>
      </c>
      <c r="Z98" t="e">
        <f t="shared" si="34"/>
        <v>#DIV/0!</v>
      </c>
      <c r="AA98" t="e">
        <f t="shared" si="35"/>
        <v>#DIV/0!</v>
      </c>
      <c r="AB98" s="13" t="e">
        <f t="shared" si="36"/>
        <v>#DIV/0!</v>
      </c>
    </row>
    <row r="99" spans="1:28" hidden="1" x14ac:dyDescent="0.15">
      <c r="A99">
        <f>+予定価格!A87</f>
        <v>0</v>
      </c>
      <c r="B99" s="258">
        <f>ROUND(予定価格!B87*査定表!$B$437,-D99)+E99</f>
        <v>0</v>
      </c>
      <c r="C99" s="258"/>
      <c r="D99" s="45">
        <f t="shared" si="25"/>
        <v>4</v>
      </c>
      <c r="E99" s="46">
        <f t="shared" si="21"/>
        <v>0</v>
      </c>
      <c r="F99" s="258">
        <f>IF($F$12=0,0,IF(予定価格!$G$427=0,ROUND(予定価格!H87*(入力表!$F$12/予定価格!$H$431),-H99),ROUND((予定価格!G87*(入力表!$F$12-予定価格!$H$431)/予定価格!$G$431)+予定価格!H87,-H99)))+I99</f>
        <v>0</v>
      </c>
      <c r="G99" s="258"/>
      <c r="H99" s="47">
        <f t="shared" si="26"/>
        <v>4</v>
      </c>
      <c r="I99" s="48">
        <f t="shared" si="22"/>
        <v>0</v>
      </c>
      <c r="J99" s="116">
        <f t="shared" si="23"/>
        <v>0</v>
      </c>
      <c r="K99" s="19">
        <f t="shared" si="24"/>
        <v>0</v>
      </c>
      <c r="L99" s="50"/>
      <c r="M99" s="13">
        <f>ROUND(予定価格!B87*査定表!$B$437,-$F$14)</f>
        <v>0</v>
      </c>
      <c r="N99">
        <f>IF(M99=0,1,M99/予定価格!B87)</f>
        <v>1</v>
      </c>
      <c r="O99">
        <f t="shared" si="27"/>
        <v>21</v>
      </c>
      <c r="P99">
        <f t="shared" si="28"/>
        <v>0</v>
      </c>
      <c r="Q99">
        <f>IF(M99=0,0,M99/予定価格!B87)</f>
        <v>0</v>
      </c>
      <c r="R99">
        <f t="shared" si="29"/>
        <v>21</v>
      </c>
      <c r="S99">
        <f t="shared" si="30"/>
        <v>0</v>
      </c>
      <c r="T99" s="13">
        <f t="shared" si="31"/>
        <v>0</v>
      </c>
      <c r="U99" s="13" t="e">
        <f>IF(予定価格!$G$427=0,ROUND(予定価格!H87*(入力表!$F$12/予定価格!$H$431),-$F$14),ROUND((予定価格!G87*(入力表!$F$12-予定価格!$H$431)/予定価格!$G$431)+予定価格!H87,-$F$14))</f>
        <v>#DIV/0!</v>
      </c>
      <c r="V99" t="e">
        <f>IF(U99=0,1,IF(予定価格!O87=0,1,(U99-予定価格!P87)/予定価格!O87))</f>
        <v>#DIV/0!</v>
      </c>
      <c r="W99" t="e">
        <f t="shared" si="32"/>
        <v>#DIV/0!</v>
      </c>
      <c r="X99" t="e">
        <f t="shared" si="33"/>
        <v>#DIV/0!</v>
      </c>
      <c r="Y99" t="e">
        <f>IF(U99=0,0,IF(予定価格!G87=0,0,(U99-予定価格!H87)/予定価格!G87))</f>
        <v>#DIV/0!</v>
      </c>
      <c r="Z99" t="e">
        <f t="shared" si="34"/>
        <v>#DIV/0!</v>
      </c>
      <c r="AA99" t="e">
        <f t="shared" si="35"/>
        <v>#DIV/0!</v>
      </c>
      <c r="AB99" s="13" t="e">
        <f t="shared" si="36"/>
        <v>#DIV/0!</v>
      </c>
    </row>
    <row r="100" spans="1:28" hidden="1" x14ac:dyDescent="0.15">
      <c r="A100">
        <f>+予定価格!A88</f>
        <v>0</v>
      </c>
      <c r="B100" s="258">
        <f>ROUND(予定価格!B88*査定表!$B$437,-D100)+E100</f>
        <v>0</v>
      </c>
      <c r="C100" s="258"/>
      <c r="D100" s="45">
        <f t="shared" si="25"/>
        <v>4</v>
      </c>
      <c r="E100" s="46">
        <f t="shared" si="21"/>
        <v>0</v>
      </c>
      <c r="F100" s="258">
        <f>IF($F$12=0,0,IF(予定価格!$G$427=0,ROUND(予定価格!H88*(入力表!$F$12/予定価格!$H$431),-H100),ROUND((予定価格!G88*(入力表!$F$12-予定価格!$H$431)/予定価格!$G$431)+予定価格!H88,-H100)))+I100</f>
        <v>0</v>
      </c>
      <c r="G100" s="258"/>
      <c r="H100" s="47">
        <f t="shared" si="26"/>
        <v>4</v>
      </c>
      <c r="I100" s="48">
        <f t="shared" si="22"/>
        <v>0</v>
      </c>
      <c r="J100" s="116">
        <f t="shared" si="23"/>
        <v>0</v>
      </c>
      <c r="K100" s="19">
        <f t="shared" si="24"/>
        <v>0</v>
      </c>
      <c r="L100" s="50"/>
      <c r="M100" s="13">
        <f>ROUND(予定価格!B88*査定表!$B$437,-$F$14)</f>
        <v>0</v>
      </c>
      <c r="N100">
        <f>IF(M100=0,1,M100/予定価格!B88)</f>
        <v>1</v>
      </c>
      <c r="O100">
        <f t="shared" si="27"/>
        <v>21</v>
      </c>
      <c r="P100">
        <f t="shared" si="28"/>
        <v>0</v>
      </c>
      <c r="Q100">
        <f>IF(M100=0,0,M100/予定価格!B88)</f>
        <v>0</v>
      </c>
      <c r="R100">
        <f t="shared" si="29"/>
        <v>21</v>
      </c>
      <c r="S100">
        <f t="shared" si="30"/>
        <v>0</v>
      </c>
      <c r="T100" s="13">
        <f t="shared" si="31"/>
        <v>0</v>
      </c>
      <c r="U100" s="13" t="e">
        <f>IF(予定価格!$G$427=0,ROUND(予定価格!H88*(入力表!$F$12/予定価格!$H$431),-$F$14),ROUND((予定価格!G88*(入力表!$F$12-予定価格!$H$431)/予定価格!$G$431)+予定価格!H88,-$F$14))</f>
        <v>#DIV/0!</v>
      </c>
      <c r="V100" t="e">
        <f>IF(U100=0,1,IF(予定価格!O88=0,1,(U100-予定価格!P88)/予定価格!O88))</f>
        <v>#DIV/0!</v>
      </c>
      <c r="W100" t="e">
        <f t="shared" si="32"/>
        <v>#DIV/0!</v>
      </c>
      <c r="X100" t="e">
        <f t="shared" si="33"/>
        <v>#DIV/0!</v>
      </c>
      <c r="Y100" t="e">
        <f>IF(U100=0,0,IF(予定価格!G88=0,0,(U100-予定価格!H88)/予定価格!G88))</f>
        <v>#DIV/0!</v>
      </c>
      <c r="Z100" t="e">
        <f t="shared" si="34"/>
        <v>#DIV/0!</v>
      </c>
      <c r="AA100" t="e">
        <f t="shared" si="35"/>
        <v>#DIV/0!</v>
      </c>
      <c r="AB100" s="13" t="e">
        <f t="shared" si="36"/>
        <v>#DIV/0!</v>
      </c>
    </row>
    <row r="101" spans="1:28" hidden="1" x14ac:dyDescent="0.15">
      <c r="A101">
        <f>+予定価格!A89</f>
        <v>0</v>
      </c>
      <c r="B101" s="258">
        <f>ROUND(予定価格!B89*査定表!$B$437,-D101)+E101</f>
        <v>0</v>
      </c>
      <c r="C101" s="258"/>
      <c r="D101" s="45">
        <f t="shared" si="25"/>
        <v>4</v>
      </c>
      <c r="E101" s="46">
        <f t="shared" si="21"/>
        <v>0</v>
      </c>
      <c r="F101" s="258">
        <f>IF($F$12=0,0,IF(予定価格!$G$427=0,ROUND(予定価格!H89*(入力表!$F$12/予定価格!$H$431),-H101),ROUND((予定価格!G89*(入力表!$F$12-予定価格!$H$431)/予定価格!$G$431)+予定価格!H89,-H101)))+I101</f>
        <v>0</v>
      </c>
      <c r="G101" s="258"/>
      <c r="H101" s="47">
        <f t="shared" si="26"/>
        <v>4</v>
      </c>
      <c r="I101" s="48">
        <f t="shared" si="22"/>
        <v>0</v>
      </c>
      <c r="J101" s="116">
        <f t="shared" si="23"/>
        <v>0</v>
      </c>
      <c r="K101" s="19">
        <f t="shared" si="24"/>
        <v>0</v>
      </c>
      <c r="L101" s="50"/>
      <c r="M101" s="13">
        <f>ROUND(予定価格!B89*査定表!$B$437,-$F$14)</f>
        <v>0</v>
      </c>
      <c r="N101">
        <f>IF(M101=0,1,M101/予定価格!B89)</f>
        <v>1</v>
      </c>
      <c r="O101">
        <f t="shared" si="27"/>
        <v>21</v>
      </c>
      <c r="P101">
        <f t="shared" si="28"/>
        <v>0</v>
      </c>
      <c r="Q101">
        <f>IF(M101=0,0,M101/予定価格!B89)</f>
        <v>0</v>
      </c>
      <c r="R101">
        <f t="shared" si="29"/>
        <v>21</v>
      </c>
      <c r="S101">
        <f t="shared" si="30"/>
        <v>0</v>
      </c>
      <c r="T101" s="13">
        <f t="shared" si="31"/>
        <v>0</v>
      </c>
      <c r="U101" s="13" t="e">
        <f>IF(予定価格!$G$427=0,ROUND(予定価格!H89*(入力表!$F$12/予定価格!$H$431),-$F$14),ROUND((予定価格!G89*(入力表!$F$12-予定価格!$H$431)/予定価格!$G$431)+予定価格!H89,-$F$14))</f>
        <v>#DIV/0!</v>
      </c>
      <c r="V101" t="e">
        <f>IF(U101=0,1,IF(予定価格!O89=0,1,(U101-予定価格!P89)/予定価格!O89))</f>
        <v>#DIV/0!</v>
      </c>
      <c r="W101" t="e">
        <f t="shared" si="32"/>
        <v>#DIV/0!</v>
      </c>
      <c r="X101" t="e">
        <f t="shared" si="33"/>
        <v>#DIV/0!</v>
      </c>
      <c r="Y101" t="e">
        <f>IF(U101=0,0,IF(予定価格!G89=0,0,(U101-予定価格!H89)/予定価格!G89))</f>
        <v>#DIV/0!</v>
      </c>
      <c r="Z101" t="e">
        <f t="shared" si="34"/>
        <v>#DIV/0!</v>
      </c>
      <c r="AA101" t="e">
        <f t="shared" si="35"/>
        <v>#DIV/0!</v>
      </c>
      <c r="AB101" s="13" t="e">
        <f t="shared" si="36"/>
        <v>#DIV/0!</v>
      </c>
    </row>
    <row r="102" spans="1:28" hidden="1" x14ac:dyDescent="0.15">
      <c r="A102">
        <f>+予定価格!A90</f>
        <v>0</v>
      </c>
      <c r="B102" s="258">
        <f>ROUND(予定価格!B90*査定表!$B$437,-D102)+E102</f>
        <v>0</v>
      </c>
      <c r="C102" s="258"/>
      <c r="D102" s="45">
        <f t="shared" si="25"/>
        <v>4</v>
      </c>
      <c r="E102" s="46">
        <f t="shared" si="21"/>
        <v>0</v>
      </c>
      <c r="F102" s="258">
        <f>IF($F$12=0,0,IF(予定価格!$G$427=0,ROUND(予定価格!H90*(入力表!$F$12/予定価格!$H$431),-H102),ROUND((予定価格!G90*(入力表!$F$12-予定価格!$H$431)/予定価格!$G$431)+予定価格!H90,-H102)))+I102</f>
        <v>0</v>
      </c>
      <c r="G102" s="258"/>
      <c r="H102" s="47">
        <f t="shared" si="26"/>
        <v>4</v>
      </c>
      <c r="I102" s="48">
        <f t="shared" si="22"/>
        <v>0</v>
      </c>
      <c r="J102" s="116">
        <f t="shared" si="23"/>
        <v>0</v>
      </c>
      <c r="K102" s="19">
        <f t="shared" si="24"/>
        <v>0</v>
      </c>
      <c r="L102" s="50"/>
      <c r="M102" s="13">
        <f>ROUND(予定価格!B90*査定表!$B$437,-$F$14)</f>
        <v>0</v>
      </c>
      <c r="N102">
        <f>IF(M102=0,1,M102/予定価格!B90)</f>
        <v>1</v>
      </c>
      <c r="O102">
        <f t="shared" si="27"/>
        <v>21</v>
      </c>
      <c r="P102">
        <f t="shared" si="28"/>
        <v>0</v>
      </c>
      <c r="Q102">
        <f>IF(M102=0,0,M102/予定価格!B90)</f>
        <v>0</v>
      </c>
      <c r="R102">
        <f t="shared" si="29"/>
        <v>21</v>
      </c>
      <c r="S102">
        <f t="shared" si="30"/>
        <v>0</v>
      </c>
      <c r="T102" s="13">
        <f t="shared" si="31"/>
        <v>0</v>
      </c>
      <c r="U102" s="13" t="e">
        <f>IF(予定価格!$G$427=0,ROUND(予定価格!H90*(入力表!$F$12/予定価格!$H$431),-$F$14),ROUND((予定価格!G90*(入力表!$F$12-予定価格!$H$431)/予定価格!$G$431)+予定価格!H90,-$F$14))</f>
        <v>#DIV/0!</v>
      </c>
      <c r="V102" t="e">
        <f>IF(U102=0,1,IF(予定価格!O90=0,1,(U102-予定価格!P90)/予定価格!O90))</f>
        <v>#DIV/0!</v>
      </c>
      <c r="W102" t="e">
        <f t="shared" si="32"/>
        <v>#DIV/0!</v>
      </c>
      <c r="X102" t="e">
        <f t="shared" si="33"/>
        <v>#DIV/0!</v>
      </c>
      <c r="Y102" t="e">
        <f>IF(U102=0,0,IF(予定価格!G90=0,0,(U102-予定価格!H90)/予定価格!G90))</f>
        <v>#DIV/0!</v>
      </c>
      <c r="Z102" t="e">
        <f t="shared" si="34"/>
        <v>#DIV/0!</v>
      </c>
      <c r="AA102" t="e">
        <f t="shared" si="35"/>
        <v>#DIV/0!</v>
      </c>
      <c r="AB102" s="13" t="e">
        <f t="shared" si="36"/>
        <v>#DIV/0!</v>
      </c>
    </row>
    <row r="103" spans="1:28" hidden="1" x14ac:dyDescent="0.15">
      <c r="A103">
        <f>+予定価格!A91</f>
        <v>0</v>
      </c>
      <c r="B103" s="258">
        <f>ROUND(予定価格!B91*査定表!$B$437,-D103)+E103</f>
        <v>0</v>
      </c>
      <c r="C103" s="258"/>
      <c r="D103" s="45">
        <f t="shared" si="25"/>
        <v>4</v>
      </c>
      <c r="E103" s="46">
        <f t="shared" si="21"/>
        <v>0</v>
      </c>
      <c r="F103" s="258">
        <f>IF($F$12=0,0,IF(予定価格!$G$427=0,ROUND(予定価格!H91*(入力表!$F$12/予定価格!$H$431),-H103),ROUND((予定価格!G91*(入力表!$F$12-予定価格!$H$431)/予定価格!$G$431)+予定価格!H91,-H103)))+I103</f>
        <v>0</v>
      </c>
      <c r="G103" s="258"/>
      <c r="H103" s="47">
        <f t="shared" si="26"/>
        <v>4</v>
      </c>
      <c r="I103" s="48">
        <f t="shared" si="22"/>
        <v>0</v>
      </c>
      <c r="J103" s="116">
        <f t="shared" si="23"/>
        <v>0</v>
      </c>
      <c r="K103" s="19">
        <f t="shared" si="24"/>
        <v>0</v>
      </c>
      <c r="L103" s="50"/>
      <c r="M103" s="13">
        <f>ROUND(予定価格!B91*査定表!$B$437,-$F$14)</f>
        <v>0</v>
      </c>
      <c r="N103">
        <f>IF(M103=0,1,M103/予定価格!B91)</f>
        <v>1</v>
      </c>
      <c r="O103">
        <f t="shared" si="27"/>
        <v>21</v>
      </c>
      <c r="P103">
        <f t="shared" si="28"/>
        <v>0</v>
      </c>
      <c r="Q103">
        <f>IF(M103=0,0,M103/予定価格!B91)</f>
        <v>0</v>
      </c>
      <c r="R103">
        <f t="shared" si="29"/>
        <v>21</v>
      </c>
      <c r="S103">
        <f t="shared" si="30"/>
        <v>0</v>
      </c>
      <c r="T103" s="13">
        <f t="shared" si="31"/>
        <v>0</v>
      </c>
      <c r="U103" s="13" t="e">
        <f>IF(予定価格!$G$427=0,ROUND(予定価格!H91*(入力表!$F$12/予定価格!$H$431),-$F$14),ROUND((予定価格!G91*(入力表!$F$12-予定価格!$H$431)/予定価格!$G$431)+予定価格!H91,-$F$14))</f>
        <v>#DIV/0!</v>
      </c>
      <c r="V103" t="e">
        <f>IF(U103=0,1,IF(予定価格!O91=0,1,(U103-予定価格!P91)/予定価格!O91))</f>
        <v>#DIV/0!</v>
      </c>
      <c r="W103" t="e">
        <f t="shared" si="32"/>
        <v>#DIV/0!</v>
      </c>
      <c r="X103" t="e">
        <f t="shared" si="33"/>
        <v>#DIV/0!</v>
      </c>
      <c r="Y103" t="e">
        <f>IF(U103=0,0,IF(予定価格!G91=0,0,(U103-予定価格!H91)/予定価格!G91))</f>
        <v>#DIV/0!</v>
      </c>
      <c r="Z103" t="e">
        <f t="shared" si="34"/>
        <v>#DIV/0!</v>
      </c>
      <c r="AA103" t="e">
        <f t="shared" si="35"/>
        <v>#DIV/0!</v>
      </c>
      <c r="AB103" s="13" t="e">
        <f t="shared" si="36"/>
        <v>#DIV/0!</v>
      </c>
    </row>
    <row r="104" spans="1:28" hidden="1" x14ac:dyDescent="0.15">
      <c r="A104">
        <f>+予定価格!A92</f>
        <v>0</v>
      </c>
      <c r="B104" s="258">
        <f>ROUND(予定価格!B92*査定表!$B$437,-D104)+E104</f>
        <v>0</v>
      </c>
      <c r="C104" s="258"/>
      <c r="D104" s="45">
        <f t="shared" si="25"/>
        <v>4</v>
      </c>
      <c r="E104" s="46">
        <f t="shared" si="21"/>
        <v>0</v>
      </c>
      <c r="F104" s="258">
        <f>IF($F$12=0,0,IF(予定価格!$G$427=0,ROUND(予定価格!H92*(入力表!$F$12/予定価格!$H$431),-H104),ROUND((予定価格!G92*(入力表!$F$12-予定価格!$H$431)/予定価格!$G$431)+予定価格!H92,-H104)))+I104</f>
        <v>0</v>
      </c>
      <c r="G104" s="258"/>
      <c r="H104" s="47">
        <f t="shared" si="26"/>
        <v>4</v>
      </c>
      <c r="I104" s="48">
        <f t="shared" si="22"/>
        <v>0</v>
      </c>
      <c r="J104" s="116">
        <f t="shared" si="23"/>
        <v>0</v>
      </c>
      <c r="K104" s="19">
        <f t="shared" si="24"/>
        <v>0</v>
      </c>
      <c r="L104" s="50"/>
      <c r="M104" s="13">
        <f>ROUND(予定価格!B92*査定表!$B$437,-$F$14)</f>
        <v>0</v>
      </c>
      <c r="N104">
        <f>IF(M104=0,1,M104/予定価格!B92)</f>
        <v>1</v>
      </c>
      <c r="O104">
        <f t="shared" si="27"/>
        <v>21</v>
      </c>
      <c r="P104">
        <f t="shared" si="28"/>
        <v>0</v>
      </c>
      <c r="Q104">
        <f>IF(M104=0,0,M104/予定価格!B92)</f>
        <v>0</v>
      </c>
      <c r="R104">
        <f t="shared" si="29"/>
        <v>21</v>
      </c>
      <c r="S104">
        <f t="shared" si="30"/>
        <v>0</v>
      </c>
      <c r="T104" s="13">
        <f t="shared" si="31"/>
        <v>0</v>
      </c>
      <c r="U104" s="13" t="e">
        <f>IF(予定価格!$G$427=0,ROUND(予定価格!H92*(入力表!$F$12/予定価格!$H$431),-$F$14),ROUND((予定価格!G92*(入力表!$F$12-予定価格!$H$431)/予定価格!$G$431)+予定価格!H92,-$F$14))</f>
        <v>#DIV/0!</v>
      </c>
      <c r="V104" t="e">
        <f>IF(U104=0,1,IF(予定価格!O92=0,1,(U104-予定価格!P92)/予定価格!O92))</f>
        <v>#DIV/0!</v>
      </c>
      <c r="W104" t="e">
        <f t="shared" si="32"/>
        <v>#DIV/0!</v>
      </c>
      <c r="X104" t="e">
        <f t="shared" si="33"/>
        <v>#DIV/0!</v>
      </c>
      <c r="Y104" t="e">
        <f>IF(U104=0,0,IF(予定価格!G92=0,0,(U104-予定価格!H92)/予定価格!G92))</f>
        <v>#DIV/0!</v>
      </c>
      <c r="Z104" t="e">
        <f t="shared" si="34"/>
        <v>#DIV/0!</v>
      </c>
      <c r="AA104" t="e">
        <f t="shared" si="35"/>
        <v>#DIV/0!</v>
      </c>
      <c r="AB104" s="13" t="e">
        <f t="shared" si="36"/>
        <v>#DIV/0!</v>
      </c>
    </row>
    <row r="105" spans="1:28" hidden="1" x14ac:dyDescent="0.15">
      <c r="A105">
        <f>+予定価格!A93</f>
        <v>0</v>
      </c>
      <c r="B105" s="258">
        <f>ROUND(予定価格!B93*査定表!$B$437,-D105)+E105</f>
        <v>0</v>
      </c>
      <c r="C105" s="258"/>
      <c r="D105" s="45">
        <f t="shared" si="25"/>
        <v>4</v>
      </c>
      <c r="E105" s="46">
        <f t="shared" si="21"/>
        <v>0</v>
      </c>
      <c r="F105" s="258">
        <f>IF($F$12=0,0,IF(予定価格!$G$427=0,ROUND(予定価格!H93*(入力表!$F$12/予定価格!$H$431),-H105),ROUND((予定価格!G93*(入力表!$F$12-予定価格!$H$431)/予定価格!$G$431)+予定価格!H93,-H105)))+I105</f>
        <v>0</v>
      </c>
      <c r="G105" s="258"/>
      <c r="H105" s="47">
        <f t="shared" si="26"/>
        <v>4</v>
      </c>
      <c r="I105" s="48">
        <f t="shared" si="22"/>
        <v>0</v>
      </c>
      <c r="J105" s="116">
        <f t="shared" si="23"/>
        <v>0</v>
      </c>
      <c r="K105" s="19">
        <f t="shared" si="24"/>
        <v>0</v>
      </c>
      <c r="L105" s="50"/>
      <c r="M105" s="13">
        <f>ROUND(予定価格!B93*査定表!$B$437,-$F$14)</f>
        <v>0</v>
      </c>
      <c r="N105">
        <f>IF(M105=0,1,M105/予定価格!B93)</f>
        <v>1</v>
      </c>
      <c r="O105">
        <f t="shared" si="27"/>
        <v>21</v>
      </c>
      <c r="P105">
        <f t="shared" si="28"/>
        <v>0</v>
      </c>
      <c r="Q105">
        <f>IF(M105=0,0,M105/予定価格!B93)</f>
        <v>0</v>
      </c>
      <c r="R105">
        <f t="shared" si="29"/>
        <v>21</v>
      </c>
      <c r="S105">
        <f t="shared" si="30"/>
        <v>0</v>
      </c>
      <c r="T105" s="13">
        <f t="shared" si="31"/>
        <v>0</v>
      </c>
      <c r="U105" s="13" t="e">
        <f>IF(予定価格!$G$427=0,ROUND(予定価格!H93*(入力表!$F$12/予定価格!$H$431),-$F$14),ROUND((予定価格!G93*(入力表!$F$12-予定価格!$H$431)/予定価格!$G$431)+予定価格!H93,-$F$14))</f>
        <v>#DIV/0!</v>
      </c>
      <c r="V105" t="e">
        <f>IF(U105=0,1,IF(予定価格!O93=0,1,(U105-予定価格!P93)/予定価格!O93))</f>
        <v>#DIV/0!</v>
      </c>
      <c r="W105" t="e">
        <f t="shared" si="32"/>
        <v>#DIV/0!</v>
      </c>
      <c r="X105" t="e">
        <f t="shared" si="33"/>
        <v>#DIV/0!</v>
      </c>
      <c r="Y105" t="e">
        <f>IF(U105=0,0,IF(予定価格!G93=0,0,(U105-予定価格!H93)/予定価格!G93))</f>
        <v>#DIV/0!</v>
      </c>
      <c r="Z105" t="e">
        <f t="shared" si="34"/>
        <v>#DIV/0!</v>
      </c>
      <c r="AA105" t="e">
        <f t="shared" si="35"/>
        <v>#DIV/0!</v>
      </c>
      <c r="AB105" s="13" t="e">
        <f t="shared" si="36"/>
        <v>#DIV/0!</v>
      </c>
    </row>
    <row r="106" spans="1:28" hidden="1" x14ac:dyDescent="0.15">
      <c r="A106">
        <f>+予定価格!A94</f>
        <v>0</v>
      </c>
      <c r="B106" s="258">
        <f>ROUND(予定価格!B94*査定表!$B$437,-D106)+E106</f>
        <v>0</v>
      </c>
      <c r="C106" s="258"/>
      <c r="D106" s="45">
        <f t="shared" si="25"/>
        <v>4</v>
      </c>
      <c r="E106" s="46">
        <f t="shared" si="21"/>
        <v>0</v>
      </c>
      <c r="F106" s="258">
        <f>IF($F$12=0,0,IF(予定価格!$G$427=0,ROUND(予定価格!H94*(入力表!$F$12/予定価格!$H$431),-H106),ROUND((予定価格!G94*(入力表!$F$12-予定価格!$H$431)/予定価格!$G$431)+予定価格!H94,-H106)))+I106</f>
        <v>0</v>
      </c>
      <c r="G106" s="258"/>
      <c r="H106" s="47">
        <f t="shared" si="26"/>
        <v>4</v>
      </c>
      <c r="I106" s="48">
        <f t="shared" si="22"/>
        <v>0</v>
      </c>
      <c r="J106" s="116">
        <f t="shared" si="23"/>
        <v>0</v>
      </c>
      <c r="K106" s="19">
        <f t="shared" si="24"/>
        <v>0</v>
      </c>
      <c r="L106" s="50"/>
      <c r="M106" s="13">
        <f>ROUND(予定価格!B94*査定表!$B$437,-$F$14)</f>
        <v>0</v>
      </c>
      <c r="N106">
        <f>IF(M106=0,1,M106/予定価格!B94)</f>
        <v>1</v>
      </c>
      <c r="O106">
        <f t="shared" si="27"/>
        <v>21</v>
      </c>
      <c r="P106">
        <f t="shared" si="28"/>
        <v>0</v>
      </c>
      <c r="Q106">
        <f>IF(M106=0,0,M106/予定価格!B94)</f>
        <v>0</v>
      </c>
      <c r="R106">
        <f t="shared" si="29"/>
        <v>21</v>
      </c>
      <c r="S106">
        <f t="shared" si="30"/>
        <v>0</v>
      </c>
      <c r="T106" s="13">
        <f t="shared" si="31"/>
        <v>0</v>
      </c>
      <c r="U106" s="13" t="e">
        <f>IF(予定価格!$G$427=0,ROUND(予定価格!H94*(入力表!$F$12/予定価格!$H$431),-$F$14),ROUND((予定価格!G94*(入力表!$F$12-予定価格!$H$431)/予定価格!$G$431)+予定価格!H94,-$F$14))</f>
        <v>#DIV/0!</v>
      </c>
      <c r="V106" t="e">
        <f>IF(U106=0,1,IF(予定価格!O94=0,1,(U106-予定価格!P94)/予定価格!O94))</f>
        <v>#DIV/0!</v>
      </c>
      <c r="W106" t="e">
        <f t="shared" si="32"/>
        <v>#DIV/0!</v>
      </c>
      <c r="X106" t="e">
        <f t="shared" si="33"/>
        <v>#DIV/0!</v>
      </c>
      <c r="Y106" t="e">
        <f>IF(U106=0,0,IF(予定価格!G94=0,0,(U106-予定価格!H94)/予定価格!G94))</f>
        <v>#DIV/0!</v>
      </c>
      <c r="Z106" t="e">
        <f t="shared" si="34"/>
        <v>#DIV/0!</v>
      </c>
      <c r="AA106" t="e">
        <f t="shared" si="35"/>
        <v>#DIV/0!</v>
      </c>
      <c r="AB106" s="13" t="e">
        <f t="shared" si="36"/>
        <v>#DIV/0!</v>
      </c>
    </row>
    <row r="107" spans="1:28" hidden="1" x14ac:dyDescent="0.15">
      <c r="A107">
        <f>+予定価格!A95</f>
        <v>0</v>
      </c>
      <c r="B107" s="258">
        <f>ROUND(予定価格!B95*査定表!$B$437,-D107)+E107</f>
        <v>0</v>
      </c>
      <c r="C107" s="258"/>
      <c r="D107" s="45">
        <f t="shared" si="25"/>
        <v>4</v>
      </c>
      <c r="E107" s="46">
        <f t="shared" si="21"/>
        <v>0</v>
      </c>
      <c r="F107" s="258">
        <f>IF($F$12=0,0,IF(予定価格!$G$427=0,ROUND(予定価格!H95*(入力表!$F$12/予定価格!$H$431),-H107),ROUND((予定価格!G95*(入力表!$F$12-予定価格!$H$431)/予定価格!$G$431)+予定価格!H95,-H107)))+I107</f>
        <v>0</v>
      </c>
      <c r="G107" s="258"/>
      <c r="H107" s="47">
        <f t="shared" si="26"/>
        <v>4</v>
      </c>
      <c r="I107" s="48">
        <f t="shared" si="22"/>
        <v>0</v>
      </c>
      <c r="J107" s="116">
        <f t="shared" si="23"/>
        <v>0</v>
      </c>
      <c r="K107" s="19">
        <f t="shared" si="24"/>
        <v>0</v>
      </c>
      <c r="L107" s="50"/>
      <c r="M107" s="13">
        <f>ROUND(予定価格!B95*査定表!$B$437,-$F$14)</f>
        <v>0</v>
      </c>
      <c r="N107">
        <f>IF(M107=0,1,M107/予定価格!B95)</f>
        <v>1</v>
      </c>
      <c r="O107">
        <f t="shared" si="27"/>
        <v>21</v>
      </c>
      <c r="P107">
        <f t="shared" si="28"/>
        <v>0</v>
      </c>
      <c r="Q107">
        <f>IF(M107=0,0,M107/予定価格!B95)</f>
        <v>0</v>
      </c>
      <c r="R107">
        <f t="shared" si="29"/>
        <v>21</v>
      </c>
      <c r="S107">
        <f t="shared" si="30"/>
        <v>0</v>
      </c>
      <c r="T107" s="13">
        <f t="shared" si="31"/>
        <v>0</v>
      </c>
      <c r="U107" s="13" t="e">
        <f>IF(予定価格!$G$427=0,ROUND(予定価格!H95*(入力表!$F$12/予定価格!$H$431),-$F$14),ROUND((予定価格!G95*(入力表!$F$12-予定価格!$H$431)/予定価格!$G$431)+予定価格!H95,-$F$14))</f>
        <v>#DIV/0!</v>
      </c>
      <c r="V107" t="e">
        <f>IF(U107=0,1,IF(予定価格!O95=0,1,(U107-予定価格!P95)/予定価格!O95))</f>
        <v>#DIV/0!</v>
      </c>
      <c r="W107" t="e">
        <f t="shared" si="32"/>
        <v>#DIV/0!</v>
      </c>
      <c r="X107" t="e">
        <f t="shared" si="33"/>
        <v>#DIV/0!</v>
      </c>
      <c r="Y107" t="e">
        <f>IF(U107=0,0,IF(予定価格!G95=0,0,(U107-予定価格!H95)/予定価格!G95))</f>
        <v>#DIV/0!</v>
      </c>
      <c r="Z107" t="e">
        <f t="shared" si="34"/>
        <v>#DIV/0!</v>
      </c>
      <c r="AA107" t="e">
        <f t="shared" si="35"/>
        <v>#DIV/0!</v>
      </c>
      <c r="AB107" s="13" t="e">
        <f t="shared" si="36"/>
        <v>#DIV/0!</v>
      </c>
    </row>
    <row r="108" spans="1:28" hidden="1" x14ac:dyDescent="0.15">
      <c r="A108">
        <f>+予定価格!A96</f>
        <v>0</v>
      </c>
      <c r="B108" s="258">
        <f>ROUND(予定価格!B96*査定表!$B$437,-D108)+E108</f>
        <v>0</v>
      </c>
      <c r="C108" s="258"/>
      <c r="D108" s="45">
        <f t="shared" si="25"/>
        <v>4</v>
      </c>
      <c r="E108" s="46">
        <f t="shared" si="21"/>
        <v>0</v>
      </c>
      <c r="F108" s="258">
        <f>IF($F$12=0,0,IF(予定価格!$G$427=0,ROUND(予定価格!H96*(入力表!$F$12/予定価格!$H$431),-H108),ROUND((予定価格!G96*(入力表!$F$12-予定価格!$H$431)/予定価格!$G$431)+予定価格!H96,-H108)))+I108</f>
        <v>0</v>
      </c>
      <c r="G108" s="258"/>
      <c r="H108" s="47">
        <f t="shared" si="26"/>
        <v>4</v>
      </c>
      <c r="I108" s="48">
        <f t="shared" si="22"/>
        <v>0</v>
      </c>
      <c r="J108" s="116">
        <f t="shared" si="23"/>
        <v>0</v>
      </c>
      <c r="K108" s="19">
        <f t="shared" si="24"/>
        <v>0</v>
      </c>
      <c r="L108" s="50"/>
      <c r="M108" s="13">
        <f>ROUND(予定価格!B96*査定表!$B$437,-$F$14)</f>
        <v>0</v>
      </c>
      <c r="N108">
        <f>IF(M108=0,1,M108/予定価格!B96)</f>
        <v>1</v>
      </c>
      <c r="O108">
        <f t="shared" si="27"/>
        <v>21</v>
      </c>
      <c r="P108">
        <f t="shared" si="28"/>
        <v>0</v>
      </c>
      <c r="Q108">
        <f>IF(M108=0,0,M108/予定価格!B96)</f>
        <v>0</v>
      </c>
      <c r="R108">
        <f t="shared" si="29"/>
        <v>21</v>
      </c>
      <c r="S108">
        <f t="shared" si="30"/>
        <v>0</v>
      </c>
      <c r="T108" s="13">
        <f t="shared" si="31"/>
        <v>0</v>
      </c>
      <c r="U108" s="13" t="e">
        <f>IF(予定価格!$G$427=0,ROUND(予定価格!H96*(入力表!$F$12/予定価格!$H$431),-$F$14),ROUND((予定価格!G96*(入力表!$F$12-予定価格!$H$431)/予定価格!$G$431)+予定価格!H96,-$F$14))</f>
        <v>#DIV/0!</v>
      </c>
      <c r="V108" t="e">
        <f>IF(U108=0,1,IF(予定価格!O96=0,1,(U108-予定価格!P96)/予定価格!O96))</f>
        <v>#DIV/0!</v>
      </c>
      <c r="W108" t="e">
        <f t="shared" si="32"/>
        <v>#DIV/0!</v>
      </c>
      <c r="X108" t="e">
        <f t="shared" si="33"/>
        <v>#DIV/0!</v>
      </c>
      <c r="Y108" t="e">
        <f>IF(U108=0,0,IF(予定価格!G96=0,0,(U108-予定価格!H96)/予定価格!G96))</f>
        <v>#DIV/0!</v>
      </c>
      <c r="Z108" t="e">
        <f t="shared" si="34"/>
        <v>#DIV/0!</v>
      </c>
      <c r="AA108" t="e">
        <f t="shared" si="35"/>
        <v>#DIV/0!</v>
      </c>
      <c r="AB108" s="13" t="e">
        <f t="shared" si="36"/>
        <v>#DIV/0!</v>
      </c>
    </row>
    <row r="109" spans="1:28" hidden="1" x14ac:dyDescent="0.15">
      <c r="A109">
        <f>+予定価格!A97</f>
        <v>0</v>
      </c>
      <c r="B109" s="258">
        <f>ROUND(予定価格!B97*査定表!$B$437,-D109)+E109</f>
        <v>0</v>
      </c>
      <c r="C109" s="258"/>
      <c r="D109" s="45">
        <f t="shared" si="25"/>
        <v>4</v>
      </c>
      <c r="E109" s="46">
        <f t="shared" si="21"/>
        <v>0</v>
      </c>
      <c r="F109" s="258">
        <f>IF($F$12=0,0,IF(予定価格!$G$427=0,ROUND(予定価格!H97*(入力表!$F$12/予定価格!$H$431),-H109),ROUND((予定価格!G97*(入力表!$F$12-予定価格!$H$431)/予定価格!$G$431)+予定価格!H97,-H109)))+I109</f>
        <v>0</v>
      </c>
      <c r="G109" s="258"/>
      <c r="H109" s="47">
        <f t="shared" si="26"/>
        <v>4</v>
      </c>
      <c r="I109" s="48">
        <f t="shared" si="22"/>
        <v>0</v>
      </c>
      <c r="J109" s="116">
        <f t="shared" si="23"/>
        <v>0</v>
      </c>
      <c r="K109" s="19">
        <f t="shared" si="24"/>
        <v>0</v>
      </c>
      <c r="L109" s="50"/>
      <c r="M109" s="13">
        <f>ROUND(予定価格!B97*査定表!$B$437,-$F$14)</f>
        <v>0</v>
      </c>
      <c r="N109">
        <f>IF(M109=0,1,M109/予定価格!B97)</f>
        <v>1</v>
      </c>
      <c r="O109">
        <f t="shared" si="27"/>
        <v>21</v>
      </c>
      <c r="P109">
        <f t="shared" si="28"/>
        <v>0</v>
      </c>
      <c r="Q109">
        <f>IF(M109=0,0,M109/予定価格!B97)</f>
        <v>0</v>
      </c>
      <c r="R109">
        <f t="shared" si="29"/>
        <v>21</v>
      </c>
      <c r="S109">
        <f t="shared" si="30"/>
        <v>0</v>
      </c>
      <c r="T109" s="13">
        <f t="shared" si="31"/>
        <v>0</v>
      </c>
      <c r="U109" s="13" t="e">
        <f>IF(予定価格!$G$427=0,ROUND(予定価格!H97*(入力表!$F$12/予定価格!$H$431),-$F$14),ROUND((予定価格!G97*(入力表!$F$12-予定価格!$H$431)/予定価格!$G$431)+予定価格!H97,-$F$14))</f>
        <v>#DIV/0!</v>
      </c>
      <c r="V109" t="e">
        <f>IF(U109=0,1,IF(予定価格!O97=0,1,(U109-予定価格!P97)/予定価格!O97))</f>
        <v>#DIV/0!</v>
      </c>
      <c r="W109" t="e">
        <f t="shared" si="32"/>
        <v>#DIV/0!</v>
      </c>
      <c r="X109" t="e">
        <f t="shared" si="33"/>
        <v>#DIV/0!</v>
      </c>
      <c r="Y109" t="e">
        <f>IF(U109=0,0,IF(予定価格!G97=0,0,(U109-予定価格!H97)/予定価格!G97))</f>
        <v>#DIV/0!</v>
      </c>
      <c r="Z109" t="e">
        <f t="shared" si="34"/>
        <v>#DIV/0!</v>
      </c>
      <c r="AA109" t="e">
        <f t="shared" si="35"/>
        <v>#DIV/0!</v>
      </c>
      <c r="AB109" s="13" t="e">
        <f t="shared" si="36"/>
        <v>#DIV/0!</v>
      </c>
    </row>
    <row r="110" spans="1:28" hidden="1" x14ac:dyDescent="0.15">
      <c r="A110">
        <f>+予定価格!A98</f>
        <v>0</v>
      </c>
      <c r="B110" s="258">
        <f>ROUND(予定価格!B98*査定表!$B$437,-D110)+E110</f>
        <v>0</v>
      </c>
      <c r="C110" s="258"/>
      <c r="D110" s="45">
        <f t="shared" si="25"/>
        <v>4</v>
      </c>
      <c r="E110" s="46">
        <f t="shared" si="21"/>
        <v>0</v>
      </c>
      <c r="F110" s="258">
        <f>IF($F$12=0,0,IF(予定価格!$G$427=0,ROUND(予定価格!H98*(入力表!$F$12/予定価格!$H$431),-H110),ROUND((予定価格!G98*(入力表!$F$12-予定価格!$H$431)/予定価格!$G$431)+予定価格!H98,-H110)))+I110</f>
        <v>0</v>
      </c>
      <c r="G110" s="258"/>
      <c r="H110" s="47">
        <f t="shared" si="26"/>
        <v>4</v>
      </c>
      <c r="I110" s="48">
        <f t="shared" si="22"/>
        <v>0</v>
      </c>
      <c r="J110" s="116">
        <f t="shared" si="23"/>
        <v>0</v>
      </c>
      <c r="K110" s="19">
        <f t="shared" si="24"/>
        <v>0</v>
      </c>
      <c r="L110" s="50"/>
      <c r="M110" s="13">
        <f>ROUND(予定価格!B98*査定表!$B$437,-$F$14)</f>
        <v>0</v>
      </c>
      <c r="N110">
        <f>IF(M110=0,1,M110/予定価格!B98)</f>
        <v>1</v>
      </c>
      <c r="O110">
        <f t="shared" si="27"/>
        <v>21</v>
      </c>
      <c r="P110">
        <f t="shared" si="28"/>
        <v>0</v>
      </c>
      <c r="Q110">
        <f>IF(M110=0,0,M110/予定価格!B98)</f>
        <v>0</v>
      </c>
      <c r="R110">
        <f t="shared" si="29"/>
        <v>21</v>
      </c>
      <c r="S110">
        <f t="shared" si="30"/>
        <v>0</v>
      </c>
      <c r="T110" s="13">
        <f t="shared" si="31"/>
        <v>0</v>
      </c>
      <c r="U110" s="13" t="e">
        <f>IF(予定価格!$G$427=0,ROUND(予定価格!H98*(入力表!$F$12/予定価格!$H$431),-$F$14),ROUND((予定価格!G98*(入力表!$F$12-予定価格!$H$431)/予定価格!$G$431)+予定価格!H98,-$F$14))</f>
        <v>#DIV/0!</v>
      </c>
      <c r="V110" t="e">
        <f>IF(U110=0,1,IF(予定価格!O98=0,1,(U110-予定価格!P98)/予定価格!O98))</f>
        <v>#DIV/0!</v>
      </c>
      <c r="W110" t="e">
        <f t="shared" si="32"/>
        <v>#DIV/0!</v>
      </c>
      <c r="X110" t="e">
        <f t="shared" si="33"/>
        <v>#DIV/0!</v>
      </c>
      <c r="Y110" t="e">
        <f>IF(U110=0,0,IF(予定価格!G98=0,0,(U110-予定価格!H98)/予定価格!G98))</f>
        <v>#DIV/0!</v>
      </c>
      <c r="Z110" t="e">
        <f t="shared" si="34"/>
        <v>#DIV/0!</v>
      </c>
      <c r="AA110" t="e">
        <f t="shared" si="35"/>
        <v>#DIV/0!</v>
      </c>
      <c r="AB110" s="13" t="e">
        <f t="shared" si="36"/>
        <v>#DIV/0!</v>
      </c>
    </row>
    <row r="111" spans="1:28" hidden="1" x14ac:dyDescent="0.15">
      <c r="A111">
        <f>+予定価格!A99</f>
        <v>0</v>
      </c>
      <c r="B111" s="258">
        <f>ROUND(予定価格!B99*査定表!$B$437,-D111)+E111</f>
        <v>0</v>
      </c>
      <c r="C111" s="258"/>
      <c r="D111" s="45">
        <f t="shared" si="25"/>
        <v>4</v>
      </c>
      <c r="E111" s="46">
        <f t="shared" si="21"/>
        <v>0</v>
      </c>
      <c r="F111" s="258">
        <f>IF($F$12=0,0,IF(予定価格!$G$427=0,ROUND(予定価格!H99*(入力表!$F$12/予定価格!$H$431),-H111),ROUND((予定価格!G99*(入力表!$F$12-予定価格!$H$431)/予定価格!$G$431)+予定価格!H99,-H111)))+I111</f>
        <v>0</v>
      </c>
      <c r="G111" s="258"/>
      <c r="H111" s="47">
        <f t="shared" si="26"/>
        <v>4</v>
      </c>
      <c r="I111" s="48">
        <f t="shared" si="22"/>
        <v>0</v>
      </c>
      <c r="J111" s="116">
        <f t="shared" si="23"/>
        <v>0</v>
      </c>
      <c r="K111" s="19">
        <f t="shared" si="24"/>
        <v>0</v>
      </c>
      <c r="L111" s="50"/>
      <c r="M111" s="13">
        <f>ROUND(予定価格!B99*査定表!$B$437,-$F$14)</f>
        <v>0</v>
      </c>
      <c r="N111">
        <f>IF(M111=0,1,M111/予定価格!B99)</f>
        <v>1</v>
      </c>
      <c r="O111">
        <f t="shared" si="27"/>
        <v>21</v>
      </c>
      <c r="P111">
        <f t="shared" si="28"/>
        <v>0</v>
      </c>
      <c r="Q111">
        <f>IF(M111=0,0,M111/予定価格!B99)</f>
        <v>0</v>
      </c>
      <c r="R111">
        <f t="shared" si="29"/>
        <v>21</v>
      </c>
      <c r="S111">
        <f t="shared" si="30"/>
        <v>0</v>
      </c>
      <c r="T111" s="13">
        <f t="shared" si="31"/>
        <v>0</v>
      </c>
      <c r="U111" s="13" t="e">
        <f>IF(予定価格!$G$427=0,ROUND(予定価格!H99*(入力表!$F$12/予定価格!$H$431),-$F$14),ROUND((予定価格!G99*(入力表!$F$12-予定価格!$H$431)/予定価格!$G$431)+予定価格!H99,-$F$14))</f>
        <v>#DIV/0!</v>
      </c>
      <c r="V111" t="e">
        <f>IF(U111=0,1,IF(予定価格!O99=0,1,(U111-予定価格!P99)/予定価格!O99))</f>
        <v>#DIV/0!</v>
      </c>
      <c r="W111" t="e">
        <f t="shared" si="32"/>
        <v>#DIV/0!</v>
      </c>
      <c r="X111" t="e">
        <f t="shared" si="33"/>
        <v>#DIV/0!</v>
      </c>
      <c r="Y111" t="e">
        <f>IF(U111=0,0,IF(予定価格!G99=0,0,(U111-予定価格!H99)/予定価格!G99))</f>
        <v>#DIV/0!</v>
      </c>
      <c r="Z111" t="e">
        <f t="shared" si="34"/>
        <v>#DIV/0!</v>
      </c>
      <c r="AA111" t="e">
        <f t="shared" si="35"/>
        <v>#DIV/0!</v>
      </c>
      <c r="AB111" s="13" t="e">
        <f t="shared" si="36"/>
        <v>#DIV/0!</v>
      </c>
    </row>
    <row r="112" spans="1:28" hidden="1" x14ac:dyDescent="0.15">
      <c r="A112">
        <f>+予定価格!A100</f>
        <v>0</v>
      </c>
      <c r="B112" s="258">
        <f>ROUND(予定価格!B100*査定表!$B$437,-D112)+E112</f>
        <v>0</v>
      </c>
      <c r="C112" s="258"/>
      <c r="D112" s="45">
        <f t="shared" si="25"/>
        <v>4</v>
      </c>
      <c r="E112" s="46">
        <f t="shared" si="21"/>
        <v>0</v>
      </c>
      <c r="F112" s="258">
        <f>IF($F$12=0,0,IF(予定価格!$G$427=0,ROUND(予定価格!H100*(入力表!$F$12/予定価格!$H$431),-H112),ROUND((予定価格!G100*(入力表!$F$12-予定価格!$H$431)/予定価格!$G$431)+予定価格!H100,-H112)))+I112</f>
        <v>0</v>
      </c>
      <c r="G112" s="258"/>
      <c r="H112" s="47">
        <f t="shared" si="26"/>
        <v>4</v>
      </c>
      <c r="I112" s="48">
        <f t="shared" si="22"/>
        <v>0</v>
      </c>
      <c r="J112" s="116">
        <f t="shared" si="23"/>
        <v>0</v>
      </c>
      <c r="K112" s="19">
        <f t="shared" si="24"/>
        <v>0</v>
      </c>
      <c r="L112" s="50"/>
      <c r="M112" s="13">
        <f>ROUND(予定価格!B100*査定表!$B$437,-$F$14)</f>
        <v>0</v>
      </c>
      <c r="N112">
        <f>IF(M112=0,1,M112/予定価格!B100)</f>
        <v>1</v>
      </c>
      <c r="O112">
        <f t="shared" si="27"/>
        <v>21</v>
      </c>
      <c r="P112">
        <f t="shared" si="28"/>
        <v>0</v>
      </c>
      <c r="Q112">
        <f>IF(M112=0,0,M112/予定価格!B100)</f>
        <v>0</v>
      </c>
      <c r="R112">
        <f t="shared" si="29"/>
        <v>21</v>
      </c>
      <c r="S112">
        <f t="shared" si="30"/>
        <v>0</v>
      </c>
      <c r="T112" s="13">
        <f t="shared" si="31"/>
        <v>0</v>
      </c>
      <c r="U112" s="13" t="e">
        <f>IF(予定価格!$G$427=0,ROUND(予定価格!H100*(入力表!$F$12/予定価格!$H$431),-$F$14),ROUND((予定価格!G100*(入力表!$F$12-予定価格!$H$431)/予定価格!$G$431)+予定価格!H100,-$F$14))</f>
        <v>#DIV/0!</v>
      </c>
      <c r="V112" t="e">
        <f>IF(U112=0,1,IF(予定価格!O100=0,1,(U112-予定価格!P100)/予定価格!O100))</f>
        <v>#DIV/0!</v>
      </c>
      <c r="W112" t="e">
        <f t="shared" si="32"/>
        <v>#DIV/0!</v>
      </c>
      <c r="X112" t="e">
        <f t="shared" si="33"/>
        <v>#DIV/0!</v>
      </c>
      <c r="Y112" t="e">
        <f>IF(U112=0,0,IF(予定価格!G100=0,0,(U112-予定価格!H100)/予定価格!G100))</f>
        <v>#DIV/0!</v>
      </c>
      <c r="Z112" t="e">
        <f t="shared" si="34"/>
        <v>#DIV/0!</v>
      </c>
      <c r="AA112" t="e">
        <f t="shared" si="35"/>
        <v>#DIV/0!</v>
      </c>
      <c r="AB112" s="13" t="e">
        <f t="shared" si="36"/>
        <v>#DIV/0!</v>
      </c>
    </row>
    <row r="113" spans="1:28" hidden="1" x14ac:dyDescent="0.15">
      <c r="A113">
        <f>+予定価格!A101</f>
        <v>0</v>
      </c>
      <c r="B113" s="258">
        <f>ROUND(予定価格!B101*査定表!$B$437,-D113)+E113</f>
        <v>0</v>
      </c>
      <c r="C113" s="258"/>
      <c r="D113" s="45">
        <f t="shared" si="25"/>
        <v>4</v>
      </c>
      <c r="E113" s="46">
        <f t="shared" si="21"/>
        <v>0</v>
      </c>
      <c r="F113" s="258">
        <f>IF($F$12=0,0,IF(予定価格!$G$427=0,ROUND(予定価格!H101*(入力表!$F$12/予定価格!$H$431),-H113),ROUND((予定価格!G101*(入力表!$F$12-予定価格!$H$431)/予定価格!$G$431)+予定価格!H101,-H113)))+I113</f>
        <v>0</v>
      </c>
      <c r="G113" s="258"/>
      <c r="H113" s="47">
        <f t="shared" si="26"/>
        <v>4</v>
      </c>
      <c r="I113" s="48">
        <f t="shared" si="22"/>
        <v>0</v>
      </c>
      <c r="J113" s="116">
        <f t="shared" si="23"/>
        <v>0</v>
      </c>
      <c r="K113" s="19">
        <f t="shared" si="24"/>
        <v>0</v>
      </c>
      <c r="L113" s="50"/>
      <c r="M113" s="13">
        <f>ROUND(予定価格!B101*査定表!$B$437,-$F$14)</f>
        <v>0</v>
      </c>
      <c r="N113">
        <f>IF(M113=0,1,M113/予定価格!B101)</f>
        <v>1</v>
      </c>
      <c r="O113">
        <f t="shared" si="27"/>
        <v>21</v>
      </c>
      <c r="P113">
        <f t="shared" si="28"/>
        <v>0</v>
      </c>
      <c r="Q113">
        <f>IF(M113=0,0,M113/予定価格!B101)</f>
        <v>0</v>
      </c>
      <c r="R113">
        <f t="shared" si="29"/>
        <v>21</v>
      </c>
      <c r="S113">
        <f t="shared" si="30"/>
        <v>0</v>
      </c>
      <c r="T113" s="13">
        <f t="shared" si="31"/>
        <v>0</v>
      </c>
      <c r="U113" s="13" t="e">
        <f>IF(予定価格!$G$427=0,ROUND(予定価格!H101*(入力表!$F$12/予定価格!$H$431),-$F$14),ROUND((予定価格!G101*(入力表!$F$12-予定価格!$H$431)/予定価格!$G$431)+予定価格!H101,-$F$14))</f>
        <v>#DIV/0!</v>
      </c>
      <c r="V113" t="e">
        <f>IF(U113=0,1,IF(予定価格!O101=0,1,(U113-予定価格!P101)/予定価格!O101))</f>
        <v>#DIV/0!</v>
      </c>
      <c r="W113" t="e">
        <f t="shared" si="32"/>
        <v>#DIV/0!</v>
      </c>
      <c r="X113" t="e">
        <f t="shared" si="33"/>
        <v>#DIV/0!</v>
      </c>
      <c r="Y113" t="e">
        <f>IF(U113=0,0,IF(予定価格!G101=0,0,(U113-予定価格!H101)/予定価格!G101))</f>
        <v>#DIV/0!</v>
      </c>
      <c r="Z113" t="e">
        <f t="shared" si="34"/>
        <v>#DIV/0!</v>
      </c>
      <c r="AA113" t="e">
        <f t="shared" si="35"/>
        <v>#DIV/0!</v>
      </c>
      <c r="AB113" s="13" t="e">
        <f t="shared" si="36"/>
        <v>#DIV/0!</v>
      </c>
    </row>
    <row r="114" spans="1:28" hidden="1" x14ac:dyDescent="0.15">
      <c r="A114">
        <f>+予定価格!A102</f>
        <v>0</v>
      </c>
      <c r="B114" s="258">
        <f>ROUND(予定価格!B102*査定表!$B$437,-D114)+E114</f>
        <v>0</v>
      </c>
      <c r="C114" s="258"/>
      <c r="D114" s="45">
        <f t="shared" si="25"/>
        <v>4</v>
      </c>
      <c r="E114" s="46">
        <f t="shared" si="21"/>
        <v>0</v>
      </c>
      <c r="F114" s="258">
        <f>IF($F$12=0,0,IF(予定価格!$G$427=0,ROUND(予定価格!H102*(入力表!$F$12/予定価格!$H$431),-H114),ROUND((予定価格!G102*(入力表!$F$12-予定価格!$H$431)/予定価格!$G$431)+予定価格!H102,-H114)))+I114</f>
        <v>0</v>
      </c>
      <c r="G114" s="258"/>
      <c r="H114" s="47">
        <f t="shared" si="26"/>
        <v>4</v>
      </c>
      <c r="I114" s="48">
        <f t="shared" si="22"/>
        <v>0</v>
      </c>
      <c r="J114" s="116">
        <f t="shared" si="23"/>
        <v>0</v>
      </c>
      <c r="K114" s="19">
        <f t="shared" si="24"/>
        <v>0</v>
      </c>
      <c r="L114" s="50"/>
      <c r="M114" s="13">
        <f>ROUND(予定価格!B102*査定表!$B$437,-$F$14)</f>
        <v>0</v>
      </c>
      <c r="N114">
        <f>IF(M114=0,1,M114/予定価格!B102)</f>
        <v>1</v>
      </c>
      <c r="O114">
        <f t="shared" si="27"/>
        <v>21</v>
      </c>
      <c r="P114">
        <f t="shared" si="28"/>
        <v>0</v>
      </c>
      <c r="Q114">
        <f>IF(M114=0,0,M114/予定価格!B102)</f>
        <v>0</v>
      </c>
      <c r="R114">
        <f t="shared" si="29"/>
        <v>21</v>
      </c>
      <c r="S114">
        <f t="shared" si="30"/>
        <v>0</v>
      </c>
      <c r="T114" s="13">
        <f t="shared" si="31"/>
        <v>0</v>
      </c>
      <c r="U114" s="13" t="e">
        <f>IF(予定価格!$G$427=0,ROUND(予定価格!H102*(入力表!$F$12/予定価格!$H$431),-$F$14),ROUND((予定価格!G102*(入力表!$F$12-予定価格!$H$431)/予定価格!$G$431)+予定価格!H102,-$F$14))</f>
        <v>#DIV/0!</v>
      </c>
      <c r="V114" t="e">
        <f>IF(U114=0,1,IF(予定価格!O102=0,1,(U114-予定価格!P102)/予定価格!O102))</f>
        <v>#DIV/0!</v>
      </c>
      <c r="W114" t="e">
        <f t="shared" si="32"/>
        <v>#DIV/0!</v>
      </c>
      <c r="X114" t="e">
        <f t="shared" si="33"/>
        <v>#DIV/0!</v>
      </c>
      <c r="Y114" t="e">
        <f>IF(U114=0,0,IF(予定価格!G102=0,0,(U114-予定価格!H102)/予定価格!G102))</f>
        <v>#DIV/0!</v>
      </c>
      <c r="Z114" t="e">
        <f t="shared" si="34"/>
        <v>#DIV/0!</v>
      </c>
      <c r="AA114" t="e">
        <f t="shared" si="35"/>
        <v>#DIV/0!</v>
      </c>
      <c r="AB114" s="13" t="e">
        <f t="shared" si="36"/>
        <v>#DIV/0!</v>
      </c>
    </row>
    <row r="115" spans="1:28" hidden="1" x14ac:dyDescent="0.15">
      <c r="A115">
        <f>+予定価格!A103</f>
        <v>0</v>
      </c>
      <c r="B115" s="258">
        <f>ROUND(予定価格!B103*査定表!$B$437,-D115)+E115</f>
        <v>0</v>
      </c>
      <c r="C115" s="258"/>
      <c r="D115" s="45">
        <f t="shared" si="25"/>
        <v>4</v>
      </c>
      <c r="E115" s="46">
        <f t="shared" si="21"/>
        <v>0</v>
      </c>
      <c r="F115" s="258">
        <f>IF($F$12=0,0,IF(予定価格!$G$427=0,ROUND(予定価格!H103*(入力表!$F$12/予定価格!$H$431),-H115),ROUND((予定価格!G103*(入力表!$F$12-予定価格!$H$431)/予定価格!$G$431)+予定価格!H103,-H115)))+I115</f>
        <v>0</v>
      </c>
      <c r="G115" s="258"/>
      <c r="H115" s="47">
        <f t="shared" si="26"/>
        <v>4</v>
      </c>
      <c r="I115" s="48">
        <f t="shared" si="22"/>
        <v>0</v>
      </c>
      <c r="J115" s="116">
        <f t="shared" si="23"/>
        <v>0</v>
      </c>
      <c r="K115" s="19">
        <f t="shared" si="24"/>
        <v>0</v>
      </c>
      <c r="L115" s="50"/>
      <c r="M115" s="13">
        <f>ROUND(予定価格!B103*査定表!$B$437,-$F$14)</f>
        <v>0</v>
      </c>
      <c r="N115">
        <f>IF(M115=0,1,M115/予定価格!B103)</f>
        <v>1</v>
      </c>
      <c r="O115">
        <f t="shared" si="27"/>
        <v>21</v>
      </c>
      <c r="P115">
        <f t="shared" si="28"/>
        <v>0</v>
      </c>
      <c r="Q115">
        <f>IF(M115=0,0,M115/予定価格!B103)</f>
        <v>0</v>
      </c>
      <c r="R115">
        <f t="shared" si="29"/>
        <v>21</v>
      </c>
      <c r="S115">
        <f t="shared" si="30"/>
        <v>0</v>
      </c>
      <c r="T115" s="13">
        <f t="shared" si="31"/>
        <v>0</v>
      </c>
      <c r="U115" s="13" t="e">
        <f>IF(予定価格!$G$427=0,ROUND(予定価格!H103*(入力表!$F$12/予定価格!$H$431),-$F$14),ROUND((予定価格!G103*(入力表!$F$12-予定価格!$H$431)/予定価格!$G$431)+予定価格!H103,-$F$14))</f>
        <v>#DIV/0!</v>
      </c>
      <c r="V115" t="e">
        <f>IF(U115=0,1,IF(予定価格!O103=0,1,(U115-予定価格!P103)/予定価格!O103))</f>
        <v>#DIV/0!</v>
      </c>
      <c r="W115" t="e">
        <f t="shared" si="32"/>
        <v>#DIV/0!</v>
      </c>
      <c r="X115" t="e">
        <f t="shared" si="33"/>
        <v>#DIV/0!</v>
      </c>
      <c r="Y115" t="e">
        <f>IF(U115=0,0,IF(予定価格!G103=0,0,(U115-予定価格!H103)/予定価格!G103))</f>
        <v>#DIV/0!</v>
      </c>
      <c r="Z115" t="e">
        <f t="shared" si="34"/>
        <v>#DIV/0!</v>
      </c>
      <c r="AA115" t="e">
        <f t="shared" si="35"/>
        <v>#DIV/0!</v>
      </c>
      <c r="AB115" s="13" t="e">
        <f t="shared" si="36"/>
        <v>#DIV/0!</v>
      </c>
    </row>
    <row r="116" spans="1:28" hidden="1" x14ac:dyDescent="0.15">
      <c r="A116">
        <f>+予定価格!A104</f>
        <v>0</v>
      </c>
      <c r="B116" s="258">
        <f>ROUND(予定価格!B104*査定表!$B$437,-D116)+E116</f>
        <v>0</v>
      </c>
      <c r="C116" s="258"/>
      <c r="D116" s="45">
        <f t="shared" si="25"/>
        <v>4</v>
      </c>
      <c r="E116" s="46">
        <f t="shared" si="21"/>
        <v>0</v>
      </c>
      <c r="F116" s="258">
        <f>IF($F$12=0,0,IF(予定価格!$G$427=0,ROUND(予定価格!H104*(入力表!$F$12/予定価格!$H$431),-H116),ROUND((予定価格!G104*(入力表!$F$12-予定価格!$H$431)/予定価格!$G$431)+予定価格!H104,-H116)))+I116</f>
        <v>0</v>
      </c>
      <c r="G116" s="258"/>
      <c r="H116" s="47">
        <f t="shared" si="26"/>
        <v>4</v>
      </c>
      <c r="I116" s="48">
        <f t="shared" si="22"/>
        <v>0</v>
      </c>
      <c r="J116" s="116">
        <f t="shared" si="23"/>
        <v>0</v>
      </c>
      <c r="K116" s="19">
        <f t="shared" si="24"/>
        <v>0</v>
      </c>
      <c r="L116" s="50"/>
      <c r="M116" s="13">
        <f>ROUND(予定価格!B104*査定表!$B$437,-$F$14)</f>
        <v>0</v>
      </c>
      <c r="N116">
        <f>IF(M116=0,1,M116/予定価格!B104)</f>
        <v>1</v>
      </c>
      <c r="O116">
        <f t="shared" si="27"/>
        <v>21</v>
      </c>
      <c r="P116">
        <f t="shared" si="28"/>
        <v>0</v>
      </c>
      <c r="Q116">
        <f>IF(M116=0,0,M116/予定価格!B104)</f>
        <v>0</v>
      </c>
      <c r="R116">
        <f t="shared" si="29"/>
        <v>21</v>
      </c>
      <c r="S116">
        <f t="shared" si="30"/>
        <v>0</v>
      </c>
      <c r="T116" s="13">
        <f t="shared" si="31"/>
        <v>0</v>
      </c>
      <c r="U116" s="13" t="e">
        <f>IF(予定価格!$G$427=0,ROUND(予定価格!H104*(入力表!$F$12/予定価格!$H$431),-$F$14),ROUND((予定価格!G104*(入力表!$F$12-予定価格!$H$431)/予定価格!$G$431)+予定価格!H104,-$F$14))</f>
        <v>#DIV/0!</v>
      </c>
      <c r="V116" t="e">
        <f>IF(U116=0,1,IF(予定価格!O104=0,1,(U116-予定価格!P104)/予定価格!O104))</f>
        <v>#DIV/0!</v>
      </c>
      <c r="W116" t="e">
        <f t="shared" si="32"/>
        <v>#DIV/0!</v>
      </c>
      <c r="X116" t="e">
        <f t="shared" si="33"/>
        <v>#DIV/0!</v>
      </c>
      <c r="Y116" t="e">
        <f>IF(U116=0,0,IF(予定価格!G104=0,0,(U116-予定価格!H104)/予定価格!G104))</f>
        <v>#DIV/0!</v>
      </c>
      <c r="Z116" t="e">
        <f t="shared" si="34"/>
        <v>#DIV/0!</v>
      </c>
      <c r="AA116" t="e">
        <f t="shared" si="35"/>
        <v>#DIV/0!</v>
      </c>
      <c r="AB116" s="13" t="e">
        <f t="shared" si="36"/>
        <v>#DIV/0!</v>
      </c>
    </row>
    <row r="117" spans="1:28" hidden="1" x14ac:dyDescent="0.15">
      <c r="A117">
        <f>+予定価格!A105</f>
        <v>0</v>
      </c>
      <c r="B117" s="258">
        <f>ROUND(予定価格!B105*査定表!$B$437,-D117)+E117</f>
        <v>0</v>
      </c>
      <c r="C117" s="258"/>
      <c r="D117" s="45">
        <f t="shared" si="25"/>
        <v>4</v>
      </c>
      <c r="E117" s="46">
        <f t="shared" si="21"/>
        <v>0</v>
      </c>
      <c r="F117" s="258">
        <f>IF($F$12=0,0,IF(予定価格!$G$427=0,ROUND(予定価格!H105*(入力表!$F$12/予定価格!$H$431),-H117),ROUND((予定価格!G105*(入力表!$F$12-予定価格!$H$431)/予定価格!$G$431)+予定価格!H105,-H117)))+I117</f>
        <v>0</v>
      </c>
      <c r="G117" s="258"/>
      <c r="H117" s="47">
        <f t="shared" si="26"/>
        <v>4</v>
      </c>
      <c r="I117" s="48">
        <f t="shared" si="22"/>
        <v>0</v>
      </c>
      <c r="J117" s="116">
        <f t="shared" si="23"/>
        <v>0</v>
      </c>
      <c r="K117" s="19">
        <f t="shared" si="24"/>
        <v>0</v>
      </c>
      <c r="L117" s="50"/>
      <c r="M117" s="13">
        <f>ROUND(予定価格!B105*査定表!$B$437,-$F$14)</f>
        <v>0</v>
      </c>
      <c r="N117">
        <f>IF(M117=0,1,M117/予定価格!B105)</f>
        <v>1</v>
      </c>
      <c r="O117">
        <f t="shared" si="27"/>
        <v>21</v>
      </c>
      <c r="P117">
        <f t="shared" si="28"/>
        <v>0</v>
      </c>
      <c r="Q117">
        <f>IF(M117=0,0,M117/予定価格!B105)</f>
        <v>0</v>
      </c>
      <c r="R117">
        <f t="shared" si="29"/>
        <v>21</v>
      </c>
      <c r="S117">
        <f t="shared" si="30"/>
        <v>0</v>
      </c>
      <c r="T117" s="13">
        <f t="shared" si="31"/>
        <v>0</v>
      </c>
      <c r="U117" s="13" t="e">
        <f>IF(予定価格!$G$427=0,ROUND(予定価格!H105*(入力表!$F$12/予定価格!$H$431),-$F$14),ROUND((予定価格!G105*(入力表!$F$12-予定価格!$H$431)/予定価格!$G$431)+予定価格!H105,-$F$14))</f>
        <v>#DIV/0!</v>
      </c>
      <c r="V117" t="e">
        <f>IF(U117=0,1,IF(予定価格!O105=0,1,(U117-予定価格!P105)/予定価格!O105))</f>
        <v>#DIV/0!</v>
      </c>
      <c r="W117" t="e">
        <f t="shared" si="32"/>
        <v>#DIV/0!</v>
      </c>
      <c r="X117" t="e">
        <f t="shared" si="33"/>
        <v>#DIV/0!</v>
      </c>
      <c r="Y117" t="e">
        <f>IF(U117=0,0,IF(予定価格!G105=0,0,(U117-予定価格!H105)/予定価格!G105))</f>
        <v>#DIV/0!</v>
      </c>
      <c r="Z117" t="e">
        <f t="shared" si="34"/>
        <v>#DIV/0!</v>
      </c>
      <c r="AA117" t="e">
        <f t="shared" si="35"/>
        <v>#DIV/0!</v>
      </c>
      <c r="AB117" s="13" t="e">
        <f t="shared" si="36"/>
        <v>#DIV/0!</v>
      </c>
    </row>
    <row r="118" spans="1:28" hidden="1" x14ac:dyDescent="0.15">
      <c r="A118">
        <f>+予定価格!A106</f>
        <v>0</v>
      </c>
      <c r="B118" s="258">
        <f>ROUND(予定価格!B106*査定表!$B$437,-D118)+E118</f>
        <v>0</v>
      </c>
      <c r="C118" s="258"/>
      <c r="D118" s="45">
        <f t="shared" si="25"/>
        <v>4</v>
      </c>
      <c r="E118" s="46">
        <f t="shared" si="21"/>
        <v>0</v>
      </c>
      <c r="F118" s="258">
        <f>IF($F$12=0,0,IF(予定価格!$G$427=0,ROUND(予定価格!H106*(入力表!$F$12/予定価格!$H$431),-H118),ROUND((予定価格!G106*(入力表!$F$12-予定価格!$H$431)/予定価格!$G$431)+予定価格!H106,-H118)))+I118</f>
        <v>0</v>
      </c>
      <c r="G118" s="258"/>
      <c r="H118" s="47">
        <f t="shared" si="26"/>
        <v>4</v>
      </c>
      <c r="I118" s="48">
        <f t="shared" si="22"/>
        <v>0</v>
      </c>
      <c r="J118" s="116">
        <f t="shared" si="23"/>
        <v>0</v>
      </c>
      <c r="K118" s="19">
        <f t="shared" si="24"/>
        <v>0</v>
      </c>
      <c r="L118" s="50"/>
      <c r="M118" s="13">
        <f>ROUND(予定価格!B106*査定表!$B$437,-$F$14)</f>
        <v>0</v>
      </c>
      <c r="N118">
        <f>IF(M118=0,1,M118/予定価格!B106)</f>
        <v>1</v>
      </c>
      <c r="O118">
        <f t="shared" si="27"/>
        <v>21</v>
      </c>
      <c r="P118">
        <f t="shared" si="28"/>
        <v>0</v>
      </c>
      <c r="Q118">
        <f>IF(M118=0,0,M118/予定価格!B106)</f>
        <v>0</v>
      </c>
      <c r="R118">
        <f t="shared" si="29"/>
        <v>21</v>
      </c>
      <c r="S118">
        <f t="shared" si="30"/>
        <v>0</v>
      </c>
      <c r="T118" s="13">
        <f t="shared" si="31"/>
        <v>0</v>
      </c>
      <c r="U118" s="13" t="e">
        <f>IF(予定価格!$G$427=0,ROUND(予定価格!H106*(入力表!$F$12/予定価格!$H$431),-$F$14),ROUND((予定価格!G106*(入力表!$F$12-予定価格!$H$431)/予定価格!$G$431)+予定価格!H106,-$F$14))</f>
        <v>#DIV/0!</v>
      </c>
      <c r="V118" t="e">
        <f>IF(U118=0,1,IF(予定価格!O106=0,1,(U118-予定価格!P106)/予定価格!O106))</f>
        <v>#DIV/0!</v>
      </c>
      <c r="W118" t="e">
        <f t="shared" si="32"/>
        <v>#DIV/0!</v>
      </c>
      <c r="X118" t="e">
        <f t="shared" si="33"/>
        <v>#DIV/0!</v>
      </c>
      <c r="Y118" t="e">
        <f>IF(U118=0,0,IF(予定価格!G106=0,0,(U118-予定価格!H106)/予定価格!G106))</f>
        <v>#DIV/0!</v>
      </c>
      <c r="Z118" t="e">
        <f t="shared" si="34"/>
        <v>#DIV/0!</v>
      </c>
      <c r="AA118" t="e">
        <f t="shared" si="35"/>
        <v>#DIV/0!</v>
      </c>
      <c r="AB118" s="13" t="e">
        <f t="shared" si="36"/>
        <v>#DIV/0!</v>
      </c>
    </row>
    <row r="119" spans="1:28" hidden="1" x14ac:dyDescent="0.15">
      <c r="A119">
        <f>+予定価格!A107</f>
        <v>0</v>
      </c>
      <c r="B119" s="258">
        <f>ROUND(予定価格!B107*査定表!$B$437,-D119)+E119</f>
        <v>0</v>
      </c>
      <c r="C119" s="258"/>
      <c r="D119" s="45">
        <f t="shared" si="25"/>
        <v>4</v>
      </c>
      <c r="E119" s="46">
        <f t="shared" si="21"/>
        <v>0</v>
      </c>
      <c r="F119" s="258">
        <f>IF($F$12=0,0,IF(予定価格!$G$427=0,ROUND(予定価格!H107*(入力表!$F$12/予定価格!$H$431),-H119),ROUND((予定価格!G107*(入力表!$F$12-予定価格!$H$431)/予定価格!$G$431)+予定価格!H107,-H119)))+I119</f>
        <v>0</v>
      </c>
      <c r="G119" s="258"/>
      <c r="H119" s="47">
        <f t="shared" si="26"/>
        <v>4</v>
      </c>
      <c r="I119" s="48">
        <f t="shared" si="22"/>
        <v>0</v>
      </c>
      <c r="J119" s="116">
        <f t="shared" si="23"/>
        <v>0</v>
      </c>
      <c r="K119" s="19">
        <f t="shared" si="24"/>
        <v>0</v>
      </c>
      <c r="L119" s="50"/>
      <c r="M119" s="13">
        <f>ROUND(予定価格!B107*査定表!$B$437,-$F$14)</f>
        <v>0</v>
      </c>
      <c r="N119">
        <f>IF(M119=0,1,M119/予定価格!B107)</f>
        <v>1</v>
      </c>
      <c r="O119">
        <f t="shared" si="27"/>
        <v>21</v>
      </c>
      <c r="P119">
        <f t="shared" si="28"/>
        <v>0</v>
      </c>
      <c r="Q119">
        <f>IF(M119=0,0,M119/予定価格!B107)</f>
        <v>0</v>
      </c>
      <c r="R119">
        <f t="shared" si="29"/>
        <v>21</v>
      </c>
      <c r="S119">
        <f t="shared" si="30"/>
        <v>0</v>
      </c>
      <c r="T119" s="13">
        <f t="shared" si="31"/>
        <v>0</v>
      </c>
      <c r="U119" s="13" t="e">
        <f>IF(予定価格!$G$427=0,ROUND(予定価格!H107*(入力表!$F$12/予定価格!$H$431),-$F$14),ROUND((予定価格!G107*(入力表!$F$12-予定価格!$H$431)/予定価格!$G$431)+予定価格!H107,-$F$14))</f>
        <v>#DIV/0!</v>
      </c>
      <c r="V119" t="e">
        <f>IF(U119=0,1,IF(予定価格!O107=0,1,(U119-予定価格!P107)/予定価格!O107))</f>
        <v>#DIV/0!</v>
      </c>
      <c r="W119" t="e">
        <f t="shared" si="32"/>
        <v>#DIV/0!</v>
      </c>
      <c r="X119" t="e">
        <f t="shared" si="33"/>
        <v>#DIV/0!</v>
      </c>
      <c r="Y119" t="e">
        <f>IF(U119=0,0,IF(予定価格!G107=0,0,(U119-予定価格!H107)/予定価格!G107))</f>
        <v>#DIV/0!</v>
      </c>
      <c r="Z119" t="e">
        <f t="shared" si="34"/>
        <v>#DIV/0!</v>
      </c>
      <c r="AA119" t="e">
        <f t="shared" si="35"/>
        <v>#DIV/0!</v>
      </c>
      <c r="AB119" s="13" t="e">
        <f t="shared" si="36"/>
        <v>#DIV/0!</v>
      </c>
    </row>
    <row r="120" spans="1:28" hidden="1" x14ac:dyDescent="0.15">
      <c r="A120">
        <f>+予定価格!A108</f>
        <v>0</v>
      </c>
      <c r="B120" s="258">
        <f>ROUND(予定価格!B108*査定表!$B$437,-D120)+E120</f>
        <v>0</v>
      </c>
      <c r="C120" s="258"/>
      <c r="D120" s="45">
        <f t="shared" si="25"/>
        <v>4</v>
      </c>
      <c r="E120" s="46">
        <f t="shared" si="21"/>
        <v>0</v>
      </c>
      <c r="F120" s="258">
        <f>IF($F$12=0,0,IF(予定価格!$G$427=0,ROUND(予定価格!H108*(入力表!$F$12/予定価格!$H$431),-H120),ROUND((予定価格!G108*(入力表!$F$12-予定価格!$H$431)/予定価格!$G$431)+予定価格!H108,-H120)))+I120</f>
        <v>0</v>
      </c>
      <c r="G120" s="258"/>
      <c r="H120" s="47">
        <f t="shared" si="26"/>
        <v>4</v>
      </c>
      <c r="I120" s="48">
        <f t="shared" si="22"/>
        <v>0</v>
      </c>
      <c r="J120" s="116">
        <f t="shared" si="23"/>
        <v>0</v>
      </c>
      <c r="K120" s="19">
        <f t="shared" si="24"/>
        <v>0</v>
      </c>
      <c r="L120" s="50"/>
      <c r="M120" s="13">
        <f>ROUND(予定価格!B108*査定表!$B$437,-$F$14)</f>
        <v>0</v>
      </c>
      <c r="N120">
        <f>IF(M120=0,1,M120/予定価格!B108)</f>
        <v>1</v>
      </c>
      <c r="O120">
        <f t="shared" si="27"/>
        <v>21</v>
      </c>
      <c r="P120">
        <f t="shared" si="28"/>
        <v>0</v>
      </c>
      <c r="Q120">
        <f>IF(M120=0,0,M120/予定価格!B108)</f>
        <v>0</v>
      </c>
      <c r="R120">
        <f t="shared" si="29"/>
        <v>21</v>
      </c>
      <c r="S120">
        <f t="shared" si="30"/>
        <v>0</v>
      </c>
      <c r="T120" s="13">
        <f t="shared" si="31"/>
        <v>0</v>
      </c>
      <c r="U120" s="13" t="e">
        <f>IF(予定価格!$G$427=0,ROUND(予定価格!H108*(入力表!$F$12/予定価格!$H$431),-$F$14),ROUND((予定価格!G108*(入力表!$F$12-予定価格!$H$431)/予定価格!$G$431)+予定価格!H108,-$F$14))</f>
        <v>#DIV/0!</v>
      </c>
      <c r="V120" t="e">
        <f>IF(U120=0,1,IF(予定価格!O108=0,1,(U120-予定価格!P108)/予定価格!O108))</f>
        <v>#DIV/0!</v>
      </c>
      <c r="W120" t="e">
        <f t="shared" si="32"/>
        <v>#DIV/0!</v>
      </c>
      <c r="X120" t="e">
        <f t="shared" si="33"/>
        <v>#DIV/0!</v>
      </c>
      <c r="Y120" t="e">
        <f>IF(U120=0,0,IF(予定価格!G108=0,0,(U120-予定価格!H108)/予定価格!G108))</f>
        <v>#DIV/0!</v>
      </c>
      <c r="Z120" t="e">
        <f t="shared" si="34"/>
        <v>#DIV/0!</v>
      </c>
      <c r="AA120" t="e">
        <f t="shared" si="35"/>
        <v>#DIV/0!</v>
      </c>
      <c r="AB120" s="13" t="e">
        <f t="shared" si="36"/>
        <v>#DIV/0!</v>
      </c>
    </row>
    <row r="121" spans="1:28" hidden="1" x14ac:dyDescent="0.15">
      <c r="A121">
        <f>+予定価格!A109</f>
        <v>0</v>
      </c>
      <c r="B121" s="258">
        <f>ROUND(予定価格!B109*査定表!$B$437,-D121)+E121</f>
        <v>0</v>
      </c>
      <c r="C121" s="258"/>
      <c r="D121" s="45">
        <f t="shared" si="25"/>
        <v>4</v>
      </c>
      <c r="E121" s="46">
        <f t="shared" si="21"/>
        <v>0</v>
      </c>
      <c r="F121" s="258">
        <f>IF($F$12=0,0,IF(予定価格!$G$427=0,ROUND(予定価格!H109*(入力表!$F$12/予定価格!$H$431),-H121),ROUND((予定価格!G109*(入力表!$F$12-予定価格!$H$431)/予定価格!$G$431)+予定価格!H109,-H121)))+I121</f>
        <v>0</v>
      </c>
      <c r="G121" s="258"/>
      <c r="H121" s="47">
        <f t="shared" si="26"/>
        <v>4</v>
      </c>
      <c r="I121" s="48">
        <f t="shared" si="22"/>
        <v>0</v>
      </c>
      <c r="J121" s="116">
        <f t="shared" si="23"/>
        <v>0</v>
      </c>
      <c r="K121" s="19">
        <f t="shared" si="24"/>
        <v>0</v>
      </c>
      <c r="L121" s="50"/>
      <c r="M121" s="13">
        <f>ROUND(予定価格!B109*査定表!$B$437,-$F$14)</f>
        <v>0</v>
      </c>
      <c r="N121">
        <f>IF(M121=0,1,M121/予定価格!B109)</f>
        <v>1</v>
      </c>
      <c r="O121">
        <f t="shared" si="27"/>
        <v>21</v>
      </c>
      <c r="P121">
        <f t="shared" si="28"/>
        <v>0</v>
      </c>
      <c r="Q121">
        <f>IF(M121=0,0,M121/予定価格!B109)</f>
        <v>0</v>
      </c>
      <c r="R121">
        <f t="shared" si="29"/>
        <v>21</v>
      </c>
      <c r="S121">
        <f t="shared" si="30"/>
        <v>0</v>
      </c>
      <c r="T121" s="13">
        <f t="shared" si="31"/>
        <v>0</v>
      </c>
      <c r="U121" s="13" t="e">
        <f>IF(予定価格!$G$427=0,ROUND(予定価格!H109*(入力表!$F$12/予定価格!$H$431),-$F$14),ROUND((予定価格!G109*(入力表!$F$12-予定価格!$H$431)/予定価格!$G$431)+予定価格!H109,-$F$14))</f>
        <v>#DIV/0!</v>
      </c>
      <c r="V121" t="e">
        <f>IF(U121=0,1,IF(予定価格!O109=0,1,(U121-予定価格!P109)/予定価格!O109))</f>
        <v>#DIV/0!</v>
      </c>
      <c r="W121" t="e">
        <f t="shared" si="32"/>
        <v>#DIV/0!</v>
      </c>
      <c r="X121" t="e">
        <f t="shared" si="33"/>
        <v>#DIV/0!</v>
      </c>
      <c r="Y121" t="e">
        <f>IF(U121=0,0,IF(予定価格!G109=0,0,(U121-予定価格!H109)/予定価格!G109))</f>
        <v>#DIV/0!</v>
      </c>
      <c r="Z121" t="e">
        <f t="shared" si="34"/>
        <v>#DIV/0!</v>
      </c>
      <c r="AA121" t="e">
        <f t="shared" si="35"/>
        <v>#DIV/0!</v>
      </c>
      <c r="AB121" s="13" t="e">
        <f t="shared" si="36"/>
        <v>#DIV/0!</v>
      </c>
    </row>
    <row r="122" spans="1:28" hidden="1" x14ac:dyDescent="0.15">
      <c r="A122">
        <f>+予定価格!A110</f>
        <v>0</v>
      </c>
      <c r="B122" s="258">
        <f>ROUND(予定価格!B110*査定表!$B$437,-D122)+E122</f>
        <v>0</v>
      </c>
      <c r="C122" s="258"/>
      <c r="D122" s="45">
        <f t="shared" si="25"/>
        <v>4</v>
      </c>
      <c r="E122" s="46">
        <f t="shared" si="21"/>
        <v>0</v>
      </c>
      <c r="F122" s="258">
        <f>IF($F$12=0,0,IF(予定価格!$G$427=0,ROUND(予定価格!H110*(入力表!$F$12/予定価格!$H$431),-H122),ROUND((予定価格!G110*(入力表!$F$12-予定価格!$H$431)/予定価格!$G$431)+予定価格!H110,-H122)))+I122</f>
        <v>0</v>
      </c>
      <c r="G122" s="258"/>
      <c r="H122" s="47">
        <f t="shared" si="26"/>
        <v>4</v>
      </c>
      <c r="I122" s="48">
        <f t="shared" si="22"/>
        <v>0</v>
      </c>
      <c r="J122" s="116">
        <f t="shared" si="23"/>
        <v>0</v>
      </c>
      <c r="K122" s="19">
        <f t="shared" si="24"/>
        <v>0</v>
      </c>
      <c r="L122" s="50"/>
      <c r="M122" s="13">
        <f>ROUND(予定価格!B110*査定表!$B$437,-$F$14)</f>
        <v>0</v>
      </c>
      <c r="N122">
        <f>IF(M122=0,1,M122/予定価格!B110)</f>
        <v>1</v>
      </c>
      <c r="O122">
        <f t="shared" si="27"/>
        <v>21</v>
      </c>
      <c r="P122">
        <f t="shared" si="28"/>
        <v>0</v>
      </c>
      <c r="Q122">
        <f>IF(M122=0,0,M122/予定価格!B110)</f>
        <v>0</v>
      </c>
      <c r="R122">
        <f t="shared" si="29"/>
        <v>21</v>
      </c>
      <c r="S122">
        <f t="shared" si="30"/>
        <v>0</v>
      </c>
      <c r="T122" s="13">
        <f t="shared" si="31"/>
        <v>0</v>
      </c>
      <c r="U122" s="13" t="e">
        <f>IF(予定価格!$G$427=0,ROUND(予定価格!H110*(入力表!$F$12/予定価格!$H$431),-$F$14),ROUND((予定価格!G110*(入力表!$F$12-予定価格!$H$431)/予定価格!$G$431)+予定価格!H110,-$F$14))</f>
        <v>#DIV/0!</v>
      </c>
      <c r="V122" t="e">
        <f>IF(U122=0,1,IF(予定価格!O110=0,1,(U122-予定価格!P110)/予定価格!O110))</f>
        <v>#DIV/0!</v>
      </c>
      <c r="W122" t="e">
        <f t="shared" si="32"/>
        <v>#DIV/0!</v>
      </c>
      <c r="X122" t="e">
        <f t="shared" si="33"/>
        <v>#DIV/0!</v>
      </c>
      <c r="Y122" t="e">
        <f>IF(U122=0,0,IF(予定価格!G110=0,0,(U122-予定価格!H110)/予定価格!G110))</f>
        <v>#DIV/0!</v>
      </c>
      <c r="Z122" t="e">
        <f t="shared" si="34"/>
        <v>#DIV/0!</v>
      </c>
      <c r="AA122" t="e">
        <f t="shared" si="35"/>
        <v>#DIV/0!</v>
      </c>
      <c r="AB122" s="13" t="e">
        <f t="shared" si="36"/>
        <v>#DIV/0!</v>
      </c>
    </row>
    <row r="123" spans="1:28" hidden="1" x14ac:dyDescent="0.15">
      <c r="A123">
        <f>+予定価格!A111</f>
        <v>0</v>
      </c>
      <c r="B123" s="258">
        <f>ROUND(予定価格!B111*査定表!$B$437,-D123)+E123</f>
        <v>0</v>
      </c>
      <c r="C123" s="258"/>
      <c r="D123" s="45">
        <f t="shared" si="25"/>
        <v>4</v>
      </c>
      <c r="E123" s="46">
        <f t="shared" si="21"/>
        <v>0</v>
      </c>
      <c r="F123" s="258">
        <f>IF($F$12=0,0,IF(予定価格!$G$427=0,ROUND(予定価格!H111*(入力表!$F$12/予定価格!$H$431),-H123),ROUND((予定価格!G111*(入力表!$F$12-予定価格!$H$431)/予定価格!$G$431)+予定価格!H111,-H123)))+I123</f>
        <v>0</v>
      </c>
      <c r="G123" s="258"/>
      <c r="H123" s="47">
        <f t="shared" si="26"/>
        <v>4</v>
      </c>
      <c r="I123" s="48">
        <f t="shared" si="22"/>
        <v>0</v>
      </c>
      <c r="J123" s="116">
        <f t="shared" si="23"/>
        <v>0</v>
      </c>
      <c r="K123" s="19">
        <f t="shared" si="24"/>
        <v>0</v>
      </c>
      <c r="L123" s="50"/>
      <c r="M123" s="13">
        <f>ROUND(予定価格!B111*査定表!$B$437,-$F$14)</f>
        <v>0</v>
      </c>
      <c r="N123">
        <f>IF(M123=0,1,M123/予定価格!B111)</f>
        <v>1</v>
      </c>
      <c r="O123">
        <f t="shared" si="27"/>
        <v>21</v>
      </c>
      <c r="P123">
        <f t="shared" si="28"/>
        <v>0</v>
      </c>
      <c r="Q123">
        <f>IF(M123=0,0,M123/予定価格!B111)</f>
        <v>0</v>
      </c>
      <c r="R123">
        <f t="shared" si="29"/>
        <v>21</v>
      </c>
      <c r="S123">
        <f t="shared" si="30"/>
        <v>0</v>
      </c>
      <c r="T123" s="13">
        <f t="shared" si="31"/>
        <v>0</v>
      </c>
      <c r="U123" s="13" t="e">
        <f>IF(予定価格!$G$427=0,ROUND(予定価格!H111*(入力表!$F$12/予定価格!$H$431),-$F$14),ROUND((予定価格!G111*(入力表!$F$12-予定価格!$H$431)/予定価格!$G$431)+予定価格!H111,-$F$14))</f>
        <v>#DIV/0!</v>
      </c>
      <c r="V123" t="e">
        <f>IF(U123=0,1,IF(予定価格!O111=0,1,(U123-予定価格!P111)/予定価格!O111))</f>
        <v>#DIV/0!</v>
      </c>
      <c r="W123" t="e">
        <f t="shared" si="32"/>
        <v>#DIV/0!</v>
      </c>
      <c r="X123" t="e">
        <f t="shared" si="33"/>
        <v>#DIV/0!</v>
      </c>
      <c r="Y123" t="e">
        <f>IF(U123=0,0,IF(予定価格!G111=0,0,(U123-予定価格!H111)/予定価格!G111))</f>
        <v>#DIV/0!</v>
      </c>
      <c r="Z123" t="e">
        <f t="shared" si="34"/>
        <v>#DIV/0!</v>
      </c>
      <c r="AA123" t="e">
        <f t="shared" si="35"/>
        <v>#DIV/0!</v>
      </c>
      <c r="AB123" s="13" t="e">
        <f t="shared" si="36"/>
        <v>#DIV/0!</v>
      </c>
    </row>
    <row r="124" spans="1:28" hidden="1" x14ac:dyDescent="0.15">
      <c r="A124">
        <f>+予定価格!A112</f>
        <v>0</v>
      </c>
      <c r="B124" s="258">
        <f>ROUND(予定価格!B112*査定表!$B$437,-D124)+E124</f>
        <v>0</v>
      </c>
      <c r="C124" s="258"/>
      <c r="D124" s="45">
        <f t="shared" si="25"/>
        <v>4</v>
      </c>
      <c r="E124" s="46">
        <f t="shared" si="21"/>
        <v>0</v>
      </c>
      <c r="F124" s="258">
        <f>IF($F$12=0,0,IF(予定価格!$G$427=0,ROUND(予定価格!H112*(入力表!$F$12/予定価格!$H$431),-H124),ROUND((予定価格!G112*(入力表!$F$12-予定価格!$H$431)/予定価格!$G$431)+予定価格!H112,-H124)))+I124</f>
        <v>0</v>
      </c>
      <c r="G124" s="258"/>
      <c r="H124" s="47">
        <f t="shared" si="26"/>
        <v>4</v>
      </c>
      <c r="I124" s="48">
        <f t="shared" si="22"/>
        <v>0</v>
      </c>
      <c r="J124" s="116">
        <f t="shared" si="23"/>
        <v>0</v>
      </c>
      <c r="K124" s="19">
        <f t="shared" si="24"/>
        <v>0</v>
      </c>
      <c r="L124" s="50"/>
      <c r="M124" s="13">
        <f>ROUND(予定価格!B112*査定表!$B$437,-$F$14)</f>
        <v>0</v>
      </c>
      <c r="N124">
        <f>IF(M124=0,1,M124/予定価格!B112)</f>
        <v>1</v>
      </c>
      <c r="O124">
        <f t="shared" si="27"/>
        <v>21</v>
      </c>
      <c r="P124">
        <f t="shared" si="28"/>
        <v>0</v>
      </c>
      <c r="Q124">
        <f>IF(M124=0,0,M124/予定価格!B112)</f>
        <v>0</v>
      </c>
      <c r="R124">
        <f t="shared" si="29"/>
        <v>21</v>
      </c>
      <c r="S124">
        <f t="shared" si="30"/>
        <v>0</v>
      </c>
      <c r="T124" s="13">
        <f t="shared" si="31"/>
        <v>0</v>
      </c>
      <c r="U124" s="13" t="e">
        <f>IF(予定価格!$G$427=0,ROUND(予定価格!H112*(入力表!$F$12/予定価格!$H$431),-$F$14),ROUND((予定価格!G112*(入力表!$F$12-予定価格!$H$431)/予定価格!$G$431)+予定価格!H112,-$F$14))</f>
        <v>#DIV/0!</v>
      </c>
      <c r="V124" t="e">
        <f>IF(U124=0,1,IF(予定価格!O112=0,1,(U124-予定価格!P112)/予定価格!O112))</f>
        <v>#DIV/0!</v>
      </c>
      <c r="W124" t="e">
        <f t="shared" si="32"/>
        <v>#DIV/0!</v>
      </c>
      <c r="X124" t="e">
        <f t="shared" si="33"/>
        <v>#DIV/0!</v>
      </c>
      <c r="Y124" t="e">
        <f>IF(U124=0,0,IF(予定価格!G112=0,0,(U124-予定価格!H112)/予定価格!G112))</f>
        <v>#DIV/0!</v>
      </c>
      <c r="Z124" t="e">
        <f t="shared" si="34"/>
        <v>#DIV/0!</v>
      </c>
      <c r="AA124" t="e">
        <f t="shared" si="35"/>
        <v>#DIV/0!</v>
      </c>
      <c r="AB124" s="13" t="e">
        <f t="shared" si="36"/>
        <v>#DIV/0!</v>
      </c>
    </row>
    <row r="125" spans="1:28" hidden="1" x14ac:dyDescent="0.15">
      <c r="A125">
        <f>+予定価格!A113</f>
        <v>0</v>
      </c>
      <c r="B125" s="258">
        <f>ROUND(予定価格!B113*査定表!$B$437,-D125)+E125</f>
        <v>0</v>
      </c>
      <c r="C125" s="258"/>
      <c r="D125" s="45">
        <f t="shared" si="25"/>
        <v>4</v>
      </c>
      <c r="E125" s="46">
        <f t="shared" si="21"/>
        <v>0</v>
      </c>
      <c r="F125" s="258">
        <f>IF($F$12=0,0,IF(予定価格!$G$427=0,ROUND(予定価格!H113*(入力表!$F$12/予定価格!$H$431),-H125),ROUND((予定価格!G113*(入力表!$F$12-予定価格!$H$431)/予定価格!$G$431)+予定価格!H113,-H125)))+I125</f>
        <v>0</v>
      </c>
      <c r="G125" s="258"/>
      <c r="H125" s="47">
        <f t="shared" si="26"/>
        <v>4</v>
      </c>
      <c r="I125" s="48">
        <f t="shared" si="22"/>
        <v>0</v>
      </c>
      <c r="J125" s="116">
        <f t="shared" si="23"/>
        <v>0</v>
      </c>
      <c r="K125" s="19">
        <f t="shared" si="24"/>
        <v>0</v>
      </c>
      <c r="L125" s="50"/>
      <c r="M125" s="13">
        <f>ROUND(予定価格!B113*査定表!$B$437,-$F$14)</f>
        <v>0</v>
      </c>
      <c r="N125">
        <f>IF(M125=0,1,M125/予定価格!B113)</f>
        <v>1</v>
      </c>
      <c r="O125">
        <f t="shared" si="27"/>
        <v>21</v>
      </c>
      <c r="P125">
        <f t="shared" si="28"/>
        <v>0</v>
      </c>
      <c r="Q125">
        <f>IF(M125=0,0,M125/予定価格!B113)</f>
        <v>0</v>
      </c>
      <c r="R125">
        <f t="shared" si="29"/>
        <v>21</v>
      </c>
      <c r="S125">
        <f t="shared" si="30"/>
        <v>0</v>
      </c>
      <c r="T125" s="13">
        <f t="shared" si="31"/>
        <v>0</v>
      </c>
      <c r="U125" s="13" t="e">
        <f>IF(予定価格!$G$427=0,ROUND(予定価格!H113*(入力表!$F$12/予定価格!$H$431),-$F$14),ROUND((予定価格!G113*(入力表!$F$12-予定価格!$H$431)/予定価格!$G$431)+予定価格!H113,-$F$14))</f>
        <v>#DIV/0!</v>
      </c>
      <c r="V125" t="e">
        <f>IF(U125=0,1,IF(予定価格!O113=0,1,(U125-予定価格!P113)/予定価格!O113))</f>
        <v>#DIV/0!</v>
      </c>
      <c r="W125" t="e">
        <f t="shared" si="32"/>
        <v>#DIV/0!</v>
      </c>
      <c r="X125" t="e">
        <f t="shared" si="33"/>
        <v>#DIV/0!</v>
      </c>
      <c r="Y125" t="e">
        <f>IF(U125=0,0,IF(予定価格!G113=0,0,(U125-予定価格!H113)/予定価格!G113))</f>
        <v>#DIV/0!</v>
      </c>
      <c r="Z125" t="e">
        <f t="shared" si="34"/>
        <v>#DIV/0!</v>
      </c>
      <c r="AA125" t="e">
        <f t="shared" si="35"/>
        <v>#DIV/0!</v>
      </c>
      <c r="AB125" s="13" t="e">
        <f t="shared" si="36"/>
        <v>#DIV/0!</v>
      </c>
    </row>
    <row r="126" spans="1:28" hidden="1" x14ac:dyDescent="0.15">
      <c r="A126">
        <f>+予定価格!A114</f>
        <v>0</v>
      </c>
      <c r="B126" s="258">
        <f>ROUND(予定価格!B114*査定表!$B$437,-D126)+E126</f>
        <v>0</v>
      </c>
      <c r="C126" s="258"/>
      <c r="D126" s="45">
        <f t="shared" si="25"/>
        <v>4</v>
      </c>
      <c r="E126" s="46">
        <f t="shared" si="21"/>
        <v>0</v>
      </c>
      <c r="F126" s="258">
        <f>IF($F$12=0,0,IF(予定価格!$G$427=0,ROUND(予定価格!H114*(入力表!$F$12/予定価格!$H$431),-H126),ROUND((予定価格!G114*(入力表!$F$12-予定価格!$H$431)/予定価格!$G$431)+予定価格!H114,-H126)))+I126</f>
        <v>0</v>
      </c>
      <c r="G126" s="258"/>
      <c r="H126" s="47">
        <f t="shared" si="26"/>
        <v>4</v>
      </c>
      <c r="I126" s="48">
        <f t="shared" si="22"/>
        <v>0</v>
      </c>
      <c r="J126" s="116">
        <f t="shared" si="23"/>
        <v>0</v>
      </c>
      <c r="K126" s="19">
        <f t="shared" si="24"/>
        <v>0</v>
      </c>
      <c r="L126" s="50"/>
      <c r="M126" s="13">
        <f>ROUND(予定価格!B114*査定表!$B$437,-$F$14)</f>
        <v>0</v>
      </c>
      <c r="N126">
        <f>IF(M126=0,1,M126/予定価格!B114)</f>
        <v>1</v>
      </c>
      <c r="O126">
        <f t="shared" si="27"/>
        <v>21</v>
      </c>
      <c r="P126">
        <f t="shared" si="28"/>
        <v>0</v>
      </c>
      <c r="Q126">
        <f>IF(M126=0,0,M126/予定価格!B114)</f>
        <v>0</v>
      </c>
      <c r="R126">
        <f t="shared" si="29"/>
        <v>21</v>
      </c>
      <c r="S126">
        <f t="shared" si="30"/>
        <v>0</v>
      </c>
      <c r="T126" s="13">
        <f t="shared" si="31"/>
        <v>0</v>
      </c>
      <c r="U126" s="13" t="e">
        <f>IF(予定価格!$G$427=0,ROUND(予定価格!H114*(入力表!$F$12/予定価格!$H$431),-$F$14),ROUND((予定価格!G114*(入力表!$F$12-予定価格!$H$431)/予定価格!$G$431)+予定価格!H114,-$F$14))</f>
        <v>#DIV/0!</v>
      </c>
      <c r="V126" t="e">
        <f>IF(U126=0,1,IF(予定価格!O114=0,1,(U126-予定価格!P114)/予定価格!O114))</f>
        <v>#DIV/0!</v>
      </c>
      <c r="W126" t="e">
        <f t="shared" si="32"/>
        <v>#DIV/0!</v>
      </c>
      <c r="X126" t="e">
        <f t="shared" si="33"/>
        <v>#DIV/0!</v>
      </c>
      <c r="Y126" t="e">
        <f>IF(U126=0,0,IF(予定価格!G114=0,0,(U126-予定価格!H114)/予定価格!G114))</f>
        <v>#DIV/0!</v>
      </c>
      <c r="Z126" t="e">
        <f t="shared" si="34"/>
        <v>#DIV/0!</v>
      </c>
      <c r="AA126" t="e">
        <f t="shared" si="35"/>
        <v>#DIV/0!</v>
      </c>
      <c r="AB126" s="13" t="e">
        <f t="shared" si="36"/>
        <v>#DIV/0!</v>
      </c>
    </row>
    <row r="127" spans="1:28" hidden="1" x14ac:dyDescent="0.15">
      <c r="A127">
        <f>+予定価格!A115</f>
        <v>0</v>
      </c>
      <c r="B127" s="258">
        <f>ROUND(予定価格!B115*査定表!$B$437,-D127)+E127</f>
        <v>0</v>
      </c>
      <c r="C127" s="258"/>
      <c r="D127" s="45">
        <f t="shared" si="25"/>
        <v>4</v>
      </c>
      <c r="E127" s="46">
        <f t="shared" si="21"/>
        <v>0</v>
      </c>
      <c r="F127" s="258">
        <f>IF($F$12=0,0,IF(予定価格!$G$427=0,ROUND(予定価格!H115*(入力表!$F$12/予定価格!$H$431),-H127),ROUND((予定価格!G115*(入力表!$F$12-予定価格!$H$431)/予定価格!$G$431)+予定価格!H115,-H127)))+I127</f>
        <v>0</v>
      </c>
      <c r="G127" s="258"/>
      <c r="H127" s="47">
        <f t="shared" si="26"/>
        <v>4</v>
      </c>
      <c r="I127" s="48">
        <f t="shared" si="22"/>
        <v>0</v>
      </c>
      <c r="J127" s="116">
        <f t="shared" si="23"/>
        <v>0</v>
      </c>
      <c r="K127" s="19">
        <f t="shared" si="24"/>
        <v>0</v>
      </c>
      <c r="L127" s="50"/>
      <c r="M127" s="13">
        <f>ROUND(予定価格!B115*査定表!$B$437,-$F$14)</f>
        <v>0</v>
      </c>
      <c r="N127">
        <f>IF(M127=0,1,M127/予定価格!B115)</f>
        <v>1</v>
      </c>
      <c r="O127">
        <f t="shared" si="27"/>
        <v>21</v>
      </c>
      <c r="P127">
        <f t="shared" si="28"/>
        <v>0</v>
      </c>
      <c r="Q127">
        <f>IF(M127=0,0,M127/予定価格!B115)</f>
        <v>0</v>
      </c>
      <c r="R127">
        <f t="shared" si="29"/>
        <v>21</v>
      </c>
      <c r="S127">
        <f t="shared" si="30"/>
        <v>0</v>
      </c>
      <c r="T127" s="13">
        <f t="shared" si="31"/>
        <v>0</v>
      </c>
      <c r="U127" s="13" t="e">
        <f>IF(予定価格!$G$427=0,ROUND(予定価格!H115*(入力表!$F$12/予定価格!$H$431),-$F$14),ROUND((予定価格!G115*(入力表!$F$12-予定価格!$H$431)/予定価格!$G$431)+予定価格!H115,-$F$14))</f>
        <v>#DIV/0!</v>
      </c>
      <c r="V127" t="e">
        <f>IF(U127=0,1,IF(予定価格!O115=0,1,(U127-予定価格!P115)/予定価格!O115))</f>
        <v>#DIV/0!</v>
      </c>
      <c r="W127" t="e">
        <f t="shared" si="32"/>
        <v>#DIV/0!</v>
      </c>
      <c r="X127" t="e">
        <f t="shared" si="33"/>
        <v>#DIV/0!</v>
      </c>
      <c r="Y127" t="e">
        <f>IF(U127=0,0,IF(予定価格!G115=0,0,(U127-予定価格!H115)/予定価格!G115))</f>
        <v>#DIV/0!</v>
      </c>
      <c r="Z127" t="e">
        <f t="shared" si="34"/>
        <v>#DIV/0!</v>
      </c>
      <c r="AA127" t="e">
        <f t="shared" si="35"/>
        <v>#DIV/0!</v>
      </c>
      <c r="AB127" s="13" t="e">
        <f t="shared" si="36"/>
        <v>#DIV/0!</v>
      </c>
    </row>
    <row r="128" spans="1:28" hidden="1" x14ac:dyDescent="0.15">
      <c r="A128">
        <f>+予定価格!A116</f>
        <v>0</v>
      </c>
      <c r="B128" s="258">
        <f>ROUND(予定価格!B116*査定表!$B$437,-D128)+E128</f>
        <v>0</v>
      </c>
      <c r="C128" s="258"/>
      <c r="D128" s="45">
        <f t="shared" si="25"/>
        <v>4</v>
      </c>
      <c r="E128" s="46">
        <f t="shared" si="21"/>
        <v>0</v>
      </c>
      <c r="F128" s="258">
        <f>IF($F$12=0,0,IF(予定価格!$G$427=0,ROUND(予定価格!H116*(入力表!$F$12/予定価格!$H$431),-H128),ROUND((予定価格!G116*(入力表!$F$12-予定価格!$H$431)/予定価格!$G$431)+予定価格!H116,-H128)))+I128</f>
        <v>0</v>
      </c>
      <c r="G128" s="258"/>
      <c r="H128" s="47">
        <f t="shared" si="26"/>
        <v>4</v>
      </c>
      <c r="I128" s="48">
        <f t="shared" si="22"/>
        <v>0</v>
      </c>
      <c r="J128" s="116">
        <f t="shared" si="23"/>
        <v>0</v>
      </c>
      <c r="K128" s="19">
        <f t="shared" si="24"/>
        <v>0</v>
      </c>
      <c r="L128" s="50"/>
      <c r="M128" s="13">
        <f>ROUND(予定価格!B116*査定表!$B$437,-$F$14)</f>
        <v>0</v>
      </c>
      <c r="N128">
        <f>IF(M128=0,1,M128/予定価格!B116)</f>
        <v>1</v>
      </c>
      <c r="O128">
        <f t="shared" si="27"/>
        <v>21</v>
      </c>
      <c r="P128">
        <f t="shared" si="28"/>
        <v>0</v>
      </c>
      <c r="Q128">
        <f>IF(M128=0,0,M128/予定価格!B116)</f>
        <v>0</v>
      </c>
      <c r="R128">
        <f t="shared" si="29"/>
        <v>21</v>
      </c>
      <c r="S128">
        <f t="shared" si="30"/>
        <v>0</v>
      </c>
      <c r="T128" s="13">
        <f t="shared" si="31"/>
        <v>0</v>
      </c>
      <c r="U128" s="13" t="e">
        <f>IF(予定価格!$G$427=0,ROUND(予定価格!H116*(入力表!$F$12/予定価格!$H$431),-$F$14),ROUND((予定価格!G116*(入力表!$F$12-予定価格!$H$431)/予定価格!$G$431)+予定価格!H116,-$F$14))</f>
        <v>#DIV/0!</v>
      </c>
      <c r="V128" t="e">
        <f>IF(U128=0,1,IF(予定価格!O116=0,1,(U128-予定価格!P116)/予定価格!O116))</f>
        <v>#DIV/0!</v>
      </c>
      <c r="W128" t="e">
        <f t="shared" si="32"/>
        <v>#DIV/0!</v>
      </c>
      <c r="X128" t="e">
        <f t="shared" si="33"/>
        <v>#DIV/0!</v>
      </c>
      <c r="Y128" t="e">
        <f>IF(U128=0,0,IF(予定価格!G116=0,0,(U128-予定価格!H116)/予定価格!G116))</f>
        <v>#DIV/0!</v>
      </c>
      <c r="Z128" t="e">
        <f t="shared" si="34"/>
        <v>#DIV/0!</v>
      </c>
      <c r="AA128" t="e">
        <f t="shared" si="35"/>
        <v>#DIV/0!</v>
      </c>
      <c r="AB128" s="13" t="e">
        <f t="shared" si="36"/>
        <v>#DIV/0!</v>
      </c>
    </row>
    <row r="129" spans="1:28" hidden="1" x14ac:dyDescent="0.15">
      <c r="A129">
        <f>+予定価格!A117</f>
        <v>0</v>
      </c>
      <c r="B129" s="258">
        <f>ROUND(予定価格!B117*査定表!$B$437,-D129)+E129</f>
        <v>0</v>
      </c>
      <c r="C129" s="258"/>
      <c r="D129" s="45">
        <f t="shared" si="25"/>
        <v>4</v>
      </c>
      <c r="E129" s="46">
        <f t="shared" si="21"/>
        <v>0</v>
      </c>
      <c r="F129" s="258">
        <f>IF($F$12=0,0,IF(予定価格!$G$427=0,ROUND(予定価格!H117*(入力表!$F$12/予定価格!$H$431),-H129),ROUND((予定価格!G117*(入力表!$F$12-予定価格!$H$431)/予定価格!$G$431)+予定価格!H117,-H129)))+I129</f>
        <v>0</v>
      </c>
      <c r="G129" s="258"/>
      <c r="H129" s="47">
        <f t="shared" si="26"/>
        <v>4</v>
      </c>
      <c r="I129" s="48">
        <f t="shared" si="22"/>
        <v>0</v>
      </c>
      <c r="J129" s="116">
        <f t="shared" si="23"/>
        <v>0</v>
      </c>
      <c r="K129" s="19">
        <f t="shared" si="24"/>
        <v>0</v>
      </c>
      <c r="L129" s="50"/>
      <c r="M129" s="13">
        <f>ROUND(予定価格!B117*査定表!$B$437,-$F$14)</f>
        <v>0</v>
      </c>
      <c r="N129">
        <f>IF(M129=0,1,M129/予定価格!B117)</f>
        <v>1</v>
      </c>
      <c r="O129">
        <f t="shared" si="27"/>
        <v>21</v>
      </c>
      <c r="P129">
        <f t="shared" si="28"/>
        <v>0</v>
      </c>
      <c r="Q129">
        <f>IF(M129=0,0,M129/予定価格!B117)</f>
        <v>0</v>
      </c>
      <c r="R129">
        <f t="shared" si="29"/>
        <v>21</v>
      </c>
      <c r="S129">
        <f t="shared" si="30"/>
        <v>0</v>
      </c>
      <c r="T129" s="13">
        <f t="shared" si="31"/>
        <v>0</v>
      </c>
      <c r="U129" s="13" t="e">
        <f>IF(予定価格!$G$427=0,ROUND(予定価格!H117*(入力表!$F$12/予定価格!$H$431),-$F$14),ROUND((予定価格!G117*(入力表!$F$12-予定価格!$H$431)/予定価格!$G$431)+予定価格!H117,-$F$14))</f>
        <v>#DIV/0!</v>
      </c>
      <c r="V129" t="e">
        <f>IF(U129=0,1,IF(予定価格!O117=0,1,(U129-予定価格!P117)/予定価格!O117))</f>
        <v>#DIV/0!</v>
      </c>
      <c r="W129" t="e">
        <f t="shared" si="32"/>
        <v>#DIV/0!</v>
      </c>
      <c r="X129" t="e">
        <f t="shared" si="33"/>
        <v>#DIV/0!</v>
      </c>
      <c r="Y129" t="e">
        <f>IF(U129=0,0,IF(予定価格!G117=0,0,(U129-予定価格!H117)/予定価格!G117))</f>
        <v>#DIV/0!</v>
      </c>
      <c r="Z129" t="e">
        <f t="shared" si="34"/>
        <v>#DIV/0!</v>
      </c>
      <c r="AA129" t="e">
        <f t="shared" si="35"/>
        <v>#DIV/0!</v>
      </c>
      <c r="AB129" s="13" t="e">
        <f t="shared" si="36"/>
        <v>#DIV/0!</v>
      </c>
    </row>
    <row r="130" spans="1:28" hidden="1" x14ac:dyDescent="0.15">
      <c r="A130">
        <f>+予定価格!A118</f>
        <v>0</v>
      </c>
      <c r="B130" s="258">
        <f>ROUND(予定価格!B118*査定表!$B$437,-D130)+E130</f>
        <v>0</v>
      </c>
      <c r="C130" s="258"/>
      <c r="D130" s="45">
        <f t="shared" si="25"/>
        <v>4</v>
      </c>
      <c r="E130" s="46">
        <f t="shared" si="21"/>
        <v>0</v>
      </c>
      <c r="F130" s="258">
        <f>IF($F$12=0,0,IF(予定価格!$G$427=0,ROUND(予定価格!H118*(入力表!$F$12/予定価格!$H$431),-H130),ROUND((予定価格!G118*(入力表!$F$12-予定価格!$H$431)/予定価格!$G$431)+予定価格!H118,-H130)))+I130</f>
        <v>0</v>
      </c>
      <c r="G130" s="258"/>
      <c r="H130" s="47">
        <f t="shared" si="26"/>
        <v>4</v>
      </c>
      <c r="I130" s="48">
        <f t="shared" si="22"/>
        <v>0</v>
      </c>
      <c r="J130" s="116">
        <f t="shared" si="23"/>
        <v>0</v>
      </c>
      <c r="K130" s="19">
        <f t="shared" si="24"/>
        <v>0</v>
      </c>
      <c r="L130" s="50"/>
      <c r="M130" s="13">
        <f>ROUND(予定価格!B118*査定表!$B$437,-$F$14)</f>
        <v>0</v>
      </c>
      <c r="N130">
        <f>IF(M130=0,1,M130/予定価格!B118)</f>
        <v>1</v>
      </c>
      <c r="O130">
        <f t="shared" si="27"/>
        <v>21</v>
      </c>
      <c r="P130">
        <f t="shared" si="28"/>
        <v>0</v>
      </c>
      <c r="Q130">
        <f>IF(M130=0,0,M130/予定価格!B118)</f>
        <v>0</v>
      </c>
      <c r="R130">
        <f t="shared" si="29"/>
        <v>21</v>
      </c>
      <c r="S130">
        <f t="shared" si="30"/>
        <v>0</v>
      </c>
      <c r="T130" s="13">
        <f t="shared" si="31"/>
        <v>0</v>
      </c>
      <c r="U130" s="13" t="e">
        <f>IF(予定価格!$G$427=0,ROUND(予定価格!H118*(入力表!$F$12/予定価格!$H$431),-$F$14),ROUND((予定価格!G118*(入力表!$F$12-予定価格!$H$431)/予定価格!$G$431)+予定価格!H118,-$F$14))</f>
        <v>#DIV/0!</v>
      </c>
      <c r="V130" t="e">
        <f>IF(U130=0,1,IF(予定価格!O118=0,1,(U130-予定価格!P118)/予定価格!O118))</f>
        <v>#DIV/0!</v>
      </c>
      <c r="W130" t="e">
        <f t="shared" si="32"/>
        <v>#DIV/0!</v>
      </c>
      <c r="X130" t="e">
        <f t="shared" si="33"/>
        <v>#DIV/0!</v>
      </c>
      <c r="Y130" t="e">
        <f>IF(U130=0,0,IF(予定価格!G118=0,0,(U130-予定価格!H118)/予定価格!G118))</f>
        <v>#DIV/0!</v>
      </c>
      <c r="Z130" t="e">
        <f t="shared" si="34"/>
        <v>#DIV/0!</v>
      </c>
      <c r="AA130" t="e">
        <f t="shared" si="35"/>
        <v>#DIV/0!</v>
      </c>
      <c r="AB130" s="13" t="e">
        <f t="shared" si="36"/>
        <v>#DIV/0!</v>
      </c>
    </row>
    <row r="131" spans="1:28" hidden="1" x14ac:dyDescent="0.15">
      <c r="A131">
        <f>+予定価格!A119</f>
        <v>0</v>
      </c>
      <c r="B131" s="258">
        <f>ROUND(予定価格!B119*査定表!$B$437,-D131)+E131</f>
        <v>0</v>
      </c>
      <c r="C131" s="258"/>
      <c r="D131" s="45">
        <f t="shared" si="25"/>
        <v>4</v>
      </c>
      <c r="E131" s="46">
        <f t="shared" si="21"/>
        <v>0</v>
      </c>
      <c r="F131" s="258">
        <f>IF($F$12=0,0,IF(予定価格!$G$427=0,ROUND(予定価格!H119*(入力表!$F$12/予定価格!$H$431),-H131),ROUND((予定価格!G119*(入力表!$F$12-予定価格!$H$431)/予定価格!$G$431)+予定価格!H119,-H131)))+I131</f>
        <v>0</v>
      </c>
      <c r="G131" s="258"/>
      <c r="H131" s="47">
        <f t="shared" si="26"/>
        <v>4</v>
      </c>
      <c r="I131" s="48">
        <f t="shared" si="22"/>
        <v>0</v>
      </c>
      <c r="J131" s="116">
        <f t="shared" si="23"/>
        <v>0</v>
      </c>
      <c r="K131" s="19">
        <f t="shared" si="24"/>
        <v>0</v>
      </c>
      <c r="L131" s="50"/>
      <c r="M131" s="13">
        <f>ROUND(予定価格!B119*査定表!$B$437,-$F$14)</f>
        <v>0</v>
      </c>
      <c r="N131">
        <f>IF(M131=0,1,M131/予定価格!B119)</f>
        <v>1</v>
      </c>
      <c r="O131">
        <f t="shared" si="27"/>
        <v>21</v>
      </c>
      <c r="P131">
        <f t="shared" si="28"/>
        <v>0</v>
      </c>
      <c r="Q131">
        <f>IF(M131=0,0,M131/予定価格!B119)</f>
        <v>0</v>
      </c>
      <c r="R131">
        <f t="shared" si="29"/>
        <v>21</v>
      </c>
      <c r="S131">
        <f t="shared" si="30"/>
        <v>0</v>
      </c>
      <c r="T131" s="13">
        <f t="shared" si="31"/>
        <v>0</v>
      </c>
      <c r="U131" s="13" t="e">
        <f>IF(予定価格!$G$427=0,ROUND(予定価格!H119*(入力表!$F$12/予定価格!$H$431),-$F$14),ROUND((予定価格!G119*(入力表!$F$12-予定価格!$H$431)/予定価格!$G$431)+予定価格!H119,-$F$14))</f>
        <v>#DIV/0!</v>
      </c>
      <c r="V131" t="e">
        <f>IF(U131=0,1,IF(予定価格!O119=0,1,(U131-予定価格!P119)/予定価格!O119))</f>
        <v>#DIV/0!</v>
      </c>
      <c r="W131" t="e">
        <f t="shared" si="32"/>
        <v>#DIV/0!</v>
      </c>
      <c r="X131" t="e">
        <f t="shared" si="33"/>
        <v>#DIV/0!</v>
      </c>
      <c r="Y131" t="e">
        <f>IF(U131=0,0,IF(予定価格!G119=0,0,(U131-予定価格!H119)/予定価格!G119))</f>
        <v>#DIV/0!</v>
      </c>
      <c r="Z131" t="e">
        <f t="shared" si="34"/>
        <v>#DIV/0!</v>
      </c>
      <c r="AA131" t="e">
        <f t="shared" si="35"/>
        <v>#DIV/0!</v>
      </c>
      <c r="AB131" s="13" t="e">
        <f t="shared" si="36"/>
        <v>#DIV/0!</v>
      </c>
    </row>
    <row r="132" spans="1:28" hidden="1" x14ac:dyDescent="0.15">
      <c r="A132">
        <f>+予定価格!A120</f>
        <v>0</v>
      </c>
      <c r="B132" s="258">
        <f>ROUND(予定価格!B120*査定表!$B$437,-D132)+E132</f>
        <v>0</v>
      </c>
      <c r="C132" s="258"/>
      <c r="D132" s="45">
        <f t="shared" si="25"/>
        <v>4</v>
      </c>
      <c r="E132" s="46">
        <f t="shared" si="21"/>
        <v>0</v>
      </c>
      <c r="F132" s="258">
        <f>IF($F$12=0,0,IF(予定価格!$G$427=0,ROUND(予定価格!H120*(入力表!$F$12/予定価格!$H$431),-H132),ROUND((予定価格!G120*(入力表!$F$12-予定価格!$H$431)/予定価格!$G$431)+予定価格!H120,-H132)))+I132</f>
        <v>0</v>
      </c>
      <c r="G132" s="258"/>
      <c r="H132" s="47">
        <f t="shared" si="26"/>
        <v>4</v>
      </c>
      <c r="I132" s="48">
        <f t="shared" si="22"/>
        <v>0</v>
      </c>
      <c r="J132" s="116">
        <f t="shared" si="23"/>
        <v>0</v>
      </c>
      <c r="K132" s="19">
        <f t="shared" si="24"/>
        <v>0</v>
      </c>
      <c r="L132" s="50"/>
      <c r="M132" s="13">
        <f>ROUND(予定価格!B120*査定表!$B$437,-$F$14)</f>
        <v>0</v>
      </c>
      <c r="N132">
        <f>IF(M132=0,1,M132/予定価格!B120)</f>
        <v>1</v>
      </c>
      <c r="O132">
        <f t="shared" si="27"/>
        <v>21</v>
      </c>
      <c r="P132">
        <f t="shared" si="28"/>
        <v>0</v>
      </c>
      <c r="Q132">
        <f>IF(M132=0,0,M132/予定価格!B120)</f>
        <v>0</v>
      </c>
      <c r="R132">
        <f t="shared" si="29"/>
        <v>21</v>
      </c>
      <c r="S132">
        <f t="shared" si="30"/>
        <v>0</v>
      </c>
      <c r="T132" s="13">
        <f t="shared" si="31"/>
        <v>0</v>
      </c>
      <c r="U132" s="13" t="e">
        <f>IF(予定価格!$G$427=0,ROUND(予定価格!H120*(入力表!$F$12/予定価格!$H$431),-$F$14),ROUND((予定価格!G120*(入力表!$F$12-予定価格!$H$431)/予定価格!$G$431)+予定価格!H120,-$F$14))</f>
        <v>#DIV/0!</v>
      </c>
      <c r="V132" t="e">
        <f>IF(U132=0,1,IF(予定価格!O120=0,1,(U132-予定価格!P120)/予定価格!O120))</f>
        <v>#DIV/0!</v>
      </c>
      <c r="W132" t="e">
        <f t="shared" si="32"/>
        <v>#DIV/0!</v>
      </c>
      <c r="X132" t="e">
        <f t="shared" si="33"/>
        <v>#DIV/0!</v>
      </c>
      <c r="Y132" t="e">
        <f>IF(U132=0,0,IF(予定価格!G120=0,0,(U132-予定価格!H120)/予定価格!G120))</f>
        <v>#DIV/0!</v>
      </c>
      <c r="Z132" t="e">
        <f t="shared" si="34"/>
        <v>#DIV/0!</v>
      </c>
      <c r="AA132" t="e">
        <f t="shared" si="35"/>
        <v>#DIV/0!</v>
      </c>
      <c r="AB132" s="13" t="e">
        <f t="shared" si="36"/>
        <v>#DIV/0!</v>
      </c>
    </row>
    <row r="133" spans="1:28" hidden="1" x14ac:dyDescent="0.15">
      <c r="A133">
        <f>+予定価格!A121</f>
        <v>0</v>
      </c>
      <c r="B133" s="258">
        <f>ROUND(予定価格!B121*査定表!$B$437,-D133)+E133</f>
        <v>0</v>
      </c>
      <c r="C133" s="258"/>
      <c r="D133" s="45">
        <f t="shared" si="25"/>
        <v>4</v>
      </c>
      <c r="E133" s="46">
        <f t="shared" si="21"/>
        <v>0</v>
      </c>
      <c r="F133" s="258">
        <f>IF($F$12=0,0,IF(予定価格!$G$427=0,ROUND(予定価格!H121*(入力表!$F$12/予定価格!$H$431),-H133),ROUND((予定価格!G121*(入力表!$F$12-予定価格!$H$431)/予定価格!$G$431)+予定価格!H121,-H133)))+I133</f>
        <v>0</v>
      </c>
      <c r="G133" s="258"/>
      <c r="H133" s="47">
        <f t="shared" si="26"/>
        <v>4</v>
      </c>
      <c r="I133" s="48">
        <f t="shared" si="22"/>
        <v>0</v>
      </c>
      <c r="J133" s="116">
        <f t="shared" si="23"/>
        <v>0</v>
      </c>
      <c r="K133" s="19">
        <f t="shared" si="24"/>
        <v>0</v>
      </c>
      <c r="L133" s="50"/>
      <c r="M133" s="13">
        <f>ROUND(予定価格!B121*査定表!$B$437,-$F$14)</f>
        <v>0</v>
      </c>
      <c r="N133">
        <f>IF(M133=0,1,M133/予定価格!B121)</f>
        <v>1</v>
      </c>
      <c r="O133">
        <f t="shared" si="27"/>
        <v>21</v>
      </c>
      <c r="P133">
        <f t="shared" si="28"/>
        <v>0</v>
      </c>
      <c r="Q133">
        <f>IF(M133=0,0,M133/予定価格!B121)</f>
        <v>0</v>
      </c>
      <c r="R133">
        <f t="shared" si="29"/>
        <v>21</v>
      </c>
      <c r="S133">
        <f t="shared" si="30"/>
        <v>0</v>
      </c>
      <c r="T133" s="13">
        <f t="shared" si="31"/>
        <v>0</v>
      </c>
      <c r="U133" s="13" t="e">
        <f>IF(予定価格!$G$427=0,ROUND(予定価格!H121*(入力表!$F$12/予定価格!$H$431),-$F$14),ROUND((予定価格!G121*(入力表!$F$12-予定価格!$H$431)/予定価格!$G$431)+予定価格!H121,-$F$14))</f>
        <v>#DIV/0!</v>
      </c>
      <c r="V133" t="e">
        <f>IF(U133=0,1,IF(予定価格!O121=0,1,(U133-予定価格!P121)/予定価格!O121))</f>
        <v>#DIV/0!</v>
      </c>
      <c r="W133" t="e">
        <f t="shared" si="32"/>
        <v>#DIV/0!</v>
      </c>
      <c r="X133" t="e">
        <f t="shared" si="33"/>
        <v>#DIV/0!</v>
      </c>
      <c r="Y133" t="e">
        <f>IF(U133=0,0,IF(予定価格!G121=0,0,(U133-予定価格!H121)/予定価格!G121))</f>
        <v>#DIV/0!</v>
      </c>
      <c r="Z133" t="e">
        <f t="shared" si="34"/>
        <v>#DIV/0!</v>
      </c>
      <c r="AA133" t="e">
        <f t="shared" si="35"/>
        <v>#DIV/0!</v>
      </c>
      <c r="AB133" s="13" t="e">
        <f t="shared" si="36"/>
        <v>#DIV/0!</v>
      </c>
    </row>
    <row r="134" spans="1:28" hidden="1" x14ac:dyDescent="0.15">
      <c r="A134">
        <f>+予定価格!A122</f>
        <v>0</v>
      </c>
      <c r="B134" s="258">
        <f>ROUND(予定価格!B122*査定表!$B$437,-D134)+E134</f>
        <v>0</v>
      </c>
      <c r="C134" s="258"/>
      <c r="D134" s="45">
        <f t="shared" si="25"/>
        <v>4</v>
      </c>
      <c r="E134" s="46">
        <f t="shared" si="21"/>
        <v>0</v>
      </c>
      <c r="F134" s="258">
        <f>IF($F$12=0,0,IF(予定価格!$G$427=0,ROUND(予定価格!H122*(入力表!$F$12/予定価格!$H$431),-H134),ROUND((予定価格!G122*(入力表!$F$12-予定価格!$H$431)/予定価格!$G$431)+予定価格!H122,-H134)))+I134</f>
        <v>0</v>
      </c>
      <c r="G134" s="258"/>
      <c r="H134" s="47">
        <f t="shared" si="26"/>
        <v>4</v>
      </c>
      <c r="I134" s="48">
        <f t="shared" si="22"/>
        <v>0</v>
      </c>
      <c r="J134" s="116">
        <f t="shared" si="23"/>
        <v>0</v>
      </c>
      <c r="K134" s="19">
        <f t="shared" si="24"/>
        <v>0</v>
      </c>
      <c r="L134" s="50"/>
      <c r="M134" s="13">
        <f>ROUND(予定価格!B122*査定表!$B$437,-$F$14)</f>
        <v>0</v>
      </c>
      <c r="N134">
        <f>IF(M134=0,1,M134/予定価格!B122)</f>
        <v>1</v>
      </c>
      <c r="O134">
        <f t="shared" si="27"/>
        <v>21</v>
      </c>
      <c r="P134">
        <f t="shared" si="28"/>
        <v>0</v>
      </c>
      <c r="Q134">
        <f>IF(M134=0,0,M134/予定価格!B122)</f>
        <v>0</v>
      </c>
      <c r="R134">
        <f t="shared" si="29"/>
        <v>21</v>
      </c>
      <c r="S134">
        <f t="shared" si="30"/>
        <v>0</v>
      </c>
      <c r="T134" s="13">
        <f t="shared" si="31"/>
        <v>0</v>
      </c>
      <c r="U134" s="13" t="e">
        <f>IF(予定価格!$G$427=0,ROUND(予定価格!H122*(入力表!$F$12/予定価格!$H$431),-$F$14),ROUND((予定価格!G122*(入力表!$F$12-予定価格!$H$431)/予定価格!$G$431)+予定価格!H122,-$F$14))</f>
        <v>#DIV/0!</v>
      </c>
      <c r="V134" t="e">
        <f>IF(U134=0,1,IF(予定価格!O122=0,1,(U134-予定価格!P122)/予定価格!O122))</f>
        <v>#DIV/0!</v>
      </c>
      <c r="W134" t="e">
        <f t="shared" si="32"/>
        <v>#DIV/0!</v>
      </c>
      <c r="X134" t="e">
        <f t="shared" si="33"/>
        <v>#DIV/0!</v>
      </c>
      <c r="Y134" t="e">
        <f>IF(U134=0,0,IF(予定価格!G122=0,0,(U134-予定価格!H122)/予定価格!G122))</f>
        <v>#DIV/0!</v>
      </c>
      <c r="Z134" t="e">
        <f t="shared" si="34"/>
        <v>#DIV/0!</v>
      </c>
      <c r="AA134" t="e">
        <f t="shared" si="35"/>
        <v>#DIV/0!</v>
      </c>
      <c r="AB134" s="13" t="e">
        <f t="shared" si="36"/>
        <v>#DIV/0!</v>
      </c>
    </row>
    <row r="135" spans="1:28" hidden="1" x14ac:dyDescent="0.15">
      <c r="A135">
        <f>+予定価格!A123</f>
        <v>0</v>
      </c>
      <c r="B135" s="258">
        <f>ROUND(予定価格!B123*査定表!$B$437,-D135)+E135</f>
        <v>0</v>
      </c>
      <c r="C135" s="258"/>
      <c r="D135" s="45">
        <f t="shared" si="25"/>
        <v>4</v>
      </c>
      <c r="E135" s="46">
        <f t="shared" si="21"/>
        <v>0</v>
      </c>
      <c r="F135" s="258">
        <f>IF($F$12=0,0,IF(予定価格!$G$427=0,ROUND(予定価格!H123*(入力表!$F$12/予定価格!$H$431),-H135),ROUND((予定価格!G123*(入力表!$F$12-予定価格!$H$431)/予定価格!$G$431)+予定価格!H123,-H135)))+I135</f>
        <v>0</v>
      </c>
      <c r="G135" s="258"/>
      <c r="H135" s="47">
        <f t="shared" si="26"/>
        <v>4</v>
      </c>
      <c r="I135" s="48">
        <f t="shared" si="22"/>
        <v>0</v>
      </c>
      <c r="J135" s="116">
        <f t="shared" si="23"/>
        <v>0</v>
      </c>
      <c r="K135" s="19">
        <f t="shared" si="24"/>
        <v>0</v>
      </c>
      <c r="L135" s="50"/>
      <c r="M135" s="13">
        <f>ROUND(予定価格!B123*査定表!$B$437,-$F$14)</f>
        <v>0</v>
      </c>
      <c r="N135">
        <f>IF(M135=0,1,M135/予定価格!B123)</f>
        <v>1</v>
      </c>
      <c r="O135">
        <f t="shared" si="27"/>
        <v>21</v>
      </c>
      <c r="P135">
        <f t="shared" si="28"/>
        <v>0</v>
      </c>
      <c r="Q135">
        <f>IF(M135=0,0,M135/予定価格!B123)</f>
        <v>0</v>
      </c>
      <c r="R135">
        <f t="shared" si="29"/>
        <v>21</v>
      </c>
      <c r="S135">
        <f t="shared" si="30"/>
        <v>0</v>
      </c>
      <c r="T135" s="13">
        <f t="shared" si="31"/>
        <v>0</v>
      </c>
      <c r="U135" s="13" t="e">
        <f>IF(予定価格!$G$427=0,ROUND(予定価格!H123*(入力表!$F$12/予定価格!$H$431),-$F$14),ROUND((予定価格!G123*(入力表!$F$12-予定価格!$H$431)/予定価格!$G$431)+予定価格!H123,-$F$14))</f>
        <v>#DIV/0!</v>
      </c>
      <c r="V135" t="e">
        <f>IF(U135=0,1,IF(予定価格!O123=0,1,(U135-予定価格!P123)/予定価格!O123))</f>
        <v>#DIV/0!</v>
      </c>
      <c r="W135" t="e">
        <f t="shared" si="32"/>
        <v>#DIV/0!</v>
      </c>
      <c r="X135" t="e">
        <f t="shared" si="33"/>
        <v>#DIV/0!</v>
      </c>
      <c r="Y135" t="e">
        <f>IF(U135=0,0,IF(予定価格!G123=0,0,(U135-予定価格!H123)/予定価格!G123))</f>
        <v>#DIV/0!</v>
      </c>
      <c r="Z135" t="e">
        <f t="shared" si="34"/>
        <v>#DIV/0!</v>
      </c>
      <c r="AA135" t="e">
        <f t="shared" si="35"/>
        <v>#DIV/0!</v>
      </c>
      <c r="AB135" s="13" t="e">
        <f t="shared" si="36"/>
        <v>#DIV/0!</v>
      </c>
    </row>
    <row r="136" spans="1:28" hidden="1" x14ac:dyDescent="0.15">
      <c r="A136">
        <f>+予定価格!A124</f>
        <v>0</v>
      </c>
      <c r="B136" s="258">
        <f>ROUND(予定価格!B124*査定表!$B$437,-D136)+E136</f>
        <v>0</v>
      </c>
      <c r="C136" s="258"/>
      <c r="D136" s="45">
        <f t="shared" si="25"/>
        <v>4</v>
      </c>
      <c r="E136" s="46">
        <f t="shared" si="21"/>
        <v>0</v>
      </c>
      <c r="F136" s="258">
        <f>IF($F$12=0,0,IF(予定価格!$G$427=0,ROUND(予定価格!H124*(入力表!$F$12/予定価格!$H$431),-H136),ROUND((予定価格!G124*(入力表!$F$12-予定価格!$H$431)/予定価格!$G$431)+予定価格!H124,-H136)))+I136</f>
        <v>0</v>
      </c>
      <c r="G136" s="258"/>
      <c r="H136" s="47">
        <f t="shared" si="26"/>
        <v>4</v>
      </c>
      <c r="I136" s="48">
        <f t="shared" si="22"/>
        <v>0</v>
      </c>
      <c r="J136" s="116">
        <f t="shared" si="23"/>
        <v>0</v>
      </c>
      <c r="K136" s="19">
        <f t="shared" si="24"/>
        <v>0</v>
      </c>
      <c r="L136" s="50"/>
      <c r="M136" s="13">
        <f>ROUND(予定価格!B124*査定表!$B$437,-$F$14)</f>
        <v>0</v>
      </c>
      <c r="N136">
        <f>IF(M136=0,1,M136/予定価格!B124)</f>
        <v>1</v>
      </c>
      <c r="O136">
        <f t="shared" si="27"/>
        <v>21</v>
      </c>
      <c r="P136">
        <f t="shared" si="28"/>
        <v>0</v>
      </c>
      <c r="Q136">
        <f>IF(M136=0,0,M136/予定価格!B124)</f>
        <v>0</v>
      </c>
      <c r="R136">
        <f t="shared" si="29"/>
        <v>21</v>
      </c>
      <c r="S136">
        <f t="shared" si="30"/>
        <v>0</v>
      </c>
      <c r="T136" s="13">
        <f t="shared" si="31"/>
        <v>0</v>
      </c>
      <c r="U136" s="13" t="e">
        <f>IF(予定価格!$G$427=0,ROUND(予定価格!H124*(入力表!$F$12/予定価格!$H$431),-$F$14),ROUND((予定価格!G124*(入力表!$F$12-予定価格!$H$431)/予定価格!$G$431)+予定価格!H124,-$F$14))</f>
        <v>#DIV/0!</v>
      </c>
      <c r="V136" t="e">
        <f>IF(U136=0,1,IF(予定価格!O124=0,1,(U136-予定価格!P124)/予定価格!O124))</f>
        <v>#DIV/0!</v>
      </c>
      <c r="W136" t="e">
        <f t="shared" si="32"/>
        <v>#DIV/0!</v>
      </c>
      <c r="X136" t="e">
        <f t="shared" si="33"/>
        <v>#DIV/0!</v>
      </c>
      <c r="Y136" t="e">
        <f>IF(U136=0,0,IF(予定価格!G124=0,0,(U136-予定価格!H124)/予定価格!G124))</f>
        <v>#DIV/0!</v>
      </c>
      <c r="Z136" t="e">
        <f t="shared" si="34"/>
        <v>#DIV/0!</v>
      </c>
      <c r="AA136" t="e">
        <f t="shared" si="35"/>
        <v>#DIV/0!</v>
      </c>
      <c r="AB136" s="13" t="e">
        <f t="shared" si="36"/>
        <v>#DIV/0!</v>
      </c>
    </row>
    <row r="137" spans="1:28" hidden="1" x14ac:dyDescent="0.15">
      <c r="A137">
        <f>+予定価格!A125</f>
        <v>0</v>
      </c>
      <c r="B137" s="258">
        <f>ROUND(予定価格!B125*査定表!$B$437,-D137)+E137</f>
        <v>0</v>
      </c>
      <c r="C137" s="258"/>
      <c r="D137" s="45">
        <f t="shared" si="25"/>
        <v>4</v>
      </c>
      <c r="E137" s="46">
        <f t="shared" si="21"/>
        <v>0</v>
      </c>
      <c r="F137" s="258">
        <f>IF($F$12=0,0,IF(予定価格!$G$427=0,ROUND(予定価格!H125*(入力表!$F$12/予定価格!$H$431),-H137),ROUND((予定価格!G125*(入力表!$F$12-予定価格!$H$431)/予定価格!$G$431)+予定価格!H125,-H137)))+I137</f>
        <v>0</v>
      </c>
      <c r="G137" s="258"/>
      <c r="H137" s="47">
        <f t="shared" si="26"/>
        <v>4</v>
      </c>
      <c r="I137" s="48">
        <f t="shared" si="22"/>
        <v>0</v>
      </c>
      <c r="J137" s="116">
        <f t="shared" si="23"/>
        <v>0</v>
      </c>
      <c r="K137" s="19">
        <f t="shared" si="24"/>
        <v>0</v>
      </c>
      <c r="L137" s="50"/>
      <c r="M137" s="13">
        <f>ROUND(予定価格!B125*査定表!$B$437,-$F$14)</f>
        <v>0</v>
      </c>
      <c r="N137">
        <f>IF(M137=0,1,M137/予定価格!B125)</f>
        <v>1</v>
      </c>
      <c r="O137">
        <f t="shared" si="27"/>
        <v>21</v>
      </c>
      <c r="P137">
        <f t="shared" si="28"/>
        <v>0</v>
      </c>
      <c r="Q137">
        <f>IF(M137=0,0,M137/予定価格!B125)</f>
        <v>0</v>
      </c>
      <c r="R137">
        <f t="shared" si="29"/>
        <v>21</v>
      </c>
      <c r="S137">
        <f t="shared" si="30"/>
        <v>0</v>
      </c>
      <c r="T137" s="13">
        <f t="shared" si="31"/>
        <v>0</v>
      </c>
      <c r="U137" s="13" t="e">
        <f>IF(予定価格!$G$427=0,ROUND(予定価格!H125*(入力表!$F$12/予定価格!$H$431),-$F$14),ROUND((予定価格!G125*(入力表!$F$12-予定価格!$H$431)/予定価格!$G$431)+予定価格!H125,-$F$14))</f>
        <v>#DIV/0!</v>
      </c>
      <c r="V137" t="e">
        <f>IF(U137=0,1,IF(予定価格!O125=0,1,(U137-予定価格!P125)/予定価格!O125))</f>
        <v>#DIV/0!</v>
      </c>
      <c r="W137" t="e">
        <f t="shared" si="32"/>
        <v>#DIV/0!</v>
      </c>
      <c r="X137" t="e">
        <f t="shared" si="33"/>
        <v>#DIV/0!</v>
      </c>
      <c r="Y137" t="e">
        <f>IF(U137=0,0,IF(予定価格!G125=0,0,(U137-予定価格!H125)/予定価格!G125))</f>
        <v>#DIV/0!</v>
      </c>
      <c r="Z137" t="e">
        <f t="shared" si="34"/>
        <v>#DIV/0!</v>
      </c>
      <c r="AA137" t="e">
        <f t="shared" si="35"/>
        <v>#DIV/0!</v>
      </c>
      <c r="AB137" s="13" t="e">
        <f t="shared" si="36"/>
        <v>#DIV/0!</v>
      </c>
    </row>
    <row r="138" spans="1:28" hidden="1" x14ac:dyDescent="0.15">
      <c r="A138">
        <f>+予定価格!A126</f>
        <v>0</v>
      </c>
      <c r="B138" s="258">
        <f>ROUND(予定価格!B126*査定表!$B$437,-D138)+E138</f>
        <v>0</v>
      </c>
      <c r="C138" s="258"/>
      <c r="D138" s="45">
        <f t="shared" si="25"/>
        <v>4</v>
      </c>
      <c r="E138" s="46">
        <f t="shared" si="21"/>
        <v>0</v>
      </c>
      <c r="F138" s="258">
        <f>IF($F$12=0,0,IF(予定価格!$G$427=0,ROUND(予定価格!H126*(入力表!$F$12/予定価格!$H$431),-H138),ROUND((予定価格!G126*(入力表!$F$12-予定価格!$H$431)/予定価格!$G$431)+予定価格!H126,-H138)))+I138</f>
        <v>0</v>
      </c>
      <c r="G138" s="258"/>
      <c r="H138" s="47">
        <f t="shared" si="26"/>
        <v>4</v>
      </c>
      <c r="I138" s="48">
        <f t="shared" si="22"/>
        <v>0</v>
      </c>
      <c r="J138" s="116">
        <f t="shared" si="23"/>
        <v>0</v>
      </c>
      <c r="K138" s="19">
        <f t="shared" si="24"/>
        <v>0</v>
      </c>
      <c r="L138" s="50"/>
      <c r="M138" s="13">
        <f>ROUND(予定価格!B126*査定表!$B$437,-$F$14)</f>
        <v>0</v>
      </c>
      <c r="N138">
        <f>IF(M138=0,1,M138/予定価格!B126)</f>
        <v>1</v>
      </c>
      <c r="O138">
        <f t="shared" si="27"/>
        <v>21</v>
      </c>
      <c r="P138">
        <f t="shared" si="28"/>
        <v>0</v>
      </c>
      <c r="Q138">
        <f>IF(M138=0,0,M138/予定価格!B126)</f>
        <v>0</v>
      </c>
      <c r="R138">
        <f t="shared" si="29"/>
        <v>21</v>
      </c>
      <c r="S138">
        <f t="shared" si="30"/>
        <v>0</v>
      </c>
      <c r="T138" s="13">
        <f t="shared" si="31"/>
        <v>0</v>
      </c>
      <c r="U138" s="13" t="e">
        <f>IF(予定価格!$G$427=0,ROUND(予定価格!H126*(入力表!$F$12/予定価格!$H$431),-$F$14),ROUND((予定価格!G126*(入力表!$F$12-予定価格!$H$431)/予定価格!$G$431)+予定価格!H126,-$F$14))</f>
        <v>#DIV/0!</v>
      </c>
      <c r="V138" t="e">
        <f>IF(U138=0,1,IF(予定価格!O126=0,1,(U138-予定価格!P126)/予定価格!O126))</f>
        <v>#DIV/0!</v>
      </c>
      <c r="W138" t="e">
        <f t="shared" si="32"/>
        <v>#DIV/0!</v>
      </c>
      <c r="X138" t="e">
        <f t="shared" si="33"/>
        <v>#DIV/0!</v>
      </c>
      <c r="Y138" t="e">
        <f>IF(U138=0,0,IF(予定価格!G126=0,0,(U138-予定価格!H126)/予定価格!G126))</f>
        <v>#DIV/0!</v>
      </c>
      <c r="Z138" t="e">
        <f t="shared" si="34"/>
        <v>#DIV/0!</v>
      </c>
      <c r="AA138" t="e">
        <f t="shared" si="35"/>
        <v>#DIV/0!</v>
      </c>
      <c r="AB138" s="13" t="e">
        <f t="shared" si="36"/>
        <v>#DIV/0!</v>
      </c>
    </row>
    <row r="139" spans="1:28" hidden="1" x14ac:dyDescent="0.15">
      <c r="A139">
        <f>+予定価格!A127</f>
        <v>0</v>
      </c>
      <c r="B139" s="258">
        <f>ROUND(予定価格!B127*査定表!$B$437,-D139)+E139</f>
        <v>0</v>
      </c>
      <c r="C139" s="258"/>
      <c r="D139" s="45">
        <f t="shared" si="25"/>
        <v>4</v>
      </c>
      <c r="E139" s="46">
        <f t="shared" si="21"/>
        <v>0</v>
      </c>
      <c r="F139" s="258">
        <f>IF($F$12=0,0,IF(予定価格!$G$427=0,ROUND(予定価格!H127*(入力表!$F$12/予定価格!$H$431),-H139),ROUND((予定価格!G127*(入力表!$F$12-予定価格!$H$431)/予定価格!$G$431)+予定価格!H127,-H139)))+I139</f>
        <v>0</v>
      </c>
      <c r="G139" s="258"/>
      <c r="H139" s="47">
        <f t="shared" si="26"/>
        <v>4</v>
      </c>
      <c r="I139" s="48">
        <f t="shared" si="22"/>
        <v>0</v>
      </c>
      <c r="J139" s="116">
        <f t="shared" si="23"/>
        <v>0</v>
      </c>
      <c r="K139" s="19">
        <f t="shared" si="24"/>
        <v>0</v>
      </c>
      <c r="L139" s="50"/>
      <c r="M139" s="13">
        <f>ROUND(予定価格!B127*査定表!$B$437,-$F$14)</f>
        <v>0</v>
      </c>
      <c r="N139">
        <f>IF(M139=0,1,M139/予定価格!B127)</f>
        <v>1</v>
      </c>
      <c r="O139">
        <f t="shared" si="27"/>
        <v>21</v>
      </c>
      <c r="P139">
        <f t="shared" si="28"/>
        <v>0</v>
      </c>
      <c r="Q139">
        <f>IF(M139=0,0,M139/予定価格!B127)</f>
        <v>0</v>
      </c>
      <c r="R139">
        <f t="shared" si="29"/>
        <v>21</v>
      </c>
      <c r="S139">
        <f t="shared" si="30"/>
        <v>0</v>
      </c>
      <c r="T139" s="13">
        <f t="shared" si="31"/>
        <v>0</v>
      </c>
      <c r="U139" s="13" t="e">
        <f>IF(予定価格!$G$427=0,ROUND(予定価格!H127*(入力表!$F$12/予定価格!$H$431),-$F$14),ROUND((予定価格!G127*(入力表!$F$12-予定価格!$H$431)/予定価格!$G$431)+予定価格!H127,-$F$14))</f>
        <v>#DIV/0!</v>
      </c>
      <c r="V139" t="e">
        <f>IF(U139=0,1,IF(予定価格!O127=0,1,(U139-予定価格!P127)/予定価格!O127))</f>
        <v>#DIV/0!</v>
      </c>
      <c r="W139" t="e">
        <f t="shared" si="32"/>
        <v>#DIV/0!</v>
      </c>
      <c r="X139" t="e">
        <f t="shared" si="33"/>
        <v>#DIV/0!</v>
      </c>
      <c r="Y139" t="e">
        <f>IF(U139=0,0,IF(予定価格!G127=0,0,(U139-予定価格!H127)/予定価格!G127))</f>
        <v>#DIV/0!</v>
      </c>
      <c r="Z139" t="e">
        <f t="shared" si="34"/>
        <v>#DIV/0!</v>
      </c>
      <c r="AA139" t="e">
        <f t="shared" si="35"/>
        <v>#DIV/0!</v>
      </c>
      <c r="AB139" s="13" t="e">
        <f t="shared" si="36"/>
        <v>#DIV/0!</v>
      </c>
    </row>
    <row r="140" spans="1:28" hidden="1" x14ac:dyDescent="0.15">
      <c r="A140">
        <f>+予定価格!A128</f>
        <v>0</v>
      </c>
      <c r="B140" s="258">
        <f>ROUND(予定価格!B128*査定表!$B$437,-D140)+E140</f>
        <v>0</v>
      </c>
      <c r="C140" s="258"/>
      <c r="D140" s="45">
        <f t="shared" si="25"/>
        <v>4</v>
      </c>
      <c r="E140" s="46">
        <f t="shared" si="21"/>
        <v>0</v>
      </c>
      <c r="F140" s="258">
        <f>IF($F$12=0,0,IF(予定価格!$G$427=0,ROUND(予定価格!H128*(入力表!$F$12/予定価格!$H$431),-H140),ROUND((予定価格!G128*(入力表!$F$12-予定価格!$H$431)/予定価格!$G$431)+予定価格!H128,-H140)))+I140</f>
        <v>0</v>
      </c>
      <c r="G140" s="258"/>
      <c r="H140" s="47">
        <f t="shared" si="26"/>
        <v>4</v>
      </c>
      <c r="I140" s="48">
        <f t="shared" si="22"/>
        <v>0</v>
      </c>
      <c r="J140" s="116">
        <f t="shared" si="23"/>
        <v>0</v>
      </c>
      <c r="K140" s="19">
        <f t="shared" si="24"/>
        <v>0</v>
      </c>
      <c r="L140" s="50"/>
      <c r="M140" s="13">
        <f>ROUND(予定価格!B128*査定表!$B$437,-$F$14)</f>
        <v>0</v>
      </c>
      <c r="N140">
        <f>IF(M140=0,1,M140/予定価格!B128)</f>
        <v>1</v>
      </c>
      <c r="O140">
        <f t="shared" si="27"/>
        <v>21</v>
      </c>
      <c r="P140">
        <f t="shared" si="28"/>
        <v>0</v>
      </c>
      <c r="Q140">
        <f>IF(M140=0,0,M140/予定価格!B128)</f>
        <v>0</v>
      </c>
      <c r="R140">
        <f t="shared" si="29"/>
        <v>21</v>
      </c>
      <c r="S140">
        <f t="shared" si="30"/>
        <v>0</v>
      </c>
      <c r="T140" s="13">
        <f t="shared" si="31"/>
        <v>0</v>
      </c>
      <c r="U140" s="13" t="e">
        <f>IF(予定価格!$G$427=0,ROUND(予定価格!H128*(入力表!$F$12/予定価格!$H$431),-$F$14),ROUND((予定価格!G128*(入力表!$F$12-予定価格!$H$431)/予定価格!$G$431)+予定価格!H128,-$F$14))</f>
        <v>#DIV/0!</v>
      </c>
      <c r="V140" t="e">
        <f>IF(U140=0,1,IF(予定価格!O128=0,1,(U140-予定価格!P128)/予定価格!O128))</f>
        <v>#DIV/0!</v>
      </c>
      <c r="W140" t="e">
        <f t="shared" si="32"/>
        <v>#DIV/0!</v>
      </c>
      <c r="X140" t="e">
        <f t="shared" si="33"/>
        <v>#DIV/0!</v>
      </c>
      <c r="Y140" t="e">
        <f>IF(U140=0,0,IF(予定価格!G128=0,0,(U140-予定価格!H128)/予定価格!G128))</f>
        <v>#DIV/0!</v>
      </c>
      <c r="Z140" t="e">
        <f t="shared" si="34"/>
        <v>#DIV/0!</v>
      </c>
      <c r="AA140" t="e">
        <f t="shared" si="35"/>
        <v>#DIV/0!</v>
      </c>
      <c r="AB140" s="13" t="e">
        <f t="shared" si="36"/>
        <v>#DIV/0!</v>
      </c>
    </row>
    <row r="141" spans="1:28" hidden="1" x14ac:dyDescent="0.15">
      <c r="A141">
        <f>+予定価格!A129</f>
        <v>0</v>
      </c>
      <c r="B141" s="258">
        <f>ROUND(予定価格!B129*査定表!$B$437,-D141)+E141</f>
        <v>0</v>
      </c>
      <c r="C141" s="258"/>
      <c r="D141" s="45">
        <f t="shared" si="25"/>
        <v>4</v>
      </c>
      <c r="E141" s="46">
        <f t="shared" si="21"/>
        <v>0</v>
      </c>
      <c r="F141" s="258">
        <f>IF($F$12=0,0,IF(予定価格!$G$427=0,ROUND(予定価格!H129*(入力表!$F$12/予定価格!$H$431),-H141),ROUND((予定価格!G129*(入力表!$F$12-予定価格!$H$431)/予定価格!$G$431)+予定価格!H129,-H141)))+I141</f>
        <v>0</v>
      </c>
      <c r="G141" s="258"/>
      <c r="H141" s="47">
        <f t="shared" si="26"/>
        <v>4</v>
      </c>
      <c r="I141" s="48">
        <f t="shared" si="22"/>
        <v>0</v>
      </c>
      <c r="J141" s="116">
        <f t="shared" si="23"/>
        <v>0</v>
      </c>
      <c r="K141" s="19">
        <f t="shared" si="24"/>
        <v>0</v>
      </c>
      <c r="L141" s="50"/>
      <c r="M141" s="13">
        <f>ROUND(予定価格!B129*査定表!$B$437,-$F$14)</f>
        <v>0</v>
      </c>
      <c r="N141">
        <f>IF(M141=0,1,M141/予定価格!B129)</f>
        <v>1</v>
      </c>
      <c r="O141">
        <f t="shared" si="27"/>
        <v>21</v>
      </c>
      <c r="P141">
        <f t="shared" si="28"/>
        <v>0</v>
      </c>
      <c r="Q141">
        <f>IF(M141=0,0,M141/予定価格!B129)</f>
        <v>0</v>
      </c>
      <c r="R141">
        <f t="shared" si="29"/>
        <v>21</v>
      </c>
      <c r="S141">
        <f t="shared" si="30"/>
        <v>0</v>
      </c>
      <c r="T141" s="13">
        <f t="shared" si="31"/>
        <v>0</v>
      </c>
      <c r="U141" s="13" t="e">
        <f>IF(予定価格!$G$427=0,ROUND(予定価格!H129*(入力表!$F$12/予定価格!$H$431),-$F$14),ROUND((予定価格!G129*(入力表!$F$12-予定価格!$H$431)/予定価格!$G$431)+予定価格!H129,-$F$14))</f>
        <v>#DIV/0!</v>
      </c>
      <c r="V141" t="e">
        <f>IF(U141=0,1,IF(予定価格!O129=0,1,(U141-予定価格!P129)/予定価格!O129))</f>
        <v>#DIV/0!</v>
      </c>
      <c r="W141" t="e">
        <f t="shared" si="32"/>
        <v>#DIV/0!</v>
      </c>
      <c r="X141" t="e">
        <f t="shared" si="33"/>
        <v>#DIV/0!</v>
      </c>
      <c r="Y141" t="e">
        <f>IF(U141=0,0,IF(予定価格!G129=0,0,(U141-予定価格!H129)/予定価格!G129))</f>
        <v>#DIV/0!</v>
      </c>
      <c r="Z141" t="e">
        <f t="shared" si="34"/>
        <v>#DIV/0!</v>
      </c>
      <c r="AA141" t="e">
        <f t="shared" si="35"/>
        <v>#DIV/0!</v>
      </c>
      <c r="AB141" s="13" t="e">
        <f t="shared" si="36"/>
        <v>#DIV/0!</v>
      </c>
    </row>
    <row r="142" spans="1:28" hidden="1" x14ac:dyDescent="0.15">
      <c r="A142">
        <f>+予定価格!A130</f>
        <v>0</v>
      </c>
      <c r="B142" s="258">
        <f>ROUND(予定価格!B130*査定表!$B$437,-D142)+E142</f>
        <v>0</v>
      </c>
      <c r="C142" s="258"/>
      <c r="D142" s="45">
        <f t="shared" si="25"/>
        <v>4</v>
      </c>
      <c r="E142" s="46">
        <f t="shared" si="21"/>
        <v>0</v>
      </c>
      <c r="F142" s="258">
        <f>IF($F$12=0,0,IF(予定価格!$G$427=0,ROUND(予定価格!H130*(入力表!$F$12/予定価格!$H$431),-H142),ROUND((予定価格!G130*(入力表!$F$12-予定価格!$H$431)/予定価格!$G$431)+予定価格!H130,-H142)))+I142</f>
        <v>0</v>
      </c>
      <c r="G142" s="258"/>
      <c r="H142" s="47">
        <f t="shared" si="26"/>
        <v>4</v>
      </c>
      <c r="I142" s="48">
        <f t="shared" si="22"/>
        <v>0</v>
      </c>
      <c r="J142" s="116">
        <f t="shared" si="23"/>
        <v>0</v>
      </c>
      <c r="K142" s="19">
        <f t="shared" si="24"/>
        <v>0</v>
      </c>
      <c r="L142" s="50"/>
      <c r="M142" s="13">
        <f>ROUND(予定価格!B130*査定表!$B$437,-$F$14)</f>
        <v>0</v>
      </c>
      <c r="N142">
        <f>IF(M142=0,1,M142/予定価格!B130)</f>
        <v>1</v>
      </c>
      <c r="O142">
        <f t="shared" si="27"/>
        <v>21</v>
      </c>
      <c r="P142">
        <f t="shared" si="28"/>
        <v>0</v>
      </c>
      <c r="Q142">
        <f>IF(M142=0,0,M142/予定価格!B130)</f>
        <v>0</v>
      </c>
      <c r="R142">
        <f t="shared" si="29"/>
        <v>21</v>
      </c>
      <c r="S142">
        <f t="shared" si="30"/>
        <v>0</v>
      </c>
      <c r="T142" s="13">
        <f t="shared" si="31"/>
        <v>0</v>
      </c>
      <c r="U142" s="13" t="e">
        <f>IF(予定価格!$G$427=0,ROUND(予定価格!H130*(入力表!$F$12/予定価格!$H$431),-$F$14),ROUND((予定価格!G130*(入力表!$F$12-予定価格!$H$431)/予定価格!$G$431)+予定価格!H130,-$F$14))</f>
        <v>#DIV/0!</v>
      </c>
      <c r="V142" t="e">
        <f>IF(U142=0,1,IF(予定価格!O130=0,1,(U142-予定価格!P130)/予定価格!O130))</f>
        <v>#DIV/0!</v>
      </c>
      <c r="W142" t="e">
        <f t="shared" si="32"/>
        <v>#DIV/0!</v>
      </c>
      <c r="X142" t="e">
        <f t="shared" si="33"/>
        <v>#DIV/0!</v>
      </c>
      <c r="Y142" t="e">
        <f>IF(U142=0,0,IF(予定価格!G130=0,0,(U142-予定価格!H130)/予定価格!G130))</f>
        <v>#DIV/0!</v>
      </c>
      <c r="Z142" t="e">
        <f t="shared" si="34"/>
        <v>#DIV/0!</v>
      </c>
      <c r="AA142" t="e">
        <f t="shared" si="35"/>
        <v>#DIV/0!</v>
      </c>
      <c r="AB142" s="13" t="e">
        <f t="shared" si="36"/>
        <v>#DIV/0!</v>
      </c>
    </row>
    <row r="143" spans="1:28" hidden="1" x14ac:dyDescent="0.15">
      <c r="A143">
        <f>+予定価格!A131</f>
        <v>0</v>
      </c>
      <c r="B143" s="258">
        <f>ROUND(予定価格!B131*査定表!$B$437,-D143)+E143</f>
        <v>0</v>
      </c>
      <c r="C143" s="258"/>
      <c r="D143" s="45">
        <f t="shared" si="25"/>
        <v>4</v>
      </c>
      <c r="E143" s="46">
        <f t="shared" si="21"/>
        <v>0</v>
      </c>
      <c r="F143" s="258">
        <f>IF($F$12=0,0,IF(予定価格!$G$427=0,ROUND(予定価格!H131*(入力表!$F$12/予定価格!$H$431),-H143),ROUND((予定価格!G131*(入力表!$F$12-予定価格!$H$431)/予定価格!$G$431)+予定価格!H131,-H143)))+I143</f>
        <v>0</v>
      </c>
      <c r="G143" s="258"/>
      <c r="H143" s="47">
        <f t="shared" si="26"/>
        <v>4</v>
      </c>
      <c r="I143" s="48">
        <f t="shared" si="22"/>
        <v>0</v>
      </c>
      <c r="J143" s="116">
        <f t="shared" si="23"/>
        <v>0</v>
      </c>
      <c r="K143" s="19">
        <f t="shared" si="24"/>
        <v>0</v>
      </c>
      <c r="L143" s="50"/>
      <c r="M143" s="13">
        <f>ROUND(予定価格!B131*査定表!$B$437,-$F$14)</f>
        <v>0</v>
      </c>
      <c r="N143">
        <f>IF(M143=0,1,M143/予定価格!B131)</f>
        <v>1</v>
      </c>
      <c r="O143">
        <f t="shared" si="27"/>
        <v>21</v>
      </c>
      <c r="P143">
        <f t="shared" si="28"/>
        <v>0</v>
      </c>
      <c r="Q143">
        <f>IF(M143=0,0,M143/予定価格!B131)</f>
        <v>0</v>
      </c>
      <c r="R143">
        <f t="shared" si="29"/>
        <v>21</v>
      </c>
      <c r="S143">
        <f t="shared" si="30"/>
        <v>0</v>
      </c>
      <c r="T143" s="13">
        <f t="shared" si="31"/>
        <v>0</v>
      </c>
      <c r="U143" s="13" t="e">
        <f>IF(予定価格!$G$427=0,ROUND(予定価格!H131*(入力表!$F$12/予定価格!$H$431),-$F$14),ROUND((予定価格!G131*(入力表!$F$12-予定価格!$H$431)/予定価格!$G$431)+予定価格!H131,-$F$14))</f>
        <v>#DIV/0!</v>
      </c>
      <c r="V143" t="e">
        <f>IF(U143=0,1,IF(予定価格!O131=0,1,(U143-予定価格!P131)/予定価格!O131))</f>
        <v>#DIV/0!</v>
      </c>
      <c r="W143" t="e">
        <f t="shared" si="32"/>
        <v>#DIV/0!</v>
      </c>
      <c r="X143" t="e">
        <f t="shared" si="33"/>
        <v>#DIV/0!</v>
      </c>
      <c r="Y143" t="e">
        <f>IF(U143=0,0,IF(予定価格!G131=0,0,(U143-予定価格!H131)/予定価格!G131))</f>
        <v>#DIV/0!</v>
      </c>
      <c r="Z143" t="e">
        <f t="shared" si="34"/>
        <v>#DIV/0!</v>
      </c>
      <c r="AA143" t="e">
        <f t="shared" si="35"/>
        <v>#DIV/0!</v>
      </c>
      <c r="AB143" s="13" t="e">
        <f t="shared" si="36"/>
        <v>#DIV/0!</v>
      </c>
    </row>
    <row r="144" spans="1:28" hidden="1" x14ac:dyDescent="0.15">
      <c r="A144">
        <f>+予定価格!A132</f>
        <v>0</v>
      </c>
      <c r="B144" s="258">
        <f>ROUND(予定価格!B132*査定表!$B$437,-D144)+E144</f>
        <v>0</v>
      </c>
      <c r="C144" s="258"/>
      <c r="D144" s="45">
        <f t="shared" si="25"/>
        <v>4</v>
      </c>
      <c r="E144" s="46">
        <f t="shared" si="21"/>
        <v>0</v>
      </c>
      <c r="F144" s="258">
        <f>IF($F$12=0,0,IF(予定価格!$G$427=0,ROUND(予定価格!H132*(入力表!$F$12/予定価格!$H$431),-H144),ROUND((予定価格!G132*(入力表!$F$12-予定価格!$H$431)/予定価格!$G$431)+予定価格!H132,-H144)))+I144</f>
        <v>0</v>
      </c>
      <c r="G144" s="258"/>
      <c r="H144" s="47">
        <f t="shared" si="26"/>
        <v>4</v>
      </c>
      <c r="I144" s="48">
        <f t="shared" si="22"/>
        <v>0</v>
      </c>
      <c r="J144" s="116">
        <f t="shared" si="23"/>
        <v>0</v>
      </c>
      <c r="K144" s="19">
        <f t="shared" si="24"/>
        <v>0</v>
      </c>
      <c r="L144" s="50"/>
      <c r="M144" s="13">
        <f>ROUND(予定価格!B132*査定表!$B$437,-$F$14)</f>
        <v>0</v>
      </c>
      <c r="N144">
        <f>IF(M144=0,1,M144/予定価格!B132)</f>
        <v>1</v>
      </c>
      <c r="O144">
        <f t="shared" si="27"/>
        <v>21</v>
      </c>
      <c r="P144">
        <f t="shared" si="28"/>
        <v>0</v>
      </c>
      <c r="Q144">
        <f>IF(M144=0,0,M144/予定価格!B132)</f>
        <v>0</v>
      </c>
      <c r="R144">
        <f t="shared" si="29"/>
        <v>21</v>
      </c>
      <c r="S144">
        <f t="shared" si="30"/>
        <v>0</v>
      </c>
      <c r="T144" s="13">
        <f t="shared" si="31"/>
        <v>0</v>
      </c>
      <c r="U144" s="13" t="e">
        <f>IF(予定価格!$G$427=0,ROUND(予定価格!H132*(入力表!$F$12/予定価格!$H$431),-$F$14),ROUND((予定価格!G132*(入力表!$F$12-予定価格!$H$431)/予定価格!$G$431)+予定価格!H132,-$F$14))</f>
        <v>#DIV/0!</v>
      </c>
      <c r="V144" t="e">
        <f>IF(U144=0,1,IF(予定価格!O132=0,1,(U144-予定価格!P132)/予定価格!O132))</f>
        <v>#DIV/0!</v>
      </c>
      <c r="W144" t="e">
        <f t="shared" si="32"/>
        <v>#DIV/0!</v>
      </c>
      <c r="X144" t="e">
        <f t="shared" si="33"/>
        <v>#DIV/0!</v>
      </c>
      <c r="Y144" t="e">
        <f>IF(U144=0,0,IF(予定価格!G132=0,0,(U144-予定価格!H132)/予定価格!G132))</f>
        <v>#DIV/0!</v>
      </c>
      <c r="Z144" t="e">
        <f t="shared" si="34"/>
        <v>#DIV/0!</v>
      </c>
      <c r="AA144" t="e">
        <f t="shared" si="35"/>
        <v>#DIV/0!</v>
      </c>
      <c r="AB144" s="13" t="e">
        <f t="shared" si="36"/>
        <v>#DIV/0!</v>
      </c>
    </row>
    <row r="145" spans="1:28" hidden="1" x14ac:dyDescent="0.15">
      <c r="A145">
        <f>+予定価格!A133</f>
        <v>0</v>
      </c>
      <c r="B145" s="258">
        <f>ROUND(予定価格!B133*査定表!$B$437,-D145)+E145</f>
        <v>0</v>
      </c>
      <c r="C145" s="258"/>
      <c r="D145" s="45">
        <f t="shared" si="25"/>
        <v>4</v>
      </c>
      <c r="E145" s="46">
        <f t="shared" ref="E145:E208" si="37">IF(F$12=0,+P145+S145,0)</f>
        <v>0</v>
      </c>
      <c r="F145" s="258">
        <f>IF($F$12=0,0,IF(予定価格!$G$427=0,ROUND(予定価格!H133*(入力表!$F$12/予定価格!$H$431),-H145),ROUND((予定価格!G133*(入力表!$F$12-予定価格!$H$431)/予定価格!$G$431)+予定価格!H133,-H145)))+I145</f>
        <v>0</v>
      </c>
      <c r="G145" s="258"/>
      <c r="H145" s="47">
        <f t="shared" si="26"/>
        <v>4</v>
      </c>
      <c r="I145" s="48">
        <f t="shared" ref="I145:I208" si="38">IF(F$12=0,0,+X145+AA145)</f>
        <v>0</v>
      </c>
      <c r="J145" s="116">
        <f t="shared" ref="J145:J208" si="39">+F145+K145</f>
        <v>0</v>
      </c>
      <c r="K145" s="19">
        <f t="shared" ref="K145:K208" si="40">+B145</f>
        <v>0</v>
      </c>
      <c r="L145" s="50"/>
      <c r="M145" s="13">
        <f>ROUND(予定価格!B133*査定表!$B$437,-$F$14)</f>
        <v>0</v>
      </c>
      <c r="N145">
        <f>IF(M145=0,1,M145/予定価格!B133)</f>
        <v>1</v>
      </c>
      <c r="O145">
        <f t="shared" si="27"/>
        <v>21</v>
      </c>
      <c r="P145">
        <f t="shared" si="28"/>
        <v>0</v>
      </c>
      <c r="Q145">
        <f>IF(M145=0,0,M145/予定価格!B133)</f>
        <v>0</v>
      </c>
      <c r="R145">
        <f t="shared" si="29"/>
        <v>21</v>
      </c>
      <c r="S145">
        <f t="shared" si="30"/>
        <v>0</v>
      </c>
      <c r="T145" s="13">
        <f t="shared" si="31"/>
        <v>0</v>
      </c>
      <c r="U145" s="13" t="e">
        <f>IF(予定価格!$G$427=0,ROUND(予定価格!H133*(入力表!$F$12/予定価格!$H$431),-$F$14),ROUND((予定価格!G133*(入力表!$F$12-予定価格!$H$431)/予定価格!$G$431)+予定価格!H133,-$F$14))</f>
        <v>#DIV/0!</v>
      </c>
      <c r="V145" t="e">
        <f>IF(U145=0,1,IF(予定価格!O133=0,1,(U145-予定価格!P133)/予定価格!O133))</f>
        <v>#DIV/0!</v>
      </c>
      <c r="W145" t="e">
        <f t="shared" si="32"/>
        <v>#DIV/0!</v>
      </c>
      <c r="X145" t="e">
        <f t="shared" si="33"/>
        <v>#DIV/0!</v>
      </c>
      <c r="Y145" t="e">
        <f>IF(U145=0,0,IF(予定価格!G133=0,0,(U145-予定価格!H133)/予定価格!G133))</f>
        <v>#DIV/0!</v>
      </c>
      <c r="Z145" t="e">
        <f t="shared" si="34"/>
        <v>#DIV/0!</v>
      </c>
      <c r="AA145" t="e">
        <f t="shared" si="35"/>
        <v>#DIV/0!</v>
      </c>
      <c r="AB145" s="13" t="e">
        <f t="shared" si="36"/>
        <v>#DIV/0!</v>
      </c>
    </row>
    <row r="146" spans="1:28" hidden="1" x14ac:dyDescent="0.15">
      <c r="A146">
        <f>+予定価格!A134</f>
        <v>0</v>
      </c>
      <c r="B146" s="258">
        <f>ROUND(予定価格!B134*査定表!$B$437,-D146)+E146</f>
        <v>0</v>
      </c>
      <c r="C146" s="258"/>
      <c r="D146" s="45">
        <f t="shared" ref="D146:D209" si="41">+$F$14</f>
        <v>4</v>
      </c>
      <c r="E146" s="46">
        <f t="shared" si="37"/>
        <v>0</v>
      </c>
      <c r="F146" s="258">
        <f>IF($F$12=0,0,IF(予定価格!$G$427=0,ROUND(予定価格!H134*(入力表!$F$12/予定価格!$H$431),-H146),ROUND((予定価格!G134*(入力表!$F$12-予定価格!$H$431)/予定価格!$G$431)+予定価格!H134,-H146)))+I146</f>
        <v>0</v>
      </c>
      <c r="G146" s="258"/>
      <c r="H146" s="47">
        <f t="shared" ref="H146:H209" si="42">+$F$14</f>
        <v>4</v>
      </c>
      <c r="I146" s="48">
        <f t="shared" si="38"/>
        <v>0</v>
      </c>
      <c r="J146" s="116">
        <f t="shared" si="39"/>
        <v>0</v>
      </c>
      <c r="K146" s="19">
        <f t="shared" si="40"/>
        <v>0</v>
      </c>
      <c r="L146" s="50"/>
      <c r="M146" s="13">
        <f>ROUND(予定価格!B134*査定表!$B$437,-$F$14)</f>
        <v>0</v>
      </c>
      <c r="N146">
        <f>IF(M146=0,1,M146/予定価格!B134)</f>
        <v>1</v>
      </c>
      <c r="O146">
        <f t="shared" ref="O146:O209" si="43">RANK(N146,N$17:N$472,1)</f>
        <v>21</v>
      </c>
      <c r="P146">
        <f t="shared" ref="P146:P209" si="44">IF(M$15&gt;0,IF(O146*10^$F$14&lt;=M$15,10^$F$14,0),0)</f>
        <v>0</v>
      </c>
      <c r="Q146">
        <f>IF(M146=0,0,M146/予定価格!B134)</f>
        <v>0</v>
      </c>
      <c r="R146">
        <f t="shared" ref="R146:R209" si="45">RANK(Q146,Q$17:Q$472,0)</f>
        <v>21</v>
      </c>
      <c r="S146">
        <f t="shared" ref="S146:S209" si="46">IF(M$15&lt;0,IF(R146*10^$F$14&lt;=-M$15,-(10^$F$14),0),0)</f>
        <v>0</v>
      </c>
      <c r="T146" s="13">
        <f t="shared" ref="T146:T209" si="47">+M146+P146+S146</f>
        <v>0</v>
      </c>
      <c r="U146" s="13" t="e">
        <f>IF(予定価格!$G$427=0,ROUND(予定価格!H134*(入力表!$F$12/予定価格!$H$431),-$F$14),ROUND((予定価格!G134*(入力表!$F$12-予定価格!$H$431)/予定価格!$G$431)+予定価格!H134,-$F$14))</f>
        <v>#DIV/0!</v>
      </c>
      <c r="V146" t="e">
        <f>IF(U146=0,1,IF(予定価格!O134=0,1,(U146-予定価格!P134)/予定価格!O134))</f>
        <v>#DIV/0!</v>
      </c>
      <c r="W146" t="e">
        <f t="shared" ref="W146:W209" si="48">RANK(V146,V$17:V$472,1)</f>
        <v>#DIV/0!</v>
      </c>
      <c r="X146" t="e">
        <f t="shared" ref="X146:X209" si="49">IF(U$15&gt;0,IF(W146*10^$F$14&lt;=U$15,10^$F$14,0),0)</f>
        <v>#DIV/0!</v>
      </c>
      <c r="Y146" t="e">
        <f>IF(U146=0,0,IF(予定価格!G134=0,0,(U146-予定価格!H134)/予定価格!G134))</f>
        <v>#DIV/0!</v>
      </c>
      <c r="Z146" t="e">
        <f t="shared" ref="Z146:Z209" si="50">RANK(Y146,Y$17:Y$472,0)</f>
        <v>#DIV/0!</v>
      </c>
      <c r="AA146" t="e">
        <f t="shared" ref="AA146:AA209" si="51">IF(U$15&lt;0,IF(Z146*10^$F$14&lt;=-U$15,-(10^$F$14),0),0)</f>
        <v>#DIV/0!</v>
      </c>
      <c r="AB146" s="13" t="e">
        <f t="shared" ref="AB146:AB209" si="52">+U146+X146+AA146</f>
        <v>#DIV/0!</v>
      </c>
    </row>
    <row r="147" spans="1:28" hidden="1" x14ac:dyDescent="0.15">
      <c r="A147">
        <f>+予定価格!A135</f>
        <v>0</v>
      </c>
      <c r="B147" s="258">
        <f>ROUND(予定価格!B135*査定表!$B$437,-D147)+E147</f>
        <v>0</v>
      </c>
      <c r="C147" s="258"/>
      <c r="D147" s="45">
        <f t="shared" si="41"/>
        <v>4</v>
      </c>
      <c r="E147" s="46">
        <f t="shared" si="37"/>
        <v>0</v>
      </c>
      <c r="F147" s="258">
        <f>IF($F$12=0,0,IF(予定価格!$G$427=0,ROUND(予定価格!H135*(入力表!$F$12/予定価格!$H$431),-H147),ROUND((予定価格!G135*(入力表!$F$12-予定価格!$H$431)/予定価格!$G$431)+予定価格!H135,-H147)))+I147</f>
        <v>0</v>
      </c>
      <c r="G147" s="258"/>
      <c r="H147" s="47">
        <f t="shared" si="42"/>
        <v>4</v>
      </c>
      <c r="I147" s="48">
        <f t="shared" si="38"/>
        <v>0</v>
      </c>
      <c r="J147" s="116">
        <f t="shared" si="39"/>
        <v>0</v>
      </c>
      <c r="K147" s="19">
        <f t="shared" si="40"/>
        <v>0</v>
      </c>
      <c r="L147" s="50"/>
      <c r="M147" s="13">
        <f>ROUND(予定価格!B135*査定表!$B$437,-$F$14)</f>
        <v>0</v>
      </c>
      <c r="N147">
        <f>IF(M147=0,1,M147/予定価格!B135)</f>
        <v>1</v>
      </c>
      <c r="O147">
        <f t="shared" si="43"/>
        <v>21</v>
      </c>
      <c r="P147">
        <f t="shared" si="44"/>
        <v>0</v>
      </c>
      <c r="Q147">
        <f>IF(M147=0,0,M147/予定価格!B135)</f>
        <v>0</v>
      </c>
      <c r="R147">
        <f t="shared" si="45"/>
        <v>21</v>
      </c>
      <c r="S147">
        <f t="shared" si="46"/>
        <v>0</v>
      </c>
      <c r="T147" s="13">
        <f t="shared" si="47"/>
        <v>0</v>
      </c>
      <c r="U147" s="13" t="e">
        <f>IF(予定価格!$G$427=0,ROUND(予定価格!H135*(入力表!$F$12/予定価格!$H$431),-$F$14),ROUND((予定価格!G135*(入力表!$F$12-予定価格!$H$431)/予定価格!$G$431)+予定価格!H135,-$F$14))</f>
        <v>#DIV/0!</v>
      </c>
      <c r="V147" t="e">
        <f>IF(U147=0,1,IF(予定価格!O135=0,1,(U147-予定価格!P135)/予定価格!O135))</f>
        <v>#DIV/0!</v>
      </c>
      <c r="W147" t="e">
        <f t="shared" si="48"/>
        <v>#DIV/0!</v>
      </c>
      <c r="X147" t="e">
        <f t="shared" si="49"/>
        <v>#DIV/0!</v>
      </c>
      <c r="Y147" t="e">
        <f>IF(U147=0,0,IF(予定価格!G135=0,0,(U147-予定価格!H135)/予定価格!G135))</f>
        <v>#DIV/0!</v>
      </c>
      <c r="Z147" t="e">
        <f t="shared" si="50"/>
        <v>#DIV/0!</v>
      </c>
      <c r="AA147" t="e">
        <f t="shared" si="51"/>
        <v>#DIV/0!</v>
      </c>
      <c r="AB147" s="13" t="e">
        <f t="shared" si="52"/>
        <v>#DIV/0!</v>
      </c>
    </row>
    <row r="148" spans="1:28" hidden="1" x14ac:dyDescent="0.15">
      <c r="A148">
        <f>+予定価格!A136</f>
        <v>0</v>
      </c>
      <c r="B148" s="258">
        <f>ROUND(予定価格!B136*査定表!$B$437,-D148)+E148</f>
        <v>0</v>
      </c>
      <c r="C148" s="258"/>
      <c r="D148" s="45">
        <f t="shared" si="41"/>
        <v>4</v>
      </c>
      <c r="E148" s="46">
        <f t="shared" si="37"/>
        <v>0</v>
      </c>
      <c r="F148" s="258">
        <f>IF($F$12=0,0,IF(予定価格!$G$427=0,ROUND(予定価格!H136*(入力表!$F$12/予定価格!$H$431),-H148),ROUND((予定価格!G136*(入力表!$F$12-予定価格!$H$431)/予定価格!$G$431)+予定価格!H136,-H148)))+I148</f>
        <v>0</v>
      </c>
      <c r="G148" s="258"/>
      <c r="H148" s="47">
        <f t="shared" si="42"/>
        <v>4</v>
      </c>
      <c r="I148" s="48">
        <f t="shared" si="38"/>
        <v>0</v>
      </c>
      <c r="J148" s="116">
        <f t="shared" si="39"/>
        <v>0</v>
      </c>
      <c r="K148" s="19">
        <f t="shared" si="40"/>
        <v>0</v>
      </c>
      <c r="L148" s="50"/>
      <c r="M148" s="13">
        <f>ROUND(予定価格!B136*査定表!$B$437,-$F$14)</f>
        <v>0</v>
      </c>
      <c r="N148">
        <f>IF(M148=0,1,M148/予定価格!B136)</f>
        <v>1</v>
      </c>
      <c r="O148">
        <f t="shared" si="43"/>
        <v>21</v>
      </c>
      <c r="P148">
        <f t="shared" si="44"/>
        <v>0</v>
      </c>
      <c r="Q148">
        <f>IF(M148=0,0,M148/予定価格!B136)</f>
        <v>0</v>
      </c>
      <c r="R148">
        <f t="shared" si="45"/>
        <v>21</v>
      </c>
      <c r="S148">
        <f t="shared" si="46"/>
        <v>0</v>
      </c>
      <c r="T148" s="13">
        <f t="shared" si="47"/>
        <v>0</v>
      </c>
      <c r="U148" s="13" t="e">
        <f>IF(予定価格!$G$427=0,ROUND(予定価格!H136*(入力表!$F$12/予定価格!$H$431),-$F$14),ROUND((予定価格!G136*(入力表!$F$12-予定価格!$H$431)/予定価格!$G$431)+予定価格!H136,-$F$14))</f>
        <v>#DIV/0!</v>
      </c>
      <c r="V148" t="e">
        <f>IF(U148=0,1,IF(予定価格!O136=0,1,(U148-予定価格!P136)/予定価格!O136))</f>
        <v>#DIV/0!</v>
      </c>
      <c r="W148" t="e">
        <f t="shared" si="48"/>
        <v>#DIV/0!</v>
      </c>
      <c r="X148" t="e">
        <f t="shared" si="49"/>
        <v>#DIV/0!</v>
      </c>
      <c r="Y148" t="e">
        <f>IF(U148=0,0,IF(予定価格!G136=0,0,(U148-予定価格!H136)/予定価格!G136))</f>
        <v>#DIV/0!</v>
      </c>
      <c r="Z148" t="e">
        <f t="shared" si="50"/>
        <v>#DIV/0!</v>
      </c>
      <c r="AA148" t="e">
        <f t="shared" si="51"/>
        <v>#DIV/0!</v>
      </c>
      <c r="AB148" s="13" t="e">
        <f t="shared" si="52"/>
        <v>#DIV/0!</v>
      </c>
    </row>
    <row r="149" spans="1:28" hidden="1" x14ac:dyDescent="0.15">
      <c r="A149">
        <f>+予定価格!A137</f>
        <v>0</v>
      </c>
      <c r="B149" s="258">
        <f>ROUND(予定価格!B137*査定表!$B$437,-D149)+E149</f>
        <v>0</v>
      </c>
      <c r="C149" s="258"/>
      <c r="D149" s="45">
        <f t="shared" si="41"/>
        <v>4</v>
      </c>
      <c r="E149" s="46">
        <f t="shared" si="37"/>
        <v>0</v>
      </c>
      <c r="F149" s="258">
        <f>IF($F$12=0,0,IF(予定価格!$G$427=0,ROUND(予定価格!H137*(入力表!$F$12/予定価格!$H$431),-H149),ROUND((予定価格!G137*(入力表!$F$12-予定価格!$H$431)/予定価格!$G$431)+予定価格!H137,-H149)))+I149</f>
        <v>0</v>
      </c>
      <c r="G149" s="258"/>
      <c r="H149" s="47">
        <f t="shared" si="42"/>
        <v>4</v>
      </c>
      <c r="I149" s="48">
        <f t="shared" si="38"/>
        <v>0</v>
      </c>
      <c r="J149" s="116">
        <f t="shared" si="39"/>
        <v>0</v>
      </c>
      <c r="K149" s="19">
        <f t="shared" si="40"/>
        <v>0</v>
      </c>
      <c r="L149" s="50"/>
      <c r="M149" s="13">
        <f>ROUND(予定価格!B137*査定表!$B$437,-$F$14)</f>
        <v>0</v>
      </c>
      <c r="N149">
        <f>IF(M149=0,1,M149/予定価格!B137)</f>
        <v>1</v>
      </c>
      <c r="O149">
        <f t="shared" si="43"/>
        <v>21</v>
      </c>
      <c r="P149">
        <f t="shared" si="44"/>
        <v>0</v>
      </c>
      <c r="Q149">
        <f>IF(M149=0,0,M149/予定価格!B137)</f>
        <v>0</v>
      </c>
      <c r="R149">
        <f t="shared" si="45"/>
        <v>21</v>
      </c>
      <c r="S149">
        <f t="shared" si="46"/>
        <v>0</v>
      </c>
      <c r="T149" s="13">
        <f t="shared" si="47"/>
        <v>0</v>
      </c>
      <c r="U149" s="13" t="e">
        <f>IF(予定価格!$G$427=0,ROUND(予定価格!H137*(入力表!$F$12/予定価格!$H$431),-$F$14),ROUND((予定価格!G137*(入力表!$F$12-予定価格!$H$431)/予定価格!$G$431)+予定価格!H137,-$F$14))</f>
        <v>#DIV/0!</v>
      </c>
      <c r="V149" t="e">
        <f>IF(U149=0,1,IF(予定価格!O137=0,1,(U149-予定価格!P137)/予定価格!O137))</f>
        <v>#DIV/0!</v>
      </c>
      <c r="W149" t="e">
        <f t="shared" si="48"/>
        <v>#DIV/0!</v>
      </c>
      <c r="X149" t="e">
        <f t="shared" si="49"/>
        <v>#DIV/0!</v>
      </c>
      <c r="Y149" t="e">
        <f>IF(U149=0,0,IF(予定価格!G137=0,0,(U149-予定価格!H137)/予定価格!G137))</f>
        <v>#DIV/0!</v>
      </c>
      <c r="Z149" t="e">
        <f t="shared" si="50"/>
        <v>#DIV/0!</v>
      </c>
      <c r="AA149" t="e">
        <f t="shared" si="51"/>
        <v>#DIV/0!</v>
      </c>
      <c r="AB149" s="13" t="e">
        <f t="shared" si="52"/>
        <v>#DIV/0!</v>
      </c>
    </row>
    <row r="150" spans="1:28" hidden="1" x14ac:dyDescent="0.15">
      <c r="A150">
        <f>+予定価格!A138</f>
        <v>0</v>
      </c>
      <c r="B150" s="258">
        <f>ROUND(予定価格!B138*査定表!$B$437,-D150)+E150</f>
        <v>0</v>
      </c>
      <c r="C150" s="258"/>
      <c r="D150" s="45">
        <f t="shared" si="41"/>
        <v>4</v>
      </c>
      <c r="E150" s="46">
        <f t="shared" si="37"/>
        <v>0</v>
      </c>
      <c r="F150" s="258">
        <f>IF($F$12=0,0,IF(予定価格!$G$427=0,ROUND(予定価格!H138*(入力表!$F$12/予定価格!$H$431),-H150),ROUND((予定価格!G138*(入力表!$F$12-予定価格!$H$431)/予定価格!$G$431)+予定価格!H138,-H150)))+I150</f>
        <v>0</v>
      </c>
      <c r="G150" s="258"/>
      <c r="H150" s="47">
        <f t="shared" si="42"/>
        <v>4</v>
      </c>
      <c r="I150" s="48">
        <f t="shared" si="38"/>
        <v>0</v>
      </c>
      <c r="J150" s="116">
        <f t="shared" si="39"/>
        <v>0</v>
      </c>
      <c r="K150" s="19">
        <f t="shared" si="40"/>
        <v>0</v>
      </c>
      <c r="L150" s="50"/>
      <c r="M150" s="13">
        <f>ROUND(予定価格!B138*査定表!$B$437,-$F$14)</f>
        <v>0</v>
      </c>
      <c r="N150">
        <f>IF(M150=0,1,M150/予定価格!B138)</f>
        <v>1</v>
      </c>
      <c r="O150">
        <f t="shared" si="43"/>
        <v>21</v>
      </c>
      <c r="P150">
        <f t="shared" si="44"/>
        <v>0</v>
      </c>
      <c r="Q150">
        <f>IF(M150=0,0,M150/予定価格!B138)</f>
        <v>0</v>
      </c>
      <c r="R150">
        <f t="shared" si="45"/>
        <v>21</v>
      </c>
      <c r="S150">
        <f t="shared" si="46"/>
        <v>0</v>
      </c>
      <c r="T150" s="13">
        <f t="shared" si="47"/>
        <v>0</v>
      </c>
      <c r="U150" s="13" t="e">
        <f>IF(予定価格!$G$427=0,ROUND(予定価格!H138*(入力表!$F$12/予定価格!$H$431),-$F$14),ROUND((予定価格!G138*(入力表!$F$12-予定価格!$H$431)/予定価格!$G$431)+予定価格!H138,-$F$14))</f>
        <v>#DIV/0!</v>
      </c>
      <c r="V150" t="e">
        <f>IF(U150=0,1,IF(予定価格!O138=0,1,(U150-予定価格!P138)/予定価格!O138))</f>
        <v>#DIV/0!</v>
      </c>
      <c r="W150" t="e">
        <f t="shared" si="48"/>
        <v>#DIV/0!</v>
      </c>
      <c r="X150" t="e">
        <f t="shared" si="49"/>
        <v>#DIV/0!</v>
      </c>
      <c r="Y150" t="e">
        <f>IF(U150=0,0,IF(予定価格!G138=0,0,(U150-予定価格!H138)/予定価格!G138))</f>
        <v>#DIV/0!</v>
      </c>
      <c r="Z150" t="e">
        <f t="shared" si="50"/>
        <v>#DIV/0!</v>
      </c>
      <c r="AA150" t="e">
        <f t="shared" si="51"/>
        <v>#DIV/0!</v>
      </c>
      <c r="AB150" s="13" t="e">
        <f t="shared" si="52"/>
        <v>#DIV/0!</v>
      </c>
    </row>
    <row r="151" spans="1:28" hidden="1" x14ac:dyDescent="0.15">
      <c r="A151">
        <f>+予定価格!A139</f>
        <v>0</v>
      </c>
      <c r="B151" s="258">
        <f>ROUND(予定価格!B139*査定表!$B$437,-D151)+E151</f>
        <v>0</v>
      </c>
      <c r="C151" s="258"/>
      <c r="D151" s="45">
        <f t="shared" si="41"/>
        <v>4</v>
      </c>
      <c r="E151" s="46">
        <f t="shared" si="37"/>
        <v>0</v>
      </c>
      <c r="F151" s="258">
        <f>IF($F$12=0,0,IF(予定価格!$G$427=0,ROUND(予定価格!H139*(入力表!$F$12/予定価格!$H$431),-H151),ROUND((予定価格!G139*(入力表!$F$12-予定価格!$H$431)/予定価格!$G$431)+予定価格!H139,-H151)))+I151</f>
        <v>0</v>
      </c>
      <c r="G151" s="258"/>
      <c r="H151" s="47">
        <f t="shared" si="42"/>
        <v>4</v>
      </c>
      <c r="I151" s="48">
        <f t="shared" si="38"/>
        <v>0</v>
      </c>
      <c r="J151" s="116">
        <f t="shared" si="39"/>
        <v>0</v>
      </c>
      <c r="K151" s="19">
        <f t="shared" si="40"/>
        <v>0</v>
      </c>
      <c r="L151" s="50"/>
      <c r="M151" s="13">
        <f>ROUND(予定価格!B139*査定表!$B$437,-$F$14)</f>
        <v>0</v>
      </c>
      <c r="N151">
        <f>IF(M151=0,1,M151/予定価格!B139)</f>
        <v>1</v>
      </c>
      <c r="O151">
        <f t="shared" si="43"/>
        <v>21</v>
      </c>
      <c r="P151">
        <f t="shared" si="44"/>
        <v>0</v>
      </c>
      <c r="Q151">
        <f>IF(M151=0,0,M151/予定価格!B139)</f>
        <v>0</v>
      </c>
      <c r="R151">
        <f t="shared" si="45"/>
        <v>21</v>
      </c>
      <c r="S151">
        <f t="shared" si="46"/>
        <v>0</v>
      </c>
      <c r="T151" s="13">
        <f t="shared" si="47"/>
        <v>0</v>
      </c>
      <c r="U151" s="13" t="e">
        <f>IF(予定価格!$G$427=0,ROUND(予定価格!H139*(入力表!$F$12/予定価格!$H$431),-$F$14),ROUND((予定価格!G139*(入力表!$F$12-予定価格!$H$431)/予定価格!$G$431)+予定価格!H139,-$F$14))</f>
        <v>#DIV/0!</v>
      </c>
      <c r="V151" t="e">
        <f>IF(U151=0,1,IF(予定価格!O139=0,1,(U151-予定価格!P139)/予定価格!O139))</f>
        <v>#DIV/0!</v>
      </c>
      <c r="W151" t="e">
        <f t="shared" si="48"/>
        <v>#DIV/0!</v>
      </c>
      <c r="X151" t="e">
        <f t="shared" si="49"/>
        <v>#DIV/0!</v>
      </c>
      <c r="Y151" t="e">
        <f>IF(U151=0,0,IF(予定価格!G139=0,0,(U151-予定価格!H139)/予定価格!G139))</f>
        <v>#DIV/0!</v>
      </c>
      <c r="Z151" t="e">
        <f t="shared" si="50"/>
        <v>#DIV/0!</v>
      </c>
      <c r="AA151" t="e">
        <f t="shared" si="51"/>
        <v>#DIV/0!</v>
      </c>
      <c r="AB151" s="13" t="e">
        <f t="shared" si="52"/>
        <v>#DIV/0!</v>
      </c>
    </row>
    <row r="152" spans="1:28" hidden="1" x14ac:dyDescent="0.15">
      <c r="A152">
        <f>+予定価格!A140</f>
        <v>0</v>
      </c>
      <c r="B152" s="258">
        <f>ROUND(予定価格!B140*査定表!$B$437,-D152)+E152</f>
        <v>0</v>
      </c>
      <c r="C152" s="258"/>
      <c r="D152" s="45">
        <f t="shared" si="41"/>
        <v>4</v>
      </c>
      <c r="E152" s="46">
        <f t="shared" si="37"/>
        <v>0</v>
      </c>
      <c r="F152" s="258">
        <f>IF($F$12=0,0,IF(予定価格!$G$427=0,ROUND(予定価格!H140*(入力表!$F$12/予定価格!$H$431),-H152),ROUND((予定価格!G140*(入力表!$F$12-予定価格!$H$431)/予定価格!$G$431)+予定価格!H140,-H152)))+I152</f>
        <v>0</v>
      </c>
      <c r="G152" s="258"/>
      <c r="H152" s="47">
        <f t="shared" si="42"/>
        <v>4</v>
      </c>
      <c r="I152" s="48">
        <f t="shared" si="38"/>
        <v>0</v>
      </c>
      <c r="J152" s="116">
        <f t="shared" si="39"/>
        <v>0</v>
      </c>
      <c r="K152" s="19">
        <f t="shared" si="40"/>
        <v>0</v>
      </c>
      <c r="L152" s="50"/>
      <c r="M152" s="13">
        <f>ROUND(予定価格!B140*査定表!$B$437,-$F$14)</f>
        <v>0</v>
      </c>
      <c r="N152">
        <f>IF(M152=0,1,M152/予定価格!B140)</f>
        <v>1</v>
      </c>
      <c r="O152">
        <f t="shared" si="43"/>
        <v>21</v>
      </c>
      <c r="P152">
        <f t="shared" si="44"/>
        <v>0</v>
      </c>
      <c r="Q152">
        <f>IF(M152=0,0,M152/予定価格!B140)</f>
        <v>0</v>
      </c>
      <c r="R152">
        <f t="shared" si="45"/>
        <v>21</v>
      </c>
      <c r="S152">
        <f t="shared" si="46"/>
        <v>0</v>
      </c>
      <c r="T152" s="13">
        <f t="shared" si="47"/>
        <v>0</v>
      </c>
      <c r="U152" s="13" t="e">
        <f>IF(予定価格!$G$427=0,ROUND(予定価格!H140*(入力表!$F$12/予定価格!$H$431),-$F$14),ROUND((予定価格!G140*(入力表!$F$12-予定価格!$H$431)/予定価格!$G$431)+予定価格!H140,-$F$14))</f>
        <v>#DIV/0!</v>
      </c>
      <c r="V152" t="e">
        <f>IF(U152=0,1,IF(予定価格!O140=0,1,(U152-予定価格!P140)/予定価格!O140))</f>
        <v>#DIV/0!</v>
      </c>
      <c r="W152" t="e">
        <f t="shared" si="48"/>
        <v>#DIV/0!</v>
      </c>
      <c r="X152" t="e">
        <f t="shared" si="49"/>
        <v>#DIV/0!</v>
      </c>
      <c r="Y152" t="e">
        <f>IF(U152=0,0,IF(予定価格!G140=0,0,(U152-予定価格!H140)/予定価格!G140))</f>
        <v>#DIV/0!</v>
      </c>
      <c r="Z152" t="e">
        <f t="shared" si="50"/>
        <v>#DIV/0!</v>
      </c>
      <c r="AA152" t="e">
        <f t="shared" si="51"/>
        <v>#DIV/0!</v>
      </c>
      <c r="AB152" s="13" t="e">
        <f t="shared" si="52"/>
        <v>#DIV/0!</v>
      </c>
    </row>
    <row r="153" spans="1:28" hidden="1" x14ac:dyDescent="0.15">
      <c r="A153">
        <f>+予定価格!A141</f>
        <v>0</v>
      </c>
      <c r="B153" s="258">
        <f>ROUND(予定価格!B141*査定表!$B$437,-D153)+E153</f>
        <v>0</v>
      </c>
      <c r="C153" s="258"/>
      <c r="D153" s="45">
        <f t="shared" si="41"/>
        <v>4</v>
      </c>
      <c r="E153" s="46">
        <f t="shared" si="37"/>
        <v>0</v>
      </c>
      <c r="F153" s="258">
        <f>IF($F$12=0,0,IF(予定価格!$G$427=0,ROUND(予定価格!H141*(入力表!$F$12/予定価格!$H$431),-H153),ROUND((予定価格!G141*(入力表!$F$12-予定価格!$H$431)/予定価格!$G$431)+予定価格!H141,-H153)))+I153</f>
        <v>0</v>
      </c>
      <c r="G153" s="258"/>
      <c r="H153" s="47">
        <f t="shared" si="42"/>
        <v>4</v>
      </c>
      <c r="I153" s="48">
        <f t="shared" si="38"/>
        <v>0</v>
      </c>
      <c r="J153" s="116">
        <f t="shared" si="39"/>
        <v>0</v>
      </c>
      <c r="K153" s="19">
        <f t="shared" si="40"/>
        <v>0</v>
      </c>
      <c r="L153" s="50"/>
      <c r="M153" s="13">
        <f>ROUND(予定価格!B141*査定表!$B$437,-$F$14)</f>
        <v>0</v>
      </c>
      <c r="N153">
        <f>IF(M153=0,1,M153/予定価格!B141)</f>
        <v>1</v>
      </c>
      <c r="O153">
        <f t="shared" si="43"/>
        <v>21</v>
      </c>
      <c r="P153">
        <f t="shared" si="44"/>
        <v>0</v>
      </c>
      <c r="Q153">
        <f>IF(M153=0,0,M153/予定価格!B141)</f>
        <v>0</v>
      </c>
      <c r="R153">
        <f t="shared" si="45"/>
        <v>21</v>
      </c>
      <c r="S153">
        <f t="shared" si="46"/>
        <v>0</v>
      </c>
      <c r="T153" s="13">
        <f t="shared" si="47"/>
        <v>0</v>
      </c>
      <c r="U153" s="13" t="e">
        <f>IF(予定価格!$G$427=0,ROUND(予定価格!H141*(入力表!$F$12/予定価格!$H$431),-$F$14),ROUND((予定価格!G141*(入力表!$F$12-予定価格!$H$431)/予定価格!$G$431)+予定価格!H141,-$F$14))</f>
        <v>#DIV/0!</v>
      </c>
      <c r="V153" t="e">
        <f>IF(U153=0,1,IF(予定価格!O141=0,1,(U153-予定価格!P141)/予定価格!O141))</f>
        <v>#DIV/0!</v>
      </c>
      <c r="W153" t="e">
        <f t="shared" si="48"/>
        <v>#DIV/0!</v>
      </c>
      <c r="X153" t="e">
        <f t="shared" si="49"/>
        <v>#DIV/0!</v>
      </c>
      <c r="Y153" t="e">
        <f>IF(U153=0,0,IF(予定価格!G141=0,0,(U153-予定価格!H141)/予定価格!G141))</f>
        <v>#DIV/0!</v>
      </c>
      <c r="Z153" t="e">
        <f t="shared" si="50"/>
        <v>#DIV/0!</v>
      </c>
      <c r="AA153" t="e">
        <f t="shared" si="51"/>
        <v>#DIV/0!</v>
      </c>
      <c r="AB153" s="13" t="e">
        <f t="shared" si="52"/>
        <v>#DIV/0!</v>
      </c>
    </row>
    <row r="154" spans="1:28" hidden="1" x14ac:dyDescent="0.15">
      <c r="A154">
        <f>+予定価格!A142</f>
        <v>0</v>
      </c>
      <c r="B154" s="258">
        <f>ROUND(予定価格!B142*査定表!$B$437,-D154)+E154</f>
        <v>0</v>
      </c>
      <c r="C154" s="258"/>
      <c r="D154" s="45">
        <f t="shared" si="41"/>
        <v>4</v>
      </c>
      <c r="E154" s="46">
        <f t="shared" si="37"/>
        <v>0</v>
      </c>
      <c r="F154" s="258">
        <f>IF($F$12=0,0,IF(予定価格!$G$427=0,ROUND(予定価格!H142*(入力表!$F$12/予定価格!$H$431),-H154),ROUND((予定価格!G142*(入力表!$F$12-予定価格!$H$431)/予定価格!$G$431)+予定価格!H142,-H154)))+I154</f>
        <v>0</v>
      </c>
      <c r="G154" s="258"/>
      <c r="H154" s="47">
        <f t="shared" si="42"/>
        <v>4</v>
      </c>
      <c r="I154" s="48">
        <f t="shared" si="38"/>
        <v>0</v>
      </c>
      <c r="J154" s="116">
        <f t="shared" si="39"/>
        <v>0</v>
      </c>
      <c r="K154" s="19">
        <f t="shared" si="40"/>
        <v>0</v>
      </c>
      <c r="L154" s="50"/>
      <c r="M154" s="13">
        <f>ROUND(予定価格!B142*査定表!$B$437,-$F$14)</f>
        <v>0</v>
      </c>
      <c r="N154">
        <f>IF(M154=0,1,M154/予定価格!B142)</f>
        <v>1</v>
      </c>
      <c r="O154">
        <f t="shared" si="43"/>
        <v>21</v>
      </c>
      <c r="P154">
        <f t="shared" si="44"/>
        <v>0</v>
      </c>
      <c r="Q154">
        <f>IF(M154=0,0,M154/予定価格!B142)</f>
        <v>0</v>
      </c>
      <c r="R154">
        <f t="shared" si="45"/>
        <v>21</v>
      </c>
      <c r="S154">
        <f t="shared" si="46"/>
        <v>0</v>
      </c>
      <c r="T154" s="13">
        <f t="shared" si="47"/>
        <v>0</v>
      </c>
      <c r="U154" s="13" t="e">
        <f>IF(予定価格!$G$427=0,ROUND(予定価格!H142*(入力表!$F$12/予定価格!$H$431),-$F$14),ROUND((予定価格!G142*(入力表!$F$12-予定価格!$H$431)/予定価格!$G$431)+予定価格!H142,-$F$14))</f>
        <v>#DIV/0!</v>
      </c>
      <c r="V154" t="e">
        <f>IF(U154=0,1,IF(予定価格!O142=0,1,(U154-予定価格!P142)/予定価格!O142))</f>
        <v>#DIV/0!</v>
      </c>
      <c r="W154" t="e">
        <f t="shared" si="48"/>
        <v>#DIV/0!</v>
      </c>
      <c r="X154" t="e">
        <f t="shared" si="49"/>
        <v>#DIV/0!</v>
      </c>
      <c r="Y154" t="e">
        <f>IF(U154=0,0,IF(予定価格!G142=0,0,(U154-予定価格!H142)/予定価格!G142))</f>
        <v>#DIV/0!</v>
      </c>
      <c r="Z154" t="e">
        <f t="shared" si="50"/>
        <v>#DIV/0!</v>
      </c>
      <c r="AA154" t="e">
        <f t="shared" si="51"/>
        <v>#DIV/0!</v>
      </c>
      <c r="AB154" s="13" t="e">
        <f t="shared" si="52"/>
        <v>#DIV/0!</v>
      </c>
    </row>
    <row r="155" spans="1:28" hidden="1" x14ac:dyDescent="0.15">
      <c r="A155">
        <f>+予定価格!A143</f>
        <v>0</v>
      </c>
      <c r="B155" s="258">
        <f>ROUND(予定価格!B143*査定表!$B$437,-D155)+E155</f>
        <v>0</v>
      </c>
      <c r="C155" s="258"/>
      <c r="D155" s="45">
        <f t="shared" si="41"/>
        <v>4</v>
      </c>
      <c r="E155" s="46">
        <f t="shared" si="37"/>
        <v>0</v>
      </c>
      <c r="F155" s="258">
        <f>IF($F$12=0,0,IF(予定価格!$G$427=0,ROUND(予定価格!H143*(入力表!$F$12/予定価格!$H$431),-H155),ROUND((予定価格!G143*(入力表!$F$12-予定価格!$H$431)/予定価格!$G$431)+予定価格!H143,-H155)))+I155</f>
        <v>0</v>
      </c>
      <c r="G155" s="258"/>
      <c r="H155" s="47">
        <f t="shared" si="42"/>
        <v>4</v>
      </c>
      <c r="I155" s="48">
        <f t="shared" si="38"/>
        <v>0</v>
      </c>
      <c r="J155" s="116">
        <f t="shared" si="39"/>
        <v>0</v>
      </c>
      <c r="K155" s="19">
        <f t="shared" si="40"/>
        <v>0</v>
      </c>
      <c r="L155" s="50"/>
      <c r="M155" s="13">
        <f>ROUND(予定価格!B143*査定表!$B$437,-$F$14)</f>
        <v>0</v>
      </c>
      <c r="N155">
        <f>IF(M155=0,1,M155/予定価格!B143)</f>
        <v>1</v>
      </c>
      <c r="O155">
        <f t="shared" si="43"/>
        <v>21</v>
      </c>
      <c r="P155">
        <f t="shared" si="44"/>
        <v>0</v>
      </c>
      <c r="Q155">
        <f>IF(M155=0,0,M155/予定価格!B143)</f>
        <v>0</v>
      </c>
      <c r="R155">
        <f t="shared" si="45"/>
        <v>21</v>
      </c>
      <c r="S155">
        <f t="shared" si="46"/>
        <v>0</v>
      </c>
      <c r="T155" s="13">
        <f t="shared" si="47"/>
        <v>0</v>
      </c>
      <c r="U155" s="13" t="e">
        <f>IF(予定価格!$G$427=0,ROUND(予定価格!H143*(入力表!$F$12/予定価格!$H$431),-$F$14),ROUND((予定価格!G143*(入力表!$F$12-予定価格!$H$431)/予定価格!$G$431)+予定価格!H143,-$F$14))</f>
        <v>#DIV/0!</v>
      </c>
      <c r="V155" t="e">
        <f>IF(U155=0,1,IF(予定価格!O143=0,1,(U155-予定価格!P143)/予定価格!O143))</f>
        <v>#DIV/0!</v>
      </c>
      <c r="W155" t="e">
        <f t="shared" si="48"/>
        <v>#DIV/0!</v>
      </c>
      <c r="X155" t="e">
        <f t="shared" si="49"/>
        <v>#DIV/0!</v>
      </c>
      <c r="Y155" t="e">
        <f>IF(U155=0,0,IF(予定価格!G143=0,0,(U155-予定価格!H143)/予定価格!G143))</f>
        <v>#DIV/0!</v>
      </c>
      <c r="Z155" t="e">
        <f t="shared" si="50"/>
        <v>#DIV/0!</v>
      </c>
      <c r="AA155" t="e">
        <f t="shared" si="51"/>
        <v>#DIV/0!</v>
      </c>
      <c r="AB155" s="13" t="e">
        <f t="shared" si="52"/>
        <v>#DIV/0!</v>
      </c>
    </row>
    <row r="156" spans="1:28" hidden="1" x14ac:dyDescent="0.15">
      <c r="A156">
        <f>+予定価格!A144</f>
        <v>0</v>
      </c>
      <c r="B156" s="258">
        <f>ROUND(予定価格!B144*査定表!$B$437,-D156)+E156</f>
        <v>0</v>
      </c>
      <c r="C156" s="258"/>
      <c r="D156" s="45">
        <f t="shared" si="41"/>
        <v>4</v>
      </c>
      <c r="E156" s="46">
        <f t="shared" si="37"/>
        <v>0</v>
      </c>
      <c r="F156" s="258">
        <f>IF($F$12=0,0,IF(予定価格!$G$427=0,ROUND(予定価格!H144*(入力表!$F$12/予定価格!$H$431),-H156),ROUND((予定価格!G144*(入力表!$F$12-予定価格!$H$431)/予定価格!$G$431)+予定価格!H144,-H156)))+I156</f>
        <v>0</v>
      </c>
      <c r="G156" s="258"/>
      <c r="H156" s="47">
        <f t="shared" si="42"/>
        <v>4</v>
      </c>
      <c r="I156" s="48">
        <f t="shared" si="38"/>
        <v>0</v>
      </c>
      <c r="J156" s="116">
        <f t="shared" si="39"/>
        <v>0</v>
      </c>
      <c r="K156" s="19">
        <f t="shared" si="40"/>
        <v>0</v>
      </c>
      <c r="L156" s="50"/>
      <c r="M156" s="13">
        <f>ROUND(予定価格!B144*査定表!$B$437,-$F$14)</f>
        <v>0</v>
      </c>
      <c r="N156">
        <f>IF(M156=0,1,M156/予定価格!B144)</f>
        <v>1</v>
      </c>
      <c r="O156">
        <f t="shared" si="43"/>
        <v>21</v>
      </c>
      <c r="P156">
        <f t="shared" si="44"/>
        <v>0</v>
      </c>
      <c r="Q156">
        <f>IF(M156=0,0,M156/予定価格!B144)</f>
        <v>0</v>
      </c>
      <c r="R156">
        <f t="shared" si="45"/>
        <v>21</v>
      </c>
      <c r="S156">
        <f t="shared" si="46"/>
        <v>0</v>
      </c>
      <c r="T156" s="13">
        <f t="shared" si="47"/>
        <v>0</v>
      </c>
      <c r="U156" s="13" t="e">
        <f>IF(予定価格!$G$427=0,ROUND(予定価格!H144*(入力表!$F$12/予定価格!$H$431),-$F$14),ROUND((予定価格!G144*(入力表!$F$12-予定価格!$H$431)/予定価格!$G$431)+予定価格!H144,-$F$14))</f>
        <v>#DIV/0!</v>
      </c>
      <c r="V156" t="e">
        <f>IF(U156=0,1,IF(予定価格!O144=0,1,(U156-予定価格!P144)/予定価格!O144))</f>
        <v>#DIV/0!</v>
      </c>
      <c r="W156" t="e">
        <f t="shared" si="48"/>
        <v>#DIV/0!</v>
      </c>
      <c r="X156" t="e">
        <f t="shared" si="49"/>
        <v>#DIV/0!</v>
      </c>
      <c r="Y156" t="e">
        <f>IF(U156=0,0,IF(予定価格!G144=0,0,(U156-予定価格!H144)/予定価格!G144))</f>
        <v>#DIV/0!</v>
      </c>
      <c r="Z156" t="e">
        <f t="shared" si="50"/>
        <v>#DIV/0!</v>
      </c>
      <c r="AA156" t="e">
        <f t="shared" si="51"/>
        <v>#DIV/0!</v>
      </c>
      <c r="AB156" s="13" t="e">
        <f t="shared" si="52"/>
        <v>#DIV/0!</v>
      </c>
    </row>
    <row r="157" spans="1:28" hidden="1" x14ac:dyDescent="0.15">
      <c r="A157">
        <f>+予定価格!A145</f>
        <v>0</v>
      </c>
      <c r="B157" s="258">
        <f>ROUND(予定価格!B145*査定表!$B$437,-D157)+E157</f>
        <v>0</v>
      </c>
      <c r="C157" s="258"/>
      <c r="D157" s="45">
        <f t="shared" si="41"/>
        <v>4</v>
      </c>
      <c r="E157" s="46">
        <f t="shared" si="37"/>
        <v>0</v>
      </c>
      <c r="F157" s="258">
        <f>IF($F$12=0,0,IF(予定価格!$G$427=0,ROUND(予定価格!H145*(入力表!$F$12/予定価格!$H$431),-H157),ROUND((予定価格!G145*(入力表!$F$12-予定価格!$H$431)/予定価格!$G$431)+予定価格!H145,-H157)))+I157</f>
        <v>0</v>
      </c>
      <c r="G157" s="258"/>
      <c r="H157" s="47">
        <f t="shared" si="42"/>
        <v>4</v>
      </c>
      <c r="I157" s="48">
        <f t="shared" si="38"/>
        <v>0</v>
      </c>
      <c r="J157" s="116">
        <f t="shared" si="39"/>
        <v>0</v>
      </c>
      <c r="K157" s="19">
        <f t="shared" si="40"/>
        <v>0</v>
      </c>
      <c r="L157" s="50"/>
      <c r="M157" s="13">
        <f>ROUND(予定価格!B145*査定表!$B$437,-$F$14)</f>
        <v>0</v>
      </c>
      <c r="N157">
        <f>IF(M157=0,1,M157/予定価格!B145)</f>
        <v>1</v>
      </c>
      <c r="O157">
        <f t="shared" si="43"/>
        <v>21</v>
      </c>
      <c r="P157">
        <f t="shared" si="44"/>
        <v>0</v>
      </c>
      <c r="Q157">
        <f>IF(M157=0,0,M157/予定価格!B145)</f>
        <v>0</v>
      </c>
      <c r="R157">
        <f t="shared" si="45"/>
        <v>21</v>
      </c>
      <c r="S157">
        <f t="shared" si="46"/>
        <v>0</v>
      </c>
      <c r="T157" s="13">
        <f t="shared" si="47"/>
        <v>0</v>
      </c>
      <c r="U157" s="13" t="e">
        <f>IF(予定価格!$G$427=0,ROUND(予定価格!H145*(入力表!$F$12/予定価格!$H$431),-$F$14),ROUND((予定価格!G145*(入力表!$F$12-予定価格!$H$431)/予定価格!$G$431)+予定価格!H145,-$F$14))</f>
        <v>#DIV/0!</v>
      </c>
      <c r="V157" t="e">
        <f>IF(U157=0,1,IF(予定価格!O145=0,1,(U157-予定価格!P145)/予定価格!O145))</f>
        <v>#DIV/0!</v>
      </c>
      <c r="W157" t="e">
        <f t="shared" si="48"/>
        <v>#DIV/0!</v>
      </c>
      <c r="X157" t="e">
        <f t="shared" si="49"/>
        <v>#DIV/0!</v>
      </c>
      <c r="Y157" t="e">
        <f>IF(U157=0,0,IF(予定価格!G145=0,0,(U157-予定価格!H145)/予定価格!G145))</f>
        <v>#DIV/0!</v>
      </c>
      <c r="Z157" t="e">
        <f t="shared" si="50"/>
        <v>#DIV/0!</v>
      </c>
      <c r="AA157" t="e">
        <f t="shared" si="51"/>
        <v>#DIV/0!</v>
      </c>
      <c r="AB157" s="13" t="e">
        <f t="shared" si="52"/>
        <v>#DIV/0!</v>
      </c>
    </row>
    <row r="158" spans="1:28" hidden="1" x14ac:dyDescent="0.15">
      <c r="A158">
        <f>+予定価格!A146</f>
        <v>0</v>
      </c>
      <c r="B158" s="258">
        <f>ROUND(予定価格!B146*査定表!$B$437,-D158)+E158</f>
        <v>0</v>
      </c>
      <c r="C158" s="258"/>
      <c r="D158" s="45">
        <f t="shared" si="41"/>
        <v>4</v>
      </c>
      <c r="E158" s="46">
        <f t="shared" si="37"/>
        <v>0</v>
      </c>
      <c r="F158" s="258">
        <f>IF($F$12=0,0,IF(予定価格!$G$427=0,ROUND(予定価格!H146*(入力表!$F$12/予定価格!$H$431),-H158),ROUND((予定価格!G146*(入力表!$F$12-予定価格!$H$431)/予定価格!$G$431)+予定価格!H146,-H158)))+I158</f>
        <v>0</v>
      </c>
      <c r="G158" s="258"/>
      <c r="H158" s="47">
        <f t="shared" si="42"/>
        <v>4</v>
      </c>
      <c r="I158" s="48">
        <f t="shared" si="38"/>
        <v>0</v>
      </c>
      <c r="J158" s="116">
        <f t="shared" si="39"/>
        <v>0</v>
      </c>
      <c r="K158" s="19">
        <f t="shared" si="40"/>
        <v>0</v>
      </c>
      <c r="L158" s="50"/>
      <c r="M158" s="13">
        <f>ROUND(予定価格!B146*査定表!$B$437,-$F$14)</f>
        <v>0</v>
      </c>
      <c r="N158">
        <f>IF(M158=0,1,M158/予定価格!B146)</f>
        <v>1</v>
      </c>
      <c r="O158">
        <f t="shared" si="43"/>
        <v>21</v>
      </c>
      <c r="P158">
        <f t="shared" si="44"/>
        <v>0</v>
      </c>
      <c r="Q158">
        <f>IF(M158=0,0,M158/予定価格!B146)</f>
        <v>0</v>
      </c>
      <c r="R158">
        <f t="shared" si="45"/>
        <v>21</v>
      </c>
      <c r="S158">
        <f t="shared" si="46"/>
        <v>0</v>
      </c>
      <c r="T158" s="13">
        <f t="shared" si="47"/>
        <v>0</v>
      </c>
      <c r="U158" s="13" t="e">
        <f>IF(予定価格!$G$427=0,ROUND(予定価格!H146*(入力表!$F$12/予定価格!$H$431),-$F$14),ROUND((予定価格!G146*(入力表!$F$12-予定価格!$H$431)/予定価格!$G$431)+予定価格!H146,-$F$14))</f>
        <v>#DIV/0!</v>
      </c>
      <c r="V158" t="e">
        <f>IF(U158=0,1,IF(予定価格!O146=0,1,(U158-予定価格!P146)/予定価格!O146))</f>
        <v>#DIV/0!</v>
      </c>
      <c r="W158" t="e">
        <f t="shared" si="48"/>
        <v>#DIV/0!</v>
      </c>
      <c r="X158" t="e">
        <f t="shared" si="49"/>
        <v>#DIV/0!</v>
      </c>
      <c r="Y158" t="e">
        <f>IF(U158=0,0,IF(予定価格!G146=0,0,(U158-予定価格!H146)/予定価格!G146))</f>
        <v>#DIV/0!</v>
      </c>
      <c r="Z158" t="e">
        <f t="shared" si="50"/>
        <v>#DIV/0!</v>
      </c>
      <c r="AA158" t="e">
        <f t="shared" si="51"/>
        <v>#DIV/0!</v>
      </c>
      <c r="AB158" s="13" t="e">
        <f t="shared" si="52"/>
        <v>#DIV/0!</v>
      </c>
    </row>
    <row r="159" spans="1:28" hidden="1" x14ac:dyDescent="0.15">
      <c r="A159">
        <f>+予定価格!A147</f>
        <v>0</v>
      </c>
      <c r="B159" s="258">
        <f>ROUND(予定価格!B147*査定表!$B$437,-D159)+E159</f>
        <v>0</v>
      </c>
      <c r="C159" s="258"/>
      <c r="D159" s="45">
        <f t="shared" si="41"/>
        <v>4</v>
      </c>
      <c r="E159" s="46">
        <f t="shared" si="37"/>
        <v>0</v>
      </c>
      <c r="F159" s="258">
        <f>IF($F$12=0,0,IF(予定価格!$G$427=0,ROUND(予定価格!H147*(入力表!$F$12/予定価格!$H$431),-H159),ROUND((予定価格!G147*(入力表!$F$12-予定価格!$H$431)/予定価格!$G$431)+予定価格!H147,-H159)))+I159</f>
        <v>0</v>
      </c>
      <c r="G159" s="258"/>
      <c r="H159" s="47">
        <f t="shared" si="42"/>
        <v>4</v>
      </c>
      <c r="I159" s="48">
        <f t="shared" si="38"/>
        <v>0</v>
      </c>
      <c r="J159" s="116">
        <f t="shared" si="39"/>
        <v>0</v>
      </c>
      <c r="K159" s="19">
        <f t="shared" si="40"/>
        <v>0</v>
      </c>
      <c r="L159" s="50"/>
      <c r="M159" s="13">
        <f>ROUND(予定価格!B147*査定表!$B$437,-$F$14)</f>
        <v>0</v>
      </c>
      <c r="N159">
        <f>IF(M159=0,1,M159/予定価格!B147)</f>
        <v>1</v>
      </c>
      <c r="O159">
        <f t="shared" si="43"/>
        <v>21</v>
      </c>
      <c r="P159">
        <f t="shared" si="44"/>
        <v>0</v>
      </c>
      <c r="Q159">
        <f>IF(M159=0,0,M159/予定価格!B147)</f>
        <v>0</v>
      </c>
      <c r="R159">
        <f t="shared" si="45"/>
        <v>21</v>
      </c>
      <c r="S159">
        <f t="shared" si="46"/>
        <v>0</v>
      </c>
      <c r="T159" s="13">
        <f t="shared" si="47"/>
        <v>0</v>
      </c>
      <c r="U159" s="13" t="e">
        <f>IF(予定価格!$G$427=0,ROUND(予定価格!H147*(入力表!$F$12/予定価格!$H$431),-$F$14),ROUND((予定価格!G147*(入力表!$F$12-予定価格!$H$431)/予定価格!$G$431)+予定価格!H147,-$F$14))</f>
        <v>#DIV/0!</v>
      </c>
      <c r="V159" t="e">
        <f>IF(U159=0,1,IF(予定価格!O147=0,1,(U159-予定価格!P147)/予定価格!O147))</f>
        <v>#DIV/0!</v>
      </c>
      <c r="W159" t="e">
        <f t="shared" si="48"/>
        <v>#DIV/0!</v>
      </c>
      <c r="X159" t="e">
        <f t="shared" si="49"/>
        <v>#DIV/0!</v>
      </c>
      <c r="Y159" t="e">
        <f>IF(U159=0,0,IF(予定価格!G147=0,0,(U159-予定価格!H147)/予定価格!G147))</f>
        <v>#DIV/0!</v>
      </c>
      <c r="Z159" t="e">
        <f t="shared" si="50"/>
        <v>#DIV/0!</v>
      </c>
      <c r="AA159" t="e">
        <f t="shared" si="51"/>
        <v>#DIV/0!</v>
      </c>
      <c r="AB159" s="13" t="e">
        <f t="shared" si="52"/>
        <v>#DIV/0!</v>
      </c>
    </row>
    <row r="160" spans="1:28" hidden="1" x14ac:dyDescent="0.15">
      <c r="A160">
        <f>+予定価格!A148</f>
        <v>0</v>
      </c>
      <c r="B160" s="258">
        <f>ROUND(予定価格!B148*査定表!$B$437,-D160)+E160</f>
        <v>0</v>
      </c>
      <c r="C160" s="258"/>
      <c r="D160" s="45">
        <f t="shared" si="41"/>
        <v>4</v>
      </c>
      <c r="E160" s="46">
        <f t="shared" si="37"/>
        <v>0</v>
      </c>
      <c r="F160" s="258">
        <f>IF($F$12=0,0,IF(予定価格!$G$427=0,ROUND(予定価格!H148*(入力表!$F$12/予定価格!$H$431),-H160),ROUND((予定価格!G148*(入力表!$F$12-予定価格!$H$431)/予定価格!$G$431)+予定価格!H148,-H160)))+I160</f>
        <v>0</v>
      </c>
      <c r="G160" s="258"/>
      <c r="H160" s="47">
        <f t="shared" si="42"/>
        <v>4</v>
      </c>
      <c r="I160" s="48">
        <f t="shared" si="38"/>
        <v>0</v>
      </c>
      <c r="J160" s="116">
        <f t="shared" si="39"/>
        <v>0</v>
      </c>
      <c r="K160" s="19">
        <f t="shared" si="40"/>
        <v>0</v>
      </c>
      <c r="L160" s="50"/>
      <c r="M160" s="13">
        <f>ROUND(予定価格!B148*査定表!$B$437,-$F$14)</f>
        <v>0</v>
      </c>
      <c r="N160">
        <f>IF(M160=0,1,M160/予定価格!B148)</f>
        <v>1</v>
      </c>
      <c r="O160">
        <f t="shared" si="43"/>
        <v>21</v>
      </c>
      <c r="P160">
        <f t="shared" si="44"/>
        <v>0</v>
      </c>
      <c r="Q160">
        <f>IF(M160=0,0,M160/予定価格!B148)</f>
        <v>0</v>
      </c>
      <c r="R160">
        <f t="shared" si="45"/>
        <v>21</v>
      </c>
      <c r="S160">
        <f t="shared" si="46"/>
        <v>0</v>
      </c>
      <c r="T160" s="13">
        <f t="shared" si="47"/>
        <v>0</v>
      </c>
      <c r="U160" s="13" t="e">
        <f>IF(予定価格!$G$427=0,ROUND(予定価格!H148*(入力表!$F$12/予定価格!$H$431),-$F$14),ROUND((予定価格!G148*(入力表!$F$12-予定価格!$H$431)/予定価格!$G$431)+予定価格!H148,-$F$14))</f>
        <v>#DIV/0!</v>
      </c>
      <c r="V160" t="e">
        <f>IF(U160=0,1,IF(予定価格!O148=0,1,(U160-予定価格!P148)/予定価格!O148))</f>
        <v>#DIV/0!</v>
      </c>
      <c r="W160" t="e">
        <f t="shared" si="48"/>
        <v>#DIV/0!</v>
      </c>
      <c r="X160" t="e">
        <f t="shared" si="49"/>
        <v>#DIV/0!</v>
      </c>
      <c r="Y160" t="e">
        <f>IF(U160=0,0,IF(予定価格!G148=0,0,(U160-予定価格!H148)/予定価格!G148))</f>
        <v>#DIV/0!</v>
      </c>
      <c r="Z160" t="e">
        <f t="shared" si="50"/>
        <v>#DIV/0!</v>
      </c>
      <c r="AA160" t="e">
        <f t="shared" si="51"/>
        <v>#DIV/0!</v>
      </c>
      <c r="AB160" s="13" t="e">
        <f t="shared" si="52"/>
        <v>#DIV/0!</v>
      </c>
    </row>
    <row r="161" spans="1:28" hidden="1" x14ac:dyDescent="0.15">
      <c r="A161">
        <f>+予定価格!A149</f>
        <v>0</v>
      </c>
      <c r="B161" s="258">
        <f>ROUND(予定価格!B149*査定表!$B$437,-D161)+E161</f>
        <v>0</v>
      </c>
      <c r="C161" s="258"/>
      <c r="D161" s="45">
        <f t="shared" si="41"/>
        <v>4</v>
      </c>
      <c r="E161" s="46">
        <f t="shared" si="37"/>
        <v>0</v>
      </c>
      <c r="F161" s="258">
        <f>IF($F$12=0,0,IF(予定価格!$G$427=0,ROUND(予定価格!H149*(入力表!$F$12/予定価格!$H$431),-H161),ROUND((予定価格!G149*(入力表!$F$12-予定価格!$H$431)/予定価格!$G$431)+予定価格!H149,-H161)))+I161</f>
        <v>0</v>
      </c>
      <c r="G161" s="258"/>
      <c r="H161" s="47">
        <f t="shared" si="42"/>
        <v>4</v>
      </c>
      <c r="I161" s="48">
        <f t="shared" si="38"/>
        <v>0</v>
      </c>
      <c r="J161" s="116">
        <f t="shared" si="39"/>
        <v>0</v>
      </c>
      <c r="K161" s="19">
        <f t="shared" si="40"/>
        <v>0</v>
      </c>
      <c r="L161" s="50"/>
      <c r="M161" s="13">
        <f>ROUND(予定価格!B149*査定表!$B$437,-$F$14)</f>
        <v>0</v>
      </c>
      <c r="N161">
        <f>IF(M161=0,1,M161/予定価格!B149)</f>
        <v>1</v>
      </c>
      <c r="O161">
        <f t="shared" si="43"/>
        <v>21</v>
      </c>
      <c r="P161">
        <f t="shared" si="44"/>
        <v>0</v>
      </c>
      <c r="Q161">
        <f>IF(M161=0,0,M161/予定価格!B149)</f>
        <v>0</v>
      </c>
      <c r="R161">
        <f t="shared" si="45"/>
        <v>21</v>
      </c>
      <c r="S161">
        <f t="shared" si="46"/>
        <v>0</v>
      </c>
      <c r="T161" s="13">
        <f t="shared" si="47"/>
        <v>0</v>
      </c>
      <c r="U161" s="13" t="e">
        <f>IF(予定価格!$G$427=0,ROUND(予定価格!H149*(入力表!$F$12/予定価格!$H$431),-$F$14),ROUND((予定価格!G149*(入力表!$F$12-予定価格!$H$431)/予定価格!$G$431)+予定価格!H149,-$F$14))</f>
        <v>#DIV/0!</v>
      </c>
      <c r="V161" t="e">
        <f>IF(U161=0,1,IF(予定価格!O149=0,1,(U161-予定価格!P149)/予定価格!O149))</f>
        <v>#DIV/0!</v>
      </c>
      <c r="W161" t="e">
        <f t="shared" si="48"/>
        <v>#DIV/0!</v>
      </c>
      <c r="X161" t="e">
        <f t="shared" si="49"/>
        <v>#DIV/0!</v>
      </c>
      <c r="Y161" t="e">
        <f>IF(U161=0,0,IF(予定価格!G149=0,0,(U161-予定価格!H149)/予定価格!G149))</f>
        <v>#DIV/0!</v>
      </c>
      <c r="Z161" t="e">
        <f t="shared" si="50"/>
        <v>#DIV/0!</v>
      </c>
      <c r="AA161" t="e">
        <f t="shared" si="51"/>
        <v>#DIV/0!</v>
      </c>
      <c r="AB161" s="13" t="e">
        <f t="shared" si="52"/>
        <v>#DIV/0!</v>
      </c>
    </row>
    <row r="162" spans="1:28" hidden="1" x14ac:dyDescent="0.15">
      <c r="A162">
        <f>+予定価格!A150</f>
        <v>0</v>
      </c>
      <c r="B162" s="258">
        <f>ROUND(予定価格!B150*査定表!$B$437,-D162)+E162</f>
        <v>0</v>
      </c>
      <c r="C162" s="258"/>
      <c r="D162" s="45">
        <f t="shared" si="41"/>
        <v>4</v>
      </c>
      <c r="E162" s="46">
        <f t="shared" si="37"/>
        <v>0</v>
      </c>
      <c r="F162" s="258">
        <f>IF($F$12=0,0,IF(予定価格!$G$427=0,ROUND(予定価格!H150*(入力表!$F$12/予定価格!$H$431),-H162),ROUND((予定価格!G150*(入力表!$F$12-予定価格!$H$431)/予定価格!$G$431)+予定価格!H150,-H162)))+I162</f>
        <v>0</v>
      </c>
      <c r="G162" s="258"/>
      <c r="H162" s="47">
        <f t="shared" si="42"/>
        <v>4</v>
      </c>
      <c r="I162" s="48">
        <f t="shared" si="38"/>
        <v>0</v>
      </c>
      <c r="J162" s="116">
        <f t="shared" si="39"/>
        <v>0</v>
      </c>
      <c r="K162" s="19">
        <f t="shared" si="40"/>
        <v>0</v>
      </c>
      <c r="L162" s="50"/>
      <c r="M162" s="13">
        <f>ROUND(予定価格!B150*査定表!$B$437,-$F$14)</f>
        <v>0</v>
      </c>
      <c r="N162">
        <f>IF(M162=0,1,M162/予定価格!B150)</f>
        <v>1</v>
      </c>
      <c r="O162">
        <f t="shared" si="43"/>
        <v>21</v>
      </c>
      <c r="P162">
        <f t="shared" si="44"/>
        <v>0</v>
      </c>
      <c r="Q162">
        <f>IF(M162=0,0,M162/予定価格!B150)</f>
        <v>0</v>
      </c>
      <c r="R162">
        <f t="shared" si="45"/>
        <v>21</v>
      </c>
      <c r="S162">
        <f t="shared" si="46"/>
        <v>0</v>
      </c>
      <c r="T162" s="13">
        <f t="shared" si="47"/>
        <v>0</v>
      </c>
      <c r="U162" s="13" t="e">
        <f>IF(予定価格!$G$427=0,ROUND(予定価格!H150*(入力表!$F$12/予定価格!$H$431),-$F$14),ROUND((予定価格!G150*(入力表!$F$12-予定価格!$H$431)/予定価格!$G$431)+予定価格!H150,-$F$14))</f>
        <v>#DIV/0!</v>
      </c>
      <c r="V162" t="e">
        <f>IF(U162=0,1,IF(予定価格!O150=0,1,(U162-予定価格!P150)/予定価格!O150))</f>
        <v>#DIV/0!</v>
      </c>
      <c r="W162" t="e">
        <f t="shared" si="48"/>
        <v>#DIV/0!</v>
      </c>
      <c r="X162" t="e">
        <f t="shared" si="49"/>
        <v>#DIV/0!</v>
      </c>
      <c r="Y162" t="e">
        <f>IF(U162=0,0,IF(予定価格!G150=0,0,(U162-予定価格!H150)/予定価格!G150))</f>
        <v>#DIV/0!</v>
      </c>
      <c r="Z162" t="e">
        <f t="shared" si="50"/>
        <v>#DIV/0!</v>
      </c>
      <c r="AA162" t="e">
        <f t="shared" si="51"/>
        <v>#DIV/0!</v>
      </c>
      <c r="AB162" s="13" t="e">
        <f t="shared" si="52"/>
        <v>#DIV/0!</v>
      </c>
    </row>
    <row r="163" spans="1:28" hidden="1" x14ac:dyDescent="0.15">
      <c r="A163">
        <f>+予定価格!A151</f>
        <v>0</v>
      </c>
      <c r="B163" s="258">
        <f>ROUND(予定価格!B151*査定表!$B$437,-D163)+E163</f>
        <v>0</v>
      </c>
      <c r="C163" s="258"/>
      <c r="D163" s="45">
        <f t="shared" si="41"/>
        <v>4</v>
      </c>
      <c r="E163" s="46">
        <f t="shared" si="37"/>
        <v>0</v>
      </c>
      <c r="F163" s="258">
        <f>IF($F$12=0,0,IF(予定価格!$G$427=0,ROUND(予定価格!H151*(入力表!$F$12/予定価格!$H$431),-H163),ROUND((予定価格!G151*(入力表!$F$12-予定価格!$H$431)/予定価格!$G$431)+予定価格!H151,-H163)))+I163</f>
        <v>0</v>
      </c>
      <c r="G163" s="258"/>
      <c r="H163" s="47">
        <f t="shared" si="42"/>
        <v>4</v>
      </c>
      <c r="I163" s="48">
        <f t="shared" si="38"/>
        <v>0</v>
      </c>
      <c r="J163" s="116">
        <f t="shared" si="39"/>
        <v>0</v>
      </c>
      <c r="K163" s="19">
        <f t="shared" si="40"/>
        <v>0</v>
      </c>
      <c r="L163" s="50"/>
      <c r="M163" s="13">
        <f>ROUND(予定価格!B151*査定表!$B$437,-$F$14)</f>
        <v>0</v>
      </c>
      <c r="N163">
        <f>IF(M163=0,1,M163/予定価格!B151)</f>
        <v>1</v>
      </c>
      <c r="O163">
        <f t="shared" si="43"/>
        <v>21</v>
      </c>
      <c r="P163">
        <f t="shared" si="44"/>
        <v>0</v>
      </c>
      <c r="Q163">
        <f>IF(M163=0,0,M163/予定価格!B151)</f>
        <v>0</v>
      </c>
      <c r="R163">
        <f t="shared" si="45"/>
        <v>21</v>
      </c>
      <c r="S163">
        <f t="shared" si="46"/>
        <v>0</v>
      </c>
      <c r="T163" s="13">
        <f t="shared" si="47"/>
        <v>0</v>
      </c>
      <c r="U163" s="13" t="e">
        <f>IF(予定価格!$G$427=0,ROUND(予定価格!H151*(入力表!$F$12/予定価格!$H$431),-$F$14),ROUND((予定価格!G151*(入力表!$F$12-予定価格!$H$431)/予定価格!$G$431)+予定価格!H151,-$F$14))</f>
        <v>#DIV/0!</v>
      </c>
      <c r="V163" t="e">
        <f>IF(U163=0,1,IF(予定価格!O151=0,1,(U163-予定価格!P151)/予定価格!O151))</f>
        <v>#DIV/0!</v>
      </c>
      <c r="W163" t="e">
        <f t="shared" si="48"/>
        <v>#DIV/0!</v>
      </c>
      <c r="X163" t="e">
        <f t="shared" si="49"/>
        <v>#DIV/0!</v>
      </c>
      <c r="Y163" t="e">
        <f>IF(U163=0,0,IF(予定価格!G151=0,0,(U163-予定価格!H151)/予定価格!G151))</f>
        <v>#DIV/0!</v>
      </c>
      <c r="Z163" t="e">
        <f t="shared" si="50"/>
        <v>#DIV/0!</v>
      </c>
      <c r="AA163" t="e">
        <f t="shared" si="51"/>
        <v>#DIV/0!</v>
      </c>
      <c r="AB163" s="13" t="e">
        <f t="shared" si="52"/>
        <v>#DIV/0!</v>
      </c>
    </row>
    <row r="164" spans="1:28" hidden="1" x14ac:dyDescent="0.15">
      <c r="A164">
        <f>+予定価格!A152</f>
        <v>0</v>
      </c>
      <c r="B164" s="258">
        <f>ROUND(予定価格!B152*査定表!$B$437,-D164)+E164</f>
        <v>0</v>
      </c>
      <c r="C164" s="258"/>
      <c r="D164" s="45">
        <f t="shared" si="41"/>
        <v>4</v>
      </c>
      <c r="E164" s="46">
        <f t="shared" si="37"/>
        <v>0</v>
      </c>
      <c r="F164" s="258">
        <f>IF($F$12=0,0,IF(予定価格!$G$427=0,ROUND(予定価格!H152*(入力表!$F$12/予定価格!$H$431),-H164),ROUND((予定価格!G152*(入力表!$F$12-予定価格!$H$431)/予定価格!$G$431)+予定価格!H152,-H164)))+I164</f>
        <v>0</v>
      </c>
      <c r="G164" s="258"/>
      <c r="H164" s="47">
        <f t="shared" si="42"/>
        <v>4</v>
      </c>
      <c r="I164" s="48">
        <f t="shared" si="38"/>
        <v>0</v>
      </c>
      <c r="J164" s="116">
        <f t="shared" si="39"/>
        <v>0</v>
      </c>
      <c r="K164" s="19">
        <f t="shared" si="40"/>
        <v>0</v>
      </c>
      <c r="L164" s="50"/>
      <c r="M164" s="13">
        <f>ROUND(予定価格!B152*査定表!$B$437,-$F$14)</f>
        <v>0</v>
      </c>
      <c r="N164">
        <f>IF(M164=0,1,M164/予定価格!B152)</f>
        <v>1</v>
      </c>
      <c r="O164">
        <f t="shared" si="43"/>
        <v>21</v>
      </c>
      <c r="P164">
        <f t="shared" si="44"/>
        <v>0</v>
      </c>
      <c r="Q164">
        <f>IF(M164=0,0,M164/予定価格!B152)</f>
        <v>0</v>
      </c>
      <c r="R164">
        <f t="shared" si="45"/>
        <v>21</v>
      </c>
      <c r="S164">
        <f t="shared" si="46"/>
        <v>0</v>
      </c>
      <c r="T164" s="13">
        <f t="shared" si="47"/>
        <v>0</v>
      </c>
      <c r="U164" s="13" t="e">
        <f>IF(予定価格!$G$427=0,ROUND(予定価格!H152*(入力表!$F$12/予定価格!$H$431),-$F$14),ROUND((予定価格!G152*(入力表!$F$12-予定価格!$H$431)/予定価格!$G$431)+予定価格!H152,-$F$14))</f>
        <v>#DIV/0!</v>
      </c>
      <c r="V164" t="e">
        <f>IF(U164=0,1,IF(予定価格!O152=0,1,(U164-予定価格!P152)/予定価格!O152))</f>
        <v>#DIV/0!</v>
      </c>
      <c r="W164" t="e">
        <f t="shared" si="48"/>
        <v>#DIV/0!</v>
      </c>
      <c r="X164" t="e">
        <f t="shared" si="49"/>
        <v>#DIV/0!</v>
      </c>
      <c r="Y164" t="e">
        <f>IF(U164=0,0,IF(予定価格!G152=0,0,(U164-予定価格!H152)/予定価格!G152))</f>
        <v>#DIV/0!</v>
      </c>
      <c r="Z164" t="e">
        <f t="shared" si="50"/>
        <v>#DIV/0!</v>
      </c>
      <c r="AA164" t="e">
        <f t="shared" si="51"/>
        <v>#DIV/0!</v>
      </c>
      <c r="AB164" s="13" t="e">
        <f t="shared" si="52"/>
        <v>#DIV/0!</v>
      </c>
    </row>
    <row r="165" spans="1:28" hidden="1" x14ac:dyDescent="0.15">
      <c r="A165">
        <f>+予定価格!A153</f>
        <v>0</v>
      </c>
      <c r="B165" s="258">
        <f>ROUND(予定価格!B153*査定表!$B$437,-D165)+E165</f>
        <v>0</v>
      </c>
      <c r="C165" s="258"/>
      <c r="D165" s="45">
        <f t="shared" si="41"/>
        <v>4</v>
      </c>
      <c r="E165" s="46">
        <f t="shared" si="37"/>
        <v>0</v>
      </c>
      <c r="F165" s="258">
        <f>IF($F$12=0,0,IF(予定価格!$G$427=0,ROUND(予定価格!H153*(入力表!$F$12/予定価格!$H$431),-H165),ROUND((予定価格!G153*(入力表!$F$12-予定価格!$H$431)/予定価格!$G$431)+予定価格!H153,-H165)))+I165</f>
        <v>0</v>
      </c>
      <c r="G165" s="258"/>
      <c r="H165" s="47">
        <f t="shared" si="42"/>
        <v>4</v>
      </c>
      <c r="I165" s="48">
        <f t="shared" si="38"/>
        <v>0</v>
      </c>
      <c r="J165" s="116">
        <f t="shared" si="39"/>
        <v>0</v>
      </c>
      <c r="K165" s="19">
        <f t="shared" si="40"/>
        <v>0</v>
      </c>
      <c r="L165" s="50"/>
      <c r="M165" s="13">
        <f>ROUND(予定価格!B153*査定表!$B$437,-$F$14)</f>
        <v>0</v>
      </c>
      <c r="N165">
        <f>IF(M165=0,1,M165/予定価格!B153)</f>
        <v>1</v>
      </c>
      <c r="O165">
        <f t="shared" si="43"/>
        <v>21</v>
      </c>
      <c r="P165">
        <f t="shared" si="44"/>
        <v>0</v>
      </c>
      <c r="Q165">
        <f>IF(M165=0,0,M165/予定価格!B153)</f>
        <v>0</v>
      </c>
      <c r="R165">
        <f t="shared" si="45"/>
        <v>21</v>
      </c>
      <c r="S165">
        <f t="shared" si="46"/>
        <v>0</v>
      </c>
      <c r="T165" s="13">
        <f t="shared" si="47"/>
        <v>0</v>
      </c>
      <c r="U165" s="13" t="e">
        <f>IF(予定価格!$G$427=0,ROUND(予定価格!H153*(入力表!$F$12/予定価格!$H$431),-$F$14),ROUND((予定価格!G153*(入力表!$F$12-予定価格!$H$431)/予定価格!$G$431)+予定価格!H153,-$F$14))</f>
        <v>#DIV/0!</v>
      </c>
      <c r="V165" t="e">
        <f>IF(U165=0,1,IF(予定価格!O153=0,1,(U165-予定価格!P153)/予定価格!O153))</f>
        <v>#DIV/0!</v>
      </c>
      <c r="W165" t="e">
        <f t="shared" si="48"/>
        <v>#DIV/0!</v>
      </c>
      <c r="X165" t="e">
        <f t="shared" si="49"/>
        <v>#DIV/0!</v>
      </c>
      <c r="Y165" t="e">
        <f>IF(U165=0,0,IF(予定価格!G153=0,0,(U165-予定価格!H153)/予定価格!G153))</f>
        <v>#DIV/0!</v>
      </c>
      <c r="Z165" t="e">
        <f t="shared" si="50"/>
        <v>#DIV/0!</v>
      </c>
      <c r="AA165" t="e">
        <f t="shared" si="51"/>
        <v>#DIV/0!</v>
      </c>
      <c r="AB165" s="13" t="e">
        <f t="shared" si="52"/>
        <v>#DIV/0!</v>
      </c>
    </row>
    <row r="166" spans="1:28" hidden="1" x14ac:dyDescent="0.15">
      <c r="A166">
        <f>+予定価格!A154</f>
        <v>0</v>
      </c>
      <c r="B166" s="258">
        <f>ROUND(予定価格!B154*査定表!$B$437,-D166)+E166</f>
        <v>0</v>
      </c>
      <c r="C166" s="258"/>
      <c r="D166" s="45">
        <f t="shared" si="41"/>
        <v>4</v>
      </c>
      <c r="E166" s="46">
        <f t="shared" si="37"/>
        <v>0</v>
      </c>
      <c r="F166" s="258">
        <f>IF($F$12=0,0,IF(予定価格!$G$427=0,ROUND(予定価格!H154*(入力表!$F$12/予定価格!$H$431),-H166),ROUND((予定価格!G154*(入力表!$F$12-予定価格!$H$431)/予定価格!$G$431)+予定価格!H154,-H166)))+I166</f>
        <v>0</v>
      </c>
      <c r="G166" s="258"/>
      <c r="H166" s="47">
        <f t="shared" si="42"/>
        <v>4</v>
      </c>
      <c r="I166" s="48">
        <f t="shared" si="38"/>
        <v>0</v>
      </c>
      <c r="J166" s="116">
        <f t="shared" si="39"/>
        <v>0</v>
      </c>
      <c r="K166" s="19">
        <f t="shared" si="40"/>
        <v>0</v>
      </c>
      <c r="L166" s="50"/>
      <c r="M166" s="13">
        <f>ROUND(予定価格!B154*査定表!$B$437,-$F$14)</f>
        <v>0</v>
      </c>
      <c r="N166">
        <f>IF(M166=0,1,M166/予定価格!B154)</f>
        <v>1</v>
      </c>
      <c r="O166">
        <f t="shared" si="43"/>
        <v>21</v>
      </c>
      <c r="P166">
        <f t="shared" si="44"/>
        <v>0</v>
      </c>
      <c r="Q166">
        <f>IF(M166=0,0,M166/予定価格!B154)</f>
        <v>0</v>
      </c>
      <c r="R166">
        <f t="shared" si="45"/>
        <v>21</v>
      </c>
      <c r="S166">
        <f t="shared" si="46"/>
        <v>0</v>
      </c>
      <c r="T166" s="13">
        <f t="shared" si="47"/>
        <v>0</v>
      </c>
      <c r="U166" s="13" t="e">
        <f>IF(予定価格!$G$427=0,ROUND(予定価格!H154*(入力表!$F$12/予定価格!$H$431),-$F$14),ROUND((予定価格!G154*(入力表!$F$12-予定価格!$H$431)/予定価格!$G$431)+予定価格!H154,-$F$14))</f>
        <v>#DIV/0!</v>
      </c>
      <c r="V166" t="e">
        <f>IF(U166=0,1,IF(予定価格!O154=0,1,(U166-予定価格!P154)/予定価格!O154))</f>
        <v>#DIV/0!</v>
      </c>
      <c r="W166" t="e">
        <f t="shared" si="48"/>
        <v>#DIV/0!</v>
      </c>
      <c r="X166" t="e">
        <f t="shared" si="49"/>
        <v>#DIV/0!</v>
      </c>
      <c r="Y166" t="e">
        <f>IF(U166=0,0,IF(予定価格!G154=0,0,(U166-予定価格!H154)/予定価格!G154))</f>
        <v>#DIV/0!</v>
      </c>
      <c r="Z166" t="e">
        <f t="shared" si="50"/>
        <v>#DIV/0!</v>
      </c>
      <c r="AA166" t="e">
        <f t="shared" si="51"/>
        <v>#DIV/0!</v>
      </c>
      <c r="AB166" s="13" t="e">
        <f t="shared" si="52"/>
        <v>#DIV/0!</v>
      </c>
    </row>
    <row r="167" spans="1:28" hidden="1" x14ac:dyDescent="0.15">
      <c r="A167">
        <f>+予定価格!A155</f>
        <v>0</v>
      </c>
      <c r="B167" s="258">
        <f>ROUND(予定価格!B155*査定表!$B$437,-D167)+E167</f>
        <v>0</v>
      </c>
      <c r="C167" s="258"/>
      <c r="D167" s="45">
        <f t="shared" si="41"/>
        <v>4</v>
      </c>
      <c r="E167" s="46">
        <f t="shared" si="37"/>
        <v>0</v>
      </c>
      <c r="F167" s="258">
        <f>IF($F$12=0,0,IF(予定価格!$G$427=0,ROUND(予定価格!H155*(入力表!$F$12/予定価格!$H$431),-H167),ROUND((予定価格!G155*(入力表!$F$12-予定価格!$H$431)/予定価格!$G$431)+予定価格!H155,-H167)))+I167</f>
        <v>0</v>
      </c>
      <c r="G167" s="258"/>
      <c r="H167" s="47">
        <f t="shared" si="42"/>
        <v>4</v>
      </c>
      <c r="I167" s="48">
        <f t="shared" si="38"/>
        <v>0</v>
      </c>
      <c r="J167" s="116">
        <f t="shared" si="39"/>
        <v>0</v>
      </c>
      <c r="K167" s="19">
        <f t="shared" si="40"/>
        <v>0</v>
      </c>
      <c r="L167" s="50"/>
      <c r="M167" s="13">
        <f>ROUND(予定価格!B155*査定表!$B$437,-$F$14)</f>
        <v>0</v>
      </c>
      <c r="N167">
        <f>IF(M167=0,1,M167/予定価格!B155)</f>
        <v>1</v>
      </c>
      <c r="O167">
        <f t="shared" si="43"/>
        <v>21</v>
      </c>
      <c r="P167">
        <f t="shared" si="44"/>
        <v>0</v>
      </c>
      <c r="Q167">
        <f>IF(M167=0,0,M167/予定価格!B155)</f>
        <v>0</v>
      </c>
      <c r="R167">
        <f t="shared" si="45"/>
        <v>21</v>
      </c>
      <c r="S167">
        <f t="shared" si="46"/>
        <v>0</v>
      </c>
      <c r="T167" s="13">
        <f t="shared" si="47"/>
        <v>0</v>
      </c>
      <c r="U167" s="13" t="e">
        <f>IF(予定価格!$G$427=0,ROUND(予定価格!H155*(入力表!$F$12/予定価格!$H$431),-$F$14),ROUND((予定価格!G155*(入力表!$F$12-予定価格!$H$431)/予定価格!$G$431)+予定価格!H155,-$F$14))</f>
        <v>#DIV/0!</v>
      </c>
      <c r="V167" t="e">
        <f>IF(U167=0,1,IF(予定価格!O155=0,1,(U167-予定価格!P155)/予定価格!O155))</f>
        <v>#DIV/0!</v>
      </c>
      <c r="W167" t="e">
        <f t="shared" si="48"/>
        <v>#DIV/0!</v>
      </c>
      <c r="X167" t="e">
        <f t="shared" si="49"/>
        <v>#DIV/0!</v>
      </c>
      <c r="Y167" t="e">
        <f>IF(U167=0,0,IF(予定価格!G155=0,0,(U167-予定価格!H155)/予定価格!G155))</f>
        <v>#DIV/0!</v>
      </c>
      <c r="Z167" t="e">
        <f t="shared" si="50"/>
        <v>#DIV/0!</v>
      </c>
      <c r="AA167" t="e">
        <f t="shared" si="51"/>
        <v>#DIV/0!</v>
      </c>
      <c r="AB167" s="13" t="e">
        <f t="shared" si="52"/>
        <v>#DIV/0!</v>
      </c>
    </row>
    <row r="168" spans="1:28" hidden="1" x14ac:dyDescent="0.15">
      <c r="A168">
        <f>+予定価格!A156</f>
        <v>0</v>
      </c>
      <c r="B168" s="258">
        <f>ROUND(予定価格!B156*査定表!$B$437,-D168)+E168</f>
        <v>0</v>
      </c>
      <c r="C168" s="258"/>
      <c r="D168" s="45">
        <f t="shared" si="41"/>
        <v>4</v>
      </c>
      <c r="E168" s="46">
        <f t="shared" si="37"/>
        <v>0</v>
      </c>
      <c r="F168" s="258">
        <f>IF($F$12=0,0,IF(予定価格!$G$427=0,ROUND(予定価格!H156*(入力表!$F$12/予定価格!$H$431),-H168),ROUND((予定価格!G156*(入力表!$F$12-予定価格!$H$431)/予定価格!$G$431)+予定価格!H156,-H168)))+I168</f>
        <v>0</v>
      </c>
      <c r="G168" s="258"/>
      <c r="H168" s="47">
        <f t="shared" si="42"/>
        <v>4</v>
      </c>
      <c r="I168" s="48">
        <f t="shared" si="38"/>
        <v>0</v>
      </c>
      <c r="J168" s="116">
        <f t="shared" si="39"/>
        <v>0</v>
      </c>
      <c r="K168" s="19">
        <f t="shared" si="40"/>
        <v>0</v>
      </c>
      <c r="L168" s="50"/>
      <c r="M168" s="13">
        <f>ROUND(予定価格!B156*査定表!$B$437,-$F$14)</f>
        <v>0</v>
      </c>
      <c r="N168">
        <f>IF(M168=0,1,M168/予定価格!B156)</f>
        <v>1</v>
      </c>
      <c r="O168">
        <f t="shared" si="43"/>
        <v>21</v>
      </c>
      <c r="P168">
        <f t="shared" si="44"/>
        <v>0</v>
      </c>
      <c r="Q168">
        <f>IF(M168=0,0,M168/予定価格!B156)</f>
        <v>0</v>
      </c>
      <c r="R168">
        <f t="shared" si="45"/>
        <v>21</v>
      </c>
      <c r="S168">
        <f t="shared" si="46"/>
        <v>0</v>
      </c>
      <c r="T168" s="13">
        <f t="shared" si="47"/>
        <v>0</v>
      </c>
      <c r="U168" s="13" t="e">
        <f>IF(予定価格!$G$427=0,ROUND(予定価格!H156*(入力表!$F$12/予定価格!$H$431),-$F$14),ROUND((予定価格!G156*(入力表!$F$12-予定価格!$H$431)/予定価格!$G$431)+予定価格!H156,-$F$14))</f>
        <v>#DIV/0!</v>
      </c>
      <c r="V168" t="e">
        <f>IF(U168=0,1,IF(予定価格!O156=0,1,(U168-予定価格!P156)/予定価格!O156))</f>
        <v>#DIV/0!</v>
      </c>
      <c r="W168" t="e">
        <f t="shared" si="48"/>
        <v>#DIV/0!</v>
      </c>
      <c r="X168" t="e">
        <f t="shared" si="49"/>
        <v>#DIV/0!</v>
      </c>
      <c r="Y168" t="e">
        <f>IF(U168=0,0,IF(予定価格!G156=0,0,(U168-予定価格!H156)/予定価格!G156))</f>
        <v>#DIV/0!</v>
      </c>
      <c r="Z168" t="e">
        <f t="shared" si="50"/>
        <v>#DIV/0!</v>
      </c>
      <c r="AA168" t="e">
        <f t="shared" si="51"/>
        <v>#DIV/0!</v>
      </c>
      <c r="AB168" s="13" t="e">
        <f t="shared" si="52"/>
        <v>#DIV/0!</v>
      </c>
    </row>
    <row r="169" spans="1:28" hidden="1" x14ac:dyDescent="0.15">
      <c r="A169">
        <f>+予定価格!A157</f>
        <v>0</v>
      </c>
      <c r="B169" s="258">
        <f>ROUND(予定価格!B157*査定表!$B$437,-D169)+E169</f>
        <v>0</v>
      </c>
      <c r="C169" s="258"/>
      <c r="D169" s="45">
        <f t="shared" si="41"/>
        <v>4</v>
      </c>
      <c r="E169" s="46">
        <f t="shared" si="37"/>
        <v>0</v>
      </c>
      <c r="F169" s="258">
        <f>IF($F$12=0,0,IF(予定価格!$G$427=0,ROUND(予定価格!H157*(入力表!$F$12/予定価格!$H$431),-H169),ROUND((予定価格!G157*(入力表!$F$12-予定価格!$H$431)/予定価格!$G$431)+予定価格!H157,-H169)))+I169</f>
        <v>0</v>
      </c>
      <c r="G169" s="258"/>
      <c r="H169" s="47">
        <f t="shared" si="42"/>
        <v>4</v>
      </c>
      <c r="I169" s="48">
        <f t="shared" si="38"/>
        <v>0</v>
      </c>
      <c r="J169" s="116">
        <f t="shared" si="39"/>
        <v>0</v>
      </c>
      <c r="K169" s="19">
        <f t="shared" si="40"/>
        <v>0</v>
      </c>
      <c r="L169" s="50"/>
      <c r="M169" s="13">
        <f>ROUND(予定価格!B157*査定表!$B$437,-$F$14)</f>
        <v>0</v>
      </c>
      <c r="N169">
        <f>IF(M169=0,1,M169/予定価格!B157)</f>
        <v>1</v>
      </c>
      <c r="O169">
        <f t="shared" si="43"/>
        <v>21</v>
      </c>
      <c r="P169">
        <f t="shared" si="44"/>
        <v>0</v>
      </c>
      <c r="Q169">
        <f>IF(M169=0,0,M169/予定価格!B157)</f>
        <v>0</v>
      </c>
      <c r="R169">
        <f t="shared" si="45"/>
        <v>21</v>
      </c>
      <c r="S169">
        <f t="shared" si="46"/>
        <v>0</v>
      </c>
      <c r="T169" s="13">
        <f t="shared" si="47"/>
        <v>0</v>
      </c>
      <c r="U169" s="13" t="e">
        <f>IF(予定価格!$G$427=0,ROUND(予定価格!H157*(入力表!$F$12/予定価格!$H$431),-$F$14),ROUND((予定価格!G157*(入力表!$F$12-予定価格!$H$431)/予定価格!$G$431)+予定価格!H157,-$F$14))</f>
        <v>#DIV/0!</v>
      </c>
      <c r="V169" t="e">
        <f>IF(U169=0,1,IF(予定価格!O157=0,1,(U169-予定価格!P157)/予定価格!O157))</f>
        <v>#DIV/0!</v>
      </c>
      <c r="W169" t="e">
        <f t="shared" si="48"/>
        <v>#DIV/0!</v>
      </c>
      <c r="X169" t="e">
        <f t="shared" si="49"/>
        <v>#DIV/0!</v>
      </c>
      <c r="Y169" t="e">
        <f>IF(U169=0,0,IF(予定価格!G157=0,0,(U169-予定価格!H157)/予定価格!G157))</f>
        <v>#DIV/0!</v>
      </c>
      <c r="Z169" t="e">
        <f t="shared" si="50"/>
        <v>#DIV/0!</v>
      </c>
      <c r="AA169" t="e">
        <f t="shared" si="51"/>
        <v>#DIV/0!</v>
      </c>
      <c r="AB169" s="13" t="e">
        <f t="shared" si="52"/>
        <v>#DIV/0!</v>
      </c>
    </row>
    <row r="170" spans="1:28" hidden="1" x14ac:dyDescent="0.15">
      <c r="A170">
        <f>+予定価格!A158</f>
        <v>0</v>
      </c>
      <c r="B170" s="258">
        <f>ROUND(予定価格!B158*査定表!$B$437,-D170)+E170</f>
        <v>0</v>
      </c>
      <c r="C170" s="258"/>
      <c r="D170" s="45">
        <f t="shared" si="41"/>
        <v>4</v>
      </c>
      <c r="E170" s="46">
        <f t="shared" si="37"/>
        <v>0</v>
      </c>
      <c r="F170" s="258">
        <f>IF($F$12=0,0,IF(予定価格!$G$427=0,ROUND(予定価格!H158*(入力表!$F$12/予定価格!$H$431),-H170),ROUND((予定価格!G158*(入力表!$F$12-予定価格!$H$431)/予定価格!$G$431)+予定価格!H158,-H170)))+I170</f>
        <v>0</v>
      </c>
      <c r="G170" s="258"/>
      <c r="H170" s="47">
        <f t="shared" si="42"/>
        <v>4</v>
      </c>
      <c r="I170" s="48">
        <f t="shared" si="38"/>
        <v>0</v>
      </c>
      <c r="J170" s="116">
        <f t="shared" si="39"/>
        <v>0</v>
      </c>
      <c r="K170" s="19">
        <f t="shared" si="40"/>
        <v>0</v>
      </c>
      <c r="L170" s="50"/>
      <c r="M170" s="13">
        <f>ROUND(予定価格!B158*査定表!$B$437,-$F$14)</f>
        <v>0</v>
      </c>
      <c r="N170">
        <f>IF(M170=0,1,M170/予定価格!B158)</f>
        <v>1</v>
      </c>
      <c r="O170">
        <f t="shared" si="43"/>
        <v>21</v>
      </c>
      <c r="P170">
        <f t="shared" si="44"/>
        <v>0</v>
      </c>
      <c r="Q170">
        <f>IF(M170=0,0,M170/予定価格!B158)</f>
        <v>0</v>
      </c>
      <c r="R170">
        <f t="shared" si="45"/>
        <v>21</v>
      </c>
      <c r="S170">
        <f t="shared" si="46"/>
        <v>0</v>
      </c>
      <c r="T170" s="13">
        <f t="shared" si="47"/>
        <v>0</v>
      </c>
      <c r="U170" s="13" t="e">
        <f>IF(予定価格!$G$427=0,ROUND(予定価格!H158*(入力表!$F$12/予定価格!$H$431),-$F$14),ROUND((予定価格!G158*(入力表!$F$12-予定価格!$H$431)/予定価格!$G$431)+予定価格!H158,-$F$14))</f>
        <v>#DIV/0!</v>
      </c>
      <c r="V170" t="e">
        <f>IF(U170=0,1,IF(予定価格!O158=0,1,(U170-予定価格!P158)/予定価格!O158))</f>
        <v>#DIV/0!</v>
      </c>
      <c r="W170" t="e">
        <f t="shared" si="48"/>
        <v>#DIV/0!</v>
      </c>
      <c r="X170" t="e">
        <f t="shared" si="49"/>
        <v>#DIV/0!</v>
      </c>
      <c r="Y170" t="e">
        <f>IF(U170=0,0,IF(予定価格!G158=0,0,(U170-予定価格!H158)/予定価格!G158))</f>
        <v>#DIV/0!</v>
      </c>
      <c r="Z170" t="e">
        <f t="shared" si="50"/>
        <v>#DIV/0!</v>
      </c>
      <c r="AA170" t="e">
        <f t="shared" si="51"/>
        <v>#DIV/0!</v>
      </c>
      <c r="AB170" s="13" t="e">
        <f t="shared" si="52"/>
        <v>#DIV/0!</v>
      </c>
    </row>
    <row r="171" spans="1:28" hidden="1" x14ac:dyDescent="0.15">
      <c r="A171">
        <f>+予定価格!A159</f>
        <v>0</v>
      </c>
      <c r="B171" s="258">
        <f>ROUND(予定価格!B159*査定表!$B$437,-D171)+E171</f>
        <v>0</v>
      </c>
      <c r="C171" s="258"/>
      <c r="D171" s="45">
        <f t="shared" si="41"/>
        <v>4</v>
      </c>
      <c r="E171" s="46">
        <f t="shared" si="37"/>
        <v>0</v>
      </c>
      <c r="F171" s="258">
        <f>IF($F$12=0,0,IF(予定価格!$G$427=0,ROUND(予定価格!H159*(入力表!$F$12/予定価格!$H$431),-H171),ROUND((予定価格!G159*(入力表!$F$12-予定価格!$H$431)/予定価格!$G$431)+予定価格!H159,-H171)))+I171</f>
        <v>0</v>
      </c>
      <c r="G171" s="258"/>
      <c r="H171" s="47">
        <f t="shared" si="42"/>
        <v>4</v>
      </c>
      <c r="I171" s="48">
        <f t="shared" si="38"/>
        <v>0</v>
      </c>
      <c r="J171" s="116">
        <f t="shared" si="39"/>
        <v>0</v>
      </c>
      <c r="K171" s="19">
        <f t="shared" si="40"/>
        <v>0</v>
      </c>
      <c r="L171" s="50"/>
      <c r="M171" s="13">
        <f>ROUND(予定価格!B159*査定表!$B$437,-$F$14)</f>
        <v>0</v>
      </c>
      <c r="N171">
        <f>IF(M171=0,1,M171/予定価格!B159)</f>
        <v>1</v>
      </c>
      <c r="O171">
        <f t="shared" si="43"/>
        <v>21</v>
      </c>
      <c r="P171">
        <f t="shared" si="44"/>
        <v>0</v>
      </c>
      <c r="Q171">
        <f>IF(M171=0,0,M171/予定価格!B159)</f>
        <v>0</v>
      </c>
      <c r="R171">
        <f t="shared" si="45"/>
        <v>21</v>
      </c>
      <c r="S171">
        <f t="shared" si="46"/>
        <v>0</v>
      </c>
      <c r="T171" s="13">
        <f t="shared" si="47"/>
        <v>0</v>
      </c>
      <c r="U171" s="13" t="e">
        <f>IF(予定価格!$G$427=0,ROUND(予定価格!H159*(入力表!$F$12/予定価格!$H$431),-$F$14),ROUND((予定価格!G159*(入力表!$F$12-予定価格!$H$431)/予定価格!$G$431)+予定価格!H159,-$F$14))</f>
        <v>#DIV/0!</v>
      </c>
      <c r="V171" t="e">
        <f>IF(U171=0,1,IF(予定価格!O159=0,1,(U171-予定価格!P159)/予定価格!O159))</f>
        <v>#DIV/0!</v>
      </c>
      <c r="W171" t="e">
        <f t="shared" si="48"/>
        <v>#DIV/0!</v>
      </c>
      <c r="X171" t="e">
        <f t="shared" si="49"/>
        <v>#DIV/0!</v>
      </c>
      <c r="Y171" t="e">
        <f>IF(U171=0,0,IF(予定価格!G159=0,0,(U171-予定価格!H159)/予定価格!G159))</f>
        <v>#DIV/0!</v>
      </c>
      <c r="Z171" t="e">
        <f t="shared" si="50"/>
        <v>#DIV/0!</v>
      </c>
      <c r="AA171" t="e">
        <f t="shared" si="51"/>
        <v>#DIV/0!</v>
      </c>
      <c r="AB171" s="13" t="e">
        <f t="shared" si="52"/>
        <v>#DIV/0!</v>
      </c>
    </row>
    <row r="172" spans="1:28" hidden="1" x14ac:dyDescent="0.15">
      <c r="A172">
        <f>+予定価格!A160</f>
        <v>0</v>
      </c>
      <c r="B172" s="258">
        <f>ROUND(予定価格!B160*査定表!$B$437,-D172)+E172</f>
        <v>0</v>
      </c>
      <c r="C172" s="258"/>
      <c r="D172" s="45">
        <f t="shared" si="41"/>
        <v>4</v>
      </c>
      <c r="E172" s="46">
        <f t="shared" si="37"/>
        <v>0</v>
      </c>
      <c r="F172" s="258">
        <f>IF($F$12=0,0,IF(予定価格!$G$427=0,ROUND(予定価格!H160*(入力表!$F$12/予定価格!$H$431),-H172),ROUND((予定価格!G160*(入力表!$F$12-予定価格!$H$431)/予定価格!$G$431)+予定価格!H160,-H172)))+I172</f>
        <v>0</v>
      </c>
      <c r="G172" s="258"/>
      <c r="H172" s="47">
        <f t="shared" si="42"/>
        <v>4</v>
      </c>
      <c r="I172" s="48">
        <f t="shared" si="38"/>
        <v>0</v>
      </c>
      <c r="J172" s="116">
        <f t="shared" si="39"/>
        <v>0</v>
      </c>
      <c r="K172" s="19">
        <f t="shared" si="40"/>
        <v>0</v>
      </c>
      <c r="L172" s="50"/>
      <c r="M172" s="13">
        <f>ROUND(予定価格!B160*査定表!$B$437,-$F$14)</f>
        <v>0</v>
      </c>
      <c r="N172">
        <f>IF(M172=0,1,M172/予定価格!B160)</f>
        <v>1</v>
      </c>
      <c r="O172">
        <f t="shared" si="43"/>
        <v>21</v>
      </c>
      <c r="P172">
        <f t="shared" si="44"/>
        <v>0</v>
      </c>
      <c r="Q172">
        <f>IF(M172=0,0,M172/予定価格!B160)</f>
        <v>0</v>
      </c>
      <c r="R172">
        <f t="shared" si="45"/>
        <v>21</v>
      </c>
      <c r="S172">
        <f t="shared" si="46"/>
        <v>0</v>
      </c>
      <c r="T172" s="13">
        <f t="shared" si="47"/>
        <v>0</v>
      </c>
      <c r="U172" s="13" t="e">
        <f>IF(予定価格!$G$427=0,ROUND(予定価格!H160*(入力表!$F$12/予定価格!$H$431),-$F$14),ROUND((予定価格!G160*(入力表!$F$12-予定価格!$H$431)/予定価格!$G$431)+予定価格!H160,-$F$14))</f>
        <v>#DIV/0!</v>
      </c>
      <c r="V172" t="e">
        <f>IF(U172=0,1,IF(予定価格!O160=0,1,(U172-予定価格!P160)/予定価格!O160))</f>
        <v>#DIV/0!</v>
      </c>
      <c r="W172" t="e">
        <f t="shared" si="48"/>
        <v>#DIV/0!</v>
      </c>
      <c r="X172" t="e">
        <f t="shared" si="49"/>
        <v>#DIV/0!</v>
      </c>
      <c r="Y172" t="e">
        <f>IF(U172=0,0,IF(予定価格!G160=0,0,(U172-予定価格!H160)/予定価格!G160))</f>
        <v>#DIV/0!</v>
      </c>
      <c r="Z172" t="e">
        <f t="shared" si="50"/>
        <v>#DIV/0!</v>
      </c>
      <c r="AA172" t="e">
        <f t="shared" si="51"/>
        <v>#DIV/0!</v>
      </c>
      <c r="AB172" s="13" t="e">
        <f t="shared" si="52"/>
        <v>#DIV/0!</v>
      </c>
    </row>
    <row r="173" spans="1:28" hidden="1" x14ac:dyDescent="0.15">
      <c r="A173">
        <f>+予定価格!A161</f>
        <v>0</v>
      </c>
      <c r="B173" s="258">
        <f>ROUND(予定価格!B161*査定表!$B$437,-D173)+E173</f>
        <v>0</v>
      </c>
      <c r="C173" s="258"/>
      <c r="D173" s="45">
        <f t="shared" si="41"/>
        <v>4</v>
      </c>
      <c r="E173" s="46">
        <f t="shared" si="37"/>
        <v>0</v>
      </c>
      <c r="F173" s="258">
        <f>IF($F$12=0,0,IF(予定価格!$G$427=0,ROUND(予定価格!H161*(入力表!$F$12/予定価格!$H$431),-H173),ROUND((予定価格!G161*(入力表!$F$12-予定価格!$H$431)/予定価格!$G$431)+予定価格!H161,-H173)))+I173</f>
        <v>0</v>
      </c>
      <c r="G173" s="258"/>
      <c r="H173" s="47">
        <f t="shared" si="42"/>
        <v>4</v>
      </c>
      <c r="I173" s="48">
        <f t="shared" si="38"/>
        <v>0</v>
      </c>
      <c r="J173" s="116">
        <f t="shared" si="39"/>
        <v>0</v>
      </c>
      <c r="K173" s="19">
        <f t="shared" si="40"/>
        <v>0</v>
      </c>
      <c r="L173" s="50"/>
      <c r="M173" s="13">
        <f>ROUND(予定価格!B161*査定表!$B$437,-$F$14)</f>
        <v>0</v>
      </c>
      <c r="N173">
        <f>IF(M173=0,1,M173/予定価格!B161)</f>
        <v>1</v>
      </c>
      <c r="O173">
        <f t="shared" si="43"/>
        <v>21</v>
      </c>
      <c r="P173">
        <f t="shared" si="44"/>
        <v>0</v>
      </c>
      <c r="Q173">
        <f>IF(M173=0,0,M173/予定価格!B161)</f>
        <v>0</v>
      </c>
      <c r="R173">
        <f t="shared" si="45"/>
        <v>21</v>
      </c>
      <c r="S173">
        <f t="shared" si="46"/>
        <v>0</v>
      </c>
      <c r="T173" s="13">
        <f t="shared" si="47"/>
        <v>0</v>
      </c>
      <c r="U173" s="13" t="e">
        <f>IF(予定価格!$G$427=0,ROUND(予定価格!H161*(入力表!$F$12/予定価格!$H$431),-$F$14),ROUND((予定価格!G161*(入力表!$F$12-予定価格!$H$431)/予定価格!$G$431)+予定価格!H161,-$F$14))</f>
        <v>#DIV/0!</v>
      </c>
      <c r="V173" t="e">
        <f>IF(U173=0,1,IF(予定価格!O161=0,1,(U173-予定価格!P161)/予定価格!O161))</f>
        <v>#DIV/0!</v>
      </c>
      <c r="W173" t="e">
        <f t="shared" si="48"/>
        <v>#DIV/0!</v>
      </c>
      <c r="X173" t="e">
        <f t="shared" si="49"/>
        <v>#DIV/0!</v>
      </c>
      <c r="Y173" t="e">
        <f>IF(U173=0,0,IF(予定価格!G161=0,0,(U173-予定価格!H161)/予定価格!G161))</f>
        <v>#DIV/0!</v>
      </c>
      <c r="Z173" t="e">
        <f t="shared" si="50"/>
        <v>#DIV/0!</v>
      </c>
      <c r="AA173" t="e">
        <f t="shared" si="51"/>
        <v>#DIV/0!</v>
      </c>
      <c r="AB173" s="13" t="e">
        <f t="shared" si="52"/>
        <v>#DIV/0!</v>
      </c>
    </row>
    <row r="174" spans="1:28" hidden="1" x14ac:dyDescent="0.15">
      <c r="A174">
        <f>+予定価格!A162</f>
        <v>0</v>
      </c>
      <c r="B174" s="258">
        <f>ROUND(予定価格!B162*査定表!$B$437,-D174)+E174</f>
        <v>0</v>
      </c>
      <c r="C174" s="258"/>
      <c r="D174" s="45">
        <f t="shared" si="41"/>
        <v>4</v>
      </c>
      <c r="E174" s="46">
        <f t="shared" si="37"/>
        <v>0</v>
      </c>
      <c r="F174" s="258">
        <f>IF($F$12=0,0,IF(予定価格!$G$427=0,ROUND(予定価格!H162*(入力表!$F$12/予定価格!$H$431),-H174),ROUND((予定価格!G162*(入力表!$F$12-予定価格!$H$431)/予定価格!$G$431)+予定価格!H162,-H174)))+I174</f>
        <v>0</v>
      </c>
      <c r="G174" s="258"/>
      <c r="H174" s="47">
        <f t="shared" si="42"/>
        <v>4</v>
      </c>
      <c r="I174" s="48">
        <f t="shared" si="38"/>
        <v>0</v>
      </c>
      <c r="J174" s="116">
        <f t="shared" si="39"/>
        <v>0</v>
      </c>
      <c r="K174" s="19">
        <f t="shared" si="40"/>
        <v>0</v>
      </c>
      <c r="L174" s="50"/>
      <c r="M174" s="13">
        <f>ROUND(予定価格!B162*査定表!$B$437,-$F$14)</f>
        <v>0</v>
      </c>
      <c r="N174">
        <f>IF(M174=0,1,M174/予定価格!B162)</f>
        <v>1</v>
      </c>
      <c r="O174">
        <f t="shared" si="43"/>
        <v>21</v>
      </c>
      <c r="P174">
        <f t="shared" si="44"/>
        <v>0</v>
      </c>
      <c r="Q174">
        <f>IF(M174=0,0,M174/予定価格!B162)</f>
        <v>0</v>
      </c>
      <c r="R174">
        <f t="shared" si="45"/>
        <v>21</v>
      </c>
      <c r="S174">
        <f t="shared" si="46"/>
        <v>0</v>
      </c>
      <c r="T174" s="13">
        <f t="shared" si="47"/>
        <v>0</v>
      </c>
      <c r="U174" s="13" t="e">
        <f>IF(予定価格!$G$427=0,ROUND(予定価格!H162*(入力表!$F$12/予定価格!$H$431),-$F$14),ROUND((予定価格!G162*(入力表!$F$12-予定価格!$H$431)/予定価格!$G$431)+予定価格!H162,-$F$14))</f>
        <v>#DIV/0!</v>
      </c>
      <c r="V174" t="e">
        <f>IF(U174=0,1,IF(予定価格!O162=0,1,(U174-予定価格!P162)/予定価格!O162))</f>
        <v>#DIV/0!</v>
      </c>
      <c r="W174" t="e">
        <f t="shared" si="48"/>
        <v>#DIV/0!</v>
      </c>
      <c r="X174" t="e">
        <f t="shared" si="49"/>
        <v>#DIV/0!</v>
      </c>
      <c r="Y174" t="e">
        <f>IF(U174=0,0,IF(予定価格!G162=0,0,(U174-予定価格!H162)/予定価格!G162))</f>
        <v>#DIV/0!</v>
      </c>
      <c r="Z174" t="e">
        <f t="shared" si="50"/>
        <v>#DIV/0!</v>
      </c>
      <c r="AA174" t="e">
        <f t="shared" si="51"/>
        <v>#DIV/0!</v>
      </c>
      <c r="AB174" s="13" t="e">
        <f t="shared" si="52"/>
        <v>#DIV/0!</v>
      </c>
    </row>
    <row r="175" spans="1:28" hidden="1" x14ac:dyDescent="0.15">
      <c r="A175">
        <f>+予定価格!A163</f>
        <v>0</v>
      </c>
      <c r="B175" s="258">
        <f>ROUND(予定価格!B163*査定表!$B$437,-D175)+E175</f>
        <v>0</v>
      </c>
      <c r="C175" s="258"/>
      <c r="D175" s="45">
        <f t="shared" si="41"/>
        <v>4</v>
      </c>
      <c r="E175" s="46">
        <f t="shared" si="37"/>
        <v>0</v>
      </c>
      <c r="F175" s="258">
        <f>IF($F$12=0,0,IF(予定価格!$G$427=0,ROUND(予定価格!H163*(入力表!$F$12/予定価格!$H$431),-H175),ROUND((予定価格!G163*(入力表!$F$12-予定価格!$H$431)/予定価格!$G$431)+予定価格!H163,-H175)))+I175</f>
        <v>0</v>
      </c>
      <c r="G175" s="258"/>
      <c r="H175" s="47">
        <f t="shared" si="42"/>
        <v>4</v>
      </c>
      <c r="I175" s="48">
        <f t="shared" si="38"/>
        <v>0</v>
      </c>
      <c r="J175" s="116">
        <f t="shared" si="39"/>
        <v>0</v>
      </c>
      <c r="K175" s="19">
        <f t="shared" si="40"/>
        <v>0</v>
      </c>
      <c r="L175" s="50"/>
      <c r="M175" s="13">
        <f>ROUND(予定価格!B163*査定表!$B$437,-$F$14)</f>
        <v>0</v>
      </c>
      <c r="N175">
        <f>IF(M175=0,1,M175/予定価格!B163)</f>
        <v>1</v>
      </c>
      <c r="O175">
        <f t="shared" si="43"/>
        <v>21</v>
      </c>
      <c r="P175">
        <f t="shared" si="44"/>
        <v>0</v>
      </c>
      <c r="Q175">
        <f>IF(M175=0,0,M175/予定価格!B163)</f>
        <v>0</v>
      </c>
      <c r="R175">
        <f t="shared" si="45"/>
        <v>21</v>
      </c>
      <c r="S175">
        <f t="shared" si="46"/>
        <v>0</v>
      </c>
      <c r="T175" s="13">
        <f t="shared" si="47"/>
        <v>0</v>
      </c>
      <c r="U175" s="13" t="e">
        <f>IF(予定価格!$G$427=0,ROUND(予定価格!H163*(入力表!$F$12/予定価格!$H$431),-$F$14),ROUND((予定価格!G163*(入力表!$F$12-予定価格!$H$431)/予定価格!$G$431)+予定価格!H163,-$F$14))</f>
        <v>#DIV/0!</v>
      </c>
      <c r="V175" t="e">
        <f>IF(U175=0,1,IF(予定価格!O163=0,1,(U175-予定価格!P163)/予定価格!O163))</f>
        <v>#DIV/0!</v>
      </c>
      <c r="W175" t="e">
        <f t="shared" si="48"/>
        <v>#DIV/0!</v>
      </c>
      <c r="X175" t="e">
        <f t="shared" si="49"/>
        <v>#DIV/0!</v>
      </c>
      <c r="Y175" t="e">
        <f>IF(U175=0,0,IF(予定価格!G163=0,0,(U175-予定価格!H163)/予定価格!G163))</f>
        <v>#DIV/0!</v>
      </c>
      <c r="Z175" t="e">
        <f t="shared" si="50"/>
        <v>#DIV/0!</v>
      </c>
      <c r="AA175" t="e">
        <f t="shared" si="51"/>
        <v>#DIV/0!</v>
      </c>
      <c r="AB175" s="13" t="e">
        <f t="shared" si="52"/>
        <v>#DIV/0!</v>
      </c>
    </row>
    <row r="176" spans="1:28" hidden="1" x14ac:dyDescent="0.15">
      <c r="A176">
        <f>+予定価格!A164</f>
        <v>0</v>
      </c>
      <c r="B176" s="258">
        <f>ROUND(予定価格!B164*査定表!$B$437,-D176)+E176</f>
        <v>0</v>
      </c>
      <c r="C176" s="258"/>
      <c r="D176" s="45">
        <f t="shared" si="41"/>
        <v>4</v>
      </c>
      <c r="E176" s="46">
        <f t="shared" si="37"/>
        <v>0</v>
      </c>
      <c r="F176" s="258">
        <f>IF($F$12=0,0,IF(予定価格!$G$427=0,ROUND(予定価格!H164*(入力表!$F$12/予定価格!$H$431),-H176),ROUND((予定価格!G164*(入力表!$F$12-予定価格!$H$431)/予定価格!$G$431)+予定価格!H164,-H176)))+I176</f>
        <v>0</v>
      </c>
      <c r="G176" s="258"/>
      <c r="H176" s="47">
        <f t="shared" si="42"/>
        <v>4</v>
      </c>
      <c r="I176" s="48">
        <f t="shared" si="38"/>
        <v>0</v>
      </c>
      <c r="J176" s="116">
        <f t="shared" si="39"/>
        <v>0</v>
      </c>
      <c r="K176" s="19">
        <f t="shared" si="40"/>
        <v>0</v>
      </c>
      <c r="L176" s="50"/>
      <c r="M176" s="13">
        <f>ROUND(予定価格!B164*査定表!$B$437,-$F$14)</f>
        <v>0</v>
      </c>
      <c r="N176">
        <f>IF(M176=0,1,M176/予定価格!B164)</f>
        <v>1</v>
      </c>
      <c r="O176">
        <f t="shared" si="43"/>
        <v>21</v>
      </c>
      <c r="P176">
        <f t="shared" si="44"/>
        <v>0</v>
      </c>
      <c r="Q176">
        <f>IF(M176=0,0,M176/予定価格!B164)</f>
        <v>0</v>
      </c>
      <c r="R176">
        <f t="shared" si="45"/>
        <v>21</v>
      </c>
      <c r="S176">
        <f t="shared" si="46"/>
        <v>0</v>
      </c>
      <c r="T176" s="13">
        <f t="shared" si="47"/>
        <v>0</v>
      </c>
      <c r="U176" s="13" t="e">
        <f>IF(予定価格!$G$427=0,ROUND(予定価格!H164*(入力表!$F$12/予定価格!$H$431),-$F$14),ROUND((予定価格!G164*(入力表!$F$12-予定価格!$H$431)/予定価格!$G$431)+予定価格!H164,-$F$14))</f>
        <v>#DIV/0!</v>
      </c>
      <c r="V176" t="e">
        <f>IF(U176=0,1,IF(予定価格!O164=0,1,(U176-予定価格!P164)/予定価格!O164))</f>
        <v>#DIV/0!</v>
      </c>
      <c r="W176" t="e">
        <f t="shared" si="48"/>
        <v>#DIV/0!</v>
      </c>
      <c r="X176" t="e">
        <f t="shared" si="49"/>
        <v>#DIV/0!</v>
      </c>
      <c r="Y176" t="e">
        <f>IF(U176=0,0,IF(予定価格!G164=0,0,(U176-予定価格!H164)/予定価格!G164))</f>
        <v>#DIV/0!</v>
      </c>
      <c r="Z176" t="e">
        <f t="shared" si="50"/>
        <v>#DIV/0!</v>
      </c>
      <c r="AA176" t="e">
        <f t="shared" si="51"/>
        <v>#DIV/0!</v>
      </c>
      <c r="AB176" s="13" t="e">
        <f t="shared" si="52"/>
        <v>#DIV/0!</v>
      </c>
    </row>
    <row r="177" spans="1:28" hidden="1" x14ac:dyDescent="0.15">
      <c r="A177">
        <f>+予定価格!A165</f>
        <v>0</v>
      </c>
      <c r="B177" s="258">
        <f>ROUND(予定価格!B165*査定表!$B$437,-D177)+E177</f>
        <v>0</v>
      </c>
      <c r="C177" s="258"/>
      <c r="D177" s="45">
        <f t="shared" si="41"/>
        <v>4</v>
      </c>
      <c r="E177" s="46">
        <f t="shared" si="37"/>
        <v>0</v>
      </c>
      <c r="F177" s="258">
        <f>IF($F$12=0,0,IF(予定価格!$G$427=0,ROUND(予定価格!H165*(入力表!$F$12/予定価格!$H$431),-H177),ROUND((予定価格!G165*(入力表!$F$12-予定価格!$H$431)/予定価格!$G$431)+予定価格!H165,-H177)))+I177</f>
        <v>0</v>
      </c>
      <c r="G177" s="258"/>
      <c r="H177" s="47">
        <f t="shared" si="42"/>
        <v>4</v>
      </c>
      <c r="I177" s="48">
        <f t="shared" si="38"/>
        <v>0</v>
      </c>
      <c r="J177" s="116">
        <f t="shared" si="39"/>
        <v>0</v>
      </c>
      <c r="K177" s="19">
        <f t="shared" si="40"/>
        <v>0</v>
      </c>
      <c r="L177" s="50"/>
      <c r="M177" s="13">
        <f>ROUND(予定価格!B165*査定表!$B$437,-$F$14)</f>
        <v>0</v>
      </c>
      <c r="N177">
        <f>IF(M177=0,1,M177/予定価格!B165)</f>
        <v>1</v>
      </c>
      <c r="O177">
        <f t="shared" si="43"/>
        <v>21</v>
      </c>
      <c r="P177">
        <f t="shared" si="44"/>
        <v>0</v>
      </c>
      <c r="Q177">
        <f>IF(M177=0,0,M177/予定価格!B165)</f>
        <v>0</v>
      </c>
      <c r="R177">
        <f t="shared" si="45"/>
        <v>21</v>
      </c>
      <c r="S177">
        <f t="shared" si="46"/>
        <v>0</v>
      </c>
      <c r="T177" s="13">
        <f t="shared" si="47"/>
        <v>0</v>
      </c>
      <c r="U177" s="13" t="e">
        <f>IF(予定価格!$G$427=0,ROUND(予定価格!H165*(入力表!$F$12/予定価格!$H$431),-$F$14),ROUND((予定価格!G165*(入力表!$F$12-予定価格!$H$431)/予定価格!$G$431)+予定価格!H165,-$F$14))</f>
        <v>#DIV/0!</v>
      </c>
      <c r="V177" t="e">
        <f>IF(U177=0,1,IF(予定価格!O165=0,1,(U177-予定価格!P165)/予定価格!O165))</f>
        <v>#DIV/0!</v>
      </c>
      <c r="W177" t="e">
        <f t="shared" si="48"/>
        <v>#DIV/0!</v>
      </c>
      <c r="X177" t="e">
        <f t="shared" si="49"/>
        <v>#DIV/0!</v>
      </c>
      <c r="Y177" t="e">
        <f>IF(U177=0,0,IF(予定価格!G165=0,0,(U177-予定価格!H165)/予定価格!G165))</f>
        <v>#DIV/0!</v>
      </c>
      <c r="Z177" t="e">
        <f t="shared" si="50"/>
        <v>#DIV/0!</v>
      </c>
      <c r="AA177" t="e">
        <f t="shared" si="51"/>
        <v>#DIV/0!</v>
      </c>
      <c r="AB177" s="13" t="e">
        <f t="shared" si="52"/>
        <v>#DIV/0!</v>
      </c>
    </row>
    <row r="178" spans="1:28" hidden="1" x14ac:dyDescent="0.15">
      <c r="A178">
        <f>+予定価格!A166</f>
        <v>0</v>
      </c>
      <c r="B178" s="258">
        <f>ROUND(予定価格!B166*査定表!$B$437,-D178)+E178</f>
        <v>0</v>
      </c>
      <c r="C178" s="258"/>
      <c r="D178" s="45">
        <f t="shared" si="41"/>
        <v>4</v>
      </c>
      <c r="E178" s="46">
        <f t="shared" si="37"/>
        <v>0</v>
      </c>
      <c r="F178" s="258">
        <f>IF($F$12=0,0,IF(予定価格!$G$427=0,ROUND(予定価格!H166*(入力表!$F$12/予定価格!$H$431),-H178),ROUND((予定価格!G166*(入力表!$F$12-予定価格!$H$431)/予定価格!$G$431)+予定価格!H166,-H178)))+I178</f>
        <v>0</v>
      </c>
      <c r="G178" s="258"/>
      <c r="H178" s="47">
        <f t="shared" si="42"/>
        <v>4</v>
      </c>
      <c r="I178" s="48">
        <f t="shared" si="38"/>
        <v>0</v>
      </c>
      <c r="J178" s="116">
        <f t="shared" si="39"/>
        <v>0</v>
      </c>
      <c r="K178" s="19">
        <f t="shared" si="40"/>
        <v>0</v>
      </c>
      <c r="L178" s="50"/>
      <c r="M178" s="13">
        <f>ROUND(予定価格!B166*査定表!$B$437,-$F$14)</f>
        <v>0</v>
      </c>
      <c r="N178">
        <f>IF(M178=0,1,M178/予定価格!B166)</f>
        <v>1</v>
      </c>
      <c r="O178">
        <f t="shared" si="43"/>
        <v>21</v>
      </c>
      <c r="P178">
        <f t="shared" si="44"/>
        <v>0</v>
      </c>
      <c r="Q178">
        <f>IF(M178=0,0,M178/予定価格!B166)</f>
        <v>0</v>
      </c>
      <c r="R178">
        <f t="shared" si="45"/>
        <v>21</v>
      </c>
      <c r="S178">
        <f t="shared" si="46"/>
        <v>0</v>
      </c>
      <c r="T178" s="13">
        <f t="shared" si="47"/>
        <v>0</v>
      </c>
      <c r="U178" s="13" t="e">
        <f>IF(予定価格!$G$427=0,ROUND(予定価格!H166*(入力表!$F$12/予定価格!$H$431),-$F$14),ROUND((予定価格!G166*(入力表!$F$12-予定価格!$H$431)/予定価格!$G$431)+予定価格!H166,-$F$14))</f>
        <v>#DIV/0!</v>
      </c>
      <c r="V178" t="e">
        <f>IF(U178=0,1,IF(予定価格!O166=0,1,(U178-予定価格!P166)/予定価格!O166))</f>
        <v>#DIV/0!</v>
      </c>
      <c r="W178" t="e">
        <f t="shared" si="48"/>
        <v>#DIV/0!</v>
      </c>
      <c r="X178" t="e">
        <f t="shared" si="49"/>
        <v>#DIV/0!</v>
      </c>
      <c r="Y178" t="e">
        <f>IF(U178=0,0,IF(予定価格!G166=0,0,(U178-予定価格!H166)/予定価格!G166))</f>
        <v>#DIV/0!</v>
      </c>
      <c r="Z178" t="e">
        <f t="shared" si="50"/>
        <v>#DIV/0!</v>
      </c>
      <c r="AA178" t="e">
        <f t="shared" si="51"/>
        <v>#DIV/0!</v>
      </c>
      <c r="AB178" s="13" t="e">
        <f t="shared" si="52"/>
        <v>#DIV/0!</v>
      </c>
    </row>
    <row r="179" spans="1:28" hidden="1" x14ac:dyDescent="0.15">
      <c r="A179">
        <f>+予定価格!A167</f>
        <v>0</v>
      </c>
      <c r="B179" s="258">
        <f>ROUND(予定価格!B167*査定表!$B$437,-D179)+E179</f>
        <v>0</v>
      </c>
      <c r="C179" s="258"/>
      <c r="D179" s="45">
        <f t="shared" si="41"/>
        <v>4</v>
      </c>
      <c r="E179" s="46">
        <f t="shared" si="37"/>
        <v>0</v>
      </c>
      <c r="F179" s="258">
        <f>IF($F$12=0,0,IF(予定価格!$G$427=0,ROUND(予定価格!H167*(入力表!$F$12/予定価格!$H$431),-H179),ROUND((予定価格!G167*(入力表!$F$12-予定価格!$H$431)/予定価格!$G$431)+予定価格!H167,-H179)))+I179</f>
        <v>0</v>
      </c>
      <c r="G179" s="258"/>
      <c r="H179" s="47">
        <f t="shared" si="42"/>
        <v>4</v>
      </c>
      <c r="I179" s="48">
        <f t="shared" si="38"/>
        <v>0</v>
      </c>
      <c r="J179" s="116">
        <f t="shared" si="39"/>
        <v>0</v>
      </c>
      <c r="K179" s="19">
        <f t="shared" si="40"/>
        <v>0</v>
      </c>
      <c r="L179" s="50"/>
      <c r="M179" s="13">
        <f>ROUND(予定価格!B167*査定表!$B$437,-$F$14)</f>
        <v>0</v>
      </c>
      <c r="N179">
        <f>IF(M179=0,1,M179/予定価格!B167)</f>
        <v>1</v>
      </c>
      <c r="O179">
        <f t="shared" si="43"/>
        <v>21</v>
      </c>
      <c r="P179">
        <f t="shared" si="44"/>
        <v>0</v>
      </c>
      <c r="Q179">
        <f>IF(M179=0,0,M179/予定価格!B167)</f>
        <v>0</v>
      </c>
      <c r="R179">
        <f t="shared" si="45"/>
        <v>21</v>
      </c>
      <c r="S179">
        <f t="shared" si="46"/>
        <v>0</v>
      </c>
      <c r="T179" s="13">
        <f t="shared" si="47"/>
        <v>0</v>
      </c>
      <c r="U179" s="13" t="e">
        <f>IF(予定価格!$G$427=0,ROUND(予定価格!H167*(入力表!$F$12/予定価格!$H$431),-$F$14),ROUND((予定価格!G167*(入力表!$F$12-予定価格!$H$431)/予定価格!$G$431)+予定価格!H167,-$F$14))</f>
        <v>#DIV/0!</v>
      </c>
      <c r="V179" t="e">
        <f>IF(U179=0,1,IF(予定価格!O167=0,1,(U179-予定価格!P167)/予定価格!O167))</f>
        <v>#DIV/0!</v>
      </c>
      <c r="W179" t="e">
        <f t="shared" si="48"/>
        <v>#DIV/0!</v>
      </c>
      <c r="X179" t="e">
        <f t="shared" si="49"/>
        <v>#DIV/0!</v>
      </c>
      <c r="Y179" t="e">
        <f>IF(U179=0,0,IF(予定価格!G167=0,0,(U179-予定価格!H167)/予定価格!G167))</f>
        <v>#DIV/0!</v>
      </c>
      <c r="Z179" t="e">
        <f t="shared" si="50"/>
        <v>#DIV/0!</v>
      </c>
      <c r="AA179" t="e">
        <f t="shared" si="51"/>
        <v>#DIV/0!</v>
      </c>
      <c r="AB179" s="13" t="e">
        <f t="shared" si="52"/>
        <v>#DIV/0!</v>
      </c>
    </row>
    <row r="180" spans="1:28" hidden="1" x14ac:dyDescent="0.15">
      <c r="A180">
        <f>+予定価格!A168</f>
        <v>0</v>
      </c>
      <c r="B180" s="258">
        <f>ROUND(予定価格!B168*査定表!$B$437,-D180)+E180</f>
        <v>0</v>
      </c>
      <c r="C180" s="258"/>
      <c r="D180" s="45">
        <f t="shared" si="41"/>
        <v>4</v>
      </c>
      <c r="E180" s="46">
        <f t="shared" si="37"/>
        <v>0</v>
      </c>
      <c r="F180" s="258">
        <f>IF($F$12=0,0,IF(予定価格!$G$427=0,ROUND(予定価格!H168*(入力表!$F$12/予定価格!$H$431),-H180),ROUND((予定価格!G168*(入力表!$F$12-予定価格!$H$431)/予定価格!$G$431)+予定価格!H168,-H180)))+I180</f>
        <v>0</v>
      </c>
      <c r="G180" s="258"/>
      <c r="H180" s="47">
        <f t="shared" si="42"/>
        <v>4</v>
      </c>
      <c r="I180" s="48">
        <f t="shared" si="38"/>
        <v>0</v>
      </c>
      <c r="J180" s="116">
        <f t="shared" si="39"/>
        <v>0</v>
      </c>
      <c r="K180" s="19">
        <f t="shared" si="40"/>
        <v>0</v>
      </c>
      <c r="L180" s="50"/>
      <c r="M180" s="13">
        <f>ROUND(予定価格!B168*査定表!$B$437,-$F$14)</f>
        <v>0</v>
      </c>
      <c r="N180">
        <f>IF(M180=0,1,M180/予定価格!B168)</f>
        <v>1</v>
      </c>
      <c r="O180">
        <f t="shared" si="43"/>
        <v>21</v>
      </c>
      <c r="P180">
        <f t="shared" si="44"/>
        <v>0</v>
      </c>
      <c r="Q180">
        <f>IF(M180=0,0,M180/予定価格!B168)</f>
        <v>0</v>
      </c>
      <c r="R180">
        <f t="shared" si="45"/>
        <v>21</v>
      </c>
      <c r="S180">
        <f t="shared" si="46"/>
        <v>0</v>
      </c>
      <c r="T180" s="13">
        <f t="shared" si="47"/>
        <v>0</v>
      </c>
      <c r="U180" s="13" t="e">
        <f>IF(予定価格!$G$427=0,ROUND(予定価格!H168*(入力表!$F$12/予定価格!$H$431),-$F$14),ROUND((予定価格!G168*(入力表!$F$12-予定価格!$H$431)/予定価格!$G$431)+予定価格!H168,-$F$14))</f>
        <v>#DIV/0!</v>
      </c>
      <c r="V180" t="e">
        <f>IF(U180=0,1,IF(予定価格!O168=0,1,(U180-予定価格!P168)/予定価格!O168))</f>
        <v>#DIV/0!</v>
      </c>
      <c r="W180" t="e">
        <f t="shared" si="48"/>
        <v>#DIV/0!</v>
      </c>
      <c r="X180" t="e">
        <f t="shared" si="49"/>
        <v>#DIV/0!</v>
      </c>
      <c r="Y180" t="e">
        <f>IF(U180=0,0,IF(予定価格!G168=0,0,(U180-予定価格!H168)/予定価格!G168))</f>
        <v>#DIV/0!</v>
      </c>
      <c r="Z180" t="e">
        <f t="shared" si="50"/>
        <v>#DIV/0!</v>
      </c>
      <c r="AA180" t="e">
        <f t="shared" si="51"/>
        <v>#DIV/0!</v>
      </c>
      <c r="AB180" s="13" t="e">
        <f t="shared" si="52"/>
        <v>#DIV/0!</v>
      </c>
    </row>
    <row r="181" spans="1:28" hidden="1" x14ac:dyDescent="0.15">
      <c r="A181">
        <f>+予定価格!A169</f>
        <v>0</v>
      </c>
      <c r="B181" s="258">
        <f>ROUND(予定価格!B169*査定表!$B$437,-D181)+E181</f>
        <v>0</v>
      </c>
      <c r="C181" s="258"/>
      <c r="D181" s="45">
        <f t="shared" si="41"/>
        <v>4</v>
      </c>
      <c r="E181" s="46">
        <f t="shared" si="37"/>
        <v>0</v>
      </c>
      <c r="F181" s="258">
        <f>IF($F$12=0,0,IF(予定価格!$G$427=0,ROUND(予定価格!H169*(入力表!$F$12/予定価格!$H$431),-H181),ROUND((予定価格!G169*(入力表!$F$12-予定価格!$H$431)/予定価格!$G$431)+予定価格!H169,-H181)))+I181</f>
        <v>0</v>
      </c>
      <c r="G181" s="258"/>
      <c r="H181" s="47">
        <f t="shared" si="42"/>
        <v>4</v>
      </c>
      <c r="I181" s="48">
        <f t="shared" si="38"/>
        <v>0</v>
      </c>
      <c r="J181" s="116">
        <f t="shared" si="39"/>
        <v>0</v>
      </c>
      <c r="K181" s="19">
        <f t="shared" si="40"/>
        <v>0</v>
      </c>
      <c r="L181" s="50"/>
      <c r="M181" s="13">
        <f>ROUND(予定価格!B169*査定表!$B$437,-$F$14)</f>
        <v>0</v>
      </c>
      <c r="N181">
        <f>IF(M181=0,1,M181/予定価格!B169)</f>
        <v>1</v>
      </c>
      <c r="O181">
        <f t="shared" si="43"/>
        <v>21</v>
      </c>
      <c r="P181">
        <f t="shared" si="44"/>
        <v>0</v>
      </c>
      <c r="Q181">
        <f>IF(M181=0,0,M181/予定価格!B169)</f>
        <v>0</v>
      </c>
      <c r="R181">
        <f t="shared" si="45"/>
        <v>21</v>
      </c>
      <c r="S181">
        <f t="shared" si="46"/>
        <v>0</v>
      </c>
      <c r="T181" s="13">
        <f t="shared" si="47"/>
        <v>0</v>
      </c>
      <c r="U181" s="13" t="e">
        <f>IF(予定価格!$G$427=0,ROUND(予定価格!H169*(入力表!$F$12/予定価格!$H$431),-$F$14),ROUND((予定価格!G169*(入力表!$F$12-予定価格!$H$431)/予定価格!$G$431)+予定価格!H169,-$F$14))</f>
        <v>#DIV/0!</v>
      </c>
      <c r="V181" t="e">
        <f>IF(U181=0,1,IF(予定価格!O169=0,1,(U181-予定価格!P169)/予定価格!O169))</f>
        <v>#DIV/0!</v>
      </c>
      <c r="W181" t="e">
        <f t="shared" si="48"/>
        <v>#DIV/0!</v>
      </c>
      <c r="X181" t="e">
        <f t="shared" si="49"/>
        <v>#DIV/0!</v>
      </c>
      <c r="Y181" t="e">
        <f>IF(U181=0,0,IF(予定価格!G169=0,0,(U181-予定価格!H169)/予定価格!G169))</f>
        <v>#DIV/0!</v>
      </c>
      <c r="Z181" t="e">
        <f t="shared" si="50"/>
        <v>#DIV/0!</v>
      </c>
      <c r="AA181" t="e">
        <f t="shared" si="51"/>
        <v>#DIV/0!</v>
      </c>
      <c r="AB181" s="13" t="e">
        <f t="shared" si="52"/>
        <v>#DIV/0!</v>
      </c>
    </row>
    <row r="182" spans="1:28" hidden="1" x14ac:dyDescent="0.15">
      <c r="A182">
        <f>+予定価格!A170</f>
        <v>0</v>
      </c>
      <c r="B182" s="258">
        <f>ROUND(予定価格!B170*査定表!$B$437,-D182)+E182</f>
        <v>0</v>
      </c>
      <c r="C182" s="258"/>
      <c r="D182" s="45">
        <f t="shared" si="41"/>
        <v>4</v>
      </c>
      <c r="E182" s="46">
        <f t="shared" si="37"/>
        <v>0</v>
      </c>
      <c r="F182" s="258">
        <f>IF($F$12=0,0,IF(予定価格!$G$427=0,ROUND(予定価格!H170*(入力表!$F$12/予定価格!$H$431),-H182),ROUND((予定価格!G170*(入力表!$F$12-予定価格!$H$431)/予定価格!$G$431)+予定価格!H170,-H182)))+I182</f>
        <v>0</v>
      </c>
      <c r="G182" s="258"/>
      <c r="H182" s="47">
        <f t="shared" si="42"/>
        <v>4</v>
      </c>
      <c r="I182" s="48">
        <f t="shared" si="38"/>
        <v>0</v>
      </c>
      <c r="J182" s="116">
        <f t="shared" si="39"/>
        <v>0</v>
      </c>
      <c r="K182" s="19">
        <f t="shared" si="40"/>
        <v>0</v>
      </c>
      <c r="L182" s="50"/>
      <c r="M182" s="13">
        <f>ROUND(予定価格!B170*査定表!$B$437,-$F$14)</f>
        <v>0</v>
      </c>
      <c r="N182">
        <f>IF(M182=0,1,M182/予定価格!B170)</f>
        <v>1</v>
      </c>
      <c r="O182">
        <f t="shared" si="43"/>
        <v>21</v>
      </c>
      <c r="P182">
        <f t="shared" si="44"/>
        <v>0</v>
      </c>
      <c r="Q182">
        <f>IF(M182=0,0,M182/予定価格!B170)</f>
        <v>0</v>
      </c>
      <c r="R182">
        <f t="shared" si="45"/>
        <v>21</v>
      </c>
      <c r="S182">
        <f t="shared" si="46"/>
        <v>0</v>
      </c>
      <c r="T182" s="13">
        <f t="shared" si="47"/>
        <v>0</v>
      </c>
      <c r="U182" s="13" t="e">
        <f>IF(予定価格!$G$427=0,ROUND(予定価格!H170*(入力表!$F$12/予定価格!$H$431),-$F$14),ROUND((予定価格!G170*(入力表!$F$12-予定価格!$H$431)/予定価格!$G$431)+予定価格!H170,-$F$14))</f>
        <v>#DIV/0!</v>
      </c>
      <c r="V182" t="e">
        <f>IF(U182=0,1,IF(予定価格!O170=0,1,(U182-予定価格!P170)/予定価格!O170))</f>
        <v>#DIV/0!</v>
      </c>
      <c r="W182" t="e">
        <f t="shared" si="48"/>
        <v>#DIV/0!</v>
      </c>
      <c r="X182" t="e">
        <f t="shared" si="49"/>
        <v>#DIV/0!</v>
      </c>
      <c r="Y182" t="e">
        <f>IF(U182=0,0,IF(予定価格!G170=0,0,(U182-予定価格!H170)/予定価格!G170))</f>
        <v>#DIV/0!</v>
      </c>
      <c r="Z182" t="e">
        <f t="shared" si="50"/>
        <v>#DIV/0!</v>
      </c>
      <c r="AA182" t="e">
        <f t="shared" si="51"/>
        <v>#DIV/0!</v>
      </c>
      <c r="AB182" s="13" t="e">
        <f t="shared" si="52"/>
        <v>#DIV/0!</v>
      </c>
    </row>
    <row r="183" spans="1:28" hidden="1" x14ac:dyDescent="0.15">
      <c r="A183">
        <f>+予定価格!A171</f>
        <v>0</v>
      </c>
      <c r="B183" s="258">
        <f>ROUND(予定価格!B171*査定表!$B$437,-D183)+E183</f>
        <v>0</v>
      </c>
      <c r="C183" s="258"/>
      <c r="D183" s="45">
        <f t="shared" si="41"/>
        <v>4</v>
      </c>
      <c r="E183" s="46">
        <f t="shared" si="37"/>
        <v>0</v>
      </c>
      <c r="F183" s="258">
        <f>IF($F$12=0,0,IF(予定価格!$G$427=0,ROUND(予定価格!H171*(入力表!$F$12/予定価格!$H$431),-H183),ROUND((予定価格!G171*(入力表!$F$12-予定価格!$H$431)/予定価格!$G$431)+予定価格!H171,-H183)))+I183</f>
        <v>0</v>
      </c>
      <c r="G183" s="258"/>
      <c r="H183" s="47">
        <f t="shared" si="42"/>
        <v>4</v>
      </c>
      <c r="I183" s="48">
        <f t="shared" si="38"/>
        <v>0</v>
      </c>
      <c r="J183" s="116">
        <f t="shared" si="39"/>
        <v>0</v>
      </c>
      <c r="K183" s="19">
        <f t="shared" si="40"/>
        <v>0</v>
      </c>
      <c r="L183" s="50"/>
      <c r="M183" s="13">
        <f>ROUND(予定価格!B171*査定表!$B$437,-$F$14)</f>
        <v>0</v>
      </c>
      <c r="N183">
        <f>IF(M183=0,1,M183/予定価格!B171)</f>
        <v>1</v>
      </c>
      <c r="O183">
        <f t="shared" si="43"/>
        <v>21</v>
      </c>
      <c r="P183">
        <f t="shared" si="44"/>
        <v>0</v>
      </c>
      <c r="Q183">
        <f>IF(M183=0,0,M183/予定価格!B171)</f>
        <v>0</v>
      </c>
      <c r="R183">
        <f t="shared" si="45"/>
        <v>21</v>
      </c>
      <c r="S183">
        <f t="shared" si="46"/>
        <v>0</v>
      </c>
      <c r="T183" s="13">
        <f t="shared" si="47"/>
        <v>0</v>
      </c>
      <c r="U183" s="13" t="e">
        <f>IF(予定価格!$G$427=0,ROUND(予定価格!H171*(入力表!$F$12/予定価格!$H$431),-$F$14),ROUND((予定価格!G171*(入力表!$F$12-予定価格!$H$431)/予定価格!$G$431)+予定価格!H171,-$F$14))</f>
        <v>#DIV/0!</v>
      </c>
      <c r="V183" t="e">
        <f>IF(U183=0,1,IF(予定価格!O171=0,1,(U183-予定価格!P171)/予定価格!O171))</f>
        <v>#DIV/0!</v>
      </c>
      <c r="W183" t="e">
        <f t="shared" si="48"/>
        <v>#DIV/0!</v>
      </c>
      <c r="X183" t="e">
        <f t="shared" si="49"/>
        <v>#DIV/0!</v>
      </c>
      <c r="Y183" t="e">
        <f>IF(U183=0,0,IF(予定価格!G171=0,0,(U183-予定価格!H171)/予定価格!G171))</f>
        <v>#DIV/0!</v>
      </c>
      <c r="Z183" t="e">
        <f t="shared" si="50"/>
        <v>#DIV/0!</v>
      </c>
      <c r="AA183" t="e">
        <f t="shared" si="51"/>
        <v>#DIV/0!</v>
      </c>
      <c r="AB183" s="13" t="e">
        <f t="shared" si="52"/>
        <v>#DIV/0!</v>
      </c>
    </row>
    <row r="184" spans="1:28" hidden="1" x14ac:dyDescent="0.15">
      <c r="A184">
        <f>+予定価格!A172</f>
        <v>0</v>
      </c>
      <c r="B184" s="258">
        <f>ROUND(予定価格!B172*査定表!$B$437,-D184)+E184</f>
        <v>0</v>
      </c>
      <c r="C184" s="258"/>
      <c r="D184" s="45">
        <f t="shared" si="41"/>
        <v>4</v>
      </c>
      <c r="E184" s="46">
        <f t="shared" si="37"/>
        <v>0</v>
      </c>
      <c r="F184" s="258">
        <f>IF($F$12=0,0,IF(予定価格!$G$427=0,ROUND(予定価格!H172*(入力表!$F$12/予定価格!$H$431),-H184),ROUND((予定価格!G172*(入力表!$F$12-予定価格!$H$431)/予定価格!$G$431)+予定価格!H172,-H184)))+I184</f>
        <v>0</v>
      </c>
      <c r="G184" s="258"/>
      <c r="H184" s="47">
        <f t="shared" si="42"/>
        <v>4</v>
      </c>
      <c r="I184" s="48">
        <f t="shared" si="38"/>
        <v>0</v>
      </c>
      <c r="J184" s="116">
        <f t="shared" si="39"/>
        <v>0</v>
      </c>
      <c r="K184" s="19">
        <f t="shared" si="40"/>
        <v>0</v>
      </c>
      <c r="L184" s="50"/>
      <c r="M184" s="13">
        <f>ROUND(予定価格!B172*査定表!$B$437,-$F$14)</f>
        <v>0</v>
      </c>
      <c r="N184">
        <f>IF(M184=0,1,M184/予定価格!B172)</f>
        <v>1</v>
      </c>
      <c r="O184">
        <f t="shared" si="43"/>
        <v>21</v>
      </c>
      <c r="P184">
        <f t="shared" si="44"/>
        <v>0</v>
      </c>
      <c r="Q184">
        <f>IF(M184=0,0,M184/予定価格!B172)</f>
        <v>0</v>
      </c>
      <c r="R184">
        <f t="shared" si="45"/>
        <v>21</v>
      </c>
      <c r="S184">
        <f t="shared" si="46"/>
        <v>0</v>
      </c>
      <c r="T184" s="13">
        <f t="shared" si="47"/>
        <v>0</v>
      </c>
      <c r="U184" s="13" t="e">
        <f>IF(予定価格!$G$427=0,ROUND(予定価格!H172*(入力表!$F$12/予定価格!$H$431),-$F$14),ROUND((予定価格!G172*(入力表!$F$12-予定価格!$H$431)/予定価格!$G$431)+予定価格!H172,-$F$14))</f>
        <v>#DIV/0!</v>
      </c>
      <c r="V184" t="e">
        <f>IF(U184=0,1,IF(予定価格!O172=0,1,(U184-予定価格!P172)/予定価格!O172))</f>
        <v>#DIV/0!</v>
      </c>
      <c r="W184" t="e">
        <f t="shared" si="48"/>
        <v>#DIV/0!</v>
      </c>
      <c r="X184" t="e">
        <f t="shared" si="49"/>
        <v>#DIV/0!</v>
      </c>
      <c r="Y184" t="e">
        <f>IF(U184=0,0,IF(予定価格!G172=0,0,(U184-予定価格!H172)/予定価格!G172))</f>
        <v>#DIV/0!</v>
      </c>
      <c r="Z184" t="e">
        <f t="shared" si="50"/>
        <v>#DIV/0!</v>
      </c>
      <c r="AA184" t="e">
        <f t="shared" si="51"/>
        <v>#DIV/0!</v>
      </c>
      <c r="AB184" s="13" t="e">
        <f t="shared" si="52"/>
        <v>#DIV/0!</v>
      </c>
    </row>
    <row r="185" spans="1:28" hidden="1" x14ac:dyDescent="0.15">
      <c r="A185">
        <f>+予定価格!A173</f>
        <v>0</v>
      </c>
      <c r="B185" s="258">
        <f>ROUND(予定価格!B173*査定表!$B$437,-D185)+E185</f>
        <v>0</v>
      </c>
      <c r="C185" s="258"/>
      <c r="D185" s="45">
        <f t="shared" si="41"/>
        <v>4</v>
      </c>
      <c r="E185" s="46">
        <f t="shared" si="37"/>
        <v>0</v>
      </c>
      <c r="F185" s="258">
        <f>IF($F$12=0,0,IF(予定価格!$G$427=0,ROUND(予定価格!H173*(入力表!$F$12/予定価格!$H$431),-H185),ROUND((予定価格!G173*(入力表!$F$12-予定価格!$H$431)/予定価格!$G$431)+予定価格!H173,-H185)))+I185</f>
        <v>0</v>
      </c>
      <c r="G185" s="258"/>
      <c r="H185" s="47">
        <f t="shared" si="42"/>
        <v>4</v>
      </c>
      <c r="I185" s="48">
        <f t="shared" si="38"/>
        <v>0</v>
      </c>
      <c r="J185" s="116">
        <f t="shared" si="39"/>
        <v>0</v>
      </c>
      <c r="K185" s="19">
        <f t="shared" si="40"/>
        <v>0</v>
      </c>
      <c r="L185" s="50"/>
      <c r="M185" s="13">
        <f>ROUND(予定価格!B173*査定表!$B$437,-$F$14)</f>
        <v>0</v>
      </c>
      <c r="N185">
        <f>IF(M185=0,1,M185/予定価格!B173)</f>
        <v>1</v>
      </c>
      <c r="O185">
        <f t="shared" si="43"/>
        <v>21</v>
      </c>
      <c r="P185">
        <f t="shared" si="44"/>
        <v>0</v>
      </c>
      <c r="Q185">
        <f>IF(M185=0,0,M185/予定価格!B173)</f>
        <v>0</v>
      </c>
      <c r="R185">
        <f t="shared" si="45"/>
        <v>21</v>
      </c>
      <c r="S185">
        <f t="shared" si="46"/>
        <v>0</v>
      </c>
      <c r="T185" s="13">
        <f t="shared" si="47"/>
        <v>0</v>
      </c>
      <c r="U185" s="13" t="e">
        <f>IF(予定価格!$G$427=0,ROUND(予定価格!H173*(入力表!$F$12/予定価格!$H$431),-$F$14),ROUND((予定価格!G173*(入力表!$F$12-予定価格!$H$431)/予定価格!$G$431)+予定価格!H173,-$F$14))</f>
        <v>#DIV/0!</v>
      </c>
      <c r="V185" t="e">
        <f>IF(U185=0,1,IF(予定価格!O173=0,1,(U185-予定価格!P173)/予定価格!O173))</f>
        <v>#DIV/0!</v>
      </c>
      <c r="W185" t="e">
        <f t="shared" si="48"/>
        <v>#DIV/0!</v>
      </c>
      <c r="X185" t="e">
        <f t="shared" si="49"/>
        <v>#DIV/0!</v>
      </c>
      <c r="Y185" t="e">
        <f>IF(U185=0,0,IF(予定価格!G173=0,0,(U185-予定価格!H173)/予定価格!G173))</f>
        <v>#DIV/0!</v>
      </c>
      <c r="Z185" t="e">
        <f t="shared" si="50"/>
        <v>#DIV/0!</v>
      </c>
      <c r="AA185" t="e">
        <f t="shared" si="51"/>
        <v>#DIV/0!</v>
      </c>
      <c r="AB185" s="13" t="e">
        <f t="shared" si="52"/>
        <v>#DIV/0!</v>
      </c>
    </row>
    <row r="186" spans="1:28" hidden="1" x14ac:dyDescent="0.15">
      <c r="A186">
        <f>+予定価格!A174</f>
        <v>0</v>
      </c>
      <c r="B186" s="258">
        <f>ROUND(予定価格!B174*査定表!$B$437,-D186)+E186</f>
        <v>0</v>
      </c>
      <c r="C186" s="258"/>
      <c r="D186" s="45">
        <f t="shared" si="41"/>
        <v>4</v>
      </c>
      <c r="E186" s="46">
        <f t="shared" si="37"/>
        <v>0</v>
      </c>
      <c r="F186" s="258">
        <f>IF($F$12=0,0,IF(予定価格!$G$427=0,ROUND(予定価格!H174*(入力表!$F$12/予定価格!$H$431),-H186),ROUND((予定価格!G174*(入力表!$F$12-予定価格!$H$431)/予定価格!$G$431)+予定価格!H174,-H186)))+I186</f>
        <v>0</v>
      </c>
      <c r="G186" s="258"/>
      <c r="H186" s="47">
        <f t="shared" si="42"/>
        <v>4</v>
      </c>
      <c r="I186" s="48">
        <f t="shared" si="38"/>
        <v>0</v>
      </c>
      <c r="J186" s="116">
        <f t="shared" si="39"/>
        <v>0</v>
      </c>
      <c r="K186" s="19">
        <f t="shared" si="40"/>
        <v>0</v>
      </c>
      <c r="L186" s="50"/>
      <c r="M186" s="13">
        <f>ROUND(予定価格!B174*査定表!$B$437,-$F$14)</f>
        <v>0</v>
      </c>
      <c r="N186">
        <f>IF(M186=0,1,M186/予定価格!B174)</f>
        <v>1</v>
      </c>
      <c r="O186">
        <f t="shared" si="43"/>
        <v>21</v>
      </c>
      <c r="P186">
        <f t="shared" si="44"/>
        <v>0</v>
      </c>
      <c r="Q186">
        <f>IF(M186=0,0,M186/予定価格!B174)</f>
        <v>0</v>
      </c>
      <c r="R186">
        <f t="shared" si="45"/>
        <v>21</v>
      </c>
      <c r="S186">
        <f t="shared" si="46"/>
        <v>0</v>
      </c>
      <c r="T186" s="13">
        <f t="shared" si="47"/>
        <v>0</v>
      </c>
      <c r="U186" s="13" t="e">
        <f>IF(予定価格!$G$427=0,ROUND(予定価格!H174*(入力表!$F$12/予定価格!$H$431),-$F$14),ROUND((予定価格!G174*(入力表!$F$12-予定価格!$H$431)/予定価格!$G$431)+予定価格!H174,-$F$14))</f>
        <v>#DIV/0!</v>
      </c>
      <c r="V186" t="e">
        <f>IF(U186=0,1,IF(予定価格!O174=0,1,(U186-予定価格!P174)/予定価格!O174))</f>
        <v>#DIV/0!</v>
      </c>
      <c r="W186" t="e">
        <f t="shared" si="48"/>
        <v>#DIV/0!</v>
      </c>
      <c r="X186" t="e">
        <f t="shared" si="49"/>
        <v>#DIV/0!</v>
      </c>
      <c r="Y186" t="e">
        <f>IF(U186=0,0,IF(予定価格!G174=0,0,(U186-予定価格!H174)/予定価格!G174))</f>
        <v>#DIV/0!</v>
      </c>
      <c r="Z186" t="e">
        <f t="shared" si="50"/>
        <v>#DIV/0!</v>
      </c>
      <c r="AA186" t="e">
        <f t="shared" si="51"/>
        <v>#DIV/0!</v>
      </c>
      <c r="AB186" s="13" t="e">
        <f t="shared" si="52"/>
        <v>#DIV/0!</v>
      </c>
    </row>
    <row r="187" spans="1:28" hidden="1" x14ac:dyDescent="0.15">
      <c r="A187">
        <f>+予定価格!A175</f>
        <v>0</v>
      </c>
      <c r="B187" s="258">
        <f>ROUND(予定価格!B175*査定表!$B$437,-D187)+E187</f>
        <v>0</v>
      </c>
      <c r="C187" s="258"/>
      <c r="D187" s="45">
        <f t="shared" si="41"/>
        <v>4</v>
      </c>
      <c r="E187" s="46">
        <f t="shared" si="37"/>
        <v>0</v>
      </c>
      <c r="F187" s="258">
        <f>IF($F$12=0,0,IF(予定価格!$G$427=0,ROUND(予定価格!H175*(入力表!$F$12/予定価格!$H$431),-H187),ROUND((予定価格!G175*(入力表!$F$12-予定価格!$H$431)/予定価格!$G$431)+予定価格!H175,-H187)))+I187</f>
        <v>0</v>
      </c>
      <c r="G187" s="258"/>
      <c r="H187" s="47">
        <f t="shared" si="42"/>
        <v>4</v>
      </c>
      <c r="I187" s="48">
        <f t="shared" si="38"/>
        <v>0</v>
      </c>
      <c r="J187" s="116">
        <f t="shared" si="39"/>
        <v>0</v>
      </c>
      <c r="K187" s="19">
        <f t="shared" si="40"/>
        <v>0</v>
      </c>
      <c r="L187" s="50"/>
      <c r="M187" s="13">
        <f>ROUND(予定価格!B175*査定表!$B$437,-$F$14)</f>
        <v>0</v>
      </c>
      <c r="N187">
        <f>IF(M187=0,1,M187/予定価格!B175)</f>
        <v>1</v>
      </c>
      <c r="O187">
        <f t="shared" si="43"/>
        <v>21</v>
      </c>
      <c r="P187">
        <f t="shared" si="44"/>
        <v>0</v>
      </c>
      <c r="Q187">
        <f>IF(M187=0,0,M187/予定価格!B175)</f>
        <v>0</v>
      </c>
      <c r="R187">
        <f t="shared" si="45"/>
        <v>21</v>
      </c>
      <c r="S187">
        <f t="shared" si="46"/>
        <v>0</v>
      </c>
      <c r="T187" s="13">
        <f t="shared" si="47"/>
        <v>0</v>
      </c>
      <c r="U187" s="13" t="e">
        <f>IF(予定価格!$G$427=0,ROUND(予定価格!H175*(入力表!$F$12/予定価格!$H$431),-$F$14),ROUND((予定価格!G175*(入力表!$F$12-予定価格!$H$431)/予定価格!$G$431)+予定価格!H175,-$F$14))</f>
        <v>#DIV/0!</v>
      </c>
      <c r="V187" t="e">
        <f>IF(U187=0,1,IF(予定価格!O175=0,1,(U187-予定価格!P175)/予定価格!O175))</f>
        <v>#DIV/0!</v>
      </c>
      <c r="W187" t="e">
        <f t="shared" si="48"/>
        <v>#DIV/0!</v>
      </c>
      <c r="X187" t="e">
        <f t="shared" si="49"/>
        <v>#DIV/0!</v>
      </c>
      <c r="Y187" t="e">
        <f>IF(U187=0,0,IF(予定価格!G175=0,0,(U187-予定価格!H175)/予定価格!G175))</f>
        <v>#DIV/0!</v>
      </c>
      <c r="Z187" t="e">
        <f t="shared" si="50"/>
        <v>#DIV/0!</v>
      </c>
      <c r="AA187" t="e">
        <f t="shared" si="51"/>
        <v>#DIV/0!</v>
      </c>
      <c r="AB187" s="13" t="e">
        <f t="shared" si="52"/>
        <v>#DIV/0!</v>
      </c>
    </row>
    <row r="188" spans="1:28" hidden="1" x14ac:dyDescent="0.15">
      <c r="A188">
        <f>+予定価格!A176</f>
        <v>0</v>
      </c>
      <c r="B188" s="258">
        <f>ROUND(予定価格!B176*査定表!$B$437,-D188)+E188</f>
        <v>0</v>
      </c>
      <c r="C188" s="258"/>
      <c r="D188" s="45">
        <f t="shared" si="41"/>
        <v>4</v>
      </c>
      <c r="E188" s="46">
        <f t="shared" si="37"/>
        <v>0</v>
      </c>
      <c r="F188" s="258">
        <f>IF($F$12=0,0,IF(予定価格!$G$427=0,ROUND(予定価格!H176*(入力表!$F$12/予定価格!$H$431),-H188),ROUND((予定価格!G176*(入力表!$F$12-予定価格!$H$431)/予定価格!$G$431)+予定価格!H176,-H188)))+I188</f>
        <v>0</v>
      </c>
      <c r="G188" s="258"/>
      <c r="H188" s="47">
        <f t="shared" si="42"/>
        <v>4</v>
      </c>
      <c r="I188" s="48">
        <f t="shared" si="38"/>
        <v>0</v>
      </c>
      <c r="J188" s="116">
        <f t="shared" si="39"/>
        <v>0</v>
      </c>
      <c r="K188" s="19">
        <f t="shared" si="40"/>
        <v>0</v>
      </c>
      <c r="L188" s="50"/>
      <c r="M188" s="13">
        <f>ROUND(予定価格!B176*査定表!$B$437,-$F$14)</f>
        <v>0</v>
      </c>
      <c r="N188">
        <f>IF(M188=0,1,M188/予定価格!B176)</f>
        <v>1</v>
      </c>
      <c r="O188">
        <f t="shared" si="43"/>
        <v>21</v>
      </c>
      <c r="P188">
        <f t="shared" si="44"/>
        <v>0</v>
      </c>
      <c r="Q188">
        <f>IF(M188=0,0,M188/予定価格!B176)</f>
        <v>0</v>
      </c>
      <c r="R188">
        <f t="shared" si="45"/>
        <v>21</v>
      </c>
      <c r="S188">
        <f t="shared" si="46"/>
        <v>0</v>
      </c>
      <c r="T188" s="13">
        <f t="shared" si="47"/>
        <v>0</v>
      </c>
      <c r="U188" s="13" t="e">
        <f>IF(予定価格!$G$427=0,ROUND(予定価格!H176*(入力表!$F$12/予定価格!$H$431),-$F$14),ROUND((予定価格!G176*(入力表!$F$12-予定価格!$H$431)/予定価格!$G$431)+予定価格!H176,-$F$14))</f>
        <v>#DIV/0!</v>
      </c>
      <c r="V188" t="e">
        <f>IF(U188=0,1,IF(予定価格!O176=0,1,(U188-予定価格!P176)/予定価格!O176))</f>
        <v>#DIV/0!</v>
      </c>
      <c r="W188" t="e">
        <f t="shared" si="48"/>
        <v>#DIV/0!</v>
      </c>
      <c r="X188" t="e">
        <f t="shared" si="49"/>
        <v>#DIV/0!</v>
      </c>
      <c r="Y188" t="e">
        <f>IF(U188=0,0,IF(予定価格!G176=0,0,(U188-予定価格!H176)/予定価格!G176))</f>
        <v>#DIV/0!</v>
      </c>
      <c r="Z188" t="e">
        <f t="shared" si="50"/>
        <v>#DIV/0!</v>
      </c>
      <c r="AA188" t="e">
        <f t="shared" si="51"/>
        <v>#DIV/0!</v>
      </c>
      <c r="AB188" s="13" t="e">
        <f t="shared" si="52"/>
        <v>#DIV/0!</v>
      </c>
    </row>
    <row r="189" spans="1:28" hidden="1" x14ac:dyDescent="0.15">
      <c r="A189">
        <f>+予定価格!A177</f>
        <v>0</v>
      </c>
      <c r="B189" s="258">
        <f>ROUND(予定価格!B177*査定表!$B$437,-D189)+E189</f>
        <v>0</v>
      </c>
      <c r="C189" s="258"/>
      <c r="D189" s="45">
        <f t="shared" si="41"/>
        <v>4</v>
      </c>
      <c r="E189" s="46">
        <f t="shared" si="37"/>
        <v>0</v>
      </c>
      <c r="F189" s="258">
        <f>IF($F$12=0,0,IF(予定価格!$G$427=0,ROUND(予定価格!H177*(入力表!$F$12/予定価格!$H$431),-H189),ROUND((予定価格!G177*(入力表!$F$12-予定価格!$H$431)/予定価格!$G$431)+予定価格!H177,-H189)))+I189</f>
        <v>0</v>
      </c>
      <c r="G189" s="258"/>
      <c r="H189" s="47">
        <f t="shared" si="42"/>
        <v>4</v>
      </c>
      <c r="I189" s="48">
        <f t="shared" si="38"/>
        <v>0</v>
      </c>
      <c r="J189" s="116">
        <f t="shared" si="39"/>
        <v>0</v>
      </c>
      <c r="K189" s="19">
        <f t="shared" si="40"/>
        <v>0</v>
      </c>
      <c r="L189" s="50"/>
      <c r="M189" s="13">
        <f>ROUND(予定価格!B177*査定表!$B$437,-$F$14)</f>
        <v>0</v>
      </c>
      <c r="N189">
        <f>IF(M189=0,1,M189/予定価格!B177)</f>
        <v>1</v>
      </c>
      <c r="O189">
        <f t="shared" si="43"/>
        <v>21</v>
      </c>
      <c r="P189">
        <f t="shared" si="44"/>
        <v>0</v>
      </c>
      <c r="Q189">
        <f>IF(M189=0,0,M189/予定価格!B177)</f>
        <v>0</v>
      </c>
      <c r="R189">
        <f t="shared" si="45"/>
        <v>21</v>
      </c>
      <c r="S189">
        <f t="shared" si="46"/>
        <v>0</v>
      </c>
      <c r="T189" s="13">
        <f t="shared" si="47"/>
        <v>0</v>
      </c>
      <c r="U189" s="13" t="e">
        <f>IF(予定価格!$G$427=0,ROUND(予定価格!H177*(入力表!$F$12/予定価格!$H$431),-$F$14),ROUND((予定価格!G177*(入力表!$F$12-予定価格!$H$431)/予定価格!$G$431)+予定価格!H177,-$F$14))</f>
        <v>#DIV/0!</v>
      </c>
      <c r="V189" t="e">
        <f>IF(U189=0,1,IF(予定価格!O177=0,1,(U189-予定価格!P177)/予定価格!O177))</f>
        <v>#DIV/0!</v>
      </c>
      <c r="W189" t="e">
        <f t="shared" si="48"/>
        <v>#DIV/0!</v>
      </c>
      <c r="X189" t="e">
        <f t="shared" si="49"/>
        <v>#DIV/0!</v>
      </c>
      <c r="Y189" t="e">
        <f>IF(U189=0,0,IF(予定価格!G177=0,0,(U189-予定価格!H177)/予定価格!G177))</f>
        <v>#DIV/0!</v>
      </c>
      <c r="Z189" t="e">
        <f t="shared" si="50"/>
        <v>#DIV/0!</v>
      </c>
      <c r="AA189" t="e">
        <f t="shared" si="51"/>
        <v>#DIV/0!</v>
      </c>
      <c r="AB189" s="13" t="e">
        <f t="shared" si="52"/>
        <v>#DIV/0!</v>
      </c>
    </row>
    <row r="190" spans="1:28" hidden="1" x14ac:dyDescent="0.15">
      <c r="A190">
        <f>+予定価格!A178</f>
        <v>0</v>
      </c>
      <c r="B190" s="258">
        <f>ROUND(予定価格!B178*査定表!$B$437,-D190)+E190</f>
        <v>0</v>
      </c>
      <c r="C190" s="258"/>
      <c r="D190" s="45">
        <f t="shared" si="41"/>
        <v>4</v>
      </c>
      <c r="E190" s="46">
        <f t="shared" si="37"/>
        <v>0</v>
      </c>
      <c r="F190" s="258">
        <f>IF($F$12=0,0,IF(予定価格!$G$427=0,ROUND(予定価格!H178*(入力表!$F$12/予定価格!$H$431),-H190),ROUND((予定価格!G178*(入力表!$F$12-予定価格!$H$431)/予定価格!$G$431)+予定価格!H178,-H190)))+I190</f>
        <v>0</v>
      </c>
      <c r="G190" s="258"/>
      <c r="H190" s="47">
        <f t="shared" si="42"/>
        <v>4</v>
      </c>
      <c r="I190" s="48">
        <f t="shared" si="38"/>
        <v>0</v>
      </c>
      <c r="J190" s="116">
        <f t="shared" si="39"/>
        <v>0</v>
      </c>
      <c r="K190" s="19">
        <f t="shared" si="40"/>
        <v>0</v>
      </c>
      <c r="L190" s="50"/>
      <c r="M190" s="13">
        <f>ROUND(予定価格!B178*査定表!$B$437,-$F$14)</f>
        <v>0</v>
      </c>
      <c r="N190">
        <f>IF(M190=0,1,M190/予定価格!B178)</f>
        <v>1</v>
      </c>
      <c r="O190">
        <f t="shared" si="43"/>
        <v>21</v>
      </c>
      <c r="P190">
        <f t="shared" si="44"/>
        <v>0</v>
      </c>
      <c r="Q190">
        <f>IF(M190=0,0,M190/予定価格!B178)</f>
        <v>0</v>
      </c>
      <c r="R190">
        <f t="shared" si="45"/>
        <v>21</v>
      </c>
      <c r="S190">
        <f t="shared" si="46"/>
        <v>0</v>
      </c>
      <c r="T190" s="13">
        <f t="shared" si="47"/>
        <v>0</v>
      </c>
      <c r="U190" s="13" t="e">
        <f>IF(予定価格!$G$427=0,ROUND(予定価格!H178*(入力表!$F$12/予定価格!$H$431),-$F$14),ROUND((予定価格!G178*(入力表!$F$12-予定価格!$H$431)/予定価格!$G$431)+予定価格!H178,-$F$14))</f>
        <v>#DIV/0!</v>
      </c>
      <c r="V190" t="e">
        <f>IF(U190=0,1,IF(予定価格!O178=0,1,(U190-予定価格!P178)/予定価格!O178))</f>
        <v>#DIV/0!</v>
      </c>
      <c r="W190" t="e">
        <f t="shared" si="48"/>
        <v>#DIV/0!</v>
      </c>
      <c r="X190" t="e">
        <f t="shared" si="49"/>
        <v>#DIV/0!</v>
      </c>
      <c r="Y190" t="e">
        <f>IF(U190=0,0,IF(予定価格!G178=0,0,(U190-予定価格!H178)/予定価格!G178))</f>
        <v>#DIV/0!</v>
      </c>
      <c r="Z190" t="e">
        <f t="shared" si="50"/>
        <v>#DIV/0!</v>
      </c>
      <c r="AA190" t="e">
        <f t="shared" si="51"/>
        <v>#DIV/0!</v>
      </c>
      <c r="AB190" s="13" t="e">
        <f t="shared" si="52"/>
        <v>#DIV/0!</v>
      </c>
    </row>
    <row r="191" spans="1:28" hidden="1" x14ac:dyDescent="0.15">
      <c r="A191">
        <f>+予定価格!A179</f>
        <v>0</v>
      </c>
      <c r="B191" s="258">
        <f>ROUND(予定価格!B179*査定表!$B$437,-D191)+E191</f>
        <v>0</v>
      </c>
      <c r="C191" s="258"/>
      <c r="D191" s="45">
        <f t="shared" si="41"/>
        <v>4</v>
      </c>
      <c r="E191" s="46">
        <f t="shared" si="37"/>
        <v>0</v>
      </c>
      <c r="F191" s="258">
        <f>IF($F$12=0,0,IF(予定価格!$G$427=0,ROUND(予定価格!H179*(入力表!$F$12/予定価格!$H$431),-H191),ROUND((予定価格!G179*(入力表!$F$12-予定価格!$H$431)/予定価格!$G$431)+予定価格!H179,-H191)))+I191</f>
        <v>0</v>
      </c>
      <c r="G191" s="258"/>
      <c r="H191" s="47">
        <f t="shared" si="42"/>
        <v>4</v>
      </c>
      <c r="I191" s="48">
        <f t="shared" si="38"/>
        <v>0</v>
      </c>
      <c r="J191" s="116">
        <f t="shared" si="39"/>
        <v>0</v>
      </c>
      <c r="K191" s="19">
        <f t="shared" si="40"/>
        <v>0</v>
      </c>
      <c r="L191" s="50"/>
      <c r="M191" s="13">
        <f>ROUND(予定価格!B179*査定表!$B$437,-$F$14)</f>
        <v>0</v>
      </c>
      <c r="N191">
        <f>IF(M191=0,1,M191/予定価格!B179)</f>
        <v>1</v>
      </c>
      <c r="O191">
        <f t="shared" si="43"/>
        <v>21</v>
      </c>
      <c r="P191">
        <f t="shared" si="44"/>
        <v>0</v>
      </c>
      <c r="Q191">
        <f>IF(M191=0,0,M191/予定価格!B179)</f>
        <v>0</v>
      </c>
      <c r="R191">
        <f t="shared" si="45"/>
        <v>21</v>
      </c>
      <c r="S191">
        <f t="shared" si="46"/>
        <v>0</v>
      </c>
      <c r="T191" s="13">
        <f t="shared" si="47"/>
        <v>0</v>
      </c>
      <c r="U191" s="13" t="e">
        <f>IF(予定価格!$G$427=0,ROUND(予定価格!H179*(入力表!$F$12/予定価格!$H$431),-$F$14),ROUND((予定価格!G179*(入力表!$F$12-予定価格!$H$431)/予定価格!$G$431)+予定価格!H179,-$F$14))</f>
        <v>#DIV/0!</v>
      </c>
      <c r="V191" t="e">
        <f>IF(U191=0,1,IF(予定価格!O179=0,1,(U191-予定価格!P179)/予定価格!O179))</f>
        <v>#DIV/0!</v>
      </c>
      <c r="W191" t="e">
        <f t="shared" si="48"/>
        <v>#DIV/0!</v>
      </c>
      <c r="X191" t="e">
        <f t="shared" si="49"/>
        <v>#DIV/0!</v>
      </c>
      <c r="Y191" t="e">
        <f>IF(U191=0,0,IF(予定価格!G179=0,0,(U191-予定価格!H179)/予定価格!G179))</f>
        <v>#DIV/0!</v>
      </c>
      <c r="Z191" t="e">
        <f t="shared" si="50"/>
        <v>#DIV/0!</v>
      </c>
      <c r="AA191" t="e">
        <f t="shared" si="51"/>
        <v>#DIV/0!</v>
      </c>
      <c r="AB191" s="13" t="e">
        <f t="shared" si="52"/>
        <v>#DIV/0!</v>
      </c>
    </row>
    <row r="192" spans="1:28" hidden="1" x14ac:dyDescent="0.15">
      <c r="A192">
        <f>+予定価格!A180</f>
        <v>0</v>
      </c>
      <c r="B192" s="258">
        <f>ROUND(予定価格!B180*査定表!$B$437,-D192)+E192</f>
        <v>0</v>
      </c>
      <c r="C192" s="258"/>
      <c r="D192" s="45">
        <f t="shared" si="41"/>
        <v>4</v>
      </c>
      <c r="E192" s="46">
        <f t="shared" si="37"/>
        <v>0</v>
      </c>
      <c r="F192" s="258">
        <f>IF($F$12=0,0,IF(予定価格!$G$427=0,ROUND(予定価格!H180*(入力表!$F$12/予定価格!$H$431),-H192),ROUND((予定価格!G180*(入力表!$F$12-予定価格!$H$431)/予定価格!$G$431)+予定価格!H180,-H192)))+I192</f>
        <v>0</v>
      </c>
      <c r="G192" s="258"/>
      <c r="H192" s="47">
        <f t="shared" si="42"/>
        <v>4</v>
      </c>
      <c r="I192" s="48">
        <f t="shared" si="38"/>
        <v>0</v>
      </c>
      <c r="J192" s="116">
        <f t="shared" si="39"/>
        <v>0</v>
      </c>
      <c r="K192" s="19">
        <f t="shared" si="40"/>
        <v>0</v>
      </c>
      <c r="L192" s="50"/>
      <c r="M192" s="13">
        <f>ROUND(予定価格!B180*査定表!$B$437,-$F$14)</f>
        <v>0</v>
      </c>
      <c r="N192">
        <f>IF(M192=0,1,M192/予定価格!B180)</f>
        <v>1</v>
      </c>
      <c r="O192">
        <f t="shared" si="43"/>
        <v>21</v>
      </c>
      <c r="P192">
        <f t="shared" si="44"/>
        <v>0</v>
      </c>
      <c r="Q192">
        <f>IF(M192=0,0,M192/予定価格!B180)</f>
        <v>0</v>
      </c>
      <c r="R192">
        <f t="shared" si="45"/>
        <v>21</v>
      </c>
      <c r="S192">
        <f t="shared" si="46"/>
        <v>0</v>
      </c>
      <c r="T192" s="13">
        <f t="shared" si="47"/>
        <v>0</v>
      </c>
      <c r="U192" s="13" t="e">
        <f>IF(予定価格!$G$427=0,ROUND(予定価格!H180*(入力表!$F$12/予定価格!$H$431),-$F$14),ROUND((予定価格!G180*(入力表!$F$12-予定価格!$H$431)/予定価格!$G$431)+予定価格!H180,-$F$14))</f>
        <v>#DIV/0!</v>
      </c>
      <c r="V192" t="e">
        <f>IF(U192=0,1,IF(予定価格!O180=0,1,(U192-予定価格!P180)/予定価格!O180))</f>
        <v>#DIV/0!</v>
      </c>
      <c r="W192" t="e">
        <f t="shared" si="48"/>
        <v>#DIV/0!</v>
      </c>
      <c r="X192" t="e">
        <f t="shared" si="49"/>
        <v>#DIV/0!</v>
      </c>
      <c r="Y192" t="e">
        <f>IF(U192=0,0,IF(予定価格!G180=0,0,(U192-予定価格!H180)/予定価格!G180))</f>
        <v>#DIV/0!</v>
      </c>
      <c r="Z192" t="e">
        <f t="shared" si="50"/>
        <v>#DIV/0!</v>
      </c>
      <c r="AA192" t="e">
        <f t="shared" si="51"/>
        <v>#DIV/0!</v>
      </c>
      <c r="AB192" s="13" t="e">
        <f t="shared" si="52"/>
        <v>#DIV/0!</v>
      </c>
    </row>
    <row r="193" spans="1:28" hidden="1" x14ac:dyDescent="0.15">
      <c r="A193">
        <f>+予定価格!A181</f>
        <v>0</v>
      </c>
      <c r="B193" s="258">
        <f>ROUND(予定価格!B181*査定表!$B$437,-D193)+E193</f>
        <v>0</v>
      </c>
      <c r="C193" s="258"/>
      <c r="D193" s="45">
        <f t="shared" si="41"/>
        <v>4</v>
      </c>
      <c r="E193" s="46">
        <f t="shared" si="37"/>
        <v>0</v>
      </c>
      <c r="F193" s="258">
        <f>IF($F$12=0,0,IF(予定価格!$G$427=0,ROUND(予定価格!H181*(入力表!$F$12/予定価格!$H$431),-H193),ROUND((予定価格!G181*(入力表!$F$12-予定価格!$H$431)/予定価格!$G$431)+予定価格!H181,-H193)))+I193</f>
        <v>0</v>
      </c>
      <c r="G193" s="258"/>
      <c r="H193" s="47">
        <f t="shared" si="42"/>
        <v>4</v>
      </c>
      <c r="I193" s="48">
        <f t="shared" si="38"/>
        <v>0</v>
      </c>
      <c r="J193" s="116">
        <f t="shared" si="39"/>
        <v>0</v>
      </c>
      <c r="K193" s="19">
        <f t="shared" si="40"/>
        <v>0</v>
      </c>
      <c r="L193" s="50"/>
      <c r="M193" s="13">
        <f>ROUND(予定価格!B181*査定表!$B$437,-$F$14)</f>
        <v>0</v>
      </c>
      <c r="N193">
        <f>IF(M193=0,1,M193/予定価格!B181)</f>
        <v>1</v>
      </c>
      <c r="O193">
        <f t="shared" si="43"/>
        <v>21</v>
      </c>
      <c r="P193">
        <f t="shared" si="44"/>
        <v>0</v>
      </c>
      <c r="Q193">
        <f>IF(M193=0,0,M193/予定価格!B181)</f>
        <v>0</v>
      </c>
      <c r="R193">
        <f t="shared" si="45"/>
        <v>21</v>
      </c>
      <c r="S193">
        <f t="shared" si="46"/>
        <v>0</v>
      </c>
      <c r="T193" s="13">
        <f t="shared" si="47"/>
        <v>0</v>
      </c>
      <c r="U193" s="13" t="e">
        <f>IF(予定価格!$G$427=0,ROUND(予定価格!H181*(入力表!$F$12/予定価格!$H$431),-$F$14),ROUND((予定価格!G181*(入力表!$F$12-予定価格!$H$431)/予定価格!$G$431)+予定価格!H181,-$F$14))</f>
        <v>#DIV/0!</v>
      </c>
      <c r="V193" t="e">
        <f>IF(U193=0,1,IF(予定価格!O181=0,1,(U193-予定価格!P181)/予定価格!O181))</f>
        <v>#DIV/0!</v>
      </c>
      <c r="W193" t="e">
        <f t="shared" si="48"/>
        <v>#DIV/0!</v>
      </c>
      <c r="X193" t="e">
        <f t="shared" si="49"/>
        <v>#DIV/0!</v>
      </c>
      <c r="Y193" t="e">
        <f>IF(U193=0,0,IF(予定価格!G181=0,0,(U193-予定価格!H181)/予定価格!G181))</f>
        <v>#DIV/0!</v>
      </c>
      <c r="Z193" t="e">
        <f t="shared" si="50"/>
        <v>#DIV/0!</v>
      </c>
      <c r="AA193" t="e">
        <f t="shared" si="51"/>
        <v>#DIV/0!</v>
      </c>
      <c r="AB193" s="13" t="e">
        <f t="shared" si="52"/>
        <v>#DIV/0!</v>
      </c>
    </row>
    <row r="194" spans="1:28" hidden="1" x14ac:dyDescent="0.15">
      <c r="A194">
        <f>+予定価格!A182</f>
        <v>0</v>
      </c>
      <c r="B194" s="258">
        <f>ROUND(予定価格!B182*査定表!$B$437,-D194)+E194</f>
        <v>0</v>
      </c>
      <c r="C194" s="258"/>
      <c r="D194" s="45">
        <f t="shared" si="41"/>
        <v>4</v>
      </c>
      <c r="E194" s="46">
        <f t="shared" si="37"/>
        <v>0</v>
      </c>
      <c r="F194" s="258">
        <f>IF($F$12=0,0,IF(予定価格!$G$427=0,ROUND(予定価格!H182*(入力表!$F$12/予定価格!$H$431),-H194),ROUND((予定価格!G182*(入力表!$F$12-予定価格!$H$431)/予定価格!$G$431)+予定価格!H182,-H194)))+I194</f>
        <v>0</v>
      </c>
      <c r="G194" s="258"/>
      <c r="H194" s="47">
        <f t="shared" si="42"/>
        <v>4</v>
      </c>
      <c r="I194" s="48">
        <f t="shared" si="38"/>
        <v>0</v>
      </c>
      <c r="J194" s="116">
        <f t="shared" si="39"/>
        <v>0</v>
      </c>
      <c r="K194" s="19">
        <f t="shared" si="40"/>
        <v>0</v>
      </c>
      <c r="L194" s="50"/>
      <c r="M194" s="13">
        <f>ROUND(予定価格!B182*査定表!$B$437,-$F$14)</f>
        <v>0</v>
      </c>
      <c r="N194">
        <f>IF(M194=0,1,M194/予定価格!B182)</f>
        <v>1</v>
      </c>
      <c r="O194">
        <f t="shared" si="43"/>
        <v>21</v>
      </c>
      <c r="P194">
        <f t="shared" si="44"/>
        <v>0</v>
      </c>
      <c r="Q194">
        <f>IF(M194=0,0,M194/予定価格!B182)</f>
        <v>0</v>
      </c>
      <c r="R194">
        <f t="shared" si="45"/>
        <v>21</v>
      </c>
      <c r="S194">
        <f t="shared" si="46"/>
        <v>0</v>
      </c>
      <c r="T194" s="13">
        <f t="shared" si="47"/>
        <v>0</v>
      </c>
      <c r="U194" s="13" t="e">
        <f>IF(予定価格!$G$427=0,ROUND(予定価格!H182*(入力表!$F$12/予定価格!$H$431),-$F$14),ROUND((予定価格!G182*(入力表!$F$12-予定価格!$H$431)/予定価格!$G$431)+予定価格!H182,-$F$14))</f>
        <v>#DIV/0!</v>
      </c>
      <c r="V194" t="e">
        <f>IF(U194=0,1,IF(予定価格!O182=0,1,(U194-予定価格!P182)/予定価格!O182))</f>
        <v>#DIV/0!</v>
      </c>
      <c r="W194" t="e">
        <f t="shared" si="48"/>
        <v>#DIV/0!</v>
      </c>
      <c r="X194" t="e">
        <f t="shared" si="49"/>
        <v>#DIV/0!</v>
      </c>
      <c r="Y194" t="e">
        <f>IF(U194=0,0,IF(予定価格!G182=0,0,(U194-予定価格!H182)/予定価格!G182))</f>
        <v>#DIV/0!</v>
      </c>
      <c r="Z194" t="e">
        <f t="shared" si="50"/>
        <v>#DIV/0!</v>
      </c>
      <c r="AA194" t="e">
        <f t="shared" si="51"/>
        <v>#DIV/0!</v>
      </c>
      <c r="AB194" s="13" t="e">
        <f t="shared" si="52"/>
        <v>#DIV/0!</v>
      </c>
    </row>
    <row r="195" spans="1:28" hidden="1" x14ac:dyDescent="0.15">
      <c r="A195">
        <f>+予定価格!A183</f>
        <v>0</v>
      </c>
      <c r="B195" s="258">
        <f>ROUND(予定価格!B183*査定表!$B$437,-D195)+E195</f>
        <v>0</v>
      </c>
      <c r="C195" s="258"/>
      <c r="D195" s="45">
        <f t="shared" si="41"/>
        <v>4</v>
      </c>
      <c r="E195" s="46">
        <f t="shared" si="37"/>
        <v>0</v>
      </c>
      <c r="F195" s="258">
        <f>IF($F$12=0,0,IF(予定価格!$G$427=0,ROUND(予定価格!H183*(入力表!$F$12/予定価格!$H$431),-H195),ROUND((予定価格!G183*(入力表!$F$12-予定価格!$H$431)/予定価格!$G$431)+予定価格!H183,-H195)))+I195</f>
        <v>0</v>
      </c>
      <c r="G195" s="258"/>
      <c r="H195" s="47">
        <f t="shared" si="42"/>
        <v>4</v>
      </c>
      <c r="I195" s="48">
        <f t="shared" si="38"/>
        <v>0</v>
      </c>
      <c r="J195" s="116">
        <f t="shared" si="39"/>
        <v>0</v>
      </c>
      <c r="K195" s="19">
        <f t="shared" si="40"/>
        <v>0</v>
      </c>
      <c r="L195" s="50"/>
      <c r="M195" s="13">
        <f>ROUND(予定価格!B183*査定表!$B$437,-$F$14)</f>
        <v>0</v>
      </c>
      <c r="N195">
        <f>IF(M195=0,1,M195/予定価格!B183)</f>
        <v>1</v>
      </c>
      <c r="O195">
        <f t="shared" si="43"/>
        <v>21</v>
      </c>
      <c r="P195">
        <f t="shared" si="44"/>
        <v>0</v>
      </c>
      <c r="Q195">
        <f>IF(M195=0,0,M195/予定価格!B183)</f>
        <v>0</v>
      </c>
      <c r="R195">
        <f t="shared" si="45"/>
        <v>21</v>
      </c>
      <c r="S195">
        <f t="shared" si="46"/>
        <v>0</v>
      </c>
      <c r="T195" s="13">
        <f t="shared" si="47"/>
        <v>0</v>
      </c>
      <c r="U195" s="13" t="e">
        <f>IF(予定価格!$G$427=0,ROUND(予定価格!H183*(入力表!$F$12/予定価格!$H$431),-$F$14),ROUND((予定価格!G183*(入力表!$F$12-予定価格!$H$431)/予定価格!$G$431)+予定価格!H183,-$F$14))</f>
        <v>#DIV/0!</v>
      </c>
      <c r="V195" t="e">
        <f>IF(U195=0,1,IF(予定価格!O183=0,1,(U195-予定価格!P183)/予定価格!O183))</f>
        <v>#DIV/0!</v>
      </c>
      <c r="W195" t="e">
        <f t="shared" si="48"/>
        <v>#DIV/0!</v>
      </c>
      <c r="X195" t="e">
        <f t="shared" si="49"/>
        <v>#DIV/0!</v>
      </c>
      <c r="Y195" t="e">
        <f>IF(U195=0,0,IF(予定価格!G183=0,0,(U195-予定価格!H183)/予定価格!G183))</f>
        <v>#DIV/0!</v>
      </c>
      <c r="Z195" t="e">
        <f t="shared" si="50"/>
        <v>#DIV/0!</v>
      </c>
      <c r="AA195" t="e">
        <f t="shared" si="51"/>
        <v>#DIV/0!</v>
      </c>
      <c r="AB195" s="13" t="e">
        <f t="shared" si="52"/>
        <v>#DIV/0!</v>
      </c>
    </row>
    <row r="196" spans="1:28" hidden="1" x14ac:dyDescent="0.15">
      <c r="A196">
        <f>+予定価格!A184</f>
        <v>0</v>
      </c>
      <c r="B196" s="258">
        <f>ROUND(予定価格!B184*査定表!$B$437,-D196)+E196</f>
        <v>0</v>
      </c>
      <c r="C196" s="258"/>
      <c r="D196" s="45">
        <f t="shared" si="41"/>
        <v>4</v>
      </c>
      <c r="E196" s="46">
        <f t="shared" si="37"/>
        <v>0</v>
      </c>
      <c r="F196" s="258">
        <f>IF($F$12=0,0,IF(予定価格!$G$427=0,ROUND(予定価格!H184*(入力表!$F$12/予定価格!$H$431),-H196),ROUND((予定価格!G184*(入力表!$F$12-予定価格!$H$431)/予定価格!$G$431)+予定価格!H184,-H196)))+I196</f>
        <v>0</v>
      </c>
      <c r="G196" s="258"/>
      <c r="H196" s="47">
        <f t="shared" si="42"/>
        <v>4</v>
      </c>
      <c r="I196" s="48">
        <f t="shared" si="38"/>
        <v>0</v>
      </c>
      <c r="J196" s="116">
        <f t="shared" si="39"/>
        <v>0</v>
      </c>
      <c r="K196" s="19">
        <f t="shared" si="40"/>
        <v>0</v>
      </c>
      <c r="L196" s="50"/>
      <c r="M196" s="13">
        <f>ROUND(予定価格!B184*査定表!$B$437,-$F$14)</f>
        <v>0</v>
      </c>
      <c r="N196">
        <f>IF(M196=0,1,M196/予定価格!B184)</f>
        <v>1</v>
      </c>
      <c r="O196">
        <f t="shared" si="43"/>
        <v>21</v>
      </c>
      <c r="P196">
        <f t="shared" si="44"/>
        <v>0</v>
      </c>
      <c r="Q196">
        <f>IF(M196=0,0,M196/予定価格!B184)</f>
        <v>0</v>
      </c>
      <c r="R196">
        <f t="shared" si="45"/>
        <v>21</v>
      </c>
      <c r="S196">
        <f t="shared" si="46"/>
        <v>0</v>
      </c>
      <c r="T196" s="13">
        <f t="shared" si="47"/>
        <v>0</v>
      </c>
      <c r="U196" s="13" t="e">
        <f>IF(予定価格!$G$427=0,ROUND(予定価格!H184*(入力表!$F$12/予定価格!$H$431),-$F$14),ROUND((予定価格!G184*(入力表!$F$12-予定価格!$H$431)/予定価格!$G$431)+予定価格!H184,-$F$14))</f>
        <v>#DIV/0!</v>
      </c>
      <c r="V196" t="e">
        <f>IF(U196=0,1,IF(予定価格!O184=0,1,(U196-予定価格!P184)/予定価格!O184))</f>
        <v>#DIV/0!</v>
      </c>
      <c r="W196" t="e">
        <f t="shared" si="48"/>
        <v>#DIV/0!</v>
      </c>
      <c r="X196" t="e">
        <f t="shared" si="49"/>
        <v>#DIV/0!</v>
      </c>
      <c r="Y196" t="e">
        <f>IF(U196=0,0,IF(予定価格!G184=0,0,(U196-予定価格!H184)/予定価格!G184))</f>
        <v>#DIV/0!</v>
      </c>
      <c r="Z196" t="e">
        <f t="shared" si="50"/>
        <v>#DIV/0!</v>
      </c>
      <c r="AA196" t="e">
        <f t="shared" si="51"/>
        <v>#DIV/0!</v>
      </c>
      <c r="AB196" s="13" t="e">
        <f t="shared" si="52"/>
        <v>#DIV/0!</v>
      </c>
    </row>
    <row r="197" spans="1:28" hidden="1" x14ac:dyDescent="0.15">
      <c r="A197">
        <f>+予定価格!A185</f>
        <v>0</v>
      </c>
      <c r="B197" s="258">
        <f>ROUND(予定価格!B185*査定表!$B$437,-D197)+E197</f>
        <v>0</v>
      </c>
      <c r="C197" s="258"/>
      <c r="D197" s="45">
        <f t="shared" si="41"/>
        <v>4</v>
      </c>
      <c r="E197" s="46">
        <f t="shared" si="37"/>
        <v>0</v>
      </c>
      <c r="F197" s="258">
        <f>IF($F$12=0,0,IF(予定価格!$G$427=0,ROUND(予定価格!H185*(入力表!$F$12/予定価格!$H$431),-H197),ROUND((予定価格!G185*(入力表!$F$12-予定価格!$H$431)/予定価格!$G$431)+予定価格!H185,-H197)))+I197</f>
        <v>0</v>
      </c>
      <c r="G197" s="258"/>
      <c r="H197" s="47">
        <f t="shared" si="42"/>
        <v>4</v>
      </c>
      <c r="I197" s="48">
        <f t="shared" si="38"/>
        <v>0</v>
      </c>
      <c r="J197" s="116">
        <f t="shared" si="39"/>
        <v>0</v>
      </c>
      <c r="K197" s="19">
        <f t="shared" si="40"/>
        <v>0</v>
      </c>
      <c r="L197" s="50"/>
      <c r="M197" s="13">
        <f>ROUND(予定価格!B185*査定表!$B$437,-$F$14)</f>
        <v>0</v>
      </c>
      <c r="N197">
        <f>IF(M197=0,1,M197/予定価格!B185)</f>
        <v>1</v>
      </c>
      <c r="O197">
        <f t="shared" si="43"/>
        <v>21</v>
      </c>
      <c r="P197">
        <f t="shared" si="44"/>
        <v>0</v>
      </c>
      <c r="Q197">
        <f>IF(M197=0,0,M197/予定価格!B185)</f>
        <v>0</v>
      </c>
      <c r="R197">
        <f t="shared" si="45"/>
        <v>21</v>
      </c>
      <c r="S197">
        <f t="shared" si="46"/>
        <v>0</v>
      </c>
      <c r="T197" s="13">
        <f t="shared" si="47"/>
        <v>0</v>
      </c>
      <c r="U197" s="13" t="e">
        <f>IF(予定価格!$G$427=0,ROUND(予定価格!H185*(入力表!$F$12/予定価格!$H$431),-$F$14),ROUND((予定価格!G185*(入力表!$F$12-予定価格!$H$431)/予定価格!$G$431)+予定価格!H185,-$F$14))</f>
        <v>#DIV/0!</v>
      </c>
      <c r="V197" t="e">
        <f>IF(U197=0,1,IF(予定価格!O185=0,1,(U197-予定価格!P185)/予定価格!O185))</f>
        <v>#DIV/0!</v>
      </c>
      <c r="W197" t="e">
        <f t="shared" si="48"/>
        <v>#DIV/0!</v>
      </c>
      <c r="X197" t="e">
        <f t="shared" si="49"/>
        <v>#DIV/0!</v>
      </c>
      <c r="Y197" t="e">
        <f>IF(U197=0,0,IF(予定価格!G185=0,0,(U197-予定価格!H185)/予定価格!G185))</f>
        <v>#DIV/0!</v>
      </c>
      <c r="Z197" t="e">
        <f t="shared" si="50"/>
        <v>#DIV/0!</v>
      </c>
      <c r="AA197" t="e">
        <f t="shared" si="51"/>
        <v>#DIV/0!</v>
      </c>
      <c r="AB197" s="13" t="e">
        <f t="shared" si="52"/>
        <v>#DIV/0!</v>
      </c>
    </row>
    <row r="198" spans="1:28" hidden="1" x14ac:dyDescent="0.15">
      <c r="A198">
        <f>+予定価格!A186</f>
        <v>0</v>
      </c>
      <c r="B198" s="258">
        <f>ROUND(予定価格!B186*査定表!$B$437,-D198)+E198</f>
        <v>0</v>
      </c>
      <c r="C198" s="258"/>
      <c r="D198" s="45">
        <f t="shared" si="41"/>
        <v>4</v>
      </c>
      <c r="E198" s="46">
        <f t="shared" si="37"/>
        <v>0</v>
      </c>
      <c r="F198" s="258">
        <f>IF($F$12=0,0,IF(予定価格!$G$427=0,ROUND(予定価格!H186*(入力表!$F$12/予定価格!$H$431),-H198),ROUND((予定価格!G186*(入力表!$F$12-予定価格!$H$431)/予定価格!$G$431)+予定価格!H186,-H198)))+I198</f>
        <v>0</v>
      </c>
      <c r="G198" s="258"/>
      <c r="H198" s="47">
        <f t="shared" si="42"/>
        <v>4</v>
      </c>
      <c r="I198" s="48">
        <f t="shared" si="38"/>
        <v>0</v>
      </c>
      <c r="J198" s="116">
        <f t="shared" si="39"/>
        <v>0</v>
      </c>
      <c r="K198" s="19">
        <f t="shared" si="40"/>
        <v>0</v>
      </c>
      <c r="L198" s="50"/>
      <c r="M198" s="13">
        <f>ROUND(予定価格!B186*査定表!$B$437,-$F$14)</f>
        <v>0</v>
      </c>
      <c r="N198">
        <f>IF(M198=0,1,M198/予定価格!B186)</f>
        <v>1</v>
      </c>
      <c r="O198">
        <f t="shared" si="43"/>
        <v>21</v>
      </c>
      <c r="P198">
        <f t="shared" si="44"/>
        <v>0</v>
      </c>
      <c r="Q198">
        <f>IF(M198=0,0,M198/予定価格!B186)</f>
        <v>0</v>
      </c>
      <c r="R198">
        <f t="shared" si="45"/>
        <v>21</v>
      </c>
      <c r="S198">
        <f t="shared" si="46"/>
        <v>0</v>
      </c>
      <c r="T198" s="13">
        <f t="shared" si="47"/>
        <v>0</v>
      </c>
      <c r="U198" s="13" t="e">
        <f>IF(予定価格!$G$427=0,ROUND(予定価格!H186*(入力表!$F$12/予定価格!$H$431),-$F$14),ROUND((予定価格!G186*(入力表!$F$12-予定価格!$H$431)/予定価格!$G$431)+予定価格!H186,-$F$14))</f>
        <v>#DIV/0!</v>
      </c>
      <c r="V198" t="e">
        <f>IF(U198=0,1,IF(予定価格!O186=0,1,(U198-予定価格!P186)/予定価格!O186))</f>
        <v>#DIV/0!</v>
      </c>
      <c r="W198" t="e">
        <f t="shared" si="48"/>
        <v>#DIV/0!</v>
      </c>
      <c r="X198" t="e">
        <f t="shared" si="49"/>
        <v>#DIV/0!</v>
      </c>
      <c r="Y198" t="e">
        <f>IF(U198=0,0,IF(予定価格!G186=0,0,(U198-予定価格!H186)/予定価格!G186))</f>
        <v>#DIV/0!</v>
      </c>
      <c r="Z198" t="e">
        <f t="shared" si="50"/>
        <v>#DIV/0!</v>
      </c>
      <c r="AA198" t="e">
        <f t="shared" si="51"/>
        <v>#DIV/0!</v>
      </c>
      <c r="AB198" s="13" t="e">
        <f t="shared" si="52"/>
        <v>#DIV/0!</v>
      </c>
    </row>
    <row r="199" spans="1:28" hidden="1" x14ac:dyDescent="0.15">
      <c r="A199">
        <f>+予定価格!A187</f>
        <v>0</v>
      </c>
      <c r="B199" s="258">
        <f>ROUND(予定価格!B187*査定表!$B$437,-D199)+E199</f>
        <v>0</v>
      </c>
      <c r="C199" s="258"/>
      <c r="D199" s="45">
        <f t="shared" si="41"/>
        <v>4</v>
      </c>
      <c r="E199" s="46">
        <f t="shared" si="37"/>
        <v>0</v>
      </c>
      <c r="F199" s="258">
        <f>IF($F$12=0,0,IF(予定価格!$G$427=0,ROUND(予定価格!H187*(入力表!$F$12/予定価格!$H$431),-H199),ROUND((予定価格!G187*(入力表!$F$12-予定価格!$H$431)/予定価格!$G$431)+予定価格!H187,-H199)))+I199</f>
        <v>0</v>
      </c>
      <c r="G199" s="258"/>
      <c r="H199" s="47">
        <f t="shared" si="42"/>
        <v>4</v>
      </c>
      <c r="I199" s="48">
        <f t="shared" si="38"/>
        <v>0</v>
      </c>
      <c r="J199" s="116">
        <f t="shared" si="39"/>
        <v>0</v>
      </c>
      <c r="K199" s="19">
        <f t="shared" si="40"/>
        <v>0</v>
      </c>
      <c r="L199" s="50"/>
      <c r="M199" s="13">
        <f>ROUND(予定価格!B187*査定表!$B$437,-$F$14)</f>
        <v>0</v>
      </c>
      <c r="N199">
        <f>IF(M199=0,1,M199/予定価格!B187)</f>
        <v>1</v>
      </c>
      <c r="O199">
        <f t="shared" si="43"/>
        <v>21</v>
      </c>
      <c r="P199">
        <f t="shared" si="44"/>
        <v>0</v>
      </c>
      <c r="Q199">
        <f>IF(M199=0,0,M199/予定価格!B187)</f>
        <v>0</v>
      </c>
      <c r="R199">
        <f t="shared" si="45"/>
        <v>21</v>
      </c>
      <c r="S199">
        <f t="shared" si="46"/>
        <v>0</v>
      </c>
      <c r="T199" s="13">
        <f t="shared" si="47"/>
        <v>0</v>
      </c>
      <c r="U199" s="13" t="e">
        <f>IF(予定価格!$G$427=0,ROUND(予定価格!H187*(入力表!$F$12/予定価格!$H$431),-$F$14),ROUND((予定価格!G187*(入力表!$F$12-予定価格!$H$431)/予定価格!$G$431)+予定価格!H187,-$F$14))</f>
        <v>#DIV/0!</v>
      </c>
      <c r="V199" t="e">
        <f>IF(U199=0,1,IF(予定価格!O187=0,1,(U199-予定価格!P187)/予定価格!O187))</f>
        <v>#DIV/0!</v>
      </c>
      <c r="W199" t="e">
        <f t="shared" si="48"/>
        <v>#DIV/0!</v>
      </c>
      <c r="X199" t="e">
        <f t="shared" si="49"/>
        <v>#DIV/0!</v>
      </c>
      <c r="Y199" t="e">
        <f>IF(U199=0,0,IF(予定価格!G187=0,0,(U199-予定価格!H187)/予定価格!G187))</f>
        <v>#DIV/0!</v>
      </c>
      <c r="Z199" t="e">
        <f t="shared" si="50"/>
        <v>#DIV/0!</v>
      </c>
      <c r="AA199" t="e">
        <f t="shared" si="51"/>
        <v>#DIV/0!</v>
      </c>
      <c r="AB199" s="13" t="e">
        <f t="shared" si="52"/>
        <v>#DIV/0!</v>
      </c>
    </row>
    <row r="200" spans="1:28" hidden="1" x14ac:dyDescent="0.15">
      <c r="A200">
        <f>+予定価格!A188</f>
        <v>0</v>
      </c>
      <c r="B200" s="258">
        <f>ROUND(予定価格!B188*査定表!$B$437,-D200)+E200</f>
        <v>0</v>
      </c>
      <c r="C200" s="258"/>
      <c r="D200" s="45">
        <f t="shared" si="41"/>
        <v>4</v>
      </c>
      <c r="E200" s="46">
        <f t="shared" si="37"/>
        <v>0</v>
      </c>
      <c r="F200" s="258">
        <f>IF($F$12=0,0,IF(予定価格!$G$427=0,ROUND(予定価格!H188*(入力表!$F$12/予定価格!$H$431),-H200),ROUND((予定価格!G188*(入力表!$F$12-予定価格!$H$431)/予定価格!$G$431)+予定価格!H188,-H200)))+I200</f>
        <v>0</v>
      </c>
      <c r="G200" s="258"/>
      <c r="H200" s="47">
        <f t="shared" si="42"/>
        <v>4</v>
      </c>
      <c r="I200" s="48">
        <f t="shared" si="38"/>
        <v>0</v>
      </c>
      <c r="J200" s="116">
        <f t="shared" si="39"/>
        <v>0</v>
      </c>
      <c r="K200" s="19">
        <f t="shared" si="40"/>
        <v>0</v>
      </c>
      <c r="L200" s="50"/>
      <c r="M200" s="13">
        <f>ROUND(予定価格!B188*査定表!$B$437,-$F$14)</f>
        <v>0</v>
      </c>
      <c r="N200">
        <f>IF(M200=0,1,M200/予定価格!B188)</f>
        <v>1</v>
      </c>
      <c r="O200">
        <f t="shared" si="43"/>
        <v>21</v>
      </c>
      <c r="P200">
        <f t="shared" si="44"/>
        <v>0</v>
      </c>
      <c r="Q200">
        <f>IF(M200=0,0,M200/予定価格!B188)</f>
        <v>0</v>
      </c>
      <c r="R200">
        <f t="shared" si="45"/>
        <v>21</v>
      </c>
      <c r="S200">
        <f t="shared" si="46"/>
        <v>0</v>
      </c>
      <c r="T200" s="13">
        <f t="shared" si="47"/>
        <v>0</v>
      </c>
      <c r="U200" s="13" t="e">
        <f>IF(予定価格!$G$427=0,ROUND(予定価格!H188*(入力表!$F$12/予定価格!$H$431),-$F$14),ROUND((予定価格!G188*(入力表!$F$12-予定価格!$H$431)/予定価格!$G$431)+予定価格!H188,-$F$14))</f>
        <v>#DIV/0!</v>
      </c>
      <c r="V200" t="e">
        <f>IF(U200=0,1,IF(予定価格!O188=0,1,(U200-予定価格!P188)/予定価格!O188))</f>
        <v>#DIV/0!</v>
      </c>
      <c r="W200" t="e">
        <f t="shared" si="48"/>
        <v>#DIV/0!</v>
      </c>
      <c r="X200" t="e">
        <f t="shared" si="49"/>
        <v>#DIV/0!</v>
      </c>
      <c r="Y200" t="e">
        <f>IF(U200=0,0,IF(予定価格!G188=0,0,(U200-予定価格!H188)/予定価格!G188))</f>
        <v>#DIV/0!</v>
      </c>
      <c r="Z200" t="e">
        <f t="shared" si="50"/>
        <v>#DIV/0!</v>
      </c>
      <c r="AA200" t="e">
        <f t="shared" si="51"/>
        <v>#DIV/0!</v>
      </c>
      <c r="AB200" s="13" t="e">
        <f t="shared" si="52"/>
        <v>#DIV/0!</v>
      </c>
    </row>
    <row r="201" spans="1:28" hidden="1" x14ac:dyDescent="0.15">
      <c r="A201">
        <f>+予定価格!A189</f>
        <v>0</v>
      </c>
      <c r="B201" s="258">
        <f>ROUND(予定価格!B189*査定表!$B$437,-D201)+E201</f>
        <v>0</v>
      </c>
      <c r="C201" s="258"/>
      <c r="D201" s="45">
        <f t="shared" si="41"/>
        <v>4</v>
      </c>
      <c r="E201" s="46">
        <f t="shared" si="37"/>
        <v>0</v>
      </c>
      <c r="F201" s="258">
        <f>IF($F$12=0,0,IF(予定価格!$G$427=0,ROUND(予定価格!H189*(入力表!$F$12/予定価格!$H$431),-H201),ROUND((予定価格!G189*(入力表!$F$12-予定価格!$H$431)/予定価格!$G$431)+予定価格!H189,-H201)))+I201</f>
        <v>0</v>
      </c>
      <c r="G201" s="258"/>
      <c r="H201" s="47">
        <f t="shared" si="42"/>
        <v>4</v>
      </c>
      <c r="I201" s="48">
        <f t="shared" si="38"/>
        <v>0</v>
      </c>
      <c r="J201" s="116">
        <f t="shared" si="39"/>
        <v>0</v>
      </c>
      <c r="K201" s="19">
        <f t="shared" si="40"/>
        <v>0</v>
      </c>
      <c r="L201" s="50"/>
      <c r="M201" s="13">
        <f>ROUND(予定価格!B189*査定表!$B$437,-$F$14)</f>
        <v>0</v>
      </c>
      <c r="N201">
        <f>IF(M201=0,1,M201/予定価格!B189)</f>
        <v>1</v>
      </c>
      <c r="O201">
        <f t="shared" si="43"/>
        <v>21</v>
      </c>
      <c r="P201">
        <f t="shared" si="44"/>
        <v>0</v>
      </c>
      <c r="Q201">
        <f>IF(M201=0,0,M201/予定価格!B189)</f>
        <v>0</v>
      </c>
      <c r="R201">
        <f t="shared" si="45"/>
        <v>21</v>
      </c>
      <c r="S201">
        <f t="shared" si="46"/>
        <v>0</v>
      </c>
      <c r="T201" s="13">
        <f t="shared" si="47"/>
        <v>0</v>
      </c>
      <c r="U201" s="13" t="e">
        <f>IF(予定価格!$G$427=0,ROUND(予定価格!H189*(入力表!$F$12/予定価格!$H$431),-$F$14),ROUND((予定価格!G189*(入力表!$F$12-予定価格!$H$431)/予定価格!$G$431)+予定価格!H189,-$F$14))</f>
        <v>#DIV/0!</v>
      </c>
      <c r="V201" t="e">
        <f>IF(U201=0,1,IF(予定価格!O189=0,1,(U201-予定価格!P189)/予定価格!O189))</f>
        <v>#DIV/0!</v>
      </c>
      <c r="W201" t="e">
        <f t="shared" si="48"/>
        <v>#DIV/0!</v>
      </c>
      <c r="X201" t="e">
        <f t="shared" si="49"/>
        <v>#DIV/0!</v>
      </c>
      <c r="Y201" t="e">
        <f>IF(U201=0,0,IF(予定価格!G189=0,0,(U201-予定価格!H189)/予定価格!G189))</f>
        <v>#DIV/0!</v>
      </c>
      <c r="Z201" t="e">
        <f t="shared" si="50"/>
        <v>#DIV/0!</v>
      </c>
      <c r="AA201" t="e">
        <f t="shared" si="51"/>
        <v>#DIV/0!</v>
      </c>
      <c r="AB201" s="13" t="e">
        <f t="shared" si="52"/>
        <v>#DIV/0!</v>
      </c>
    </row>
    <row r="202" spans="1:28" hidden="1" x14ac:dyDescent="0.15">
      <c r="A202">
        <f>+予定価格!A190</f>
        <v>0</v>
      </c>
      <c r="B202" s="258">
        <f>ROUND(予定価格!B190*査定表!$B$437,-D202)+E202</f>
        <v>0</v>
      </c>
      <c r="C202" s="258"/>
      <c r="D202" s="45">
        <f t="shared" si="41"/>
        <v>4</v>
      </c>
      <c r="E202" s="46">
        <f t="shared" si="37"/>
        <v>0</v>
      </c>
      <c r="F202" s="258">
        <f>IF($F$12=0,0,IF(予定価格!$G$427=0,ROUND(予定価格!H190*(入力表!$F$12/予定価格!$H$431),-H202),ROUND((予定価格!G190*(入力表!$F$12-予定価格!$H$431)/予定価格!$G$431)+予定価格!H190,-H202)))+I202</f>
        <v>0</v>
      </c>
      <c r="G202" s="258"/>
      <c r="H202" s="47">
        <f t="shared" si="42"/>
        <v>4</v>
      </c>
      <c r="I202" s="48">
        <f t="shared" si="38"/>
        <v>0</v>
      </c>
      <c r="J202" s="116">
        <f t="shared" si="39"/>
        <v>0</v>
      </c>
      <c r="K202" s="19">
        <f t="shared" si="40"/>
        <v>0</v>
      </c>
      <c r="L202" s="50"/>
      <c r="M202" s="13">
        <f>ROUND(予定価格!B190*査定表!$B$437,-$F$14)</f>
        <v>0</v>
      </c>
      <c r="N202">
        <f>IF(M202=0,1,M202/予定価格!B190)</f>
        <v>1</v>
      </c>
      <c r="O202">
        <f t="shared" si="43"/>
        <v>21</v>
      </c>
      <c r="P202">
        <f t="shared" si="44"/>
        <v>0</v>
      </c>
      <c r="Q202">
        <f>IF(M202=0,0,M202/予定価格!B190)</f>
        <v>0</v>
      </c>
      <c r="R202">
        <f t="shared" si="45"/>
        <v>21</v>
      </c>
      <c r="S202">
        <f t="shared" si="46"/>
        <v>0</v>
      </c>
      <c r="T202" s="13">
        <f t="shared" si="47"/>
        <v>0</v>
      </c>
      <c r="U202" s="13" t="e">
        <f>IF(予定価格!$G$427=0,ROUND(予定価格!H190*(入力表!$F$12/予定価格!$H$431),-$F$14),ROUND((予定価格!G190*(入力表!$F$12-予定価格!$H$431)/予定価格!$G$431)+予定価格!H190,-$F$14))</f>
        <v>#DIV/0!</v>
      </c>
      <c r="V202" t="e">
        <f>IF(U202=0,1,IF(予定価格!O190=0,1,(U202-予定価格!P190)/予定価格!O190))</f>
        <v>#DIV/0!</v>
      </c>
      <c r="W202" t="e">
        <f t="shared" si="48"/>
        <v>#DIV/0!</v>
      </c>
      <c r="X202" t="e">
        <f t="shared" si="49"/>
        <v>#DIV/0!</v>
      </c>
      <c r="Y202" t="e">
        <f>IF(U202=0,0,IF(予定価格!G190=0,0,(U202-予定価格!H190)/予定価格!G190))</f>
        <v>#DIV/0!</v>
      </c>
      <c r="Z202" t="e">
        <f t="shared" si="50"/>
        <v>#DIV/0!</v>
      </c>
      <c r="AA202" t="e">
        <f t="shared" si="51"/>
        <v>#DIV/0!</v>
      </c>
      <c r="AB202" s="13" t="e">
        <f t="shared" si="52"/>
        <v>#DIV/0!</v>
      </c>
    </row>
    <row r="203" spans="1:28" hidden="1" x14ac:dyDescent="0.15">
      <c r="A203">
        <f>+予定価格!A191</f>
        <v>0</v>
      </c>
      <c r="B203" s="258">
        <f>ROUND(予定価格!B191*査定表!$B$437,-D203)+E203</f>
        <v>0</v>
      </c>
      <c r="C203" s="258"/>
      <c r="D203" s="45">
        <f t="shared" si="41"/>
        <v>4</v>
      </c>
      <c r="E203" s="46">
        <f t="shared" si="37"/>
        <v>0</v>
      </c>
      <c r="F203" s="258">
        <f>IF($F$12=0,0,IF(予定価格!$G$427=0,ROUND(予定価格!H191*(入力表!$F$12/予定価格!$H$431),-H203),ROUND((予定価格!G191*(入力表!$F$12-予定価格!$H$431)/予定価格!$G$431)+予定価格!H191,-H203)))+I203</f>
        <v>0</v>
      </c>
      <c r="G203" s="258"/>
      <c r="H203" s="47">
        <f t="shared" si="42"/>
        <v>4</v>
      </c>
      <c r="I203" s="48">
        <f t="shared" si="38"/>
        <v>0</v>
      </c>
      <c r="J203" s="116">
        <f t="shared" si="39"/>
        <v>0</v>
      </c>
      <c r="K203" s="19">
        <f t="shared" si="40"/>
        <v>0</v>
      </c>
      <c r="L203" s="50"/>
      <c r="M203" s="13">
        <f>ROUND(予定価格!B191*査定表!$B$437,-$F$14)</f>
        <v>0</v>
      </c>
      <c r="N203">
        <f>IF(M203=0,1,M203/予定価格!B191)</f>
        <v>1</v>
      </c>
      <c r="O203">
        <f t="shared" si="43"/>
        <v>21</v>
      </c>
      <c r="P203">
        <f t="shared" si="44"/>
        <v>0</v>
      </c>
      <c r="Q203">
        <f>IF(M203=0,0,M203/予定価格!B191)</f>
        <v>0</v>
      </c>
      <c r="R203">
        <f t="shared" si="45"/>
        <v>21</v>
      </c>
      <c r="S203">
        <f t="shared" si="46"/>
        <v>0</v>
      </c>
      <c r="T203" s="13">
        <f t="shared" si="47"/>
        <v>0</v>
      </c>
      <c r="U203" s="13" t="e">
        <f>IF(予定価格!$G$427=0,ROUND(予定価格!H191*(入力表!$F$12/予定価格!$H$431),-$F$14),ROUND((予定価格!G191*(入力表!$F$12-予定価格!$H$431)/予定価格!$G$431)+予定価格!H191,-$F$14))</f>
        <v>#DIV/0!</v>
      </c>
      <c r="V203" t="e">
        <f>IF(U203=0,1,IF(予定価格!O191=0,1,(U203-予定価格!P191)/予定価格!O191))</f>
        <v>#DIV/0!</v>
      </c>
      <c r="W203" t="e">
        <f t="shared" si="48"/>
        <v>#DIV/0!</v>
      </c>
      <c r="X203" t="e">
        <f t="shared" si="49"/>
        <v>#DIV/0!</v>
      </c>
      <c r="Y203" t="e">
        <f>IF(U203=0,0,IF(予定価格!G191=0,0,(U203-予定価格!H191)/予定価格!G191))</f>
        <v>#DIV/0!</v>
      </c>
      <c r="Z203" t="e">
        <f t="shared" si="50"/>
        <v>#DIV/0!</v>
      </c>
      <c r="AA203" t="e">
        <f t="shared" si="51"/>
        <v>#DIV/0!</v>
      </c>
      <c r="AB203" s="13" t="e">
        <f t="shared" si="52"/>
        <v>#DIV/0!</v>
      </c>
    </row>
    <row r="204" spans="1:28" hidden="1" x14ac:dyDescent="0.15">
      <c r="A204">
        <f>+予定価格!A192</f>
        <v>0</v>
      </c>
      <c r="B204" s="258">
        <f>ROUND(予定価格!B192*査定表!$B$437,-D204)+E204</f>
        <v>0</v>
      </c>
      <c r="C204" s="258"/>
      <c r="D204" s="45">
        <f t="shared" si="41"/>
        <v>4</v>
      </c>
      <c r="E204" s="46">
        <f t="shared" si="37"/>
        <v>0</v>
      </c>
      <c r="F204" s="258">
        <f>IF($F$12=0,0,IF(予定価格!$G$427=0,ROUND(予定価格!H192*(入力表!$F$12/予定価格!$H$431),-H204),ROUND((予定価格!G192*(入力表!$F$12-予定価格!$H$431)/予定価格!$G$431)+予定価格!H192,-H204)))+I204</f>
        <v>0</v>
      </c>
      <c r="G204" s="258"/>
      <c r="H204" s="47">
        <f t="shared" si="42"/>
        <v>4</v>
      </c>
      <c r="I204" s="48">
        <f t="shared" si="38"/>
        <v>0</v>
      </c>
      <c r="J204" s="116">
        <f t="shared" si="39"/>
        <v>0</v>
      </c>
      <c r="K204" s="19">
        <f t="shared" si="40"/>
        <v>0</v>
      </c>
      <c r="L204" s="50"/>
      <c r="M204" s="13">
        <f>ROUND(予定価格!B192*査定表!$B$437,-$F$14)</f>
        <v>0</v>
      </c>
      <c r="N204">
        <f>IF(M204=0,1,M204/予定価格!B192)</f>
        <v>1</v>
      </c>
      <c r="O204">
        <f t="shared" si="43"/>
        <v>21</v>
      </c>
      <c r="P204">
        <f t="shared" si="44"/>
        <v>0</v>
      </c>
      <c r="Q204">
        <f>IF(M204=0,0,M204/予定価格!B192)</f>
        <v>0</v>
      </c>
      <c r="R204">
        <f t="shared" si="45"/>
        <v>21</v>
      </c>
      <c r="S204">
        <f t="shared" si="46"/>
        <v>0</v>
      </c>
      <c r="T204" s="13">
        <f t="shared" si="47"/>
        <v>0</v>
      </c>
      <c r="U204" s="13" t="e">
        <f>IF(予定価格!$G$427=0,ROUND(予定価格!H192*(入力表!$F$12/予定価格!$H$431),-$F$14),ROUND((予定価格!G192*(入力表!$F$12-予定価格!$H$431)/予定価格!$G$431)+予定価格!H192,-$F$14))</f>
        <v>#DIV/0!</v>
      </c>
      <c r="V204" t="e">
        <f>IF(U204=0,1,IF(予定価格!O192=0,1,(U204-予定価格!P192)/予定価格!O192))</f>
        <v>#DIV/0!</v>
      </c>
      <c r="W204" t="e">
        <f t="shared" si="48"/>
        <v>#DIV/0!</v>
      </c>
      <c r="X204" t="e">
        <f t="shared" si="49"/>
        <v>#DIV/0!</v>
      </c>
      <c r="Y204" t="e">
        <f>IF(U204=0,0,IF(予定価格!G192=0,0,(U204-予定価格!H192)/予定価格!G192))</f>
        <v>#DIV/0!</v>
      </c>
      <c r="Z204" t="e">
        <f t="shared" si="50"/>
        <v>#DIV/0!</v>
      </c>
      <c r="AA204" t="e">
        <f t="shared" si="51"/>
        <v>#DIV/0!</v>
      </c>
      <c r="AB204" s="13" t="e">
        <f t="shared" si="52"/>
        <v>#DIV/0!</v>
      </c>
    </row>
    <row r="205" spans="1:28" hidden="1" x14ac:dyDescent="0.15">
      <c r="A205">
        <f>+予定価格!A193</f>
        <v>0</v>
      </c>
      <c r="B205" s="258">
        <f>ROUND(予定価格!B193*査定表!$B$437,-D205)+E205</f>
        <v>0</v>
      </c>
      <c r="C205" s="258"/>
      <c r="D205" s="45">
        <f t="shared" si="41"/>
        <v>4</v>
      </c>
      <c r="E205" s="46">
        <f t="shared" si="37"/>
        <v>0</v>
      </c>
      <c r="F205" s="258">
        <f>IF($F$12=0,0,IF(予定価格!$G$427=0,ROUND(予定価格!H193*(入力表!$F$12/予定価格!$H$431),-H205),ROUND((予定価格!G193*(入力表!$F$12-予定価格!$H$431)/予定価格!$G$431)+予定価格!H193,-H205)))+I205</f>
        <v>0</v>
      </c>
      <c r="G205" s="258"/>
      <c r="H205" s="47">
        <f t="shared" si="42"/>
        <v>4</v>
      </c>
      <c r="I205" s="48">
        <f t="shared" si="38"/>
        <v>0</v>
      </c>
      <c r="J205" s="116">
        <f t="shared" si="39"/>
        <v>0</v>
      </c>
      <c r="K205" s="19">
        <f t="shared" si="40"/>
        <v>0</v>
      </c>
      <c r="L205" s="50"/>
      <c r="M205" s="13">
        <f>ROUND(予定価格!B193*査定表!$B$437,-$F$14)</f>
        <v>0</v>
      </c>
      <c r="N205">
        <f>IF(M205=0,1,M205/予定価格!B193)</f>
        <v>1</v>
      </c>
      <c r="O205">
        <f t="shared" si="43"/>
        <v>21</v>
      </c>
      <c r="P205">
        <f t="shared" si="44"/>
        <v>0</v>
      </c>
      <c r="Q205">
        <f>IF(M205=0,0,M205/予定価格!B193)</f>
        <v>0</v>
      </c>
      <c r="R205">
        <f t="shared" si="45"/>
        <v>21</v>
      </c>
      <c r="S205">
        <f t="shared" si="46"/>
        <v>0</v>
      </c>
      <c r="T205" s="13">
        <f t="shared" si="47"/>
        <v>0</v>
      </c>
      <c r="U205" s="13" t="e">
        <f>IF(予定価格!$G$427=0,ROUND(予定価格!H193*(入力表!$F$12/予定価格!$H$431),-$F$14),ROUND((予定価格!G193*(入力表!$F$12-予定価格!$H$431)/予定価格!$G$431)+予定価格!H193,-$F$14))</f>
        <v>#DIV/0!</v>
      </c>
      <c r="V205" t="e">
        <f>IF(U205=0,1,IF(予定価格!O193=0,1,(U205-予定価格!P193)/予定価格!O193))</f>
        <v>#DIV/0!</v>
      </c>
      <c r="W205" t="e">
        <f t="shared" si="48"/>
        <v>#DIV/0!</v>
      </c>
      <c r="X205" t="e">
        <f t="shared" si="49"/>
        <v>#DIV/0!</v>
      </c>
      <c r="Y205" t="e">
        <f>IF(U205=0,0,IF(予定価格!G193=0,0,(U205-予定価格!H193)/予定価格!G193))</f>
        <v>#DIV/0!</v>
      </c>
      <c r="Z205" t="e">
        <f t="shared" si="50"/>
        <v>#DIV/0!</v>
      </c>
      <c r="AA205" t="e">
        <f t="shared" si="51"/>
        <v>#DIV/0!</v>
      </c>
      <c r="AB205" s="13" t="e">
        <f t="shared" si="52"/>
        <v>#DIV/0!</v>
      </c>
    </row>
    <row r="206" spans="1:28" hidden="1" x14ac:dyDescent="0.15">
      <c r="A206">
        <f>+予定価格!A194</f>
        <v>0</v>
      </c>
      <c r="B206" s="258">
        <f>ROUND(予定価格!B194*査定表!$B$437,-D206)+E206</f>
        <v>0</v>
      </c>
      <c r="C206" s="258"/>
      <c r="D206" s="45">
        <f t="shared" si="41"/>
        <v>4</v>
      </c>
      <c r="E206" s="46">
        <f t="shared" si="37"/>
        <v>0</v>
      </c>
      <c r="F206" s="258">
        <f>IF($F$12=0,0,IF(予定価格!$G$427=0,ROUND(予定価格!H194*(入力表!$F$12/予定価格!$H$431),-H206),ROUND((予定価格!G194*(入力表!$F$12-予定価格!$H$431)/予定価格!$G$431)+予定価格!H194,-H206)))+I206</f>
        <v>0</v>
      </c>
      <c r="G206" s="258"/>
      <c r="H206" s="47">
        <f t="shared" si="42"/>
        <v>4</v>
      </c>
      <c r="I206" s="48">
        <f t="shared" si="38"/>
        <v>0</v>
      </c>
      <c r="J206" s="116">
        <f t="shared" si="39"/>
        <v>0</v>
      </c>
      <c r="K206" s="19">
        <f t="shared" si="40"/>
        <v>0</v>
      </c>
      <c r="L206" s="50"/>
      <c r="M206" s="13">
        <f>ROUND(予定価格!B194*査定表!$B$437,-$F$14)</f>
        <v>0</v>
      </c>
      <c r="N206">
        <f>IF(M206=0,1,M206/予定価格!B194)</f>
        <v>1</v>
      </c>
      <c r="O206">
        <f t="shared" si="43"/>
        <v>21</v>
      </c>
      <c r="P206">
        <f t="shared" si="44"/>
        <v>0</v>
      </c>
      <c r="Q206">
        <f>IF(M206=0,0,M206/予定価格!B194)</f>
        <v>0</v>
      </c>
      <c r="R206">
        <f t="shared" si="45"/>
        <v>21</v>
      </c>
      <c r="S206">
        <f t="shared" si="46"/>
        <v>0</v>
      </c>
      <c r="T206" s="13">
        <f t="shared" si="47"/>
        <v>0</v>
      </c>
      <c r="U206" s="13" t="e">
        <f>IF(予定価格!$G$427=0,ROUND(予定価格!H194*(入力表!$F$12/予定価格!$H$431),-$F$14),ROUND((予定価格!G194*(入力表!$F$12-予定価格!$H$431)/予定価格!$G$431)+予定価格!H194,-$F$14))</f>
        <v>#DIV/0!</v>
      </c>
      <c r="V206" t="e">
        <f>IF(U206=0,1,IF(予定価格!O194=0,1,(U206-予定価格!P194)/予定価格!O194))</f>
        <v>#DIV/0!</v>
      </c>
      <c r="W206" t="e">
        <f t="shared" si="48"/>
        <v>#DIV/0!</v>
      </c>
      <c r="X206" t="e">
        <f t="shared" si="49"/>
        <v>#DIV/0!</v>
      </c>
      <c r="Y206" t="e">
        <f>IF(U206=0,0,IF(予定価格!G194=0,0,(U206-予定価格!H194)/予定価格!G194))</f>
        <v>#DIV/0!</v>
      </c>
      <c r="Z206" t="e">
        <f t="shared" si="50"/>
        <v>#DIV/0!</v>
      </c>
      <c r="AA206" t="e">
        <f t="shared" si="51"/>
        <v>#DIV/0!</v>
      </c>
      <c r="AB206" s="13" t="e">
        <f t="shared" si="52"/>
        <v>#DIV/0!</v>
      </c>
    </row>
    <row r="207" spans="1:28" hidden="1" x14ac:dyDescent="0.15">
      <c r="A207">
        <f>+予定価格!A195</f>
        <v>0</v>
      </c>
      <c r="B207" s="258">
        <f>ROUND(予定価格!B195*査定表!$B$437,-D207)+E207</f>
        <v>0</v>
      </c>
      <c r="C207" s="258"/>
      <c r="D207" s="45">
        <f t="shared" si="41"/>
        <v>4</v>
      </c>
      <c r="E207" s="46">
        <f t="shared" si="37"/>
        <v>0</v>
      </c>
      <c r="F207" s="258">
        <f>IF($F$12=0,0,IF(予定価格!$G$427=0,ROUND(予定価格!H195*(入力表!$F$12/予定価格!$H$431),-H207),ROUND((予定価格!G195*(入力表!$F$12-予定価格!$H$431)/予定価格!$G$431)+予定価格!H195,-H207)))+I207</f>
        <v>0</v>
      </c>
      <c r="G207" s="258"/>
      <c r="H207" s="47">
        <f t="shared" si="42"/>
        <v>4</v>
      </c>
      <c r="I207" s="48">
        <f t="shared" si="38"/>
        <v>0</v>
      </c>
      <c r="J207" s="116">
        <f t="shared" si="39"/>
        <v>0</v>
      </c>
      <c r="K207" s="19">
        <f t="shared" si="40"/>
        <v>0</v>
      </c>
      <c r="L207" s="50"/>
      <c r="M207" s="13">
        <f>ROUND(予定価格!B195*査定表!$B$437,-$F$14)</f>
        <v>0</v>
      </c>
      <c r="N207">
        <f>IF(M207=0,1,M207/予定価格!B195)</f>
        <v>1</v>
      </c>
      <c r="O207">
        <f t="shared" si="43"/>
        <v>21</v>
      </c>
      <c r="P207">
        <f t="shared" si="44"/>
        <v>0</v>
      </c>
      <c r="Q207">
        <f>IF(M207=0,0,M207/予定価格!B195)</f>
        <v>0</v>
      </c>
      <c r="R207">
        <f t="shared" si="45"/>
        <v>21</v>
      </c>
      <c r="S207">
        <f t="shared" si="46"/>
        <v>0</v>
      </c>
      <c r="T207" s="13">
        <f t="shared" si="47"/>
        <v>0</v>
      </c>
      <c r="U207" s="13" t="e">
        <f>IF(予定価格!$G$427=0,ROUND(予定価格!H195*(入力表!$F$12/予定価格!$H$431),-$F$14),ROUND((予定価格!G195*(入力表!$F$12-予定価格!$H$431)/予定価格!$G$431)+予定価格!H195,-$F$14))</f>
        <v>#DIV/0!</v>
      </c>
      <c r="V207" t="e">
        <f>IF(U207=0,1,IF(予定価格!O195=0,1,(U207-予定価格!P195)/予定価格!O195))</f>
        <v>#DIV/0!</v>
      </c>
      <c r="W207" t="e">
        <f t="shared" si="48"/>
        <v>#DIV/0!</v>
      </c>
      <c r="X207" t="e">
        <f t="shared" si="49"/>
        <v>#DIV/0!</v>
      </c>
      <c r="Y207" t="e">
        <f>IF(U207=0,0,IF(予定価格!G195=0,0,(U207-予定価格!H195)/予定価格!G195))</f>
        <v>#DIV/0!</v>
      </c>
      <c r="Z207" t="e">
        <f t="shared" si="50"/>
        <v>#DIV/0!</v>
      </c>
      <c r="AA207" t="e">
        <f t="shared" si="51"/>
        <v>#DIV/0!</v>
      </c>
      <c r="AB207" s="13" t="e">
        <f t="shared" si="52"/>
        <v>#DIV/0!</v>
      </c>
    </row>
    <row r="208" spans="1:28" hidden="1" x14ac:dyDescent="0.15">
      <c r="A208">
        <f>+予定価格!A196</f>
        <v>0</v>
      </c>
      <c r="B208" s="258">
        <f>ROUND(予定価格!B196*査定表!$B$437,-D208)+E208</f>
        <v>0</v>
      </c>
      <c r="C208" s="258"/>
      <c r="D208" s="45">
        <f t="shared" si="41"/>
        <v>4</v>
      </c>
      <c r="E208" s="46">
        <f t="shared" si="37"/>
        <v>0</v>
      </c>
      <c r="F208" s="258">
        <f>IF($F$12=0,0,IF(予定価格!$G$427=0,ROUND(予定価格!H196*(入力表!$F$12/予定価格!$H$431),-H208),ROUND((予定価格!G196*(入力表!$F$12-予定価格!$H$431)/予定価格!$G$431)+予定価格!H196,-H208)))+I208</f>
        <v>0</v>
      </c>
      <c r="G208" s="258"/>
      <c r="H208" s="47">
        <f t="shared" si="42"/>
        <v>4</v>
      </c>
      <c r="I208" s="48">
        <f t="shared" si="38"/>
        <v>0</v>
      </c>
      <c r="J208" s="116">
        <f t="shared" si="39"/>
        <v>0</v>
      </c>
      <c r="K208" s="19">
        <f t="shared" si="40"/>
        <v>0</v>
      </c>
      <c r="L208" s="50"/>
      <c r="M208" s="13">
        <f>ROUND(予定価格!B196*査定表!$B$437,-$F$14)</f>
        <v>0</v>
      </c>
      <c r="N208">
        <f>IF(M208=0,1,M208/予定価格!B196)</f>
        <v>1</v>
      </c>
      <c r="O208">
        <f t="shared" si="43"/>
        <v>21</v>
      </c>
      <c r="P208">
        <f t="shared" si="44"/>
        <v>0</v>
      </c>
      <c r="Q208">
        <f>IF(M208=0,0,M208/予定価格!B196)</f>
        <v>0</v>
      </c>
      <c r="R208">
        <f t="shared" si="45"/>
        <v>21</v>
      </c>
      <c r="S208">
        <f t="shared" si="46"/>
        <v>0</v>
      </c>
      <c r="T208" s="13">
        <f t="shared" si="47"/>
        <v>0</v>
      </c>
      <c r="U208" s="13" t="e">
        <f>IF(予定価格!$G$427=0,ROUND(予定価格!H196*(入力表!$F$12/予定価格!$H$431),-$F$14),ROUND((予定価格!G196*(入力表!$F$12-予定価格!$H$431)/予定価格!$G$431)+予定価格!H196,-$F$14))</f>
        <v>#DIV/0!</v>
      </c>
      <c r="V208" t="e">
        <f>IF(U208=0,1,IF(予定価格!O196=0,1,(U208-予定価格!P196)/予定価格!O196))</f>
        <v>#DIV/0!</v>
      </c>
      <c r="W208" t="e">
        <f t="shared" si="48"/>
        <v>#DIV/0!</v>
      </c>
      <c r="X208" t="e">
        <f t="shared" si="49"/>
        <v>#DIV/0!</v>
      </c>
      <c r="Y208" t="e">
        <f>IF(U208=0,0,IF(予定価格!G196=0,0,(U208-予定価格!H196)/予定価格!G196))</f>
        <v>#DIV/0!</v>
      </c>
      <c r="Z208" t="e">
        <f t="shared" si="50"/>
        <v>#DIV/0!</v>
      </c>
      <c r="AA208" t="e">
        <f t="shared" si="51"/>
        <v>#DIV/0!</v>
      </c>
      <c r="AB208" s="13" t="e">
        <f t="shared" si="52"/>
        <v>#DIV/0!</v>
      </c>
    </row>
    <row r="209" spans="1:28" hidden="1" x14ac:dyDescent="0.15">
      <c r="A209">
        <f>+予定価格!A197</f>
        <v>0</v>
      </c>
      <c r="B209" s="258">
        <f>ROUND(予定価格!B197*査定表!$B$437,-D209)+E209</f>
        <v>0</v>
      </c>
      <c r="C209" s="258"/>
      <c r="D209" s="45">
        <f t="shared" si="41"/>
        <v>4</v>
      </c>
      <c r="E209" s="46">
        <f t="shared" ref="E209:E272" si="53">IF(F$12=0,+P209+S209,0)</f>
        <v>0</v>
      </c>
      <c r="F209" s="258">
        <f>IF($F$12=0,0,IF(予定価格!$G$427=0,ROUND(予定価格!H197*(入力表!$F$12/予定価格!$H$431),-H209),ROUND((予定価格!G197*(入力表!$F$12-予定価格!$H$431)/予定価格!$G$431)+予定価格!H197,-H209)))+I209</f>
        <v>0</v>
      </c>
      <c r="G209" s="258"/>
      <c r="H209" s="47">
        <f t="shared" si="42"/>
        <v>4</v>
      </c>
      <c r="I209" s="48">
        <f t="shared" ref="I209:I272" si="54">IF(F$12=0,0,+X209+AA209)</f>
        <v>0</v>
      </c>
      <c r="J209" s="116">
        <f t="shared" ref="J209:J272" si="55">+F209+K209</f>
        <v>0</v>
      </c>
      <c r="K209" s="19">
        <f t="shared" ref="K209:K272" si="56">+B209</f>
        <v>0</v>
      </c>
      <c r="L209" s="50"/>
      <c r="M209" s="13">
        <f>ROUND(予定価格!B197*査定表!$B$437,-$F$14)</f>
        <v>0</v>
      </c>
      <c r="N209">
        <f>IF(M209=0,1,M209/予定価格!B197)</f>
        <v>1</v>
      </c>
      <c r="O209">
        <f t="shared" si="43"/>
        <v>21</v>
      </c>
      <c r="P209">
        <f t="shared" si="44"/>
        <v>0</v>
      </c>
      <c r="Q209">
        <f>IF(M209=0,0,M209/予定価格!B197)</f>
        <v>0</v>
      </c>
      <c r="R209">
        <f t="shared" si="45"/>
        <v>21</v>
      </c>
      <c r="S209">
        <f t="shared" si="46"/>
        <v>0</v>
      </c>
      <c r="T209" s="13">
        <f t="shared" si="47"/>
        <v>0</v>
      </c>
      <c r="U209" s="13" t="e">
        <f>IF(予定価格!$G$427=0,ROUND(予定価格!H197*(入力表!$F$12/予定価格!$H$431),-$F$14),ROUND((予定価格!G197*(入力表!$F$12-予定価格!$H$431)/予定価格!$G$431)+予定価格!H197,-$F$14))</f>
        <v>#DIV/0!</v>
      </c>
      <c r="V209" t="e">
        <f>IF(U209=0,1,IF(予定価格!O197=0,1,(U209-予定価格!P197)/予定価格!O197))</f>
        <v>#DIV/0!</v>
      </c>
      <c r="W209" t="e">
        <f t="shared" si="48"/>
        <v>#DIV/0!</v>
      </c>
      <c r="X209" t="e">
        <f t="shared" si="49"/>
        <v>#DIV/0!</v>
      </c>
      <c r="Y209" t="e">
        <f>IF(U209=0,0,IF(予定価格!G197=0,0,(U209-予定価格!H197)/予定価格!G197))</f>
        <v>#DIV/0!</v>
      </c>
      <c r="Z209" t="e">
        <f t="shared" si="50"/>
        <v>#DIV/0!</v>
      </c>
      <c r="AA209" t="e">
        <f t="shared" si="51"/>
        <v>#DIV/0!</v>
      </c>
      <c r="AB209" s="13" t="e">
        <f t="shared" si="52"/>
        <v>#DIV/0!</v>
      </c>
    </row>
    <row r="210" spans="1:28" hidden="1" x14ac:dyDescent="0.15">
      <c r="A210">
        <f>+予定価格!A198</f>
        <v>0</v>
      </c>
      <c r="B210" s="258">
        <f>ROUND(予定価格!B198*査定表!$B$437,-D210)+E210</f>
        <v>0</v>
      </c>
      <c r="C210" s="258"/>
      <c r="D210" s="45">
        <f t="shared" ref="D210:D273" si="57">+$F$14</f>
        <v>4</v>
      </c>
      <c r="E210" s="46">
        <f t="shared" si="53"/>
        <v>0</v>
      </c>
      <c r="F210" s="258">
        <f>IF($F$12=0,0,IF(予定価格!$G$427=0,ROUND(予定価格!H198*(入力表!$F$12/予定価格!$H$431),-H210),ROUND((予定価格!G198*(入力表!$F$12-予定価格!$H$431)/予定価格!$G$431)+予定価格!H198,-H210)))+I210</f>
        <v>0</v>
      </c>
      <c r="G210" s="258"/>
      <c r="H210" s="47">
        <f t="shared" ref="H210:H273" si="58">+$F$14</f>
        <v>4</v>
      </c>
      <c r="I210" s="48">
        <f t="shared" si="54"/>
        <v>0</v>
      </c>
      <c r="J210" s="116">
        <f t="shared" si="55"/>
        <v>0</v>
      </c>
      <c r="K210" s="19">
        <f t="shared" si="56"/>
        <v>0</v>
      </c>
      <c r="L210" s="50"/>
      <c r="M210" s="13">
        <f>ROUND(予定価格!B198*査定表!$B$437,-$F$14)</f>
        <v>0</v>
      </c>
      <c r="N210">
        <f>IF(M210=0,1,M210/予定価格!B198)</f>
        <v>1</v>
      </c>
      <c r="O210">
        <f t="shared" ref="O210:O273" si="59">RANK(N210,N$17:N$472,1)</f>
        <v>21</v>
      </c>
      <c r="P210">
        <f t="shared" ref="P210:P273" si="60">IF(M$15&gt;0,IF(O210*10^$F$14&lt;=M$15,10^$F$14,0),0)</f>
        <v>0</v>
      </c>
      <c r="Q210">
        <f>IF(M210=0,0,M210/予定価格!B198)</f>
        <v>0</v>
      </c>
      <c r="R210">
        <f t="shared" ref="R210:R273" si="61">RANK(Q210,Q$17:Q$472,0)</f>
        <v>21</v>
      </c>
      <c r="S210">
        <f t="shared" ref="S210:S273" si="62">IF(M$15&lt;0,IF(R210*10^$F$14&lt;=-M$15,-(10^$F$14),0),0)</f>
        <v>0</v>
      </c>
      <c r="T210" s="13">
        <f t="shared" ref="T210:T273" si="63">+M210+P210+S210</f>
        <v>0</v>
      </c>
      <c r="U210" s="13" t="e">
        <f>IF(予定価格!$G$427=0,ROUND(予定価格!H198*(入力表!$F$12/予定価格!$H$431),-$F$14),ROUND((予定価格!G198*(入力表!$F$12-予定価格!$H$431)/予定価格!$G$431)+予定価格!H198,-$F$14))</f>
        <v>#DIV/0!</v>
      </c>
      <c r="V210" t="e">
        <f>IF(U210=0,1,IF(予定価格!O198=0,1,(U210-予定価格!P198)/予定価格!O198))</f>
        <v>#DIV/0!</v>
      </c>
      <c r="W210" t="e">
        <f t="shared" ref="W210:W273" si="64">RANK(V210,V$17:V$472,1)</f>
        <v>#DIV/0!</v>
      </c>
      <c r="X210" t="e">
        <f t="shared" ref="X210:X273" si="65">IF(U$15&gt;0,IF(W210*10^$F$14&lt;=U$15,10^$F$14,0),0)</f>
        <v>#DIV/0!</v>
      </c>
      <c r="Y210" t="e">
        <f>IF(U210=0,0,IF(予定価格!G198=0,0,(U210-予定価格!H198)/予定価格!G198))</f>
        <v>#DIV/0!</v>
      </c>
      <c r="Z210" t="e">
        <f t="shared" ref="Z210:Z273" si="66">RANK(Y210,Y$17:Y$472,0)</f>
        <v>#DIV/0!</v>
      </c>
      <c r="AA210" t="e">
        <f t="shared" ref="AA210:AA273" si="67">IF(U$15&lt;0,IF(Z210*10^$F$14&lt;=-U$15,-(10^$F$14),0),0)</f>
        <v>#DIV/0!</v>
      </c>
      <c r="AB210" s="13" t="e">
        <f t="shared" ref="AB210:AB273" si="68">+U210+X210+AA210</f>
        <v>#DIV/0!</v>
      </c>
    </row>
    <row r="211" spans="1:28" hidden="1" x14ac:dyDescent="0.15">
      <c r="A211">
        <f>+予定価格!A199</f>
        <v>0</v>
      </c>
      <c r="B211" s="258">
        <f>ROUND(予定価格!B199*査定表!$B$437,-D211)+E211</f>
        <v>0</v>
      </c>
      <c r="C211" s="258"/>
      <c r="D211" s="45">
        <f t="shared" si="57"/>
        <v>4</v>
      </c>
      <c r="E211" s="46">
        <f t="shared" si="53"/>
        <v>0</v>
      </c>
      <c r="F211" s="258">
        <f>IF($F$12=0,0,IF(予定価格!$G$427=0,ROUND(予定価格!H199*(入力表!$F$12/予定価格!$H$431),-H211),ROUND((予定価格!G199*(入力表!$F$12-予定価格!$H$431)/予定価格!$G$431)+予定価格!H199,-H211)))+I211</f>
        <v>0</v>
      </c>
      <c r="G211" s="258"/>
      <c r="H211" s="47">
        <f t="shared" si="58"/>
        <v>4</v>
      </c>
      <c r="I211" s="48">
        <f t="shared" si="54"/>
        <v>0</v>
      </c>
      <c r="J211" s="116">
        <f t="shared" si="55"/>
        <v>0</v>
      </c>
      <c r="K211" s="19">
        <f t="shared" si="56"/>
        <v>0</v>
      </c>
      <c r="L211" s="50"/>
      <c r="M211" s="13">
        <f>ROUND(予定価格!B199*査定表!$B$437,-$F$14)</f>
        <v>0</v>
      </c>
      <c r="N211">
        <f>IF(M211=0,1,M211/予定価格!B199)</f>
        <v>1</v>
      </c>
      <c r="O211">
        <f t="shared" si="59"/>
        <v>21</v>
      </c>
      <c r="P211">
        <f t="shared" si="60"/>
        <v>0</v>
      </c>
      <c r="Q211">
        <f>IF(M211=0,0,M211/予定価格!B199)</f>
        <v>0</v>
      </c>
      <c r="R211">
        <f t="shared" si="61"/>
        <v>21</v>
      </c>
      <c r="S211">
        <f t="shared" si="62"/>
        <v>0</v>
      </c>
      <c r="T211" s="13">
        <f t="shared" si="63"/>
        <v>0</v>
      </c>
      <c r="U211" s="13" t="e">
        <f>IF(予定価格!$G$427=0,ROUND(予定価格!H199*(入力表!$F$12/予定価格!$H$431),-$F$14),ROUND((予定価格!G199*(入力表!$F$12-予定価格!$H$431)/予定価格!$G$431)+予定価格!H199,-$F$14))</f>
        <v>#DIV/0!</v>
      </c>
      <c r="V211" t="e">
        <f>IF(U211=0,1,IF(予定価格!O199=0,1,(U211-予定価格!P199)/予定価格!O199))</f>
        <v>#DIV/0!</v>
      </c>
      <c r="W211" t="e">
        <f t="shared" si="64"/>
        <v>#DIV/0!</v>
      </c>
      <c r="X211" t="e">
        <f t="shared" si="65"/>
        <v>#DIV/0!</v>
      </c>
      <c r="Y211" t="e">
        <f>IF(U211=0,0,IF(予定価格!G199=0,0,(U211-予定価格!H199)/予定価格!G199))</f>
        <v>#DIV/0!</v>
      </c>
      <c r="Z211" t="e">
        <f t="shared" si="66"/>
        <v>#DIV/0!</v>
      </c>
      <c r="AA211" t="e">
        <f t="shared" si="67"/>
        <v>#DIV/0!</v>
      </c>
      <c r="AB211" s="13" t="e">
        <f t="shared" si="68"/>
        <v>#DIV/0!</v>
      </c>
    </row>
    <row r="212" spans="1:28" hidden="1" x14ac:dyDescent="0.15">
      <c r="A212">
        <f>+予定価格!A200</f>
        <v>0</v>
      </c>
      <c r="B212" s="258">
        <f>ROUND(予定価格!B200*査定表!$B$437,-D212)+E212</f>
        <v>0</v>
      </c>
      <c r="C212" s="258"/>
      <c r="D212" s="45">
        <f t="shared" si="57"/>
        <v>4</v>
      </c>
      <c r="E212" s="46">
        <f t="shared" si="53"/>
        <v>0</v>
      </c>
      <c r="F212" s="258">
        <f>IF($F$12=0,0,IF(予定価格!$G$427=0,ROUND(予定価格!H200*(入力表!$F$12/予定価格!$H$431),-H212),ROUND((予定価格!G200*(入力表!$F$12-予定価格!$H$431)/予定価格!$G$431)+予定価格!H200,-H212)))+I212</f>
        <v>0</v>
      </c>
      <c r="G212" s="258"/>
      <c r="H212" s="47">
        <f t="shared" si="58"/>
        <v>4</v>
      </c>
      <c r="I212" s="48">
        <f t="shared" si="54"/>
        <v>0</v>
      </c>
      <c r="J212" s="116">
        <f t="shared" si="55"/>
        <v>0</v>
      </c>
      <c r="K212" s="19">
        <f t="shared" si="56"/>
        <v>0</v>
      </c>
      <c r="L212" s="50"/>
      <c r="M212" s="13">
        <f>ROUND(予定価格!B200*査定表!$B$437,-$F$14)</f>
        <v>0</v>
      </c>
      <c r="N212">
        <f>IF(M212=0,1,M212/予定価格!B200)</f>
        <v>1</v>
      </c>
      <c r="O212">
        <f t="shared" si="59"/>
        <v>21</v>
      </c>
      <c r="P212">
        <f t="shared" si="60"/>
        <v>0</v>
      </c>
      <c r="Q212">
        <f>IF(M212=0,0,M212/予定価格!B200)</f>
        <v>0</v>
      </c>
      <c r="R212">
        <f t="shared" si="61"/>
        <v>21</v>
      </c>
      <c r="S212">
        <f t="shared" si="62"/>
        <v>0</v>
      </c>
      <c r="T212" s="13">
        <f t="shared" si="63"/>
        <v>0</v>
      </c>
      <c r="U212" s="13" t="e">
        <f>IF(予定価格!$G$427=0,ROUND(予定価格!H200*(入力表!$F$12/予定価格!$H$431),-$F$14),ROUND((予定価格!G200*(入力表!$F$12-予定価格!$H$431)/予定価格!$G$431)+予定価格!H200,-$F$14))</f>
        <v>#DIV/0!</v>
      </c>
      <c r="V212" t="e">
        <f>IF(U212=0,1,IF(予定価格!O200=0,1,(U212-予定価格!P200)/予定価格!O200))</f>
        <v>#DIV/0!</v>
      </c>
      <c r="W212" t="e">
        <f t="shared" si="64"/>
        <v>#DIV/0!</v>
      </c>
      <c r="X212" t="e">
        <f t="shared" si="65"/>
        <v>#DIV/0!</v>
      </c>
      <c r="Y212" t="e">
        <f>IF(U212=0,0,IF(予定価格!G200=0,0,(U212-予定価格!H200)/予定価格!G200))</f>
        <v>#DIV/0!</v>
      </c>
      <c r="Z212" t="e">
        <f t="shared" si="66"/>
        <v>#DIV/0!</v>
      </c>
      <c r="AA212" t="e">
        <f t="shared" si="67"/>
        <v>#DIV/0!</v>
      </c>
      <c r="AB212" s="13" t="e">
        <f t="shared" si="68"/>
        <v>#DIV/0!</v>
      </c>
    </row>
    <row r="213" spans="1:28" hidden="1" x14ac:dyDescent="0.15">
      <c r="A213">
        <f>+予定価格!A201</f>
        <v>0</v>
      </c>
      <c r="B213" s="258">
        <f>ROUND(予定価格!B201*査定表!$B$437,-D213)+E213</f>
        <v>0</v>
      </c>
      <c r="C213" s="258"/>
      <c r="D213" s="45">
        <f t="shared" si="57"/>
        <v>4</v>
      </c>
      <c r="E213" s="46">
        <f t="shared" si="53"/>
        <v>0</v>
      </c>
      <c r="F213" s="258">
        <f>IF($F$12=0,0,IF(予定価格!$G$427=0,ROUND(予定価格!H201*(入力表!$F$12/予定価格!$H$431),-H213),ROUND((予定価格!G201*(入力表!$F$12-予定価格!$H$431)/予定価格!$G$431)+予定価格!H201,-H213)))+I213</f>
        <v>0</v>
      </c>
      <c r="G213" s="258"/>
      <c r="H213" s="47">
        <f t="shared" si="58"/>
        <v>4</v>
      </c>
      <c r="I213" s="48">
        <f t="shared" si="54"/>
        <v>0</v>
      </c>
      <c r="J213" s="116">
        <f t="shared" si="55"/>
        <v>0</v>
      </c>
      <c r="K213" s="19">
        <f t="shared" si="56"/>
        <v>0</v>
      </c>
      <c r="L213" s="50"/>
      <c r="M213" s="13">
        <f>ROUND(予定価格!B201*査定表!$B$437,-$F$14)</f>
        <v>0</v>
      </c>
      <c r="N213">
        <f>IF(M213=0,1,M213/予定価格!B201)</f>
        <v>1</v>
      </c>
      <c r="O213">
        <f t="shared" si="59"/>
        <v>21</v>
      </c>
      <c r="P213">
        <f t="shared" si="60"/>
        <v>0</v>
      </c>
      <c r="Q213">
        <f>IF(M213=0,0,M213/予定価格!B201)</f>
        <v>0</v>
      </c>
      <c r="R213">
        <f t="shared" si="61"/>
        <v>21</v>
      </c>
      <c r="S213">
        <f t="shared" si="62"/>
        <v>0</v>
      </c>
      <c r="T213" s="13">
        <f t="shared" si="63"/>
        <v>0</v>
      </c>
      <c r="U213" s="13" t="e">
        <f>IF(予定価格!$G$427=0,ROUND(予定価格!H201*(入力表!$F$12/予定価格!$H$431),-$F$14),ROUND((予定価格!G201*(入力表!$F$12-予定価格!$H$431)/予定価格!$G$431)+予定価格!H201,-$F$14))</f>
        <v>#DIV/0!</v>
      </c>
      <c r="V213" t="e">
        <f>IF(U213=0,1,IF(予定価格!O201=0,1,(U213-予定価格!P201)/予定価格!O201))</f>
        <v>#DIV/0!</v>
      </c>
      <c r="W213" t="e">
        <f t="shared" si="64"/>
        <v>#DIV/0!</v>
      </c>
      <c r="X213" t="e">
        <f t="shared" si="65"/>
        <v>#DIV/0!</v>
      </c>
      <c r="Y213" t="e">
        <f>IF(U213=0,0,IF(予定価格!G201=0,0,(U213-予定価格!H201)/予定価格!G201))</f>
        <v>#DIV/0!</v>
      </c>
      <c r="Z213" t="e">
        <f t="shared" si="66"/>
        <v>#DIV/0!</v>
      </c>
      <c r="AA213" t="e">
        <f t="shared" si="67"/>
        <v>#DIV/0!</v>
      </c>
      <c r="AB213" s="13" t="e">
        <f t="shared" si="68"/>
        <v>#DIV/0!</v>
      </c>
    </row>
    <row r="214" spans="1:28" hidden="1" x14ac:dyDescent="0.15">
      <c r="A214">
        <f>+予定価格!A202</f>
        <v>0</v>
      </c>
      <c r="B214" s="258">
        <f>ROUND(予定価格!B202*査定表!$B$437,-D214)+E214</f>
        <v>0</v>
      </c>
      <c r="C214" s="258"/>
      <c r="D214" s="45">
        <f t="shared" si="57"/>
        <v>4</v>
      </c>
      <c r="E214" s="46">
        <f t="shared" si="53"/>
        <v>0</v>
      </c>
      <c r="F214" s="258">
        <f>IF($F$12=0,0,IF(予定価格!$G$427=0,ROUND(予定価格!H202*(入力表!$F$12/予定価格!$H$431),-H214),ROUND((予定価格!G202*(入力表!$F$12-予定価格!$H$431)/予定価格!$G$431)+予定価格!H202,-H214)))+I214</f>
        <v>0</v>
      </c>
      <c r="G214" s="258"/>
      <c r="H214" s="47">
        <f t="shared" si="58"/>
        <v>4</v>
      </c>
      <c r="I214" s="48">
        <f t="shared" si="54"/>
        <v>0</v>
      </c>
      <c r="J214" s="116">
        <f t="shared" si="55"/>
        <v>0</v>
      </c>
      <c r="K214" s="19">
        <f t="shared" si="56"/>
        <v>0</v>
      </c>
      <c r="L214" s="50"/>
      <c r="M214" s="13">
        <f>ROUND(予定価格!B202*査定表!$B$437,-$F$14)</f>
        <v>0</v>
      </c>
      <c r="N214">
        <f>IF(M214=0,1,M214/予定価格!B202)</f>
        <v>1</v>
      </c>
      <c r="O214">
        <f t="shared" si="59"/>
        <v>21</v>
      </c>
      <c r="P214">
        <f t="shared" si="60"/>
        <v>0</v>
      </c>
      <c r="Q214">
        <f>IF(M214=0,0,M214/予定価格!B202)</f>
        <v>0</v>
      </c>
      <c r="R214">
        <f t="shared" si="61"/>
        <v>21</v>
      </c>
      <c r="S214">
        <f t="shared" si="62"/>
        <v>0</v>
      </c>
      <c r="T214" s="13">
        <f t="shared" si="63"/>
        <v>0</v>
      </c>
      <c r="U214" s="13" t="e">
        <f>IF(予定価格!$G$427=0,ROUND(予定価格!H202*(入力表!$F$12/予定価格!$H$431),-$F$14),ROUND((予定価格!G202*(入力表!$F$12-予定価格!$H$431)/予定価格!$G$431)+予定価格!H202,-$F$14))</f>
        <v>#DIV/0!</v>
      </c>
      <c r="V214" t="e">
        <f>IF(U214=0,1,IF(予定価格!O202=0,1,(U214-予定価格!P202)/予定価格!O202))</f>
        <v>#DIV/0!</v>
      </c>
      <c r="W214" t="e">
        <f t="shared" si="64"/>
        <v>#DIV/0!</v>
      </c>
      <c r="X214" t="e">
        <f t="shared" si="65"/>
        <v>#DIV/0!</v>
      </c>
      <c r="Y214" t="e">
        <f>IF(U214=0,0,IF(予定価格!G202=0,0,(U214-予定価格!H202)/予定価格!G202))</f>
        <v>#DIV/0!</v>
      </c>
      <c r="Z214" t="e">
        <f t="shared" si="66"/>
        <v>#DIV/0!</v>
      </c>
      <c r="AA214" t="e">
        <f t="shared" si="67"/>
        <v>#DIV/0!</v>
      </c>
      <c r="AB214" s="13" t="e">
        <f t="shared" si="68"/>
        <v>#DIV/0!</v>
      </c>
    </row>
    <row r="215" spans="1:28" hidden="1" x14ac:dyDescent="0.15">
      <c r="A215">
        <f>+予定価格!A203</f>
        <v>0</v>
      </c>
      <c r="B215" s="258">
        <f>ROUND(予定価格!B203*査定表!$B$437,-D215)+E215</f>
        <v>0</v>
      </c>
      <c r="C215" s="258"/>
      <c r="D215" s="45">
        <f t="shared" si="57"/>
        <v>4</v>
      </c>
      <c r="E215" s="46">
        <f t="shared" si="53"/>
        <v>0</v>
      </c>
      <c r="F215" s="258">
        <f>IF($F$12=0,0,IF(予定価格!$G$427=0,ROUND(予定価格!H203*(入力表!$F$12/予定価格!$H$431),-H215),ROUND((予定価格!G203*(入力表!$F$12-予定価格!$H$431)/予定価格!$G$431)+予定価格!H203,-H215)))+I215</f>
        <v>0</v>
      </c>
      <c r="G215" s="258"/>
      <c r="H215" s="47">
        <f t="shared" si="58"/>
        <v>4</v>
      </c>
      <c r="I215" s="48">
        <f t="shared" si="54"/>
        <v>0</v>
      </c>
      <c r="J215" s="116">
        <f t="shared" si="55"/>
        <v>0</v>
      </c>
      <c r="K215" s="19">
        <f t="shared" si="56"/>
        <v>0</v>
      </c>
      <c r="L215" s="50"/>
      <c r="M215" s="13">
        <f>ROUND(予定価格!B203*査定表!$B$437,-$F$14)</f>
        <v>0</v>
      </c>
      <c r="N215">
        <f>IF(M215=0,1,M215/予定価格!B203)</f>
        <v>1</v>
      </c>
      <c r="O215">
        <f t="shared" si="59"/>
        <v>21</v>
      </c>
      <c r="P215">
        <f t="shared" si="60"/>
        <v>0</v>
      </c>
      <c r="Q215">
        <f>IF(M215=0,0,M215/予定価格!B203)</f>
        <v>0</v>
      </c>
      <c r="R215">
        <f t="shared" si="61"/>
        <v>21</v>
      </c>
      <c r="S215">
        <f t="shared" si="62"/>
        <v>0</v>
      </c>
      <c r="T215" s="13">
        <f t="shared" si="63"/>
        <v>0</v>
      </c>
      <c r="U215" s="13" t="e">
        <f>IF(予定価格!$G$427=0,ROUND(予定価格!H203*(入力表!$F$12/予定価格!$H$431),-$F$14),ROUND((予定価格!G203*(入力表!$F$12-予定価格!$H$431)/予定価格!$G$431)+予定価格!H203,-$F$14))</f>
        <v>#DIV/0!</v>
      </c>
      <c r="V215" t="e">
        <f>IF(U215=0,1,IF(予定価格!O203=0,1,(U215-予定価格!P203)/予定価格!O203))</f>
        <v>#DIV/0!</v>
      </c>
      <c r="W215" t="e">
        <f t="shared" si="64"/>
        <v>#DIV/0!</v>
      </c>
      <c r="X215" t="e">
        <f t="shared" si="65"/>
        <v>#DIV/0!</v>
      </c>
      <c r="Y215" t="e">
        <f>IF(U215=0,0,IF(予定価格!G203=0,0,(U215-予定価格!H203)/予定価格!G203))</f>
        <v>#DIV/0!</v>
      </c>
      <c r="Z215" t="e">
        <f t="shared" si="66"/>
        <v>#DIV/0!</v>
      </c>
      <c r="AA215" t="e">
        <f t="shared" si="67"/>
        <v>#DIV/0!</v>
      </c>
      <c r="AB215" s="13" t="e">
        <f t="shared" si="68"/>
        <v>#DIV/0!</v>
      </c>
    </row>
    <row r="216" spans="1:28" hidden="1" x14ac:dyDescent="0.15">
      <c r="A216">
        <f>+予定価格!A204</f>
        <v>0</v>
      </c>
      <c r="B216" s="258">
        <f>ROUND(予定価格!B204*査定表!$B$437,-D216)+E216</f>
        <v>0</v>
      </c>
      <c r="C216" s="258"/>
      <c r="D216" s="45">
        <f t="shared" si="57"/>
        <v>4</v>
      </c>
      <c r="E216" s="46">
        <f t="shared" si="53"/>
        <v>0</v>
      </c>
      <c r="F216" s="258">
        <f>IF($F$12=0,0,IF(予定価格!$G$427=0,ROUND(予定価格!H204*(入力表!$F$12/予定価格!$H$431),-H216),ROUND((予定価格!G204*(入力表!$F$12-予定価格!$H$431)/予定価格!$G$431)+予定価格!H204,-H216)))+I216</f>
        <v>0</v>
      </c>
      <c r="G216" s="258"/>
      <c r="H216" s="47">
        <f t="shared" si="58"/>
        <v>4</v>
      </c>
      <c r="I216" s="48">
        <f t="shared" si="54"/>
        <v>0</v>
      </c>
      <c r="J216" s="116">
        <f t="shared" si="55"/>
        <v>0</v>
      </c>
      <c r="K216" s="19">
        <f t="shared" si="56"/>
        <v>0</v>
      </c>
      <c r="L216" s="50"/>
      <c r="M216" s="13">
        <f>ROUND(予定価格!B204*査定表!$B$437,-$F$14)</f>
        <v>0</v>
      </c>
      <c r="N216">
        <f>IF(M216=0,1,M216/予定価格!B204)</f>
        <v>1</v>
      </c>
      <c r="O216">
        <f t="shared" si="59"/>
        <v>21</v>
      </c>
      <c r="P216">
        <f t="shared" si="60"/>
        <v>0</v>
      </c>
      <c r="Q216">
        <f>IF(M216=0,0,M216/予定価格!B204)</f>
        <v>0</v>
      </c>
      <c r="R216">
        <f t="shared" si="61"/>
        <v>21</v>
      </c>
      <c r="S216">
        <f t="shared" si="62"/>
        <v>0</v>
      </c>
      <c r="T216" s="13">
        <f t="shared" si="63"/>
        <v>0</v>
      </c>
      <c r="U216" s="13" t="e">
        <f>IF(予定価格!$G$427=0,ROUND(予定価格!H204*(入力表!$F$12/予定価格!$H$431),-$F$14),ROUND((予定価格!G204*(入力表!$F$12-予定価格!$H$431)/予定価格!$G$431)+予定価格!H204,-$F$14))</f>
        <v>#DIV/0!</v>
      </c>
      <c r="V216" t="e">
        <f>IF(U216=0,1,IF(予定価格!O204=0,1,(U216-予定価格!P204)/予定価格!O204))</f>
        <v>#DIV/0!</v>
      </c>
      <c r="W216" t="e">
        <f t="shared" si="64"/>
        <v>#DIV/0!</v>
      </c>
      <c r="X216" t="e">
        <f t="shared" si="65"/>
        <v>#DIV/0!</v>
      </c>
      <c r="Y216" t="e">
        <f>IF(U216=0,0,IF(予定価格!G204=0,0,(U216-予定価格!H204)/予定価格!G204))</f>
        <v>#DIV/0!</v>
      </c>
      <c r="Z216" t="e">
        <f t="shared" si="66"/>
        <v>#DIV/0!</v>
      </c>
      <c r="AA216" t="e">
        <f t="shared" si="67"/>
        <v>#DIV/0!</v>
      </c>
      <c r="AB216" s="13" t="e">
        <f t="shared" si="68"/>
        <v>#DIV/0!</v>
      </c>
    </row>
    <row r="217" spans="1:28" hidden="1" x14ac:dyDescent="0.15">
      <c r="A217">
        <f>+予定価格!A205</f>
        <v>0</v>
      </c>
      <c r="B217" s="258">
        <f>ROUND(予定価格!B205*査定表!$B$437,-D217)+E217</f>
        <v>0</v>
      </c>
      <c r="C217" s="258"/>
      <c r="D217" s="45">
        <f t="shared" si="57"/>
        <v>4</v>
      </c>
      <c r="E217" s="46">
        <f t="shared" si="53"/>
        <v>0</v>
      </c>
      <c r="F217" s="258">
        <f>IF($F$12=0,0,IF(予定価格!$G$427=0,ROUND(予定価格!H205*(入力表!$F$12/予定価格!$H$431),-H217),ROUND((予定価格!G205*(入力表!$F$12-予定価格!$H$431)/予定価格!$G$431)+予定価格!H205,-H217)))+I217</f>
        <v>0</v>
      </c>
      <c r="G217" s="258"/>
      <c r="H217" s="47">
        <f t="shared" si="58"/>
        <v>4</v>
      </c>
      <c r="I217" s="48">
        <f t="shared" si="54"/>
        <v>0</v>
      </c>
      <c r="J217" s="116">
        <f t="shared" si="55"/>
        <v>0</v>
      </c>
      <c r="K217" s="19">
        <f t="shared" si="56"/>
        <v>0</v>
      </c>
      <c r="L217" s="50"/>
      <c r="M217" s="13">
        <f>ROUND(予定価格!B205*査定表!$B$437,-$F$14)</f>
        <v>0</v>
      </c>
      <c r="N217">
        <f>IF(M217=0,1,M217/予定価格!B205)</f>
        <v>1</v>
      </c>
      <c r="O217">
        <f t="shared" si="59"/>
        <v>21</v>
      </c>
      <c r="P217">
        <f t="shared" si="60"/>
        <v>0</v>
      </c>
      <c r="Q217">
        <f>IF(M217=0,0,M217/予定価格!B205)</f>
        <v>0</v>
      </c>
      <c r="R217">
        <f t="shared" si="61"/>
        <v>21</v>
      </c>
      <c r="S217">
        <f t="shared" si="62"/>
        <v>0</v>
      </c>
      <c r="T217" s="13">
        <f t="shared" si="63"/>
        <v>0</v>
      </c>
      <c r="U217" s="13" t="e">
        <f>IF(予定価格!$G$427=0,ROUND(予定価格!H205*(入力表!$F$12/予定価格!$H$431),-$F$14),ROUND((予定価格!G205*(入力表!$F$12-予定価格!$H$431)/予定価格!$G$431)+予定価格!H205,-$F$14))</f>
        <v>#DIV/0!</v>
      </c>
      <c r="V217" t="e">
        <f>IF(U217=0,1,IF(予定価格!O205=0,1,(U217-予定価格!P205)/予定価格!O205))</f>
        <v>#DIV/0!</v>
      </c>
      <c r="W217" t="e">
        <f t="shared" si="64"/>
        <v>#DIV/0!</v>
      </c>
      <c r="X217" t="e">
        <f t="shared" si="65"/>
        <v>#DIV/0!</v>
      </c>
      <c r="Y217" t="e">
        <f>IF(U217=0,0,IF(予定価格!G205=0,0,(U217-予定価格!H205)/予定価格!G205))</f>
        <v>#DIV/0!</v>
      </c>
      <c r="Z217" t="e">
        <f t="shared" si="66"/>
        <v>#DIV/0!</v>
      </c>
      <c r="AA217" t="e">
        <f t="shared" si="67"/>
        <v>#DIV/0!</v>
      </c>
      <c r="AB217" s="13" t="e">
        <f t="shared" si="68"/>
        <v>#DIV/0!</v>
      </c>
    </row>
    <row r="218" spans="1:28" hidden="1" x14ac:dyDescent="0.15">
      <c r="A218">
        <f>+予定価格!A206</f>
        <v>0</v>
      </c>
      <c r="B218" s="258">
        <f>ROUND(予定価格!B206*査定表!$B$437,-D218)+E218</f>
        <v>0</v>
      </c>
      <c r="C218" s="258"/>
      <c r="D218" s="45">
        <f t="shared" si="57"/>
        <v>4</v>
      </c>
      <c r="E218" s="46">
        <f t="shared" si="53"/>
        <v>0</v>
      </c>
      <c r="F218" s="258">
        <f>IF($F$12=0,0,IF(予定価格!$G$427=0,ROUND(予定価格!H206*(入力表!$F$12/予定価格!$H$431),-H218),ROUND((予定価格!G206*(入力表!$F$12-予定価格!$H$431)/予定価格!$G$431)+予定価格!H206,-H218)))+I218</f>
        <v>0</v>
      </c>
      <c r="G218" s="258"/>
      <c r="H218" s="47">
        <f t="shared" si="58"/>
        <v>4</v>
      </c>
      <c r="I218" s="48">
        <f t="shared" si="54"/>
        <v>0</v>
      </c>
      <c r="J218" s="116">
        <f t="shared" si="55"/>
        <v>0</v>
      </c>
      <c r="K218" s="19">
        <f t="shared" si="56"/>
        <v>0</v>
      </c>
      <c r="L218" s="50"/>
      <c r="M218" s="13">
        <f>ROUND(予定価格!B206*査定表!$B$437,-$F$14)</f>
        <v>0</v>
      </c>
      <c r="N218">
        <f>IF(M218=0,1,M218/予定価格!B206)</f>
        <v>1</v>
      </c>
      <c r="O218">
        <f t="shared" si="59"/>
        <v>21</v>
      </c>
      <c r="P218">
        <f t="shared" si="60"/>
        <v>0</v>
      </c>
      <c r="Q218">
        <f>IF(M218=0,0,M218/予定価格!B206)</f>
        <v>0</v>
      </c>
      <c r="R218">
        <f t="shared" si="61"/>
        <v>21</v>
      </c>
      <c r="S218">
        <f t="shared" si="62"/>
        <v>0</v>
      </c>
      <c r="T218" s="13">
        <f t="shared" si="63"/>
        <v>0</v>
      </c>
      <c r="U218" s="13" t="e">
        <f>IF(予定価格!$G$427=0,ROUND(予定価格!H206*(入力表!$F$12/予定価格!$H$431),-$F$14),ROUND((予定価格!G206*(入力表!$F$12-予定価格!$H$431)/予定価格!$G$431)+予定価格!H206,-$F$14))</f>
        <v>#DIV/0!</v>
      </c>
      <c r="V218" t="e">
        <f>IF(U218=0,1,IF(予定価格!O206=0,1,(U218-予定価格!P206)/予定価格!O206))</f>
        <v>#DIV/0!</v>
      </c>
      <c r="W218" t="e">
        <f t="shared" si="64"/>
        <v>#DIV/0!</v>
      </c>
      <c r="X218" t="e">
        <f t="shared" si="65"/>
        <v>#DIV/0!</v>
      </c>
      <c r="Y218" t="e">
        <f>IF(U218=0,0,IF(予定価格!G206=0,0,(U218-予定価格!H206)/予定価格!G206))</f>
        <v>#DIV/0!</v>
      </c>
      <c r="Z218" t="e">
        <f t="shared" si="66"/>
        <v>#DIV/0!</v>
      </c>
      <c r="AA218" t="e">
        <f t="shared" si="67"/>
        <v>#DIV/0!</v>
      </c>
      <c r="AB218" s="13" t="e">
        <f t="shared" si="68"/>
        <v>#DIV/0!</v>
      </c>
    </row>
    <row r="219" spans="1:28" hidden="1" x14ac:dyDescent="0.15">
      <c r="A219">
        <f>+予定価格!A207</f>
        <v>0</v>
      </c>
      <c r="B219" s="258">
        <f>ROUND(予定価格!B207*査定表!$B$437,-D219)+E219</f>
        <v>0</v>
      </c>
      <c r="C219" s="258"/>
      <c r="D219" s="45">
        <f t="shared" si="57"/>
        <v>4</v>
      </c>
      <c r="E219" s="46">
        <f t="shared" si="53"/>
        <v>0</v>
      </c>
      <c r="F219" s="258">
        <f>IF($F$12=0,0,IF(予定価格!$G$427=0,ROUND(予定価格!H207*(入力表!$F$12/予定価格!$H$431),-H219),ROUND((予定価格!G207*(入力表!$F$12-予定価格!$H$431)/予定価格!$G$431)+予定価格!H207,-H219)))+I219</f>
        <v>0</v>
      </c>
      <c r="G219" s="258"/>
      <c r="H219" s="47">
        <f t="shared" si="58"/>
        <v>4</v>
      </c>
      <c r="I219" s="48">
        <f t="shared" si="54"/>
        <v>0</v>
      </c>
      <c r="J219" s="116">
        <f t="shared" si="55"/>
        <v>0</v>
      </c>
      <c r="K219" s="19">
        <f t="shared" si="56"/>
        <v>0</v>
      </c>
      <c r="L219" s="50"/>
      <c r="M219" s="13">
        <f>ROUND(予定価格!B207*査定表!$B$437,-$F$14)</f>
        <v>0</v>
      </c>
      <c r="N219">
        <f>IF(M219=0,1,M219/予定価格!B207)</f>
        <v>1</v>
      </c>
      <c r="O219">
        <f t="shared" si="59"/>
        <v>21</v>
      </c>
      <c r="P219">
        <f t="shared" si="60"/>
        <v>0</v>
      </c>
      <c r="Q219">
        <f>IF(M219=0,0,M219/予定価格!B207)</f>
        <v>0</v>
      </c>
      <c r="R219">
        <f t="shared" si="61"/>
        <v>21</v>
      </c>
      <c r="S219">
        <f t="shared" si="62"/>
        <v>0</v>
      </c>
      <c r="T219" s="13">
        <f t="shared" si="63"/>
        <v>0</v>
      </c>
      <c r="U219" s="13" t="e">
        <f>IF(予定価格!$G$427=0,ROUND(予定価格!H207*(入力表!$F$12/予定価格!$H$431),-$F$14),ROUND((予定価格!G207*(入力表!$F$12-予定価格!$H$431)/予定価格!$G$431)+予定価格!H207,-$F$14))</f>
        <v>#DIV/0!</v>
      </c>
      <c r="V219" t="e">
        <f>IF(U219=0,1,IF(予定価格!O207=0,1,(U219-予定価格!P207)/予定価格!O207))</f>
        <v>#DIV/0!</v>
      </c>
      <c r="W219" t="e">
        <f t="shared" si="64"/>
        <v>#DIV/0!</v>
      </c>
      <c r="X219" t="e">
        <f t="shared" si="65"/>
        <v>#DIV/0!</v>
      </c>
      <c r="Y219" t="e">
        <f>IF(U219=0,0,IF(予定価格!G207=0,0,(U219-予定価格!H207)/予定価格!G207))</f>
        <v>#DIV/0!</v>
      </c>
      <c r="Z219" t="e">
        <f t="shared" si="66"/>
        <v>#DIV/0!</v>
      </c>
      <c r="AA219" t="e">
        <f t="shared" si="67"/>
        <v>#DIV/0!</v>
      </c>
      <c r="AB219" s="13" t="e">
        <f t="shared" si="68"/>
        <v>#DIV/0!</v>
      </c>
    </row>
    <row r="220" spans="1:28" hidden="1" x14ac:dyDescent="0.15">
      <c r="A220">
        <f>+予定価格!A208</f>
        <v>0</v>
      </c>
      <c r="B220" s="258">
        <f>ROUND(予定価格!B208*査定表!$B$437,-D220)+E220</f>
        <v>0</v>
      </c>
      <c r="C220" s="258"/>
      <c r="D220" s="45">
        <f t="shared" si="57"/>
        <v>4</v>
      </c>
      <c r="E220" s="46">
        <f t="shared" si="53"/>
        <v>0</v>
      </c>
      <c r="F220" s="258">
        <f>IF($F$12=0,0,IF(予定価格!$G$427=0,ROUND(予定価格!H208*(入力表!$F$12/予定価格!$H$431),-H220),ROUND((予定価格!G208*(入力表!$F$12-予定価格!$H$431)/予定価格!$G$431)+予定価格!H208,-H220)))+I220</f>
        <v>0</v>
      </c>
      <c r="G220" s="258"/>
      <c r="H220" s="47">
        <f t="shared" si="58"/>
        <v>4</v>
      </c>
      <c r="I220" s="48">
        <f t="shared" si="54"/>
        <v>0</v>
      </c>
      <c r="J220" s="116">
        <f t="shared" si="55"/>
        <v>0</v>
      </c>
      <c r="K220" s="19">
        <f t="shared" si="56"/>
        <v>0</v>
      </c>
      <c r="L220" s="50"/>
      <c r="M220" s="13">
        <f>ROUND(予定価格!B208*査定表!$B$437,-$F$14)</f>
        <v>0</v>
      </c>
      <c r="N220">
        <f>IF(M220=0,1,M220/予定価格!B208)</f>
        <v>1</v>
      </c>
      <c r="O220">
        <f t="shared" si="59"/>
        <v>21</v>
      </c>
      <c r="P220">
        <f t="shared" si="60"/>
        <v>0</v>
      </c>
      <c r="Q220">
        <f>IF(M220=0,0,M220/予定価格!B208)</f>
        <v>0</v>
      </c>
      <c r="R220">
        <f t="shared" si="61"/>
        <v>21</v>
      </c>
      <c r="S220">
        <f t="shared" si="62"/>
        <v>0</v>
      </c>
      <c r="T220" s="13">
        <f t="shared" si="63"/>
        <v>0</v>
      </c>
      <c r="U220" s="13" t="e">
        <f>IF(予定価格!$G$427=0,ROUND(予定価格!H208*(入力表!$F$12/予定価格!$H$431),-$F$14),ROUND((予定価格!G208*(入力表!$F$12-予定価格!$H$431)/予定価格!$G$431)+予定価格!H208,-$F$14))</f>
        <v>#DIV/0!</v>
      </c>
      <c r="V220" t="e">
        <f>IF(U220=0,1,IF(予定価格!O208=0,1,(U220-予定価格!P208)/予定価格!O208))</f>
        <v>#DIV/0!</v>
      </c>
      <c r="W220" t="e">
        <f t="shared" si="64"/>
        <v>#DIV/0!</v>
      </c>
      <c r="X220" t="e">
        <f t="shared" si="65"/>
        <v>#DIV/0!</v>
      </c>
      <c r="Y220" t="e">
        <f>IF(U220=0,0,IF(予定価格!G208=0,0,(U220-予定価格!H208)/予定価格!G208))</f>
        <v>#DIV/0!</v>
      </c>
      <c r="Z220" t="e">
        <f t="shared" si="66"/>
        <v>#DIV/0!</v>
      </c>
      <c r="AA220" t="e">
        <f t="shared" si="67"/>
        <v>#DIV/0!</v>
      </c>
      <c r="AB220" s="13" t="e">
        <f t="shared" si="68"/>
        <v>#DIV/0!</v>
      </c>
    </row>
    <row r="221" spans="1:28" hidden="1" x14ac:dyDescent="0.15">
      <c r="A221">
        <f>+予定価格!A209</f>
        <v>0</v>
      </c>
      <c r="B221" s="258">
        <f>ROUND(予定価格!B209*査定表!$B$437,-D221)+E221</f>
        <v>0</v>
      </c>
      <c r="C221" s="258"/>
      <c r="D221" s="45">
        <f t="shared" si="57"/>
        <v>4</v>
      </c>
      <c r="E221" s="46">
        <f t="shared" si="53"/>
        <v>0</v>
      </c>
      <c r="F221" s="258">
        <f>IF($F$12=0,0,IF(予定価格!$G$427=0,ROUND(予定価格!H209*(入力表!$F$12/予定価格!$H$431),-H221),ROUND((予定価格!G209*(入力表!$F$12-予定価格!$H$431)/予定価格!$G$431)+予定価格!H209,-H221)))+I221</f>
        <v>0</v>
      </c>
      <c r="G221" s="258"/>
      <c r="H221" s="47">
        <f t="shared" si="58"/>
        <v>4</v>
      </c>
      <c r="I221" s="48">
        <f t="shared" si="54"/>
        <v>0</v>
      </c>
      <c r="J221" s="116">
        <f t="shared" si="55"/>
        <v>0</v>
      </c>
      <c r="K221" s="19">
        <f t="shared" si="56"/>
        <v>0</v>
      </c>
      <c r="L221" s="50"/>
      <c r="M221" s="13">
        <f>ROUND(予定価格!B209*査定表!$B$437,-$F$14)</f>
        <v>0</v>
      </c>
      <c r="N221">
        <f>IF(M221=0,1,M221/予定価格!B209)</f>
        <v>1</v>
      </c>
      <c r="O221">
        <f t="shared" si="59"/>
        <v>21</v>
      </c>
      <c r="P221">
        <f t="shared" si="60"/>
        <v>0</v>
      </c>
      <c r="Q221">
        <f>IF(M221=0,0,M221/予定価格!B209)</f>
        <v>0</v>
      </c>
      <c r="R221">
        <f t="shared" si="61"/>
        <v>21</v>
      </c>
      <c r="S221">
        <f t="shared" si="62"/>
        <v>0</v>
      </c>
      <c r="T221" s="13">
        <f t="shared" si="63"/>
        <v>0</v>
      </c>
      <c r="U221" s="13" t="e">
        <f>IF(予定価格!$G$427=0,ROUND(予定価格!H209*(入力表!$F$12/予定価格!$H$431),-$F$14),ROUND((予定価格!G209*(入力表!$F$12-予定価格!$H$431)/予定価格!$G$431)+予定価格!H209,-$F$14))</f>
        <v>#DIV/0!</v>
      </c>
      <c r="V221" t="e">
        <f>IF(U221=0,1,IF(予定価格!O209=0,1,(U221-予定価格!P209)/予定価格!O209))</f>
        <v>#DIV/0!</v>
      </c>
      <c r="W221" t="e">
        <f t="shared" si="64"/>
        <v>#DIV/0!</v>
      </c>
      <c r="X221" t="e">
        <f t="shared" si="65"/>
        <v>#DIV/0!</v>
      </c>
      <c r="Y221" t="e">
        <f>IF(U221=0,0,IF(予定価格!G209=0,0,(U221-予定価格!H209)/予定価格!G209))</f>
        <v>#DIV/0!</v>
      </c>
      <c r="Z221" t="e">
        <f t="shared" si="66"/>
        <v>#DIV/0!</v>
      </c>
      <c r="AA221" t="e">
        <f t="shared" si="67"/>
        <v>#DIV/0!</v>
      </c>
      <c r="AB221" s="13" t="e">
        <f t="shared" si="68"/>
        <v>#DIV/0!</v>
      </c>
    </row>
    <row r="222" spans="1:28" hidden="1" x14ac:dyDescent="0.15">
      <c r="A222">
        <f>+予定価格!A210</f>
        <v>0</v>
      </c>
      <c r="B222" s="258">
        <f>ROUND(予定価格!B210*査定表!$B$437,-D222)+E222</f>
        <v>0</v>
      </c>
      <c r="C222" s="258"/>
      <c r="D222" s="45">
        <f t="shared" si="57"/>
        <v>4</v>
      </c>
      <c r="E222" s="46">
        <f t="shared" si="53"/>
        <v>0</v>
      </c>
      <c r="F222" s="258">
        <f>IF($F$12=0,0,IF(予定価格!$G$427=0,ROUND(予定価格!H210*(入力表!$F$12/予定価格!$H$431),-H222),ROUND((予定価格!G210*(入力表!$F$12-予定価格!$H$431)/予定価格!$G$431)+予定価格!H210,-H222)))+I222</f>
        <v>0</v>
      </c>
      <c r="G222" s="258"/>
      <c r="H222" s="47">
        <f t="shared" si="58"/>
        <v>4</v>
      </c>
      <c r="I222" s="48">
        <f t="shared" si="54"/>
        <v>0</v>
      </c>
      <c r="J222" s="116">
        <f t="shared" si="55"/>
        <v>0</v>
      </c>
      <c r="K222" s="19">
        <f t="shared" si="56"/>
        <v>0</v>
      </c>
      <c r="L222" s="50"/>
      <c r="M222" s="13">
        <f>ROUND(予定価格!B210*査定表!$B$437,-$F$14)</f>
        <v>0</v>
      </c>
      <c r="N222">
        <f>IF(M222=0,1,M222/予定価格!B210)</f>
        <v>1</v>
      </c>
      <c r="O222">
        <f t="shared" si="59"/>
        <v>21</v>
      </c>
      <c r="P222">
        <f t="shared" si="60"/>
        <v>0</v>
      </c>
      <c r="Q222">
        <f>IF(M222=0,0,M222/予定価格!B210)</f>
        <v>0</v>
      </c>
      <c r="R222">
        <f t="shared" si="61"/>
        <v>21</v>
      </c>
      <c r="S222">
        <f t="shared" si="62"/>
        <v>0</v>
      </c>
      <c r="T222" s="13">
        <f t="shared" si="63"/>
        <v>0</v>
      </c>
      <c r="U222" s="13" t="e">
        <f>IF(予定価格!$G$427=0,ROUND(予定価格!H210*(入力表!$F$12/予定価格!$H$431),-$F$14),ROUND((予定価格!G210*(入力表!$F$12-予定価格!$H$431)/予定価格!$G$431)+予定価格!H210,-$F$14))</f>
        <v>#DIV/0!</v>
      </c>
      <c r="V222" t="e">
        <f>IF(U222=0,1,IF(予定価格!O210=0,1,(U222-予定価格!P210)/予定価格!O210))</f>
        <v>#DIV/0!</v>
      </c>
      <c r="W222" t="e">
        <f t="shared" si="64"/>
        <v>#DIV/0!</v>
      </c>
      <c r="X222" t="e">
        <f t="shared" si="65"/>
        <v>#DIV/0!</v>
      </c>
      <c r="Y222" t="e">
        <f>IF(U222=0,0,IF(予定価格!G210=0,0,(U222-予定価格!H210)/予定価格!G210))</f>
        <v>#DIV/0!</v>
      </c>
      <c r="Z222" t="e">
        <f t="shared" si="66"/>
        <v>#DIV/0!</v>
      </c>
      <c r="AA222" t="e">
        <f t="shared" si="67"/>
        <v>#DIV/0!</v>
      </c>
      <c r="AB222" s="13" t="e">
        <f t="shared" si="68"/>
        <v>#DIV/0!</v>
      </c>
    </row>
    <row r="223" spans="1:28" hidden="1" x14ac:dyDescent="0.15">
      <c r="A223">
        <f>+予定価格!A211</f>
        <v>0</v>
      </c>
      <c r="B223" s="258">
        <f>ROUND(予定価格!B211*査定表!$B$437,-D223)+E223</f>
        <v>0</v>
      </c>
      <c r="C223" s="258"/>
      <c r="D223" s="45">
        <f t="shared" si="57"/>
        <v>4</v>
      </c>
      <c r="E223" s="46">
        <f t="shared" si="53"/>
        <v>0</v>
      </c>
      <c r="F223" s="258">
        <f>IF($F$12=0,0,IF(予定価格!$G$427=0,ROUND(予定価格!H211*(入力表!$F$12/予定価格!$H$431),-H223),ROUND((予定価格!G211*(入力表!$F$12-予定価格!$H$431)/予定価格!$G$431)+予定価格!H211,-H223)))+I223</f>
        <v>0</v>
      </c>
      <c r="G223" s="258"/>
      <c r="H223" s="47">
        <f t="shared" si="58"/>
        <v>4</v>
      </c>
      <c r="I223" s="48">
        <f t="shared" si="54"/>
        <v>0</v>
      </c>
      <c r="J223" s="116">
        <f t="shared" si="55"/>
        <v>0</v>
      </c>
      <c r="K223" s="19">
        <f t="shared" si="56"/>
        <v>0</v>
      </c>
      <c r="L223" s="50"/>
      <c r="M223" s="13">
        <f>ROUND(予定価格!B211*査定表!$B$437,-$F$14)</f>
        <v>0</v>
      </c>
      <c r="N223">
        <f>IF(M223=0,1,M223/予定価格!B211)</f>
        <v>1</v>
      </c>
      <c r="O223">
        <f t="shared" si="59"/>
        <v>21</v>
      </c>
      <c r="P223">
        <f t="shared" si="60"/>
        <v>0</v>
      </c>
      <c r="Q223">
        <f>IF(M223=0,0,M223/予定価格!B211)</f>
        <v>0</v>
      </c>
      <c r="R223">
        <f t="shared" si="61"/>
        <v>21</v>
      </c>
      <c r="S223">
        <f t="shared" si="62"/>
        <v>0</v>
      </c>
      <c r="T223" s="13">
        <f t="shared" si="63"/>
        <v>0</v>
      </c>
      <c r="U223" s="13" t="e">
        <f>IF(予定価格!$G$427=0,ROUND(予定価格!H211*(入力表!$F$12/予定価格!$H$431),-$F$14),ROUND((予定価格!G211*(入力表!$F$12-予定価格!$H$431)/予定価格!$G$431)+予定価格!H211,-$F$14))</f>
        <v>#DIV/0!</v>
      </c>
      <c r="V223" t="e">
        <f>IF(U223=0,1,IF(予定価格!O211=0,1,(U223-予定価格!P211)/予定価格!O211))</f>
        <v>#DIV/0!</v>
      </c>
      <c r="W223" t="e">
        <f t="shared" si="64"/>
        <v>#DIV/0!</v>
      </c>
      <c r="X223" t="e">
        <f t="shared" si="65"/>
        <v>#DIV/0!</v>
      </c>
      <c r="Y223" t="e">
        <f>IF(U223=0,0,IF(予定価格!G211=0,0,(U223-予定価格!H211)/予定価格!G211))</f>
        <v>#DIV/0!</v>
      </c>
      <c r="Z223" t="e">
        <f t="shared" si="66"/>
        <v>#DIV/0!</v>
      </c>
      <c r="AA223" t="e">
        <f t="shared" si="67"/>
        <v>#DIV/0!</v>
      </c>
      <c r="AB223" s="13" t="e">
        <f t="shared" si="68"/>
        <v>#DIV/0!</v>
      </c>
    </row>
    <row r="224" spans="1:28" hidden="1" x14ac:dyDescent="0.15">
      <c r="A224">
        <f>+予定価格!A212</f>
        <v>0</v>
      </c>
      <c r="B224" s="258">
        <f>ROUND(予定価格!B212*査定表!$B$437,-D224)+E224</f>
        <v>0</v>
      </c>
      <c r="C224" s="258"/>
      <c r="D224" s="45">
        <f t="shared" si="57"/>
        <v>4</v>
      </c>
      <c r="E224" s="46">
        <f t="shared" si="53"/>
        <v>0</v>
      </c>
      <c r="F224" s="258">
        <f>IF($F$12=0,0,IF(予定価格!$G$427=0,ROUND(予定価格!H212*(入力表!$F$12/予定価格!$H$431),-H224),ROUND((予定価格!G212*(入力表!$F$12-予定価格!$H$431)/予定価格!$G$431)+予定価格!H212,-H224)))+I224</f>
        <v>0</v>
      </c>
      <c r="G224" s="258"/>
      <c r="H224" s="47">
        <f t="shared" si="58"/>
        <v>4</v>
      </c>
      <c r="I224" s="48">
        <f t="shared" si="54"/>
        <v>0</v>
      </c>
      <c r="J224" s="116">
        <f t="shared" si="55"/>
        <v>0</v>
      </c>
      <c r="K224" s="19">
        <f t="shared" si="56"/>
        <v>0</v>
      </c>
      <c r="L224" s="50"/>
      <c r="M224" s="13">
        <f>ROUND(予定価格!B212*査定表!$B$437,-$F$14)</f>
        <v>0</v>
      </c>
      <c r="N224">
        <f>IF(M224=0,1,M224/予定価格!B212)</f>
        <v>1</v>
      </c>
      <c r="O224">
        <f t="shared" si="59"/>
        <v>21</v>
      </c>
      <c r="P224">
        <f t="shared" si="60"/>
        <v>0</v>
      </c>
      <c r="Q224">
        <f>IF(M224=0,0,M224/予定価格!B212)</f>
        <v>0</v>
      </c>
      <c r="R224">
        <f t="shared" si="61"/>
        <v>21</v>
      </c>
      <c r="S224">
        <f t="shared" si="62"/>
        <v>0</v>
      </c>
      <c r="T224" s="13">
        <f t="shared" si="63"/>
        <v>0</v>
      </c>
      <c r="U224" s="13" t="e">
        <f>IF(予定価格!$G$427=0,ROUND(予定価格!H212*(入力表!$F$12/予定価格!$H$431),-$F$14),ROUND((予定価格!G212*(入力表!$F$12-予定価格!$H$431)/予定価格!$G$431)+予定価格!H212,-$F$14))</f>
        <v>#DIV/0!</v>
      </c>
      <c r="V224" t="e">
        <f>IF(U224=0,1,IF(予定価格!O212=0,1,(U224-予定価格!P212)/予定価格!O212))</f>
        <v>#DIV/0!</v>
      </c>
      <c r="W224" t="e">
        <f t="shared" si="64"/>
        <v>#DIV/0!</v>
      </c>
      <c r="X224" t="e">
        <f t="shared" si="65"/>
        <v>#DIV/0!</v>
      </c>
      <c r="Y224" t="e">
        <f>IF(U224=0,0,IF(予定価格!G212=0,0,(U224-予定価格!H212)/予定価格!G212))</f>
        <v>#DIV/0!</v>
      </c>
      <c r="Z224" t="e">
        <f t="shared" si="66"/>
        <v>#DIV/0!</v>
      </c>
      <c r="AA224" t="e">
        <f t="shared" si="67"/>
        <v>#DIV/0!</v>
      </c>
      <c r="AB224" s="13" t="e">
        <f t="shared" si="68"/>
        <v>#DIV/0!</v>
      </c>
    </row>
    <row r="225" spans="1:28" hidden="1" x14ac:dyDescent="0.15">
      <c r="A225">
        <f>+予定価格!A213</f>
        <v>0</v>
      </c>
      <c r="B225" s="258">
        <f>ROUND(予定価格!B213*査定表!$B$437,-D225)+E225</f>
        <v>0</v>
      </c>
      <c r="C225" s="258"/>
      <c r="D225" s="45">
        <f t="shared" si="57"/>
        <v>4</v>
      </c>
      <c r="E225" s="46">
        <f t="shared" si="53"/>
        <v>0</v>
      </c>
      <c r="F225" s="258">
        <f>IF($F$12=0,0,IF(予定価格!$G$427=0,ROUND(予定価格!H213*(入力表!$F$12/予定価格!$H$431),-H225),ROUND((予定価格!G213*(入力表!$F$12-予定価格!$H$431)/予定価格!$G$431)+予定価格!H213,-H225)))+I225</f>
        <v>0</v>
      </c>
      <c r="G225" s="258"/>
      <c r="H225" s="47">
        <f t="shared" si="58"/>
        <v>4</v>
      </c>
      <c r="I225" s="48">
        <f t="shared" si="54"/>
        <v>0</v>
      </c>
      <c r="J225" s="116">
        <f t="shared" si="55"/>
        <v>0</v>
      </c>
      <c r="K225" s="19">
        <f t="shared" si="56"/>
        <v>0</v>
      </c>
      <c r="L225" s="50"/>
      <c r="M225" s="13">
        <f>ROUND(予定価格!B213*査定表!$B$437,-$F$14)</f>
        <v>0</v>
      </c>
      <c r="N225">
        <f>IF(M225=0,1,M225/予定価格!B213)</f>
        <v>1</v>
      </c>
      <c r="O225">
        <f t="shared" si="59"/>
        <v>21</v>
      </c>
      <c r="P225">
        <f t="shared" si="60"/>
        <v>0</v>
      </c>
      <c r="Q225">
        <f>IF(M225=0,0,M225/予定価格!B213)</f>
        <v>0</v>
      </c>
      <c r="R225">
        <f t="shared" si="61"/>
        <v>21</v>
      </c>
      <c r="S225">
        <f t="shared" si="62"/>
        <v>0</v>
      </c>
      <c r="T225" s="13">
        <f t="shared" si="63"/>
        <v>0</v>
      </c>
      <c r="U225" s="13" t="e">
        <f>IF(予定価格!$G$427=0,ROUND(予定価格!H213*(入力表!$F$12/予定価格!$H$431),-$F$14),ROUND((予定価格!G213*(入力表!$F$12-予定価格!$H$431)/予定価格!$G$431)+予定価格!H213,-$F$14))</f>
        <v>#DIV/0!</v>
      </c>
      <c r="V225" t="e">
        <f>IF(U225=0,1,IF(予定価格!O213=0,1,(U225-予定価格!P213)/予定価格!O213))</f>
        <v>#DIV/0!</v>
      </c>
      <c r="W225" t="e">
        <f t="shared" si="64"/>
        <v>#DIV/0!</v>
      </c>
      <c r="X225" t="e">
        <f t="shared" si="65"/>
        <v>#DIV/0!</v>
      </c>
      <c r="Y225" t="e">
        <f>IF(U225=0,0,IF(予定価格!G213=0,0,(U225-予定価格!H213)/予定価格!G213))</f>
        <v>#DIV/0!</v>
      </c>
      <c r="Z225" t="e">
        <f t="shared" si="66"/>
        <v>#DIV/0!</v>
      </c>
      <c r="AA225" t="e">
        <f t="shared" si="67"/>
        <v>#DIV/0!</v>
      </c>
      <c r="AB225" s="13" t="e">
        <f t="shared" si="68"/>
        <v>#DIV/0!</v>
      </c>
    </row>
    <row r="226" spans="1:28" hidden="1" x14ac:dyDescent="0.15">
      <c r="A226">
        <f>+予定価格!A214</f>
        <v>0</v>
      </c>
      <c r="B226" s="258">
        <f>ROUND(予定価格!B214*査定表!$B$437,-D226)+E226</f>
        <v>0</v>
      </c>
      <c r="C226" s="258"/>
      <c r="D226" s="45">
        <f t="shared" si="57"/>
        <v>4</v>
      </c>
      <c r="E226" s="46">
        <f t="shared" si="53"/>
        <v>0</v>
      </c>
      <c r="F226" s="258">
        <f>IF($F$12=0,0,IF(予定価格!$G$427=0,ROUND(予定価格!H214*(入力表!$F$12/予定価格!$H$431),-H226),ROUND((予定価格!G214*(入力表!$F$12-予定価格!$H$431)/予定価格!$G$431)+予定価格!H214,-H226)))+I226</f>
        <v>0</v>
      </c>
      <c r="G226" s="258"/>
      <c r="H226" s="47">
        <f t="shared" si="58"/>
        <v>4</v>
      </c>
      <c r="I226" s="48">
        <f t="shared" si="54"/>
        <v>0</v>
      </c>
      <c r="J226" s="116">
        <f t="shared" si="55"/>
        <v>0</v>
      </c>
      <c r="K226" s="19">
        <f t="shared" si="56"/>
        <v>0</v>
      </c>
      <c r="L226" s="50"/>
      <c r="M226" s="13">
        <f>ROUND(予定価格!B214*査定表!$B$437,-$F$14)</f>
        <v>0</v>
      </c>
      <c r="N226">
        <f>IF(M226=0,1,M226/予定価格!B214)</f>
        <v>1</v>
      </c>
      <c r="O226">
        <f t="shared" si="59"/>
        <v>21</v>
      </c>
      <c r="P226">
        <f t="shared" si="60"/>
        <v>0</v>
      </c>
      <c r="Q226">
        <f>IF(M226=0,0,M226/予定価格!B214)</f>
        <v>0</v>
      </c>
      <c r="R226">
        <f t="shared" si="61"/>
        <v>21</v>
      </c>
      <c r="S226">
        <f t="shared" si="62"/>
        <v>0</v>
      </c>
      <c r="T226" s="13">
        <f t="shared" si="63"/>
        <v>0</v>
      </c>
      <c r="U226" s="13" t="e">
        <f>IF(予定価格!$G$427=0,ROUND(予定価格!H214*(入力表!$F$12/予定価格!$H$431),-$F$14),ROUND((予定価格!G214*(入力表!$F$12-予定価格!$H$431)/予定価格!$G$431)+予定価格!H214,-$F$14))</f>
        <v>#DIV/0!</v>
      </c>
      <c r="V226" t="e">
        <f>IF(U226=0,1,IF(予定価格!O214=0,1,(U226-予定価格!P214)/予定価格!O214))</f>
        <v>#DIV/0!</v>
      </c>
      <c r="W226" t="e">
        <f t="shared" si="64"/>
        <v>#DIV/0!</v>
      </c>
      <c r="X226" t="e">
        <f t="shared" si="65"/>
        <v>#DIV/0!</v>
      </c>
      <c r="Y226" t="e">
        <f>IF(U226=0,0,IF(予定価格!G214=0,0,(U226-予定価格!H214)/予定価格!G214))</f>
        <v>#DIV/0!</v>
      </c>
      <c r="Z226" t="e">
        <f t="shared" si="66"/>
        <v>#DIV/0!</v>
      </c>
      <c r="AA226" t="e">
        <f t="shared" si="67"/>
        <v>#DIV/0!</v>
      </c>
      <c r="AB226" s="13" t="e">
        <f t="shared" si="68"/>
        <v>#DIV/0!</v>
      </c>
    </row>
    <row r="227" spans="1:28" hidden="1" x14ac:dyDescent="0.15">
      <c r="A227">
        <f>+予定価格!A215</f>
        <v>0</v>
      </c>
      <c r="B227" s="258">
        <f>ROUND(予定価格!B215*査定表!$B$437,-D227)+E227</f>
        <v>0</v>
      </c>
      <c r="C227" s="258"/>
      <c r="D227" s="45">
        <f t="shared" si="57"/>
        <v>4</v>
      </c>
      <c r="E227" s="46">
        <f t="shared" si="53"/>
        <v>0</v>
      </c>
      <c r="F227" s="258">
        <f>IF($F$12=0,0,IF(予定価格!$G$427=0,ROUND(予定価格!H215*(入力表!$F$12/予定価格!$H$431),-H227),ROUND((予定価格!G215*(入力表!$F$12-予定価格!$H$431)/予定価格!$G$431)+予定価格!H215,-H227)))+I227</f>
        <v>0</v>
      </c>
      <c r="G227" s="258"/>
      <c r="H227" s="47">
        <f t="shared" si="58"/>
        <v>4</v>
      </c>
      <c r="I227" s="48">
        <f t="shared" si="54"/>
        <v>0</v>
      </c>
      <c r="J227" s="116">
        <f t="shared" si="55"/>
        <v>0</v>
      </c>
      <c r="K227" s="19">
        <f t="shared" si="56"/>
        <v>0</v>
      </c>
      <c r="L227" s="50"/>
      <c r="M227" s="13">
        <f>ROUND(予定価格!B215*査定表!$B$437,-$F$14)</f>
        <v>0</v>
      </c>
      <c r="N227">
        <f>IF(M227=0,1,M227/予定価格!B215)</f>
        <v>1</v>
      </c>
      <c r="O227">
        <f t="shared" si="59"/>
        <v>21</v>
      </c>
      <c r="P227">
        <f t="shared" si="60"/>
        <v>0</v>
      </c>
      <c r="Q227">
        <f>IF(M227=0,0,M227/予定価格!B215)</f>
        <v>0</v>
      </c>
      <c r="R227">
        <f t="shared" si="61"/>
        <v>21</v>
      </c>
      <c r="S227">
        <f t="shared" si="62"/>
        <v>0</v>
      </c>
      <c r="T227" s="13">
        <f t="shared" si="63"/>
        <v>0</v>
      </c>
      <c r="U227" s="13" t="e">
        <f>IF(予定価格!$G$427=0,ROUND(予定価格!H215*(入力表!$F$12/予定価格!$H$431),-$F$14),ROUND((予定価格!G215*(入力表!$F$12-予定価格!$H$431)/予定価格!$G$431)+予定価格!H215,-$F$14))</f>
        <v>#DIV/0!</v>
      </c>
      <c r="V227" t="e">
        <f>IF(U227=0,1,IF(予定価格!O215=0,1,(U227-予定価格!P215)/予定価格!O215))</f>
        <v>#DIV/0!</v>
      </c>
      <c r="W227" t="e">
        <f t="shared" si="64"/>
        <v>#DIV/0!</v>
      </c>
      <c r="X227" t="e">
        <f t="shared" si="65"/>
        <v>#DIV/0!</v>
      </c>
      <c r="Y227" t="e">
        <f>IF(U227=0,0,IF(予定価格!G215=0,0,(U227-予定価格!H215)/予定価格!G215))</f>
        <v>#DIV/0!</v>
      </c>
      <c r="Z227" t="e">
        <f t="shared" si="66"/>
        <v>#DIV/0!</v>
      </c>
      <c r="AA227" t="e">
        <f t="shared" si="67"/>
        <v>#DIV/0!</v>
      </c>
      <c r="AB227" s="13" t="e">
        <f t="shared" si="68"/>
        <v>#DIV/0!</v>
      </c>
    </row>
    <row r="228" spans="1:28" hidden="1" x14ac:dyDescent="0.15">
      <c r="A228">
        <f>+予定価格!A216</f>
        <v>0</v>
      </c>
      <c r="B228" s="258">
        <f>ROUND(予定価格!B216*査定表!$B$437,-D228)+E228</f>
        <v>0</v>
      </c>
      <c r="C228" s="258"/>
      <c r="D228" s="45">
        <f t="shared" si="57"/>
        <v>4</v>
      </c>
      <c r="E228" s="46">
        <f t="shared" si="53"/>
        <v>0</v>
      </c>
      <c r="F228" s="258">
        <f>IF($F$12=0,0,IF(予定価格!$G$427=0,ROUND(予定価格!H216*(入力表!$F$12/予定価格!$H$431),-H228),ROUND((予定価格!G216*(入力表!$F$12-予定価格!$H$431)/予定価格!$G$431)+予定価格!H216,-H228)))+I228</f>
        <v>0</v>
      </c>
      <c r="G228" s="258"/>
      <c r="H228" s="47">
        <f t="shared" si="58"/>
        <v>4</v>
      </c>
      <c r="I228" s="48">
        <f t="shared" si="54"/>
        <v>0</v>
      </c>
      <c r="J228" s="116">
        <f t="shared" si="55"/>
        <v>0</v>
      </c>
      <c r="K228" s="19">
        <f t="shared" si="56"/>
        <v>0</v>
      </c>
      <c r="L228" s="50"/>
      <c r="M228" s="13">
        <f>ROUND(予定価格!B216*査定表!$B$437,-$F$14)</f>
        <v>0</v>
      </c>
      <c r="N228">
        <f>IF(M228=0,1,M228/予定価格!B216)</f>
        <v>1</v>
      </c>
      <c r="O228">
        <f t="shared" si="59"/>
        <v>21</v>
      </c>
      <c r="P228">
        <f t="shared" si="60"/>
        <v>0</v>
      </c>
      <c r="Q228">
        <f>IF(M228=0,0,M228/予定価格!B216)</f>
        <v>0</v>
      </c>
      <c r="R228">
        <f t="shared" si="61"/>
        <v>21</v>
      </c>
      <c r="S228">
        <f t="shared" si="62"/>
        <v>0</v>
      </c>
      <c r="T228" s="13">
        <f t="shared" si="63"/>
        <v>0</v>
      </c>
      <c r="U228" s="13" t="e">
        <f>IF(予定価格!$G$427=0,ROUND(予定価格!H216*(入力表!$F$12/予定価格!$H$431),-$F$14),ROUND((予定価格!G216*(入力表!$F$12-予定価格!$H$431)/予定価格!$G$431)+予定価格!H216,-$F$14))</f>
        <v>#DIV/0!</v>
      </c>
      <c r="V228" t="e">
        <f>IF(U228=0,1,IF(予定価格!O216=0,1,(U228-予定価格!P216)/予定価格!O216))</f>
        <v>#DIV/0!</v>
      </c>
      <c r="W228" t="e">
        <f t="shared" si="64"/>
        <v>#DIV/0!</v>
      </c>
      <c r="X228" t="e">
        <f t="shared" si="65"/>
        <v>#DIV/0!</v>
      </c>
      <c r="Y228" t="e">
        <f>IF(U228=0,0,IF(予定価格!G216=0,0,(U228-予定価格!H216)/予定価格!G216))</f>
        <v>#DIV/0!</v>
      </c>
      <c r="Z228" t="e">
        <f t="shared" si="66"/>
        <v>#DIV/0!</v>
      </c>
      <c r="AA228" t="e">
        <f t="shared" si="67"/>
        <v>#DIV/0!</v>
      </c>
      <c r="AB228" s="13" t="e">
        <f t="shared" si="68"/>
        <v>#DIV/0!</v>
      </c>
    </row>
    <row r="229" spans="1:28" hidden="1" x14ac:dyDescent="0.15">
      <c r="A229">
        <f>+予定価格!A217</f>
        <v>0</v>
      </c>
      <c r="B229" s="258">
        <f>ROUND(予定価格!B217*査定表!$B$437,-D229)+E229</f>
        <v>0</v>
      </c>
      <c r="C229" s="258"/>
      <c r="D229" s="45">
        <f t="shared" si="57"/>
        <v>4</v>
      </c>
      <c r="E229" s="46">
        <f t="shared" si="53"/>
        <v>0</v>
      </c>
      <c r="F229" s="258">
        <f>IF($F$12=0,0,IF(予定価格!$G$427=0,ROUND(予定価格!H217*(入力表!$F$12/予定価格!$H$431),-H229),ROUND((予定価格!G217*(入力表!$F$12-予定価格!$H$431)/予定価格!$G$431)+予定価格!H217,-H229)))+I229</f>
        <v>0</v>
      </c>
      <c r="G229" s="258"/>
      <c r="H229" s="47">
        <f t="shared" si="58"/>
        <v>4</v>
      </c>
      <c r="I229" s="48">
        <f t="shared" si="54"/>
        <v>0</v>
      </c>
      <c r="J229" s="116">
        <f t="shared" si="55"/>
        <v>0</v>
      </c>
      <c r="K229" s="19">
        <f t="shared" si="56"/>
        <v>0</v>
      </c>
      <c r="L229" s="50"/>
      <c r="M229" s="13">
        <f>ROUND(予定価格!B217*査定表!$B$437,-$F$14)</f>
        <v>0</v>
      </c>
      <c r="N229">
        <f>IF(M229=0,1,M229/予定価格!B217)</f>
        <v>1</v>
      </c>
      <c r="O229">
        <f t="shared" si="59"/>
        <v>21</v>
      </c>
      <c r="P229">
        <f t="shared" si="60"/>
        <v>0</v>
      </c>
      <c r="Q229">
        <f>IF(M229=0,0,M229/予定価格!B217)</f>
        <v>0</v>
      </c>
      <c r="R229">
        <f t="shared" si="61"/>
        <v>21</v>
      </c>
      <c r="S229">
        <f t="shared" si="62"/>
        <v>0</v>
      </c>
      <c r="T229" s="13">
        <f t="shared" si="63"/>
        <v>0</v>
      </c>
      <c r="U229" s="13" t="e">
        <f>IF(予定価格!$G$427=0,ROUND(予定価格!H217*(入力表!$F$12/予定価格!$H$431),-$F$14),ROUND((予定価格!G217*(入力表!$F$12-予定価格!$H$431)/予定価格!$G$431)+予定価格!H217,-$F$14))</f>
        <v>#DIV/0!</v>
      </c>
      <c r="V229" t="e">
        <f>IF(U229=0,1,IF(予定価格!O217=0,1,(U229-予定価格!P217)/予定価格!O217))</f>
        <v>#DIV/0!</v>
      </c>
      <c r="W229" t="e">
        <f t="shared" si="64"/>
        <v>#DIV/0!</v>
      </c>
      <c r="X229" t="e">
        <f t="shared" si="65"/>
        <v>#DIV/0!</v>
      </c>
      <c r="Y229" t="e">
        <f>IF(U229=0,0,IF(予定価格!G217=0,0,(U229-予定価格!H217)/予定価格!G217))</f>
        <v>#DIV/0!</v>
      </c>
      <c r="Z229" t="e">
        <f t="shared" si="66"/>
        <v>#DIV/0!</v>
      </c>
      <c r="AA229" t="e">
        <f t="shared" si="67"/>
        <v>#DIV/0!</v>
      </c>
      <c r="AB229" s="13" t="e">
        <f t="shared" si="68"/>
        <v>#DIV/0!</v>
      </c>
    </row>
    <row r="230" spans="1:28" hidden="1" x14ac:dyDescent="0.15">
      <c r="A230">
        <f>+予定価格!A218</f>
        <v>0</v>
      </c>
      <c r="B230" s="258">
        <f>ROUND(予定価格!B218*査定表!$B$437,-D230)+E230</f>
        <v>0</v>
      </c>
      <c r="C230" s="258"/>
      <c r="D230" s="45">
        <f t="shared" si="57"/>
        <v>4</v>
      </c>
      <c r="E230" s="46">
        <f t="shared" si="53"/>
        <v>0</v>
      </c>
      <c r="F230" s="258">
        <f>IF($F$12=0,0,IF(予定価格!$G$427=0,ROUND(予定価格!H218*(入力表!$F$12/予定価格!$H$431),-H230),ROUND((予定価格!G218*(入力表!$F$12-予定価格!$H$431)/予定価格!$G$431)+予定価格!H218,-H230)))+I230</f>
        <v>0</v>
      </c>
      <c r="G230" s="258"/>
      <c r="H230" s="47">
        <f t="shared" si="58"/>
        <v>4</v>
      </c>
      <c r="I230" s="48">
        <f t="shared" si="54"/>
        <v>0</v>
      </c>
      <c r="J230" s="116">
        <f t="shared" si="55"/>
        <v>0</v>
      </c>
      <c r="K230" s="19">
        <f t="shared" si="56"/>
        <v>0</v>
      </c>
      <c r="L230" s="50"/>
      <c r="M230" s="13">
        <f>ROUND(予定価格!B218*査定表!$B$437,-$F$14)</f>
        <v>0</v>
      </c>
      <c r="N230">
        <f>IF(M230=0,1,M230/予定価格!B218)</f>
        <v>1</v>
      </c>
      <c r="O230">
        <f t="shared" si="59"/>
        <v>21</v>
      </c>
      <c r="P230">
        <f t="shared" si="60"/>
        <v>0</v>
      </c>
      <c r="Q230">
        <f>IF(M230=0,0,M230/予定価格!B218)</f>
        <v>0</v>
      </c>
      <c r="R230">
        <f t="shared" si="61"/>
        <v>21</v>
      </c>
      <c r="S230">
        <f t="shared" si="62"/>
        <v>0</v>
      </c>
      <c r="T230" s="13">
        <f t="shared" si="63"/>
        <v>0</v>
      </c>
      <c r="U230" s="13" t="e">
        <f>IF(予定価格!$G$427=0,ROUND(予定価格!H218*(入力表!$F$12/予定価格!$H$431),-$F$14),ROUND((予定価格!G218*(入力表!$F$12-予定価格!$H$431)/予定価格!$G$431)+予定価格!H218,-$F$14))</f>
        <v>#DIV/0!</v>
      </c>
      <c r="V230" t="e">
        <f>IF(U230=0,1,IF(予定価格!O218=0,1,(U230-予定価格!P218)/予定価格!O218))</f>
        <v>#DIV/0!</v>
      </c>
      <c r="W230" t="e">
        <f t="shared" si="64"/>
        <v>#DIV/0!</v>
      </c>
      <c r="X230" t="e">
        <f t="shared" si="65"/>
        <v>#DIV/0!</v>
      </c>
      <c r="Y230" t="e">
        <f>IF(U230=0,0,IF(予定価格!G218=0,0,(U230-予定価格!H218)/予定価格!G218))</f>
        <v>#DIV/0!</v>
      </c>
      <c r="Z230" t="e">
        <f t="shared" si="66"/>
        <v>#DIV/0!</v>
      </c>
      <c r="AA230" t="e">
        <f t="shared" si="67"/>
        <v>#DIV/0!</v>
      </c>
      <c r="AB230" s="13" t="e">
        <f t="shared" si="68"/>
        <v>#DIV/0!</v>
      </c>
    </row>
    <row r="231" spans="1:28" hidden="1" x14ac:dyDescent="0.15">
      <c r="A231">
        <f>+予定価格!A219</f>
        <v>0</v>
      </c>
      <c r="B231" s="258">
        <f>ROUND(予定価格!B219*査定表!$B$437,-D231)+E231</f>
        <v>0</v>
      </c>
      <c r="C231" s="258"/>
      <c r="D231" s="45">
        <f t="shared" si="57"/>
        <v>4</v>
      </c>
      <c r="E231" s="46">
        <f t="shared" si="53"/>
        <v>0</v>
      </c>
      <c r="F231" s="258">
        <f>IF($F$12=0,0,IF(予定価格!$G$427=0,ROUND(予定価格!H219*(入力表!$F$12/予定価格!$H$431),-H231),ROUND((予定価格!G219*(入力表!$F$12-予定価格!$H$431)/予定価格!$G$431)+予定価格!H219,-H231)))+I231</f>
        <v>0</v>
      </c>
      <c r="G231" s="258"/>
      <c r="H231" s="47">
        <f t="shared" si="58"/>
        <v>4</v>
      </c>
      <c r="I231" s="48">
        <f t="shared" si="54"/>
        <v>0</v>
      </c>
      <c r="J231" s="116">
        <f t="shared" si="55"/>
        <v>0</v>
      </c>
      <c r="K231" s="19">
        <f t="shared" si="56"/>
        <v>0</v>
      </c>
      <c r="L231" s="50"/>
      <c r="M231" s="13">
        <f>ROUND(予定価格!B219*査定表!$B$437,-$F$14)</f>
        <v>0</v>
      </c>
      <c r="N231">
        <f>IF(M231=0,1,M231/予定価格!B219)</f>
        <v>1</v>
      </c>
      <c r="O231">
        <f t="shared" si="59"/>
        <v>21</v>
      </c>
      <c r="P231">
        <f t="shared" si="60"/>
        <v>0</v>
      </c>
      <c r="Q231">
        <f>IF(M231=0,0,M231/予定価格!B219)</f>
        <v>0</v>
      </c>
      <c r="R231">
        <f t="shared" si="61"/>
        <v>21</v>
      </c>
      <c r="S231">
        <f t="shared" si="62"/>
        <v>0</v>
      </c>
      <c r="T231" s="13">
        <f t="shared" si="63"/>
        <v>0</v>
      </c>
      <c r="U231" s="13" t="e">
        <f>IF(予定価格!$G$427=0,ROUND(予定価格!H219*(入力表!$F$12/予定価格!$H$431),-$F$14),ROUND((予定価格!G219*(入力表!$F$12-予定価格!$H$431)/予定価格!$G$431)+予定価格!H219,-$F$14))</f>
        <v>#DIV/0!</v>
      </c>
      <c r="V231" t="e">
        <f>IF(U231=0,1,IF(予定価格!O219=0,1,(U231-予定価格!P219)/予定価格!O219))</f>
        <v>#DIV/0!</v>
      </c>
      <c r="W231" t="e">
        <f t="shared" si="64"/>
        <v>#DIV/0!</v>
      </c>
      <c r="X231" t="e">
        <f t="shared" si="65"/>
        <v>#DIV/0!</v>
      </c>
      <c r="Y231" t="e">
        <f>IF(U231=0,0,IF(予定価格!G219=0,0,(U231-予定価格!H219)/予定価格!G219))</f>
        <v>#DIV/0!</v>
      </c>
      <c r="Z231" t="e">
        <f t="shared" si="66"/>
        <v>#DIV/0!</v>
      </c>
      <c r="AA231" t="e">
        <f t="shared" si="67"/>
        <v>#DIV/0!</v>
      </c>
      <c r="AB231" s="13" t="e">
        <f t="shared" si="68"/>
        <v>#DIV/0!</v>
      </c>
    </row>
    <row r="232" spans="1:28" hidden="1" x14ac:dyDescent="0.15">
      <c r="A232">
        <f>+予定価格!A220</f>
        <v>0</v>
      </c>
      <c r="B232" s="258">
        <f>ROUND(予定価格!B220*査定表!$B$437,-D232)+E232</f>
        <v>0</v>
      </c>
      <c r="C232" s="258"/>
      <c r="D232" s="45">
        <f t="shared" si="57"/>
        <v>4</v>
      </c>
      <c r="E232" s="46">
        <f t="shared" si="53"/>
        <v>0</v>
      </c>
      <c r="F232" s="258">
        <f>IF($F$12=0,0,IF(予定価格!$G$427=0,ROUND(予定価格!H220*(入力表!$F$12/予定価格!$H$431),-H232),ROUND((予定価格!G220*(入力表!$F$12-予定価格!$H$431)/予定価格!$G$431)+予定価格!H220,-H232)))+I232</f>
        <v>0</v>
      </c>
      <c r="G232" s="258"/>
      <c r="H232" s="47">
        <f t="shared" si="58"/>
        <v>4</v>
      </c>
      <c r="I232" s="48">
        <f t="shared" si="54"/>
        <v>0</v>
      </c>
      <c r="J232" s="116">
        <f t="shared" si="55"/>
        <v>0</v>
      </c>
      <c r="K232" s="19">
        <f t="shared" si="56"/>
        <v>0</v>
      </c>
      <c r="L232" s="50"/>
      <c r="M232" s="13">
        <f>ROUND(予定価格!B220*査定表!$B$437,-$F$14)</f>
        <v>0</v>
      </c>
      <c r="N232">
        <f>IF(M232=0,1,M232/予定価格!B220)</f>
        <v>1</v>
      </c>
      <c r="O232">
        <f t="shared" si="59"/>
        <v>21</v>
      </c>
      <c r="P232">
        <f t="shared" si="60"/>
        <v>0</v>
      </c>
      <c r="Q232">
        <f>IF(M232=0,0,M232/予定価格!B220)</f>
        <v>0</v>
      </c>
      <c r="R232">
        <f t="shared" si="61"/>
        <v>21</v>
      </c>
      <c r="S232">
        <f t="shared" si="62"/>
        <v>0</v>
      </c>
      <c r="T232" s="13">
        <f t="shared" si="63"/>
        <v>0</v>
      </c>
      <c r="U232" s="13" t="e">
        <f>IF(予定価格!$G$427=0,ROUND(予定価格!H220*(入力表!$F$12/予定価格!$H$431),-$F$14),ROUND((予定価格!G220*(入力表!$F$12-予定価格!$H$431)/予定価格!$G$431)+予定価格!H220,-$F$14))</f>
        <v>#DIV/0!</v>
      </c>
      <c r="V232" t="e">
        <f>IF(U232=0,1,IF(予定価格!O220=0,1,(U232-予定価格!P220)/予定価格!O220))</f>
        <v>#DIV/0!</v>
      </c>
      <c r="W232" t="e">
        <f t="shared" si="64"/>
        <v>#DIV/0!</v>
      </c>
      <c r="X232" t="e">
        <f t="shared" si="65"/>
        <v>#DIV/0!</v>
      </c>
      <c r="Y232" t="e">
        <f>IF(U232=0,0,IF(予定価格!G220=0,0,(U232-予定価格!H220)/予定価格!G220))</f>
        <v>#DIV/0!</v>
      </c>
      <c r="Z232" t="e">
        <f t="shared" si="66"/>
        <v>#DIV/0!</v>
      </c>
      <c r="AA232" t="e">
        <f t="shared" si="67"/>
        <v>#DIV/0!</v>
      </c>
      <c r="AB232" s="13" t="e">
        <f t="shared" si="68"/>
        <v>#DIV/0!</v>
      </c>
    </row>
    <row r="233" spans="1:28" hidden="1" x14ac:dyDescent="0.15">
      <c r="A233">
        <f>+予定価格!A221</f>
        <v>0</v>
      </c>
      <c r="B233" s="258">
        <f>ROUND(予定価格!B221*査定表!$B$437,-D233)+E233</f>
        <v>0</v>
      </c>
      <c r="C233" s="258"/>
      <c r="D233" s="45">
        <f t="shared" si="57"/>
        <v>4</v>
      </c>
      <c r="E233" s="46">
        <f t="shared" si="53"/>
        <v>0</v>
      </c>
      <c r="F233" s="258">
        <f>IF($F$12=0,0,IF(予定価格!$G$427=0,ROUND(予定価格!H221*(入力表!$F$12/予定価格!$H$431),-H233),ROUND((予定価格!G221*(入力表!$F$12-予定価格!$H$431)/予定価格!$G$431)+予定価格!H221,-H233)))+I233</f>
        <v>0</v>
      </c>
      <c r="G233" s="258"/>
      <c r="H233" s="47">
        <f t="shared" si="58"/>
        <v>4</v>
      </c>
      <c r="I233" s="48">
        <f t="shared" si="54"/>
        <v>0</v>
      </c>
      <c r="J233" s="116">
        <f t="shared" si="55"/>
        <v>0</v>
      </c>
      <c r="K233" s="19">
        <f t="shared" si="56"/>
        <v>0</v>
      </c>
      <c r="L233" s="50"/>
      <c r="M233" s="13">
        <f>ROUND(予定価格!B221*査定表!$B$437,-$F$14)</f>
        <v>0</v>
      </c>
      <c r="N233">
        <f>IF(M233=0,1,M233/予定価格!B221)</f>
        <v>1</v>
      </c>
      <c r="O233">
        <f t="shared" si="59"/>
        <v>21</v>
      </c>
      <c r="P233">
        <f t="shared" si="60"/>
        <v>0</v>
      </c>
      <c r="Q233">
        <f>IF(M233=0,0,M233/予定価格!B221)</f>
        <v>0</v>
      </c>
      <c r="R233">
        <f t="shared" si="61"/>
        <v>21</v>
      </c>
      <c r="S233">
        <f t="shared" si="62"/>
        <v>0</v>
      </c>
      <c r="T233" s="13">
        <f t="shared" si="63"/>
        <v>0</v>
      </c>
      <c r="U233" s="13" t="e">
        <f>IF(予定価格!$G$427=0,ROUND(予定価格!H221*(入力表!$F$12/予定価格!$H$431),-$F$14),ROUND((予定価格!G221*(入力表!$F$12-予定価格!$H$431)/予定価格!$G$431)+予定価格!H221,-$F$14))</f>
        <v>#DIV/0!</v>
      </c>
      <c r="V233" t="e">
        <f>IF(U233=0,1,IF(予定価格!O221=0,1,(U233-予定価格!P221)/予定価格!O221))</f>
        <v>#DIV/0!</v>
      </c>
      <c r="W233" t="e">
        <f t="shared" si="64"/>
        <v>#DIV/0!</v>
      </c>
      <c r="X233" t="e">
        <f t="shared" si="65"/>
        <v>#DIV/0!</v>
      </c>
      <c r="Y233" t="e">
        <f>IF(U233=0,0,IF(予定価格!G221=0,0,(U233-予定価格!H221)/予定価格!G221))</f>
        <v>#DIV/0!</v>
      </c>
      <c r="Z233" t="e">
        <f t="shared" si="66"/>
        <v>#DIV/0!</v>
      </c>
      <c r="AA233" t="e">
        <f t="shared" si="67"/>
        <v>#DIV/0!</v>
      </c>
      <c r="AB233" s="13" t="e">
        <f t="shared" si="68"/>
        <v>#DIV/0!</v>
      </c>
    </row>
    <row r="234" spans="1:28" hidden="1" x14ac:dyDescent="0.15">
      <c r="A234">
        <f>+予定価格!A222</f>
        <v>0</v>
      </c>
      <c r="B234" s="258">
        <f>ROUND(予定価格!B222*査定表!$B$437,-D234)+E234</f>
        <v>0</v>
      </c>
      <c r="C234" s="258"/>
      <c r="D234" s="45">
        <f t="shared" si="57"/>
        <v>4</v>
      </c>
      <c r="E234" s="46">
        <f t="shared" si="53"/>
        <v>0</v>
      </c>
      <c r="F234" s="258">
        <f>IF($F$12=0,0,IF(予定価格!$G$427=0,ROUND(予定価格!H222*(入力表!$F$12/予定価格!$H$431),-H234),ROUND((予定価格!G222*(入力表!$F$12-予定価格!$H$431)/予定価格!$G$431)+予定価格!H222,-H234)))+I234</f>
        <v>0</v>
      </c>
      <c r="G234" s="258"/>
      <c r="H234" s="47">
        <f t="shared" si="58"/>
        <v>4</v>
      </c>
      <c r="I234" s="48">
        <f t="shared" si="54"/>
        <v>0</v>
      </c>
      <c r="J234" s="116">
        <f t="shared" si="55"/>
        <v>0</v>
      </c>
      <c r="K234" s="19">
        <f t="shared" si="56"/>
        <v>0</v>
      </c>
      <c r="L234" s="50"/>
      <c r="M234" s="13">
        <f>ROUND(予定価格!B222*査定表!$B$437,-$F$14)</f>
        <v>0</v>
      </c>
      <c r="N234">
        <f>IF(M234=0,1,M234/予定価格!B222)</f>
        <v>1</v>
      </c>
      <c r="O234">
        <f t="shared" si="59"/>
        <v>21</v>
      </c>
      <c r="P234">
        <f t="shared" si="60"/>
        <v>0</v>
      </c>
      <c r="Q234">
        <f>IF(M234=0,0,M234/予定価格!B222)</f>
        <v>0</v>
      </c>
      <c r="R234">
        <f t="shared" si="61"/>
        <v>21</v>
      </c>
      <c r="S234">
        <f t="shared" si="62"/>
        <v>0</v>
      </c>
      <c r="T234" s="13">
        <f t="shared" si="63"/>
        <v>0</v>
      </c>
      <c r="U234" s="13" t="e">
        <f>IF(予定価格!$G$427=0,ROUND(予定価格!H222*(入力表!$F$12/予定価格!$H$431),-$F$14),ROUND((予定価格!G222*(入力表!$F$12-予定価格!$H$431)/予定価格!$G$431)+予定価格!H222,-$F$14))</f>
        <v>#DIV/0!</v>
      </c>
      <c r="V234" t="e">
        <f>IF(U234=0,1,IF(予定価格!O222=0,1,(U234-予定価格!P222)/予定価格!O222))</f>
        <v>#DIV/0!</v>
      </c>
      <c r="W234" t="e">
        <f t="shared" si="64"/>
        <v>#DIV/0!</v>
      </c>
      <c r="X234" t="e">
        <f t="shared" si="65"/>
        <v>#DIV/0!</v>
      </c>
      <c r="Y234" t="e">
        <f>IF(U234=0,0,IF(予定価格!G222=0,0,(U234-予定価格!H222)/予定価格!G222))</f>
        <v>#DIV/0!</v>
      </c>
      <c r="Z234" t="e">
        <f t="shared" si="66"/>
        <v>#DIV/0!</v>
      </c>
      <c r="AA234" t="e">
        <f t="shared" si="67"/>
        <v>#DIV/0!</v>
      </c>
      <c r="AB234" s="13" t="e">
        <f t="shared" si="68"/>
        <v>#DIV/0!</v>
      </c>
    </row>
    <row r="235" spans="1:28" hidden="1" x14ac:dyDescent="0.15">
      <c r="A235">
        <f>+予定価格!A223</f>
        <v>0</v>
      </c>
      <c r="B235" s="258">
        <f>ROUND(予定価格!B223*査定表!$B$437,-D235)+E235</f>
        <v>0</v>
      </c>
      <c r="C235" s="258"/>
      <c r="D235" s="45">
        <f t="shared" si="57"/>
        <v>4</v>
      </c>
      <c r="E235" s="46">
        <f t="shared" si="53"/>
        <v>0</v>
      </c>
      <c r="F235" s="258">
        <f>IF($F$12=0,0,IF(予定価格!$G$427=0,ROUND(予定価格!H223*(入力表!$F$12/予定価格!$H$431),-H235),ROUND((予定価格!G223*(入力表!$F$12-予定価格!$H$431)/予定価格!$G$431)+予定価格!H223,-H235)))+I235</f>
        <v>0</v>
      </c>
      <c r="G235" s="258"/>
      <c r="H235" s="47">
        <f t="shared" si="58"/>
        <v>4</v>
      </c>
      <c r="I235" s="48">
        <f t="shared" si="54"/>
        <v>0</v>
      </c>
      <c r="J235" s="116">
        <f t="shared" si="55"/>
        <v>0</v>
      </c>
      <c r="K235" s="19">
        <f t="shared" si="56"/>
        <v>0</v>
      </c>
      <c r="L235" s="50"/>
      <c r="M235" s="13">
        <f>ROUND(予定価格!B223*査定表!$B$437,-$F$14)</f>
        <v>0</v>
      </c>
      <c r="N235">
        <f>IF(M235=0,1,M235/予定価格!B223)</f>
        <v>1</v>
      </c>
      <c r="O235">
        <f t="shared" si="59"/>
        <v>21</v>
      </c>
      <c r="P235">
        <f t="shared" si="60"/>
        <v>0</v>
      </c>
      <c r="Q235">
        <f>IF(M235=0,0,M235/予定価格!B223)</f>
        <v>0</v>
      </c>
      <c r="R235">
        <f t="shared" si="61"/>
        <v>21</v>
      </c>
      <c r="S235">
        <f t="shared" si="62"/>
        <v>0</v>
      </c>
      <c r="T235" s="13">
        <f t="shared" si="63"/>
        <v>0</v>
      </c>
      <c r="U235" s="13" t="e">
        <f>IF(予定価格!$G$427=0,ROUND(予定価格!H223*(入力表!$F$12/予定価格!$H$431),-$F$14),ROUND((予定価格!G223*(入力表!$F$12-予定価格!$H$431)/予定価格!$G$431)+予定価格!H223,-$F$14))</f>
        <v>#DIV/0!</v>
      </c>
      <c r="V235" t="e">
        <f>IF(U235=0,1,IF(予定価格!O223=0,1,(U235-予定価格!P223)/予定価格!O223))</f>
        <v>#DIV/0!</v>
      </c>
      <c r="W235" t="e">
        <f t="shared" si="64"/>
        <v>#DIV/0!</v>
      </c>
      <c r="X235" t="e">
        <f t="shared" si="65"/>
        <v>#DIV/0!</v>
      </c>
      <c r="Y235" t="e">
        <f>IF(U235=0,0,IF(予定価格!G223=0,0,(U235-予定価格!H223)/予定価格!G223))</f>
        <v>#DIV/0!</v>
      </c>
      <c r="Z235" t="e">
        <f t="shared" si="66"/>
        <v>#DIV/0!</v>
      </c>
      <c r="AA235" t="e">
        <f t="shared" si="67"/>
        <v>#DIV/0!</v>
      </c>
      <c r="AB235" s="13" t="e">
        <f t="shared" si="68"/>
        <v>#DIV/0!</v>
      </c>
    </row>
    <row r="236" spans="1:28" hidden="1" x14ac:dyDescent="0.15">
      <c r="A236">
        <f>+予定価格!A224</f>
        <v>0</v>
      </c>
      <c r="B236" s="258">
        <f>ROUND(予定価格!B224*査定表!$B$437,-D236)+E236</f>
        <v>0</v>
      </c>
      <c r="C236" s="258"/>
      <c r="D236" s="45">
        <f t="shared" si="57"/>
        <v>4</v>
      </c>
      <c r="E236" s="46">
        <f t="shared" si="53"/>
        <v>0</v>
      </c>
      <c r="F236" s="258">
        <f>IF($F$12=0,0,IF(予定価格!$G$427=0,ROUND(予定価格!H224*(入力表!$F$12/予定価格!$H$431),-H236),ROUND((予定価格!G224*(入力表!$F$12-予定価格!$H$431)/予定価格!$G$431)+予定価格!H224,-H236)))+I236</f>
        <v>0</v>
      </c>
      <c r="G236" s="258"/>
      <c r="H236" s="47">
        <f t="shared" si="58"/>
        <v>4</v>
      </c>
      <c r="I236" s="48">
        <f t="shared" si="54"/>
        <v>0</v>
      </c>
      <c r="J236" s="116">
        <f t="shared" si="55"/>
        <v>0</v>
      </c>
      <c r="K236" s="19">
        <f t="shared" si="56"/>
        <v>0</v>
      </c>
      <c r="L236" s="50"/>
      <c r="M236" s="13">
        <f>ROUND(予定価格!B224*査定表!$B$437,-$F$14)</f>
        <v>0</v>
      </c>
      <c r="N236">
        <f>IF(M236=0,1,M236/予定価格!B224)</f>
        <v>1</v>
      </c>
      <c r="O236">
        <f t="shared" si="59"/>
        <v>21</v>
      </c>
      <c r="P236">
        <f t="shared" si="60"/>
        <v>0</v>
      </c>
      <c r="Q236">
        <f>IF(M236=0,0,M236/予定価格!B224)</f>
        <v>0</v>
      </c>
      <c r="R236">
        <f t="shared" si="61"/>
        <v>21</v>
      </c>
      <c r="S236">
        <f t="shared" si="62"/>
        <v>0</v>
      </c>
      <c r="T236" s="13">
        <f t="shared" si="63"/>
        <v>0</v>
      </c>
      <c r="U236" s="13" t="e">
        <f>IF(予定価格!$G$427=0,ROUND(予定価格!H224*(入力表!$F$12/予定価格!$H$431),-$F$14),ROUND((予定価格!G224*(入力表!$F$12-予定価格!$H$431)/予定価格!$G$431)+予定価格!H224,-$F$14))</f>
        <v>#DIV/0!</v>
      </c>
      <c r="V236" t="e">
        <f>IF(U236=0,1,IF(予定価格!O224=0,1,(U236-予定価格!P224)/予定価格!O224))</f>
        <v>#DIV/0!</v>
      </c>
      <c r="W236" t="e">
        <f t="shared" si="64"/>
        <v>#DIV/0!</v>
      </c>
      <c r="X236" t="e">
        <f t="shared" si="65"/>
        <v>#DIV/0!</v>
      </c>
      <c r="Y236" t="e">
        <f>IF(U236=0,0,IF(予定価格!G224=0,0,(U236-予定価格!H224)/予定価格!G224))</f>
        <v>#DIV/0!</v>
      </c>
      <c r="Z236" t="e">
        <f t="shared" si="66"/>
        <v>#DIV/0!</v>
      </c>
      <c r="AA236" t="e">
        <f t="shared" si="67"/>
        <v>#DIV/0!</v>
      </c>
      <c r="AB236" s="13" t="e">
        <f t="shared" si="68"/>
        <v>#DIV/0!</v>
      </c>
    </row>
    <row r="237" spans="1:28" hidden="1" x14ac:dyDescent="0.15">
      <c r="A237">
        <f>+予定価格!A225</f>
        <v>0</v>
      </c>
      <c r="B237" s="258">
        <f>ROUND(予定価格!B225*査定表!$B$437,-D237)+E237</f>
        <v>0</v>
      </c>
      <c r="C237" s="258"/>
      <c r="D237" s="45">
        <f t="shared" si="57"/>
        <v>4</v>
      </c>
      <c r="E237" s="46">
        <f t="shared" si="53"/>
        <v>0</v>
      </c>
      <c r="F237" s="258">
        <f>IF($F$12=0,0,IF(予定価格!$G$427=0,ROUND(予定価格!H225*(入力表!$F$12/予定価格!$H$431),-H237),ROUND((予定価格!G225*(入力表!$F$12-予定価格!$H$431)/予定価格!$G$431)+予定価格!H225,-H237)))+I237</f>
        <v>0</v>
      </c>
      <c r="G237" s="258"/>
      <c r="H237" s="47">
        <f t="shared" si="58"/>
        <v>4</v>
      </c>
      <c r="I237" s="48">
        <f t="shared" si="54"/>
        <v>0</v>
      </c>
      <c r="J237" s="116">
        <f t="shared" si="55"/>
        <v>0</v>
      </c>
      <c r="K237" s="19">
        <f t="shared" si="56"/>
        <v>0</v>
      </c>
      <c r="L237" s="50"/>
      <c r="M237" s="13">
        <f>ROUND(予定価格!B225*査定表!$B$437,-$F$14)</f>
        <v>0</v>
      </c>
      <c r="N237">
        <f>IF(M237=0,1,M237/予定価格!B225)</f>
        <v>1</v>
      </c>
      <c r="O237">
        <f t="shared" si="59"/>
        <v>21</v>
      </c>
      <c r="P237">
        <f t="shared" si="60"/>
        <v>0</v>
      </c>
      <c r="Q237">
        <f>IF(M237=0,0,M237/予定価格!B225)</f>
        <v>0</v>
      </c>
      <c r="R237">
        <f t="shared" si="61"/>
        <v>21</v>
      </c>
      <c r="S237">
        <f t="shared" si="62"/>
        <v>0</v>
      </c>
      <c r="T237" s="13">
        <f t="shared" si="63"/>
        <v>0</v>
      </c>
      <c r="U237" s="13" t="e">
        <f>IF(予定価格!$G$427=0,ROUND(予定価格!H225*(入力表!$F$12/予定価格!$H$431),-$F$14),ROUND((予定価格!G225*(入力表!$F$12-予定価格!$H$431)/予定価格!$G$431)+予定価格!H225,-$F$14))</f>
        <v>#DIV/0!</v>
      </c>
      <c r="V237" t="e">
        <f>IF(U237=0,1,IF(予定価格!O225=0,1,(U237-予定価格!P225)/予定価格!O225))</f>
        <v>#DIV/0!</v>
      </c>
      <c r="W237" t="e">
        <f t="shared" si="64"/>
        <v>#DIV/0!</v>
      </c>
      <c r="X237" t="e">
        <f t="shared" si="65"/>
        <v>#DIV/0!</v>
      </c>
      <c r="Y237" t="e">
        <f>IF(U237=0,0,IF(予定価格!G225=0,0,(U237-予定価格!H225)/予定価格!G225))</f>
        <v>#DIV/0!</v>
      </c>
      <c r="Z237" t="e">
        <f t="shared" si="66"/>
        <v>#DIV/0!</v>
      </c>
      <c r="AA237" t="e">
        <f t="shared" si="67"/>
        <v>#DIV/0!</v>
      </c>
      <c r="AB237" s="13" t="e">
        <f t="shared" si="68"/>
        <v>#DIV/0!</v>
      </c>
    </row>
    <row r="238" spans="1:28" hidden="1" x14ac:dyDescent="0.15">
      <c r="A238">
        <f>+予定価格!A226</f>
        <v>0</v>
      </c>
      <c r="B238" s="258">
        <f>ROUND(予定価格!B226*査定表!$B$437,-D238)+E238</f>
        <v>0</v>
      </c>
      <c r="C238" s="258"/>
      <c r="D238" s="45">
        <f t="shared" si="57"/>
        <v>4</v>
      </c>
      <c r="E238" s="46">
        <f t="shared" si="53"/>
        <v>0</v>
      </c>
      <c r="F238" s="258">
        <f>IF($F$12=0,0,IF(予定価格!$G$427=0,ROUND(予定価格!H226*(入力表!$F$12/予定価格!$H$431),-H238),ROUND((予定価格!G226*(入力表!$F$12-予定価格!$H$431)/予定価格!$G$431)+予定価格!H226,-H238)))+I238</f>
        <v>0</v>
      </c>
      <c r="G238" s="258"/>
      <c r="H238" s="47">
        <f t="shared" si="58"/>
        <v>4</v>
      </c>
      <c r="I238" s="48">
        <f t="shared" si="54"/>
        <v>0</v>
      </c>
      <c r="J238" s="116">
        <f t="shared" si="55"/>
        <v>0</v>
      </c>
      <c r="K238" s="19">
        <f t="shared" si="56"/>
        <v>0</v>
      </c>
      <c r="L238" s="50"/>
      <c r="M238" s="13">
        <f>ROUND(予定価格!B226*査定表!$B$437,-$F$14)</f>
        <v>0</v>
      </c>
      <c r="N238">
        <f>IF(M238=0,1,M238/予定価格!B226)</f>
        <v>1</v>
      </c>
      <c r="O238">
        <f t="shared" si="59"/>
        <v>21</v>
      </c>
      <c r="P238">
        <f t="shared" si="60"/>
        <v>0</v>
      </c>
      <c r="Q238">
        <f>IF(M238=0,0,M238/予定価格!B226)</f>
        <v>0</v>
      </c>
      <c r="R238">
        <f t="shared" si="61"/>
        <v>21</v>
      </c>
      <c r="S238">
        <f t="shared" si="62"/>
        <v>0</v>
      </c>
      <c r="T238" s="13">
        <f t="shared" si="63"/>
        <v>0</v>
      </c>
      <c r="U238" s="13" t="e">
        <f>IF(予定価格!$G$427=0,ROUND(予定価格!H226*(入力表!$F$12/予定価格!$H$431),-$F$14),ROUND((予定価格!G226*(入力表!$F$12-予定価格!$H$431)/予定価格!$G$431)+予定価格!H226,-$F$14))</f>
        <v>#DIV/0!</v>
      </c>
      <c r="V238" t="e">
        <f>IF(U238=0,1,IF(予定価格!O226=0,1,(U238-予定価格!P226)/予定価格!O226))</f>
        <v>#DIV/0!</v>
      </c>
      <c r="W238" t="e">
        <f t="shared" si="64"/>
        <v>#DIV/0!</v>
      </c>
      <c r="X238" t="e">
        <f t="shared" si="65"/>
        <v>#DIV/0!</v>
      </c>
      <c r="Y238" t="e">
        <f>IF(U238=0,0,IF(予定価格!G226=0,0,(U238-予定価格!H226)/予定価格!G226))</f>
        <v>#DIV/0!</v>
      </c>
      <c r="Z238" t="e">
        <f t="shared" si="66"/>
        <v>#DIV/0!</v>
      </c>
      <c r="AA238" t="e">
        <f t="shared" si="67"/>
        <v>#DIV/0!</v>
      </c>
      <c r="AB238" s="13" t="e">
        <f t="shared" si="68"/>
        <v>#DIV/0!</v>
      </c>
    </row>
    <row r="239" spans="1:28" hidden="1" x14ac:dyDescent="0.15">
      <c r="A239">
        <f>+予定価格!A227</f>
        <v>0</v>
      </c>
      <c r="B239" s="258">
        <f>ROUND(予定価格!B227*査定表!$B$437,-D239)+E239</f>
        <v>0</v>
      </c>
      <c r="C239" s="258"/>
      <c r="D239" s="45">
        <f t="shared" si="57"/>
        <v>4</v>
      </c>
      <c r="E239" s="46">
        <f t="shared" si="53"/>
        <v>0</v>
      </c>
      <c r="F239" s="258">
        <f>IF($F$12=0,0,IF(予定価格!$G$427=0,ROUND(予定価格!H227*(入力表!$F$12/予定価格!$H$431),-H239),ROUND((予定価格!G227*(入力表!$F$12-予定価格!$H$431)/予定価格!$G$431)+予定価格!H227,-H239)))+I239</f>
        <v>0</v>
      </c>
      <c r="G239" s="258"/>
      <c r="H239" s="47">
        <f t="shared" si="58"/>
        <v>4</v>
      </c>
      <c r="I239" s="48">
        <f t="shared" si="54"/>
        <v>0</v>
      </c>
      <c r="J239" s="116">
        <f t="shared" si="55"/>
        <v>0</v>
      </c>
      <c r="K239" s="19">
        <f t="shared" si="56"/>
        <v>0</v>
      </c>
      <c r="L239" s="50"/>
      <c r="M239" s="13">
        <f>ROUND(予定価格!B227*査定表!$B$437,-$F$14)</f>
        <v>0</v>
      </c>
      <c r="N239">
        <f>IF(M239=0,1,M239/予定価格!B227)</f>
        <v>1</v>
      </c>
      <c r="O239">
        <f t="shared" si="59"/>
        <v>21</v>
      </c>
      <c r="P239">
        <f t="shared" si="60"/>
        <v>0</v>
      </c>
      <c r="Q239">
        <f>IF(M239=0,0,M239/予定価格!B227)</f>
        <v>0</v>
      </c>
      <c r="R239">
        <f t="shared" si="61"/>
        <v>21</v>
      </c>
      <c r="S239">
        <f t="shared" si="62"/>
        <v>0</v>
      </c>
      <c r="T239" s="13">
        <f t="shared" si="63"/>
        <v>0</v>
      </c>
      <c r="U239" s="13" t="e">
        <f>IF(予定価格!$G$427=0,ROUND(予定価格!H227*(入力表!$F$12/予定価格!$H$431),-$F$14),ROUND((予定価格!G227*(入力表!$F$12-予定価格!$H$431)/予定価格!$G$431)+予定価格!H227,-$F$14))</f>
        <v>#DIV/0!</v>
      </c>
      <c r="V239" t="e">
        <f>IF(U239=0,1,IF(予定価格!O227=0,1,(U239-予定価格!P227)/予定価格!O227))</f>
        <v>#DIV/0!</v>
      </c>
      <c r="W239" t="e">
        <f t="shared" si="64"/>
        <v>#DIV/0!</v>
      </c>
      <c r="X239" t="e">
        <f t="shared" si="65"/>
        <v>#DIV/0!</v>
      </c>
      <c r="Y239" t="e">
        <f>IF(U239=0,0,IF(予定価格!G227=0,0,(U239-予定価格!H227)/予定価格!G227))</f>
        <v>#DIV/0!</v>
      </c>
      <c r="Z239" t="e">
        <f t="shared" si="66"/>
        <v>#DIV/0!</v>
      </c>
      <c r="AA239" t="e">
        <f t="shared" si="67"/>
        <v>#DIV/0!</v>
      </c>
      <c r="AB239" s="13" t="e">
        <f t="shared" si="68"/>
        <v>#DIV/0!</v>
      </c>
    </row>
    <row r="240" spans="1:28" hidden="1" x14ac:dyDescent="0.15">
      <c r="A240">
        <f>+予定価格!A228</f>
        <v>0</v>
      </c>
      <c r="B240" s="258">
        <f>ROUND(予定価格!B228*査定表!$B$437,-D240)+E240</f>
        <v>0</v>
      </c>
      <c r="C240" s="258"/>
      <c r="D240" s="45">
        <f t="shared" si="57"/>
        <v>4</v>
      </c>
      <c r="E240" s="46">
        <f t="shared" si="53"/>
        <v>0</v>
      </c>
      <c r="F240" s="258">
        <f>IF($F$12=0,0,IF(予定価格!$G$427=0,ROUND(予定価格!H228*(入力表!$F$12/予定価格!$H$431),-H240),ROUND((予定価格!G228*(入力表!$F$12-予定価格!$H$431)/予定価格!$G$431)+予定価格!H228,-H240)))+I240</f>
        <v>0</v>
      </c>
      <c r="G240" s="258"/>
      <c r="H240" s="47">
        <f t="shared" si="58"/>
        <v>4</v>
      </c>
      <c r="I240" s="48">
        <f t="shared" si="54"/>
        <v>0</v>
      </c>
      <c r="J240" s="116">
        <f t="shared" si="55"/>
        <v>0</v>
      </c>
      <c r="K240" s="19">
        <f t="shared" si="56"/>
        <v>0</v>
      </c>
      <c r="L240" s="50"/>
      <c r="M240" s="13">
        <f>ROUND(予定価格!B228*査定表!$B$437,-$F$14)</f>
        <v>0</v>
      </c>
      <c r="N240">
        <f>IF(M240=0,1,M240/予定価格!B228)</f>
        <v>1</v>
      </c>
      <c r="O240">
        <f t="shared" si="59"/>
        <v>21</v>
      </c>
      <c r="P240">
        <f t="shared" si="60"/>
        <v>0</v>
      </c>
      <c r="Q240">
        <f>IF(M240=0,0,M240/予定価格!B228)</f>
        <v>0</v>
      </c>
      <c r="R240">
        <f t="shared" si="61"/>
        <v>21</v>
      </c>
      <c r="S240">
        <f t="shared" si="62"/>
        <v>0</v>
      </c>
      <c r="T240" s="13">
        <f t="shared" si="63"/>
        <v>0</v>
      </c>
      <c r="U240" s="13" t="e">
        <f>IF(予定価格!$G$427=0,ROUND(予定価格!H228*(入力表!$F$12/予定価格!$H$431),-$F$14),ROUND((予定価格!G228*(入力表!$F$12-予定価格!$H$431)/予定価格!$G$431)+予定価格!H228,-$F$14))</f>
        <v>#DIV/0!</v>
      </c>
      <c r="V240" t="e">
        <f>IF(U240=0,1,IF(予定価格!O228=0,1,(U240-予定価格!P228)/予定価格!O228))</f>
        <v>#DIV/0!</v>
      </c>
      <c r="W240" t="e">
        <f t="shared" si="64"/>
        <v>#DIV/0!</v>
      </c>
      <c r="X240" t="e">
        <f t="shared" si="65"/>
        <v>#DIV/0!</v>
      </c>
      <c r="Y240" t="e">
        <f>IF(U240=0,0,IF(予定価格!G228=0,0,(U240-予定価格!H228)/予定価格!G228))</f>
        <v>#DIV/0!</v>
      </c>
      <c r="Z240" t="e">
        <f t="shared" si="66"/>
        <v>#DIV/0!</v>
      </c>
      <c r="AA240" t="e">
        <f t="shared" si="67"/>
        <v>#DIV/0!</v>
      </c>
      <c r="AB240" s="13" t="e">
        <f t="shared" si="68"/>
        <v>#DIV/0!</v>
      </c>
    </row>
    <row r="241" spans="1:28" hidden="1" x14ac:dyDescent="0.15">
      <c r="A241">
        <f>+予定価格!A229</f>
        <v>0</v>
      </c>
      <c r="B241" s="258">
        <f>ROUND(予定価格!B229*査定表!$B$437,-D241)+E241</f>
        <v>0</v>
      </c>
      <c r="C241" s="258"/>
      <c r="D241" s="45">
        <f t="shared" si="57"/>
        <v>4</v>
      </c>
      <c r="E241" s="46">
        <f t="shared" si="53"/>
        <v>0</v>
      </c>
      <c r="F241" s="258">
        <f>IF($F$12=0,0,IF(予定価格!$G$427=0,ROUND(予定価格!H229*(入力表!$F$12/予定価格!$H$431),-H241),ROUND((予定価格!G229*(入力表!$F$12-予定価格!$H$431)/予定価格!$G$431)+予定価格!H229,-H241)))+I241</f>
        <v>0</v>
      </c>
      <c r="G241" s="258"/>
      <c r="H241" s="47">
        <f t="shared" si="58"/>
        <v>4</v>
      </c>
      <c r="I241" s="48">
        <f t="shared" si="54"/>
        <v>0</v>
      </c>
      <c r="J241" s="116">
        <f t="shared" si="55"/>
        <v>0</v>
      </c>
      <c r="K241" s="19">
        <f t="shared" si="56"/>
        <v>0</v>
      </c>
      <c r="L241" s="50"/>
      <c r="M241" s="13">
        <f>ROUND(予定価格!B229*査定表!$B$437,-$F$14)</f>
        <v>0</v>
      </c>
      <c r="N241">
        <f>IF(M241=0,1,M241/予定価格!B229)</f>
        <v>1</v>
      </c>
      <c r="O241">
        <f t="shared" si="59"/>
        <v>21</v>
      </c>
      <c r="P241">
        <f t="shared" si="60"/>
        <v>0</v>
      </c>
      <c r="Q241">
        <f>IF(M241=0,0,M241/予定価格!B229)</f>
        <v>0</v>
      </c>
      <c r="R241">
        <f t="shared" si="61"/>
        <v>21</v>
      </c>
      <c r="S241">
        <f t="shared" si="62"/>
        <v>0</v>
      </c>
      <c r="T241" s="13">
        <f t="shared" si="63"/>
        <v>0</v>
      </c>
      <c r="U241" s="13" t="e">
        <f>IF(予定価格!$G$427=0,ROUND(予定価格!H229*(入力表!$F$12/予定価格!$H$431),-$F$14),ROUND((予定価格!G229*(入力表!$F$12-予定価格!$H$431)/予定価格!$G$431)+予定価格!H229,-$F$14))</f>
        <v>#DIV/0!</v>
      </c>
      <c r="V241" t="e">
        <f>IF(U241=0,1,IF(予定価格!O229=0,1,(U241-予定価格!P229)/予定価格!O229))</f>
        <v>#DIV/0!</v>
      </c>
      <c r="W241" t="e">
        <f t="shared" si="64"/>
        <v>#DIV/0!</v>
      </c>
      <c r="X241" t="e">
        <f t="shared" si="65"/>
        <v>#DIV/0!</v>
      </c>
      <c r="Y241" t="e">
        <f>IF(U241=0,0,IF(予定価格!G229=0,0,(U241-予定価格!H229)/予定価格!G229))</f>
        <v>#DIV/0!</v>
      </c>
      <c r="Z241" t="e">
        <f t="shared" si="66"/>
        <v>#DIV/0!</v>
      </c>
      <c r="AA241" t="e">
        <f t="shared" si="67"/>
        <v>#DIV/0!</v>
      </c>
      <c r="AB241" s="13" t="e">
        <f t="shared" si="68"/>
        <v>#DIV/0!</v>
      </c>
    </row>
    <row r="242" spans="1:28" hidden="1" x14ac:dyDescent="0.15">
      <c r="A242">
        <f>+予定価格!A230</f>
        <v>0</v>
      </c>
      <c r="B242" s="258">
        <f>ROUND(予定価格!B230*査定表!$B$437,-D242)+E242</f>
        <v>0</v>
      </c>
      <c r="C242" s="258"/>
      <c r="D242" s="45">
        <f t="shared" si="57"/>
        <v>4</v>
      </c>
      <c r="E242" s="46">
        <f t="shared" si="53"/>
        <v>0</v>
      </c>
      <c r="F242" s="258">
        <f>IF($F$12=0,0,IF(予定価格!$G$427=0,ROUND(予定価格!H230*(入力表!$F$12/予定価格!$H$431),-H242),ROUND((予定価格!G230*(入力表!$F$12-予定価格!$H$431)/予定価格!$G$431)+予定価格!H230,-H242)))+I242</f>
        <v>0</v>
      </c>
      <c r="G242" s="258"/>
      <c r="H242" s="47">
        <f t="shared" si="58"/>
        <v>4</v>
      </c>
      <c r="I242" s="48">
        <f t="shared" si="54"/>
        <v>0</v>
      </c>
      <c r="J242" s="116">
        <f t="shared" si="55"/>
        <v>0</v>
      </c>
      <c r="K242" s="19">
        <f t="shared" si="56"/>
        <v>0</v>
      </c>
      <c r="L242" s="50"/>
      <c r="M242" s="13">
        <f>ROUND(予定価格!B230*査定表!$B$437,-$F$14)</f>
        <v>0</v>
      </c>
      <c r="N242">
        <f>IF(M242=0,1,M242/予定価格!B230)</f>
        <v>1</v>
      </c>
      <c r="O242">
        <f t="shared" si="59"/>
        <v>21</v>
      </c>
      <c r="P242">
        <f t="shared" si="60"/>
        <v>0</v>
      </c>
      <c r="Q242">
        <f>IF(M242=0,0,M242/予定価格!B230)</f>
        <v>0</v>
      </c>
      <c r="R242">
        <f t="shared" si="61"/>
        <v>21</v>
      </c>
      <c r="S242">
        <f t="shared" si="62"/>
        <v>0</v>
      </c>
      <c r="T242" s="13">
        <f t="shared" si="63"/>
        <v>0</v>
      </c>
      <c r="U242" s="13" t="e">
        <f>IF(予定価格!$G$427=0,ROUND(予定価格!H230*(入力表!$F$12/予定価格!$H$431),-$F$14),ROUND((予定価格!G230*(入力表!$F$12-予定価格!$H$431)/予定価格!$G$431)+予定価格!H230,-$F$14))</f>
        <v>#DIV/0!</v>
      </c>
      <c r="V242" t="e">
        <f>IF(U242=0,1,IF(予定価格!O230=0,1,(U242-予定価格!P230)/予定価格!O230))</f>
        <v>#DIV/0!</v>
      </c>
      <c r="W242" t="e">
        <f t="shared" si="64"/>
        <v>#DIV/0!</v>
      </c>
      <c r="X242" t="e">
        <f t="shared" si="65"/>
        <v>#DIV/0!</v>
      </c>
      <c r="Y242" t="e">
        <f>IF(U242=0,0,IF(予定価格!G230=0,0,(U242-予定価格!H230)/予定価格!G230))</f>
        <v>#DIV/0!</v>
      </c>
      <c r="Z242" t="e">
        <f t="shared" si="66"/>
        <v>#DIV/0!</v>
      </c>
      <c r="AA242" t="e">
        <f t="shared" si="67"/>
        <v>#DIV/0!</v>
      </c>
      <c r="AB242" s="13" t="e">
        <f t="shared" si="68"/>
        <v>#DIV/0!</v>
      </c>
    </row>
    <row r="243" spans="1:28" hidden="1" x14ac:dyDescent="0.15">
      <c r="A243">
        <f>+予定価格!A231</f>
        <v>0</v>
      </c>
      <c r="B243" s="258">
        <f>ROUND(予定価格!B231*査定表!$B$437,-D243)+E243</f>
        <v>0</v>
      </c>
      <c r="C243" s="258"/>
      <c r="D243" s="45">
        <f t="shared" si="57"/>
        <v>4</v>
      </c>
      <c r="E243" s="46">
        <f t="shared" si="53"/>
        <v>0</v>
      </c>
      <c r="F243" s="258">
        <f>IF($F$12=0,0,IF(予定価格!$G$427=0,ROUND(予定価格!H231*(入力表!$F$12/予定価格!$H$431),-H243),ROUND((予定価格!G231*(入力表!$F$12-予定価格!$H$431)/予定価格!$G$431)+予定価格!H231,-H243)))+I243</f>
        <v>0</v>
      </c>
      <c r="G243" s="258"/>
      <c r="H243" s="47">
        <f t="shared" si="58"/>
        <v>4</v>
      </c>
      <c r="I243" s="48">
        <f t="shared" si="54"/>
        <v>0</v>
      </c>
      <c r="J243" s="116">
        <f t="shared" si="55"/>
        <v>0</v>
      </c>
      <c r="K243" s="19">
        <f t="shared" si="56"/>
        <v>0</v>
      </c>
      <c r="L243" s="50"/>
      <c r="M243" s="13">
        <f>ROUND(予定価格!B231*査定表!$B$437,-$F$14)</f>
        <v>0</v>
      </c>
      <c r="N243">
        <f>IF(M243=0,1,M243/予定価格!B231)</f>
        <v>1</v>
      </c>
      <c r="O243">
        <f t="shared" si="59"/>
        <v>21</v>
      </c>
      <c r="P243">
        <f t="shared" si="60"/>
        <v>0</v>
      </c>
      <c r="Q243">
        <f>IF(M243=0,0,M243/予定価格!B231)</f>
        <v>0</v>
      </c>
      <c r="R243">
        <f t="shared" si="61"/>
        <v>21</v>
      </c>
      <c r="S243">
        <f t="shared" si="62"/>
        <v>0</v>
      </c>
      <c r="T243" s="13">
        <f t="shared" si="63"/>
        <v>0</v>
      </c>
      <c r="U243" s="13" t="e">
        <f>IF(予定価格!$G$427=0,ROUND(予定価格!H231*(入力表!$F$12/予定価格!$H$431),-$F$14),ROUND((予定価格!G231*(入力表!$F$12-予定価格!$H$431)/予定価格!$G$431)+予定価格!H231,-$F$14))</f>
        <v>#DIV/0!</v>
      </c>
      <c r="V243" t="e">
        <f>IF(U243=0,1,IF(予定価格!O231=0,1,(U243-予定価格!P231)/予定価格!O231))</f>
        <v>#DIV/0!</v>
      </c>
      <c r="W243" t="e">
        <f t="shared" si="64"/>
        <v>#DIV/0!</v>
      </c>
      <c r="X243" t="e">
        <f t="shared" si="65"/>
        <v>#DIV/0!</v>
      </c>
      <c r="Y243" t="e">
        <f>IF(U243=0,0,IF(予定価格!G231=0,0,(U243-予定価格!H231)/予定価格!G231))</f>
        <v>#DIV/0!</v>
      </c>
      <c r="Z243" t="e">
        <f t="shared" si="66"/>
        <v>#DIV/0!</v>
      </c>
      <c r="AA243" t="e">
        <f t="shared" si="67"/>
        <v>#DIV/0!</v>
      </c>
      <c r="AB243" s="13" t="e">
        <f t="shared" si="68"/>
        <v>#DIV/0!</v>
      </c>
    </row>
    <row r="244" spans="1:28" hidden="1" x14ac:dyDescent="0.15">
      <c r="A244">
        <f>+予定価格!A232</f>
        <v>0</v>
      </c>
      <c r="B244" s="258">
        <f>ROUND(予定価格!B232*査定表!$B$437,-D244)+E244</f>
        <v>0</v>
      </c>
      <c r="C244" s="258"/>
      <c r="D244" s="45">
        <f t="shared" si="57"/>
        <v>4</v>
      </c>
      <c r="E244" s="46">
        <f t="shared" si="53"/>
        <v>0</v>
      </c>
      <c r="F244" s="258">
        <f>IF($F$12=0,0,IF(予定価格!$G$427=0,ROUND(予定価格!H232*(入力表!$F$12/予定価格!$H$431),-H244),ROUND((予定価格!G232*(入力表!$F$12-予定価格!$H$431)/予定価格!$G$431)+予定価格!H232,-H244)))+I244</f>
        <v>0</v>
      </c>
      <c r="G244" s="258"/>
      <c r="H244" s="47">
        <f t="shared" si="58"/>
        <v>4</v>
      </c>
      <c r="I244" s="48">
        <f t="shared" si="54"/>
        <v>0</v>
      </c>
      <c r="J244" s="116">
        <f t="shared" si="55"/>
        <v>0</v>
      </c>
      <c r="K244" s="19">
        <f t="shared" si="56"/>
        <v>0</v>
      </c>
      <c r="L244" s="50"/>
      <c r="M244" s="13">
        <f>ROUND(予定価格!B232*査定表!$B$437,-$F$14)</f>
        <v>0</v>
      </c>
      <c r="N244">
        <f>IF(M244=0,1,M244/予定価格!B232)</f>
        <v>1</v>
      </c>
      <c r="O244">
        <f t="shared" si="59"/>
        <v>21</v>
      </c>
      <c r="P244">
        <f t="shared" si="60"/>
        <v>0</v>
      </c>
      <c r="Q244">
        <f>IF(M244=0,0,M244/予定価格!B232)</f>
        <v>0</v>
      </c>
      <c r="R244">
        <f t="shared" si="61"/>
        <v>21</v>
      </c>
      <c r="S244">
        <f t="shared" si="62"/>
        <v>0</v>
      </c>
      <c r="T244" s="13">
        <f t="shared" si="63"/>
        <v>0</v>
      </c>
      <c r="U244" s="13" t="e">
        <f>IF(予定価格!$G$427=0,ROUND(予定価格!H232*(入力表!$F$12/予定価格!$H$431),-$F$14),ROUND((予定価格!G232*(入力表!$F$12-予定価格!$H$431)/予定価格!$G$431)+予定価格!H232,-$F$14))</f>
        <v>#DIV/0!</v>
      </c>
      <c r="V244" t="e">
        <f>IF(U244=0,1,IF(予定価格!O232=0,1,(U244-予定価格!P232)/予定価格!O232))</f>
        <v>#DIV/0!</v>
      </c>
      <c r="W244" t="e">
        <f t="shared" si="64"/>
        <v>#DIV/0!</v>
      </c>
      <c r="X244" t="e">
        <f t="shared" si="65"/>
        <v>#DIV/0!</v>
      </c>
      <c r="Y244" t="e">
        <f>IF(U244=0,0,IF(予定価格!G232=0,0,(U244-予定価格!H232)/予定価格!G232))</f>
        <v>#DIV/0!</v>
      </c>
      <c r="Z244" t="e">
        <f t="shared" si="66"/>
        <v>#DIV/0!</v>
      </c>
      <c r="AA244" t="e">
        <f t="shared" si="67"/>
        <v>#DIV/0!</v>
      </c>
      <c r="AB244" s="13" t="e">
        <f t="shared" si="68"/>
        <v>#DIV/0!</v>
      </c>
    </row>
    <row r="245" spans="1:28" hidden="1" x14ac:dyDescent="0.15">
      <c r="A245">
        <f>+予定価格!A233</f>
        <v>0</v>
      </c>
      <c r="B245" s="258">
        <f>ROUND(予定価格!B233*査定表!$B$437,-D245)+E245</f>
        <v>0</v>
      </c>
      <c r="C245" s="258"/>
      <c r="D245" s="45">
        <f t="shared" si="57"/>
        <v>4</v>
      </c>
      <c r="E245" s="46">
        <f t="shared" si="53"/>
        <v>0</v>
      </c>
      <c r="F245" s="258">
        <f>IF($F$12=0,0,IF(予定価格!$G$427=0,ROUND(予定価格!H233*(入力表!$F$12/予定価格!$H$431),-H245),ROUND((予定価格!G233*(入力表!$F$12-予定価格!$H$431)/予定価格!$G$431)+予定価格!H233,-H245)))+I245</f>
        <v>0</v>
      </c>
      <c r="G245" s="258"/>
      <c r="H245" s="47">
        <f t="shared" si="58"/>
        <v>4</v>
      </c>
      <c r="I245" s="48">
        <f t="shared" si="54"/>
        <v>0</v>
      </c>
      <c r="J245" s="116">
        <f t="shared" si="55"/>
        <v>0</v>
      </c>
      <c r="K245" s="19">
        <f t="shared" si="56"/>
        <v>0</v>
      </c>
      <c r="L245" s="50"/>
      <c r="M245" s="13">
        <f>ROUND(予定価格!B233*査定表!$B$437,-$F$14)</f>
        <v>0</v>
      </c>
      <c r="N245">
        <f>IF(M245=0,1,M245/予定価格!B233)</f>
        <v>1</v>
      </c>
      <c r="O245">
        <f t="shared" si="59"/>
        <v>21</v>
      </c>
      <c r="P245">
        <f t="shared" si="60"/>
        <v>0</v>
      </c>
      <c r="Q245">
        <f>IF(M245=0,0,M245/予定価格!B233)</f>
        <v>0</v>
      </c>
      <c r="R245">
        <f t="shared" si="61"/>
        <v>21</v>
      </c>
      <c r="S245">
        <f t="shared" si="62"/>
        <v>0</v>
      </c>
      <c r="T245" s="13">
        <f t="shared" si="63"/>
        <v>0</v>
      </c>
      <c r="U245" s="13" t="e">
        <f>IF(予定価格!$G$427=0,ROUND(予定価格!H233*(入力表!$F$12/予定価格!$H$431),-$F$14),ROUND((予定価格!G233*(入力表!$F$12-予定価格!$H$431)/予定価格!$G$431)+予定価格!H233,-$F$14))</f>
        <v>#DIV/0!</v>
      </c>
      <c r="V245" t="e">
        <f>IF(U245=0,1,IF(予定価格!O233=0,1,(U245-予定価格!P233)/予定価格!O233))</f>
        <v>#DIV/0!</v>
      </c>
      <c r="W245" t="e">
        <f t="shared" si="64"/>
        <v>#DIV/0!</v>
      </c>
      <c r="X245" t="e">
        <f t="shared" si="65"/>
        <v>#DIV/0!</v>
      </c>
      <c r="Y245" t="e">
        <f>IF(U245=0,0,IF(予定価格!G233=0,0,(U245-予定価格!H233)/予定価格!G233))</f>
        <v>#DIV/0!</v>
      </c>
      <c r="Z245" t="e">
        <f t="shared" si="66"/>
        <v>#DIV/0!</v>
      </c>
      <c r="AA245" t="e">
        <f t="shared" si="67"/>
        <v>#DIV/0!</v>
      </c>
      <c r="AB245" s="13" t="e">
        <f t="shared" si="68"/>
        <v>#DIV/0!</v>
      </c>
    </row>
    <row r="246" spans="1:28" hidden="1" x14ac:dyDescent="0.15">
      <c r="A246">
        <f>+予定価格!A234</f>
        <v>0</v>
      </c>
      <c r="B246" s="258">
        <f>ROUND(予定価格!B234*査定表!$B$437,-D246)+E246</f>
        <v>0</v>
      </c>
      <c r="C246" s="258"/>
      <c r="D246" s="45">
        <f t="shared" si="57"/>
        <v>4</v>
      </c>
      <c r="E246" s="46">
        <f t="shared" si="53"/>
        <v>0</v>
      </c>
      <c r="F246" s="258">
        <f>IF($F$12=0,0,IF(予定価格!$G$427=0,ROUND(予定価格!H234*(入力表!$F$12/予定価格!$H$431),-H246),ROUND((予定価格!G234*(入力表!$F$12-予定価格!$H$431)/予定価格!$G$431)+予定価格!H234,-H246)))+I246</f>
        <v>0</v>
      </c>
      <c r="G246" s="258"/>
      <c r="H246" s="47">
        <f t="shared" si="58"/>
        <v>4</v>
      </c>
      <c r="I246" s="48">
        <f t="shared" si="54"/>
        <v>0</v>
      </c>
      <c r="J246" s="116">
        <f t="shared" si="55"/>
        <v>0</v>
      </c>
      <c r="K246" s="19">
        <f t="shared" si="56"/>
        <v>0</v>
      </c>
      <c r="L246" s="50"/>
      <c r="M246" s="13">
        <f>ROUND(予定価格!B234*査定表!$B$437,-$F$14)</f>
        <v>0</v>
      </c>
      <c r="N246">
        <f>IF(M246=0,1,M246/予定価格!B234)</f>
        <v>1</v>
      </c>
      <c r="O246">
        <f t="shared" si="59"/>
        <v>21</v>
      </c>
      <c r="P246">
        <f t="shared" si="60"/>
        <v>0</v>
      </c>
      <c r="Q246">
        <f>IF(M246=0,0,M246/予定価格!B234)</f>
        <v>0</v>
      </c>
      <c r="R246">
        <f t="shared" si="61"/>
        <v>21</v>
      </c>
      <c r="S246">
        <f t="shared" si="62"/>
        <v>0</v>
      </c>
      <c r="T246" s="13">
        <f t="shared" si="63"/>
        <v>0</v>
      </c>
      <c r="U246" s="13" t="e">
        <f>IF(予定価格!$G$427=0,ROUND(予定価格!H234*(入力表!$F$12/予定価格!$H$431),-$F$14),ROUND((予定価格!G234*(入力表!$F$12-予定価格!$H$431)/予定価格!$G$431)+予定価格!H234,-$F$14))</f>
        <v>#DIV/0!</v>
      </c>
      <c r="V246" t="e">
        <f>IF(U246=0,1,IF(予定価格!O234=0,1,(U246-予定価格!P234)/予定価格!O234))</f>
        <v>#DIV/0!</v>
      </c>
      <c r="W246" t="e">
        <f t="shared" si="64"/>
        <v>#DIV/0!</v>
      </c>
      <c r="X246" t="e">
        <f t="shared" si="65"/>
        <v>#DIV/0!</v>
      </c>
      <c r="Y246" t="e">
        <f>IF(U246=0,0,IF(予定価格!G234=0,0,(U246-予定価格!H234)/予定価格!G234))</f>
        <v>#DIV/0!</v>
      </c>
      <c r="Z246" t="e">
        <f t="shared" si="66"/>
        <v>#DIV/0!</v>
      </c>
      <c r="AA246" t="e">
        <f t="shared" si="67"/>
        <v>#DIV/0!</v>
      </c>
      <c r="AB246" s="13" t="e">
        <f t="shared" si="68"/>
        <v>#DIV/0!</v>
      </c>
    </row>
    <row r="247" spans="1:28" hidden="1" x14ac:dyDescent="0.15">
      <c r="A247">
        <f>+予定価格!A235</f>
        <v>0</v>
      </c>
      <c r="B247" s="258">
        <f>ROUND(予定価格!B235*査定表!$B$437,-D247)+E247</f>
        <v>0</v>
      </c>
      <c r="C247" s="258"/>
      <c r="D247" s="45">
        <f t="shared" si="57"/>
        <v>4</v>
      </c>
      <c r="E247" s="46">
        <f t="shared" si="53"/>
        <v>0</v>
      </c>
      <c r="F247" s="258">
        <f>IF($F$12=0,0,IF(予定価格!$G$427=0,ROUND(予定価格!H235*(入力表!$F$12/予定価格!$H$431),-H247),ROUND((予定価格!G235*(入力表!$F$12-予定価格!$H$431)/予定価格!$G$431)+予定価格!H235,-H247)))+I247</f>
        <v>0</v>
      </c>
      <c r="G247" s="258"/>
      <c r="H247" s="47">
        <f t="shared" si="58"/>
        <v>4</v>
      </c>
      <c r="I247" s="48">
        <f t="shared" si="54"/>
        <v>0</v>
      </c>
      <c r="J247" s="116">
        <f t="shared" si="55"/>
        <v>0</v>
      </c>
      <c r="K247" s="19">
        <f t="shared" si="56"/>
        <v>0</v>
      </c>
      <c r="L247" s="50"/>
      <c r="M247" s="13">
        <f>ROUND(予定価格!B235*査定表!$B$437,-$F$14)</f>
        <v>0</v>
      </c>
      <c r="N247">
        <f>IF(M247=0,1,M247/予定価格!B235)</f>
        <v>1</v>
      </c>
      <c r="O247">
        <f t="shared" si="59"/>
        <v>21</v>
      </c>
      <c r="P247">
        <f t="shared" si="60"/>
        <v>0</v>
      </c>
      <c r="Q247">
        <f>IF(M247=0,0,M247/予定価格!B235)</f>
        <v>0</v>
      </c>
      <c r="R247">
        <f t="shared" si="61"/>
        <v>21</v>
      </c>
      <c r="S247">
        <f t="shared" si="62"/>
        <v>0</v>
      </c>
      <c r="T247" s="13">
        <f t="shared" si="63"/>
        <v>0</v>
      </c>
      <c r="U247" s="13" t="e">
        <f>IF(予定価格!$G$427=0,ROUND(予定価格!H235*(入力表!$F$12/予定価格!$H$431),-$F$14),ROUND((予定価格!G235*(入力表!$F$12-予定価格!$H$431)/予定価格!$G$431)+予定価格!H235,-$F$14))</f>
        <v>#DIV/0!</v>
      </c>
      <c r="V247" t="e">
        <f>IF(U247=0,1,IF(予定価格!O235=0,1,(U247-予定価格!P235)/予定価格!O235))</f>
        <v>#DIV/0!</v>
      </c>
      <c r="W247" t="e">
        <f t="shared" si="64"/>
        <v>#DIV/0!</v>
      </c>
      <c r="X247" t="e">
        <f t="shared" si="65"/>
        <v>#DIV/0!</v>
      </c>
      <c r="Y247" t="e">
        <f>IF(U247=0,0,IF(予定価格!G235=0,0,(U247-予定価格!H235)/予定価格!G235))</f>
        <v>#DIV/0!</v>
      </c>
      <c r="Z247" t="e">
        <f t="shared" si="66"/>
        <v>#DIV/0!</v>
      </c>
      <c r="AA247" t="e">
        <f t="shared" si="67"/>
        <v>#DIV/0!</v>
      </c>
      <c r="AB247" s="13" t="e">
        <f t="shared" si="68"/>
        <v>#DIV/0!</v>
      </c>
    </row>
    <row r="248" spans="1:28" hidden="1" x14ac:dyDescent="0.15">
      <c r="A248">
        <f>+予定価格!A236</f>
        <v>0</v>
      </c>
      <c r="B248" s="258">
        <f>ROUND(予定価格!B236*査定表!$B$437,-D248)+E248</f>
        <v>0</v>
      </c>
      <c r="C248" s="258"/>
      <c r="D248" s="45">
        <f t="shared" si="57"/>
        <v>4</v>
      </c>
      <c r="E248" s="46">
        <f t="shared" si="53"/>
        <v>0</v>
      </c>
      <c r="F248" s="258">
        <f>IF($F$12=0,0,IF(予定価格!$G$427=0,ROUND(予定価格!H236*(入力表!$F$12/予定価格!$H$431),-H248),ROUND((予定価格!G236*(入力表!$F$12-予定価格!$H$431)/予定価格!$G$431)+予定価格!H236,-H248)))+I248</f>
        <v>0</v>
      </c>
      <c r="G248" s="258"/>
      <c r="H248" s="47">
        <f t="shared" si="58"/>
        <v>4</v>
      </c>
      <c r="I248" s="48">
        <f t="shared" si="54"/>
        <v>0</v>
      </c>
      <c r="J248" s="116">
        <f t="shared" si="55"/>
        <v>0</v>
      </c>
      <c r="K248" s="19">
        <f t="shared" si="56"/>
        <v>0</v>
      </c>
      <c r="L248" s="50"/>
      <c r="M248" s="13">
        <f>ROUND(予定価格!B236*査定表!$B$437,-$F$14)</f>
        <v>0</v>
      </c>
      <c r="N248">
        <f>IF(M248=0,1,M248/予定価格!B236)</f>
        <v>1</v>
      </c>
      <c r="O248">
        <f t="shared" si="59"/>
        <v>21</v>
      </c>
      <c r="P248">
        <f t="shared" si="60"/>
        <v>0</v>
      </c>
      <c r="Q248">
        <f>IF(M248=0,0,M248/予定価格!B236)</f>
        <v>0</v>
      </c>
      <c r="R248">
        <f t="shared" si="61"/>
        <v>21</v>
      </c>
      <c r="S248">
        <f t="shared" si="62"/>
        <v>0</v>
      </c>
      <c r="T248" s="13">
        <f t="shared" si="63"/>
        <v>0</v>
      </c>
      <c r="U248" s="13" t="e">
        <f>IF(予定価格!$G$427=0,ROUND(予定価格!H236*(入力表!$F$12/予定価格!$H$431),-$F$14),ROUND((予定価格!G236*(入力表!$F$12-予定価格!$H$431)/予定価格!$G$431)+予定価格!H236,-$F$14))</f>
        <v>#DIV/0!</v>
      </c>
      <c r="V248" t="e">
        <f>IF(U248=0,1,IF(予定価格!O236=0,1,(U248-予定価格!P236)/予定価格!O236))</f>
        <v>#DIV/0!</v>
      </c>
      <c r="W248" t="e">
        <f t="shared" si="64"/>
        <v>#DIV/0!</v>
      </c>
      <c r="X248" t="e">
        <f t="shared" si="65"/>
        <v>#DIV/0!</v>
      </c>
      <c r="Y248" t="e">
        <f>IF(U248=0,0,IF(予定価格!G236=0,0,(U248-予定価格!H236)/予定価格!G236))</f>
        <v>#DIV/0!</v>
      </c>
      <c r="Z248" t="e">
        <f t="shared" si="66"/>
        <v>#DIV/0!</v>
      </c>
      <c r="AA248" t="e">
        <f t="shared" si="67"/>
        <v>#DIV/0!</v>
      </c>
      <c r="AB248" s="13" t="e">
        <f t="shared" si="68"/>
        <v>#DIV/0!</v>
      </c>
    </row>
    <row r="249" spans="1:28" hidden="1" x14ac:dyDescent="0.15">
      <c r="A249">
        <f>+予定価格!A237</f>
        <v>0</v>
      </c>
      <c r="B249" s="258">
        <f>ROUND(予定価格!B237*査定表!$B$437,-D249)+E249</f>
        <v>0</v>
      </c>
      <c r="C249" s="258"/>
      <c r="D249" s="45">
        <f t="shared" si="57"/>
        <v>4</v>
      </c>
      <c r="E249" s="46">
        <f t="shared" si="53"/>
        <v>0</v>
      </c>
      <c r="F249" s="258">
        <f>IF($F$12=0,0,IF(予定価格!$G$427=0,ROUND(予定価格!H237*(入力表!$F$12/予定価格!$H$431),-H249),ROUND((予定価格!G237*(入力表!$F$12-予定価格!$H$431)/予定価格!$G$431)+予定価格!H237,-H249)))+I249</f>
        <v>0</v>
      </c>
      <c r="G249" s="258"/>
      <c r="H249" s="47">
        <f t="shared" si="58"/>
        <v>4</v>
      </c>
      <c r="I249" s="48">
        <f t="shared" si="54"/>
        <v>0</v>
      </c>
      <c r="J249" s="116">
        <f t="shared" si="55"/>
        <v>0</v>
      </c>
      <c r="K249" s="19">
        <f t="shared" si="56"/>
        <v>0</v>
      </c>
      <c r="L249" s="50"/>
      <c r="M249" s="13">
        <f>ROUND(予定価格!B237*査定表!$B$437,-$F$14)</f>
        <v>0</v>
      </c>
      <c r="N249">
        <f>IF(M249=0,1,M249/予定価格!B237)</f>
        <v>1</v>
      </c>
      <c r="O249">
        <f t="shared" si="59"/>
        <v>21</v>
      </c>
      <c r="P249">
        <f t="shared" si="60"/>
        <v>0</v>
      </c>
      <c r="Q249">
        <f>IF(M249=0,0,M249/予定価格!B237)</f>
        <v>0</v>
      </c>
      <c r="R249">
        <f t="shared" si="61"/>
        <v>21</v>
      </c>
      <c r="S249">
        <f t="shared" si="62"/>
        <v>0</v>
      </c>
      <c r="T249" s="13">
        <f t="shared" si="63"/>
        <v>0</v>
      </c>
      <c r="U249" s="13" t="e">
        <f>IF(予定価格!$G$427=0,ROUND(予定価格!H237*(入力表!$F$12/予定価格!$H$431),-$F$14),ROUND((予定価格!G237*(入力表!$F$12-予定価格!$H$431)/予定価格!$G$431)+予定価格!H237,-$F$14))</f>
        <v>#DIV/0!</v>
      </c>
      <c r="V249" t="e">
        <f>IF(U249=0,1,IF(予定価格!O237=0,1,(U249-予定価格!P237)/予定価格!O237))</f>
        <v>#DIV/0!</v>
      </c>
      <c r="W249" t="e">
        <f t="shared" si="64"/>
        <v>#DIV/0!</v>
      </c>
      <c r="X249" t="e">
        <f t="shared" si="65"/>
        <v>#DIV/0!</v>
      </c>
      <c r="Y249" t="e">
        <f>IF(U249=0,0,IF(予定価格!G237=0,0,(U249-予定価格!H237)/予定価格!G237))</f>
        <v>#DIV/0!</v>
      </c>
      <c r="Z249" t="e">
        <f t="shared" si="66"/>
        <v>#DIV/0!</v>
      </c>
      <c r="AA249" t="e">
        <f t="shared" si="67"/>
        <v>#DIV/0!</v>
      </c>
      <c r="AB249" s="13" t="e">
        <f t="shared" si="68"/>
        <v>#DIV/0!</v>
      </c>
    </row>
    <row r="250" spans="1:28" hidden="1" x14ac:dyDescent="0.15">
      <c r="A250">
        <f>+予定価格!A238</f>
        <v>0</v>
      </c>
      <c r="B250" s="258">
        <f>ROUND(予定価格!B238*査定表!$B$437,-D250)+E250</f>
        <v>0</v>
      </c>
      <c r="C250" s="258"/>
      <c r="D250" s="45">
        <f t="shared" si="57"/>
        <v>4</v>
      </c>
      <c r="E250" s="46">
        <f t="shared" si="53"/>
        <v>0</v>
      </c>
      <c r="F250" s="258">
        <f>IF($F$12=0,0,IF(予定価格!$G$427=0,ROUND(予定価格!H238*(入力表!$F$12/予定価格!$H$431),-H250),ROUND((予定価格!G238*(入力表!$F$12-予定価格!$H$431)/予定価格!$G$431)+予定価格!H238,-H250)))+I250</f>
        <v>0</v>
      </c>
      <c r="G250" s="258"/>
      <c r="H250" s="47">
        <f t="shared" si="58"/>
        <v>4</v>
      </c>
      <c r="I250" s="48">
        <f t="shared" si="54"/>
        <v>0</v>
      </c>
      <c r="J250" s="116">
        <f t="shared" si="55"/>
        <v>0</v>
      </c>
      <c r="K250" s="19">
        <f t="shared" si="56"/>
        <v>0</v>
      </c>
      <c r="L250" s="50"/>
      <c r="M250" s="13">
        <f>ROUND(予定価格!B238*査定表!$B$437,-$F$14)</f>
        <v>0</v>
      </c>
      <c r="N250">
        <f>IF(M250=0,1,M250/予定価格!B238)</f>
        <v>1</v>
      </c>
      <c r="O250">
        <f t="shared" si="59"/>
        <v>21</v>
      </c>
      <c r="P250">
        <f t="shared" si="60"/>
        <v>0</v>
      </c>
      <c r="Q250">
        <f>IF(M250=0,0,M250/予定価格!B238)</f>
        <v>0</v>
      </c>
      <c r="R250">
        <f t="shared" si="61"/>
        <v>21</v>
      </c>
      <c r="S250">
        <f t="shared" si="62"/>
        <v>0</v>
      </c>
      <c r="T250" s="13">
        <f t="shared" si="63"/>
        <v>0</v>
      </c>
      <c r="U250" s="13" t="e">
        <f>IF(予定価格!$G$427=0,ROUND(予定価格!H238*(入力表!$F$12/予定価格!$H$431),-$F$14),ROUND((予定価格!G238*(入力表!$F$12-予定価格!$H$431)/予定価格!$G$431)+予定価格!H238,-$F$14))</f>
        <v>#DIV/0!</v>
      </c>
      <c r="V250" t="e">
        <f>IF(U250=0,1,IF(予定価格!O238=0,1,(U250-予定価格!P238)/予定価格!O238))</f>
        <v>#DIV/0!</v>
      </c>
      <c r="W250" t="e">
        <f t="shared" si="64"/>
        <v>#DIV/0!</v>
      </c>
      <c r="X250" t="e">
        <f t="shared" si="65"/>
        <v>#DIV/0!</v>
      </c>
      <c r="Y250" t="e">
        <f>IF(U250=0,0,IF(予定価格!G238=0,0,(U250-予定価格!H238)/予定価格!G238))</f>
        <v>#DIV/0!</v>
      </c>
      <c r="Z250" t="e">
        <f t="shared" si="66"/>
        <v>#DIV/0!</v>
      </c>
      <c r="AA250" t="e">
        <f t="shared" si="67"/>
        <v>#DIV/0!</v>
      </c>
      <c r="AB250" s="13" t="e">
        <f t="shared" si="68"/>
        <v>#DIV/0!</v>
      </c>
    </row>
    <row r="251" spans="1:28" hidden="1" x14ac:dyDescent="0.15">
      <c r="A251">
        <f>+予定価格!A239</f>
        <v>0</v>
      </c>
      <c r="B251" s="258">
        <f>ROUND(予定価格!B239*査定表!$B$437,-D251)+E251</f>
        <v>0</v>
      </c>
      <c r="C251" s="258"/>
      <c r="D251" s="45">
        <f t="shared" si="57"/>
        <v>4</v>
      </c>
      <c r="E251" s="46">
        <f t="shared" si="53"/>
        <v>0</v>
      </c>
      <c r="F251" s="258">
        <f>IF($F$12=0,0,IF(予定価格!$G$427=0,ROUND(予定価格!H239*(入力表!$F$12/予定価格!$H$431),-H251),ROUND((予定価格!G239*(入力表!$F$12-予定価格!$H$431)/予定価格!$G$431)+予定価格!H239,-H251)))+I251</f>
        <v>0</v>
      </c>
      <c r="G251" s="258"/>
      <c r="H251" s="47">
        <f t="shared" si="58"/>
        <v>4</v>
      </c>
      <c r="I251" s="48">
        <f t="shared" si="54"/>
        <v>0</v>
      </c>
      <c r="J251" s="116">
        <f t="shared" si="55"/>
        <v>0</v>
      </c>
      <c r="K251" s="19">
        <f t="shared" si="56"/>
        <v>0</v>
      </c>
      <c r="L251" s="50"/>
      <c r="M251" s="13">
        <f>ROUND(予定価格!B239*査定表!$B$437,-$F$14)</f>
        <v>0</v>
      </c>
      <c r="N251">
        <f>IF(M251=0,1,M251/予定価格!B239)</f>
        <v>1</v>
      </c>
      <c r="O251">
        <f t="shared" si="59"/>
        <v>21</v>
      </c>
      <c r="P251">
        <f t="shared" si="60"/>
        <v>0</v>
      </c>
      <c r="Q251">
        <f>IF(M251=0,0,M251/予定価格!B239)</f>
        <v>0</v>
      </c>
      <c r="R251">
        <f t="shared" si="61"/>
        <v>21</v>
      </c>
      <c r="S251">
        <f t="shared" si="62"/>
        <v>0</v>
      </c>
      <c r="T251" s="13">
        <f t="shared" si="63"/>
        <v>0</v>
      </c>
      <c r="U251" s="13" t="e">
        <f>IF(予定価格!$G$427=0,ROUND(予定価格!H239*(入力表!$F$12/予定価格!$H$431),-$F$14),ROUND((予定価格!G239*(入力表!$F$12-予定価格!$H$431)/予定価格!$G$431)+予定価格!H239,-$F$14))</f>
        <v>#DIV/0!</v>
      </c>
      <c r="V251" t="e">
        <f>IF(U251=0,1,IF(予定価格!O239=0,1,(U251-予定価格!P239)/予定価格!O239))</f>
        <v>#DIV/0!</v>
      </c>
      <c r="W251" t="e">
        <f t="shared" si="64"/>
        <v>#DIV/0!</v>
      </c>
      <c r="X251" t="e">
        <f t="shared" si="65"/>
        <v>#DIV/0!</v>
      </c>
      <c r="Y251" t="e">
        <f>IF(U251=0,0,IF(予定価格!G239=0,0,(U251-予定価格!H239)/予定価格!G239))</f>
        <v>#DIV/0!</v>
      </c>
      <c r="Z251" t="e">
        <f t="shared" si="66"/>
        <v>#DIV/0!</v>
      </c>
      <c r="AA251" t="e">
        <f t="shared" si="67"/>
        <v>#DIV/0!</v>
      </c>
      <c r="AB251" s="13" t="e">
        <f t="shared" si="68"/>
        <v>#DIV/0!</v>
      </c>
    </row>
    <row r="252" spans="1:28" hidden="1" x14ac:dyDescent="0.15">
      <c r="A252">
        <f>+予定価格!A240</f>
        <v>0</v>
      </c>
      <c r="B252" s="258">
        <f>ROUND(予定価格!B240*査定表!$B$437,-D252)+E252</f>
        <v>0</v>
      </c>
      <c r="C252" s="258"/>
      <c r="D252" s="45">
        <f t="shared" si="57"/>
        <v>4</v>
      </c>
      <c r="E252" s="46">
        <f t="shared" si="53"/>
        <v>0</v>
      </c>
      <c r="F252" s="258">
        <f>IF($F$12=0,0,IF(予定価格!$G$427=0,ROUND(予定価格!H240*(入力表!$F$12/予定価格!$H$431),-H252),ROUND((予定価格!G240*(入力表!$F$12-予定価格!$H$431)/予定価格!$G$431)+予定価格!H240,-H252)))+I252</f>
        <v>0</v>
      </c>
      <c r="G252" s="258"/>
      <c r="H252" s="47">
        <f t="shared" si="58"/>
        <v>4</v>
      </c>
      <c r="I252" s="48">
        <f t="shared" si="54"/>
        <v>0</v>
      </c>
      <c r="J252" s="116">
        <f t="shared" si="55"/>
        <v>0</v>
      </c>
      <c r="K252" s="19">
        <f t="shared" si="56"/>
        <v>0</v>
      </c>
      <c r="L252" s="50"/>
      <c r="M252" s="13">
        <f>ROUND(予定価格!B240*査定表!$B$437,-$F$14)</f>
        <v>0</v>
      </c>
      <c r="N252">
        <f>IF(M252=0,1,M252/予定価格!B240)</f>
        <v>1</v>
      </c>
      <c r="O252">
        <f t="shared" si="59"/>
        <v>21</v>
      </c>
      <c r="P252">
        <f t="shared" si="60"/>
        <v>0</v>
      </c>
      <c r="Q252">
        <f>IF(M252=0,0,M252/予定価格!B240)</f>
        <v>0</v>
      </c>
      <c r="R252">
        <f t="shared" si="61"/>
        <v>21</v>
      </c>
      <c r="S252">
        <f t="shared" si="62"/>
        <v>0</v>
      </c>
      <c r="T252" s="13">
        <f t="shared" si="63"/>
        <v>0</v>
      </c>
      <c r="U252" s="13" t="e">
        <f>IF(予定価格!$G$427=0,ROUND(予定価格!H240*(入力表!$F$12/予定価格!$H$431),-$F$14),ROUND((予定価格!G240*(入力表!$F$12-予定価格!$H$431)/予定価格!$G$431)+予定価格!H240,-$F$14))</f>
        <v>#DIV/0!</v>
      </c>
      <c r="V252" t="e">
        <f>IF(U252=0,1,IF(予定価格!O240=0,1,(U252-予定価格!P240)/予定価格!O240))</f>
        <v>#DIV/0!</v>
      </c>
      <c r="W252" t="e">
        <f t="shared" si="64"/>
        <v>#DIV/0!</v>
      </c>
      <c r="X252" t="e">
        <f t="shared" si="65"/>
        <v>#DIV/0!</v>
      </c>
      <c r="Y252" t="e">
        <f>IF(U252=0,0,IF(予定価格!G240=0,0,(U252-予定価格!H240)/予定価格!G240))</f>
        <v>#DIV/0!</v>
      </c>
      <c r="Z252" t="e">
        <f t="shared" si="66"/>
        <v>#DIV/0!</v>
      </c>
      <c r="AA252" t="e">
        <f t="shared" si="67"/>
        <v>#DIV/0!</v>
      </c>
      <c r="AB252" s="13" t="e">
        <f t="shared" si="68"/>
        <v>#DIV/0!</v>
      </c>
    </row>
    <row r="253" spans="1:28" hidden="1" x14ac:dyDescent="0.15">
      <c r="A253">
        <f>+予定価格!A241</f>
        <v>0</v>
      </c>
      <c r="B253" s="258">
        <f>ROUND(予定価格!B241*査定表!$B$437,-D253)+E253</f>
        <v>0</v>
      </c>
      <c r="C253" s="258"/>
      <c r="D253" s="45">
        <f t="shared" si="57"/>
        <v>4</v>
      </c>
      <c r="E253" s="46">
        <f t="shared" si="53"/>
        <v>0</v>
      </c>
      <c r="F253" s="258">
        <f>IF($F$12=0,0,IF(予定価格!$G$427=0,ROUND(予定価格!H241*(入力表!$F$12/予定価格!$H$431),-H253),ROUND((予定価格!G241*(入力表!$F$12-予定価格!$H$431)/予定価格!$G$431)+予定価格!H241,-H253)))+I253</f>
        <v>0</v>
      </c>
      <c r="G253" s="258"/>
      <c r="H253" s="47">
        <f t="shared" si="58"/>
        <v>4</v>
      </c>
      <c r="I253" s="48">
        <f t="shared" si="54"/>
        <v>0</v>
      </c>
      <c r="J253" s="116">
        <f t="shared" si="55"/>
        <v>0</v>
      </c>
      <c r="K253" s="19">
        <f t="shared" si="56"/>
        <v>0</v>
      </c>
      <c r="L253" s="50"/>
      <c r="M253" s="13">
        <f>ROUND(予定価格!B241*査定表!$B$437,-$F$14)</f>
        <v>0</v>
      </c>
      <c r="N253">
        <f>IF(M253=0,1,M253/予定価格!B241)</f>
        <v>1</v>
      </c>
      <c r="O253">
        <f t="shared" si="59"/>
        <v>21</v>
      </c>
      <c r="P253">
        <f t="shared" si="60"/>
        <v>0</v>
      </c>
      <c r="Q253">
        <f>IF(M253=0,0,M253/予定価格!B241)</f>
        <v>0</v>
      </c>
      <c r="R253">
        <f t="shared" si="61"/>
        <v>21</v>
      </c>
      <c r="S253">
        <f t="shared" si="62"/>
        <v>0</v>
      </c>
      <c r="T253" s="13">
        <f t="shared" si="63"/>
        <v>0</v>
      </c>
      <c r="U253" s="13" t="e">
        <f>IF(予定価格!$G$427=0,ROUND(予定価格!H241*(入力表!$F$12/予定価格!$H$431),-$F$14),ROUND((予定価格!G241*(入力表!$F$12-予定価格!$H$431)/予定価格!$G$431)+予定価格!H241,-$F$14))</f>
        <v>#DIV/0!</v>
      </c>
      <c r="V253" t="e">
        <f>IF(U253=0,1,IF(予定価格!O241=0,1,(U253-予定価格!P241)/予定価格!O241))</f>
        <v>#DIV/0!</v>
      </c>
      <c r="W253" t="e">
        <f t="shared" si="64"/>
        <v>#DIV/0!</v>
      </c>
      <c r="X253" t="e">
        <f t="shared" si="65"/>
        <v>#DIV/0!</v>
      </c>
      <c r="Y253" t="e">
        <f>IF(U253=0,0,IF(予定価格!G241=0,0,(U253-予定価格!H241)/予定価格!G241))</f>
        <v>#DIV/0!</v>
      </c>
      <c r="Z253" t="e">
        <f t="shared" si="66"/>
        <v>#DIV/0!</v>
      </c>
      <c r="AA253" t="e">
        <f t="shared" si="67"/>
        <v>#DIV/0!</v>
      </c>
      <c r="AB253" s="13" t="e">
        <f t="shared" si="68"/>
        <v>#DIV/0!</v>
      </c>
    </row>
    <row r="254" spans="1:28" hidden="1" x14ac:dyDescent="0.15">
      <c r="A254">
        <f>+予定価格!A242</f>
        <v>0</v>
      </c>
      <c r="B254" s="258">
        <f>ROUND(予定価格!B242*査定表!$B$437,-D254)+E254</f>
        <v>0</v>
      </c>
      <c r="C254" s="258"/>
      <c r="D254" s="45">
        <f t="shared" si="57"/>
        <v>4</v>
      </c>
      <c r="E254" s="46">
        <f t="shared" si="53"/>
        <v>0</v>
      </c>
      <c r="F254" s="258">
        <f>IF($F$12=0,0,IF(予定価格!$G$427=0,ROUND(予定価格!H242*(入力表!$F$12/予定価格!$H$431),-H254),ROUND((予定価格!G242*(入力表!$F$12-予定価格!$H$431)/予定価格!$G$431)+予定価格!H242,-H254)))+I254</f>
        <v>0</v>
      </c>
      <c r="G254" s="258"/>
      <c r="H254" s="47">
        <f t="shared" si="58"/>
        <v>4</v>
      </c>
      <c r="I254" s="48">
        <f t="shared" si="54"/>
        <v>0</v>
      </c>
      <c r="J254" s="116">
        <f t="shared" si="55"/>
        <v>0</v>
      </c>
      <c r="K254" s="19">
        <f t="shared" si="56"/>
        <v>0</v>
      </c>
      <c r="L254" s="50"/>
      <c r="M254" s="13">
        <f>ROUND(予定価格!B242*査定表!$B$437,-$F$14)</f>
        <v>0</v>
      </c>
      <c r="N254">
        <f>IF(M254=0,1,M254/予定価格!B242)</f>
        <v>1</v>
      </c>
      <c r="O254">
        <f t="shared" si="59"/>
        <v>21</v>
      </c>
      <c r="P254">
        <f t="shared" si="60"/>
        <v>0</v>
      </c>
      <c r="Q254">
        <f>IF(M254=0,0,M254/予定価格!B242)</f>
        <v>0</v>
      </c>
      <c r="R254">
        <f t="shared" si="61"/>
        <v>21</v>
      </c>
      <c r="S254">
        <f t="shared" si="62"/>
        <v>0</v>
      </c>
      <c r="T254" s="13">
        <f t="shared" si="63"/>
        <v>0</v>
      </c>
      <c r="U254" s="13" t="e">
        <f>IF(予定価格!$G$427=0,ROUND(予定価格!H242*(入力表!$F$12/予定価格!$H$431),-$F$14),ROUND((予定価格!G242*(入力表!$F$12-予定価格!$H$431)/予定価格!$G$431)+予定価格!H242,-$F$14))</f>
        <v>#DIV/0!</v>
      </c>
      <c r="V254" t="e">
        <f>IF(U254=0,1,IF(予定価格!O242=0,1,(U254-予定価格!P242)/予定価格!O242))</f>
        <v>#DIV/0!</v>
      </c>
      <c r="W254" t="e">
        <f t="shared" si="64"/>
        <v>#DIV/0!</v>
      </c>
      <c r="X254" t="e">
        <f t="shared" si="65"/>
        <v>#DIV/0!</v>
      </c>
      <c r="Y254" t="e">
        <f>IF(U254=0,0,IF(予定価格!G242=0,0,(U254-予定価格!H242)/予定価格!G242))</f>
        <v>#DIV/0!</v>
      </c>
      <c r="Z254" t="e">
        <f t="shared" si="66"/>
        <v>#DIV/0!</v>
      </c>
      <c r="AA254" t="e">
        <f t="shared" si="67"/>
        <v>#DIV/0!</v>
      </c>
      <c r="AB254" s="13" t="e">
        <f t="shared" si="68"/>
        <v>#DIV/0!</v>
      </c>
    </row>
    <row r="255" spans="1:28" hidden="1" x14ac:dyDescent="0.15">
      <c r="A255">
        <f>+予定価格!A243</f>
        <v>0</v>
      </c>
      <c r="B255" s="258">
        <f>ROUND(予定価格!B243*査定表!$B$437,-D255)+E255</f>
        <v>0</v>
      </c>
      <c r="C255" s="258"/>
      <c r="D255" s="45">
        <f t="shared" si="57"/>
        <v>4</v>
      </c>
      <c r="E255" s="46">
        <f t="shared" si="53"/>
        <v>0</v>
      </c>
      <c r="F255" s="258">
        <f>IF($F$12=0,0,IF(予定価格!$G$427=0,ROUND(予定価格!H243*(入力表!$F$12/予定価格!$H$431),-H255),ROUND((予定価格!G243*(入力表!$F$12-予定価格!$H$431)/予定価格!$G$431)+予定価格!H243,-H255)))+I255</f>
        <v>0</v>
      </c>
      <c r="G255" s="258"/>
      <c r="H255" s="47">
        <f t="shared" si="58"/>
        <v>4</v>
      </c>
      <c r="I255" s="48">
        <f t="shared" si="54"/>
        <v>0</v>
      </c>
      <c r="J255" s="116">
        <f t="shared" si="55"/>
        <v>0</v>
      </c>
      <c r="K255" s="19">
        <f t="shared" si="56"/>
        <v>0</v>
      </c>
      <c r="L255" s="50"/>
      <c r="M255" s="13">
        <f>ROUND(予定価格!B243*査定表!$B$437,-$F$14)</f>
        <v>0</v>
      </c>
      <c r="N255">
        <f>IF(M255=0,1,M255/予定価格!B243)</f>
        <v>1</v>
      </c>
      <c r="O255">
        <f t="shared" si="59"/>
        <v>21</v>
      </c>
      <c r="P255">
        <f t="shared" si="60"/>
        <v>0</v>
      </c>
      <c r="Q255">
        <f>IF(M255=0,0,M255/予定価格!B243)</f>
        <v>0</v>
      </c>
      <c r="R255">
        <f t="shared" si="61"/>
        <v>21</v>
      </c>
      <c r="S255">
        <f t="shared" si="62"/>
        <v>0</v>
      </c>
      <c r="T255" s="13">
        <f t="shared" si="63"/>
        <v>0</v>
      </c>
      <c r="U255" s="13" t="e">
        <f>IF(予定価格!$G$427=0,ROUND(予定価格!H243*(入力表!$F$12/予定価格!$H$431),-$F$14),ROUND((予定価格!G243*(入力表!$F$12-予定価格!$H$431)/予定価格!$G$431)+予定価格!H243,-$F$14))</f>
        <v>#DIV/0!</v>
      </c>
      <c r="V255" t="e">
        <f>IF(U255=0,1,IF(予定価格!O243=0,1,(U255-予定価格!P243)/予定価格!O243))</f>
        <v>#DIV/0!</v>
      </c>
      <c r="W255" t="e">
        <f t="shared" si="64"/>
        <v>#DIV/0!</v>
      </c>
      <c r="X255" t="e">
        <f t="shared" si="65"/>
        <v>#DIV/0!</v>
      </c>
      <c r="Y255" t="e">
        <f>IF(U255=0,0,IF(予定価格!G243=0,0,(U255-予定価格!H243)/予定価格!G243))</f>
        <v>#DIV/0!</v>
      </c>
      <c r="Z255" t="e">
        <f t="shared" si="66"/>
        <v>#DIV/0!</v>
      </c>
      <c r="AA255" t="e">
        <f t="shared" si="67"/>
        <v>#DIV/0!</v>
      </c>
      <c r="AB255" s="13" t="e">
        <f t="shared" si="68"/>
        <v>#DIV/0!</v>
      </c>
    </row>
    <row r="256" spans="1:28" hidden="1" x14ac:dyDescent="0.15">
      <c r="A256">
        <f>+予定価格!A244</f>
        <v>0</v>
      </c>
      <c r="B256" s="258">
        <f>ROUND(予定価格!B244*査定表!$B$437,-D256)+E256</f>
        <v>0</v>
      </c>
      <c r="C256" s="258"/>
      <c r="D256" s="45">
        <f t="shared" si="57"/>
        <v>4</v>
      </c>
      <c r="E256" s="46">
        <f t="shared" si="53"/>
        <v>0</v>
      </c>
      <c r="F256" s="258">
        <f>IF($F$12=0,0,IF(予定価格!$G$427=0,ROUND(予定価格!H244*(入力表!$F$12/予定価格!$H$431),-H256),ROUND((予定価格!G244*(入力表!$F$12-予定価格!$H$431)/予定価格!$G$431)+予定価格!H244,-H256)))+I256</f>
        <v>0</v>
      </c>
      <c r="G256" s="258"/>
      <c r="H256" s="47">
        <f t="shared" si="58"/>
        <v>4</v>
      </c>
      <c r="I256" s="48">
        <f t="shared" si="54"/>
        <v>0</v>
      </c>
      <c r="J256" s="116">
        <f t="shared" si="55"/>
        <v>0</v>
      </c>
      <c r="K256" s="19">
        <f t="shared" si="56"/>
        <v>0</v>
      </c>
      <c r="L256" s="50"/>
      <c r="M256" s="13">
        <f>ROUND(予定価格!B244*査定表!$B$437,-$F$14)</f>
        <v>0</v>
      </c>
      <c r="N256">
        <f>IF(M256=0,1,M256/予定価格!B244)</f>
        <v>1</v>
      </c>
      <c r="O256">
        <f t="shared" si="59"/>
        <v>21</v>
      </c>
      <c r="P256">
        <f t="shared" si="60"/>
        <v>0</v>
      </c>
      <c r="Q256">
        <f>IF(M256=0,0,M256/予定価格!B244)</f>
        <v>0</v>
      </c>
      <c r="R256">
        <f t="shared" si="61"/>
        <v>21</v>
      </c>
      <c r="S256">
        <f t="shared" si="62"/>
        <v>0</v>
      </c>
      <c r="T256" s="13">
        <f t="shared" si="63"/>
        <v>0</v>
      </c>
      <c r="U256" s="13" t="e">
        <f>IF(予定価格!$G$427=0,ROUND(予定価格!H244*(入力表!$F$12/予定価格!$H$431),-$F$14),ROUND((予定価格!G244*(入力表!$F$12-予定価格!$H$431)/予定価格!$G$431)+予定価格!H244,-$F$14))</f>
        <v>#DIV/0!</v>
      </c>
      <c r="V256" t="e">
        <f>IF(U256=0,1,IF(予定価格!O244=0,1,(U256-予定価格!P244)/予定価格!O244))</f>
        <v>#DIV/0!</v>
      </c>
      <c r="W256" t="e">
        <f t="shared" si="64"/>
        <v>#DIV/0!</v>
      </c>
      <c r="X256" t="e">
        <f t="shared" si="65"/>
        <v>#DIV/0!</v>
      </c>
      <c r="Y256" t="e">
        <f>IF(U256=0,0,IF(予定価格!G244=0,0,(U256-予定価格!H244)/予定価格!G244))</f>
        <v>#DIV/0!</v>
      </c>
      <c r="Z256" t="e">
        <f t="shared" si="66"/>
        <v>#DIV/0!</v>
      </c>
      <c r="AA256" t="e">
        <f t="shared" si="67"/>
        <v>#DIV/0!</v>
      </c>
      <c r="AB256" s="13" t="e">
        <f t="shared" si="68"/>
        <v>#DIV/0!</v>
      </c>
    </row>
    <row r="257" spans="1:28" hidden="1" x14ac:dyDescent="0.15">
      <c r="A257">
        <f>+予定価格!A245</f>
        <v>0</v>
      </c>
      <c r="B257" s="258">
        <f>ROUND(予定価格!B245*査定表!$B$437,-D257)+E257</f>
        <v>0</v>
      </c>
      <c r="C257" s="258"/>
      <c r="D257" s="45">
        <f t="shared" si="57"/>
        <v>4</v>
      </c>
      <c r="E257" s="46">
        <f t="shared" si="53"/>
        <v>0</v>
      </c>
      <c r="F257" s="258">
        <f>IF($F$12=0,0,IF(予定価格!$G$427=0,ROUND(予定価格!H245*(入力表!$F$12/予定価格!$H$431),-H257),ROUND((予定価格!G245*(入力表!$F$12-予定価格!$H$431)/予定価格!$G$431)+予定価格!H245,-H257)))+I257</f>
        <v>0</v>
      </c>
      <c r="G257" s="258"/>
      <c r="H257" s="47">
        <f t="shared" si="58"/>
        <v>4</v>
      </c>
      <c r="I257" s="48">
        <f t="shared" si="54"/>
        <v>0</v>
      </c>
      <c r="J257" s="116">
        <f t="shared" si="55"/>
        <v>0</v>
      </c>
      <c r="K257" s="19">
        <f t="shared" si="56"/>
        <v>0</v>
      </c>
      <c r="L257" s="50"/>
      <c r="M257" s="13">
        <f>ROUND(予定価格!B245*査定表!$B$437,-$F$14)</f>
        <v>0</v>
      </c>
      <c r="N257">
        <f>IF(M257=0,1,M257/予定価格!B245)</f>
        <v>1</v>
      </c>
      <c r="O257">
        <f t="shared" si="59"/>
        <v>21</v>
      </c>
      <c r="P257">
        <f t="shared" si="60"/>
        <v>0</v>
      </c>
      <c r="Q257">
        <f>IF(M257=0,0,M257/予定価格!B245)</f>
        <v>0</v>
      </c>
      <c r="R257">
        <f t="shared" si="61"/>
        <v>21</v>
      </c>
      <c r="S257">
        <f t="shared" si="62"/>
        <v>0</v>
      </c>
      <c r="T257" s="13">
        <f t="shared" si="63"/>
        <v>0</v>
      </c>
      <c r="U257" s="13" t="e">
        <f>IF(予定価格!$G$427=0,ROUND(予定価格!H245*(入力表!$F$12/予定価格!$H$431),-$F$14),ROUND((予定価格!G245*(入力表!$F$12-予定価格!$H$431)/予定価格!$G$431)+予定価格!H245,-$F$14))</f>
        <v>#DIV/0!</v>
      </c>
      <c r="V257" t="e">
        <f>IF(U257=0,1,IF(予定価格!O245=0,1,(U257-予定価格!P245)/予定価格!O245))</f>
        <v>#DIV/0!</v>
      </c>
      <c r="W257" t="e">
        <f t="shared" si="64"/>
        <v>#DIV/0!</v>
      </c>
      <c r="X257" t="e">
        <f t="shared" si="65"/>
        <v>#DIV/0!</v>
      </c>
      <c r="Y257" t="e">
        <f>IF(U257=0,0,IF(予定価格!G245=0,0,(U257-予定価格!H245)/予定価格!G245))</f>
        <v>#DIV/0!</v>
      </c>
      <c r="Z257" t="e">
        <f t="shared" si="66"/>
        <v>#DIV/0!</v>
      </c>
      <c r="AA257" t="e">
        <f t="shared" si="67"/>
        <v>#DIV/0!</v>
      </c>
      <c r="AB257" s="13" t="e">
        <f t="shared" si="68"/>
        <v>#DIV/0!</v>
      </c>
    </row>
    <row r="258" spans="1:28" hidden="1" x14ac:dyDescent="0.15">
      <c r="A258">
        <f>+予定価格!A246</f>
        <v>0</v>
      </c>
      <c r="B258" s="258">
        <f>ROUND(予定価格!B246*査定表!$B$437,-D258)+E258</f>
        <v>0</v>
      </c>
      <c r="C258" s="258"/>
      <c r="D258" s="45">
        <f t="shared" si="57"/>
        <v>4</v>
      </c>
      <c r="E258" s="46">
        <f t="shared" si="53"/>
        <v>0</v>
      </c>
      <c r="F258" s="258">
        <f>IF($F$12=0,0,IF(予定価格!$G$427=0,ROUND(予定価格!H246*(入力表!$F$12/予定価格!$H$431),-H258),ROUND((予定価格!G246*(入力表!$F$12-予定価格!$H$431)/予定価格!$G$431)+予定価格!H246,-H258)))+I258</f>
        <v>0</v>
      </c>
      <c r="G258" s="258"/>
      <c r="H258" s="47">
        <f t="shared" si="58"/>
        <v>4</v>
      </c>
      <c r="I258" s="48">
        <f t="shared" si="54"/>
        <v>0</v>
      </c>
      <c r="J258" s="116">
        <f t="shared" si="55"/>
        <v>0</v>
      </c>
      <c r="K258" s="19">
        <f t="shared" si="56"/>
        <v>0</v>
      </c>
      <c r="L258" s="50"/>
      <c r="M258" s="13">
        <f>ROUND(予定価格!B246*査定表!$B$437,-$F$14)</f>
        <v>0</v>
      </c>
      <c r="N258">
        <f>IF(M258=0,1,M258/予定価格!B246)</f>
        <v>1</v>
      </c>
      <c r="O258">
        <f t="shared" si="59"/>
        <v>21</v>
      </c>
      <c r="P258">
        <f t="shared" si="60"/>
        <v>0</v>
      </c>
      <c r="Q258">
        <f>IF(M258=0,0,M258/予定価格!B246)</f>
        <v>0</v>
      </c>
      <c r="R258">
        <f t="shared" si="61"/>
        <v>21</v>
      </c>
      <c r="S258">
        <f t="shared" si="62"/>
        <v>0</v>
      </c>
      <c r="T258" s="13">
        <f t="shared" si="63"/>
        <v>0</v>
      </c>
      <c r="U258" s="13" t="e">
        <f>IF(予定価格!$G$427=0,ROUND(予定価格!H246*(入力表!$F$12/予定価格!$H$431),-$F$14),ROUND((予定価格!G246*(入力表!$F$12-予定価格!$H$431)/予定価格!$G$431)+予定価格!H246,-$F$14))</f>
        <v>#DIV/0!</v>
      </c>
      <c r="V258" t="e">
        <f>IF(U258=0,1,IF(予定価格!O246=0,1,(U258-予定価格!P246)/予定価格!O246))</f>
        <v>#DIV/0!</v>
      </c>
      <c r="W258" t="e">
        <f t="shared" si="64"/>
        <v>#DIV/0!</v>
      </c>
      <c r="X258" t="e">
        <f t="shared" si="65"/>
        <v>#DIV/0!</v>
      </c>
      <c r="Y258" t="e">
        <f>IF(U258=0,0,IF(予定価格!G246=0,0,(U258-予定価格!H246)/予定価格!G246))</f>
        <v>#DIV/0!</v>
      </c>
      <c r="Z258" t="e">
        <f t="shared" si="66"/>
        <v>#DIV/0!</v>
      </c>
      <c r="AA258" t="e">
        <f t="shared" si="67"/>
        <v>#DIV/0!</v>
      </c>
      <c r="AB258" s="13" t="e">
        <f t="shared" si="68"/>
        <v>#DIV/0!</v>
      </c>
    </row>
    <row r="259" spans="1:28" hidden="1" x14ac:dyDescent="0.15">
      <c r="A259">
        <f>+予定価格!A247</f>
        <v>0</v>
      </c>
      <c r="B259" s="258">
        <f>ROUND(予定価格!B247*査定表!$B$437,-D259)+E259</f>
        <v>0</v>
      </c>
      <c r="C259" s="258"/>
      <c r="D259" s="45">
        <f t="shared" si="57"/>
        <v>4</v>
      </c>
      <c r="E259" s="46">
        <f t="shared" si="53"/>
        <v>0</v>
      </c>
      <c r="F259" s="258">
        <f>IF($F$12=0,0,IF(予定価格!$G$427=0,ROUND(予定価格!H247*(入力表!$F$12/予定価格!$H$431),-H259),ROUND((予定価格!G247*(入力表!$F$12-予定価格!$H$431)/予定価格!$G$431)+予定価格!H247,-H259)))+I259</f>
        <v>0</v>
      </c>
      <c r="G259" s="258"/>
      <c r="H259" s="47">
        <f t="shared" si="58"/>
        <v>4</v>
      </c>
      <c r="I259" s="48">
        <f t="shared" si="54"/>
        <v>0</v>
      </c>
      <c r="J259" s="116">
        <f t="shared" si="55"/>
        <v>0</v>
      </c>
      <c r="K259" s="19">
        <f t="shared" si="56"/>
        <v>0</v>
      </c>
      <c r="L259" s="50"/>
      <c r="M259" s="13">
        <f>ROUND(予定価格!B247*査定表!$B$437,-$F$14)</f>
        <v>0</v>
      </c>
      <c r="N259">
        <f>IF(M259=0,1,M259/予定価格!B247)</f>
        <v>1</v>
      </c>
      <c r="O259">
        <f t="shared" si="59"/>
        <v>21</v>
      </c>
      <c r="P259">
        <f t="shared" si="60"/>
        <v>0</v>
      </c>
      <c r="Q259">
        <f>IF(M259=0,0,M259/予定価格!B247)</f>
        <v>0</v>
      </c>
      <c r="R259">
        <f t="shared" si="61"/>
        <v>21</v>
      </c>
      <c r="S259">
        <f t="shared" si="62"/>
        <v>0</v>
      </c>
      <c r="T259" s="13">
        <f t="shared" si="63"/>
        <v>0</v>
      </c>
      <c r="U259" s="13" t="e">
        <f>IF(予定価格!$G$427=0,ROUND(予定価格!H247*(入力表!$F$12/予定価格!$H$431),-$F$14),ROUND((予定価格!G247*(入力表!$F$12-予定価格!$H$431)/予定価格!$G$431)+予定価格!H247,-$F$14))</f>
        <v>#DIV/0!</v>
      </c>
      <c r="V259" t="e">
        <f>IF(U259=0,1,IF(予定価格!O247=0,1,(U259-予定価格!P247)/予定価格!O247))</f>
        <v>#DIV/0!</v>
      </c>
      <c r="W259" t="e">
        <f t="shared" si="64"/>
        <v>#DIV/0!</v>
      </c>
      <c r="X259" t="e">
        <f t="shared" si="65"/>
        <v>#DIV/0!</v>
      </c>
      <c r="Y259" t="e">
        <f>IF(U259=0,0,IF(予定価格!G247=0,0,(U259-予定価格!H247)/予定価格!G247))</f>
        <v>#DIV/0!</v>
      </c>
      <c r="Z259" t="e">
        <f t="shared" si="66"/>
        <v>#DIV/0!</v>
      </c>
      <c r="AA259" t="e">
        <f t="shared" si="67"/>
        <v>#DIV/0!</v>
      </c>
      <c r="AB259" s="13" t="e">
        <f t="shared" si="68"/>
        <v>#DIV/0!</v>
      </c>
    </row>
    <row r="260" spans="1:28" hidden="1" x14ac:dyDescent="0.15">
      <c r="A260">
        <f>+予定価格!A248</f>
        <v>0</v>
      </c>
      <c r="B260" s="258">
        <f>ROUND(予定価格!B248*査定表!$B$437,-D260)+E260</f>
        <v>0</v>
      </c>
      <c r="C260" s="258"/>
      <c r="D260" s="45">
        <f t="shared" si="57"/>
        <v>4</v>
      </c>
      <c r="E260" s="46">
        <f t="shared" si="53"/>
        <v>0</v>
      </c>
      <c r="F260" s="258">
        <f>IF($F$12=0,0,IF(予定価格!$G$427=0,ROUND(予定価格!H248*(入力表!$F$12/予定価格!$H$431),-H260),ROUND((予定価格!G248*(入力表!$F$12-予定価格!$H$431)/予定価格!$G$431)+予定価格!H248,-H260)))+I260</f>
        <v>0</v>
      </c>
      <c r="G260" s="258"/>
      <c r="H260" s="47">
        <f t="shared" si="58"/>
        <v>4</v>
      </c>
      <c r="I260" s="48">
        <f t="shared" si="54"/>
        <v>0</v>
      </c>
      <c r="J260" s="116">
        <f t="shared" si="55"/>
        <v>0</v>
      </c>
      <c r="K260" s="19">
        <f t="shared" si="56"/>
        <v>0</v>
      </c>
      <c r="L260" s="50"/>
      <c r="M260" s="13">
        <f>ROUND(予定価格!B248*査定表!$B$437,-$F$14)</f>
        <v>0</v>
      </c>
      <c r="N260">
        <f>IF(M260=0,1,M260/予定価格!B248)</f>
        <v>1</v>
      </c>
      <c r="O260">
        <f t="shared" si="59"/>
        <v>21</v>
      </c>
      <c r="P260">
        <f t="shared" si="60"/>
        <v>0</v>
      </c>
      <c r="Q260">
        <f>IF(M260=0,0,M260/予定価格!B248)</f>
        <v>0</v>
      </c>
      <c r="R260">
        <f t="shared" si="61"/>
        <v>21</v>
      </c>
      <c r="S260">
        <f t="shared" si="62"/>
        <v>0</v>
      </c>
      <c r="T260" s="13">
        <f t="shared" si="63"/>
        <v>0</v>
      </c>
      <c r="U260" s="13" t="e">
        <f>IF(予定価格!$G$427=0,ROUND(予定価格!H248*(入力表!$F$12/予定価格!$H$431),-$F$14),ROUND((予定価格!G248*(入力表!$F$12-予定価格!$H$431)/予定価格!$G$431)+予定価格!H248,-$F$14))</f>
        <v>#DIV/0!</v>
      </c>
      <c r="V260" t="e">
        <f>IF(U260=0,1,IF(予定価格!O248=0,1,(U260-予定価格!P248)/予定価格!O248))</f>
        <v>#DIV/0!</v>
      </c>
      <c r="W260" t="e">
        <f t="shared" si="64"/>
        <v>#DIV/0!</v>
      </c>
      <c r="X260" t="e">
        <f t="shared" si="65"/>
        <v>#DIV/0!</v>
      </c>
      <c r="Y260" t="e">
        <f>IF(U260=0,0,IF(予定価格!G248=0,0,(U260-予定価格!H248)/予定価格!G248))</f>
        <v>#DIV/0!</v>
      </c>
      <c r="Z260" t="e">
        <f t="shared" si="66"/>
        <v>#DIV/0!</v>
      </c>
      <c r="AA260" t="e">
        <f t="shared" si="67"/>
        <v>#DIV/0!</v>
      </c>
      <c r="AB260" s="13" t="e">
        <f t="shared" si="68"/>
        <v>#DIV/0!</v>
      </c>
    </row>
    <row r="261" spans="1:28" hidden="1" x14ac:dyDescent="0.15">
      <c r="A261">
        <f>+予定価格!A249</f>
        <v>0</v>
      </c>
      <c r="B261" s="258">
        <f>ROUND(予定価格!B249*査定表!$B$437,-D261)+E261</f>
        <v>0</v>
      </c>
      <c r="C261" s="258"/>
      <c r="D261" s="45">
        <f t="shared" si="57"/>
        <v>4</v>
      </c>
      <c r="E261" s="46">
        <f t="shared" si="53"/>
        <v>0</v>
      </c>
      <c r="F261" s="258">
        <f>IF($F$12=0,0,IF(予定価格!$G$427=0,ROUND(予定価格!H249*(入力表!$F$12/予定価格!$H$431),-H261),ROUND((予定価格!G249*(入力表!$F$12-予定価格!$H$431)/予定価格!$G$431)+予定価格!H249,-H261)))+I261</f>
        <v>0</v>
      </c>
      <c r="G261" s="258"/>
      <c r="H261" s="47">
        <f t="shared" si="58"/>
        <v>4</v>
      </c>
      <c r="I261" s="48">
        <f t="shared" si="54"/>
        <v>0</v>
      </c>
      <c r="J261" s="116">
        <f t="shared" si="55"/>
        <v>0</v>
      </c>
      <c r="K261" s="19">
        <f t="shared" si="56"/>
        <v>0</v>
      </c>
      <c r="L261" s="50"/>
      <c r="M261" s="13">
        <f>ROUND(予定価格!B249*査定表!$B$437,-$F$14)</f>
        <v>0</v>
      </c>
      <c r="N261">
        <f>IF(M261=0,1,M261/予定価格!B249)</f>
        <v>1</v>
      </c>
      <c r="O261">
        <f t="shared" si="59"/>
        <v>21</v>
      </c>
      <c r="P261">
        <f t="shared" si="60"/>
        <v>0</v>
      </c>
      <c r="Q261">
        <f>IF(M261=0,0,M261/予定価格!B249)</f>
        <v>0</v>
      </c>
      <c r="R261">
        <f t="shared" si="61"/>
        <v>21</v>
      </c>
      <c r="S261">
        <f t="shared" si="62"/>
        <v>0</v>
      </c>
      <c r="T261" s="13">
        <f t="shared" si="63"/>
        <v>0</v>
      </c>
      <c r="U261" s="13" t="e">
        <f>IF(予定価格!$G$427=0,ROUND(予定価格!H249*(入力表!$F$12/予定価格!$H$431),-$F$14),ROUND((予定価格!G249*(入力表!$F$12-予定価格!$H$431)/予定価格!$G$431)+予定価格!H249,-$F$14))</f>
        <v>#DIV/0!</v>
      </c>
      <c r="V261" t="e">
        <f>IF(U261=0,1,IF(予定価格!O249=0,1,(U261-予定価格!P249)/予定価格!O249))</f>
        <v>#DIV/0!</v>
      </c>
      <c r="W261" t="e">
        <f t="shared" si="64"/>
        <v>#DIV/0!</v>
      </c>
      <c r="X261" t="e">
        <f t="shared" si="65"/>
        <v>#DIV/0!</v>
      </c>
      <c r="Y261" t="e">
        <f>IF(U261=0,0,IF(予定価格!G249=0,0,(U261-予定価格!H249)/予定価格!G249))</f>
        <v>#DIV/0!</v>
      </c>
      <c r="Z261" t="e">
        <f t="shared" si="66"/>
        <v>#DIV/0!</v>
      </c>
      <c r="AA261" t="e">
        <f t="shared" si="67"/>
        <v>#DIV/0!</v>
      </c>
      <c r="AB261" s="13" t="e">
        <f t="shared" si="68"/>
        <v>#DIV/0!</v>
      </c>
    </row>
    <row r="262" spans="1:28" hidden="1" x14ac:dyDescent="0.15">
      <c r="A262">
        <f>+予定価格!A250</f>
        <v>0</v>
      </c>
      <c r="B262" s="258">
        <f>ROUND(予定価格!B250*査定表!$B$437,-D262)+E262</f>
        <v>0</v>
      </c>
      <c r="C262" s="258"/>
      <c r="D262" s="45">
        <f t="shared" si="57"/>
        <v>4</v>
      </c>
      <c r="E262" s="46">
        <f t="shared" si="53"/>
        <v>0</v>
      </c>
      <c r="F262" s="258">
        <f>IF($F$12=0,0,IF(予定価格!$G$427=0,ROUND(予定価格!H250*(入力表!$F$12/予定価格!$H$431),-H262),ROUND((予定価格!G250*(入力表!$F$12-予定価格!$H$431)/予定価格!$G$431)+予定価格!H250,-H262)))+I262</f>
        <v>0</v>
      </c>
      <c r="G262" s="258"/>
      <c r="H262" s="47">
        <f t="shared" si="58"/>
        <v>4</v>
      </c>
      <c r="I262" s="48">
        <f t="shared" si="54"/>
        <v>0</v>
      </c>
      <c r="J262" s="116">
        <f t="shared" si="55"/>
        <v>0</v>
      </c>
      <c r="K262" s="19">
        <f t="shared" si="56"/>
        <v>0</v>
      </c>
      <c r="L262" s="50"/>
      <c r="M262" s="13">
        <f>ROUND(予定価格!B250*査定表!$B$437,-$F$14)</f>
        <v>0</v>
      </c>
      <c r="N262">
        <f>IF(M262=0,1,M262/予定価格!B250)</f>
        <v>1</v>
      </c>
      <c r="O262">
        <f t="shared" si="59"/>
        <v>21</v>
      </c>
      <c r="P262">
        <f t="shared" si="60"/>
        <v>0</v>
      </c>
      <c r="Q262">
        <f>IF(M262=0,0,M262/予定価格!B250)</f>
        <v>0</v>
      </c>
      <c r="R262">
        <f t="shared" si="61"/>
        <v>21</v>
      </c>
      <c r="S262">
        <f t="shared" si="62"/>
        <v>0</v>
      </c>
      <c r="T262" s="13">
        <f t="shared" si="63"/>
        <v>0</v>
      </c>
      <c r="U262" s="13" t="e">
        <f>IF(予定価格!$G$427=0,ROUND(予定価格!H250*(入力表!$F$12/予定価格!$H$431),-$F$14),ROUND((予定価格!G250*(入力表!$F$12-予定価格!$H$431)/予定価格!$G$431)+予定価格!H250,-$F$14))</f>
        <v>#DIV/0!</v>
      </c>
      <c r="V262" t="e">
        <f>IF(U262=0,1,IF(予定価格!O250=0,1,(U262-予定価格!P250)/予定価格!O250))</f>
        <v>#DIV/0!</v>
      </c>
      <c r="W262" t="e">
        <f t="shared" si="64"/>
        <v>#DIV/0!</v>
      </c>
      <c r="X262" t="e">
        <f t="shared" si="65"/>
        <v>#DIV/0!</v>
      </c>
      <c r="Y262" t="e">
        <f>IF(U262=0,0,IF(予定価格!G250=0,0,(U262-予定価格!H250)/予定価格!G250))</f>
        <v>#DIV/0!</v>
      </c>
      <c r="Z262" t="e">
        <f t="shared" si="66"/>
        <v>#DIV/0!</v>
      </c>
      <c r="AA262" t="e">
        <f t="shared" si="67"/>
        <v>#DIV/0!</v>
      </c>
      <c r="AB262" s="13" t="e">
        <f t="shared" si="68"/>
        <v>#DIV/0!</v>
      </c>
    </row>
    <row r="263" spans="1:28" hidden="1" x14ac:dyDescent="0.15">
      <c r="A263">
        <f>+予定価格!A251</f>
        <v>0</v>
      </c>
      <c r="B263" s="258">
        <f>ROUND(予定価格!B251*査定表!$B$437,-D263)+E263</f>
        <v>0</v>
      </c>
      <c r="C263" s="258"/>
      <c r="D263" s="45">
        <f t="shared" si="57"/>
        <v>4</v>
      </c>
      <c r="E263" s="46">
        <f t="shared" si="53"/>
        <v>0</v>
      </c>
      <c r="F263" s="258">
        <f>IF($F$12=0,0,IF(予定価格!$G$427=0,ROUND(予定価格!H251*(入力表!$F$12/予定価格!$H$431),-H263),ROUND((予定価格!G251*(入力表!$F$12-予定価格!$H$431)/予定価格!$G$431)+予定価格!H251,-H263)))+I263</f>
        <v>0</v>
      </c>
      <c r="G263" s="258"/>
      <c r="H263" s="47">
        <f t="shared" si="58"/>
        <v>4</v>
      </c>
      <c r="I263" s="48">
        <f t="shared" si="54"/>
        <v>0</v>
      </c>
      <c r="J263" s="116">
        <f t="shared" si="55"/>
        <v>0</v>
      </c>
      <c r="K263" s="19">
        <f t="shared" si="56"/>
        <v>0</v>
      </c>
      <c r="L263" s="50"/>
      <c r="M263" s="13">
        <f>ROUND(予定価格!B251*査定表!$B$437,-$F$14)</f>
        <v>0</v>
      </c>
      <c r="N263">
        <f>IF(M263=0,1,M263/予定価格!B251)</f>
        <v>1</v>
      </c>
      <c r="O263">
        <f t="shared" si="59"/>
        <v>21</v>
      </c>
      <c r="P263">
        <f t="shared" si="60"/>
        <v>0</v>
      </c>
      <c r="Q263">
        <f>IF(M263=0,0,M263/予定価格!B251)</f>
        <v>0</v>
      </c>
      <c r="R263">
        <f t="shared" si="61"/>
        <v>21</v>
      </c>
      <c r="S263">
        <f t="shared" si="62"/>
        <v>0</v>
      </c>
      <c r="T263" s="13">
        <f t="shared" si="63"/>
        <v>0</v>
      </c>
      <c r="U263" s="13" t="e">
        <f>IF(予定価格!$G$427=0,ROUND(予定価格!H251*(入力表!$F$12/予定価格!$H$431),-$F$14),ROUND((予定価格!G251*(入力表!$F$12-予定価格!$H$431)/予定価格!$G$431)+予定価格!H251,-$F$14))</f>
        <v>#DIV/0!</v>
      </c>
      <c r="V263" t="e">
        <f>IF(U263=0,1,IF(予定価格!O251=0,1,(U263-予定価格!P251)/予定価格!O251))</f>
        <v>#DIV/0!</v>
      </c>
      <c r="W263" t="e">
        <f t="shared" si="64"/>
        <v>#DIV/0!</v>
      </c>
      <c r="X263" t="e">
        <f t="shared" si="65"/>
        <v>#DIV/0!</v>
      </c>
      <c r="Y263" t="e">
        <f>IF(U263=0,0,IF(予定価格!G251=0,0,(U263-予定価格!H251)/予定価格!G251))</f>
        <v>#DIV/0!</v>
      </c>
      <c r="Z263" t="e">
        <f t="shared" si="66"/>
        <v>#DIV/0!</v>
      </c>
      <c r="AA263" t="e">
        <f t="shared" si="67"/>
        <v>#DIV/0!</v>
      </c>
      <c r="AB263" s="13" t="e">
        <f t="shared" si="68"/>
        <v>#DIV/0!</v>
      </c>
    </row>
    <row r="264" spans="1:28" hidden="1" x14ac:dyDescent="0.15">
      <c r="A264">
        <f>+予定価格!A252</f>
        <v>0</v>
      </c>
      <c r="B264" s="258">
        <f>ROUND(予定価格!B252*査定表!$B$437,-D264)+E264</f>
        <v>0</v>
      </c>
      <c r="C264" s="258"/>
      <c r="D264" s="45">
        <f t="shared" si="57"/>
        <v>4</v>
      </c>
      <c r="E264" s="46">
        <f t="shared" si="53"/>
        <v>0</v>
      </c>
      <c r="F264" s="258">
        <f>IF($F$12=0,0,IF(予定価格!$G$427=0,ROUND(予定価格!H252*(入力表!$F$12/予定価格!$H$431),-H264),ROUND((予定価格!G252*(入力表!$F$12-予定価格!$H$431)/予定価格!$G$431)+予定価格!H252,-H264)))+I264</f>
        <v>0</v>
      </c>
      <c r="G264" s="258"/>
      <c r="H264" s="47">
        <f t="shared" si="58"/>
        <v>4</v>
      </c>
      <c r="I264" s="48">
        <f t="shared" si="54"/>
        <v>0</v>
      </c>
      <c r="J264" s="116">
        <f t="shared" si="55"/>
        <v>0</v>
      </c>
      <c r="K264" s="19">
        <f t="shared" si="56"/>
        <v>0</v>
      </c>
      <c r="L264" s="50"/>
      <c r="M264" s="13">
        <f>ROUND(予定価格!B252*査定表!$B$437,-$F$14)</f>
        <v>0</v>
      </c>
      <c r="N264">
        <f>IF(M264=0,1,M264/予定価格!B252)</f>
        <v>1</v>
      </c>
      <c r="O264">
        <f t="shared" si="59"/>
        <v>21</v>
      </c>
      <c r="P264">
        <f t="shared" si="60"/>
        <v>0</v>
      </c>
      <c r="Q264">
        <f>IF(M264=0,0,M264/予定価格!B252)</f>
        <v>0</v>
      </c>
      <c r="R264">
        <f t="shared" si="61"/>
        <v>21</v>
      </c>
      <c r="S264">
        <f t="shared" si="62"/>
        <v>0</v>
      </c>
      <c r="T264" s="13">
        <f t="shared" si="63"/>
        <v>0</v>
      </c>
      <c r="U264" s="13" t="e">
        <f>IF(予定価格!$G$427=0,ROUND(予定価格!H252*(入力表!$F$12/予定価格!$H$431),-$F$14),ROUND((予定価格!G252*(入力表!$F$12-予定価格!$H$431)/予定価格!$G$431)+予定価格!H252,-$F$14))</f>
        <v>#DIV/0!</v>
      </c>
      <c r="V264" t="e">
        <f>IF(U264=0,1,IF(予定価格!O252=0,1,(U264-予定価格!P252)/予定価格!O252))</f>
        <v>#DIV/0!</v>
      </c>
      <c r="W264" t="e">
        <f t="shared" si="64"/>
        <v>#DIV/0!</v>
      </c>
      <c r="X264" t="e">
        <f t="shared" si="65"/>
        <v>#DIV/0!</v>
      </c>
      <c r="Y264" t="e">
        <f>IF(U264=0,0,IF(予定価格!G252=0,0,(U264-予定価格!H252)/予定価格!G252))</f>
        <v>#DIV/0!</v>
      </c>
      <c r="Z264" t="e">
        <f t="shared" si="66"/>
        <v>#DIV/0!</v>
      </c>
      <c r="AA264" t="e">
        <f t="shared" si="67"/>
        <v>#DIV/0!</v>
      </c>
      <c r="AB264" s="13" t="e">
        <f t="shared" si="68"/>
        <v>#DIV/0!</v>
      </c>
    </row>
    <row r="265" spans="1:28" hidden="1" x14ac:dyDescent="0.15">
      <c r="A265">
        <f>+予定価格!A253</f>
        <v>0</v>
      </c>
      <c r="B265" s="258">
        <f>ROUND(予定価格!B253*査定表!$B$437,-D265)+E265</f>
        <v>0</v>
      </c>
      <c r="C265" s="258"/>
      <c r="D265" s="45">
        <f t="shared" si="57"/>
        <v>4</v>
      </c>
      <c r="E265" s="46">
        <f t="shared" si="53"/>
        <v>0</v>
      </c>
      <c r="F265" s="258">
        <f>IF($F$12=0,0,IF(予定価格!$G$427=0,ROUND(予定価格!H253*(入力表!$F$12/予定価格!$H$431),-H265),ROUND((予定価格!G253*(入力表!$F$12-予定価格!$H$431)/予定価格!$G$431)+予定価格!H253,-H265)))+I265</f>
        <v>0</v>
      </c>
      <c r="G265" s="258"/>
      <c r="H265" s="47">
        <f t="shared" si="58"/>
        <v>4</v>
      </c>
      <c r="I265" s="48">
        <f t="shared" si="54"/>
        <v>0</v>
      </c>
      <c r="J265" s="116">
        <f t="shared" si="55"/>
        <v>0</v>
      </c>
      <c r="K265" s="19">
        <f t="shared" si="56"/>
        <v>0</v>
      </c>
      <c r="L265" s="50"/>
      <c r="M265" s="13">
        <f>ROUND(予定価格!B253*査定表!$B$437,-$F$14)</f>
        <v>0</v>
      </c>
      <c r="N265">
        <f>IF(M265=0,1,M265/予定価格!B253)</f>
        <v>1</v>
      </c>
      <c r="O265">
        <f t="shared" si="59"/>
        <v>21</v>
      </c>
      <c r="P265">
        <f t="shared" si="60"/>
        <v>0</v>
      </c>
      <c r="Q265">
        <f>IF(M265=0,0,M265/予定価格!B253)</f>
        <v>0</v>
      </c>
      <c r="R265">
        <f t="shared" si="61"/>
        <v>21</v>
      </c>
      <c r="S265">
        <f t="shared" si="62"/>
        <v>0</v>
      </c>
      <c r="T265" s="13">
        <f t="shared" si="63"/>
        <v>0</v>
      </c>
      <c r="U265" s="13" t="e">
        <f>IF(予定価格!$G$427=0,ROUND(予定価格!H253*(入力表!$F$12/予定価格!$H$431),-$F$14),ROUND((予定価格!G253*(入力表!$F$12-予定価格!$H$431)/予定価格!$G$431)+予定価格!H253,-$F$14))</f>
        <v>#DIV/0!</v>
      </c>
      <c r="V265" t="e">
        <f>IF(U265=0,1,IF(予定価格!O253=0,1,(U265-予定価格!P253)/予定価格!O253))</f>
        <v>#DIV/0!</v>
      </c>
      <c r="W265" t="e">
        <f t="shared" si="64"/>
        <v>#DIV/0!</v>
      </c>
      <c r="X265" t="e">
        <f t="shared" si="65"/>
        <v>#DIV/0!</v>
      </c>
      <c r="Y265" t="e">
        <f>IF(U265=0,0,IF(予定価格!G253=0,0,(U265-予定価格!H253)/予定価格!G253))</f>
        <v>#DIV/0!</v>
      </c>
      <c r="Z265" t="e">
        <f t="shared" si="66"/>
        <v>#DIV/0!</v>
      </c>
      <c r="AA265" t="e">
        <f t="shared" si="67"/>
        <v>#DIV/0!</v>
      </c>
      <c r="AB265" s="13" t="e">
        <f t="shared" si="68"/>
        <v>#DIV/0!</v>
      </c>
    </row>
    <row r="266" spans="1:28" hidden="1" x14ac:dyDescent="0.15">
      <c r="A266">
        <f>+予定価格!A254</f>
        <v>0</v>
      </c>
      <c r="B266" s="258">
        <f>ROUND(予定価格!B254*査定表!$B$437,-D266)+E266</f>
        <v>0</v>
      </c>
      <c r="C266" s="258"/>
      <c r="D266" s="45">
        <f t="shared" si="57"/>
        <v>4</v>
      </c>
      <c r="E266" s="46">
        <f t="shared" si="53"/>
        <v>0</v>
      </c>
      <c r="F266" s="258">
        <f>IF($F$12=0,0,IF(予定価格!$G$427=0,ROUND(予定価格!H254*(入力表!$F$12/予定価格!$H$431),-H266),ROUND((予定価格!G254*(入力表!$F$12-予定価格!$H$431)/予定価格!$G$431)+予定価格!H254,-H266)))+I266</f>
        <v>0</v>
      </c>
      <c r="G266" s="258"/>
      <c r="H266" s="47">
        <f t="shared" si="58"/>
        <v>4</v>
      </c>
      <c r="I266" s="48">
        <f t="shared" si="54"/>
        <v>0</v>
      </c>
      <c r="J266" s="116">
        <f t="shared" si="55"/>
        <v>0</v>
      </c>
      <c r="K266" s="19">
        <f t="shared" si="56"/>
        <v>0</v>
      </c>
      <c r="L266" s="50"/>
      <c r="M266" s="13">
        <f>ROUND(予定価格!B254*査定表!$B$437,-$F$14)</f>
        <v>0</v>
      </c>
      <c r="N266">
        <f>IF(M266=0,1,M266/予定価格!B254)</f>
        <v>1</v>
      </c>
      <c r="O266">
        <f t="shared" si="59"/>
        <v>21</v>
      </c>
      <c r="P266">
        <f t="shared" si="60"/>
        <v>0</v>
      </c>
      <c r="Q266">
        <f>IF(M266=0,0,M266/予定価格!B254)</f>
        <v>0</v>
      </c>
      <c r="R266">
        <f t="shared" si="61"/>
        <v>21</v>
      </c>
      <c r="S266">
        <f t="shared" si="62"/>
        <v>0</v>
      </c>
      <c r="T266" s="13">
        <f t="shared" si="63"/>
        <v>0</v>
      </c>
      <c r="U266" s="13" t="e">
        <f>IF(予定価格!$G$427=0,ROUND(予定価格!H254*(入力表!$F$12/予定価格!$H$431),-$F$14),ROUND((予定価格!G254*(入力表!$F$12-予定価格!$H$431)/予定価格!$G$431)+予定価格!H254,-$F$14))</f>
        <v>#DIV/0!</v>
      </c>
      <c r="V266" t="e">
        <f>IF(U266=0,1,IF(予定価格!O254=0,1,(U266-予定価格!P254)/予定価格!O254))</f>
        <v>#DIV/0!</v>
      </c>
      <c r="W266" t="e">
        <f t="shared" si="64"/>
        <v>#DIV/0!</v>
      </c>
      <c r="X266" t="e">
        <f t="shared" si="65"/>
        <v>#DIV/0!</v>
      </c>
      <c r="Y266" t="e">
        <f>IF(U266=0,0,IF(予定価格!G254=0,0,(U266-予定価格!H254)/予定価格!G254))</f>
        <v>#DIV/0!</v>
      </c>
      <c r="Z266" t="e">
        <f t="shared" si="66"/>
        <v>#DIV/0!</v>
      </c>
      <c r="AA266" t="e">
        <f t="shared" si="67"/>
        <v>#DIV/0!</v>
      </c>
      <c r="AB266" s="13" t="e">
        <f t="shared" si="68"/>
        <v>#DIV/0!</v>
      </c>
    </row>
    <row r="267" spans="1:28" hidden="1" x14ac:dyDescent="0.15">
      <c r="A267">
        <f>+予定価格!A255</f>
        <v>0</v>
      </c>
      <c r="B267" s="258">
        <f>ROUND(予定価格!B255*査定表!$B$437,-D267)+E267</f>
        <v>0</v>
      </c>
      <c r="C267" s="258"/>
      <c r="D267" s="45">
        <f t="shared" si="57"/>
        <v>4</v>
      </c>
      <c r="E267" s="46">
        <f t="shared" si="53"/>
        <v>0</v>
      </c>
      <c r="F267" s="258">
        <f>IF($F$12=0,0,IF(予定価格!$G$427=0,ROUND(予定価格!H255*(入力表!$F$12/予定価格!$H$431),-H267),ROUND((予定価格!G255*(入力表!$F$12-予定価格!$H$431)/予定価格!$G$431)+予定価格!H255,-H267)))+I267</f>
        <v>0</v>
      </c>
      <c r="G267" s="258"/>
      <c r="H267" s="47">
        <f t="shared" si="58"/>
        <v>4</v>
      </c>
      <c r="I267" s="48">
        <f t="shared" si="54"/>
        <v>0</v>
      </c>
      <c r="J267" s="116">
        <f t="shared" si="55"/>
        <v>0</v>
      </c>
      <c r="K267" s="19">
        <f t="shared" si="56"/>
        <v>0</v>
      </c>
      <c r="L267" s="50"/>
      <c r="M267" s="13">
        <f>ROUND(予定価格!B255*査定表!$B$437,-$F$14)</f>
        <v>0</v>
      </c>
      <c r="N267">
        <f>IF(M267=0,1,M267/予定価格!B255)</f>
        <v>1</v>
      </c>
      <c r="O267">
        <f t="shared" si="59"/>
        <v>21</v>
      </c>
      <c r="P267">
        <f t="shared" si="60"/>
        <v>0</v>
      </c>
      <c r="Q267">
        <f>IF(M267=0,0,M267/予定価格!B255)</f>
        <v>0</v>
      </c>
      <c r="R267">
        <f t="shared" si="61"/>
        <v>21</v>
      </c>
      <c r="S267">
        <f t="shared" si="62"/>
        <v>0</v>
      </c>
      <c r="T267" s="13">
        <f t="shared" si="63"/>
        <v>0</v>
      </c>
      <c r="U267" s="13" t="e">
        <f>IF(予定価格!$G$427=0,ROUND(予定価格!H255*(入力表!$F$12/予定価格!$H$431),-$F$14),ROUND((予定価格!G255*(入力表!$F$12-予定価格!$H$431)/予定価格!$G$431)+予定価格!H255,-$F$14))</f>
        <v>#DIV/0!</v>
      </c>
      <c r="V267" t="e">
        <f>IF(U267=0,1,IF(予定価格!O255=0,1,(U267-予定価格!P255)/予定価格!O255))</f>
        <v>#DIV/0!</v>
      </c>
      <c r="W267" t="e">
        <f t="shared" si="64"/>
        <v>#DIV/0!</v>
      </c>
      <c r="X267" t="e">
        <f t="shared" si="65"/>
        <v>#DIV/0!</v>
      </c>
      <c r="Y267" t="e">
        <f>IF(U267=0,0,IF(予定価格!G255=0,0,(U267-予定価格!H255)/予定価格!G255))</f>
        <v>#DIV/0!</v>
      </c>
      <c r="Z267" t="e">
        <f t="shared" si="66"/>
        <v>#DIV/0!</v>
      </c>
      <c r="AA267" t="e">
        <f t="shared" si="67"/>
        <v>#DIV/0!</v>
      </c>
      <c r="AB267" s="13" t="e">
        <f t="shared" si="68"/>
        <v>#DIV/0!</v>
      </c>
    </row>
    <row r="268" spans="1:28" hidden="1" x14ac:dyDescent="0.15">
      <c r="A268">
        <f>+予定価格!A256</f>
        <v>0</v>
      </c>
      <c r="B268" s="258">
        <f>ROUND(予定価格!B256*査定表!$B$437,-D268)+E268</f>
        <v>0</v>
      </c>
      <c r="C268" s="258"/>
      <c r="D268" s="45">
        <f t="shared" si="57"/>
        <v>4</v>
      </c>
      <c r="E268" s="46">
        <f t="shared" si="53"/>
        <v>0</v>
      </c>
      <c r="F268" s="258">
        <f>IF($F$12=0,0,IF(予定価格!$G$427=0,ROUND(予定価格!H256*(入力表!$F$12/予定価格!$H$431),-H268),ROUND((予定価格!G256*(入力表!$F$12-予定価格!$H$431)/予定価格!$G$431)+予定価格!H256,-H268)))+I268</f>
        <v>0</v>
      </c>
      <c r="G268" s="258"/>
      <c r="H268" s="47">
        <f t="shared" si="58"/>
        <v>4</v>
      </c>
      <c r="I268" s="48">
        <f t="shared" si="54"/>
        <v>0</v>
      </c>
      <c r="J268" s="116">
        <f t="shared" si="55"/>
        <v>0</v>
      </c>
      <c r="K268" s="19">
        <f t="shared" si="56"/>
        <v>0</v>
      </c>
      <c r="L268" s="50"/>
      <c r="M268" s="13">
        <f>ROUND(予定価格!B256*査定表!$B$437,-$F$14)</f>
        <v>0</v>
      </c>
      <c r="N268">
        <f>IF(M268=0,1,M268/予定価格!B256)</f>
        <v>1</v>
      </c>
      <c r="O268">
        <f t="shared" si="59"/>
        <v>21</v>
      </c>
      <c r="P268">
        <f t="shared" si="60"/>
        <v>0</v>
      </c>
      <c r="Q268">
        <f>IF(M268=0,0,M268/予定価格!B256)</f>
        <v>0</v>
      </c>
      <c r="R268">
        <f t="shared" si="61"/>
        <v>21</v>
      </c>
      <c r="S268">
        <f t="shared" si="62"/>
        <v>0</v>
      </c>
      <c r="T268" s="13">
        <f t="shared" si="63"/>
        <v>0</v>
      </c>
      <c r="U268" s="13" t="e">
        <f>IF(予定価格!$G$427=0,ROUND(予定価格!H256*(入力表!$F$12/予定価格!$H$431),-$F$14),ROUND((予定価格!G256*(入力表!$F$12-予定価格!$H$431)/予定価格!$G$431)+予定価格!H256,-$F$14))</f>
        <v>#DIV/0!</v>
      </c>
      <c r="V268" t="e">
        <f>IF(U268=0,1,IF(予定価格!O256=0,1,(U268-予定価格!P256)/予定価格!O256))</f>
        <v>#DIV/0!</v>
      </c>
      <c r="W268" t="e">
        <f t="shared" si="64"/>
        <v>#DIV/0!</v>
      </c>
      <c r="X268" t="e">
        <f t="shared" si="65"/>
        <v>#DIV/0!</v>
      </c>
      <c r="Y268" t="e">
        <f>IF(U268=0,0,IF(予定価格!G256=0,0,(U268-予定価格!H256)/予定価格!G256))</f>
        <v>#DIV/0!</v>
      </c>
      <c r="Z268" t="e">
        <f t="shared" si="66"/>
        <v>#DIV/0!</v>
      </c>
      <c r="AA268" t="e">
        <f t="shared" si="67"/>
        <v>#DIV/0!</v>
      </c>
      <c r="AB268" s="13" t="e">
        <f t="shared" si="68"/>
        <v>#DIV/0!</v>
      </c>
    </row>
    <row r="269" spans="1:28" hidden="1" x14ac:dyDescent="0.15">
      <c r="A269">
        <f>+予定価格!A257</f>
        <v>0</v>
      </c>
      <c r="B269" s="258">
        <f>ROUND(予定価格!B257*査定表!$B$437,-D269)+E269</f>
        <v>0</v>
      </c>
      <c r="C269" s="258"/>
      <c r="D269" s="45">
        <f t="shared" si="57"/>
        <v>4</v>
      </c>
      <c r="E269" s="46">
        <f t="shared" si="53"/>
        <v>0</v>
      </c>
      <c r="F269" s="258">
        <f>IF($F$12=0,0,IF(予定価格!$G$427=0,ROUND(予定価格!H257*(入力表!$F$12/予定価格!$H$431),-H269),ROUND((予定価格!G257*(入力表!$F$12-予定価格!$H$431)/予定価格!$G$431)+予定価格!H257,-H269)))+I269</f>
        <v>0</v>
      </c>
      <c r="G269" s="258"/>
      <c r="H269" s="47">
        <f t="shared" si="58"/>
        <v>4</v>
      </c>
      <c r="I269" s="48">
        <f t="shared" si="54"/>
        <v>0</v>
      </c>
      <c r="J269" s="116">
        <f t="shared" si="55"/>
        <v>0</v>
      </c>
      <c r="K269" s="19">
        <f t="shared" si="56"/>
        <v>0</v>
      </c>
      <c r="L269" s="50"/>
      <c r="M269" s="13">
        <f>ROUND(予定価格!B257*査定表!$B$437,-$F$14)</f>
        <v>0</v>
      </c>
      <c r="N269">
        <f>IF(M269=0,1,M269/予定価格!B257)</f>
        <v>1</v>
      </c>
      <c r="O269">
        <f t="shared" si="59"/>
        <v>21</v>
      </c>
      <c r="P269">
        <f t="shared" si="60"/>
        <v>0</v>
      </c>
      <c r="Q269">
        <f>IF(M269=0,0,M269/予定価格!B257)</f>
        <v>0</v>
      </c>
      <c r="R269">
        <f t="shared" si="61"/>
        <v>21</v>
      </c>
      <c r="S269">
        <f t="shared" si="62"/>
        <v>0</v>
      </c>
      <c r="T269" s="13">
        <f t="shared" si="63"/>
        <v>0</v>
      </c>
      <c r="U269" s="13" t="e">
        <f>IF(予定価格!$G$427=0,ROUND(予定価格!H257*(入力表!$F$12/予定価格!$H$431),-$F$14),ROUND((予定価格!G257*(入力表!$F$12-予定価格!$H$431)/予定価格!$G$431)+予定価格!H257,-$F$14))</f>
        <v>#DIV/0!</v>
      </c>
      <c r="V269" t="e">
        <f>IF(U269=0,1,IF(予定価格!O257=0,1,(U269-予定価格!P257)/予定価格!O257))</f>
        <v>#DIV/0!</v>
      </c>
      <c r="W269" t="e">
        <f t="shared" si="64"/>
        <v>#DIV/0!</v>
      </c>
      <c r="X269" t="e">
        <f t="shared" si="65"/>
        <v>#DIV/0!</v>
      </c>
      <c r="Y269" t="e">
        <f>IF(U269=0,0,IF(予定価格!G257=0,0,(U269-予定価格!H257)/予定価格!G257))</f>
        <v>#DIV/0!</v>
      </c>
      <c r="Z269" t="e">
        <f t="shared" si="66"/>
        <v>#DIV/0!</v>
      </c>
      <c r="AA269" t="e">
        <f t="shared" si="67"/>
        <v>#DIV/0!</v>
      </c>
      <c r="AB269" s="13" t="e">
        <f t="shared" si="68"/>
        <v>#DIV/0!</v>
      </c>
    </row>
    <row r="270" spans="1:28" hidden="1" x14ac:dyDescent="0.15">
      <c r="A270">
        <f>+予定価格!A258</f>
        <v>0</v>
      </c>
      <c r="B270" s="258">
        <f>ROUND(予定価格!B258*査定表!$B$437,-D270)+E270</f>
        <v>0</v>
      </c>
      <c r="C270" s="258"/>
      <c r="D270" s="45">
        <f t="shared" si="57"/>
        <v>4</v>
      </c>
      <c r="E270" s="46">
        <f t="shared" si="53"/>
        <v>0</v>
      </c>
      <c r="F270" s="258">
        <f>IF($F$12=0,0,IF(予定価格!$G$427=0,ROUND(予定価格!H258*(入力表!$F$12/予定価格!$H$431),-H270),ROUND((予定価格!G258*(入力表!$F$12-予定価格!$H$431)/予定価格!$G$431)+予定価格!H258,-H270)))+I270</f>
        <v>0</v>
      </c>
      <c r="G270" s="258"/>
      <c r="H270" s="47">
        <f t="shared" si="58"/>
        <v>4</v>
      </c>
      <c r="I270" s="48">
        <f t="shared" si="54"/>
        <v>0</v>
      </c>
      <c r="J270" s="116">
        <f t="shared" si="55"/>
        <v>0</v>
      </c>
      <c r="K270" s="19">
        <f t="shared" si="56"/>
        <v>0</v>
      </c>
      <c r="L270" s="50"/>
      <c r="M270" s="13">
        <f>ROUND(予定価格!B258*査定表!$B$437,-$F$14)</f>
        <v>0</v>
      </c>
      <c r="N270">
        <f>IF(M270=0,1,M270/予定価格!B258)</f>
        <v>1</v>
      </c>
      <c r="O270">
        <f t="shared" si="59"/>
        <v>21</v>
      </c>
      <c r="P270">
        <f t="shared" si="60"/>
        <v>0</v>
      </c>
      <c r="Q270">
        <f>IF(M270=0,0,M270/予定価格!B258)</f>
        <v>0</v>
      </c>
      <c r="R270">
        <f t="shared" si="61"/>
        <v>21</v>
      </c>
      <c r="S270">
        <f t="shared" si="62"/>
        <v>0</v>
      </c>
      <c r="T270" s="13">
        <f t="shared" si="63"/>
        <v>0</v>
      </c>
      <c r="U270" s="13" t="e">
        <f>IF(予定価格!$G$427=0,ROUND(予定価格!H258*(入力表!$F$12/予定価格!$H$431),-$F$14),ROUND((予定価格!G258*(入力表!$F$12-予定価格!$H$431)/予定価格!$G$431)+予定価格!H258,-$F$14))</f>
        <v>#DIV/0!</v>
      </c>
      <c r="V270" t="e">
        <f>IF(U270=0,1,IF(予定価格!O258=0,1,(U270-予定価格!P258)/予定価格!O258))</f>
        <v>#DIV/0!</v>
      </c>
      <c r="W270" t="e">
        <f t="shared" si="64"/>
        <v>#DIV/0!</v>
      </c>
      <c r="X270" t="e">
        <f t="shared" si="65"/>
        <v>#DIV/0!</v>
      </c>
      <c r="Y270" t="e">
        <f>IF(U270=0,0,IF(予定価格!G258=0,0,(U270-予定価格!H258)/予定価格!G258))</f>
        <v>#DIV/0!</v>
      </c>
      <c r="Z270" t="e">
        <f t="shared" si="66"/>
        <v>#DIV/0!</v>
      </c>
      <c r="AA270" t="e">
        <f t="shared" si="67"/>
        <v>#DIV/0!</v>
      </c>
      <c r="AB270" s="13" t="e">
        <f t="shared" si="68"/>
        <v>#DIV/0!</v>
      </c>
    </row>
    <row r="271" spans="1:28" hidden="1" x14ac:dyDescent="0.15">
      <c r="A271">
        <f>+予定価格!A259</f>
        <v>0</v>
      </c>
      <c r="B271" s="258">
        <f>ROUND(予定価格!B259*査定表!$B$437,-D271)+E271</f>
        <v>0</v>
      </c>
      <c r="C271" s="258"/>
      <c r="D271" s="45">
        <f t="shared" si="57"/>
        <v>4</v>
      </c>
      <c r="E271" s="46">
        <f t="shared" si="53"/>
        <v>0</v>
      </c>
      <c r="F271" s="258">
        <f>IF($F$12=0,0,IF(予定価格!$G$427=0,ROUND(予定価格!H259*(入力表!$F$12/予定価格!$H$431),-H271),ROUND((予定価格!G259*(入力表!$F$12-予定価格!$H$431)/予定価格!$G$431)+予定価格!H259,-H271)))+I271</f>
        <v>0</v>
      </c>
      <c r="G271" s="258"/>
      <c r="H271" s="47">
        <f t="shared" si="58"/>
        <v>4</v>
      </c>
      <c r="I271" s="48">
        <f t="shared" si="54"/>
        <v>0</v>
      </c>
      <c r="J271" s="116">
        <f t="shared" si="55"/>
        <v>0</v>
      </c>
      <c r="K271" s="19">
        <f t="shared" si="56"/>
        <v>0</v>
      </c>
      <c r="L271" s="50"/>
      <c r="M271" s="13">
        <f>ROUND(予定価格!B259*査定表!$B$437,-$F$14)</f>
        <v>0</v>
      </c>
      <c r="N271">
        <f>IF(M271=0,1,M271/予定価格!B259)</f>
        <v>1</v>
      </c>
      <c r="O271">
        <f t="shared" si="59"/>
        <v>21</v>
      </c>
      <c r="P271">
        <f t="shared" si="60"/>
        <v>0</v>
      </c>
      <c r="Q271">
        <f>IF(M271=0,0,M271/予定価格!B259)</f>
        <v>0</v>
      </c>
      <c r="R271">
        <f t="shared" si="61"/>
        <v>21</v>
      </c>
      <c r="S271">
        <f t="shared" si="62"/>
        <v>0</v>
      </c>
      <c r="T271" s="13">
        <f t="shared" si="63"/>
        <v>0</v>
      </c>
      <c r="U271" s="13" t="e">
        <f>IF(予定価格!$G$427=0,ROUND(予定価格!H259*(入力表!$F$12/予定価格!$H$431),-$F$14),ROUND((予定価格!G259*(入力表!$F$12-予定価格!$H$431)/予定価格!$G$431)+予定価格!H259,-$F$14))</f>
        <v>#DIV/0!</v>
      </c>
      <c r="V271" t="e">
        <f>IF(U271=0,1,IF(予定価格!O259=0,1,(U271-予定価格!P259)/予定価格!O259))</f>
        <v>#DIV/0!</v>
      </c>
      <c r="W271" t="e">
        <f t="shared" si="64"/>
        <v>#DIV/0!</v>
      </c>
      <c r="X271" t="e">
        <f t="shared" si="65"/>
        <v>#DIV/0!</v>
      </c>
      <c r="Y271" t="e">
        <f>IF(U271=0,0,IF(予定価格!G259=0,0,(U271-予定価格!H259)/予定価格!G259))</f>
        <v>#DIV/0!</v>
      </c>
      <c r="Z271" t="e">
        <f t="shared" si="66"/>
        <v>#DIV/0!</v>
      </c>
      <c r="AA271" t="e">
        <f t="shared" si="67"/>
        <v>#DIV/0!</v>
      </c>
      <c r="AB271" s="13" t="e">
        <f t="shared" si="68"/>
        <v>#DIV/0!</v>
      </c>
    </row>
    <row r="272" spans="1:28" hidden="1" x14ac:dyDescent="0.15">
      <c r="A272">
        <f>+予定価格!A260</f>
        <v>0</v>
      </c>
      <c r="B272" s="258">
        <f>ROUND(予定価格!B260*査定表!$B$437,-D272)+E272</f>
        <v>0</v>
      </c>
      <c r="C272" s="258"/>
      <c r="D272" s="45">
        <f t="shared" si="57"/>
        <v>4</v>
      </c>
      <c r="E272" s="46">
        <f t="shared" si="53"/>
        <v>0</v>
      </c>
      <c r="F272" s="258">
        <f>IF($F$12=0,0,IF(予定価格!$G$427=0,ROUND(予定価格!H260*(入力表!$F$12/予定価格!$H$431),-H272),ROUND((予定価格!G260*(入力表!$F$12-予定価格!$H$431)/予定価格!$G$431)+予定価格!H260,-H272)))+I272</f>
        <v>0</v>
      </c>
      <c r="G272" s="258"/>
      <c r="H272" s="47">
        <f t="shared" si="58"/>
        <v>4</v>
      </c>
      <c r="I272" s="48">
        <f t="shared" si="54"/>
        <v>0</v>
      </c>
      <c r="J272" s="116">
        <f t="shared" si="55"/>
        <v>0</v>
      </c>
      <c r="K272" s="19">
        <f t="shared" si="56"/>
        <v>0</v>
      </c>
      <c r="L272" s="50"/>
      <c r="M272" s="13">
        <f>ROUND(予定価格!B260*査定表!$B$437,-$F$14)</f>
        <v>0</v>
      </c>
      <c r="N272">
        <f>IF(M272=0,1,M272/予定価格!B260)</f>
        <v>1</v>
      </c>
      <c r="O272">
        <f t="shared" si="59"/>
        <v>21</v>
      </c>
      <c r="P272">
        <f t="shared" si="60"/>
        <v>0</v>
      </c>
      <c r="Q272">
        <f>IF(M272=0,0,M272/予定価格!B260)</f>
        <v>0</v>
      </c>
      <c r="R272">
        <f t="shared" si="61"/>
        <v>21</v>
      </c>
      <c r="S272">
        <f t="shared" si="62"/>
        <v>0</v>
      </c>
      <c r="T272" s="13">
        <f t="shared" si="63"/>
        <v>0</v>
      </c>
      <c r="U272" s="13" t="e">
        <f>IF(予定価格!$G$427=0,ROUND(予定価格!H260*(入力表!$F$12/予定価格!$H$431),-$F$14),ROUND((予定価格!G260*(入力表!$F$12-予定価格!$H$431)/予定価格!$G$431)+予定価格!H260,-$F$14))</f>
        <v>#DIV/0!</v>
      </c>
      <c r="V272" t="e">
        <f>IF(U272=0,1,IF(予定価格!O260=0,1,(U272-予定価格!P260)/予定価格!O260))</f>
        <v>#DIV/0!</v>
      </c>
      <c r="W272" t="e">
        <f t="shared" si="64"/>
        <v>#DIV/0!</v>
      </c>
      <c r="X272" t="e">
        <f t="shared" si="65"/>
        <v>#DIV/0!</v>
      </c>
      <c r="Y272" t="e">
        <f>IF(U272=0,0,IF(予定価格!G260=0,0,(U272-予定価格!H260)/予定価格!G260))</f>
        <v>#DIV/0!</v>
      </c>
      <c r="Z272" t="e">
        <f t="shared" si="66"/>
        <v>#DIV/0!</v>
      </c>
      <c r="AA272" t="e">
        <f t="shared" si="67"/>
        <v>#DIV/0!</v>
      </c>
      <c r="AB272" s="13" t="e">
        <f t="shared" si="68"/>
        <v>#DIV/0!</v>
      </c>
    </row>
    <row r="273" spans="1:28" hidden="1" x14ac:dyDescent="0.15">
      <c r="A273">
        <f>+予定価格!A261</f>
        <v>0</v>
      </c>
      <c r="B273" s="258">
        <f>ROUND(予定価格!B261*査定表!$B$437,-D273)+E273</f>
        <v>0</v>
      </c>
      <c r="C273" s="258"/>
      <c r="D273" s="45">
        <f t="shared" si="57"/>
        <v>4</v>
      </c>
      <c r="E273" s="46">
        <f t="shared" ref="E273:E336" si="69">IF(F$12=0,+P273+S273,0)</f>
        <v>0</v>
      </c>
      <c r="F273" s="258">
        <f>IF($F$12=0,0,IF(予定価格!$G$427=0,ROUND(予定価格!H261*(入力表!$F$12/予定価格!$H$431),-H273),ROUND((予定価格!G261*(入力表!$F$12-予定価格!$H$431)/予定価格!$G$431)+予定価格!H261,-H273)))+I273</f>
        <v>0</v>
      </c>
      <c r="G273" s="258"/>
      <c r="H273" s="47">
        <f t="shared" si="58"/>
        <v>4</v>
      </c>
      <c r="I273" s="48">
        <f t="shared" ref="I273:I336" si="70">IF(F$12=0,0,+X273+AA273)</f>
        <v>0</v>
      </c>
      <c r="J273" s="116">
        <f t="shared" ref="J273:J336" si="71">+F273+K273</f>
        <v>0</v>
      </c>
      <c r="K273" s="19">
        <f t="shared" ref="K273:K336" si="72">+B273</f>
        <v>0</v>
      </c>
      <c r="L273" s="50"/>
      <c r="M273" s="13">
        <f>ROUND(予定価格!B261*査定表!$B$437,-$F$14)</f>
        <v>0</v>
      </c>
      <c r="N273">
        <f>IF(M273=0,1,M273/予定価格!B261)</f>
        <v>1</v>
      </c>
      <c r="O273">
        <f t="shared" si="59"/>
        <v>21</v>
      </c>
      <c r="P273">
        <f t="shared" si="60"/>
        <v>0</v>
      </c>
      <c r="Q273">
        <f>IF(M273=0,0,M273/予定価格!B261)</f>
        <v>0</v>
      </c>
      <c r="R273">
        <f t="shared" si="61"/>
        <v>21</v>
      </c>
      <c r="S273">
        <f t="shared" si="62"/>
        <v>0</v>
      </c>
      <c r="T273" s="13">
        <f t="shared" si="63"/>
        <v>0</v>
      </c>
      <c r="U273" s="13" t="e">
        <f>IF(予定価格!$G$427=0,ROUND(予定価格!H261*(入力表!$F$12/予定価格!$H$431),-$F$14),ROUND((予定価格!G261*(入力表!$F$12-予定価格!$H$431)/予定価格!$G$431)+予定価格!H261,-$F$14))</f>
        <v>#DIV/0!</v>
      </c>
      <c r="V273" t="e">
        <f>IF(U273=0,1,IF(予定価格!O261=0,1,(U273-予定価格!P261)/予定価格!O261))</f>
        <v>#DIV/0!</v>
      </c>
      <c r="W273" t="e">
        <f t="shared" si="64"/>
        <v>#DIV/0!</v>
      </c>
      <c r="X273" t="e">
        <f t="shared" si="65"/>
        <v>#DIV/0!</v>
      </c>
      <c r="Y273" t="e">
        <f>IF(U273=0,0,IF(予定価格!G261=0,0,(U273-予定価格!H261)/予定価格!G261))</f>
        <v>#DIV/0!</v>
      </c>
      <c r="Z273" t="e">
        <f t="shared" si="66"/>
        <v>#DIV/0!</v>
      </c>
      <c r="AA273" t="e">
        <f t="shared" si="67"/>
        <v>#DIV/0!</v>
      </c>
      <c r="AB273" s="13" t="e">
        <f t="shared" si="68"/>
        <v>#DIV/0!</v>
      </c>
    </row>
    <row r="274" spans="1:28" hidden="1" x14ac:dyDescent="0.15">
      <c r="A274">
        <f>+予定価格!A262</f>
        <v>0</v>
      </c>
      <c r="B274" s="258">
        <f>ROUND(予定価格!B262*査定表!$B$437,-D274)+E274</f>
        <v>0</v>
      </c>
      <c r="C274" s="258"/>
      <c r="D274" s="45">
        <f t="shared" ref="D274:D337" si="73">+$F$14</f>
        <v>4</v>
      </c>
      <c r="E274" s="46">
        <f t="shared" si="69"/>
        <v>0</v>
      </c>
      <c r="F274" s="258">
        <f>IF($F$12=0,0,IF(予定価格!$G$427=0,ROUND(予定価格!H262*(入力表!$F$12/予定価格!$H$431),-H274),ROUND((予定価格!G262*(入力表!$F$12-予定価格!$H$431)/予定価格!$G$431)+予定価格!H262,-H274)))+I274</f>
        <v>0</v>
      </c>
      <c r="G274" s="258"/>
      <c r="H274" s="47">
        <f t="shared" ref="H274:H337" si="74">+$F$14</f>
        <v>4</v>
      </c>
      <c r="I274" s="48">
        <f t="shared" si="70"/>
        <v>0</v>
      </c>
      <c r="J274" s="116">
        <f t="shared" si="71"/>
        <v>0</v>
      </c>
      <c r="K274" s="19">
        <f t="shared" si="72"/>
        <v>0</v>
      </c>
      <c r="L274" s="50"/>
      <c r="M274" s="13">
        <f>ROUND(予定価格!B262*査定表!$B$437,-$F$14)</f>
        <v>0</v>
      </c>
      <c r="N274">
        <f>IF(M274=0,1,M274/予定価格!B262)</f>
        <v>1</v>
      </c>
      <c r="O274">
        <f t="shared" ref="O274:O337" si="75">RANK(N274,N$17:N$472,1)</f>
        <v>21</v>
      </c>
      <c r="P274">
        <f t="shared" ref="P274:P337" si="76">IF(M$15&gt;0,IF(O274*10^$F$14&lt;=M$15,10^$F$14,0),0)</f>
        <v>0</v>
      </c>
      <c r="Q274">
        <f>IF(M274=0,0,M274/予定価格!B262)</f>
        <v>0</v>
      </c>
      <c r="R274">
        <f t="shared" ref="R274:R337" si="77">RANK(Q274,Q$17:Q$472,0)</f>
        <v>21</v>
      </c>
      <c r="S274">
        <f t="shared" ref="S274:S337" si="78">IF(M$15&lt;0,IF(R274*10^$F$14&lt;=-M$15,-(10^$F$14),0),0)</f>
        <v>0</v>
      </c>
      <c r="T274" s="13">
        <f t="shared" ref="T274:T337" si="79">+M274+P274+S274</f>
        <v>0</v>
      </c>
      <c r="U274" s="13" t="e">
        <f>IF(予定価格!$G$427=0,ROUND(予定価格!H262*(入力表!$F$12/予定価格!$H$431),-$F$14),ROUND((予定価格!G262*(入力表!$F$12-予定価格!$H$431)/予定価格!$G$431)+予定価格!H262,-$F$14))</f>
        <v>#DIV/0!</v>
      </c>
      <c r="V274" t="e">
        <f>IF(U274=0,1,IF(予定価格!O262=0,1,(U274-予定価格!P262)/予定価格!O262))</f>
        <v>#DIV/0!</v>
      </c>
      <c r="W274" t="e">
        <f t="shared" ref="W274:W337" si="80">RANK(V274,V$17:V$472,1)</f>
        <v>#DIV/0!</v>
      </c>
      <c r="X274" t="e">
        <f t="shared" ref="X274:X337" si="81">IF(U$15&gt;0,IF(W274*10^$F$14&lt;=U$15,10^$F$14,0),0)</f>
        <v>#DIV/0!</v>
      </c>
      <c r="Y274" t="e">
        <f>IF(U274=0,0,IF(予定価格!G262=0,0,(U274-予定価格!H262)/予定価格!G262))</f>
        <v>#DIV/0!</v>
      </c>
      <c r="Z274" t="e">
        <f t="shared" ref="Z274:Z337" si="82">RANK(Y274,Y$17:Y$472,0)</f>
        <v>#DIV/0!</v>
      </c>
      <c r="AA274" t="e">
        <f t="shared" ref="AA274:AA337" si="83">IF(U$15&lt;0,IF(Z274*10^$F$14&lt;=-U$15,-(10^$F$14),0),0)</f>
        <v>#DIV/0!</v>
      </c>
      <c r="AB274" s="13" t="e">
        <f t="shared" ref="AB274:AB337" si="84">+U274+X274+AA274</f>
        <v>#DIV/0!</v>
      </c>
    </row>
    <row r="275" spans="1:28" hidden="1" x14ac:dyDescent="0.15">
      <c r="A275">
        <f>+予定価格!A263</f>
        <v>0</v>
      </c>
      <c r="B275" s="258">
        <f>ROUND(予定価格!B263*査定表!$B$437,-D275)+E275</f>
        <v>0</v>
      </c>
      <c r="C275" s="258"/>
      <c r="D275" s="45">
        <f t="shared" si="73"/>
        <v>4</v>
      </c>
      <c r="E275" s="46">
        <f t="shared" si="69"/>
        <v>0</v>
      </c>
      <c r="F275" s="258">
        <f>IF($F$12=0,0,IF(予定価格!$G$427=0,ROUND(予定価格!H263*(入力表!$F$12/予定価格!$H$431),-H275),ROUND((予定価格!G263*(入力表!$F$12-予定価格!$H$431)/予定価格!$G$431)+予定価格!H263,-H275)))+I275</f>
        <v>0</v>
      </c>
      <c r="G275" s="258"/>
      <c r="H275" s="47">
        <f t="shared" si="74"/>
        <v>4</v>
      </c>
      <c r="I275" s="48">
        <f t="shared" si="70"/>
        <v>0</v>
      </c>
      <c r="J275" s="116">
        <f t="shared" si="71"/>
        <v>0</v>
      </c>
      <c r="K275" s="19">
        <f t="shared" si="72"/>
        <v>0</v>
      </c>
      <c r="L275" s="50"/>
      <c r="M275" s="13">
        <f>ROUND(予定価格!B263*査定表!$B$437,-$F$14)</f>
        <v>0</v>
      </c>
      <c r="N275">
        <f>IF(M275=0,1,M275/予定価格!B263)</f>
        <v>1</v>
      </c>
      <c r="O275">
        <f t="shared" si="75"/>
        <v>21</v>
      </c>
      <c r="P275">
        <f t="shared" si="76"/>
        <v>0</v>
      </c>
      <c r="Q275">
        <f>IF(M275=0,0,M275/予定価格!B263)</f>
        <v>0</v>
      </c>
      <c r="R275">
        <f t="shared" si="77"/>
        <v>21</v>
      </c>
      <c r="S275">
        <f t="shared" si="78"/>
        <v>0</v>
      </c>
      <c r="T275" s="13">
        <f t="shared" si="79"/>
        <v>0</v>
      </c>
      <c r="U275" s="13" t="e">
        <f>IF(予定価格!$G$427=0,ROUND(予定価格!H263*(入力表!$F$12/予定価格!$H$431),-$F$14),ROUND((予定価格!G263*(入力表!$F$12-予定価格!$H$431)/予定価格!$G$431)+予定価格!H263,-$F$14))</f>
        <v>#DIV/0!</v>
      </c>
      <c r="V275" t="e">
        <f>IF(U275=0,1,IF(予定価格!O263=0,1,(U275-予定価格!P263)/予定価格!O263))</f>
        <v>#DIV/0!</v>
      </c>
      <c r="W275" t="e">
        <f t="shared" si="80"/>
        <v>#DIV/0!</v>
      </c>
      <c r="X275" t="e">
        <f t="shared" si="81"/>
        <v>#DIV/0!</v>
      </c>
      <c r="Y275" t="e">
        <f>IF(U275=0,0,IF(予定価格!G263=0,0,(U275-予定価格!H263)/予定価格!G263))</f>
        <v>#DIV/0!</v>
      </c>
      <c r="Z275" t="e">
        <f t="shared" si="82"/>
        <v>#DIV/0!</v>
      </c>
      <c r="AA275" t="e">
        <f t="shared" si="83"/>
        <v>#DIV/0!</v>
      </c>
      <c r="AB275" s="13" t="e">
        <f t="shared" si="84"/>
        <v>#DIV/0!</v>
      </c>
    </row>
    <row r="276" spans="1:28" hidden="1" x14ac:dyDescent="0.15">
      <c r="A276">
        <f>+予定価格!A264</f>
        <v>0</v>
      </c>
      <c r="B276" s="258">
        <f>ROUND(予定価格!B264*査定表!$B$437,-D276)+E276</f>
        <v>0</v>
      </c>
      <c r="C276" s="258"/>
      <c r="D276" s="45">
        <f t="shared" si="73"/>
        <v>4</v>
      </c>
      <c r="E276" s="46">
        <f t="shared" si="69"/>
        <v>0</v>
      </c>
      <c r="F276" s="258">
        <f>IF($F$12=0,0,IF(予定価格!$G$427=0,ROUND(予定価格!H264*(入力表!$F$12/予定価格!$H$431),-H276),ROUND((予定価格!G264*(入力表!$F$12-予定価格!$H$431)/予定価格!$G$431)+予定価格!H264,-H276)))+I276</f>
        <v>0</v>
      </c>
      <c r="G276" s="258"/>
      <c r="H276" s="47">
        <f t="shared" si="74"/>
        <v>4</v>
      </c>
      <c r="I276" s="48">
        <f t="shared" si="70"/>
        <v>0</v>
      </c>
      <c r="J276" s="116">
        <f t="shared" si="71"/>
        <v>0</v>
      </c>
      <c r="K276" s="19">
        <f t="shared" si="72"/>
        <v>0</v>
      </c>
      <c r="L276" s="50"/>
      <c r="M276" s="13">
        <f>ROUND(予定価格!B264*査定表!$B$437,-$F$14)</f>
        <v>0</v>
      </c>
      <c r="N276">
        <f>IF(M276=0,1,M276/予定価格!B264)</f>
        <v>1</v>
      </c>
      <c r="O276">
        <f t="shared" si="75"/>
        <v>21</v>
      </c>
      <c r="P276">
        <f t="shared" si="76"/>
        <v>0</v>
      </c>
      <c r="Q276">
        <f>IF(M276=0,0,M276/予定価格!B264)</f>
        <v>0</v>
      </c>
      <c r="R276">
        <f t="shared" si="77"/>
        <v>21</v>
      </c>
      <c r="S276">
        <f t="shared" si="78"/>
        <v>0</v>
      </c>
      <c r="T276" s="13">
        <f t="shared" si="79"/>
        <v>0</v>
      </c>
      <c r="U276" s="13" t="e">
        <f>IF(予定価格!$G$427=0,ROUND(予定価格!H264*(入力表!$F$12/予定価格!$H$431),-$F$14),ROUND((予定価格!G264*(入力表!$F$12-予定価格!$H$431)/予定価格!$G$431)+予定価格!H264,-$F$14))</f>
        <v>#DIV/0!</v>
      </c>
      <c r="V276" t="e">
        <f>IF(U276=0,1,IF(予定価格!O264=0,1,(U276-予定価格!P264)/予定価格!O264))</f>
        <v>#DIV/0!</v>
      </c>
      <c r="W276" t="e">
        <f t="shared" si="80"/>
        <v>#DIV/0!</v>
      </c>
      <c r="X276" t="e">
        <f t="shared" si="81"/>
        <v>#DIV/0!</v>
      </c>
      <c r="Y276" t="e">
        <f>IF(U276=0,0,IF(予定価格!G264=0,0,(U276-予定価格!H264)/予定価格!G264))</f>
        <v>#DIV/0!</v>
      </c>
      <c r="Z276" t="e">
        <f t="shared" si="82"/>
        <v>#DIV/0!</v>
      </c>
      <c r="AA276" t="e">
        <f t="shared" si="83"/>
        <v>#DIV/0!</v>
      </c>
      <c r="AB276" s="13" t="e">
        <f t="shared" si="84"/>
        <v>#DIV/0!</v>
      </c>
    </row>
    <row r="277" spans="1:28" hidden="1" x14ac:dyDescent="0.15">
      <c r="A277">
        <f>+予定価格!A265</f>
        <v>0</v>
      </c>
      <c r="B277" s="258">
        <f>ROUND(予定価格!B265*査定表!$B$437,-D277)+E277</f>
        <v>0</v>
      </c>
      <c r="C277" s="258"/>
      <c r="D277" s="45">
        <f t="shared" si="73"/>
        <v>4</v>
      </c>
      <c r="E277" s="46">
        <f t="shared" si="69"/>
        <v>0</v>
      </c>
      <c r="F277" s="258">
        <f>IF($F$12=0,0,IF(予定価格!$G$427=0,ROUND(予定価格!H265*(入力表!$F$12/予定価格!$H$431),-H277),ROUND((予定価格!G265*(入力表!$F$12-予定価格!$H$431)/予定価格!$G$431)+予定価格!H265,-H277)))+I277</f>
        <v>0</v>
      </c>
      <c r="G277" s="258"/>
      <c r="H277" s="47">
        <f t="shared" si="74"/>
        <v>4</v>
      </c>
      <c r="I277" s="48">
        <f t="shared" si="70"/>
        <v>0</v>
      </c>
      <c r="J277" s="116">
        <f t="shared" si="71"/>
        <v>0</v>
      </c>
      <c r="K277" s="19">
        <f t="shared" si="72"/>
        <v>0</v>
      </c>
      <c r="L277" s="50"/>
      <c r="M277" s="13">
        <f>ROUND(予定価格!B265*査定表!$B$437,-$F$14)</f>
        <v>0</v>
      </c>
      <c r="N277">
        <f>IF(M277=0,1,M277/予定価格!B265)</f>
        <v>1</v>
      </c>
      <c r="O277">
        <f t="shared" si="75"/>
        <v>21</v>
      </c>
      <c r="P277">
        <f t="shared" si="76"/>
        <v>0</v>
      </c>
      <c r="Q277">
        <f>IF(M277=0,0,M277/予定価格!B265)</f>
        <v>0</v>
      </c>
      <c r="R277">
        <f t="shared" si="77"/>
        <v>21</v>
      </c>
      <c r="S277">
        <f t="shared" si="78"/>
        <v>0</v>
      </c>
      <c r="T277" s="13">
        <f t="shared" si="79"/>
        <v>0</v>
      </c>
      <c r="U277" s="13" t="e">
        <f>IF(予定価格!$G$427=0,ROUND(予定価格!H265*(入力表!$F$12/予定価格!$H$431),-$F$14),ROUND((予定価格!G265*(入力表!$F$12-予定価格!$H$431)/予定価格!$G$431)+予定価格!H265,-$F$14))</f>
        <v>#DIV/0!</v>
      </c>
      <c r="V277" t="e">
        <f>IF(U277=0,1,IF(予定価格!O265=0,1,(U277-予定価格!P265)/予定価格!O265))</f>
        <v>#DIV/0!</v>
      </c>
      <c r="W277" t="e">
        <f t="shared" si="80"/>
        <v>#DIV/0!</v>
      </c>
      <c r="X277" t="e">
        <f t="shared" si="81"/>
        <v>#DIV/0!</v>
      </c>
      <c r="Y277" t="e">
        <f>IF(U277=0,0,IF(予定価格!G265=0,0,(U277-予定価格!H265)/予定価格!G265))</f>
        <v>#DIV/0!</v>
      </c>
      <c r="Z277" t="e">
        <f t="shared" si="82"/>
        <v>#DIV/0!</v>
      </c>
      <c r="AA277" t="e">
        <f t="shared" si="83"/>
        <v>#DIV/0!</v>
      </c>
      <c r="AB277" s="13" t="e">
        <f t="shared" si="84"/>
        <v>#DIV/0!</v>
      </c>
    </row>
    <row r="278" spans="1:28" hidden="1" x14ac:dyDescent="0.15">
      <c r="A278">
        <f>+予定価格!A266</f>
        <v>0</v>
      </c>
      <c r="B278" s="258">
        <f>ROUND(予定価格!B266*査定表!$B$437,-D278)+E278</f>
        <v>0</v>
      </c>
      <c r="C278" s="258"/>
      <c r="D278" s="45">
        <f t="shared" si="73"/>
        <v>4</v>
      </c>
      <c r="E278" s="46">
        <f t="shared" si="69"/>
        <v>0</v>
      </c>
      <c r="F278" s="258">
        <f>IF($F$12=0,0,IF(予定価格!$G$427=0,ROUND(予定価格!H266*(入力表!$F$12/予定価格!$H$431),-H278),ROUND((予定価格!G266*(入力表!$F$12-予定価格!$H$431)/予定価格!$G$431)+予定価格!H266,-H278)))+I278</f>
        <v>0</v>
      </c>
      <c r="G278" s="258"/>
      <c r="H278" s="47">
        <f t="shared" si="74"/>
        <v>4</v>
      </c>
      <c r="I278" s="48">
        <f t="shared" si="70"/>
        <v>0</v>
      </c>
      <c r="J278" s="116">
        <f t="shared" si="71"/>
        <v>0</v>
      </c>
      <c r="K278" s="19">
        <f t="shared" si="72"/>
        <v>0</v>
      </c>
      <c r="L278" s="50"/>
      <c r="M278" s="13">
        <f>ROUND(予定価格!B266*査定表!$B$437,-$F$14)</f>
        <v>0</v>
      </c>
      <c r="N278">
        <f>IF(M278=0,1,M278/予定価格!B266)</f>
        <v>1</v>
      </c>
      <c r="O278">
        <f t="shared" si="75"/>
        <v>21</v>
      </c>
      <c r="P278">
        <f t="shared" si="76"/>
        <v>0</v>
      </c>
      <c r="Q278">
        <f>IF(M278=0,0,M278/予定価格!B266)</f>
        <v>0</v>
      </c>
      <c r="R278">
        <f t="shared" si="77"/>
        <v>21</v>
      </c>
      <c r="S278">
        <f t="shared" si="78"/>
        <v>0</v>
      </c>
      <c r="T278" s="13">
        <f t="shared" si="79"/>
        <v>0</v>
      </c>
      <c r="U278" s="13" t="e">
        <f>IF(予定価格!$G$427=0,ROUND(予定価格!H266*(入力表!$F$12/予定価格!$H$431),-$F$14),ROUND((予定価格!G266*(入力表!$F$12-予定価格!$H$431)/予定価格!$G$431)+予定価格!H266,-$F$14))</f>
        <v>#DIV/0!</v>
      </c>
      <c r="V278" t="e">
        <f>IF(U278=0,1,IF(予定価格!O266=0,1,(U278-予定価格!P266)/予定価格!O266))</f>
        <v>#DIV/0!</v>
      </c>
      <c r="W278" t="e">
        <f t="shared" si="80"/>
        <v>#DIV/0!</v>
      </c>
      <c r="X278" t="e">
        <f t="shared" si="81"/>
        <v>#DIV/0!</v>
      </c>
      <c r="Y278" t="e">
        <f>IF(U278=0,0,IF(予定価格!G266=0,0,(U278-予定価格!H266)/予定価格!G266))</f>
        <v>#DIV/0!</v>
      </c>
      <c r="Z278" t="e">
        <f t="shared" si="82"/>
        <v>#DIV/0!</v>
      </c>
      <c r="AA278" t="e">
        <f t="shared" si="83"/>
        <v>#DIV/0!</v>
      </c>
      <c r="AB278" s="13" t="e">
        <f t="shared" si="84"/>
        <v>#DIV/0!</v>
      </c>
    </row>
    <row r="279" spans="1:28" hidden="1" x14ac:dyDescent="0.15">
      <c r="A279">
        <f>+予定価格!A267</f>
        <v>0</v>
      </c>
      <c r="B279" s="258">
        <f>ROUND(予定価格!B267*査定表!$B$437,-D279)+E279</f>
        <v>0</v>
      </c>
      <c r="C279" s="258"/>
      <c r="D279" s="45">
        <f t="shared" si="73"/>
        <v>4</v>
      </c>
      <c r="E279" s="46">
        <f t="shared" si="69"/>
        <v>0</v>
      </c>
      <c r="F279" s="258">
        <f>IF($F$12=0,0,IF(予定価格!$G$427=0,ROUND(予定価格!H267*(入力表!$F$12/予定価格!$H$431),-H279),ROUND((予定価格!G267*(入力表!$F$12-予定価格!$H$431)/予定価格!$G$431)+予定価格!H267,-H279)))+I279</f>
        <v>0</v>
      </c>
      <c r="G279" s="258"/>
      <c r="H279" s="47">
        <f t="shared" si="74"/>
        <v>4</v>
      </c>
      <c r="I279" s="48">
        <f t="shared" si="70"/>
        <v>0</v>
      </c>
      <c r="J279" s="116">
        <f t="shared" si="71"/>
        <v>0</v>
      </c>
      <c r="K279" s="19">
        <f t="shared" si="72"/>
        <v>0</v>
      </c>
      <c r="L279" s="50"/>
      <c r="M279" s="13">
        <f>ROUND(予定価格!B267*査定表!$B$437,-$F$14)</f>
        <v>0</v>
      </c>
      <c r="N279">
        <f>IF(M279=0,1,M279/予定価格!B267)</f>
        <v>1</v>
      </c>
      <c r="O279">
        <f t="shared" si="75"/>
        <v>21</v>
      </c>
      <c r="P279">
        <f t="shared" si="76"/>
        <v>0</v>
      </c>
      <c r="Q279">
        <f>IF(M279=0,0,M279/予定価格!B267)</f>
        <v>0</v>
      </c>
      <c r="R279">
        <f t="shared" si="77"/>
        <v>21</v>
      </c>
      <c r="S279">
        <f t="shared" si="78"/>
        <v>0</v>
      </c>
      <c r="T279" s="13">
        <f t="shared" si="79"/>
        <v>0</v>
      </c>
      <c r="U279" s="13" t="e">
        <f>IF(予定価格!$G$427=0,ROUND(予定価格!H267*(入力表!$F$12/予定価格!$H$431),-$F$14),ROUND((予定価格!G267*(入力表!$F$12-予定価格!$H$431)/予定価格!$G$431)+予定価格!H267,-$F$14))</f>
        <v>#DIV/0!</v>
      </c>
      <c r="V279" t="e">
        <f>IF(U279=0,1,IF(予定価格!O267=0,1,(U279-予定価格!P267)/予定価格!O267))</f>
        <v>#DIV/0!</v>
      </c>
      <c r="W279" t="e">
        <f t="shared" si="80"/>
        <v>#DIV/0!</v>
      </c>
      <c r="X279" t="e">
        <f t="shared" si="81"/>
        <v>#DIV/0!</v>
      </c>
      <c r="Y279" t="e">
        <f>IF(U279=0,0,IF(予定価格!G267=0,0,(U279-予定価格!H267)/予定価格!G267))</f>
        <v>#DIV/0!</v>
      </c>
      <c r="Z279" t="e">
        <f t="shared" si="82"/>
        <v>#DIV/0!</v>
      </c>
      <c r="AA279" t="e">
        <f t="shared" si="83"/>
        <v>#DIV/0!</v>
      </c>
      <c r="AB279" s="13" t="e">
        <f t="shared" si="84"/>
        <v>#DIV/0!</v>
      </c>
    </row>
    <row r="280" spans="1:28" hidden="1" x14ac:dyDescent="0.15">
      <c r="A280">
        <f>+予定価格!A268</f>
        <v>0</v>
      </c>
      <c r="B280" s="258">
        <f>ROUND(予定価格!B268*査定表!$B$437,-D280)+E280</f>
        <v>0</v>
      </c>
      <c r="C280" s="258"/>
      <c r="D280" s="45">
        <f t="shared" si="73"/>
        <v>4</v>
      </c>
      <c r="E280" s="46">
        <f t="shared" si="69"/>
        <v>0</v>
      </c>
      <c r="F280" s="258">
        <f>IF($F$12=0,0,IF(予定価格!$G$427=0,ROUND(予定価格!H268*(入力表!$F$12/予定価格!$H$431),-H280),ROUND((予定価格!G268*(入力表!$F$12-予定価格!$H$431)/予定価格!$G$431)+予定価格!H268,-H280)))+I280</f>
        <v>0</v>
      </c>
      <c r="G280" s="258"/>
      <c r="H280" s="47">
        <f t="shared" si="74"/>
        <v>4</v>
      </c>
      <c r="I280" s="48">
        <f t="shared" si="70"/>
        <v>0</v>
      </c>
      <c r="J280" s="116">
        <f t="shared" si="71"/>
        <v>0</v>
      </c>
      <c r="K280" s="19">
        <f t="shared" si="72"/>
        <v>0</v>
      </c>
      <c r="L280" s="50"/>
      <c r="M280" s="13">
        <f>ROUND(予定価格!B268*査定表!$B$437,-$F$14)</f>
        <v>0</v>
      </c>
      <c r="N280">
        <f>IF(M280=0,1,M280/予定価格!B268)</f>
        <v>1</v>
      </c>
      <c r="O280">
        <f t="shared" si="75"/>
        <v>21</v>
      </c>
      <c r="P280">
        <f t="shared" si="76"/>
        <v>0</v>
      </c>
      <c r="Q280">
        <f>IF(M280=0,0,M280/予定価格!B268)</f>
        <v>0</v>
      </c>
      <c r="R280">
        <f t="shared" si="77"/>
        <v>21</v>
      </c>
      <c r="S280">
        <f t="shared" si="78"/>
        <v>0</v>
      </c>
      <c r="T280" s="13">
        <f t="shared" si="79"/>
        <v>0</v>
      </c>
      <c r="U280" s="13" t="e">
        <f>IF(予定価格!$G$427=0,ROUND(予定価格!H268*(入力表!$F$12/予定価格!$H$431),-$F$14),ROUND((予定価格!G268*(入力表!$F$12-予定価格!$H$431)/予定価格!$G$431)+予定価格!H268,-$F$14))</f>
        <v>#DIV/0!</v>
      </c>
      <c r="V280" t="e">
        <f>IF(U280=0,1,IF(予定価格!O268=0,1,(U280-予定価格!P268)/予定価格!O268))</f>
        <v>#DIV/0!</v>
      </c>
      <c r="W280" t="e">
        <f t="shared" si="80"/>
        <v>#DIV/0!</v>
      </c>
      <c r="X280" t="e">
        <f t="shared" si="81"/>
        <v>#DIV/0!</v>
      </c>
      <c r="Y280" t="e">
        <f>IF(U280=0,0,IF(予定価格!G268=0,0,(U280-予定価格!H268)/予定価格!G268))</f>
        <v>#DIV/0!</v>
      </c>
      <c r="Z280" t="e">
        <f t="shared" si="82"/>
        <v>#DIV/0!</v>
      </c>
      <c r="AA280" t="e">
        <f t="shared" si="83"/>
        <v>#DIV/0!</v>
      </c>
      <c r="AB280" s="13" t="e">
        <f t="shared" si="84"/>
        <v>#DIV/0!</v>
      </c>
    </row>
    <row r="281" spans="1:28" hidden="1" x14ac:dyDescent="0.15">
      <c r="A281">
        <f>+予定価格!A269</f>
        <v>0</v>
      </c>
      <c r="B281" s="258">
        <f>ROUND(予定価格!B269*査定表!$B$437,-D281)+E281</f>
        <v>0</v>
      </c>
      <c r="C281" s="258"/>
      <c r="D281" s="45">
        <f t="shared" si="73"/>
        <v>4</v>
      </c>
      <c r="E281" s="46">
        <f t="shared" si="69"/>
        <v>0</v>
      </c>
      <c r="F281" s="258">
        <f>IF($F$12=0,0,IF(予定価格!$G$427=0,ROUND(予定価格!H269*(入力表!$F$12/予定価格!$H$431),-H281),ROUND((予定価格!G269*(入力表!$F$12-予定価格!$H$431)/予定価格!$G$431)+予定価格!H269,-H281)))+I281</f>
        <v>0</v>
      </c>
      <c r="G281" s="258"/>
      <c r="H281" s="47">
        <f t="shared" si="74"/>
        <v>4</v>
      </c>
      <c r="I281" s="48">
        <f t="shared" si="70"/>
        <v>0</v>
      </c>
      <c r="J281" s="116">
        <f t="shared" si="71"/>
        <v>0</v>
      </c>
      <c r="K281" s="19">
        <f t="shared" si="72"/>
        <v>0</v>
      </c>
      <c r="L281" s="50"/>
      <c r="M281" s="13">
        <f>ROUND(予定価格!B269*査定表!$B$437,-$F$14)</f>
        <v>0</v>
      </c>
      <c r="N281">
        <f>IF(M281=0,1,M281/予定価格!B269)</f>
        <v>1</v>
      </c>
      <c r="O281">
        <f t="shared" si="75"/>
        <v>21</v>
      </c>
      <c r="P281">
        <f t="shared" si="76"/>
        <v>0</v>
      </c>
      <c r="Q281">
        <f>IF(M281=0,0,M281/予定価格!B269)</f>
        <v>0</v>
      </c>
      <c r="R281">
        <f t="shared" si="77"/>
        <v>21</v>
      </c>
      <c r="S281">
        <f t="shared" si="78"/>
        <v>0</v>
      </c>
      <c r="T281" s="13">
        <f t="shared" si="79"/>
        <v>0</v>
      </c>
      <c r="U281" s="13" t="e">
        <f>IF(予定価格!$G$427=0,ROUND(予定価格!H269*(入力表!$F$12/予定価格!$H$431),-$F$14),ROUND((予定価格!G269*(入力表!$F$12-予定価格!$H$431)/予定価格!$G$431)+予定価格!H269,-$F$14))</f>
        <v>#DIV/0!</v>
      </c>
      <c r="V281" t="e">
        <f>IF(U281=0,1,IF(予定価格!O269=0,1,(U281-予定価格!P269)/予定価格!O269))</f>
        <v>#DIV/0!</v>
      </c>
      <c r="W281" t="e">
        <f t="shared" si="80"/>
        <v>#DIV/0!</v>
      </c>
      <c r="X281" t="e">
        <f t="shared" si="81"/>
        <v>#DIV/0!</v>
      </c>
      <c r="Y281" t="e">
        <f>IF(U281=0,0,IF(予定価格!G269=0,0,(U281-予定価格!H269)/予定価格!G269))</f>
        <v>#DIV/0!</v>
      </c>
      <c r="Z281" t="e">
        <f t="shared" si="82"/>
        <v>#DIV/0!</v>
      </c>
      <c r="AA281" t="e">
        <f t="shared" si="83"/>
        <v>#DIV/0!</v>
      </c>
      <c r="AB281" s="13" t="e">
        <f t="shared" si="84"/>
        <v>#DIV/0!</v>
      </c>
    </row>
    <row r="282" spans="1:28" hidden="1" x14ac:dyDescent="0.15">
      <c r="A282">
        <f>+予定価格!A270</f>
        <v>0</v>
      </c>
      <c r="B282" s="258">
        <f>ROUND(予定価格!B270*査定表!$B$437,-D282)+E282</f>
        <v>0</v>
      </c>
      <c r="C282" s="258"/>
      <c r="D282" s="45">
        <f t="shared" si="73"/>
        <v>4</v>
      </c>
      <c r="E282" s="46">
        <f t="shared" si="69"/>
        <v>0</v>
      </c>
      <c r="F282" s="258">
        <f>IF($F$12=0,0,IF(予定価格!$G$427=0,ROUND(予定価格!H270*(入力表!$F$12/予定価格!$H$431),-H282),ROUND((予定価格!G270*(入力表!$F$12-予定価格!$H$431)/予定価格!$G$431)+予定価格!H270,-H282)))+I282</f>
        <v>0</v>
      </c>
      <c r="G282" s="258"/>
      <c r="H282" s="47">
        <f t="shared" si="74"/>
        <v>4</v>
      </c>
      <c r="I282" s="48">
        <f t="shared" si="70"/>
        <v>0</v>
      </c>
      <c r="J282" s="116">
        <f t="shared" si="71"/>
        <v>0</v>
      </c>
      <c r="K282" s="19">
        <f t="shared" si="72"/>
        <v>0</v>
      </c>
      <c r="L282" s="50"/>
      <c r="M282" s="13">
        <f>ROUND(予定価格!B270*査定表!$B$437,-$F$14)</f>
        <v>0</v>
      </c>
      <c r="N282">
        <f>IF(M282=0,1,M282/予定価格!B270)</f>
        <v>1</v>
      </c>
      <c r="O282">
        <f t="shared" si="75"/>
        <v>21</v>
      </c>
      <c r="P282">
        <f t="shared" si="76"/>
        <v>0</v>
      </c>
      <c r="Q282">
        <f>IF(M282=0,0,M282/予定価格!B270)</f>
        <v>0</v>
      </c>
      <c r="R282">
        <f t="shared" si="77"/>
        <v>21</v>
      </c>
      <c r="S282">
        <f t="shared" si="78"/>
        <v>0</v>
      </c>
      <c r="T282" s="13">
        <f t="shared" si="79"/>
        <v>0</v>
      </c>
      <c r="U282" s="13" t="e">
        <f>IF(予定価格!$G$427=0,ROUND(予定価格!H270*(入力表!$F$12/予定価格!$H$431),-$F$14),ROUND((予定価格!G270*(入力表!$F$12-予定価格!$H$431)/予定価格!$G$431)+予定価格!H270,-$F$14))</f>
        <v>#DIV/0!</v>
      </c>
      <c r="V282" t="e">
        <f>IF(U282=0,1,IF(予定価格!O270=0,1,(U282-予定価格!P270)/予定価格!O270))</f>
        <v>#DIV/0!</v>
      </c>
      <c r="W282" t="e">
        <f t="shared" si="80"/>
        <v>#DIV/0!</v>
      </c>
      <c r="X282" t="e">
        <f t="shared" si="81"/>
        <v>#DIV/0!</v>
      </c>
      <c r="Y282" t="e">
        <f>IF(U282=0,0,IF(予定価格!G270=0,0,(U282-予定価格!H270)/予定価格!G270))</f>
        <v>#DIV/0!</v>
      </c>
      <c r="Z282" t="e">
        <f t="shared" si="82"/>
        <v>#DIV/0!</v>
      </c>
      <c r="AA282" t="e">
        <f t="shared" si="83"/>
        <v>#DIV/0!</v>
      </c>
      <c r="AB282" s="13" t="e">
        <f t="shared" si="84"/>
        <v>#DIV/0!</v>
      </c>
    </row>
    <row r="283" spans="1:28" hidden="1" x14ac:dyDescent="0.15">
      <c r="A283">
        <f>+予定価格!A271</f>
        <v>0</v>
      </c>
      <c r="B283" s="258">
        <f>ROUND(予定価格!B271*査定表!$B$437,-D283)+E283</f>
        <v>0</v>
      </c>
      <c r="C283" s="258"/>
      <c r="D283" s="45">
        <f t="shared" si="73"/>
        <v>4</v>
      </c>
      <c r="E283" s="46">
        <f t="shared" si="69"/>
        <v>0</v>
      </c>
      <c r="F283" s="258">
        <f>IF($F$12=0,0,IF(予定価格!$G$427=0,ROUND(予定価格!H271*(入力表!$F$12/予定価格!$H$431),-H283),ROUND((予定価格!G271*(入力表!$F$12-予定価格!$H$431)/予定価格!$G$431)+予定価格!H271,-H283)))+I283</f>
        <v>0</v>
      </c>
      <c r="G283" s="258"/>
      <c r="H283" s="47">
        <f t="shared" si="74"/>
        <v>4</v>
      </c>
      <c r="I283" s="48">
        <f t="shared" si="70"/>
        <v>0</v>
      </c>
      <c r="J283" s="116">
        <f t="shared" si="71"/>
        <v>0</v>
      </c>
      <c r="K283" s="19">
        <f t="shared" si="72"/>
        <v>0</v>
      </c>
      <c r="L283" s="50"/>
      <c r="M283" s="13">
        <f>ROUND(予定価格!B271*査定表!$B$437,-$F$14)</f>
        <v>0</v>
      </c>
      <c r="N283">
        <f>IF(M283=0,1,M283/予定価格!B271)</f>
        <v>1</v>
      </c>
      <c r="O283">
        <f t="shared" si="75"/>
        <v>21</v>
      </c>
      <c r="P283">
        <f t="shared" si="76"/>
        <v>0</v>
      </c>
      <c r="Q283">
        <f>IF(M283=0,0,M283/予定価格!B271)</f>
        <v>0</v>
      </c>
      <c r="R283">
        <f t="shared" si="77"/>
        <v>21</v>
      </c>
      <c r="S283">
        <f t="shared" si="78"/>
        <v>0</v>
      </c>
      <c r="T283" s="13">
        <f t="shared" si="79"/>
        <v>0</v>
      </c>
      <c r="U283" s="13" t="e">
        <f>IF(予定価格!$G$427=0,ROUND(予定価格!H271*(入力表!$F$12/予定価格!$H$431),-$F$14),ROUND((予定価格!G271*(入力表!$F$12-予定価格!$H$431)/予定価格!$G$431)+予定価格!H271,-$F$14))</f>
        <v>#DIV/0!</v>
      </c>
      <c r="V283" t="e">
        <f>IF(U283=0,1,IF(予定価格!O271=0,1,(U283-予定価格!P271)/予定価格!O271))</f>
        <v>#DIV/0!</v>
      </c>
      <c r="W283" t="e">
        <f t="shared" si="80"/>
        <v>#DIV/0!</v>
      </c>
      <c r="X283" t="e">
        <f t="shared" si="81"/>
        <v>#DIV/0!</v>
      </c>
      <c r="Y283" t="e">
        <f>IF(U283=0,0,IF(予定価格!G271=0,0,(U283-予定価格!H271)/予定価格!G271))</f>
        <v>#DIV/0!</v>
      </c>
      <c r="Z283" t="e">
        <f t="shared" si="82"/>
        <v>#DIV/0!</v>
      </c>
      <c r="AA283" t="e">
        <f t="shared" si="83"/>
        <v>#DIV/0!</v>
      </c>
      <c r="AB283" s="13" t="e">
        <f t="shared" si="84"/>
        <v>#DIV/0!</v>
      </c>
    </row>
    <row r="284" spans="1:28" hidden="1" x14ac:dyDescent="0.15">
      <c r="A284">
        <f>+予定価格!A272</f>
        <v>0</v>
      </c>
      <c r="B284" s="258">
        <f>ROUND(予定価格!B272*査定表!$B$437,-D284)+E284</f>
        <v>0</v>
      </c>
      <c r="C284" s="258"/>
      <c r="D284" s="45">
        <f t="shared" si="73"/>
        <v>4</v>
      </c>
      <c r="E284" s="46">
        <f t="shared" si="69"/>
        <v>0</v>
      </c>
      <c r="F284" s="258">
        <f>IF($F$12=0,0,IF(予定価格!$G$427=0,ROUND(予定価格!H272*(入力表!$F$12/予定価格!$H$431),-H284),ROUND((予定価格!G272*(入力表!$F$12-予定価格!$H$431)/予定価格!$G$431)+予定価格!H272,-H284)))+I284</f>
        <v>0</v>
      </c>
      <c r="G284" s="258"/>
      <c r="H284" s="47">
        <f t="shared" si="74"/>
        <v>4</v>
      </c>
      <c r="I284" s="48">
        <f t="shared" si="70"/>
        <v>0</v>
      </c>
      <c r="J284" s="116">
        <f t="shared" si="71"/>
        <v>0</v>
      </c>
      <c r="K284" s="19">
        <f t="shared" si="72"/>
        <v>0</v>
      </c>
      <c r="L284" s="50"/>
      <c r="M284" s="13">
        <f>ROUND(予定価格!B272*査定表!$B$437,-$F$14)</f>
        <v>0</v>
      </c>
      <c r="N284">
        <f>IF(M284=0,1,M284/予定価格!B272)</f>
        <v>1</v>
      </c>
      <c r="O284">
        <f t="shared" si="75"/>
        <v>21</v>
      </c>
      <c r="P284">
        <f t="shared" si="76"/>
        <v>0</v>
      </c>
      <c r="Q284">
        <f>IF(M284=0,0,M284/予定価格!B272)</f>
        <v>0</v>
      </c>
      <c r="R284">
        <f t="shared" si="77"/>
        <v>21</v>
      </c>
      <c r="S284">
        <f t="shared" si="78"/>
        <v>0</v>
      </c>
      <c r="T284" s="13">
        <f t="shared" si="79"/>
        <v>0</v>
      </c>
      <c r="U284" s="13" t="e">
        <f>IF(予定価格!$G$427=0,ROUND(予定価格!H272*(入力表!$F$12/予定価格!$H$431),-$F$14),ROUND((予定価格!G272*(入力表!$F$12-予定価格!$H$431)/予定価格!$G$431)+予定価格!H272,-$F$14))</f>
        <v>#DIV/0!</v>
      </c>
      <c r="V284" t="e">
        <f>IF(U284=0,1,IF(予定価格!O272=0,1,(U284-予定価格!P272)/予定価格!O272))</f>
        <v>#DIV/0!</v>
      </c>
      <c r="W284" t="e">
        <f t="shared" si="80"/>
        <v>#DIV/0!</v>
      </c>
      <c r="X284" t="e">
        <f t="shared" si="81"/>
        <v>#DIV/0!</v>
      </c>
      <c r="Y284" t="e">
        <f>IF(U284=0,0,IF(予定価格!G272=0,0,(U284-予定価格!H272)/予定価格!G272))</f>
        <v>#DIV/0!</v>
      </c>
      <c r="Z284" t="e">
        <f t="shared" si="82"/>
        <v>#DIV/0!</v>
      </c>
      <c r="AA284" t="e">
        <f t="shared" si="83"/>
        <v>#DIV/0!</v>
      </c>
      <c r="AB284" s="13" t="e">
        <f t="shared" si="84"/>
        <v>#DIV/0!</v>
      </c>
    </row>
    <row r="285" spans="1:28" hidden="1" x14ac:dyDescent="0.15">
      <c r="A285">
        <f>+予定価格!A273</f>
        <v>0</v>
      </c>
      <c r="B285" s="258">
        <f>ROUND(予定価格!B273*査定表!$B$437,-D285)+E285</f>
        <v>0</v>
      </c>
      <c r="C285" s="258"/>
      <c r="D285" s="45">
        <f t="shared" si="73"/>
        <v>4</v>
      </c>
      <c r="E285" s="46">
        <f t="shared" si="69"/>
        <v>0</v>
      </c>
      <c r="F285" s="258">
        <f>IF($F$12=0,0,IF(予定価格!$G$427=0,ROUND(予定価格!H273*(入力表!$F$12/予定価格!$H$431),-H285),ROUND((予定価格!G273*(入力表!$F$12-予定価格!$H$431)/予定価格!$G$431)+予定価格!H273,-H285)))+I285</f>
        <v>0</v>
      </c>
      <c r="G285" s="258"/>
      <c r="H285" s="47">
        <f t="shared" si="74"/>
        <v>4</v>
      </c>
      <c r="I285" s="48">
        <f t="shared" si="70"/>
        <v>0</v>
      </c>
      <c r="J285" s="116">
        <f t="shared" si="71"/>
        <v>0</v>
      </c>
      <c r="K285" s="19">
        <f t="shared" si="72"/>
        <v>0</v>
      </c>
      <c r="L285" s="50"/>
      <c r="M285" s="13">
        <f>ROUND(予定価格!B273*査定表!$B$437,-$F$14)</f>
        <v>0</v>
      </c>
      <c r="N285">
        <f>IF(M285=0,1,M285/予定価格!B273)</f>
        <v>1</v>
      </c>
      <c r="O285">
        <f t="shared" si="75"/>
        <v>21</v>
      </c>
      <c r="P285">
        <f t="shared" si="76"/>
        <v>0</v>
      </c>
      <c r="Q285">
        <f>IF(M285=0,0,M285/予定価格!B273)</f>
        <v>0</v>
      </c>
      <c r="R285">
        <f t="shared" si="77"/>
        <v>21</v>
      </c>
      <c r="S285">
        <f t="shared" si="78"/>
        <v>0</v>
      </c>
      <c r="T285" s="13">
        <f t="shared" si="79"/>
        <v>0</v>
      </c>
      <c r="U285" s="13" t="e">
        <f>IF(予定価格!$G$427=0,ROUND(予定価格!H273*(入力表!$F$12/予定価格!$H$431),-$F$14),ROUND((予定価格!G273*(入力表!$F$12-予定価格!$H$431)/予定価格!$G$431)+予定価格!H273,-$F$14))</f>
        <v>#DIV/0!</v>
      </c>
      <c r="V285" t="e">
        <f>IF(U285=0,1,IF(予定価格!O273=0,1,(U285-予定価格!P273)/予定価格!O273))</f>
        <v>#DIV/0!</v>
      </c>
      <c r="W285" t="e">
        <f t="shared" si="80"/>
        <v>#DIV/0!</v>
      </c>
      <c r="X285" t="e">
        <f t="shared" si="81"/>
        <v>#DIV/0!</v>
      </c>
      <c r="Y285" t="e">
        <f>IF(U285=0,0,IF(予定価格!G273=0,0,(U285-予定価格!H273)/予定価格!G273))</f>
        <v>#DIV/0!</v>
      </c>
      <c r="Z285" t="e">
        <f t="shared" si="82"/>
        <v>#DIV/0!</v>
      </c>
      <c r="AA285" t="e">
        <f t="shared" si="83"/>
        <v>#DIV/0!</v>
      </c>
      <c r="AB285" s="13" t="e">
        <f t="shared" si="84"/>
        <v>#DIV/0!</v>
      </c>
    </row>
    <row r="286" spans="1:28" hidden="1" x14ac:dyDescent="0.15">
      <c r="A286">
        <f>+予定価格!A274</f>
        <v>0</v>
      </c>
      <c r="B286" s="258">
        <f>ROUND(予定価格!B274*査定表!$B$437,-D286)+E286</f>
        <v>0</v>
      </c>
      <c r="C286" s="258"/>
      <c r="D286" s="45">
        <f t="shared" si="73"/>
        <v>4</v>
      </c>
      <c r="E286" s="46">
        <f t="shared" si="69"/>
        <v>0</v>
      </c>
      <c r="F286" s="258">
        <f>IF($F$12=0,0,IF(予定価格!$G$427=0,ROUND(予定価格!H274*(入力表!$F$12/予定価格!$H$431),-H286),ROUND((予定価格!G274*(入力表!$F$12-予定価格!$H$431)/予定価格!$G$431)+予定価格!H274,-H286)))+I286</f>
        <v>0</v>
      </c>
      <c r="G286" s="258"/>
      <c r="H286" s="47">
        <f t="shared" si="74"/>
        <v>4</v>
      </c>
      <c r="I286" s="48">
        <f t="shared" si="70"/>
        <v>0</v>
      </c>
      <c r="J286" s="116">
        <f t="shared" si="71"/>
        <v>0</v>
      </c>
      <c r="K286" s="19">
        <f t="shared" si="72"/>
        <v>0</v>
      </c>
      <c r="L286" s="50"/>
      <c r="M286" s="13">
        <f>ROUND(予定価格!B274*査定表!$B$437,-$F$14)</f>
        <v>0</v>
      </c>
      <c r="N286">
        <f>IF(M286=0,1,M286/予定価格!B274)</f>
        <v>1</v>
      </c>
      <c r="O286">
        <f t="shared" si="75"/>
        <v>21</v>
      </c>
      <c r="P286">
        <f t="shared" si="76"/>
        <v>0</v>
      </c>
      <c r="Q286">
        <f>IF(M286=0,0,M286/予定価格!B274)</f>
        <v>0</v>
      </c>
      <c r="R286">
        <f t="shared" si="77"/>
        <v>21</v>
      </c>
      <c r="S286">
        <f t="shared" si="78"/>
        <v>0</v>
      </c>
      <c r="T286" s="13">
        <f t="shared" si="79"/>
        <v>0</v>
      </c>
      <c r="U286" s="13" t="e">
        <f>IF(予定価格!$G$427=0,ROUND(予定価格!H274*(入力表!$F$12/予定価格!$H$431),-$F$14),ROUND((予定価格!G274*(入力表!$F$12-予定価格!$H$431)/予定価格!$G$431)+予定価格!H274,-$F$14))</f>
        <v>#DIV/0!</v>
      </c>
      <c r="V286" t="e">
        <f>IF(U286=0,1,IF(予定価格!O274=0,1,(U286-予定価格!P274)/予定価格!O274))</f>
        <v>#DIV/0!</v>
      </c>
      <c r="W286" t="e">
        <f t="shared" si="80"/>
        <v>#DIV/0!</v>
      </c>
      <c r="X286" t="e">
        <f t="shared" si="81"/>
        <v>#DIV/0!</v>
      </c>
      <c r="Y286" t="e">
        <f>IF(U286=0,0,IF(予定価格!G274=0,0,(U286-予定価格!H274)/予定価格!G274))</f>
        <v>#DIV/0!</v>
      </c>
      <c r="Z286" t="e">
        <f t="shared" si="82"/>
        <v>#DIV/0!</v>
      </c>
      <c r="AA286" t="e">
        <f t="shared" si="83"/>
        <v>#DIV/0!</v>
      </c>
      <c r="AB286" s="13" t="e">
        <f t="shared" si="84"/>
        <v>#DIV/0!</v>
      </c>
    </row>
    <row r="287" spans="1:28" hidden="1" x14ac:dyDescent="0.15">
      <c r="A287">
        <f>+予定価格!A275</f>
        <v>0</v>
      </c>
      <c r="B287" s="258">
        <f>ROUND(予定価格!B275*査定表!$B$437,-D287)+E287</f>
        <v>0</v>
      </c>
      <c r="C287" s="258"/>
      <c r="D287" s="45">
        <f t="shared" si="73"/>
        <v>4</v>
      </c>
      <c r="E287" s="46">
        <f t="shared" si="69"/>
        <v>0</v>
      </c>
      <c r="F287" s="258">
        <f>IF($F$12=0,0,IF(予定価格!$G$427=0,ROUND(予定価格!H275*(入力表!$F$12/予定価格!$H$431),-H287),ROUND((予定価格!G275*(入力表!$F$12-予定価格!$H$431)/予定価格!$G$431)+予定価格!H275,-H287)))+I287</f>
        <v>0</v>
      </c>
      <c r="G287" s="258"/>
      <c r="H287" s="47">
        <f t="shared" si="74"/>
        <v>4</v>
      </c>
      <c r="I287" s="48">
        <f t="shared" si="70"/>
        <v>0</v>
      </c>
      <c r="J287" s="116">
        <f t="shared" si="71"/>
        <v>0</v>
      </c>
      <c r="K287" s="19">
        <f t="shared" si="72"/>
        <v>0</v>
      </c>
      <c r="L287" s="50"/>
      <c r="M287" s="13">
        <f>ROUND(予定価格!B275*査定表!$B$437,-$F$14)</f>
        <v>0</v>
      </c>
      <c r="N287">
        <f>IF(M287=0,1,M287/予定価格!B275)</f>
        <v>1</v>
      </c>
      <c r="O287">
        <f t="shared" si="75"/>
        <v>21</v>
      </c>
      <c r="P287">
        <f t="shared" si="76"/>
        <v>0</v>
      </c>
      <c r="Q287">
        <f>IF(M287=0,0,M287/予定価格!B275)</f>
        <v>0</v>
      </c>
      <c r="R287">
        <f t="shared" si="77"/>
        <v>21</v>
      </c>
      <c r="S287">
        <f t="shared" si="78"/>
        <v>0</v>
      </c>
      <c r="T287" s="13">
        <f t="shared" si="79"/>
        <v>0</v>
      </c>
      <c r="U287" s="13" t="e">
        <f>IF(予定価格!$G$427=0,ROUND(予定価格!H275*(入力表!$F$12/予定価格!$H$431),-$F$14),ROUND((予定価格!G275*(入力表!$F$12-予定価格!$H$431)/予定価格!$G$431)+予定価格!H275,-$F$14))</f>
        <v>#DIV/0!</v>
      </c>
      <c r="V287" t="e">
        <f>IF(U287=0,1,IF(予定価格!O275=0,1,(U287-予定価格!P275)/予定価格!O275))</f>
        <v>#DIV/0!</v>
      </c>
      <c r="W287" t="e">
        <f t="shared" si="80"/>
        <v>#DIV/0!</v>
      </c>
      <c r="X287" t="e">
        <f t="shared" si="81"/>
        <v>#DIV/0!</v>
      </c>
      <c r="Y287" t="e">
        <f>IF(U287=0,0,IF(予定価格!G275=0,0,(U287-予定価格!H275)/予定価格!G275))</f>
        <v>#DIV/0!</v>
      </c>
      <c r="Z287" t="e">
        <f t="shared" si="82"/>
        <v>#DIV/0!</v>
      </c>
      <c r="AA287" t="e">
        <f t="shared" si="83"/>
        <v>#DIV/0!</v>
      </c>
      <c r="AB287" s="13" t="e">
        <f t="shared" si="84"/>
        <v>#DIV/0!</v>
      </c>
    </row>
    <row r="288" spans="1:28" hidden="1" x14ac:dyDescent="0.15">
      <c r="A288">
        <f>+予定価格!A276</f>
        <v>0</v>
      </c>
      <c r="B288" s="258">
        <f>ROUND(予定価格!B276*査定表!$B$437,-D288)+E288</f>
        <v>0</v>
      </c>
      <c r="C288" s="258"/>
      <c r="D288" s="45">
        <f t="shared" si="73"/>
        <v>4</v>
      </c>
      <c r="E288" s="46">
        <f t="shared" si="69"/>
        <v>0</v>
      </c>
      <c r="F288" s="258">
        <f>IF($F$12=0,0,IF(予定価格!$G$427=0,ROUND(予定価格!H276*(入力表!$F$12/予定価格!$H$431),-H288),ROUND((予定価格!G276*(入力表!$F$12-予定価格!$H$431)/予定価格!$G$431)+予定価格!H276,-H288)))+I288</f>
        <v>0</v>
      </c>
      <c r="G288" s="258"/>
      <c r="H288" s="47">
        <f t="shared" si="74"/>
        <v>4</v>
      </c>
      <c r="I288" s="48">
        <f t="shared" si="70"/>
        <v>0</v>
      </c>
      <c r="J288" s="116">
        <f t="shared" si="71"/>
        <v>0</v>
      </c>
      <c r="K288" s="19">
        <f t="shared" si="72"/>
        <v>0</v>
      </c>
      <c r="L288" s="50"/>
      <c r="M288" s="13">
        <f>ROUND(予定価格!B276*査定表!$B$437,-$F$14)</f>
        <v>0</v>
      </c>
      <c r="N288">
        <f>IF(M288=0,1,M288/予定価格!B276)</f>
        <v>1</v>
      </c>
      <c r="O288">
        <f t="shared" si="75"/>
        <v>21</v>
      </c>
      <c r="P288">
        <f t="shared" si="76"/>
        <v>0</v>
      </c>
      <c r="Q288">
        <f>IF(M288=0,0,M288/予定価格!B276)</f>
        <v>0</v>
      </c>
      <c r="R288">
        <f t="shared" si="77"/>
        <v>21</v>
      </c>
      <c r="S288">
        <f t="shared" si="78"/>
        <v>0</v>
      </c>
      <c r="T288" s="13">
        <f t="shared" si="79"/>
        <v>0</v>
      </c>
      <c r="U288" s="13" t="e">
        <f>IF(予定価格!$G$427=0,ROUND(予定価格!H276*(入力表!$F$12/予定価格!$H$431),-$F$14),ROUND((予定価格!G276*(入力表!$F$12-予定価格!$H$431)/予定価格!$G$431)+予定価格!H276,-$F$14))</f>
        <v>#DIV/0!</v>
      </c>
      <c r="V288" t="e">
        <f>IF(U288=0,1,IF(予定価格!O276=0,1,(U288-予定価格!P276)/予定価格!O276))</f>
        <v>#DIV/0!</v>
      </c>
      <c r="W288" t="e">
        <f t="shared" si="80"/>
        <v>#DIV/0!</v>
      </c>
      <c r="X288" t="e">
        <f t="shared" si="81"/>
        <v>#DIV/0!</v>
      </c>
      <c r="Y288" t="e">
        <f>IF(U288=0,0,IF(予定価格!G276=0,0,(U288-予定価格!H276)/予定価格!G276))</f>
        <v>#DIV/0!</v>
      </c>
      <c r="Z288" t="e">
        <f t="shared" si="82"/>
        <v>#DIV/0!</v>
      </c>
      <c r="AA288" t="e">
        <f t="shared" si="83"/>
        <v>#DIV/0!</v>
      </c>
      <c r="AB288" s="13" t="e">
        <f t="shared" si="84"/>
        <v>#DIV/0!</v>
      </c>
    </row>
    <row r="289" spans="1:28" hidden="1" x14ac:dyDescent="0.15">
      <c r="A289">
        <f>+予定価格!A277</f>
        <v>0</v>
      </c>
      <c r="B289" s="258">
        <f>ROUND(予定価格!B277*査定表!$B$437,-D289)+E289</f>
        <v>0</v>
      </c>
      <c r="C289" s="258"/>
      <c r="D289" s="45">
        <f t="shared" si="73"/>
        <v>4</v>
      </c>
      <c r="E289" s="46">
        <f t="shared" si="69"/>
        <v>0</v>
      </c>
      <c r="F289" s="258">
        <f>IF($F$12=0,0,IF(予定価格!$G$427=0,ROUND(予定価格!H277*(入力表!$F$12/予定価格!$H$431),-H289),ROUND((予定価格!G277*(入力表!$F$12-予定価格!$H$431)/予定価格!$G$431)+予定価格!H277,-H289)))+I289</f>
        <v>0</v>
      </c>
      <c r="G289" s="258"/>
      <c r="H289" s="47">
        <f t="shared" si="74"/>
        <v>4</v>
      </c>
      <c r="I289" s="48">
        <f t="shared" si="70"/>
        <v>0</v>
      </c>
      <c r="J289" s="116">
        <f t="shared" si="71"/>
        <v>0</v>
      </c>
      <c r="K289" s="19">
        <f t="shared" si="72"/>
        <v>0</v>
      </c>
      <c r="L289" s="50"/>
      <c r="M289" s="13">
        <f>ROUND(予定価格!B277*査定表!$B$437,-$F$14)</f>
        <v>0</v>
      </c>
      <c r="N289">
        <f>IF(M289=0,1,M289/予定価格!B277)</f>
        <v>1</v>
      </c>
      <c r="O289">
        <f t="shared" si="75"/>
        <v>21</v>
      </c>
      <c r="P289">
        <f t="shared" si="76"/>
        <v>0</v>
      </c>
      <c r="Q289">
        <f>IF(M289=0,0,M289/予定価格!B277)</f>
        <v>0</v>
      </c>
      <c r="R289">
        <f t="shared" si="77"/>
        <v>21</v>
      </c>
      <c r="S289">
        <f t="shared" si="78"/>
        <v>0</v>
      </c>
      <c r="T289" s="13">
        <f t="shared" si="79"/>
        <v>0</v>
      </c>
      <c r="U289" s="13" t="e">
        <f>IF(予定価格!$G$427=0,ROUND(予定価格!H277*(入力表!$F$12/予定価格!$H$431),-$F$14),ROUND((予定価格!G277*(入力表!$F$12-予定価格!$H$431)/予定価格!$G$431)+予定価格!H277,-$F$14))</f>
        <v>#DIV/0!</v>
      </c>
      <c r="V289" t="e">
        <f>IF(U289=0,1,IF(予定価格!O277=0,1,(U289-予定価格!P277)/予定価格!O277))</f>
        <v>#DIV/0!</v>
      </c>
      <c r="W289" t="e">
        <f t="shared" si="80"/>
        <v>#DIV/0!</v>
      </c>
      <c r="X289" t="e">
        <f t="shared" si="81"/>
        <v>#DIV/0!</v>
      </c>
      <c r="Y289" t="e">
        <f>IF(U289=0,0,IF(予定価格!G277=0,0,(U289-予定価格!H277)/予定価格!G277))</f>
        <v>#DIV/0!</v>
      </c>
      <c r="Z289" t="e">
        <f t="shared" si="82"/>
        <v>#DIV/0!</v>
      </c>
      <c r="AA289" t="e">
        <f t="shared" si="83"/>
        <v>#DIV/0!</v>
      </c>
      <c r="AB289" s="13" t="e">
        <f t="shared" si="84"/>
        <v>#DIV/0!</v>
      </c>
    </row>
    <row r="290" spans="1:28" hidden="1" x14ac:dyDescent="0.15">
      <c r="A290">
        <f>+予定価格!A278</f>
        <v>0</v>
      </c>
      <c r="B290" s="258">
        <f>ROUND(予定価格!B278*査定表!$B$437,-D290)+E290</f>
        <v>0</v>
      </c>
      <c r="C290" s="258"/>
      <c r="D290" s="45">
        <f t="shared" si="73"/>
        <v>4</v>
      </c>
      <c r="E290" s="46">
        <f t="shared" si="69"/>
        <v>0</v>
      </c>
      <c r="F290" s="258">
        <f>IF($F$12=0,0,IF(予定価格!$G$427=0,ROUND(予定価格!H278*(入力表!$F$12/予定価格!$H$431),-H290),ROUND((予定価格!G278*(入力表!$F$12-予定価格!$H$431)/予定価格!$G$431)+予定価格!H278,-H290)))+I290</f>
        <v>0</v>
      </c>
      <c r="G290" s="258"/>
      <c r="H290" s="47">
        <f t="shared" si="74"/>
        <v>4</v>
      </c>
      <c r="I290" s="48">
        <f t="shared" si="70"/>
        <v>0</v>
      </c>
      <c r="J290" s="116">
        <f t="shared" si="71"/>
        <v>0</v>
      </c>
      <c r="K290" s="19">
        <f t="shared" si="72"/>
        <v>0</v>
      </c>
      <c r="L290" s="50"/>
      <c r="M290" s="13">
        <f>ROUND(予定価格!B278*査定表!$B$437,-$F$14)</f>
        <v>0</v>
      </c>
      <c r="N290">
        <f>IF(M290=0,1,M290/予定価格!B278)</f>
        <v>1</v>
      </c>
      <c r="O290">
        <f t="shared" si="75"/>
        <v>21</v>
      </c>
      <c r="P290">
        <f t="shared" si="76"/>
        <v>0</v>
      </c>
      <c r="Q290">
        <f>IF(M290=0,0,M290/予定価格!B278)</f>
        <v>0</v>
      </c>
      <c r="R290">
        <f t="shared" si="77"/>
        <v>21</v>
      </c>
      <c r="S290">
        <f t="shared" si="78"/>
        <v>0</v>
      </c>
      <c r="T290" s="13">
        <f t="shared" si="79"/>
        <v>0</v>
      </c>
      <c r="U290" s="13" t="e">
        <f>IF(予定価格!$G$427=0,ROUND(予定価格!H278*(入力表!$F$12/予定価格!$H$431),-$F$14),ROUND((予定価格!G278*(入力表!$F$12-予定価格!$H$431)/予定価格!$G$431)+予定価格!H278,-$F$14))</f>
        <v>#DIV/0!</v>
      </c>
      <c r="V290" t="e">
        <f>IF(U290=0,1,IF(予定価格!O278=0,1,(U290-予定価格!P278)/予定価格!O278))</f>
        <v>#DIV/0!</v>
      </c>
      <c r="W290" t="e">
        <f t="shared" si="80"/>
        <v>#DIV/0!</v>
      </c>
      <c r="X290" t="e">
        <f t="shared" si="81"/>
        <v>#DIV/0!</v>
      </c>
      <c r="Y290" t="e">
        <f>IF(U290=0,0,IF(予定価格!G278=0,0,(U290-予定価格!H278)/予定価格!G278))</f>
        <v>#DIV/0!</v>
      </c>
      <c r="Z290" t="e">
        <f t="shared" si="82"/>
        <v>#DIV/0!</v>
      </c>
      <c r="AA290" t="e">
        <f t="shared" si="83"/>
        <v>#DIV/0!</v>
      </c>
      <c r="AB290" s="13" t="e">
        <f t="shared" si="84"/>
        <v>#DIV/0!</v>
      </c>
    </row>
    <row r="291" spans="1:28" hidden="1" x14ac:dyDescent="0.15">
      <c r="A291">
        <f>+予定価格!A279</f>
        <v>0</v>
      </c>
      <c r="B291" s="258">
        <f>ROUND(予定価格!B279*査定表!$B$437,-D291)+E291</f>
        <v>0</v>
      </c>
      <c r="C291" s="258"/>
      <c r="D291" s="45">
        <f t="shared" si="73"/>
        <v>4</v>
      </c>
      <c r="E291" s="46">
        <f t="shared" si="69"/>
        <v>0</v>
      </c>
      <c r="F291" s="258">
        <f>IF($F$12=0,0,IF(予定価格!$G$427=0,ROUND(予定価格!H279*(入力表!$F$12/予定価格!$H$431),-H291),ROUND((予定価格!G279*(入力表!$F$12-予定価格!$H$431)/予定価格!$G$431)+予定価格!H279,-H291)))+I291</f>
        <v>0</v>
      </c>
      <c r="G291" s="258"/>
      <c r="H291" s="47">
        <f t="shared" si="74"/>
        <v>4</v>
      </c>
      <c r="I291" s="48">
        <f t="shared" si="70"/>
        <v>0</v>
      </c>
      <c r="J291" s="116">
        <f t="shared" si="71"/>
        <v>0</v>
      </c>
      <c r="K291" s="19">
        <f t="shared" si="72"/>
        <v>0</v>
      </c>
      <c r="L291" s="50"/>
      <c r="M291" s="13">
        <f>ROUND(予定価格!B279*査定表!$B$437,-$F$14)</f>
        <v>0</v>
      </c>
      <c r="N291">
        <f>IF(M291=0,1,M291/予定価格!B279)</f>
        <v>1</v>
      </c>
      <c r="O291">
        <f t="shared" si="75"/>
        <v>21</v>
      </c>
      <c r="P291">
        <f t="shared" si="76"/>
        <v>0</v>
      </c>
      <c r="Q291">
        <f>IF(M291=0,0,M291/予定価格!B279)</f>
        <v>0</v>
      </c>
      <c r="R291">
        <f t="shared" si="77"/>
        <v>21</v>
      </c>
      <c r="S291">
        <f t="shared" si="78"/>
        <v>0</v>
      </c>
      <c r="T291" s="13">
        <f t="shared" si="79"/>
        <v>0</v>
      </c>
      <c r="U291" s="13" t="e">
        <f>IF(予定価格!$G$427=0,ROUND(予定価格!H279*(入力表!$F$12/予定価格!$H$431),-$F$14),ROUND((予定価格!G279*(入力表!$F$12-予定価格!$H$431)/予定価格!$G$431)+予定価格!H279,-$F$14))</f>
        <v>#DIV/0!</v>
      </c>
      <c r="V291" t="e">
        <f>IF(U291=0,1,IF(予定価格!O279=0,1,(U291-予定価格!P279)/予定価格!O279))</f>
        <v>#DIV/0!</v>
      </c>
      <c r="W291" t="e">
        <f t="shared" si="80"/>
        <v>#DIV/0!</v>
      </c>
      <c r="X291" t="e">
        <f t="shared" si="81"/>
        <v>#DIV/0!</v>
      </c>
      <c r="Y291" t="e">
        <f>IF(U291=0,0,IF(予定価格!G279=0,0,(U291-予定価格!H279)/予定価格!G279))</f>
        <v>#DIV/0!</v>
      </c>
      <c r="Z291" t="e">
        <f t="shared" si="82"/>
        <v>#DIV/0!</v>
      </c>
      <c r="AA291" t="e">
        <f t="shared" si="83"/>
        <v>#DIV/0!</v>
      </c>
      <c r="AB291" s="13" t="e">
        <f t="shared" si="84"/>
        <v>#DIV/0!</v>
      </c>
    </row>
    <row r="292" spans="1:28" hidden="1" x14ac:dyDescent="0.15">
      <c r="A292">
        <f>+予定価格!A280</f>
        <v>0</v>
      </c>
      <c r="B292" s="258">
        <f>ROUND(予定価格!B280*査定表!$B$437,-D292)+E292</f>
        <v>0</v>
      </c>
      <c r="C292" s="258"/>
      <c r="D292" s="45">
        <f t="shared" si="73"/>
        <v>4</v>
      </c>
      <c r="E292" s="46">
        <f t="shared" si="69"/>
        <v>0</v>
      </c>
      <c r="F292" s="258">
        <f>IF($F$12=0,0,IF(予定価格!$G$427=0,ROUND(予定価格!H280*(入力表!$F$12/予定価格!$H$431),-H292),ROUND((予定価格!G280*(入力表!$F$12-予定価格!$H$431)/予定価格!$G$431)+予定価格!H280,-H292)))+I292</f>
        <v>0</v>
      </c>
      <c r="G292" s="258"/>
      <c r="H292" s="47">
        <f t="shared" si="74"/>
        <v>4</v>
      </c>
      <c r="I292" s="48">
        <f t="shared" si="70"/>
        <v>0</v>
      </c>
      <c r="J292" s="116">
        <f t="shared" si="71"/>
        <v>0</v>
      </c>
      <c r="K292" s="19">
        <f t="shared" si="72"/>
        <v>0</v>
      </c>
      <c r="L292" s="50"/>
      <c r="M292" s="13">
        <f>ROUND(予定価格!B280*査定表!$B$437,-$F$14)</f>
        <v>0</v>
      </c>
      <c r="N292">
        <f>IF(M292=0,1,M292/予定価格!B280)</f>
        <v>1</v>
      </c>
      <c r="O292">
        <f t="shared" si="75"/>
        <v>21</v>
      </c>
      <c r="P292">
        <f t="shared" si="76"/>
        <v>0</v>
      </c>
      <c r="Q292">
        <f>IF(M292=0,0,M292/予定価格!B280)</f>
        <v>0</v>
      </c>
      <c r="R292">
        <f t="shared" si="77"/>
        <v>21</v>
      </c>
      <c r="S292">
        <f t="shared" si="78"/>
        <v>0</v>
      </c>
      <c r="T292" s="13">
        <f t="shared" si="79"/>
        <v>0</v>
      </c>
      <c r="U292" s="13" t="e">
        <f>IF(予定価格!$G$427=0,ROUND(予定価格!H280*(入力表!$F$12/予定価格!$H$431),-$F$14),ROUND((予定価格!G280*(入力表!$F$12-予定価格!$H$431)/予定価格!$G$431)+予定価格!H280,-$F$14))</f>
        <v>#DIV/0!</v>
      </c>
      <c r="V292" t="e">
        <f>IF(U292=0,1,IF(予定価格!O280=0,1,(U292-予定価格!P280)/予定価格!O280))</f>
        <v>#DIV/0!</v>
      </c>
      <c r="W292" t="e">
        <f t="shared" si="80"/>
        <v>#DIV/0!</v>
      </c>
      <c r="X292" t="e">
        <f t="shared" si="81"/>
        <v>#DIV/0!</v>
      </c>
      <c r="Y292" t="e">
        <f>IF(U292=0,0,IF(予定価格!G280=0,0,(U292-予定価格!H280)/予定価格!G280))</f>
        <v>#DIV/0!</v>
      </c>
      <c r="Z292" t="e">
        <f t="shared" si="82"/>
        <v>#DIV/0!</v>
      </c>
      <c r="AA292" t="e">
        <f t="shared" si="83"/>
        <v>#DIV/0!</v>
      </c>
      <c r="AB292" s="13" t="e">
        <f t="shared" si="84"/>
        <v>#DIV/0!</v>
      </c>
    </row>
    <row r="293" spans="1:28" hidden="1" x14ac:dyDescent="0.15">
      <c r="A293">
        <f>+予定価格!A281</f>
        <v>0</v>
      </c>
      <c r="B293" s="258">
        <f>ROUND(予定価格!B281*査定表!$B$437,-D293)+E293</f>
        <v>0</v>
      </c>
      <c r="C293" s="258"/>
      <c r="D293" s="45">
        <f t="shared" si="73"/>
        <v>4</v>
      </c>
      <c r="E293" s="46">
        <f t="shared" si="69"/>
        <v>0</v>
      </c>
      <c r="F293" s="258">
        <f>IF($F$12=0,0,IF(予定価格!$G$427=0,ROUND(予定価格!H281*(入力表!$F$12/予定価格!$H$431),-H293),ROUND((予定価格!G281*(入力表!$F$12-予定価格!$H$431)/予定価格!$G$431)+予定価格!H281,-H293)))+I293</f>
        <v>0</v>
      </c>
      <c r="G293" s="258"/>
      <c r="H293" s="47">
        <f t="shared" si="74"/>
        <v>4</v>
      </c>
      <c r="I293" s="48">
        <f t="shared" si="70"/>
        <v>0</v>
      </c>
      <c r="J293" s="116">
        <f t="shared" si="71"/>
        <v>0</v>
      </c>
      <c r="K293" s="19">
        <f t="shared" si="72"/>
        <v>0</v>
      </c>
      <c r="L293" s="50"/>
      <c r="M293" s="13">
        <f>ROUND(予定価格!B281*査定表!$B$437,-$F$14)</f>
        <v>0</v>
      </c>
      <c r="N293">
        <f>IF(M293=0,1,M293/予定価格!B281)</f>
        <v>1</v>
      </c>
      <c r="O293">
        <f t="shared" si="75"/>
        <v>21</v>
      </c>
      <c r="P293">
        <f t="shared" si="76"/>
        <v>0</v>
      </c>
      <c r="Q293">
        <f>IF(M293=0,0,M293/予定価格!B281)</f>
        <v>0</v>
      </c>
      <c r="R293">
        <f t="shared" si="77"/>
        <v>21</v>
      </c>
      <c r="S293">
        <f t="shared" si="78"/>
        <v>0</v>
      </c>
      <c r="T293" s="13">
        <f t="shared" si="79"/>
        <v>0</v>
      </c>
      <c r="U293" s="13" t="e">
        <f>IF(予定価格!$G$427=0,ROUND(予定価格!H281*(入力表!$F$12/予定価格!$H$431),-$F$14),ROUND((予定価格!G281*(入力表!$F$12-予定価格!$H$431)/予定価格!$G$431)+予定価格!H281,-$F$14))</f>
        <v>#DIV/0!</v>
      </c>
      <c r="V293" t="e">
        <f>IF(U293=0,1,IF(予定価格!O281=0,1,(U293-予定価格!P281)/予定価格!O281))</f>
        <v>#DIV/0!</v>
      </c>
      <c r="W293" t="e">
        <f t="shared" si="80"/>
        <v>#DIV/0!</v>
      </c>
      <c r="X293" t="e">
        <f t="shared" si="81"/>
        <v>#DIV/0!</v>
      </c>
      <c r="Y293" t="e">
        <f>IF(U293=0,0,IF(予定価格!G281=0,0,(U293-予定価格!H281)/予定価格!G281))</f>
        <v>#DIV/0!</v>
      </c>
      <c r="Z293" t="e">
        <f t="shared" si="82"/>
        <v>#DIV/0!</v>
      </c>
      <c r="AA293" t="e">
        <f t="shared" si="83"/>
        <v>#DIV/0!</v>
      </c>
      <c r="AB293" s="13" t="e">
        <f t="shared" si="84"/>
        <v>#DIV/0!</v>
      </c>
    </row>
    <row r="294" spans="1:28" hidden="1" x14ac:dyDescent="0.15">
      <c r="A294">
        <f>+予定価格!A282</f>
        <v>0</v>
      </c>
      <c r="B294" s="258">
        <f>ROUND(予定価格!B282*査定表!$B$437,-D294)+E294</f>
        <v>0</v>
      </c>
      <c r="C294" s="258"/>
      <c r="D294" s="45">
        <f t="shared" si="73"/>
        <v>4</v>
      </c>
      <c r="E294" s="46">
        <f t="shared" si="69"/>
        <v>0</v>
      </c>
      <c r="F294" s="258">
        <f>IF($F$12=0,0,IF(予定価格!$G$427=0,ROUND(予定価格!H282*(入力表!$F$12/予定価格!$H$431),-H294),ROUND((予定価格!G282*(入力表!$F$12-予定価格!$H$431)/予定価格!$G$431)+予定価格!H282,-H294)))+I294</f>
        <v>0</v>
      </c>
      <c r="G294" s="258"/>
      <c r="H294" s="47">
        <f t="shared" si="74"/>
        <v>4</v>
      </c>
      <c r="I294" s="48">
        <f t="shared" si="70"/>
        <v>0</v>
      </c>
      <c r="J294" s="116">
        <f t="shared" si="71"/>
        <v>0</v>
      </c>
      <c r="K294" s="19">
        <f t="shared" si="72"/>
        <v>0</v>
      </c>
      <c r="L294" s="50"/>
      <c r="M294" s="13">
        <f>ROUND(予定価格!B282*査定表!$B$437,-$F$14)</f>
        <v>0</v>
      </c>
      <c r="N294">
        <f>IF(M294=0,1,M294/予定価格!B282)</f>
        <v>1</v>
      </c>
      <c r="O294">
        <f t="shared" si="75"/>
        <v>21</v>
      </c>
      <c r="P294">
        <f t="shared" si="76"/>
        <v>0</v>
      </c>
      <c r="Q294">
        <f>IF(M294=0,0,M294/予定価格!B282)</f>
        <v>0</v>
      </c>
      <c r="R294">
        <f t="shared" si="77"/>
        <v>21</v>
      </c>
      <c r="S294">
        <f t="shared" si="78"/>
        <v>0</v>
      </c>
      <c r="T294" s="13">
        <f t="shared" si="79"/>
        <v>0</v>
      </c>
      <c r="U294" s="13" t="e">
        <f>IF(予定価格!$G$427=0,ROUND(予定価格!H282*(入力表!$F$12/予定価格!$H$431),-$F$14),ROUND((予定価格!G282*(入力表!$F$12-予定価格!$H$431)/予定価格!$G$431)+予定価格!H282,-$F$14))</f>
        <v>#DIV/0!</v>
      </c>
      <c r="V294" t="e">
        <f>IF(U294=0,1,IF(予定価格!O282=0,1,(U294-予定価格!P282)/予定価格!O282))</f>
        <v>#DIV/0!</v>
      </c>
      <c r="W294" t="e">
        <f t="shared" si="80"/>
        <v>#DIV/0!</v>
      </c>
      <c r="X294" t="e">
        <f t="shared" si="81"/>
        <v>#DIV/0!</v>
      </c>
      <c r="Y294" t="e">
        <f>IF(U294=0,0,IF(予定価格!G282=0,0,(U294-予定価格!H282)/予定価格!G282))</f>
        <v>#DIV/0!</v>
      </c>
      <c r="Z294" t="e">
        <f t="shared" si="82"/>
        <v>#DIV/0!</v>
      </c>
      <c r="AA294" t="e">
        <f t="shared" si="83"/>
        <v>#DIV/0!</v>
      </c>
      <c r="AB294" s="13" t="e">
        <f t="shared" si="84"/>
        <v>#DIV/0!</v>
      </c>
    </row>
    <row r="295" spans="1:28" hidden="1" x14ac:dyDescent="0.15">
      <c r="A295">
        <f>+予定価格!A283</f>
        <v>0</v>
      </c>
      <c r="B295" s="258">
        <f>ROUND(予定価格!B283*査定表!$B$437,-D295)+E295</f>
        <v>0</v>
      </c>
      <c r="C295" s="258"/>
      <c r="D295" s="45">
        <f t="shared" si="73"/>
        <v>4</v>
      </c>
      <c r="E295" s="46">
        <f t="shared" si="69"/>
        <v>0</v>
      </c>
      <c r="F295" s="258">
        <f>IF($F$12=0,0,IF(予定価格!$G$427=0,ROUND(予定価格!H283*(入力表!$F$12/予定価格!$H$431),-H295),ROUND((予定価格!G283*(入力表!$F$12-予定価格!$H$431)/予定価格!$G$431)+予定価格!H283,-H295)))+I295</f>
        <v>0</v>
      </c>
      <c r="G295" s="258"/>
      <c r="H295" s="47">
        <f t="shared" si="74"/>
        <v>4</v>
      </c>
      <c r="I295" s="48">
        <f t="shared" si="70"/>
        <v>0</v>
      </c>
      <c r="J295" s="116">
        <f t="shared" si="71"/>
        <v>0</v>
      </c>
      <c r="K295" s="19">
        <f t="shared" si="72"/>
        <v>0</v>
      </c>
      <c r="L295" s="50"/>
      <c r="M295" s="13">
        <f>ROUND(予定価格!B283*査定表!$B$437,-$F$14)</f>
        <v>0</v>
      </c>
      <c r="N295">
        <f>IF(M295=0,1,M295/予定価格!B283)</f>
        <v>1</v>
      </c>
      <c r="O295">
        <f t="shared" si="75"/>
        <v>21</v>
      </c>
      <c r="P295">
        <f t="shared" si="76"/>
        <v>0</v>
      </c>
      <c r="Q295">
        <f>IF(M295=0,0,M295/予定価格!B283)</f>
        <v>0</v>
      </c>
      <c r="R295">
        <f t="shared" si="77"/>
        <v>21</v>
      </c>
      <c r="S295">
        <f t="shared" si="78"/>
        <v>0</v>
      </c>
      <c r="T295" s="13">
        <f t="shared" si="79"/>
        <v>0</v>
      </c>
      <c r="U295" s="13" t="e">
        <f>IF(予定価格!$G$427=0,ROUND(予定価格!H283*(入力表!$F$12/予定価格!$H$431),-$F$14),ROUND((予定価格!G283*(入力表!$F$12-予定価格!$H$431)/予定価格!$G$431)+予定価格!H283,-$F$14))</f>
        <v>#DIV/0!</v>
      </c>
      <c r="V295" t="e">
        <f>IF(U295=0,1,IF(予定価格!O283=0,1,(U295-予定価格!P283)/予定価格!O283))</f>
        <v>#DIV/0!</v>
      </c>
      <c r="W295" t="e">
        <f t="shared" si="80"/>
        <v>#DIV/0!</v>
      </c>
      <c r="X295" t="e">
        <f t="shared" si="81"/>
        <v>#DIV/0!</v>
      </c>
      <c r="Y295" t="e">
        <f>IF(U295=0,0,IF(予定価格!G283=0,0,(U295-予定価格!H283)/予定価格!G283))</f>
        <v>#DIV/0!</v>
      </c>
      <c r="Z295" t="e">
        <f t="shared" si="82"/>
        <v>#DIV/0!</v>
      </c>
      <c r="AA295" t="e">
        <f t="shared" si="83"/>
        <v>#DIV/0!</v>
      </c>
      <c r="AB295" s="13" t="e">
        <f t="shared" si="84"/>
        <v>#DIV/0!</v>
      </c>
    </row>
    <row r="296" spans="1:28" hidden="1" x14ac:dyDescent="0.15">
      <c r="A296">
        <f>+予定価格!A284</f>
        <v>0</v>
      </c>
      <c r="B296" s="258">
        <f>ROUND(予定価格!B284*査定表!$B$437,-D296)+E296</f>
        <v>0</v>
      </c>
      <c r="C296" s="258"/>
      <c r="D296" s="45">
        <f t="shared" si="73"/>
        <v>4</v>
      </c>
      <c r="E296" s="46">
        <f t="shared" si="69"/>
        <v>0</v>
      </c>
      <c r="F296" s="258">
        <f>IF($F$12=0,0,IF(予定価格!$G$427=0,ROUND(予定価格!H284*(入力表!$F$12/予定価格!$H$431),-H296),ROUND((予定価格!G284*(入力表!$F$12-予定価格!$H$431)/予定価格!$G$431)+予定価格!H284,-H296)))+I296</f>
        <v>0</v>
      </c>
      <c r="G296" s="258"/>
      <c r="H296" s="47">
        <f t="shared" si="74"/>
        <v>4</v>
      </c>
      <c r="I296" s="48">
        <f t="shared" si="70"/>
        <v>0</v>
      </c>
      <c r="J296" s="116">
        <f t="shared" si="71"/>
        <v>0</v>
      </c>
      <c r="K296" s="19">
        <f t="shared" si="72"/>
        <v>0</v>
      </c>
      <c r="L296" s="50"/>
      <c r="M296" s="13">
        <f>ROUND(予定価格!B284*査定表!$B$437,-$F$14)</f>
        <v>0</v>
      </c>
      <c r="N296">
        <f>IF(M296=0,1,M296/予定価格!B284)</f>
        <v>1</v>
      </c>
      <c r="O296">
        <f t="shared" si="75"/>
        <v>21</v>
      </c>
      <c r="P296">
        <f t="shared" si="76"/>
        <v>0</v>
      </c>
      <c r="Q296">
        <f>IF(M296=0,0,M296/予定価格!B284)</f>
        <v>0</v>
      </c>
      <c r="R296">
        <f t="shared" si="77"/>
        <v>21</v>
      </c>
      <c r="S296">
        <f t="shared" si="78"/>
        <v>0</v>
      </c>
      <c r="T296" s="13">
        <f t="shared" si="79"/>
        <v>0</v>
      </c>
      <c r="U296" s="13" t="e">
        <f>IF(予定価格!$G$427=0,ROUND(予定価格!H284*(入力表!$F$12/予定価格!$H$431),-$F$14),ROUND((予定価格!G284*(入力表!$F$12-予定価格!$H$431)/予定価格!$G$431)+予定価格!H284,-$F$14))</f>
        <v>#DIV/0!</v>
      </c>
      <c r="V296" t="e">
        <f>IF(U296=0,1,IF(予定価格!O284=0,1,(U296-予定価格!P284)/予定価格!O284))</f>
        <v>#DIV/0!</v>
      </c>
      <c r="W296" t="e">
        <f t="shared" si="80"/>
        <v>#DIV/0!</v>
      </c>
      <c r="X296" t="e">
        <f t="shared" si="81"/>
        <v>#DIV/0!</v>
      </c>
      <c r="Y296" t="e">
        <f>IF(U296=0,0,IF(予定価格!G284=0,0,(U296-予定価格!H284)/予定価格!G284))</f>
        <v>#DIV/0!</v>
      </c>
      <c r="Z296" t="e">
        <f t="shared" si="82"/>
        <v>#DIV/0!</v>
      </c>
      <c r="AA296" t="e">
        <f t="shared" si="83"/>
        <v>#DIV/0!</v>
      </c>
      <c r="AB296" s="13" t="e">
        <f t="shared" si="84"/>
        <v>#DIV/0!</v>
      </c>
    </row>
    <row r="297" spans="1:28" hidden="1" x14ac:dyDescent="0.15">
      <c r="A297">
        <f>+予定価格!A285</f>
        <v>0</v>
      </c>
      <c r="B297" s="258">
        <f>ROUND(予定価格!B285*査定表!$B$437,-D297)+E297</f>
        <v>0</v>
      </c>
      <c r="C297" s="258"/>
      <c r="D297" s="45">
        <f t="shared" si="73"/>
        <v>4</v>
      </c>
      <c r="E297" s="46">
        <f t="shared" si="69"/>
        <v>0</v>
      </c>
      <c r="F297" s="258">
        <f>IF($F$12=0,0,IF(予定価格!$G$427=0,ROUND(予定価格!H285*(入力表!$F$12/予定価格!$H$431),-H297),ROUND((予定価格!G285*(入力表!$F$12-予定価格!$H$431)/予定価格!$G$431)+予定価格!H285,-H297)))+I297</f>
        <v>0</v>
      </c>
      <c r="G297" s="258"/>
      <c r="H297" s="47">
        <f t="shared" si="74"/>
        <v>4</v>
      </c>
      <c r="I297" s="48">
        <f t="shared" si="70"/>
        <v>0</v>
      </c>
      <c r="J297" s="116">
        <f t="shared" si="71"/>
        <v>0</v>
      </c>
      <c r="K297" s="19">
        <f t="shared" si="72"/>
        <v>0</v>
      </c>
      <c r="L297" s="50"/>
      <c r="M297" s="13">
        <f>ROUND(予定価格!B285*査定表!$B$437,-$F$14)</f>
        <v>0</v>
      </c>
      <c r="N297">
        <f>IF(M297=0,1,M297/予定価格!B285)</f>
        <v>1</v>
      </c>
      <c r="O297">
        <f t="shared" si="75"/>
        <v>21</v>
      </c>
      <c r="P297">
        <f t="shared" si="76"/>
        <v>0</v>
      </c>
      <c r="Q297">
        <f>IF(M297=0,0,M297/予定価格!B285)</f>
        <v>0</v>
      </c>
      <c r="R297">
        <f t="shared" si="77"/>
        <v>21</v>
      </c>
      <c r="S297">
        <f t="shared" si="78"/>
        <v>0</v>
      </c>
      <c r="T297" s="13">
        <f t="shared" si="79"/>
        <v>0</v>
      </c>
      <c r="U297" s="13" t="e">
        <f>IF(予定価格!$G$427=0,ROUND(予定価格!H285*(入力表!$F$12/予定価格!$H$431),-$F$14),ROUND((予定価格!G285*(入力表!$F$12-予定価格!$H$431)/予定価格!$G$431)+予定価格!H285,-$F$14))</f>
        <v>#DIV/0!</v>
      </c>
      <c r="V297" t="e">
        <f>IF(U297=0,1,IF(予定価格!O285=0,1,(U297-予定価格!P285)/予定価格!O285))</f>
        <v>#DIV/0!</v>
      </c>
      <c r="W297" t="e">
        <f t="shared" si="80"/>
        <v>#DIV/0!</v>
      </c>
      <c r="X297" t="e">
        <f t="shared" si="81"/>
        <v>#DIV/0!</v>
      </c>
      <c r="Y297" t="e">
        <f>IF(U297=0,0,IF(予定価格!G285=0,0,(U297-予定価格!H285)/予定価格!G285))</f>
        <v>#DIV/0!</v>
      </c>
      <c r="Z297" t="e">
        <f t="shared" si="82"/>
        <v>#DIV/0!</v>
      </c>
      <c r="AA297" t="e">
        <f t="shared" si="83"/>
        <v>#DIV/0!</v>
      </c>
      <c r="AB297" s="13" t="e">
        <f t="shared" si="84"/>
        <v>#DIV/0!</v>
      </c>
    </row>
    <row r="298" spans="1:28" hidden="1" x14ac:dyDescent="0.15">
      <c r="A298">
        <f>+予定価格!A286</f>
        <v>0</v>
      </c>
      <c r="B298" s="258">
        <f>ROUND(予定価格!B286*査定表!$B$437,-D298)+E298</f>
        <v>0</v>
      </c>
      <c r="C298" s="258"/>
      <c r="D298" s="45">
        <f t="shared" si="73"/>
        <v>4</v>
      </c>
      <c r="E298" s="46">
        <f t="shared" si="69"/>
        <v>0</v>
      </c>
      <c r="F298" s="258">
        <f>IF($F$12=0,0,IF(予定価格!$G$427=0,ROUND(予定価格!H286*(入力表!$F$12/予定価格!$H$431),-H298),ROUND((予定価格!G286*(入力表!$F$12-予定価格!$H$431)/予定価格!$G$431)+予定価格!H286,-H298)))+I298</f>
        <v>0</v>
      </c>
      <c r="G298" s="258"/>
      <c r="H298" s="47">
        <f t="shared" si="74"/>
        <v>4</v>
      </c>
      <c r="I298" s="48">
        <f t="shared" si="70"/>
        <v>0</v>
      </c>
      <c r="J298" s="116">
        <f t="shared" si="71"/>
        <v>0</v>
      </c>
      <c r="K298" s="19">
        <f t="shared" si="72"/>
        <v>0</v>
      </c>
      <c r="L298" s="50"/>
      <c r="M298" s="13">
        <f>ROUND(予定価格!B286*査定表!$B$437,-$F$14)</f>
        <v>0</v>
      </c>
      <c r="N298">
        <f>IF(M298=0,1,M298/予定価格!B286)</f>
        <v>1</v>
      </c>
      <c r="O298">
        <f t="shared" si="75"/>
        <v>21</v>
      </c>
      <c r="P298">
        <f t="shared" si="76"/>
        <v>0</v>
      </c>
      <c r="Q298">
        <f>IF(M298=0,0,M298/予定価格!B286)</f>
        <v>0</v>
      </c>
      <c r="R298">
        <f t="shared" si="77"/>
        <v>21</v>
      </c>
      <c r="S298">
        <f t="shared" si="78"/>
        <v>0</v>
      </c>
      <c r="T298" s="13">
        <f t="shared" si="79"/>
        <v>0</v>
      </c>
      <c r="U298" s="13" t="e">
        <f>IF(予定価格!$G$427=0,ROUND(予定価格!H286*(入力表!$F$12/予定価格!$H$431),-$F$14),ROUND((予定価格!G286*(入力表!$F$12-予定価格!$H$431)/予定価格!$G$431)+予定価格!H286,-$F$14))</f>
        <v>#DIV/0!</v>
      </c>
      <c r="V298" t="e">
        <f>IF(U298=0,1,IF(予定価格!O286=0,1,(U298-予定価格!P286)/予定価格!O286))</f>
        <v>#DIV/0!</v>
      </c>
      <c r="W298" t="e">
        <f t="shared" si="80"/>
        <v>#DIV/0!</v>
      </c>
      <c r="X298" t="e">
        <f t="shared" si="81"/>
        <v>#DIV/0!</v>
      </c>
      <c r="Y298" t="e">
        <f>IF(U298=0,0,IF(予定価格!G286=0,0,(U298-予定価格!H286)/予定価格!G286))</f>
        <v>#DIV/0!</v>
      </c>
      <c r="Z298" t="e">
        <f t="shared" si="82"/>
        <v>#DIV/0!</v>
      </c>
      <c r="AA298" t="e">
        <f t="shared" si="83"/>
        <v>#DIV/0!</v>
      </c>
      <c r="AB298" s="13" t="e">
        <f t="shared" si="84"/>
        <v>#DIV/0!</v>
      </c>
    </row>
    <row r="299" spans="1:28" hidden="1" x14ac:dyDescent="0.15">
      <c r="A299">
        <f>+予定価格!A287</f>
        <v>0</v>
      </c>
      <c r="B299" s="258">
        <f>ROUND(予定価格!B287*査定表!$B$437,-D299)+E299</f>
        <v>0</v>
      </c>
      <c r="C299" s="258"/>
      <c r="D299" s="45">
        <f t="shared" si="73"/>
        <v>4</v>
      </c>
      <c r="E299" s="46">
        <f t="shared" si="69"/>
        <v>0</v>
      </c>
      <c r="F299" s="258">
        <f>IF($F$12=0,0,IF(予定価格!$G$427=0,ROUND(予定価格!H287*(入力表!$F$12/予定価格!$H$431),-H299),ROUND((予定価格!G287*(入力表!$F$12-予定価格!$H$431)/予定価格!$G$431)+予定価格!H287,-H299)))+I299</f>
        <v>0</v>
      </c>
      <c r="G299" s="258"/>
      <c r="H299" s="47">
        <f t="shared" si="74"/>
        <v>4</v>
      </c>
      <c r="I299" s="48">
        <f t="shared" si="70"/>
        <v>0</v>
      </c>
      <c r="J299" s="116">
        <f t="shared" si="71"/>
        <v>0</v>
      </c>
      <c r="K299" s="19">
        <f t="shared" si="72"/>
        <v>0</v>
      </c>
      <c r="L299" s="50"/>
      <c r="M299" s="13">
        <f>ROUND(予定価格!B287*査定表!$B$437,-$F$14)</f>
        <v>0</v>
      </c>
      <c r="N299">
        <f>IF(M299=0,1,M299/予定価格!B287)</f>
        <v>1</v>
      </c>
      <c r="O299">
        <f t="shared" si="75"/>
        <v>21</v>
      </c>
      <c r="P299">
        <f t="shared" si="76"/>
        <v>0</v>
      </c>
      <c r="Q299">
        <f>IF(M299=0,0,M299/予定価格!B287)</f>
        <v>0</v>
      </c>
      <c r="R299">
        <f t="shared" si="77"/>
        <v>21</v>
      </c>
      <c r="S299">
        <f t="shared" si="78"/>
        <v>0</v>
      </c>
      <c r="T299" s="13">
        <f t="shared" si="79"/>
        <v>0</v>
      </c>
      <c r="U299" s="13" t="e">
        <f>IF(予定価格!$G$427=0,ROUND(予定価格!H287*(入力表!$F$12/予定価格!$H$431),-$F$14),ROUND((予定価格!G287*(入力表!$F$12-予定価格!$H$431)/予定価格!$G$431)+予定価格!H287,-$F$14))</f>
        <v>#DIV/0!</v>
      </c>
      <c r="V299" t="e">
        <f>IF(U299=0,1,IF(予定価格!O287=0,1,(U299-予定価格!P287)/予定価格!O287))</f>
        <v>#DIV/0!</v>
      </c>
      <c r="W299" t="e">
        <f t="shared" si="80"/>
        <v>#DIV/0!</v>
      </c>
      <c r="X299" t="e">
        <f t="shared" si="81"/>
        <v>#DIV/0!</v>
      </c>
      <c r="Y299" t="e">
        <f>IF(U299=0,0,IF(予定価格!G287=0,0,(U299-予定価格!H287)/予定価格!G287))</f>
        <v>#DIV/0!</v>
      </c>
      <c r="Z299" t="e">
        <f t="shared" si="82"/>
        <v>#DIV/0!</v>
      </c>
      <c r="AA299" t="e">
        <f t="shared" si="83"/>
        <v>#DIV/0!</v>
      </c>
      <c r="AB299" s="13" t="e">
        <f t="shared" si="84"/>
        <v>#DIV/0!</v>
      </c>
    </row>
    <row r="300" spans="1:28" hidden="1" x14ac:dyDescent="0.15">
      <c r="A300">
        <f>+予定価格!A288</f>
        <v>0</v>
      </c>
      <c r="B300" s="258">
        <f>ROUND(予定価格!B288*査定表!$B$437,-D300)+E300</f>
        <v>0</v>
      </c>
      <c r="C300" s="258"/>
      <c r="D300" s="45">
        <f t="shared" si="73"/>
        <v>4</v>
      </c>
      <c r="E300" s="46">
        <f t="shared" si="69"/>
        <v>0</v>
      </c>
      <c r="F300" s="258">
        <f>IF($F$12=0,0,IF(予定価格!$G$427=0,ROUND(予定価格!H288*(入力表!$F$12/予定価格!$H$431),-H300),ROUND((予定価格!G288*(入力表!$F$12-予定価格!$H$431)/予定価格!$G$431)+予定価格!H288,-H300)))+I300</f>
        <v>0</v>
      </c>
      <c r="G300" s="258"/>
      <c r="H300" s="47">
        <f t="shared" si="74"/>
        <v>4</v>
      </c>
      <c r="I300" s="48">
        <f t="shared" si="70"/>
        <v>0</v>
      </c>
      <c r="J300" s="116">
        <f t="shared" si="71"/>
        <v>0</v>
      </c>
      <c r="K300" s="19">
        <f t="shared" si="72"/>
        <v>0</v>
      </c>
      <c r="L300" s="50"/>
      <c r="M300" s="13">
        <f>ROUND(予定価格!B288*査定表!$B$437,-$F$14)</f>
        <v>0</v>
      </c>
      <c r="N300">
        <f>IF(M300=0,1,M300/予定価格!B288)</f>
        <v>1</v>
      </c>
      <c r="O300">
        <f t="shared" si="75"/>
        <v>21</v>
      </c>
      <c r="P300">
        <f t="shared" si="76"/>
        <v>0</v>
      </c>
      <c r="Q300">
        <f>IF(M300=0,0,M300/予定価格!B288)</f>
        <v>0</v>
      </c>
      <c r="R300">
        <f t="shared" si="77"/>
        <v>21</v>
      </c>
      <c r="S300">
        <f t="shared" si="78"/>
        <v>0</v>
      </c>
      <c r="T300" s="13">
        <f t="shared" si="79"/>
        <v>0</v>
      </c>
      <c r="U300" s="13" t="e">
        <f>IF(予定価格!$G$427=0,ROUND(予定価格!H288*(入力表!$F$12/予定価格!$H$431),-$F$14),ROUND((予定価格!G288*(入力表!$F$12-予定価格!$H$431)/予定価格!$G$431)+予定価格!H288,-$F$14))</f>
        <v>#DIV/0!</v>
      </c>
      <c r="V300" t="e">
        <f>IF(U300=0,1,IF(予定価格!O288=0,1,(U300-予定価格!P288)/予定価格!O288))</f>
        <v>#DIV/0!</v>
      </c>
      <c r="W300" t="e">
        <f t="shared" si="80"/>
        <v>#DIV/0!</v>
      </c>
      <c r="X300" t="e">
        <f t="shared" si="81"/>
        <v>#DIV/0!</v>
      </c>
      <c r="Y300" t="e">
        <f>IF(U300=0,0,IF(予定価格!G288=0,0,(U300-予定価格!H288)/予定価格!G288))</f>
        <v>#DIV/0!</v>
      </c>
      <c r="Z300" t="e">
        <f t="shared" si="82"/>
        <v>#DIV/0!</v>
      </c>
      <c r="AA300" t="e">
        <f t="shared" si="83"/>
        <v>#DIV/0!</v>
      </c>
      <c r="AB300" s="13" t="e">
        <f t="shared" si="84"/>
        <v>#DIV/0!</v>
      </c>
    </row>
    <row r="301" spans="1:28" hidden="1" x14ac:dyDescent="0.15">
      <c r="A301">
        <f>+予定価格!A289</f>
        <v>0</v>
      </c>
      <c r="B301" s="258">
        <f>ROUND(予定価格!B289*査定表!$B$437,-D301)+E301</f>
        <v>0</v>
      </c>
      <c r="C301" s="258"/>
      <c r="D301" s="45">
        <f t="shared" si="73"/>
        <v>4</v>
      </c>
      <c r="E301" s="46">
        <f t="shared" si="69"/>
        <v>0</v>
      </c>
      <c r="F301" s="258">
        <f>IF($F$12=0,0,IF(予定価格!$G$427=0,ROUND(予定価格!H289*(入力表!$F$12/予定価格!$H$431),-H301),ROUND((予定価格!G289*(入力表!$F$12-予定価格!$H$431)/予定価格!$G$431)+予定価格!H289,-H301)))+I301</f>
        <v>0</v>
      </c>
      <c r="G301" s="258"/>
      <c r="H301" s="47">
        <f t="shared" si="74"/>
        <v>4</v>
      </c>
      <c r="I301" s="48">
        <f t="shared" si="70"/>
        <v>0</v>
      </c>
      <c r="J301" s="116">
        <f t="shared" si="71"/>
        <v>0</v>
      </c>
      <c r="K301" s="19">
        <f t="shared" si="72"/>
        <v>0</v>
      </c>
      <c r="L301" s="50"/>
      <c r="M301" s="13">
        <f>ROUND(予定価格!B289*査定表!$B$437,-$F$14)</f>
        <v>0</v>
      </c>
      <c r="N301">
        <f>IF(M301=0,1,M301/予定価格!B289)</f>
        <v>1</v>
      </c>
      <c r="O301">
        <f t="shared" si="75"/>
        <v>21</v>
      </c>
      <c r="P301">
        <f t="shared" si="76"/>
        <v>0</v>
      </c>
      <c r="Q301">
        <f>IF(M301=0,0,M301/予定価格!B289)</f>
        <v>0</v>
      </c>
      <c r="R301">
        <f t="shared" si="77"/>
        <v>21</v>
      </c>
      <c r="S301">
        <f t="shared" si="78"/>
        <v>0</v>
      </c>
      <c r="T301" s="13">
        <f t="shared" si="79"/>
        <v>0</v>
      </c>
      <c r="U301" s="13" t="e">
        <f>IF(予定価格!$G$427=0,ROUND(予定価格!H289*(入力表!$F$12/予定価格!$H$431),-$F$14),ROUND((予定価格!G289*(入力表!$F$12-予定価格!$H$431)/予定価格!$G$431)+予定価格!H289,-$F$14))</f>
        <v>#DIV/0!</v>
      </c>
      <c r="V301" t="e">
        <f>IF(U301=0,1,IF(予定価格!O289=0,1,(U301-予定価格!P289)/予定価格!O289))</f>
        <v>#DIV/0!</v>
      </c>
      <c r="W301" t="e">
        <f t="shared" si="80"/>
        <v>#DIV/0!</v>
      </c>
      <c r="X301" t="e">
        <f t="shared" si="81"/>
        <v>#DIV/0!</v>
      </c>
      <c r="Y301" t="e">
        <f>IF(U301=0,0,IF(予定価格!G289=0,0,(U301-予定価格!H289)/予定価格!G289))</f>
        <v>#DIV/0!</v>
      </c>
      <c r="Z301" t="e">
        <f t="shared" si="82"/>
        <v>#DIV/0!</v>
      </c>
      <c r="AA301" t="e">
        <f t="shared" si="83"/>
        <v>#DIV/0!</v>
      </c>
      <c r="AB301" s="13" t="e">
        <f t="shared" si="84"/>
        <v>#DIV/0!</v>
      </c>
    </row>
    <row r="302" spans="1:28" hidden="1" x14ac:dyDescent="0.15">
      <c r="A302">
        <f>+予定価格!A290</f>
        <v>0</v>
      </c>
      <c r="B302" s="258">
        <f>ROUND(予定価格!B290*査定表!$B$437,-D302)+E302</f>
        <v>0</v>
      </c>
      <c r="C302" s="258"/>
      <c r="D302" s="45">
        <f t="shared" si="73"/>
        <v>4</v>
      </c>
      <c r="E302" s="46">
        <f t="shared" si="69"/>
        <v>0</v>
      </c>
      <c r="F302" s="258">
        <f>IF($F$12=0,0,IF(予定価格!$G$427=0,ROUND(予定価格!H290*(入力表!$F$12/予定価格!$H$431),-H302),ROUND((予定価格!G290*(入力表!$F$12-予定価格!$H$431)/予定価格!$G$431)+予定価格!H290,-H302)))+I302</f>
        <v>0</v>
      </c>
      <c r="G302" s="258"/>
      <c r="H302" s="47">
        <f t="shared" si="74"/>
        <v>4</v>
      </c>
      <c r="I302" s="48">
        <f t="shared" si="70"/>
        <v>0</v>
      </c>
      <c r="J302" s="116">
        <f t="shared" si="71"/>
        <v>0</v>
      </c>
      <c r="K302" s="19">
        <f t="shared" si="72"/>
        <v>0</v>
      </c>
      <c r="L302" s="50"/>
      <c r="M302" s="13">
        <f>ROUND(予定価格!B290*査定表!$B$437,-$F$14)</f>
        <v>0</v>
      </c>
      <c r="N302">
        <f>IF(M302=0,1,M302/予定価格!B290)</f>
        <v>1</v>
      </c>
      <c r="O302">
        <f t="shared" si="75"/>
        <v>21</v>
      </c>
      <c r="P302">
        <f t="shared" si="76"/>
        <v>0</v>
      </c>
      <c r="Q302">
        <f>IF(M302=0,0,M302/予定価格!B290)</f>
        <v>0</v>
      </c>
      <c r="R302">
        <f t="shared" si="77"/>
        <v>21</v>
      </c>
      <c r="S302">
        <f t="shared" si="78"/>
        <v>0</v>
      </c>
      <c r="T302" s="13">
        <f t="shared" si="79"/>
        <v>0</v>
      </c>
      <c r="U302" s="13" t="e">
        <f>IF(予定価格!$G$427=0,ROUND(予定価格!H290*(入力表!$F$12/予定価格!$H$431),-$F$14),ROUND((予定価格!G290*(入力表!$F$12-予定価格!$H$431)/予定価格!$G$431)+予定価格!H290,-$F$14))</f>
        <v>#DIV/0!</v>
      </c>
      <c r="V302" t="e">
        <f>IF(U302=0,1,IF(予定価格!O290=0,1,(U302-予定価格!P290)/予定価格!O290))</f>
        <v>#DIV/0!</v>
      </c>
      <c r="W302" t="e">
        <f t="shared" si="80"/>
        <v>#DIV/0!</v>
      </c>
      <c r="X302" t="e">
        <f t="shared" si="81"/>
        <v>#DIV/0!</v>
      </c>
      <c r="Y302" t="e">
        <f>IF(U302=0,0,IF(予定価格!G290=0,0,(U302-予定価格!H290)/予定価格!G290))</f>
        <v>#DIV/0!</v>
      </c>
      <c r="Z302" t="e">
        <f t="shared" si="82"/>
        <v>#DIV/0!</v>
      </c>
      <c r="AA302" t="e">
        <f t="shared" si="83"/>
        <v>#DIV/0!</v>
      </c>
      <c r="AB302" s="13" t="e">
        <f t="shared" si="84"/>
        <v>#DIV/0!</v>
      </c>
    </row>
    <row r="303" spans="1:28" hidden="1" x14ac:dyDescent="0.15">
      <c r="A303">
        <f>+予定価格!A291</f>
        <v>0</v>
      </c>
      <c r="B303" s="258">
        <f>ROUND(予定価格!B291*査定表!$B$437,-D303)+E303</f>
        <v>0</v>
      </c>
      <c r="C303" s="258"/>
      <c r="D303" s="45">
        <f t="shared" si="73"/>
        <v>4</v>
      </c>
      <c r="E303" s="46">
        <f t="shared" si="69"/>
        <v>0</v>
      </c>
      <c r="F303" s="258">
        <f>IF($F$12=0,0,IF(予定価格!$G$427=0,ROUND(予定価格!H291*(入力表!$F$12/予定価格!$H$431),-H303),ROUND((予定価格!G291*(入力表!$F$12-予定価格!$H$431)/予定価格!$G$431)+予定価格!H291,-H303)))+I303</f>
        <v>0</v>
      </c>
      <c r="G303" s="258"/>
      <c r="H303" s="47">
        <f t="shared" si="74"/>
        <v>4</v>
      </c>
      <c r="I303" s="48">
        <f t="shared" si="70"/>
        <v>0</v>
      </c>
      <c r="J303" s="116">
        <f t="shared" si="71"/>
        <v>0</v>
      </c>
      <c r="K303" s="19">
        <f t="shared" si="72"/>
        <v>0</v>
      </c>
      <c r="L303" s="50"/>
      <c r="M303" s="13">
        <f>ROUND(予定価格!B291*査定表!$B$437,-$F$14)</f>
        <v>0</v>
      </c>
      <c r="N303">
        <f>IF(M303=0,1,M303/予定価格!B291)</f>
        <v>1</v>
      </c>
      <c r="O303">
        <f t="shared" si="75"/>
        <v>21</v>
      </c>
      <c r="P303">
        <f t="shared" si="76"/>
        <v>0</v>
      </c>
      <c r="Q303">
        <f>IF(M303=0,0,M303/予定価格!B291)</f>
        <v>0</v>
      </c>
      <c r="R303">
        <f t="shared" si="77"/>
        <v>21</v>
      </c>
      <c r="S303">
        <f t="shared" si="78"/>
        <v>0</v>
      </c>
      <c r="T303" s="13">
        <f t="shared" si="79"/>
        <v>0</v>
      </c>
      <c r="U303" s="13" t="e">
        <f>IF(予定価格!$G$427=0,ROUND(予定価格!H291*(入力表!$F$12/予定価格!$H$431),-$F$14),ROUND((予定価格!G291*(入力表!$F$12-予定価格!$H$431)/予定価格!$G$431)+予定価格!H291,-$F$14))</f>
        <v>#DIV/0!</v>
      </c>
      <c r="V303" t="e">
        <f>IF(U303=0,1,IF(予定価格!O291=0,1,(U303-予定価格!P291)/予定価格!O291))</f>
        <v>#DIV/0!</v>
      </c>
      <c r="W303" t="e">
        <f t="shared" si="80"/>
        <v>#DIV/0!</v>
      </c>
      <c r="X303" t="e">
        <f t="shared" si="81"/>
        <v>#DIV/0!</v>
      </c>
      <c r="Y303" t="e">
        <f>IF(U303=0,0,IF(予定価格!G291=0,0,(U303-予定価格!H291)/予定価格!G291))</f>
        <v>#DIV/0!</v>
      </c>
      <c r="Z303" t="e">
        <f t="shared" si="82"/>
        <v>#DIV/0!</v>
      </c>
      <c r="AA303" t="e">
        <f t="shared" si="83"/>
        <v>#DIV/0!</v>
      </c>
      <c r="AB303" s="13" t="e">
        <f t="shared" si="84"/>
        <v>#DIV/0!</v>
      </c>
    </row>
    <row r="304" spans="1:28" hidden="1" x14ac:dyDescent="0.15">
      <c r="A304">
        <f>+予定価格!A292</f>
        <v>0</v>
      </c>
      <c r="B304" s="258">
        <f>ROUND(予定価格!B292*査定表!$B$437,-D304)+E304</f>
        <v>0</v>
      </c>
      <c r="C304" s="258"/>
      <c r="D304" s="45">
        <f t="shared" si="73"/>
        <v>4</v>
      </c>
      <c r="E304" s="46">
        <f t="shared" si="69"/>
        <v>0</v>
      </c>
      <c r="F304" s="258">
        <f>IF($F$12=0,0,IF(予定価格!$G$427=0,ROUND(予定価格!H292*(入力表!$F$12/予定価格!$H$431),-H304),ROUND((予定価格!G292*(入力表!$F$12-予定価格!$H$431)/予定価格!$G$431)+予定価格!H292,-H304)))+I304</f>
        <v>0</v>
      </c>
      <c r="G304" s="258"/>
      <c r="H304" s="47">
        <f t="shared" si="74"/>
        <v>4</v>
      </c>
      <c r="I304" s="48">
        <f t="shared" si="70"/>
        <v>0</v>
      </c>
      <c r="J304" s="116">
        <f t="shared" si="71"/>
        <v>0</v>
      </c>
      <c r="K304" s="19">
        <f t="shared" si="72"/>
        <v>0</v>
      </c>
      <c r="L304" s="50"/>
      <c r="M304" s="13">
        <f>ROUND(予定価格!B292*査定表!$B$437,-$F$14)</f>
        <v>0</v>
      </c>
      <c r="N304">
        <f>IF(M304=0,1,M304/予定価格!B292)</f>
        <v>1</v>
      </c>
      <c r="O304">
        <f t="shared" si="75"/>
        <v>21</v>
      </c>
      <c r="P304">
        <f t="shared" si="76"/>
        <v>0</v>
      </c>
      <c r="Q304">
        <f>IF(M304=0,0,M304/予定価格!B292)</f>
        <v>0</v>
      </c>
      <c r="R304">
        <f t="shared" si="77"/>
        <v>21</v>
      </c>
      <c r="S304">
        <f t="shared" si="78"/>
        <v>0</v>
      </c>
      <c r="T304" s="13">
        <f t="shared" si="79"/>
        <v>0</v>
      </c>
      <c r="U304" s="13" t="e">
        <f>IF(予定価格!$G$427=0,ROUND(予定価格!H292*(入力表!$F$12/予定価格!$H$431),-$F$14),ROUND((予定価格!G292*(入力表!$F$12-予定価格!$H$431)/予定価格!$G$431)+予定価格!H292,-$F$14))</f>
        <v>#DIV/0!</v>
      </c>
      <c r="V304" t="e">
        <f>IF(U304=0,1,IF(予定価格!O292=0,1,(U304-予定価格!P292)/予定価格!O292))</f>
        <v>#DIV/0!</v>
      </c>
      <c r="W304" t="e">
        <f t="shared" si="80"/>
        <v>#DIV/0!</v>
      </c>
      <c r="X304" t="e">
        <f t="shared" si="81"/>
        <v>#DIV/0!</v>
      </c>
      <c r="Y304" t="e">
        <f>IF(U304=0,0,IF(予定価格!G292=0,0,(U304-予定価格!H292)/予定価格!G292))</f>
        <v>#DIV/0!</v>
      </c>
      <c r="Z304" t="e">
        <f t="shared" si="82"/>
        <v>#DIV/0!</v>
      </c>
      <c r="AA304" t="e">
        <f t="shared" si="83"/>
        <v>#DIV/0!</v>
      </c>
      <c r="AB304" s="13" t="e">
        <f t="shared" si="84"/>
        <v>#DIV/0!</v>
      </c>
    </row>
    <row r="305" spans="1:28" hidden="1" x14ac:dyDescent="0.15">
      <c r="A305">
        <f>+予定価格!A293</f>
        <v>0</v>
      </c>
      <c r="B305" s="258">
        <f>ROUND(予定価格!B293*査定表!$B$437,-D305)+E305</f>
        <v>0</v>
      </c>
      <c r="C305" s="258"/>
      <c r="D305" s="45">
        <f t="shared" si="73"/>
        <v>4</v>
      </c>
      <c r="E305" s="46">
        <f t="shared" si="69"/>
        <v>0</v>
      </c>
      <c r="F305" s="258">
        <f>IF($F$12=0,0,IF(予定価格!$G$427=0,ROUND(予定価格!H293*(入力表!$F$12/予定価格!$H$431),-H305),ROUND((予定価格!G293*(入力表!$F$12-予定価格!$H$431)/予定価格!$G$431)+予定価格!H293,-H305)))+I305</f>
        <v>0</v>
      </c>
      <c r="G305" s="258"/>
      <c r="H305" s="47">
        <f t="shared" si="74"/>
        <v>4</v>
      </c>
      <c r="I305" s="48">
        <f t="shared" si="70"/>
        <v>0</v>
      </c>
      <c r="J305" s="116">
        <f t="shared" si="71"/>
        <v>0</v>
      </c>
      <c r="K305" s="19">
        <f t="shared" si="72"/>
        <v>0</v>
      </c>
      <c r="L305" s="50"/>
      <c r="M305" s="13">
        <f>ROUND(予定価格!B293*査定表!$B$437,-$F$14)</f>
        <v>0</v>
      </c>
      <c r="N305">
        <f>IF(M305=0,1,M305/予定価格!B293)</f>
        <v>1</v>
      </c>
      <c r="O305">
        <f t="shared" si="75"/>
        <v>21</v>
      </c>
      <c r="P305">
        <f t="shared" si="76"/>
        <v>0</v>
      </c>
      <c r="Q305">
        <f>IF(M305=0,0,M305/予定価格!B293)</f>
        <v>0</v>
      </c>
      <c r="R305">
        <f t="shared" si="77"/>
        <v>21</v>
      </c>
      <c r="S305">
        <f t="shared" si="78"/>
        <v>0</v>
      </c>
      <c r="T305" s="13">
        <f t="shared" si="79"/>
        <v>0</v>
      </c>
      <c r="U305" s="13" t="e">
        <f>IF(予定価格!$G$427=0,ROUND(予定価格!H293*(入力表!$F$12/予定価格!$H$431),-$F$14),ROUND((予定価格!G293*(入力表!$F$12-予定価格!$H$431)/予定価格!$G$431)+予定価格!H293,-$F$14))</f>
        <v>#DIV/0!</v>
      </c>
      <c r="V305" t="e">
        <f>IF(U305=0,1,IF(予定価格!O293=0,1,(U305-予定価格!P293)/予定価格!O293))</f>
        <v>#DIV/0!</v>
      </c>
      <c r="W305" t="e">
        <f t="shared" si="80"/>
        <v>#DIV/0!</v>
      </c>
      <c r="X305" t="e">
        <f t="shared" si="81"/>
        <v>#DIV/0!</v>
      </c>
      <c r="Y305" t="e">
        <f>IF(U305=0,0,IF(予定価格!G293=0,0,(U305-予定価格!H293)/予定価格!G293))</f>
        <v>#DIV/0!</v>
      </c>
      <c r="Z305" t="e">
        <f t="shared" si="82"/>
        <v>#DIV/0!</v>
      </c>
      <c r="AA305" t="e">
        <f t="shared" si="83"/>
        <v>#DIV/0!</v>
      </c>
      <c r="AB305" s="13" t="e">
        <f t="shared" si="84"/>
        <v>#DIV/0!</v>
      </c>
    </row>
    <row r="306" spans="1:28" hidden="1" x14ac:dyDescent="0.15">
      <c r="A306">
        <f>+予定価格!A294</f>
        <v>0</v>
      </c>
      <c r="B306" s="258">
        <f>ROUND(予定価格!B294*査定表!$B$437,-D306)+E306</f>
        <v>0</v>
      </c>
      <c r="C306" s="258"/>
      <c r="D306" s="45">
        <f t="shared" si="73"/>
        <v>4</v>
      </c>
      <c r="E306" s="46">
        <f t="shared" si="69"/>
        <v>0</v>
      </c>
      <c r="F306" s="258">
        <f>IF($F$12=0,0,IF(予定価格!$G$427=0,ROUND(予定価格!H294*(入力表!$F$12/予定価格!$H$431),-H306),ROUND((予定価格!G294*(入力表!$F$12-予定価格!$H$431)/予定価格!$G$431)+予定価格!H294,-H306)))+I306</f>
        <v>0</v>
      </c>
      <c r="G306" s="258"/>
      <c r="H306" s="47">
        <f t="shared" si="74"/>
        <v>4</v>
      </c>
      <c r="I306" s="48">
        <f t="shared" si="70"/>
        <v>0</v>
      </c>
      <c r="J306" s="116">
        <f t="shared" si="71"/>
        <v>0</v>
      </c>
      <c r="K306" s="19">
        <f t="shared" si="72"/>
        <v>0</v>
      </c>
      <c r="L306" s="50"/>
      <c r="M306" s="13">
        <f>ROUND(予定価格!B294*査定表!$B$437,-$F$14)</f>
        <v>0</v>
      </c>
      <c r="N306">
        <f>IF(M306=0,1,M306/予定価格!B294)</f>
        <v>1</v>
      </c>
      <c r="O306">
        <f t="shared" si="75"/>
        <v>21</v>
      </c>
      <c r="P306">
        <f t="shared" si="76"/>
        <v>0</v>
      </c>
      <c r="Q306">
        <f>IF(M306=0,0,M306/予定価格!B294)</f>
        <v>0</v>
      </c>
      <c r="R306">
        <f t="shared" si="77"/>
        <v>21</v>
      </c>
      <c r="S306">
        <f t="shared" si="78"/>
        <v>0</v>
      </c>
      <c r="T306" s="13">
        <f t="shared" si="79"/>
        <v>0</v>
      </c>
      <c r="U306" s="13" t="e">
        <f>IF(予定価格!$G$427=0,ROUND(予定価格!H294*(入力表!$F$12/予定価格!$H$431),-$F$14),ROUND((予定価格!G294*(入力表!$F$12-予定価格!$H$431)/予定価格!$G$431)+予定価格!H294,-$F$14))</f>
        <v>#DIV/0!</v>
      </c>
      <c r="V306" t="e">
        <f>IF(U306=0,1,IF(予定価格!O294=0,1,(U306-予定価格!P294)/予定価格!O294))</f>
        <v>#DIV/0!</v>
      </c>
      <c r="W306" t="e">
        <f t="shared" si="80"/>
        <v>#DIV/0!</v>
      </c>
      <c r="X306" t="e">
        <f t="shared" si="81"/>
        <v>#DIV/0!</v>
      </c>
      <c r="Y306" t="e">
        <f>IF(U306=0,0,IF(予定価格!G294=0,0,(U306-予定価格!H294)/予定価格!G294))</f>
        <v>#DIV/0!</v>
      </c>
      <c r="Z306" t="e">
        <f t="shared" si="82"/>
        <v>#DIV/0!</v>
      </c>
      <c r="AA306" t="e">
        <f t="shared" si="83"/>
        <v>#DIV/0!</v>
      </c>
      <c r="AB306" s="13" t="e">
        <f t="shared" si="84"/>
        <v>#DIV/0!</v>
      </c>
    </row>
    <row r="307" spans="1:28" hidden="1" x14ac:dyDescent="0.15">
      <c r="A307">
        <f>+予定価格!A295</f>
        <v>0</v>
      </c>
      <c r="B307" s="258">
        <f>ROUND(予定価格!B295*査定表!$B$437,-D307)+E307</f>
        <v>0</v>
      </c>
      <c r="C307" s="258"/>
      <c r="D307" s="45">
        <f t="shared" si="73"/>
        <v>4</v>
      </c>
      <c r="E307" s="46">
        <f t="shared" si="69"/>
        <v>0</v>
      </c>
      <c r="F307" s="258">
        <f>IF($F$12=0,0,IF(予定価格!$G$427=0,ROUND(予定価格!H295*(入力表!$F$12/予定価格!$H$431),-H307),ROUND((予定価格!G295*(入力表!$F$12-予定価格!$H$431)/予定価格!$G$431)+予定価格!H295,-H307)))+I307</f>
        <v>0</v>
      </c>
      <c r="G307" s="258"/>
      <c r="H307" s="47">
        <f t="shared" si="74"/>
        <v>4</v>
      </c>
      <c r="I307" s="48">
        <f t="shared" si="70"/>
        <v>0</v>
      </c>
      <c r="J307" s="116">
        <f t="shared" si="71"/>
        <v>0</v>
      </c>
      <c r="K307" s="19">
        <f t="shared" si="72"/>
        <v>0</v>
      </c>
      <c r="L307" s="50"/>
      <c r="M307" s="13">
        <f>ROUND(予定価格!B295*査定表!$B$437,-$F$14)</f>
        <v>0</v>
      </c>
      <c r="N307">
        <f>IF(M307=0,1,M307/予定価格!B295)</f>
        <v>1</v>
      </c>
      <c r="O307">
        <f t="shared" si="75"/>
        <v>21</v>
      </c>
      <c r="P307">
        <f t="shared" si="76"/>
        <v>0</v>
      </c>
      <c r="Q307">
        <f>IF(M307=0,0,M307/予定価格!B295)</f>
        <v>0</v>
      </c>
      <c r="R307">
        <f t="shared" si="77"/>
        <v>21</v>
      </c>
      <c r="S307">
        <f t="shared" si="78"/>
        <v>0</v>
      </c>
      <c r="T307" s="13">
        <f t="shared" si="79"/>
        <v>0</v>
      </c>
      <c r="U307" s="13" t="e">
        <f>IF(予定価格!$G$427=0,ROUND(予定価格!H295*(入力表!$F$12/予定価格!$H$431),-$F$14),ROUND((予定価格!G295*(入力表!$F$12-予定価格!$H$431)/予定価格!$G$431)+予定価格!H295,-$F$14))</f>
        <v>#DIV/0!</v>
      </c>
      <c r="V307" t="e">
        <f>IF(U307=0,1,IF(予定価格!O295=0,1,(U307-予定価格!P295)/予定価格!O295))</f>
        <v>#DIV/0!</v>
      </c>
      <c r="W307" t="e">
        <f t="shared" si="80"/>
        <v>#DIV/0!</v>
      </c>
      <c r="X307" t="e">
        <f t="shared" si="81"/>
        <v>#DIV/0!</v>
      </c>
      <c r="Y307" t="e">
        <f>IF(U307=0,0,IF(予定価格!G295=0,0,(U307-予定価格!H295)/予定価格!G295))</f>
        <v>#DIV/0!</v>
      </c>
      <c r="Z307" t="e">
        <f t="shared" si="82"/>
        <v>#DIV/0!</v>
      </c>
      <c r="AA307" t="e">
        <f t="shared" si="83"/>
        <v>#DIV/0!</v>
      </c>
      <c r="AB307" s="13" t="e">
        <f t="shared" si="84"/>
        <v>#DIV/0!</v>
      </c>
    </row>
    <row r="308" spans="1:28" hidden="1" x14ac:dyDescent="0.15">
      <c r="A308">
        <f>+予定価格!A296</f>
        <v>0</v>
      </c>
      <c r="B308" s="258">
        <f>ROUND(予定価格!B296*査定表!$B$437,-D308)+E308</f>
        <v>0</v>
      </c>
      <c r="C308" s="258"/>
      <c r="D308" s="45">
        <f t="shared" si="73"/>
        <v>4</v>
      </c>
      <c r="E308" s="46">
        <f t="shared" si="69"/>
        <v>0</v>
      </c>
      <c r="F308" s="258">
        <f>IF($F$12=0,0,IF(予定価格!$G$427=0,ROUND(予定価格!H296*(入力表!$F$12/予定価格!$H$431),-H308),ROUND((予定価格!G296*(入力表!$F$12-予定価格!$H$431)/予定価格!$G$431)+予定価格!H296,-H308)))+I308</f>
        <v>0</v>
      </c>
      <c r="G308" s="258"/>
      <c r="H308" s="47">
        <f t="shared" si="74"/>
        <v>4</v>
      </c>
      <c r="I308" s="48">
        <f t="shared" si="70"/>
        <v>0</v>
      </c>
      <c r="J308" s="116">
        <f t="shared" si="71"/>
        <v>0</v>
      </c>
      <c r="K308" s="19">
        <f t="shared" si="72"/>
        <v>0</v>
      </c>
      <c r="L308" s="50"/>
      <c r="M308" s="13">
        <f>ROUND(予定価格!B296*査定表!$B$437,-$F$14)</f>
        <v>0</v>
      </c>
      <c r="N308">
        <f>IF(M308=0,1,M308/予定価格!B296)</f>
        <v>1</v>
      </c>
      <c r="O308">
        <f t="shared" si="75"/>
        <v>21</v>
      </c>
      <c r="P308">
        <f t="shared" si="76"/>
        <v>0</v>
      </c>
      <c r="Q308">
        <f>IF(M308=0,0,M308/予定価格!B296)</f>
        <v>0</v>
      </c>
      <c r="R308">
        <f t="shared" si="77"/>
        <v>21</v>
      </c>
      <c r="S308">
        <f t="shared" si="78"/>
        <v>0</v>
      </c>
      <c r="T308" s="13">
        <f t="shared" si="79"/>
        <v>0</v>
      </c>
      <c r="U308" s="13" t="e">
        <f>IF(予定価格!$G$427=0,ROUND(予定価格!H296*(入力表!$F$12/予定価格!$H$431),-$F$14),ROUND((予定価格!G296*(入力表!$F$12-予定価格!$H$431)/予定価格!$G$431)+予定価格!H296,-$F$14))</f>
        <v>#DIV/0!</v>
      </c>
      <c r="V308" t="e">
        <f>IF(U308=0,1,IF(予定価格!O296=0,1,(U308-予定価格!P296)/予定価格!O296))</f>
        <v>#DIV/0!</v>
      </c>
      <c r="W308" t="e">
        <f t="shared" si="80"/>
        <v>#DIV/0!</v>
      </c>
      <c r="X308" t="e">
        <f t="shared" si="81"/>
        <v>#DIV/0!</v>
      </c>
      <c r="Y308" t="e">
        <f>IF(U308=0,0,IF(予定価格!G296=0,0,(U308-予定価格!H296)/予定価格!G296))</f>
        <v>#DIV/0!</v>
      </c>
      <c r="Z308" t="e">
        <f t="shared" si="82"/>
        <v>#DIV/0!</v>
      </c>
      <c r="AA308" t="e">
        <f t="shared" si="83"/>
        <v>#DIV/0!</v>
      </c>
      <c r="AB308" s="13" t="e">
        <f t="shared" si="84"/>
        <v>#DIV/0!</v>
      </c>
    </row>
    <row r="309" spans="1:28" hidden="1" x14ac:dyDescent="0.15">
      <c r="A309">
        <f>+予定価格!A297</f>
        <v>0</v>
      </c>
      <c r="B309" s="258">
        <f>ROUND(予定価格!B297*査定表!$B$437,-D309)+E309</f>
        <v>0</v>
      </c>
      <c r="C309" s="258"/>
      <c r="D309" s="45">
        <f t="shared" si="73"/>
        <v>4</v>
      </c>
      <c r="E309" s="46">
        <f t="shared" si="69"/>
        <v>0</v>
      </c>
      <c r="F309" s="258">
        <f>IF($F$12=0,0,IF(予定価格!$G$427=0,ROUND(予定価格!H297*(入力表!$F$12/予定価格!$H$431),-H309),ROUND((予定価格!G297*(入力表!$F$12-予定価格!$H$431)/予定価格!$G$431)+予定価格!H297,-H309)))+I309</f>
        <v>0</v>
      </c>
      <c r="G309" s="258"/>
      <c r="H309" s="47">
        <f t="shared" si="74"/>
        <v>4</v>
      </c>
      <c r="I309" s="48">
        <f t="shared" si="70"/>
        <v>0</v>
      </c>
      <c r="J309" s="116">
        <f t="shared" si="71"/>
        <v>0</v>
      </c>
      <c r="K309" s="19">
        <f t="shared" si="72"/>
        <v>0</v>
      </c>
      <c r="L309" s="50"/>
      <c r="M309" s="13">
        <f>ROUND(予定価格!B297*査定表!$B$437,-$F$14)</f>
        <v>0</v>
      </c>
      <c r="N309">
        <f>IF(M309=0,1,M309/予定価格!B297)</f>
        <v>1</v>
      </c>
      <c r="O309">
        <f t="shared" si="75"/>
        <v>21</v>
      </c>
      <c r="P309">
        <f t="shared" si="76"/>
        <v>0</v>
      </c>
      <c r="Q309">
        <f>IF(M309=0,0,M309/予定価格!B297)</f>
        <v>0</v>
      </c>
      <c r="R309">
        <f t="shared" si="77"/>
        <v>21</v>
      </c>
      <c r="S309">
        <f t="shared" si="78"/>
        <v>0</v>
      </c>
      <c r="T309" s="13">
        <f t="shared" si="79"/>
        <v>0</v>
      </c>
      <c r="U309" s="13" t="e">
        <f>IF(予定価格!$G$427=0,ROUND(予定価格!H297*(入力表!$F$12/予定価格!$H$431),-$F$14),ROUND((予定価格!G297*(入力表!$F$12-予定価格!$H$431)/予定価格!$G$431)+予定価格!H297,-$F$14))</f>
        <v>#DIV/0!</v>
      </c>
      <c r="V309" t="e">
        <f>IF(U309=0,1,IF(予定価格!O297=0,1,(U309-予定価格!P297)/予定価格!O297))</f>
        <v>#DIV/0!</v>
      </c>
      <c r="W309" t="e">
        <f t="shared" si="80"/>
        <v>#DIV/0!</v>
      </c>
      <c r="X309" t="e">
        <f t="shared" si="81"/>
        <v>#DIV/0!</v>
      </c>
      <c r="Y309" t="e">
        <f>IF(U309=0,0,IF(予定価格!G297=0,0,(U309-予定価格!H297)/予定価格!G297))</f>
        <v>#DIV/0!</v>
      </c>
      <c r="Z309" t="e">
        <f t="shared" si="82"/>
        <v>#DIV/0!</v>
      </c>
      <c r="AA309" t="e">
        <f t="shared" si="83"/>
        <v>#DIV/0!</v>
      </c>
      <c r="AB309" s="13" t="e">
        <f t="shared" si="84"/>
        <v>#DIV/0!</v>
      </c>
    </row>
    <row r="310" spans="1:28" hidden="1" x14ac:dyDescent="0.15">
      <c r="A310">
        <f>+予定価格!A298</f>
        <v>0</v>
      </c>
      <c r="B310" s="258">
        <f>ROUND(予定価格!B298*査定表!$B$437,-D310)+E310</f>
        <v>0</v>
      </c>
      <c r="C310" s="258"/>
      <c r="D310" s="45">
        <f t="shared" si="73"/>
        <v>4</v>
      </c>
      <c r="E310" s="46">
        <f t="shared" si="69"/>
        <v>0</v>
      </c>
      <c r="F310" s="258">
        <f>IF($F$12=0,0,IF(予定価格!$G$427=0,ROUND(予定価格!H298*(入力表!$F$12/予定価格!$H$431),-H310),ROUND((予定価格!G298*(入力表!$F$12-予定価格!$H$431)/予定価格!$G$431)+予定価格!H298,-H310)))+I310</f>
        <v>0</v>
      </c>
      <c r="G310" s="258"/>
      <c r="H310" s="47">
        <f t="shared" si="74"/>
        <v>4</v>
      </c>
      <c r="I310" s="48">
        <f t="shared" si="70"/>
        <v>0</v>
      </c>
      <c r="J310" s="116">
        <f t="shared" si="71"/>
        <v>0</v>
      </c>
      <c r="K310" s="19">
        <f t="shared" si="72"/>
        <v>0</v>
      </c>
      <c r="L310" s="50"/>
      <c r="M310" s="13">
        <f>ROUND(予定価格!B298*査定表!$B$437,-$F$14)</f>
        <v>0</v>
      </c>
      <c r="N310">
        <f>IF(M310=0,1,M310/予定価格!B298)</f>
        <v>1</v>
      </c>
      <c r="O310">
        <f t="shared" si="75"/>
        <v>21</v>
      </c>
      <c r="P310">
        <f t="shared" si="76"/>
        <v>0</v>
      </c>
      <c r="Q310">
        <f>IF(M310=0,0,M310/予定価格!B298)</f>
        <v>0</v>
      </c>
      <c r="R310">
        <f t="shared" si="77"/>
        <v>21</v>
      </c>
      <c r="S310">
        <f t="shared" si="78"/>
        <v>0</v>
      </c>
      <c r="T310" s="13">
        <f t="shared" si="79"/>
        <v>0</v>
      </c>
      <c r="U310" s="13" t="e">
        <f>IF(予定価格!$G$427=0,ROUND(予定価格!H298*(入力表!$F$12/予定価格!$H$431),-$F$14),ROUND((予定価格!G298*(入力表!$F$12-予定価格!$H$431)/予定価格!$G$431)+予定価格!H298,-$F$14))</f>
        <v>#DIV/0!</v>
      </c>
      <c r="V310" t="e">
        <f>IF(U310=0,1,IF(予定価格!O298=0,1,(U310-予定価格!P298)/予定価格!O298))</f>
        <v>#DIV/0!</v>
      </c>
      <c r="W310" t="e">
        <f t="shared" si="80"/>
        <v>#DIV/0!</v>
      </c>
      <c r="X310" t="e">
        <f t="shared" si="81"/>
        <v>#DIV/0!</v>
      </c>
      <c r="Y310" t="e">
        <f>IF(U310=0,0,IF(予定価格!G298=0,0,(U310-予定価格!H298)/予定価格!G298))</f>
        <v>#DIV/0!</v>
      </c>
      <c r="Z310" t="e">
        <f t="shared" si="82"/>
        <v>#DIV/0!</v>
      </c>
      <c r="AA310" t="e">
        <f t="shared" si="83"/>
        <v>#DIV/0!</v>
      </c>
      <c r="AB310" s="13" t="e">
        <f t="shared" si="84"/>
        <v>#DIV/0!</v>
      </c>
    </row>
    <row r="311" spans="1:28" hidden="1" x14ac:dyDescent="0.15">
      <c r="A311">
        <f>+予定価格!A299</f>
        <v>0</v>
      </c>
      <c r="B311" s="258">
        <f>ROUND(予定価格!B299*査定表!$B$437,-D311)+E311</f>
        <v>0</v>
      </c>
      <c r="C311" s="258"/>
      <c r="D311" s="45">
        <f t="shared" si="73"/>
        <v>4</v>
      </c>
      <c r="E311" s="46">
        <f t="shared" si="69"/>
        <v>0</v>
      </c>
      <c r="F311" s="258">
        <f>IF($F$12=0,0,IF(予定価格!$G$427=0,ROUND(予定価格!H299*(入力表!$F$12/予定価格!$H$431),-H311),ROUND((予定価格!G299*(入力表!$F$12-予定価格!$H$431)/予定価格!$G$431)+予定価格!H299,-H311)))+I311</f>
        <v>0</v>
      </c>
      <c r="G311" s="258"/>
      <c r="H311" s="47">
        <f t="shared" si="74"/>
        <v>4</v>
      </c>
      <c r="I311" s="48">
        <f t="shared" si="70"/>
        <v>0</v>
      </c>
      <c r="J311" s="116">
        <f t="shared" si="71"/>
        <v>0</v>
      </c>
      <c r="K311" s="19">
        <f t="shared" si="72"/>
        <v>0</v>
      </c>
      <c r="L311" s="50"/>
      <c r="M311" s="13">
        <f>ROUND(予定価格!B299*査定表!$B$437,-$F$14)</f>
        <v>0</v>
      </c>
      <c r="N311">
        <f>IF(M311=0,1,M311/予定価格!B299)</f>
        <v>1</v>
      </c>
      <c r="O311">
        <f t="shared" si="75"/>
        <v>21</v>
      </c>
      <c r="P311">
        <f t="shared" si="76"/>
        <v>0</v>
      </c>
      <c r="Q311">
        <f>IF(M311=0,0,M311/予定価格!B299)</f>
        <v>0</v>
      </c>
      <c r="R311">
        <f t="shared" si="77"/>
        <v>21</v>
      </c>
      <c r="S311">
        <f t="shared" si="78"/>
        <v>0</v>
      </c>
      <c r="T311" s="13">
        <f t="shared" si="79"/>
        <v>0</v>
      </c>
      <c r="U311" s="13" t="e">
        <f>IF(予定価格!$G$427=0,ROUND(予定価格!H299*(入力表!$F$12/予定価格!$H$431),-$F$14),ROUND((予定価格!G299*(入力表!$F$12-予定価格!$H$431)/予定価格!$G$431)+予定価格!H299,-$F$14))</f>
        <v>#DIV/0!</v>
      </c>
      <c r="V311" t="e">
        <f>IF(U311=0,1,IF(予定価格!O299=0,1,(U311-予定価格!P299)/予定価格!O299))</f>
        <v>#DIV/0!</v>
      </c>
      <c r="W311" t="e">
        <f t="shared" si="80"/>
        <v>#DIV/0!</v>
      </c>
      <c r="X311" t="e">
        <f t="shared" si="81"/>
        <v>#DIV/0!</v>
      </c>
      <c r="Y311" t="e">
        <f>IF(U311=0,0,IF(予定価格!G299=0,0,(U311-予定価格!H299)/予定価格!G299))</f>
        <v>#DIV/0!</v>
      </c>
      <c r="Z311" t="e">
        <f t="shared" si="82"/>
        <v>#DIV/0!</v>
      </c>
      <c r="AA311" t="e">
        <f t="shared" si="83"/>
        <v>#DIV/0!</v>
      </c>
      <c r="AB311" s="13" t="e">
        <f t="shared" si="84"/>
        <v>#DIV/0!</v>
      </c>
    </row>
    <row r="312" spans="1:28" hidden="1" x14ac:dyDescent="0.15">
      <c r="A312">
        <f>+予定価格!A300</f>
        <v>0</v>
      </c>
      <c r="B312" s="258">
        <f>ROUND(予定価格!B300*査定表!$B$437,-D312)+E312</f>
        <v>0</v>
      </c>
      <c r="C312" s="258"/>
      <c r="D312" s="45">
        <f t="shared" si="73"/>
        <v>4</v>
      </c>
      <c r="E312" s="46">
        <f t="shared" si="69"/>
        <v>0</v>
      </c>
      <c r="F312" s="258">
        <f>IF($F$12=0,0,IF(予定価格!$G$427=0,ROUND(予定価格!H300*(入力表!$F$12/予定価格!$H$431),-H312),ROUND((予定価格!G300*(入力表!$F$12-予定価格!$H$431)/予定価格!$G$431)+予定価格!H300,-H312)))+I312</f>
        <v>0</v>
      </c>
      <c r="G312" s="258"/>
      <c r="H312" s="47">
        <f t="shared" si="74"/>
        <v>4</v>
      </c>
      <c r="I312" s="48">
        <f t="shared" si="70"/>
        <v>0</v>
      </c>
      <c r="J312" s="116">
        <f t="shared" si="71"/>
        <v>0</v>
      </c>
      <c r="K312" s="19">
        <f t="shared" si="72"/>
        <v>0</v>
      </c>
      <c r="L312" s="50"/>
      <c r="M312" s="13">
        <f>ROUND(予定価格!B300*査定表!$B$437,-$F$14)</f>
        <v>0</v>
      </c>
      <c r="N312">
        <f>IF(M312=0,1,M312/予定価格!B300)</f>
        <v>1</v>
      </c>
      <c r="O312">
        <f t="shared" si="75"/>
        <v>21</v>
      </c>
      <c r="P312">
        <f t="shared" si="76"/>
        <v>0</v>
      </c>
      <c r="Q312">
        <f>IF(M312=0,0,M312/予定価格!B300)</f>
        <v>0</v>
      </c>
      <c r="R312">
        <f t="shared" si="77"/>
        <v>21</v>
      </c>
      <c r="S312">
        <f t="shared" si="78"/>
        <v>0</v>
      </c>
      <c r="T312" s="13">
        <f t="shared" si="79"/>
        <v>0</v>
      </c>
      <c r="U312" s="13" t="e">
        <f>IF(予定価格!$G$427=0,ROUND(予定価格!H300*(入力表!$F$12/予定価格!$H$431),-$F$14),ROUND((予定価格!G300*(入力表!$F$12-予定価格!$H$431)/予定価格!$G$431)+予定価格!H300,-$F$14))</f>
        <v>#DIV/0!</v>
      </c>
      <c r="V312" t="e">
        <f>IF(U312=0,1,IF(予定価格!O300=0,1,(U312-予定価格!P300)/予定価格!O300))</f>
        <v>#DIV/0!</v>
      </c>
      <c r="W312" t="e">
        <f t="shared" si="80"/>
        <v>#DIV/0!</v>
      </c>
      <c r="X312" t="e">
        <f t="shared" si="81"/>
        <v>#DIV/0!</v>
      </c>
      <c r="Y312" t="e">
        <f>IF(U312=0,0,IF(予定価格!G300=0,0,(U312-予定価格!H300)/予定価格!G300))</f>
        <v>#DIV/0!</v>
      </c>
      <c r="Z312" t="e">
        <f t="shared" si="82"/>
        <v>#DIV/0!</v>
      </c>
      <c r="AA312" t="e">
        <f t="shared" si="83"/>
        <v>#DIV/0!</v>
      </c>
      <c r="AB312" s="13" t="e">
        <f t="shared" si="84"/>
        <v>#DIV/0!</v>
      </c>
    </row>
    <row r="313" spans="1:28" hidden="1" x14ac:dyDescent="0.15">
      <c r="A313">
        <f>+予定価格!A301</f>
        <v>0</v>
      </c>
      <c r="B313" s="258">
        <f>ROUND(予定価格!B301*査定表!$B$437,-D313)+E313</f>
        <v>0</v>
      </c>
      <c r="C313" s="258"/>
      <c r="D313" s="45">
        <f t="shared" si="73"/>
        <v>4</v>
      </c>
      <c r="E313" s="46">
        <f t="shared" si="69"/>
        <v>0</v>
      </c>
      <c r="F313" s="258">
        <f>IF($F$12=0,0,IF(予定価格!$G$427=0,ROUND(予定価格!H301*(入力表!$F$12/予定価格!$H$431),-H313),ROUND((予定価格!G301*(入力表!$F$12-予定価格!$H$431)/予定価格!$G$431)+予定価格!H301,-H313)))+I313</f>
        <v>0</v>
      </c>
      <c r="G313" s="258"/>
      <c r="H313" s="47">
        <f t="shared" si="74"/>
        <v>4</v>
      </c>
      <c r="I313" s="48">
        <f t="shared" si="70"/>
        <v>0</v>
      </c>
      <c r="J313" s="116">
        <f t="shared" si="71"/>
        <v>0</v>
      </c>
      <c r="K313" s="19">
        <f t="shared" si="72"/>
        <v>0</v>
      </c>
      <c r="L313" s="50"/>
      <c r="M313" s="13">
        <f>ROUND(予定価格!B301*査定表!$B$437,-$F$14)</f>
        <v>0</v>
      </c>
      <c r="N313">
        <f>IF(M313=0,1,M313/予定価格!B301)</f>
        <v>1</v>
      </c>
      <c r="O313">
        <f t="shared" si="75"/>
        <v>21</v>
      </c>
      <c r="P313">
        <f t="shared" si="76"/>
        <v>0</v>
      </c>
      <c r="Q313">
        <f>IF(M313=0,0,M313/予定価格!B301)</f>
        <v>0</v>
      </c>
      <c r="R313">
        <f t="shared" si="77"/>
        <v>21</v>
      </c>
      <c r="S313">
        <f t="shared" si="78"/>
        <v>0</v>
      </c>
      <c r="T313" s="13">
        <f t="shared" si="79"/>
        <v>0</v>
      </c>
      <c r="U313" s="13" t="e">
        <f>IF(予定価格!$G$427=0,ROUND(予定価格!H301*(入力表!$F$12/予定価格!$H$431),-$F$14),ROUND((予定価格!G301*(入力表!$F$12-予定価格!$H$431)/予定価格!$G$431)+予定価格!H301,-$F$14))</f>
        <v>#DIV/0!</v>
      </c>
      <c r="V313" t="e">
        <f>IF(U313=0,1,IF(予定価格!O301=0,1,(U313-予定価格!P301)/予定価格!O301))</f>
        <v>#DIV/0!</v>
      </c>
      <c r="W313" t="e">
        <f t="shared" si="80"/>
        <v>#DIV/0!</v>
      </c>
      <c r="X313" t="e">
        <f t="shared" si="81"/>
        <v>#DIV/0!</v>
      </c>
      <c r="Y313" t="e">
        <f>IF(U313=0,0,IF(予定価格!G301=0,0,(U313-予定価格!H301)/予定価格!G301))</f>
        <v>#DIV/0!</v>
      </c>
      <c r="Z313" t="e">
        <f t="shared" si="82"/>
        <v>#DIV/0!</v>
      </c>
      <c r="AA313" t="e">
        <f t="shared" si="83"/>
        <v>#DIV/0!</v>
      </c>
      <c r="AB313" s="13" t="e">
        <f t="shared" si="84"/>
        <v>#DIV/0!</v>
      </c>
    </row>
    <row r="314" spans="1:28" hidden="1" x14ac:dyDescent="0.15">
      <c r="A314">
        <f>+予定価格!A302</f>
        <v>0</v>
      </c>
      <c r="B314" s="258">
        <f>ROUND(予定価格!B302*査定表!$B$437,-D314)+E314</f>
        <v>0</v>
      </c>
      <c r="C314" s="258"/>
      <c r="D314" s="45">
        <f t="shared" si="73"/>
        <v>4</v>
      </c>
      <c r="E314" s="46">
        <f t="shared" si="69"/>
        <v>0</v>
      </c>
      <c r="F314" s="258">
        <f>IF($F$12=0,0,IF(予定価格!$G$427=0,ROUND(予定価格!H302*(入力表!$F$12/予定価格!$H$431),-H314),ROUND((予定価格!G302*(入力表!$F$12-予定価格!$H$431)/予定価格!$G$431)+予定価格!H302,-H314)))+I314</f>
        <v>0</v>
      </c>
      <c r="G314" s="258"/>
      <c r="H314" s="47">
        <f t="shared" si="74"/>
        <v>4</v>
      </c>
      <c r="I314" s="48">
        <f t="shared" si="70"/>
        <v>0</v>
      </c>
      <c r="J314" s="116">
        <f t="shared" si="71"/>
        <v>0</v>
      </c>
      <c r="K314" s="19">
        <f t="shared" si="72"/>
        <v>0</v>
      </c>
      <c r="L314" s="50"/>
      <c r="M314" s="13">
        <f>ROUND(予定価格!B302*査定表!$B$437,-$F$14)</f>
        <v>0</v>
      </c>
      <c r="N314">
        <f>IF(M314=0,1,M314/予定価格!B302)</f>
        <v>1</v>
      </c>
      <c r="O314">
        <f t="shared" si="75"/>
        <v>21</v>
      </c>
      <c r="P314">
        <f t="shared" si="76"/>
        <v>0</v>
      </c>
      <c r="Q314">
        <f>IF(M314=0,0,M314/予定価格!B302)</f>
        <v>0</v>
      </c>
      <c r="R314">
        <f t="shared" si="77"/>
        <v>21</v>
      </c>
      <c r="S314">
        <f t="shared" si="78"/>
        <v>0</v>
      </c>
      <c r="T314" s="13">
        <f t="shared" si="79"/>
        <v>0</v>
      </c>
      <c r="U314" s="13" t="e">
        <f>IF(予定価格!$G$427=0,ROUND(予定価格!H302*(入力表!$F$12/予定価格!$H$431),-$F$14),ROUND((予定価格!G302*(入力表!$F$12-予定価格!$H$431)/予定価格!$G$431)+予定価格!H302,-$F$14))</f>
        <v>#DIV/0!</v>
      </c>
      <c r="V314" t="e">
        <f>IF(U314=0,1,IF(予定価格!O302=0,1,(U314-予定価格!P302)/予定価格!O302))</f>
        <v>#DIV/0!</v>
      </c>
      <c r="W314" t="e">
        <f t="shared" si="80"/>
        <v>#DIV/0!</v>
      </c>
      <c r="X314" t="e">
        <f t="shared" si="81"/>
        <v>#DIV/0!</v>
      </c>
      <c r="Y314" t="e">
        <f>IF(U314=0,0,IF(予定価格!G302=0,0,(U314-予定価格!H302)/予定価格!G302))</f>
        <v>#DIV/0!</v>
      </c>
      <c r="Z314" t="e">
        <f t="shared" si="82"/>
        <v>#DIV/0!</v>
      </c>
      <c r="AA314" t="e">
        <f t="shared" si="83"/>
        <v>#DIV/0!</v>
      </c>
      <c r="AB314" s="13" t="e">
        <f t="shared" si="84"/>
        <v>#DIV/0!</v>
      </c>
    </row>
    <row r="315" spans="1:28" hidden="1" x14ac:dyDescent="0.15">
      <c r="A315">
        <f>+予定価格!A303</f>
        <v>0</v>
      </c>
      <c r="B315" s="258">
        <f>ROUND(予定価格!B303*査定表!$B$437,-D315)+E315</f>
        <v>0</v>
      </c>
      <c r="C315" s="258"/>
      <c r="D315" s="45">
        <f t="shared" si="73"/>
        <v>4</v>
      </c>
      <c r="E315" s="46">
        <f t="shared" si="69"/>
        <v>0</v>
      </c>
      <c r="F315" s="258">
        <f>IF($F$12=0,0,IF(予定価格!$G$427=0,ROUND(予定価格!H303*(入力表!$F$12/予定価格!$H$431),-H315),ROUND((予定価格!G303*(入力表!$F$12-予定価格!$H$431)/予定価格!$G$431)+予定価格!H303,-H315)))+I315</f>
        <v>0</v>
      </c>
      <c r="G315" s="258"/>
      <c r="H315" s="47">
        <f t="shared" si="74"/>
        <v>4</v>
      </c>
      <c r="I315" s="48">
        <f t="shared" si="70"/>
        <v>0</v>
      </c>
      <c r="J315" s="116">
        <f t="shared" si="71"/>
        <v>0</v>
      </c>
      <c r="K315" s="19">
        <f t="shared" si="72"/>
        <v>0</v>
      </c>
      <c r="L315" s="50"/>
      <c r="M315" s="13">
        <f>ROUND(予定価格!B303*査定表!$B$437,-$F$14)</f>
        <v>0</v>
      </c>
      <c r="N315">
        <f>IF(M315=0,1,M315/予定価格!B303)</f>
        <v>1</v>
      </c>
      <c r="O315">
        <f t="shared" si="75"/>
        <v>21</v>
      </c>
      <c r="P315">
        <f t="shared" si="76"/>
        <v>0</v>
      </c>
      <c r="Q315">
        <f>IF(M315=0,0,M315/予定価格!B303)</f>
        <v>0</v>
      </c>
      <c r="R315">
        <f t="shared" si="77"/>
        <v>21</v>
      </c>
      <c r="S315">
        <f t="shared" si="78"/>
        <v>0</v>
      </c>
      <c r="T315" s="13">
        <f t="shared" si="79"/>
        <v>0</v>
      </c>
      <c r="U315" s="13" t="e">
        <f>IF(予定価格!$G$427=0,ROUND(予定価格!H303*(入力表!$F$12/予定価格!$H$431),-$F$14),ROUND((予定価格!G303*(入力表!$F$12-予定価格!$H$431)/予定価格!$G$431)+予定価格!H303,-$F$14))</f>
        <v>#DIV/0!</v>
      </c>
      <c r="V315" t="e">
        <f>IF(U315=0,1,IF(予定価格!O303=0,1,(U315-予定価格!P303)/予定価格!O303))</f>
        <v>#DIV/0!</v>
      </c>
      <c r="W315" t="e">
        <f t="shared" si="80"/>
        <v>#DIV/0!</v>
      </c>
      <c r="X315" t="e">
        <f t="shared" si="81"/>
        <v>#DIV/0!</v>
      </c>
      <c r="Y315" t="e">
        <f>IF(U315=0,0,IF(予定価格!G303=0,0,(U315-予定価格!H303)/予定価格!G303))</f>
        <v>#DIV/0!</v>
      </c>
      <c r="Z315" t="e">
        <f t="shared" si="82"/>
        <v>#DIV/0!</v>
      </c>
      <c r="AA315" t="e">
        <f t="shared" si="83"/>
        <v>#DIV/0!</v>
      </c>
      <c r="AB315" s="13" t="e">
        <f t="shared" si="84"/>
        <v>#DIV/0!</v>
      </c>
    </row>
    <row r="316" spans="1:28" hidden="1" x14ac:dyDescent="0.15">
      <c r="A316">
        <f>+予定価格!A304</f>
        <v>0</v>
      </c>
      <c r="B316" s="258">
        <f>ROUND(予定価格!B304*査定表!$B$437,-D316)+E316</f>
        <v>0</v>
      </c>
      <c r="C316" s="258"/>
      <c r="D316" s="45">
        <f t="shared" si="73"/>
        <v>4</v>
      </c>
      <c r="E316" s="46">
        <f t="shared" si="69"/>
        <v>0</v>
      </c>
      <c r="F316" s="258">
        <f>IF($F$12=0,0,IF(予定価格!$G$427=0,ROUND(予定価格!H304*(入力表!$F$12/予定価格!$H$431),-H316),ROUND((予定価格!G304*(入力表!$F$12-予定価格!$H$431)/予定価格!$G$431)+予定価格!H304,-H316)))+I316</f>
        <v>0</v>
      </c>
      <c r="G316" s="258"/>
      <c r="H316" s="47">
        <f t="shared" si="74"/>
        <v>4</v>
      </c>
      <c r="I316" s="48">
        <f t="shared" si="70"/>
        <v>0</v>
      </c>
      <c r="J316" s="116">
        <f t="shared" si="71"/>
        <v>0</v>
      </c>
      <c r="K316" s="19">
        <f t="shared" si="72"/>
        <v>0</v>
      </c>
      <c r="L316" s="50"/>
      <c r="M316" s="13">
        <f>ROUND(予定価格!B304*査定表!$B$437,-$F$14)</f>
        <v>0</v>
      </c>
      <c r="N316">
        <f>IF(M316=0,1,M316/予定価格!B304)</f>
        <v>1</v>
      </c>
      <c r="O316">
        <f t="shared" si="75"/>
        <v>21</v>
      </c>
      <c r="P316">
        <f t="shared" si="76"/>
        <v>0</v>
      </c>
      <c r="Q316">
        <f>IF(M316=0,0,M316/予定価格!B304)</f>
        <v>0</v>
      </c>
      <c r="R316">
        <f t="shared" si="77"/>
        <v>21</v>
      </c>
      <c r="S316">
        <f t="shared" si="78"/>
        <v>0</v>
      </c>
      <c r="T316" s="13">
        <f t="shared" si="79"/>
        <v>0</v>
      </c>
      <c r="U316" s="13" t="e">
        <f>IF(予定価格!$G$427=0,ROUND(予定価格!H304*(入力表!$F$12/予定価格!$H$431),-$F$14),ROUND((予定価格!G304*(入力表!$F$12-予定価格!$H$431)/予定価格!$G$431)+予定価格!H304,-$F$14))</f>
        <v>#DIV/0!</v>
      </c>
      <c r="V316" t="e">
        <f>IF(U316=0,1,IF(予定価格!O304=0,1,(U316-予定価格!P304)/予定価格!O304))</f>
        <v>#DIV/0!</v>
      </c>
      <c r="W316" t="e">
        <f t="shared" si="80"/>
        <v>#DIV/0!</v>
      </c>
      <c r="X316" t="e">
        <f t="shared" si="81"/>
        <v>#DIV/0!</v>
      </c>
      <c r="Y316" t="e">
        <f>IF(U316=0,0,IF(予定価格!G304=0,0,(U316-予定価格!H304)/予定価格!G304))</f>
        <v>#DIV/0!</v>
      </c>
      <c r="Z316" t="e">
        <f t="shared" si="82"/>
        <v>#DIV/0!</v>
      </c>
      <c r="AA316" t="e">
        <f t="shared" si="83"/>
        <v>#DIV/0!</v>
      </c>
      <c r="AB316" s="13" t="e">
        <f t="shared" si="84"/>
        <v>#DIV/0!</v>
      </c>
    </row>
    <row r="317" spans="1:28" hidden="1" x14ac:dyDescent="0.15">
      <c r="A317">
        <f>+予定価格!A305</f>
        <v>0</v>
      </c>
      <c r="B317" s="258">
        <f>ROUND(予定価格!B305*査定表!$B$437,-D317)+E317</f>
        <v>0</v>
      </c>
      <c r="C317" s="258"/>
      <c r="D317" s="45">
        <f t="shared" si="73"/>
        <v>4</v>
      </c>
      <c r="E317" s="46">
        <f t="shared" si="69"/>
        <v>0</v>
      </c>
      <c r="F317" s="258">
        <f>IF($F$12=0,0,IF(予定価格!$G$427=0,ROUND(予定価格!H305*(入力表!$F$12/予定価格!$H$431),-H317),ROUND((予定価格!G305*(入力表!$F$12-予定価格!$H$431)/予定価格!$G$431)+予定価格!H305,-H317)))+I317</f>
        <v>0</v>
      </c>
      <c r="G317" s="258"/>
      <c r="H317" s="47">
        <f t="shared" si="74"/>
        <v>4</v>
      </c>
      <c r="I317" s="48">
        <f t="shared" si="70"/>
        <v>0</v>
      </c>
      <c r="J317" s="116">
        <f t="shared" si="71"/>
        <v>0</v>
      </c>
      <c r="K317" s="19">
        <f t="shared" si="72"/>
        <v>0</v>
      </c>
      <c r="L317" s="50"/>
      <c r="M317" s="13">
        <f>ROUND(予定価格!B305*査定表!$B$437,-$F$14)</f>
        <v>0</v>
      </c>
      <c r="N317">
        <f>IF(M317=0,1,M317/予定価格!B305)</f>
        <v>1</v>
      </c>
      <c r="O317">
        <f t="shared" si="75"/>
        <v>21</v>
      </c>
      <c r="P317">
        <f t="shared" si="76"/>
        <v>0</v>
      </c>
      <c r="Q317">
        <f>IF(M317=0,0,M317/予定価格!B305)</f>
        <v>0</v>
      </c>
      <c r="R317">
        <f t="shared" si="77"/>
        <v>21</v>
      </c>
      <c r="S317">
        <f t="shared" si="78"/>
        <v>0</v>
      </c>
      <c r="T317" s="13">
        <f t="shared" si="79"/>
        <v>0</v>
      </c>
      <c r="U317" s="13" t="e">
        <f>IF(予定価格!$G$427=0,ROUND(予定価格!H305*(入力表!$F$12/予定価格!$H$431),-$F$14),ROUND((予定価格!G305*(入力表!$F$12-予定価格!$H$431)/予定価格!$G$431)+予定価格!H305,-$F$14))</f>
        <v>#DIV/0!</v>
      </c>
      <c r="V317" t="e">
        <f>IF(U317=0,1,IF(予定価格!O305=0,1,(U317-予定価格!P305)/予定価格!O305))</f>
        <v>#DIV/0!</v>
      </c>
      <c r="W317" t="e">
        <f t="shared" si="80"/>
        <v>#DIV/0!</v>
      </c>
      <c r="X317" t="e">
        <f t="shared" si="81"/>
        <v>#DIV/0!</v>
      </c>
      <c r="Y317" t="e">
        <f>IF(U317=0,0,IF(予定価格!G305=0,0,(U317-予定価格!H305)/予定価格!G305))</f>
        <v>#DIV/0!</v>
      </c>
      <c r="Z317" t="e">
        <f t="shared" si="82"/>
        <v>#DIV/0!</v>
      </c>
      <c r="AA317" t="e">
        <f t="shared" si="83"/>
        <v>#DIV/0!</v>
      </c>
      <c r="AB317" s="13" t="e">
        <f t="shared" si="84"/>
        <v>#DIV/0!</v>
      </c>
    </row>
    <row r="318" spans="1:28" hidden="1" x14ac:dyDescent="0.15">
      <c r="A318">
        <f>+予定価格!A306</f>
        <v>0</v>
      </c>
      <c r="B318" s="258">
        <f>ROUND(予定価格!B306*査定表!$B$437,-D318)+E318</f>
        <v>0</v>
      </c>
      <c r="C318" s="258"/>
      <c r="D318" s="45">
        <f t="shared" si="73"/>
        <v>4</v>
      </c>
      <c r="E318" s="46">
        <f t="shared" si="69"/>
        <v>0</v>
      </c>
      <c r="F318" s="258">
        <f>IF($F$12=0,0,IF(予定価格!$G$427=0,ROUND(予定価格!H306*(入力表!$F$12/予定価格!$H$431),-H318),ROUND((予定価格!G306*(入力表!$F$12-予定価格!$H$431)/予定価格!$G$431)+予定価格!H306,-H318)))+I318</f>
        <v>0</v>
      </c>
      <c r="G318" s="258"/>
      <c r="H318" s="47">
        <f t="shared" si="74"/>
        <v>4</v>
      </c>
      <c r="I318" s="48">
        <f t="shared" si="70"/>
        <v>0</v>
      </c>
      <c r="J318" s="116">
        <f t="shared" si="71"/>
        <v>0</v>
      </c>
      <c r="K318" s="19">
        <f t="shared" si="72"/>
        <v>0</v>
      </c>
      <c r="L318" s="50"/>
      <c r="M318" s="13">
        <f>ROUND(予定価格!B306*査定表!$B$437,-$F$14)</f>
        <v>0</v>
      </c>
      <c r="N318">
        <f>IF(M318=0,1,M318/予定価格!B306)</f>
        <v>1</v>
      </c>
      <c r="O318">
        <f t="shared" si="75"/>
        <v>21</v>
      </c>
      <c r="P318">
        <f t="shared" si="76"/>
        <v>0</v>
      </c>
      <c r="Q318">
        <f>IF(M318=0,0,M318/予定価格!B306)</f>
        <v>0</v>
      </c>
      <c r="R318">
        <f t="shared" si="77"/>
        <v>21</v>
      </c>
      <c r="S318">
        <f t="shared" si="78"/>
        <v>0</v>
      </c>
      <c r="T318" s="13">
        <f t="shared" si="79"/>
        <v>0</v>
      </c>
      <c r="U318" s="13" t="e">
        <f>IF(予定価格!$G$427=0,ROUND(予定価格!H306*(入力表!$F$12/予定価格!$H$431),-$F$14),ROUND((予定価格!G306*(入力表!$F$12-予定価格!$H$431)/予定価格!$G$431)+予定価格!H306,-$F$14))</f>
        <v>#DIV/0!</v>
      </c>
      <c r="V318" t="e">
        <f>IF(U318=0,1,IF(予定価格!O306=0,1,(U318-予定価格!P306)/予定価格!O306))</f>
        <v>#DIV/0!</v>
      </c>
      <c r="W318" t="e">
        <f t="shared" si="80"/>
        <v>#DIV/0!</v>
      </c>
      <c r="X318" t="e">
        <f t="shared" si="81"/>
        <v>#DIV/0!</v>
      </c>
      <c r="Y318" t="e">
        <f>IF(U318=0,0,IF(予定価格!G306=0,0,(U318-予定価格!H306)/予定価格!G306))</f>
        <v>#DIV/0!</v>
      </c>
      <c r="Z318" t="e">
        <f t="shared" si="82"/>
        <v>#DIV/0!</v>
      </c>
      <c r="AA318" t="e">
        <f t="shared" si="83"/>
        <v>#DIV/0!</v>
      </c>
      <c r="AB318" s="13" t="e">
        <f t="shared" si="84"/>
        <v>#DIV/0!</v>
      </c>
    </row>
    <row r="319" spans="1:28" hidden="1" x14ac:dyDescent="0.15">
      <c r="A319">
        <f>+予定価格!A307</f>
        <v>0</v>
      </c>
      <c r="B319" s="258">
        <f>ROUND(予定価格!B307*査定表!$B$437,-D319)+E319</f>
        <v>0</v>
      </c>
      <c r="C319" s="258"/>
      <c r="D319" s="45">
        <f t="shared" si="73"/>
        <v>4</v>
      </c>
      <c r="E319" s="46">
        <f t="shared" si="69"/>
        <v>0</v>
      </c>
      <c r="F319" s="258">
        <f>IF($F$12=0,0,IF(予定価格!$G$427=0,ROUND(予定価格!H307*(入力表!$F$12/予定価格!$H$431),-H319),ROUND((予定価格!G307*(入力表!$F$12-予定価格!$H$431)/予定価格!$G$431)+予定価格!H307,-H319)))+I319</f>
        <v>0</v>
      </c>
      <c r="G319" s="258"/>
      <c r="H319" s="47">
        <f t="shared" si="74"/>
        <v>4</v>
      </c>
      <c r="I319" s="48">
        <f t="shared" si="70"/>
        <v>0</v>
      </c>
      <c r="J319" s="116">
        <f t="shared" si="71"/>
        <v>0</v>
      </c>
      <c r="K319" s="19">
        <f t="shared" si="72"/>
        <v>0</v>
      </c>
      <c r="L319" s="50"/>
      <c r="M319" s="13">
        <f>ROUND(予定価格!B307*査定表!$B$437,-$F$14)</f>
        <v>0</v>
      </c>
      <c r="N319">
        <f>IF(M319=0,1,M319/予定価格!B307)</f>
        <v>1</v>
      </c>
      <c r="O319">
        <f t="shared" si="75"/>
        <v>21</v>
      </c>
      <c r="P319">
        <f t="shared" si="76"/>
        <v>0</v>
      </c>
      <c r="Q319">
        <f>IF(M319=0,0,M319/予定価格!B307)</f>
        <v>0</v>
      </c>
      <c r="R319">
        <f t="shared" si="77"/>
        <v>21</v>
      </c>
      <c r="S319">
        <f t="shared" si="78"/>
        <v>0</v>
      </c>
      <c r="T319" s="13">
        <f t="shared" si="79"/>
        <v>0</v>
      </c>
      <c r="U319" s="13" t="e">
        <f>IF(予定価格!$G$427=0,ROUND(予定価格!H307*(入力表!$F$12/予定価格!$H$431),-$F$14),ROUND((予定価格!G307*(入力表!$F$12-予定価格!$H$431)/予定価格!$G$431)+予定価格!H307,-$F$14))</f>
        <v>#DIV/0!</v>
      </c>
      <c r="V319" t="e">
        <f>IF(U319=0,1,IF(予定価格!O307=0,1,(U319-予定価格!P307)/予定価格!O307))</f>
        <v>#DIV/0!</v>
      </c>
      <c r="W319" t="e">
        <f t="shared" si="80"/>
        <v>#DIV/0!</v>
      </c>
      <c r="X319" t="e">
        <f t="shared" si="81"/>
        <v>#DIV/0!</v>
      </c>
      <c r="Y319" t="e">
        <f>IF(U319=0,0,IF(予定価格!G307=0,0,(U319-予定価格!H307)/予定価格!G307))</f>
        <v>#DIV/0!</v>
      </c>
      <c r="Z319" t="e">
        <f t="shared" si="82"/>
        <v>#DIV/0!</v>
      </c>
      <c r="AA319" t="e">
        <f t="shared" si="83"/>
        <v>#DIV/0!</v>
      </c>
      <c r="AB319" s="13" t="e">
        <f t="shared" si="84"/>
        <v>#DIV/0!</v>
      </c>
    </row>
    <row r="320" spans="1:28" hidden="1" x14ac:dyDescent="0.15">
      <c r="A320">
        <f>+予定価格!A308</f>
        <v>0</v>
      </c>
      <c r="B320" s="258">
        <f>ROUND(予定価格!B308*査定表!$B$437,-D320)+E320</f>
        <v>0</v>
      </c>
      <c r="C320" s="258"/>
      <c r="D320" s="45">
        <f t="shared" si="73"/>
        <v>4</v>
      </c>
      <c r="E320" s="46">
        <f t="shared" si="69"/>
        <v>0</v>
      </c>
      <c r="F320" s="258">
        <f>IF($F$12=0,0,IF(予定価格!$G$427=0,ROUND(予定価格!H308*(入力表!$F$12/予定価格!$H$431),-H320),ROUND((予定価格!G308*(入力表!$F$12-予定価格!$H$431)/予定価格!$G$431)+予定価格!H308,-H320)))+I320</f>
        <v>0</v>
      </c>
      <c r="G320" s="258"/>
      <c r="H320" s="47">
        <f t="shared" si="74"/>
        <v>4</v>
      </c>
      <c r="I320" s="48">
        <f t="shared" si="70"/>
        <v>0</v>
      </c>
      <c r="J320" s="116">
        <f t="shared" si="71"/>
        <v>0</v>
      </c>
      <c r="K320" s="19">
        <f t="shared" si="72"/>
        <v>0</v>
      </c>
      <c r="L320" s="50"/>
      <c r="M320" s="13">
        <f>ROUND(予定価格!B308*査定表!$B$437,-$F$14)</f>
        <v>0</v>
      </c>
      <c r="N320">
        <f>IF(M320=0,1,M320/予定価格!B308)</f>
        <v>1</v>
      </c>
      <c r="O320">
        <f t="shared" si="75"/>
        <v>21</v>
      </c>
      <c r="P320">
        <f t="shared" si="76"/>
        <v>0</v>
      </c>
      <c r="Q320">
        <f>IF(M320=0,0,M320/予定価格!B308)</f>
        <v>0</v>
      </c>
      <c r="R320">
        <f t="shared" si="77"/>
        <v>21</v>
      </c>
      <c r="S320">
        <f t="shared" si="78"/>
        <v>0</v>
      </c>
      <c r="T320" s="13">
        <f t="shared" si="79"/>
        <v>0</v>
      </c>
      <c r="U320" s="13" t="e">
        <f>IF(予定価格!$G$427=0,ROUND(予定価格!H308*(入力表!$F$12/予定価格!$H$431),-$F$14),ROUND((予定価格!G308*(入力表!$F$12-予定価格!$H$431)/予定価格!$G$431)+予定価格!H308,-$F$14))</f>
        <v>#DIV/0!</v>
      </c>
      <c r="V320" t="e">
        <f>IF(U320=0,1,IF(予定価格!O308=0,1,(U320-予定価格!P308)/予定価格!O308))</f>
        <v>#DIV/0!</v>
      </c>
      <c r="W320" t="e">
        <f t="shared" si="80"/>
        <v>#DIV/0!</v>
      </c>
      <c r="X320" t="e">
        <f t="shared" si="81"/>
        <v>#DIV/0!</v>
      </c>
      <c r="Y320" t="e">
        <f>IF(U320=0,0,IF(予定価格!G308=0,0,(U320-予定価格!H308)/予定価格!G308))</f>
        <v>#DIV/0!</v>
      </c>
      <c r="Z320" t="e">
        <f t="shared" si="82"/>
        <v>#DIV/0!</v>
      </c>
      <c r="AA320" t="e">
        <f t="shared" si="83"/>
        <v>#DIV/0!</v>
      </c>
      <c r="AB320" s="13" t="e">
        <f t="shared" si="84"/>
        <v>#DIV/0!</v>
      </c>
    </row>
    <row r="321" spans="1:28" hidden="1" x14ac:dyDescent="0.15">
      <c r="A321">
        <f>+予定価格!A309</f>
        <v>0</v>
      </c>
      <c r="B321" s="258">
        <f>ROUND(予定価格!B309*査定表!$B$437,-D321)+E321</f>
        <v>0</v>
      </c>
      <c r="C321" s="258"/>
      <c r="D321" s="45">
        <f t="shared" si="73"/>
        <v>4</v>
      </c>
      <c r="E321" s="46">
        <f t="shared" si="69"/>
        <v>0</v>
      </c>
      <c r="F321" s="258">
        <f>IF($F$12=0,0,IF(予定価格!$G$427=0,ROUND(予定価格!H309*(入力表!$F$12/予定価格!$H$431),-H321),ROUND((予定価格!G309*(入力表!$F$12-予定価格!$H$431)/予定価格!$G$431)+予定価格!H309,-H321)))+I321</f>
        <v>0</v>
      </c>
      <c r="G321" s="258"/>
      <c r="H321" s="47">
        <f t="shared" si="74"/>
        <v>4</v>
      </c>
      <c r="I321" s="48">
        <f t="shared" si="70"/>
        <v>0</v>
      </c>
      <c r="J321" s="116">
        <f t="shared" si="71"/>
        <v>0</v>
      </c>
      <c r="K321" s="19">
        <f t="shared" si="72"/>
        <v>0</v>
      </c>
      <c r="L321" s="50"/>
      <c r="M321" s="13">
        <f>ROUND(予定価格!B309*査定表!$B$437,-$F$14)</f>
        <v>0</v>
      </c>
      <c r="N321">
        <f>IF(M321=0,1,M321/予定価格!B309)</f>
        <v>1</v>
      </c>
      <c r="O321">
        <f t="shared" si="75"/>
        <v>21</v>
      </c>
      <c r="P321">
        <f t="shared" si="76"/>
        <v>0</v>
      </c>
      <c r="Q321">
        <f>IF(M321=0,0,M321/予定価格!B309)</f>
        <v>0</v>
      </c>
      <c r="R321">
        <f t="shared" si="77"/>
        <v>21</v>
      </c>
      <c r="S321">
        <f t="shared" si="78"/>
        <v>0</v>
      </c>
      <c r="T321" s="13">
        <f t="shared" si="79"/>
        <v>0</v>
      </c>
      <c r="U321" s="13" t="e">
        <f>IF(予定価格!$G$427=0,ROUND(予定価格!H309*(入力表!$F$12/予定価格!$H$431),-$F$14),ROUND((予定価格!G309*(入力表!$F$12-予定価格!$H$431)/予定価格!$G$431)+予定価格!H309,-$F$14))</f>
        <v>#DIV/0!</v>
      </c>
      <c r="V321" t="e">
        <f>IF(U321=0,1,IF(予定価格!O309=0,1,(U321-予定価格!P309)/予定価格!O309))</f>
        <v>#DIV/0!</v>
      </c>
      <c r="W321" t="e">
        <f t="shared" si="80"/>
        <v>#DIV/0!</v>
      </c>
      <c r="X321" t="e">
        <f t="shared" si="81"/>
        <v>#DIV/0!</v>
      </c>
      <c r="Y321" t="e">
        <f>IF(U321=0,0,IF(予定価格!G309=0,0,(U321-予定価格!H309)/予定価格!G309))</f>
        <v>#DIV/0!</v>
      </c>
      <c r="Z321" t="e">
        <f t="shared" si="82"/>
        <v>#DIV/0!</v>
      </c>
      <c r="AA321" t="e">
        <f t="shared" si="83"/>
        <v>#DIV/0!</v>
      </c>
      <c r="AB321" s="13" t="e">
        <f t="shared" si="84"/>
        <v>#DIV/0!</v>
      </c>
    </row>
    <row r="322" spans="1:28" hidden="1" x14ac:dyDescent="0.15">
      <c r="A322">
        <f>+予定価格!A310</f>
        <v>0</v>
      </c>
      <c r="B322" s="258">
        <f>ROUND(予定価格!B310*査定表!$B$437,-D322)+E322</f>
        <v>0</v>
      </c>
      <c r="C322" s="258"/>
      <c r="D322" s="45">
        <f t="shared" si="73"/>
        <v>4</v>
      </c>
      <c r="E322" s="46">
        <f t="shared" si="69"/>
        <v>0</v>
      </c>
      <c r="F322" s="258">
        <f>IF($F$12=0,0,IF(予定価格!$G$427=0,ROUND(予定価格!H310*(入力表!$F$12/予定価格!$H$431),-H322),ROUND((予定価格!G310*(入力表!$F$12-予定価格!$H$431)/予定価格!$G$431)+予定価格!H310,-H322)))+I322</f>
        <v>0</v>
      </c>
      <c r="G322" s="258"/>
      <c r="H322" s="47">
        <f t="shared" si="74"/>
        <v>4</v>
      </c>
      <c r="I322" s="48">
        <f t="shared" si="70"/>
        <v>0</v>
      </c>
      <c r="J322" s="116">
        <f t="shared" si="71"/>
        <v>0</v>
      </c>
      <c r="K322" s="19">
        <f t="shared" si="72"/>
        <v>0</v>
      </c>
      <c r="L322" s="50"/>
      <c r="M322" s="13">
        <f>ROUND(予定価格!B310*査定表!$B$437,-$F$14)</f>
        <v>0</v>
      </c>
      <c r="N322">
        <f>IF(M322=0,1,M322/予定価格!B310)</f>
        <v>1</v>
      </c>
      <c r="O322">
        <f t="shared" si="75"/>
        <v>21</v>
      </c>
      <c r="P322">
        <f t="shared" si="76"/>
        <v>0</v>
      </c>
      <c r="Q322">
        <f>IF(M322=0,0,M322/予定価格!B310)</f>
        <v>0</v>
      </c>
      <c r="R322">
        <f t="shared" si="77"/>
        <v>21</v>
      </c>
      <c r="S322">
        <f t="shared" si="78"/>
        <v>0</v>
      </c>
      <c r="T322" s="13">
        <f t="shared" si="79"/>
        <v>0</v>
      </c>
      <c r="U322" s="13" t="e">
        <f>IF(予定価格!$G$427=0,ROUND(予定価格!H310*(入力表!$F$12/予定価格!$H$431),-$F$14),ROUND((予定価格!G310*(入力表!$F$12-予定価格!$H$431)/予定価格!$G$431)+予定価格!H310,-$F$14))</f>
        <v>#DIV/0!</v>
      </c>
      <c r="V322" t="e">
        <f>IF(U322=0,1,IF(予定価格!O310=0,1,(U322-予定価格!P310)/予定価格!O310))</f>
        <v>#DIV/0!</v>
      </c>
      <c r="W322" t="e">
        <f t="shared" si="80"/>
        <v>#DIV/0!</v>
      </c>
      <c r="X322" t="e">
        <f t="shared" si="81"/>
        <v>#DIV/0!</v>
      </c>
      <c r="Y322" t="e">
        <f>IF(U322=0,0,IF(予定価格!G310=0,0,(U322-予定価格!H310)/予定価格!G310))</f>
        <v>#DIV/0!</v>
      </c>
      <c r="Z322" t="e">
        <f t="shared" si="82"/>
        <v>#DIV/0!</v>
      </c>
      <c r="AA322" t="e">
        <f t="shared" si="83"/>
        <v>#DIV/0!</v>
      </c>
      <c r="AB322" s="13" t="e">
        <f t="shared" si="84"/>
        <v>#DIV/0!</v>
      </c>
    </row>
    <row r="323" spans="1:28" hidden="1" x14ac:dyDescent="0.15">
      <c r="A323">
        <f>+予定価格!A311</f>
        <v>0</v>
      </c>
      <c r="B323" s="258">
        <f>ROUND(予定価格!B311*査定表!$B$437,-D323)+E323</f>
        <v>0</v>
      </c>
      <c r="C323" s="258"/>
      <c r="D323" s="45">
        <f t="shared" si="73"/>
        <v>4</v>
      </c>
      <c r="E323" s="46">
        <f t="shared" si="69"/>
        <v>0</v>
      </c>
      <c r="F323" s="258">
        <f>IF($F$12=0,0,IF(予定価格!$G$427=0,ROUND(予定価格!H311*(入力表!$F$12/予定価格!$H$431),-H323),ROUND((予定価格!G311*(入力表!$F$12-予定価格!$H$431)/予定価格!$G$431)+予定価格!H311,-H323)))+I323</f>
        <v>0</v>
      </c>
      <c r="G323" s="258"/>
      <c r="H323" s="47">
        <f t="shared" si="74"/>
        <v>4</v>
      </c>
      <c r="I323" s="48">
        <f t="shared" si="70"/>
        <v>0</v>
      </c>
      <c r="J323" s="116">
        <f t="shared" si="71"/>
        <v>0</v>
      </c>
      <c r="K323" s="19">
        <f t="shared" si="72"/>
        <v>0</v>
      </c>
      <c r="L323" s="50"/>
      <c r="M323" s="13">
        <f>ROUND(予定価格!B311*査定表!$B$437,-$F$14)</f>
        <v>0</v>
      </c>
      <c r="N323">
        <f>IF(M323=0,1,M323/予定価格!B311)</f>
        <v>1</v>
      </c>
      <c r="O323">
        <f t="shared" si="75"/>
        <v>21</v>
      </c>
      <c r="P323">
        <f t="shared" si="76"/>
        <v>0</v>
      </c>
      <c r="Q323">
        <f>IF(M323=0,0,M323/予定価格!B311)</f>
        <v>0</v>
      </c>
      <c r="R323">
        <f t="shared" si="77"/>
        <v>21</v>
      </c>
      <c r="S323">
        <f t="shared" si="78"/>
        <v>0</v>
      </c>
      <c r="T323" s="13">
        <f t="shared" si="79"/>
        <v>0</v>
      </c>
      <c r="U323" s="13" t="e">
        <f>IF(予定価格!$G$427=0,ROUND(予定価格!H311*(入力表!$F$12/予定価格!$H$431),-$F$14),ROUND((予定価格!G311*(入力表!$F$12-予定価格!$H$431)/予定価格!$G$431)+予定価格!H311,-$F$14))</f>
        <v>#DIV/0!</v>
      </c>
      <c r="V323" t="e">
        <f>IF(U323=0,1,IF(予定価格!O311=0,1,(U323-予定価格!P311)/予定価格!O311))</f>
        <v>#DIV/0!</v>
      </c>
      <c r="W323" t="e">
        <f t="shared" si="80"/>
        <v>#DIV/0!</v>
      </c>
      <c r="X323" t="e">
        <f t="shared" si="81"/>
        <v>#DIV/0!</v>
      </c>
      <c r="Y323" t="e">
        <f>IF(U323=0,0,IF(予定価格!G311=0,0,(U323-予定価格!H311)/予定価格!G311))</f>
        <v>#DIV/0!</v>
      </c>
      <c r="Z323" t="e">
        <f t="shared" si="82"/>
        <v>#DIV/0!</v>
      </c>
      <c r="AA323" t="e">
        <f t="shared" si="83"/>
        <v>#DIV/0!</v>
      </c>
      <c r="AB323" s="13" t="e">
        <f t="shared" si="84"/>
        <v>#DIV/0!</v>
      </c>
    </row>
    <row r="324" spans="1:28" hidden="1" x14ac:dyDescent="0.15">
      <c r="A324">
        <f>+予定価格!A312</f>
        <v>0</v>
      </c>
      <c r="B324" s="258">
        <f>ROUND(予定価格!B312*査定表!$B$437,-D324)+E324</f>
        <v>0</v>
      </c>
      <c r="C324" s="258"/>
      <c r="D324" s="45">
        <f t="shared" si="73"/>
        <v>4</v>
      </c>
      <c r="E324" s="46">
        <f t="shared" si="69"/>
        <v>0</v>
      </c>
      <c r="F324" s="258">
        <f>IF($F$12=0,0,IF(予定価格!$G$427=0,ROUND(予定価格!H312*(入力表!$F$12/予定価格!$H$431),-H324),ROUND((予定価格!G312*(入力表!$F$12-予定価格!$H$431)/予定価格!$G$431)+予定価格!H312,-H324)))+I324</f>
        <v>0</v>
      </c>
      <c r="G324" s="258"/>
      <c r="H324" s="47">
        <f t="shared" si="74"/>
        <v>4</v>
      </c>
      <c r="I324" s="48">
        <f t="shared" si="70"/>
        <v>0</v>
      </c>
      <c r="J324" s="116">
        <f t="shared" si="71"/>
        <v>0</v>
      </c>
      <c r="K324" s="19">
        <f t="shared" si="72"/>
        <v>0</v>
      </c>
      <c r="L324" s="50"/>
      <c r="M324" s="13">
        <f>ROUND(予定価格!B312*査定表!$B$437,-$F$14)</f>
        <v>0</v>
      </c>
      <c r="N324">
        <f>IF(M324=0,1,M324/予定価格!B312)</f>
        <v>1</v>
      </c>
      <c r="O324">
        <f t="shared" si="75"/>
        <v>21</v>
      </c>
      <c r="P324">
        <f t="shared" si="76"/>
        <v>0</v>
      </c>
      <c r="Q324">
        <f>IF(M324=0,0,M324/予定価格!B312)</f>
        <v>0</v>
      </c>
      <c r="R324">
        <f t="shared" si="77"/>
        <v>21</v>
      </c>
      <c r="S324">
        <f t="shared" si="78"/>
        <v>0</v>
      </c>
      <c r="T324" s="13">
        <f t="shared" si="79"/>
        <v>0</v>
      </c>
      <c r="U324" s="13" t="e">
        <f>IF(予定価格!$G$427=0,ROUND(予定価格!H312*(入力表!$F$12/予定価格!$H$431),-$F$14),ROUND((予定価格!G312*(入力表!$F$12-予定価格!$H$431)/予定価格!$G$431)+予定価格!H312,-$F$14))</f>
        <v>#DIV/0!</v>
      </c>
      <c r="V324" t="e">
        <f>IF(U324=0,1,IF(予定価格!O312=0,1,(U324-予定価格!P312)/予定価格!O312))</f>
        <v>#DIV/0!</v>
      </c>
      <c r="W324" t="e">
        <f t="shared" si="80"/>
        <v>#DIV/0!</v>
      </c>
      <c r="X324" t="e">
        <f t="shared" si="81"/>
        <v>#DIV/0!</v>
      </c>
      <c r="Y324" t="e">
        <f>IF(U324=0,0,IF(予定価格!G312=0,0,(U324-予定価格!H312)/予定価格!G312))</f>
        <v>#DIV/0!</v>
      </c>
      <c r="Z324" t="e">
        <f t="shared" si="82"/>
        <v>#DIV/0!</v>
      </c>
      <c r="AA324" t="e">
        <f t="shared" si="83"/>
        <v>#DIV/0!</v>
      </c>
      <c r="AB324" s="13" t="e">
        <f t="shared" si="84"/>
        <v>#DIV/0!</v>
      </c>
    </row>
    <row r="325" spans="1:28" hidden="1" x14ac:dyDescent="0.15">
      <c r="A325">
        <f>+予定価格!A313</f>
        <v>0</v>
      </c>
      <c r="B325" s="258">
        <f>ROUND(予定価格!B313*査定表!$B$437,-D325)+E325</f>
        <v>0</v>
      </c>
      <c r="C325" s="258"/>
      <c r="D325" s="45">
        <f t="shared" si="73"/>
        <v>4</v>
      </c>
      <c r="E325" s="46">
        <f t="shared" si="69"/>
        <v>0</v>
      </c>
      <c r="F325" s="258">
        <f>IF($F$12=0,0,IF(予定価格!$G$427=0,ROUND(予定価格!H313*(入力表!$F$12/予定価格!$H$431),-H325),ROUND((予定価格!G313*(入力表!$F$12-予定価格!$H$431)/予定価格!$G$431)+予定価格!H313,-H325)))+I325</f>
        <v>0</v>
      </c>
      <c r="G325" s="258"/>
      <c r="H325" s="47">
        <f t="shared" si="74"/>
        <v>4</v>
      </c>
      <c r="I325" s="48">
        <f t="shared" si="70"/>
        <v>0</v>
      </c>
      <c r="J325" s="116">
        <f t="shared" si="71"/>
        <v>0</v>
      </c>
      <c r="K325" s="19">
        <f t="shared" si="72"/>
        <v>0</v>
      </c>
      <c r="L325" s="50"/>
      <c r="M325" s="13">
        <f>ROUND(予定価格!B313*査定表!$B$437,-$F$14)</f>
        <v>0</v>
      </c>
      <c r="N325">
        <f>IF(M325=0,1,M325/予定価格!B313)</f>
        <v>1</v>
      </c>
      <c r="O325">
        <f t="shared" si="75"/>
        <v>21</v>
      </c>
      <c r="P325">
        <f t="shared" si="76"/>
        <v>0</v>
      </c>
      <c r="Q325">
        <f>IF(M325=0,0,M325/予定価格!B313)</f>
        <v>0</v>
      </c>
      <c r="R325">
        <f t="shared" si="77"/>
        <v>21</v>
      </c>
      <c r="S325">
        <f t="shared" si="78"/>
        <v>0</v>
      </c>
      <c r="T325" s="13">
        <f t="shared" si="79"/>
        <v>0</v>
      </c>
      <c r="U325" s="13" t="e">
        <f>IF(予定価格!$G$427=0,ROUND(予定価格!H313*(入力表!$F$12/予定価格!$H$431),-$F$14),ROUND((予定価格!G313*(入力表!$F$12-予定価格!$H$431)/予定価格!$G$431)+予定価格!H313,-$F$14))</f>
        <v>#DIV/0!</v>
      </c>
      <c r="V325" t="e">
        <f>IF(U325=0,1,IF(予定価格!O313=0,1,(U325-予定価格!P313)/予定価格!O313))</f>
        <v>#DIV/0!</v>
      </c>
      <c r="W325" t="e">
        <f t="shared" si="80"/>
        <v>#DIV/0!</v>
      </c>
      <c r="X325" t="e">
        <f t="shared" si="81"/>
        <v>#DIV/0!</v>
      </c>
      <c r="Y325" t="e">
        <f>IF(U325=0,0,IF(予定価格!G313=0,0,(U325-予定価格!H313)/予定価格!G313))</f>
        <v>#DIV/0!</v>
      </c>
      <c r="Z325" t="e">
        <f t="shared" si="82"/>
        <v>#DIV/0!</v>
      </c>
      <c r="AA325" t="e">
        <f t="shared" si="83"/>
        <v>#DIV/0!</v>
      </c>
      <c r="AB325" s="13" t="e">
        <f t="shared" si="84"/>
        <v>#DIV/0!</v>
      </c>
    </row>
    <row r="326" spans="1:28" hidden="1" x14ac:dyDescent="0.15">
      <c r="A326">
        <f>+予定価格!A314</f>
        <v>0</v>
      </c>
      <c r="B326" s="258">
        <f>ROUND(予定価格!B314*査定表!$B$437,-D326)+E326</f>
        <v>0</v>
      </c>
      <c r="C326" s="258"/>
      <c r="D326" s="45">
        <f t="shared" si="73"/>
        <v>4</v>
      </c>
      <c r="E326" s="46">
        <f t="shared" si="69"/>
        <v>0</v>
      </c>
      <c r="F326" s="258">
        <f>IF($F$12=0,0,IF(予定価格!$G$427=0,ROUND(予定価格!H314*(入力表!$F$12/予定価格!$H$431),-H326),ROUND((予定価格!G314*(入力表!$F$12-予定価格!$H$431)/予定価格!$G$431)+予定価格!H314,-H326)))+I326</f>
        <v>0</v>
      </c>
      <c r="G326" s="258"/>
      <c r="H326" s="47">
        <f t="shared" si="74"/>
        <v>4</v>
      </c>
      <c r="I326" s="48">
        <f t="shared" si="70"/>
        <v>0</v>
      </c>
      <c r="J326" s="116">
        <f t="shared" si="71"/>
        <v>0</v>
      </c>
      <c r="K326" s="19">
        <f t="shared" si="72"/>
        <v>0</v>
      </c>
      <c r="L326" s="50"/>
      <c r="M326" s="13">
        <f>ROUND(予定価格!B314*査定表!$B$437,-$F$14)</f>
        <v>0</v>
      </c>
      <c r="N326">
        <f>IF(M326=0,1,M326/予定価格!B314)</f>
        <v>1</v>
      </c>
      <c r="O326">
        <f t="shared" si="75"/>
        <v>21</v>
      </c>
      <c r="P326">
        <f t="shared" si="76"/>
        <v>0</v>
      </c>
      <c r="Q326">
        <f>IF(M326=0,0,M326/予定価格!B314)</f>
        <v>0</v>
      </c>
      <c r="R326">
        <f t="shared" si="77"/>
        <v>21</v>
      </c>
      <c r="S326">
        <f t="shared" si="78"/>
        <v>0</v>
      </c>
      <c r="T326" s="13">
        <f t="shared" si="79"/>
        <v>0</v>
      </c>
      <c r="U326" s="13" t="e">
        <f>IF(予定価格!$G$427=0,ROUND(予定価格!H314*(入力表!$F$12/予定価格!$H$431),-$F$14),ROUND((予定価格!G314*(入力表!$F$12-予定価格!$H$431)/予定価格!$G$431)+予定価格!H314,-$F$14))</f>
        <v>#DIV/0!</v>
      </c>
      <c r="V326" t="e">
        <f>IF(U326=0,1,IF(予定価格!O314=0,1,(U326-予定価格!P314)/予定価格!O314))</f>
        <v>#DIV/0!</v>
      </c>
      <c r="W326" t="e">
        <f t="shared" si="80"/>
        <v>#DIV/0!</v>
      </c>
      <c r="X326" t="e">
        <f t="shared" si="81"/>
        <v>#DIV/0!</v>
      </c>
      <c r="Y326" t="e">
        <f>IF(U326=0,0,IF(予定価格!G314=0,0,(U326-予定価格!H314)/予定価格!G314))</f>
        <v>#DIV/0!</v>
      </c>
      <c r="Z326" t="e">
        <f t="shared" si="82"/>
        <v>#DIV/0!</v>
      </c>
      <c r="AA326" t="e">
        <f t="shared" si="83"/>
        <v>#DIV/0!</v>
      </c>
      <c r="AB326" s="13" t="e">
        <f t="shared" si="84"/>
        <v>#DIV/0!</v>
      </c>
    </row>
    <row r="327" spans="1:28" hidden="1" x14ac:dyDescent="0.15">
      <c r="A327">
        <f>+予定価格!A315</f>
        <v>0</v>
      </c>
      <c r="B327" s="258">
        <f>ROUND(予定価格!B315*査定表!$B$437,-D327)+E327</f>
        <v>0</v>
      </c>
      <c r="C327" s="258"/>
      <c r="D327" s="45">
        <f t="shared" si="73"/>
        <v>4</v>
      </c>
      <c r="E327" s="46">
        <f t="shared" si="69"/>
        <v>0</v>
      </c>
      <c r="F327" s="258">
        <f>IF($F$12=0,0,IF(予定価格!$G$427=0,ROUND(予定価格!H315*(入力表!$F$12/予定価格!$H$431),-H327),ROUND((予定価格!G315*(入力表!$F$12-予定価格!$H$431)/予定価格!$G$431)+予定価格!H315,-H327)))+I327</f>
        <v>0</v>
      </c>
      <c r="G327" s="258"/>
      <c r="H327" s="47">
        <f t="shared" si="74"/>
        <v>4</v>
      </c>
      <c r="I327" s="48">
        <f t="shared" si="70"/>
        <v>0</v>
      </c>
      <c r="J327" s="116">
        <f t="shared" si="71"/>
        <v>0</v>
      </c>
      <c r="K327" s="19">
        <f t="shared" si="72"/>
        <v>0</v>
      </c>
      <c r="L327" s="50"/>
      <c r="M327" s="13">
        <f>ROUND(予定価格!B315*査定表!$B$437,-$F$14)</f>
        <v>0</v>
      </c>
      <c r="N327">
        <f>IF(M327=0,1,M327/予定価格!B315)</f>
        <v>1</v>
      </c>
      <c r="O327">
        <f t="shared" si="75"/>
        <v>21</v>
      </c>
      <c r="P327">
        <f t="shared" si="76"/>
        <v>0</v>
      </c>
      <c r="Q327">
        <f>IF(M327=0,0,M327/予定価格!B315)</f>
        <v>0</v>
      </c>
      <c r="R327">
        <f t="shared" si="77"/>
        <v>21</v>
      </c>
      <c r="S327">
        <f t="shared" si="78"/>
        <v>0</v>
      </c>
      <c r="T327" s="13">
        <f t="shared" si="79"/>
        <v>0</v>
      </c>
      <c r="U327" s="13" t="e">
        <f>IF(予定価格!$G$427=0,ROUND(予定価格!H315*(入力表!$F$12/予定価格!$H$431),-$F$14),ROUND((予定価格!G315*(入力表!$F$12-予定価格!$H$431)/予定価格!$G$431)+予定価格!H315,-$F$14))</f>
        <v>#DIV/0!</v>
      </c>
      <c r="V327" t="e">
        <f>IF(U327=0,1,IF(予定価格!O315=0,1,(U327-予定価格!P315)/予定価格!O315))</f>
        <v>#DIV/0!</v>
      </c>
      <c r="W327" t="e">
        <f t="shared" si="80"/>
        <v>#DIV/0!</v>
      </c>
      <c r="X327" t="e">
        <f t="shared" si="81"/>
        <v>#DIV/0!</v>
      </c>
      <c r="Y327" t="e">
        <f>IF(U327=0,0,IF(予定価格!G315=0,0,(U327-予定価格!H315)/予定価格!G315))</f>
        <v>#DIV/0!</v>
      </c>
      <c r="Z327" t="e">
        <f t="shared" si="82"/>
        <v>#DIV/0!</v>
      </c>
      <c r="AA327" t="e">
        <f t="shared" si="83"/>
        <v>#DIV/0!</v>
      </c>
      <c r="AB327" s="13" t="e">
        <f t="shared" si="84"/>
        <v>#DIV/0!</v>
      </c>
    </row>
    <row r="328" spans="1:28" hidden="1" x14ac:dyDescent="0.15">
      <c r="A328">
        <f>+予定価格!A316</f>
        <v>0</v>
      </c>
      <c r="B328" s="258">
        <f>ROUND(予定価格!B316*査定表!$B$437,-D328)+E328</f>
        <v>0</v>
      </c>
      <c r="C328" s="258"/>
      <c r="D328" s="45">
        <f t="shared" si="73"/>
        <v>4</v>
      </c>
      <c r="E328" s="46">
        <f t="shared" si="69"/>
        <v>0</v>
      </c>
      <c r="F328" s="258">
        <f>IF($F$12=0,0,IF(予定価格!$G$427=0,ROUND(予定価格!H316*(入力表!$F$12/予定価格!$H$431),-H328),ROUND((予定価格!G316*(入力表!$F$12-予定価格!$H$431)/予定価格!$G$431)+予定価格!H316,-H328)))+I328</f>
        <v>0</v>
      </c>
      <c r="G328" s="258"/>
      <c r="H328" s="47">
        <f t="shared" si="74"/>
        <v>4</v>
      </c>
      <c r="I328" s="48">
        <f t="shared" si="70"/>
        <v>0</v>
      </c>
      <c r="J328" s="116">
        <f t="shared" si="71"/>
        <v>0</v>
      </c>
      <c r="K328" s="19">
        <f t="shared" si="72"/>
        <v>0</v>
      </c>
      <c r="L328" s="50"/>
      <c r="M328" s="13">
        <f>ROUND(予定価格!B316*査定表!$B$437,-$F$14)</f>
        <v>0</v>
      </c>
      <c r="N328">
        <f>IF(M328=0,1,M328/予定価格!B316)</f>
        <v>1</v>
      </c>
      <c r="O328">
        <f t="shared" si="75"/>
        <v>21</v>
      </c>
      <c r="P328">
        <f t="shared" si="76"/>
        <v>0</v>
      </c>
      <c r="Q328">
        <f>IF(M328=0,0,M328/予定価格!B316)</f>
        <v>0</v>
      </c>
      <c r="R328">
        <f t="shared" si="77"/>
        <v>21</v>
      </c>
      <c r="S328">
        <f t="shared" si="78"/>
        <v>0</v>
      </c>
      <c r="T328" s="13">
        <f t="shared" si="79"/>
        <v>0</v>
      </c>
      <c r="U328" s="13" t="e">
        <f>IF(予定価格!$G$427=0,ROUND(予定価格!H316*(入力表!$F$12/予定価格!$H$431),-$F$14),ROUND((予定価格!G316*(入力表!$F$12-予定価格!$H$431)/予定価格!$G$431)+予定価格!H316,-$F$14))</f>
        <v>#DIV/0!</v>
      </c>
      <c r="V328" t="e">
        <f>IF(U328=0,1,IF(予定価格!O316=0,1,(U328-予定価格!P316)/予定価格!O316))</f>
        <v>#DIV/0!</v>
      </c>
      <c r="W328" t="e">
        <f t="shared" si="80"/>
        <v>#DIV/0!</v>
      </c>
      <c r="X328" t="e">
        <f t="shared" si="81"/>
        <v>#DIV/0!</v>
      </c>
      <c r="Y328" t="e">
        <f>IF(U328=0,0,IF(予定価格!G316=0,0,(U328-予定価格!H316)/予定価格!G316))</f>
        <v>#DIV/0!</v>
      </c>
      <c r="Z328" t="e">
        <f t="shared" si="82"/>
        <v>#DIV/0!</v>
      </c>
      <c r="AA328" t="e">
        <f t="shared" si="83"/>
        <v>#DIV/0!</v>
      </c>
      <c r="AB328" s="13" t="e">
        <f t="shared" si="84"/>
        <v>#DIV/0!</v>
      </c>
    </row>
    <row r="329" spans="1:28" hidden="1" x14ac:dyDescent="0.15">
      <c r="A329">
        <f>+予定価格!A317</f>
        <v>0</v>
      </c>
      <c r="B329" s="258">
        <f>ROUND(予定価格!B317*査定表!$B$437,-D329)+E329</f>
        <v>0</v>
      </c>
      <c r="C329" s="258"/>
      <c r="D329" s="45">
        <f t="shared" si="73"/>
        <v>4</v>
      </c>
      <c r="E329" s="46">
        <f t="shared" si="69"/>
        <v>0</v>
      </c>
      <c r="F329" s="258">
        <f>IF($F$12=0,0,IF(予定価格!$G$427=0,ROUND(予定価格!H317*(入力表!$F$12/予定価格!$H$431),-H329),ROUND((予定価格!G317*(入力表!$F$12-予定価格!$H$431)/予定価格!$G$431)+予定価格!H317,-H329)))+I329</f>
        <v>0</v>
      </c>
      <c r="G329" s="258"/>
      <c r="H329" s="47">
        <f t="shared" si="74"/>
        <v>4</v>
      </c>
      <c r="I329" s="48">
        <f t="shared" si="70"/>
        <v>0</v>
      </c>
      <c r="J329" s="116">
        <f t="shared" si="71"/>
        <v>0</v>
      </c>
      <c r="K329" s="19">
        <f t="shared" si="72"/>
        <v>0</v>
      </c>
      <c r="L329" s="50"/>
      <c r="M329" s="13">
        <f>ROUND(予定価格!B317*査定表!$B$437,-$F$14)</f>
        <v>0</v>
      </c>
      <c r="N329">
        <f>IF(M329=0,1,M329/予定価格!B317)</f>
        <v>1</v>
      </c>
      <c r="O329">
        <f t="shared" si="75"/>
        <v>21</v>
      </c>
      <c r="P329">
        <f t="shared" si="76"/>
        <v>0</v>
      </c>
      <c r="Q329">
        <f>IF(M329=0,0,M329/予定価格!B317)</f>
        <v>0</v>
      </c>
      <c r="R329">
        <f t="shared" si="77"/>
        <v>21</v>
      </c>
      <c r="S329">
        <f t="shared" si="78"/>
        <v>0</v>
      </c>
      <c r="T329" s="13">
        <f t="shared" si="79"/>
        <v>0</v>
      </c>
      <c r="U329" s="13" t="e">
        <f>IF(予定価格!$G$427=0,ROUND(予定価格!H317*(入力表!$F$12/予定価格!$H$431),-$F$14),ROUND((予定価格!G317*(入力表!$F$12-予定価格!$H$431)/予定価格!$G$431)+予定価格!H317,-$F$14))</f>
        <v>#DIV/0!</v>
      </c>
      <c r="V329" t="e">
        <f>IF(U329=0,1,IF(予定価格!O317=0,1,(U329-予定価格!P317)/予定価格!O317))</f>
        <v>#DIV/0!</v>
      </c>
      <c r="W329" t="e">
        <f t="shared" si="80"/>
        <v>#DIV/0!</v>
      </c>
      <c r="X329" t="e">
        <f t="shared" si="81"/>
        <v>#DIV/0!</v>
      </c>
      <c r="Y329" t="e">
        <f>IF(U329=0,0,IF(予定価格!G317=0,0,(U329-予定価格!H317)/予定価格!G317))</f>
        <v>#DIV/0!</v>
      </c>
      <c r="Z329" t="e">
        <f t="shared" si="82"/>
        <v>#DIV/0!</v>
      </c>
      <c r="AA329" t="e">
        <f t="shared" si="83"/>
        <v>#DIV/0!</v>
      </c>
      <c r="AB329" s="13" t="e">
        <f t="shared" si="84"/>
        <v>#DIV/0!</v>
      </c>
    </row>
    <row r="330" spans="1:28" hidden="1" x14ac:dyDescent="0.15">
      <c r="A330">
        <f>+予定価格!A318</f>
        <v>0</v>
      </c>
      <c r="B330" s="258">
        <f>ROUND(予定価格!B318*査定表!$B$437,-D330)+E330</f>
        <v>0</v>
      </c>
      <c r="C330" s="258"/>
      <c r="D330" s="45">
        <f t="shared" si="73"/>
        <v>4</v>
      </c>
      <c r="E330" s="46">
        <f t="shared" si="69"/>
        <v>0</v>
      </c>
      <c r="F330" s="258">
        <f>IF($F$12=0,0,IF(予定価格!$G$427=0,ROUND(予定価格!H318*(入力表!$F$12/予定価格!$H$431),-H330),ROUND((予定価格!G318*(入力表!$F$12-予定価格!$H$431)/予定価格!$G$431)+予定価格!H318,-H330)))+I330</f>
        <v>0</v>
      </c>
      <c r="G330" s="258"/>
      <c r="H330" s="47">
        <f t="shared" si="74"/>
        <v>4</v>
      </c>
      <c r="I330" s="48">
        <f t="shared" si="70"/>
        <v>0</v>
      </c>
      <c r="J330" s="116">
        <f t="shared" si="71"/>
        <v>0</v>
      </c>
      <c r="K330" s="19">
        <f t="shared" si="72"/>
        <v>0</v>
      </c>
      <c r="L330" s="50"/>
      <c r="M330" s="13">
        <f>ROUND(予定価格!B318*査定表!$B$437,-$F$14)</f>
        <v>0</v>
      </c>
      <c r="N330">
        <f>IF(M330=0,1,M330/予定価格!B318)</f>
        <v>1</v>
      </c>
      <c r="O330">
        <f t="shared" si="75"/>
        <v>21</v>
      </c>
      <c r="P330">
        <f t="shared" si="76"/>
        <v>0</v>
      </c>
      <c r="Q330">
        <f>IF(M330=0,0,M330/予定価格!B318)</f>
        <v>0</v>
      </c>
      <c r="R330">
        <f t="shared" si="77"/>
        <v>21</v>
      </c>
      <c r="S330">
        <f t="shared" si="78"/>
        <v>0</v>
      </c>
      <c r="T330" s="13">
        <f t="shared" si="79"/>
        <v>0</v>
      </c>
      <c r="U330" s="13" t="e">
        <f>IF(予定価格!$G$427=0,ROUND(予定価格!H318*(入力表!$F$12/予定価格!$H$431),-$F$14),ROUND((予定価格!G318*(入力表!$F$12-予定価格!$H$431)/予定価格!$G$431)+予定価格!H318,-$F$14))</f>
        <v>#DIV/0!</v>
      </c>
      <c r="V330" t="e">
        <f>IF(U330=0,1,IF(予定価格!O318=0,1,(U330-予定価格!P318)/予定価格!O318))</f>
        <v>#DIV/0!</v>
      </c>
      <c r="W330" t="e">
        <f t="shared" si="80"/>
        <v>#DIV/0!</v>
      </c>
      <c r="X330" t="e">
        <f t="shared" si="81"/>
        <v>#DIV/0!</v>
      </c>
      <c r="Y330" t="e">
        <f>IF(U330=0,0,IF(予定価格!G318=0,0,(U330-予定価格!H318)/予定価格!G318))</f>
        <v>#DIV/0!</v>
      </c>
      <c r="Z330" t="e">
        <f t="shared" si="82"/>
        <v>#DIV/0!</v>
      </c>
      <c r="AA330" t="e">
        <f t="shared" si="83"/>
        <v>#DIV/0!</v>
      </c>
      <c r="AB330" s="13" t="e">
        <f t="shared" si="84"/>
        <v>#DIV/0!</v>
      </c>
    </row>
    <row r="331" spans="1:28" hidden="1" x14ac:dyDescent="0.15">
      <c r="A331">
        <f>+予定価格!A319</f>
        <v>0</v>
      </c>
      <c r="B331" s="258">
        <f>ROUND(予定価格!B319*査定表!$B$437,-D331)+E331</f>
        <v>0</v>
      </c>
      <c r="C331" s="258"/>
      <c r="D331" s="45">
        <f t="shared" si="73"/>
        <v>4</v>
      </c>
      <c r="E331" s="46">
        <f t="shared" si="69"/>
        <v>0</v>
      </c>
      <c r="F331" s="258">
        <f>IF($F$12=0,0,IF(予定価格!$G$427=0,ROUND(予定価格!H319*(入力表!$F$12/予定価格!$H$431),-H331),ROUND((予定価格!G319*(入力表!$F$12-予定価格!$H$431)/予定価格!$G$431)+予定価格!H319,-H331)))+I331</f>
        <v>0</v>
      </c>
      <c r="G331" s="258"/>
      <c r="H331" s="47">
        <f t="shared" si="74"/>
        <v>4</v>
      </c>
      <c r="I331" s="48">
        <f t="shared" si="70"/>
        <v>0</v>
      </c>
      <c r="J331" s="116">
        <f t="shared" si="71"/>
        <v>0</v>
      </c>
      <c r="K331" s="19">
        <f t="shared" si="72"/>
        <v>0</v>
      </c>
      <c r="L331" s="50"/>
      <c r="M331" s="13">
        <f>ROUND(予定価格!B319*査定表!$B$437,-$F$14)</f>
        <v>0</v>
      </c>
      <c r="N331">
        <f>IF(M331=0,1,M331/予定価格!B319)</f>
        <v>1</v>
      </c>
      <c r="O331">
        <f t="shared" si="75"/>
        <v>21</v>
      </c>
      <c r="P331">
        <f t="shared" si="76"/>
        <v>0</v>
      </c>
      <c r="Q331">
        <f>IF(M331=0,0,M331/予定価格!B319)</f>
        <v>0</v>
      </c>
      <c r="R331">
        <f t="shared" si="77"/>
        <v>21</v>
      </c>
      <c r="S331">
        <f t="shared" si="78"/>
        <v>0</v>
      </c>
      <c r="T331" s="13">
        <f t="shared" si="79"/>
        <v>0</v>
      </c>
      <c r="U331" s="13" t="e">
        <f>IF(予定価格!$G$427=0,ROUND(予定価格!H319*(入力表!$F$12/予定価格!$H$431),-$F$14),ROUND((予定価格!G319*(入力表!$F$12-予定価格!$H$431)/予定価格!$G$431)+予定価格!H319,-$F$14))</f>
        <v>#DIV/0!</v>
      </c>
      <c r="V331" t="e">
        <f>IF(U331=0,1,IF(予定価格!O319=0,1,(U331-予定価格!P319)/予定価格!O319))</f>
        <v>#DIV/0!</v>
      </c>
      <c r="W331" t="e">
        <f t="shared" si="80"/>
        <v>#DIV/0!</v>
      </c>
      <c r="X331" t="e">
        <f t="shared" si="81"/>
        <v>#DIV/0!</v>
      </c>
      <c r="Y331" t="e">
        <f>IF(U331=0,0,IF(予定価格!G319=0,0,(U331-予定価格!H319)/予定価格!G319))</f>
        <v>#DIV/0!</v>
      </c>
      <c r="Z331" t="e">
        <f t="shared" si="82"/>
        <v>#DIV/0!</v>
      </c>
      <c r="AA331" t="e">
        <f t="shared" si="83"/>
        <v>#DIV/0!</v>
      </c>
      <c r="AB331" s="13" t="e">
        <f t="shared" si="84"/>
        <v>#DIV/0!</v>
      </c>
    </row>
    <row r="332" spans="1:28" hidden="1" x14ac:dyDescent="0.15">
      <c r="A332">
        <f>+予定価格!A320</f>
        <v>0</v>
      </c>
      <c r="B332" s="258">
        <f>ROUND(予定価格!B320*査定表!$B$437,-D332)+E332</f>
        <v>0</v>
      </c>
      <c r="C332" s="258"/>
      <c r="D332" s="45">
        <f t="shared" si="73"/>
        <v>4</v>
      </c>
      <c r="E332" s="46">
        <f t="shared" si="69"/>
        <v>0</v>
      </c>
      <c r="F332" s="258">
        <f>IF($F$12=0,0,IF(予定価格!$G$427=0,ROUND(予定価格!H320*(入力表!$F$12/予定価格!$H$431),-H332),ROUND((予定価格!G320*(入力表!$F$12-予定価格!$H$431)/予定価格!$G$431)+予定価格!H320,-H332)))+I332</f>
        <v>0</v>
      </c>
      <c r="G332" s="258"/>
      <c r="H332" s="47">
        <f t="shared" si="74"/>
        <v>4</v>
      </c>
      <c r="I332" s="48">
        <f t="shared" si="70"/>
        <v>0</v>
      </c>
      <c r="J332" s="116">
        <f t="shared" si="71"/>
        <v>0</v>
      </c>
      <c r="K332" s="19">
        <f t="shared" si="72"/>
        <v>0</v>
      </c>
      <c r="L332" s="50"/>
      <c r="M332" s="13">
        <f>ROUND(予定価格!B320*査定表!$B$437,-$F$14)</f>
        <v>0</v>
      </c>
      <c r="N332">
        <f>IF(M332=0,1,M332/予定価格!B320)</f>
        <v>1</v>
      </c>
      <c r="O332">
        <f t="shared" si="75"/>
        <v>21</v>
      </c>
      <c r="P332">
        <f t="shared" si="76"/>
        <v>0</v>
      </c>
      <c r="Q332">
        <f>IF(M332=0,0,M332/予定価格!B320)</f>
        <v>0</v>
      </c>
      <c r="R332">
        <f t="shared" si="77"/>
        <v>21</v>
      </c>
      <c r="S332">
        <f t="shared" si="78"/>
        <v>0</v>
      </c>
      <c r="T332" s="13">
        <f t="shared" si="79"/>
        <v>0</v>
      </c>
      <c r="U332" s="13" t="e">
        <f>IF(予定価格!$G$427=0,ROUND(予定価格!H320*(入力表!$F$12/予定価格!$H$431),-$F$14),ROUND((予定価格!G320*(入力表!$F$12-予定価格!$H$431)/予定価格!$G$431)+予定価格!H320,-$F$14))</f>
        <v>#DIV/0!</v>
      </c>
      <c r="V332" t="e">
        <f>IF(U332=0,1,IF(予定価格!O320=0,1,(U332-予定価格!P320)/予定価格!O320))</f>
        <v>#DIV/0!</v>
      </c>
      <c r="W332" t="e">
        <f t="shared" si="80"/>
        <v>#DIV/0!</v>
      </c>
      <c r="X332" t="e">
        <f t="shared" si="81"/>
        <v>#DIV/0!</v>
      </c>
      <c r="Y332" t="e">
        <f>IF(U332=0,0,IF(予定価格!G320=0,0,(U332-予定価格!H320)/予定価格!G320))</f>
        <v>#DIV/0!</v>
      </c>
      <c r="Z332" t="e">
        <f t="shared" si="82"/>
        <v>#DIV/0!</v>
      </c>
      <c r="AA332" t="e">
        <f t="shared" si="83"/>
        <v>#DIV/0!</v>
      </c>
      <c r="AB332" s="13" t="e">
        <f t="shared" si="84"/>
        <v>#DIV/0!</v>
      </c>
    </row>
    <row r="333" spans="1:28" hidden="1" x14ac:dyDescent="0.15">
      <c r="A333">
        <f>+予定価格!A321</f>
        <v>0</v>
      </c>
      <c r="B333" s="258">
        <f>ROUND(予定価格!B321*査定表!$B$437,-D333)+E333</f>
        <v>0</v>
      </c>
      <c r="C333" s="258"/>
      <c r="D333" s="45">
        <f t="shared" si="73"/>
        <v>4</v>
      </c>
      <c r="E333" s="46">
        <f t="shared" si="69"/>
        <v>0</v>
      </c>
      <c r="F333" s="258">
        <f>IF($F$12=0,0,IF(予定価格!$G$427=0,ROUND(予定価格!H321*(入力表!$F$12/予定価格!$H$431),-H333),ROUND((予定価格!G321*(入力表!$F$12-予定価格!$H$431)/予定価格!$G$431)+予定価格!H321,-H333)))+I333</f>
        <v>0</v>
      </c>
      <c r="G333" s="258"/>
      <c r="H333" s="47">
        <f t="shared" si="74"/>
        <v>4</v>
      </c>
      <c r="I333" s="48">
        <f t="shared" si="70"/>
        <v>0</v>
      </c>
      <c r="J333" s="116">
        <f t="shared" si="71"/>
        <v>0</v>
      </c>
      <c r="K333" s="19">
        <f t="shared" si="72"/>
        <v>0</v>
      </c>
      <c r="L333" s="50"/>
      <c r="M333" s="13">
        <f>ROUND(予定価格!B321*査定表!$B$437,-$F$14)</f>
        <v>0</v>
      </c>
      <c r="N333">
        <f>IF(M333=0,1,M333/予定価格!B321)</f>
        <v>1</v>
      </c>
      <c r="O333">
        <f t="shared" si="75"/>
        <v>21</v>
      </c>
      <c r="P333">
        <f t="shared" si="76"/>
        <v>0</v>
      </c>
      <c r="Q333">
        <f>IF(M333=0,0,M333/予定価格!B321)</f>
        <v>0</v>
      </c>
      <c r="R333">
        <f t="shared" si="77"/>
        <v>21</v>
      </c>
      <c r="S333">
        <f t="shared" si="78"/>
        <v>0</v>
      </c>
      <c r="T333" s="13">
        <f t="shared" si="79"/>
        <v>0</v>
      </c>
      <c r="U333" s="13" t="e">
        <f>IF(予定価格!$G$427=0,ROUND(予定価格!H321*(入力表!$F$12/予定価格!$H$431),-$F$14),ROUND((予定価格!G321*(入力表!$F$12-予定価格!$H$431)/予定価格!$G$431)+予定価格!H321,-$F$14))</f>
        <v>#DIV/0!</v>
      </c>
      <c r="V333" t="e">
        <f>IF(U333=0,1,IF(予定価格!O321=0,1,(U333-予定価格!P321)/予定価格!O321))</f>
        <v>#DIV/0!</v>
      </c>
      <c r="W333" t="e">
        <f t="shared" si="80"/>
        <v>#DIV/0!</v>
      </c>
      <c r="X333" t="e">
        <f t="shared" si="81"/>
        <v>#DIV/0!</v>
      </c>
      <c r="Y333" t="e">
        <f>IF(U333=0,0,IF(予定価格!G321=0,0,(U333-予定価格!H321)/予定価格!G321))</f>
        <v>#DIV/0!</v>
      </c>
      <c r="Z333" t="e">
        <f t="shared" si="82"/>
        <v>#DIV/0!</v>
      </c>
      <c r="AA333" t="e">
        <f t="shared" si="83"/>
        <v>#DIV/0!</v>
      </c>
      <c r="AB333" s="13" t="e">
        <f t="shared" si="84"/>
        <v>#DIV/0!</v>
      </c>
    </row>
    <row r="334" spans="1:28" hidden="1" x14ac:dyDescent="0.15">
      <c r="A334">
        <f>+予定価格!A322</f>
        <v>0</v>
      </c>
      <c r="B334" s="258">
        <f>ROUND(予定価格!B322*査定表!$B$437,-D334)+E334</f>
        <v>0</v>
      </c>
      <c r="C334" s="258"/>
      <c r="D334" s="45">
        <f t="shared" si="73"/>
        <v>4</v>
      </c>
      <c r="E334" s="46">
        <f t="shared" si="69"/>
        <v>0</v>
      </c>
      <c r="F334" s="258">
        <f>IF($F$12=0,0,IF(予定価格!$G$427=0,ROUND(予定価格!H322*(入力表!$F$12/予定価格!$H$431),-H334),ROUND((予定価格!G322*(入力表!$F$12-予定価格!$H$431)/予定価格!$G$431)+予定価格!H322,-H334)))+I334</f>
        <v>0</v>
      </c>
      <c r="G334" s="258"/>
      <c r="H334" s="47">
        <f t="shared" si="74"/>
        <v>4</v>
      </c>
      <c r="I334" s="48">
        <f t="shared" si="70"/>
        <v>0</v>
      </c>
      <c r="J334" s="116">
        <f t="shared" si="71"/>
        <v>0</v>
      </c>
      <c r="K334" s="19">
        <f t="shared" si="72"/>
        <v>0</v>
      </c>
      <c r="L334" s="50"/>
      <c r="M334" s="13">
        <f>ROUND(予定価格!B322*査定表!$B$437,-$F$14)</f>
        <v>0</v>
      </c>
      <c r="N334">
        <f>IF(M334=0,1,M334/予定価格!B322)</f>
        <v>1</v>
      </c>
      <c r="O334">
        <f t="shared" si="75"/>
        <v>21</v>
      </c>
      <c r="P334">
        <f t="shared" si="76"/>
        <v>0</v>
      </c>
      <c r="Q334">
        <f>IF(M334=0,0,M334/予定価格!B322)</f>
        <v>0</v>
      </c>
      <c r="R334">
        <f t="shared" si="77"/>
        <v>21</v>
      </c>
      <c r="S334">
        <f t="shared" si="78"/>
        <v>0</v>
      </c>
      <c r="T334" s="13">
        <f t="shared" si="79"/>
        <v>0</v>
      </c>
      <c r="U334" s="13" t="e">
        <f>IF(予定価格!$G$427=0,ROUND(予定価格!H322*(入力表!$F$12/予定価格!$H$431),-$F$14),ROUND((予定価格!G322*(入力表!$F$12-予定価格!$H$431)/予定価格!$G$431)+予定価格!H322,-$F$14))</f>
        <v>#DIV/0!</v>
      </c>
      <c r="V334" t="e">
        <f>IF(U334=0,1,IF(予定価格!O322=0,1,(U334-予定価格!P322)/予定価格!O322))</f>
        <v>#DIV/0!</v>
      </c>
      <c r="W334" t="e">
        <f t="shared" si="80"/>
        <v>#DIV/0!</v>
      </c>
      <c r="X334" t="e">
        <f t="shared" si="81"/>
        <v>#DIV/0!</v>
      </c>
      <c r="Y334" t="e">
        <f>IF(U334=0,0,IF(予定価格!G322=0,0,(U334-予定価格!H322)/予定価格!G322))</f>
        <v>#DIV/0!</v>
      </c>
      <c r="Z334" t="e">
        <f t="shared" si="82"/>
        <v>#DIV/0!</v>
      </c>
      <c r="AA334" t="e">
        <f t="shared" si="83"/>
        <v>#DIV/0!</v>
      </c>
      <c r="AB334" s="13" t="e">
        <f t="shared" si="84"/>
        <v>#DIV/0!</v>
      </c>
    </row>
    <row r="335" spans="1:28" hidden="1" x14ac:dyDescent="0.15">
      <c r="A335">
        <f>+予定価格!A323</f>
        <v>0</v>
      </c>
      <c r="B335" s="258">
        <f>ROUND(予定価格!B323*査定表!$B$437,-D335)+E335</f>
        <v>0</v>
      </c>
      <c r="C335" s="258"/>
      <c r="D335" s="45">
        <f t="shared" si="73"/>
        <v>4</v>
      </c>
      <c r="E335" s="46">
        <f t="shared" si="69"/>
        <v>0</v>
      </c>
      <c r="F335" s="258">
        <f>IF($F$12=0,0,IF(予定価格!$G$427=0,ROUND(予定価格!H323*(入力表!$F$12/予定価格!$H$431),-H335),ROUND((予定価格!G323*(入力表!$F$12-予定価格!$H$431)/予定価格!$G$431)+予定価格!H323,-H335)))+I335</f>
        <v>0</v>
      </c>
      <c r="G335" s="258"/>
      <c r="H335" s="47">
        <f t="shared" si="74"/>
        <v>4</v>
      </c>
      <c r="I335" s="48">
        <f t="shared" si="70"/>
        <v>0</v>
      </c>
      <c r="J335" s="116">
        <f t="shared" si="71"/>
        <v>0</v>
      </c>
      <c r="K335" s="19">
        <f t="shared" si="72"/>
        <v>0</v>
      </c>
      <c r="L335" s="50"/>
      <c r="M335" s="13">
        <f>ROUND(予定価格!B323*査定表!$B$437,-$F$14)</f>
        <v>0</v>
      </c>
      <c r="N335">
        <f>IF(M335=0,1,M335/予定価格!B323)</f>
        <v>1</v>
      </c>
      <c r="O335">
        <f t="shared" si="75"/>
        <v>21</v>
      </c>
      <c r="P335">
        <f t="shared" si="76"/>
        <v>0</v>
      </c>
      <c r="Q335">
        <f>IF(M335=0,0,M335/予定価格!B323)</f>
        <v>0</v>
      </c>
      <c r="R335">
        <f t="shared" si="77"/>
        <v>21</v>
      </c>
      <c r="S335">
        <f t="shared" si="78"/>
        <v>0</v>
      </c>
      <c r="T335" s="13">
        <f t="shared" si="79"/>
        <v>0</v>
      </c>
      <c r="U335" s="13" t="e">
        <f>IF(予定価格!$G$427=0,ROUND(予定価格!H323*(入力表!$F$12/予定価格!$H$431),-$F$14),ROUND((予定価格!G323*(入力表!$F$12-予定価格!$H$431)/予定価格!$G$431)+予定価格!H323,-$F$14))</f>
        <v>#DIV/0!</v>
      </c>
      <c r="V335" t="e">
        <f>IF(U335=0,1,IF(予定価格!O323=0,1,(U335-予定価格!P323)/予定価格!O323))</f>
        <v>#DIV/0!</v>
      </c>
      <c r="W335" t="e">
        <f t="shared" si="80"/>
        <v>#DIV/0!</v>
      </c>
      <c r="X335" t="e">
        <f t="shared" si="81"/>
        <v>#DIV/0!</v>
      </c>
      <c r="Y335" t="e">
        <f>IF(U335=0,0,IF(予定価格!G323=0,0,(U335-予定価格!H323)/予定価格!G323))</f>
        <v>#DIV/0!</v>
      </c>
      <c r="Z335" t="e">
        <f t="shared" si="82"/>
        <v>#DIV/0!</v>
      </c>
      <c r="AA335" t="e">
        <f t="shared" si="83"/>
        <v>#DIV/0!</v>
      </c>
      <c r="AB335" s="13" t="e">
        <f t="shared" si="84"/>
        <v>#DIV/0!</v>
      </c>
    </row>
    <row r="336" spans="1:28" hidden="1" x14ac:dyDescent="0.15">
      <c r="A336">
        <f>+予定価格!A324</f>
        <v>0</v>
      </c>
      <c r="B336" s="258">
        <f>ROUND(予定価格!B324*査定表!$B$437,-D336)+E336</f>
        <v>0</v>
      </c>
      <c r="C336" s="258"/>
      <c r="D336" s="45">
        <f t="shared" si="73"/>
        <v>4</v>
      </c>
      <c r="E336" s="46">
        <f t="shared" si="69"/>
        <v>0</v>
      </c>
      <c r="F336" s="258">
        <f>IF($F$12=0,0,IF(予定価格!$G$427=0,ROUND(予定価格!H324*(入力表!$F$12/予定価格!$H$431),-H336),ROUND((予定価格!G324*(入力表!$F$12-予定価格!$H$431)/予定価格!$G$431)+予定価格!H324,-H336)))+I336</f>
        <v>0</v>
      </c>
      <c r="G336" s="258"/>
      <c r="H336" s="47">
        <f t="shared" si="74"/>
        <v>4</v>
      </c>
      <c r="I336" s="48">
        <f t="shared" si="70"/>
        <v>0</v>
      </c>
      <c r="J336" s="116">
        <f t="shared" si="71"/>
        <v>0</v>
      </c>
      <c r="K336" s="19">
        <f t="shared" si="72"/>
        <v>0</v>
      </c>
      <c r="L336" s="50"/>
      <c r="M336" s="13">
        <f>ROUND(予定価格!B324*査定表!$B$437,-$F$14)</f>
        <v>0</v>
      </c>
      <c r="N336">
        <f>IF(M336=0,1,M336/予定価格!B324)</f>
        <v>1</v>
      </c>
      <c r="O336">
        <f t="shared" si="75"/>
        <v>21</v>
      </c>
      <c r="P336">
        <f t="shared" si="76"/>
        <v>0</v>
      </c>
      <c r="Q336">
        <f>IF(M336=0,0,M336/予定価格!B324)</f>
        <v>0</v>
      </c>
      <c r="R336">
        <f t="shared" si="77"/>
        <v>21</v>
      </c>
      <c r="S336">
        <f t="shared" si="78"/>
        <v>0</v>
      </c>
      <c r="T336" s="13">
        <f t="shared" si="79"/>
        <v>0</v>
      </c>
      <c r="U336" s="13" t="e">
        <f>IF(予定価格!$G$427=0,ROUND(予定価格!H324*(入力表!$F$12/予定価格!$H$431),-$F$14),ROUND((予定価格!G324*(入力表!$F$12-予定価格!$H$431)/予定価格!$G$431)+予定価格!H324,-$F$14))</f>
        <v>#DIV/0!</v>
      </c>
      <c r="V336" t="e">
        <f>IF(U336=0,1,IF(予定価格!O324=0,1,(U336-予定価格!P324)/予定価格!O324))</f>
        <v>#DIV/0!</v>
      </c>
      <c r="W336" t="e">
        <f t="shared" si="80"/>
        <v>#DIV/0!</v>
      </c>
      <c r="X336" t="e">
        <f t="shared" si="81"/>
        <v>#DIV/0!</v>
      </c>
      <c r="Y336" t="e">
        <f>IF(U336=0,0,IF(予定価格!G324=0,0,(U336-予定価格!H324)/予定価格!G324))</f>
        <v>#DIV/0!</v>
      </c>
      <c r="Z336" t="e">
        <f t="shared" si="82"/>
        <v>#DIV/0!</v>
      </c>
      <c r="AA336" t="e">
        <f t="shared" si="83"/>
        <v>#DIV/0!</v>
      </c>
      <c r="AB336" s="13" t="e">
        <f t="shared" si="84"/>
        <v>#DIV/0!</v>
      </c>
    </row>
    <row r="337" spans="1:28" hidden="1" x14ac:dyDescent="0.15">
      <c r="A337">
        <f>+予定価格!A325</f>
        <v>0</v>
      </c>
      <c r="B337" s="258">
        <f>ROUND(予定価格!B325*査定表!$B$437,-D337)+E337</f>
        <v>0</v>
      </c>
      <c r="C337" s="258"/>
      <c r="D337" s="45">
        <f t="shared" si="73"/>
        <v>4</v>
      </c>
      <c r="E337" s="46">
        <f t="shared" ref="E337:E400" si="85">IF(F$12=0,+P337+S337,0)</f>
        <v>0</v>
      </c>
      <c r="F337" s="258">
        <f>IF($F$12=0,0,IF(予定価格!$G$427=0,ROUND(予定価格!H325*(入力表!$F$12/予定価格!$H$431),-H337),ROUND((予定価格!G325*(入力表!$F$12-予定価格!$H$431)/予定価格!$G$431)+予定価格!H325,-H337)))+I337</f>
        <v>0</v>
      </c>
      <c r="G337" s="258"/>
      <c r="H337" s="47">
        <f t="shared" si="74"/>
        <v>4</v>
      </c>
      <c r="I337" s="48">
        <f t="shared" ref="I337:I400" si="86">IF(F$12=0,0,+X337+AA337)</f>
        <v>0</v>
      </c>
      <c r="J337" s="116">
        <f t="shared" ref="J337:J400" si="87">+F337+K337</f>
        <v>0</v>
      </c>
      <c r="K337" s="19">
        <f t="shared" ref="K337:K400" si="88">+B337</f>
        <v>0</v>
      </c>
      <c r="L337" s="50"/>
      <c r="M337" s="13">
        <f>ROUND(予定価格!B325*査定表!$B$437,-$F$14)</f>
        <v>0</v>
      </c>
      <c r="N337">
        <f>IF(M337=0,1,M337/予定価格!B325)</f>
        <v>1</v>
      </c>
      <c r="O337">
        <f t="shared" si="75"/>
        <v>21</v>
      </c>
      <c r="P337">
        <f t="shared" si="76"/>
        <v>0</v>
      </c>
      <c r="Q337">
        <f>IF(M337=0,0,M337/予定価格!B325)</f>
        <v>0</v>
      </c>
      <c r="R337">
        <f t="shared" si="77"/>
        <v>21</v>
      </c>
      <c r="S337">
        <f t="shared" si="78"/>
        <v>0</v>
      </c>
      <c r="T337" s="13">
        <f t="shared" si="79"/>
        <v>0</v>
      </c>
      <c r="U337" s="13" t="e">
        <f>IF(予定価格!$G$427=0,ROUND(予定価格!H325*(入力表!$F$12/予定価格!$H$431),-$F$14),ROUND((予定価格!G325*(入力表!$F$12-予定価格!$H$431)/予定価格!$G$431)+予定価格!H325,-$F$14))</f>
        <v>#DIV/0!</v>
      </c>
      <c r="V337" t="e">
        <f>IF(U337=0,1,IF(予定価格!O325=0,1,(U337-予定価格!P325)/予定価格!O325))</f>
        <v>#DIV/0!</v>
      </c>
      <c r="W337" t="e">
        <f t="shared" si="80"/>
        <v>#DIV/0!</v>
      </c>
      <c r="X337" t="e">
        <f t="shared" si="81"/>
        <v>#DIV/0!</v>
      </c>
      <c r="Y337" t="e">
        <f>IF(U337=0,0,IF(予定価格!G325=0,0,(U337-予定価格!H325)/予定価格!G325))</f>
        <v>#DIV/0!</v>
      </c>
      <c r="Z337" t="e">
        <f t="shared" si="82"/>
        <v>#DIV/0!</v>
      </c>
      <c r="AA337" t="e">
        <f t="shared" si="83"/>
        <v>#DIV/0!</v>
      </c>
      <c r="AB337" s="13" t="e">
        <f t="shared" si="84"/>
        <v>#DIV/0!</v>
      </c>
    </row>
    <row r="338" spans="1:28" hidden="1" x14ac:dyDescent="0.15">
      <c r="A338">
        <f>+予定価格!A326</f>
        <v>0</v>
      </c>
      <c r="B338" s="258">
        <f>ROUND(予定価格!B326*査定表!$B$437,-D338)+E338</f>
        <v>0</v>
      </c>
      <c r="C338" s="258"/>
      <c r="D338" s="45">
        <f t="shared" ref="D338:D401" si="89">+$F$14</f>
        <v>4</v>
      </c>
      <c r="E338" s="46">
        <f t="shared" si="85"/>
        <v>0</v>
      </c>
      <c r="F338" s="258">
        <f>IF($F$12=0,0,IF(予定価格!$G$427=0,ROUND(予定価格!H326*(入力表!$F$12/予定価格!$H$431),-H338),ROUND((予定価格!G326*(入力表!$F$12-予定価格!$H$431)/予定価格!$G$431)+予定価格!H326,-H338)))+I338</f>
        <v>0</v>
      </c>
      <c r="G338" s="258"/>
      <c r="H338" s="47">
        <f t="shared" ref="H338:H401" si="90">+$F$14</f>
        <v>4</v>
      </c>
      <c r="I338" s="48">
        <f t="shared" si="86"/>
        <v>0</v>
      </c>
      <c r="J338" s="116">
        <f t="shared" si="87"/>
        <v>0</v>
      </c>
      <c r="K338" s="19">
        <f t="shared" si="88"/>
        <v>0</v>
      </c>
      <c r="L338" s="50"/>
      <c r="M338" s="13">
        <f>ROUND(予定価格!B326*査定表!$B$437,-$F$14)</f>
        <v>0</v>
      </c>
      <c r="N338">
        <f>IF(M338=0,1,M338/予定価格!B326)</f>
        <v>1</v>
      </c>
      <c r="O338">
        <f t="shared" ref="O338:O401" si="91">RANK(N338,N$17:N$472,1)</f>
        <v>21</v>
      </c>
      <c r="P338">
        <f t="shared" ref="P338:P401" si="92">IF(M$15&gt;0,IF(O338*10^$F$14&lt;=M$15,10^$F$14,0),0)</f>
        <v>0</v>
      </c>
      <c r="Q338">
        <f>IF(M338=0,0,M338/予定価格!B326)</f>
        <v>0</v>
      </c>
      <c r="R338">
        <f t="shared" ref="R338:R401" si="93">RANK(Q338,Q$17:Q$472,0)</f>
        <v>21</v>
      </c>
      <c r="S338">
        <f t="shared" ref="S338:S401" si="94">IF(M$15&lt;0,IF(R338*10^$F$14&lt;=-M$15,-(10^$F$14),0),0)</f>
        <v>0</v>
      </c>
      <c r="T338" s="13">
        <f t="shared" ref="T338:T401" si="95">+M338+P338+S338</f>
        <v>0</v>
      </c>
      <c r="U338" s="13" t="e">
        <f>IF(予定価格!$G$427=0,ROUND(予定価格!H326*(入力表!$F$12/予定価格!$H$431),-$F$14),ROUND((予定価格!G326*(入力表!$F$12-予定価格!$H$431)/予定価格!$G$431)+予定価格!H326,-$F$14))</f>
        <v>#DIV/0!</v>
      </c>
      <c r="V338" t="e">
        <f>IF(U338=0,1,IF(予定価格!O326=0,1,(U338-予定価格!P326)/予定価格!O326))</f>
        <v>#DIV/0!</v>
      </c>
      <c r="W338" t="e">
        <f t="shared" ref="W338:W401" si="96">RANK(V338,V$17:V$472,1)</f>
        <v>#DIV/0!</v>
      </c>
      <c r="X338" t="e">
        <f t="shared" ref="X338:X401" si="97">IF(U$15&gt;0,IF(W338*10^$F$14&lt;=U$15,10^$F$14,0),0)</f>
        <v>#DIV/0!</v>
      </c>
      <c r="Y338" t="e">
        <f>IF(U338=0,0,IF(予定価格!G326=0,0,(U338-予定価格!H326)/予定価格!G326))</f>
        <v>#DIV/0!</v>
      </c>
      <c r="Z338" t="e">
        <f t="shared" ref="Z338:Z401" si="98">RANK(Y338,Y$17:Y$472,0)</f>
        <v>#DIV/0!</v>
      </c>
      <c r="AA338" t="e">
        <f t="shared" ref="AA338:AA401" si="99">IF(U$15&lt;0,IF(Z338*10^$F$14&lt;=-U$15,-(10^$F$14),0),0)</f>
        <v>#DIV/0!</v>
      </c>
      <c r="AB338" s="13" t="e">
        <f t="shared" ref="AB338:AB401" si="100">+U338+X338+AA338</f>
        <v>#DIV/0!</v>
      </c>
    </row>
    <row r="339" spans="1:28" hidden="1" x14ac:dyDescent="0.15">
      <c r="A339">
        <f>+予定価格!A327</f>
        <v>0</v>
      </c>
      <c r="B339" s="258">
        <f>ROUND(予定価格!B327*査定表!$B$437,-D339)+E339</f>
        <v>0</v>
      </c>
      <c r="C339" s="258"/>
      <c r="D339" s="45">
        <f t="shared" si="89"/>
        <v>4</v>
      </c>
      <c r="E339" s="46">
        <f t="shared" si="85"/>
        <v>0</v>
      </c>
      <c r="F339" s="258">
        <f>IF($F$12=0,0,IF(予定価格!$G$427=0,ROUND(予定価格!H327*(入力表!$F$12/予定価格!$H$431),-H339),ROUND((予定価格!G327*(入力表!$F$12-予定価格!$H$431)/予定価格!$G$431)+予定価格!H327,-H339)))+I339</f>
        <v>0</v>
      </c>
      <c r="G339" s="258"/>
      <c r="H339" s="47">
        <f t="shared" si="90"/>
        <v>4</v>
      </c>
      <c r="I339" s="48">
        <f t="shared" si="86"/>
        <v>0</v>
      </c>
      <c r="J339" s="116">
        <f t="shared" si="87"/>
        <v>0</v>
      </c>
      <c r="K339" s="19">
        <f t="shared" si="88"/>
        <v>0</v>
      </c>
      <c r="L339" s="50"/>
      <c r="M339" s="13">
        <f>ROUND(予定価格!B327*査定表!$B$437,-$F$14)</f>
        <v>0</v>
      </c>
      <c r="N339">
        <f>IF(M339=0,1,M339/予定価格!B327)</f>
        <v>1</v>
      </c>
      <c r="O339">
        <f t="shared" si="91"/>
        <v>21</v>
      </c>
      <c r="P339">
        <f t="shared" si="92"/>
        <v>0</v>
      </c>
      <c r="Q339">
        <f>IF(M339=0,0,M339/予定価格!B327)</f>
        <v>0</v>
      </c>
      <c r="R339">
        <f t="shared" si="93"/>
        <v>21</v>
      </c>
      <c r="S339">
        <f t="shared" si="94"/>
        <v>0</v>
      </c>
      <c r="T339" s="13">
        <f t="shared" si="95"/>
        <v>0</v>
      </c>
      <c r="U339" s="13" t="e">
        <f>IF(予定価格!$G$427=0,ROUND(予定価格!H327*(入力表!$F$12/予定価格!$H$431),-$F$14),ROUND((予定価格!G327*(入力表!$F$12-予定価格!$H$431)/予定価格!$G$431)+予定価格!H327,-$F$14))</f>
        <v>#DIV/0!</v>
      </c>
      <c r="V339" t="e">
        <f>IF(U339=0,1,IF(予定価格!O327=0,1,(U339-予定価格!P327)/予定価格!O327))</f>
        <v>#DIV/0!</v>
      </c>
      <c r="W339" t="e">
        <f t="shared" si="96"/>
        <v>#DIV/0!</v>
      </c>
      <c r="X339" t="e">
        <f t="shared" si="97"/>
        <v>#DIV/0!</v>
      </c>
      <c r="Y339" t="e">
        <f>IF(U339=0,0,IF(予定価格!G327=0,0,(U339-予定価格!H327)/予定価格!G327))</f>
        <v>#DIV/0!</v>
      </c>
      <c r="Z339" t="e">
        <f t="shared" si="98"/>
        <v>#DIV/0!</v>
      </c>
      <c r="AA339" t="e">
        <f t="shared" si="99"/>
        <v>#DIV/0!</v>
      </c>
      <c r="AB339" s="13" t="e">
        <f t="shared" si="100"/>
        <v>#DIV/0!</v>
      </c>
    </row>
    <row r="340" spans="1:28" hidden="1" x14ac:dyDescent="0.15">
      <c r="A340">
        <f>+予定価格!A328</f>
        <v>0</v>
      </c>
      <c r="B340" s="258">
        <f>ROUND(予定価格!B328*査定表!$B$437,-D340)+E340</f>
        <v>0</v>
      </c>
      <c r="C340" s="258"/>
      <c r="D340" s="45">
        <f t="shared" si="89"/>
        <v>4</v>
      </c>
      <c r="E340" s="46">
        <f t="shared" si="85"/>
        <v>0</v>
      </c>
      <c r="F340" s="258">
        <f>IF($F$12=0,0,IF(予定価格!$G$427=0,ROUND(予定価格!H328*(入力表!$F$12/予定価格!$H$431),-H340),ROUND((予定価格!G328*(入力表!$F$12-予定価格!$H$431)/予定価格!$G$431)+予定価格!H328,-H340)))+I340</f>
        <v>0</v>
      </c>
      <c r="G340" s="258"/>
      <c r="H340" s="47">
        <f t="shared" si="90"/>
        <v>4</v>
      </c>
      <c r="I340" s="48">
        <f t="shared" si="86"/>
        <v>0</v>
      </c>
      <c r="J340" s="116">
        <f t="shared" si="87"/>
        <v>0</v>
      </c>
      <c r="K340" s="19">
        <f t="shared" si="88"/>
        <v>0</v>
      </c>
      <c r="L340" s="50"/>
      <c r="M340" s="13">
        <f>ROUND(予定価格!B328*査定表!$B$437,-$F$14)</f>
        <v>0</v>
      </c>
      <c r="N340">
        <f>IF(M340=0,1,M340/予定価格!B328)</f>
        <v>1</v>
      </c>
      <c r="O340">
        <f t="shared" si="91"/>
        <v>21</v>
      </c>
      <c r="P340">
        <f t="shared" si="92"/>
        <v>0</v>
      </c>
      <c r="Q340">
        <f>IF(M340=0,0,M340/予定価格!B328)</f>
        <v>0</v>
      </c>
      <c r="R340">
        <f t="shared" si="93"/>
        <v>21</v>
      </c>
      <c r="S340">
        <f t="shared" si="94"/>
        <v>0</v>
      </c>
      <c r="T340" s="13">
        <f t="shared" si="95"/>
        <v>0</v>
      </c>
      <c r="U340" s="13" t="e">
        <f>IF(予定価格!$G$427=0,ROUND(予定価格!H328*(入力表!$F$12/予定価格!$H$431),-$F$14),ROUND((予定価格!G328*(入力表!$F$12-予定価格!$H$431)/予定価格!$G$431)+予定価格!H328,-$F$14))</f>
        <v>#DIV/0!</v>
      </c>
      <c r="V340" t="e">
        <f>IF(U340=0,1,IF(予定価格!O328=0,1,(U340-予定価格!P328)/予定価格!O328))</f>
        <v>#DIV/0!</v>
      </c>
      <c r="W340" t="e">
        <f t="shared" si="96"/>
        <v>#DIV/0!</v>
      </c>
      <c r="X340" t="e">
        <f t="shared" si="97"/>
        <v>#DIV/0!</v>
      </c>
      <c r="Y340" t="e">
        <f>IF(U340=0,0,IF(予定価格!G328=0,0,(U340-予定価格!H328)/予定価格!G328))</f>
        <v>#DIV/0!</v>
      </c>
      <c r="Z340" t="e">
        <f t="shared" si="98"/>
        <v>#DIV/0!</v>
      </c>
      <c r="AA340" t="e">
        <f t="shared" si="99"/>
        <v>#DIV/0!</v>
      </c>
      <c r="AB340" s="13" t="e">
        <f t="shared" si="100"/>
        <v>#DIV/0!</v>
      </c>
    </row>
    <row r="341" spans="1:28" hidden="1" x14ac:dyDescent="0.15">
      <c r="A341">
        <f>+予定価格!A329</f>
        <v>0</v>
      </c>
      <c r="B341" s="258">
        <f>ROUND(予定価格!B329*査定表!$B$437,-D341)+E341</f>
        <v>0</v>
      </c>
      <c r="C341" s="258"/>
      <c r="D341" s="45">
        <f t="shared" si="89"/>
        <v>4</v>
      </c>
      <c r="E341" s="46">
        <f t="shared" si="85"/>
        <v>0</v>
      </c>
      <c r="F341" s="258">
        <f>IF($F$12=0,0,IF(予定価格!$G$427=0,ROUND(予定価格!H329*(入力表!$F$12/予定価格!$H$431),-H341),ROUND((予定価格!G329*(入力表!$F$12-予定価格!$H$431)/予定価格!$G$431)+予定価格!H329,-H341)))+I341</f>
        <v>0</v>
      </c>
      <c r="G341" s="258"/>
      <c r="H341" s="47">
        <f t="shared" si="90"/>
        <v>4</v>
      </c>
      <c r="I341" s="48">
        <f t="shared" si="86"/>
        <v>0</v>
      </c>
      <c r="J341" s="116">
        <f t="shared" si="87"/>
        <v>0</v>
      </c>
      <c r="K341" s="19">
        <f t="shared" si="88"/>
        <v>0</v>
      </c>
      <c r="L341" s="50"/>
      <c r="M341" s="13">
        <f>ROUND(予定価格!B329*査定表!$B$437,-$F$14)</f>
        <v>0</v>
      </c>
      <c r="N341">
        <f>IF(M341=0,1,M341/予定価格!B329)</f>
        <v>1</v>
      </c>
      <c r="O341">
        <f t="shared" si="91"/>
        <v>21</v>
      </c>
      <c r="P341">
        <f t="shared" si="92"/>
        <v>0</v>
      </c>
      <c r="Q341">
        <f>IF(M341=0,0,M341/予定価格!B329)</f>
        <v>0</v>
      </c>
      <c r="R341">
        <f t="shared" si="93"/>
        <v>21</v>
      </c>
      <c r="S341">
        <f t="shared" si="94"/>
        <v>0</v>
      </c>
      <c r="T341" s="13">
        <f t="shared" si="95"/>
        <v>0</v>
      </c>
      <c r="U341" s="13" t="e">
        <f>IF(予定価格!$G$427=0,ROUND(予定価格!H329*(入力表!$F$12/予定価格!$H$431),-$F$14),ROUND((予定価格!G329*(入力表!$F$12-予定価格!$H$431)/予定価格!$G$431)+予定価格!H329,-$F$14))</f>
        <v>#DIV/0!</v>
      </c>
      <c r="V341" t="e">
        <f>IF(U341=0,1,IF(予定価格!O329=0,1,(U341-予定価格!P329)/予定価格!O329))</f>
        <v>#DIV/0!</v>
      </c>
      <c r="W341" t="e">
        <f t="shared" si="96"/>
        <v>#DIV/0!</v>
      </c>
      <c r="X341" t="e">
        <f t="shared" si="97"/>
        <v>#DIV/0!</v>
      </c>
      <c r="Y341" t="e">
        <f>IF(U341=0,0,IF(予定価格!G329=0,0,(U341-予定価格!H329)/予定価格!G329))</f>
        <v>#DIV/0!</v>
      </c>
      <c r="Z341" t="e">
        <f t="shared" si="98"/>
        <v>#DIV/0!</v>
      </c>
      <c r="AA341" t="e">
        <f t="shared" si="99"/>
        <v>#DIV/0!</v>
      </c>
      <c r="AB341" s="13" t="e">
        <f t="shared" si="100"/>
        <v>#DIV/0!</v>
      </c>
    </row>
    <row r="342" spans="1:28" hidden="1" x14ac:dyDescent="0.15">
      <c r="A342">
        <f>+予定価格!A330</f>
        <v>0</v>
      </c>
      <c r="B342" s="258">
        <f>ROUND(予定価格!B330*査定表!$B$437,-D342)+E342</f>
        <v>0</v>
      </c>
      <c r="C342" s="258"/>
      <c r="D342" s="45">
        <f t="shared" si="89"/>
        <v>4</v>
      </c>
      <c r="E342" s="46">
        <f t="shared" si="85"/>
        <v>0</v>
      </c>
      <c r="F342" s="258">
        <f>IF($F$12=0,0,IF(予定価格!$G$427=0,ROUND(予定価格!H330*(入力表!$F$12/予定価格!$H$431),-H342),ROUND((予定価格!G330*(入力表!$F$12-予定価格!$H$431)/予定価格!$G$431)+予定価格!H330,-H342)))+I342</f>
        <v>0</v>
      </c>
      <c r="G342" s="258"/>
      <c r="H342" s="47">
        <f t="shared" si="90"/>
        <v>4</v>
      </c>
      <c r="I342" s="48">
        <f t="shared" si="86"/>
        <v>0</v>
      </c>
      <c r="J342" s="116">
        <f t="shared" si="87"/>
        <v>0</v>
      </c>
      <c r="K342" s="19">
        <f t="shared" si="88"/>
        <v>0</v>
      </c>
      <c r="L342" s="50"/>
      <c r="M342" s="13">
        <f>ROUND(予定価格!B330*査定表!$B$437,-$F$14)</f>
        <v>0</v>
      </c>
      <c r="N342">
        <f>IF(M342=0,1,M342/予定価格!B330)</f>
        <v>1</v>
      </c>
      <c r="O342">
        <f t="shared" si="91"/>
        <v>21</v>
      </c>
      <c r="P342">
        <f t="shared" si="92"/>
        <v>0</v>
      </c>
      <c r="Q342">
        <f>IF(M342=0,0,M342/予定価格!B330)</f>
        <v>0</v>
      </c>
      <c r="R342">
        <f t="shared" si="93"/>
        <v>21</v>
      </c>
      <c r="S342">
        <f t="shared" si="94"/>
        <v>0</v>
      </c>
      <c r="T342" s="13">
        <f t="shared" si="95"/>
        <v>0</v>
      </c>
      <c r="U342" s="13" t="e">
        <f>IF(予定価格!$G$427=0,ROUND(予定価格!H330*(入力表!$F$12/予定価格!$H$431),-$F$14),ROUND((予定価格!G330*(入力表!$F$12-予定価格!$H$431)/予定価格!$G$431)+予定価格!H330,-$F$14))</f>
        <v>#DIV/0!</v>
      </c>
      <c r="V342" t="e">
        <f>IF(U342=0,1,IF(予定価格!O330=0,1,(U342-予定価格!P330)/予定価格!O330))</f>
        <v>#DIV/0!</v>
      </c>
      <c r="W342" t="e">
        <f t="shared" si="96"/>
        <v>#DIV/0!</v>
      </c>
      <c r="X342" t="e">
        <f t="shared" si="97"/>
        <v>#DIV/0!</v>
      </c>
      <c r="Y342" t="e">
        <f>IF(U342=0,0,IF(予定価格!G330=0,0,(U342-予定価格!H330)/予定価格!G330))</f>
        <v>#DIV/0!</v>
      </c>
      <c r="Z342" t="e">
        <f t="shared" si="98"/>
        <v>#DIV/0!</v>
      </c>
      <c r="AA342" t="e">
        <f t="shared" si="99"/>
        <v>#DIV/0!</v>
      </c>
      <c r="AB342" s="13" t="e">
        <f t="shared" si="100"/>
        <v>#DIV/0!</v>
      </c>
    </row>
    <row r="343" spans="1:28" hidden="1" x14ac:dyDescent="0.15">
      <c r="A343">
        <f>+予定価格!A331</f>
        <v>0</v>
      </c>
      <c r="B343" s="258">
        <f>ROUND(予定価格!B331*査定表!$B$437,-D343)+E343</f>
        <v>0</v>
      </c>
      <c r="C343" s="258"/>
      <c r="D343" s="45">
        <f t="shared" si="89"/>
        <v>4</v>
      </c>
      <c r="E343" s="46">
        <f t="shared" si="85"/>
        <v>0</v>
      </c>
      <c r="F343" s="258">
        <f>IF($F$12=0,0,IF(予定価格!$G$427=0,ROUND(予定価格!H331*(入力表!$F$12/予定価格!$H$431),-H343),ROUND((予定価格!G331*(入力表!$F$12-予定価格!$H$431)/予定価格!$G$431)+予定価格!H331,-H343)))+I343</f>
        <v>0</v>
      </c>
      <c r="G343" s="258"/>
      <c r="H343" s="47">
        <f t="shared" si="90"/>
        <v>4</v>
      </c>
      <c r="I343" s="48">
        <f t="shared" si="86"/>
        <v>0</v>
      </c>
      <c r="J343" s="116">
        <f t="shared" si="87"/>
        <v>0</v>
      </c>
      <c r="K343" s="19">
        <f t="shared" si="88"/>
        <v>0</v>
      </c>
      <c r="L343" s="50"/>
      <c r="M343" s="13">
        <f>ROUND(予定価格!B331*査定表!$B$437,-$F$14)</f>
        <v>0</v>
      </c>
      <c r="N343">
        <f>IF(M343=0,1,M343/予定価格!B331)</f>
        <v>1</v>
      </c>
      <c r="O343">
        <f t="shared" si="91"/>
        <v>21</v>
      </c>
      <c r="P343">
        <f t="shared" si="92"/>
        <v>0</v>
      </c>
      <c r="Q343">
        <f>IF(M343=0,0,M343/予定価格!B331)</f>
        <v>0</v>
      </c>
      <c r="R343">
        <f t="shared" si="93"/>
        <v>21</v>
      </c>
      <c r="S343">
        <f t="shared" si="94"/>
        <v>0</v>
      </c>
      <c r="T343" s="13">
        <f t="shared" si="95"/>
        <v>0</v>
      </c>
      <c r="U343" s="13" t="e">
        <f>IF(予定価格!$G$427=0,ROUND(予定価格!H331*(入力表!$F$12/予定価格!$H$431),-$F$14),ROUND((予定価格!G331*(入力表!$F$12-予定価格!$H$431)/予定価格!$G$431)+予定価格!H331,-$F$14))</f>
        <v>#DIV/0!</v>
      </c>
      <c r="V343" t="e">
        <f>IF(U343=0,1,IF(予定価格!O331=0,1,(U343-予定価格!P331)/予定価格!O331))</f>
        <v>#DIV/0!</v>
      </c>
      <c r="W343" t="e">
        <f t="shared" si="96"/>
        <v>#DIV/0!</v>
      </c>
      <c r="X343" t="e">
        <f t="shared" si="97"/>
        <v>#DIV/0!</v>
      </c>
      <c r="Y343" t="e">
        <f>IF(U343=0,0,IF(予定価格!G331=0,0,(U343-予定価格!H331)/予定価格!G331))</f>
        <v>#DIV/0!</v>
      </c>
      <c r="Z343" t="e">
        <f t="shared" si="98"/>
        <v>#DIV/0!</v>
      </c>
      <c r="AA343" t="e">
        <f t="shared" si="99"/>
        <v>#DIV/0!</v>
      </c>
      <c r="AB343" s="13" t="e">
        <f t="shared" si="100"/>
        <v>#DIV/0!</v>
      </c>
    </row>
    <row r="344" spans="1:28" hidden="1" x14ac:dyDescent="0.15">
      <c r="A344">
        <f>+予定価格!A332</f>
        <v>0</v>
      </c>
      <c r="B344" s="258">
        <f>ROUND(予定価格!B332*査定表!$B$437,-D344)+E344</f>
        <v>0</v>
      </c>
      <c r="C344" s="258"/>
      <c r="D344" s="45">
        <f t="shared" si="89"/>
        <v>4</v>
      </c>
      <c r="E344" s="46">
        <f t="shared" si="85"/>
        <v>0</v>
      </c>
      <c r="F344" s="258">
        <f>IF($F$12=0,0,IF(予定価格!$G$427=0,ROUND(予定価格!H332*(入力表!$F$12/予定価格!$H$431),-H344),ROUND((予定価格!G332*(入力表!$F$12-予定価格!$H$431)/予定価格!$G$431)+予定価格!H332,-H344)))+I344</f>
        <v>0</v>
      </c>
      <c r="G344" s="258"/>
      <c r="H344" s="47">
        <f t="shared" si="90"/>
        <v>4</v>
      </c>
      <c r="I344" s="48">
        <f t="shared" si="86"/>
        <v>0</v>
      </c>
      <c r="J344" s="116">
        <f t="shared" si="87"/>
        <v>0</v>
      </c>
      <c r="K344" s="19">
        <f t="shared" si="88"/>
        <v>0</v>
      </c>
      <c r="L344" s="50"/>
      <c r="M344" s="13">
        <f>ROUND(予定価格!B332*査定表!$B$437,-$F$14)</f>
        <v>0</v>
      </c>
      <c r="N344">
        <f>IF(M344=0,1,M344/予定価格!B332)</f>
        <v>1</v>
      </c>
      <c r="O344">
        <f t="shared" si="91"/>
        <v>21</v>
      </c>
      <c r="P344">
        <f t="shared" si="92"/>
        <v>0</v>
      </c>
      <c r="Q344">
        <f>IF(M344=0,0,M344/予定価格!B332)</f>
        <v>0</v>
      </c>
      <c r="R344">
        <f t="shared" si="93"/>
        <v>21</v>
      </c>
      <c r="S344">
        <f t="shared" si="94"/>
        <v>0</v>
      </c>
      <c r="T344" s="13">
        <f t="shared" si="95"/>
        <v>0</v>
      </c>
      <c r="U344" s="13" t="e">
        <f>IF(予定価格!$G$427=0,ROUND(予定価格!H332*(入力表!$F$12/予定価格!$H$431),-$F$14),ROUND((予定価格!G332*(入力表!$F$12-予定価格!$H$431)/予定価格!$G$431)+予定価格!H332,-$F$14))</f>
        <v>#DIV/0!</v>
      </c>
      <c r="V344" t="e">
        <f>IF(U344=0,1,IF(予定価格!O332=0,1,(U344-予定価格!P332)/予定価格!O332))</f>
        <v>#DIV/0!</v>
      </c>
      <c r="W344" t="e">
        <f t="shared" si="96"/>
        <v>#DIV/0!</v>
      </c>
      <c r="X344" t="e">
        <f t="shared" si="97"/>
        <v>#DIV/0!</v>
      </c>
      <c r="Y344" t="e">
        <f>IF(U344=0,0,IF(予定価格!G332=0,0,(U344-予定価格!H332)/予定価格!G332))</f>
        <v>#DIV/0!</v>
      </c>
      <c r="Z344" t="e">
        <f t="shared" si="98"/>
        <v>#DIV/0!</v>
      </c>
      <c r="AA344" t="e">
        <f t="shared" si="99"/>
        <v>#DIV/0!</v>
      </c>
      <c r="AB344" s="13" t="e">
        <f t="shared" si="100"/>
        <v>#DIV/0!</v>
      </c>
    </row>
    <row r="345" spans="1:28" hidden="1" x14ac:dyDescent="0.15">
      <c r="A345">
        <f>+予定価格!A333</f>
        <v>0</v>
      </c>
      <c r="B345" s="258">
        <f>ROUND(予定価格!B333*査定表!$B$437,-D345)+E345</f>
        <v>0</v>
      </c>
      <c r="C345" s="258"/>
      <c r="D345" s="45">
        <f t="shared" si="89"/>
        <v>4</v>
      </c>
      <c r="E345" s="46">
        <f t="shared" si="85"/>
        <v>0</v>
      </c>
      <c r="F345" s="258">
        <f>IF($F$12=0,0,IF(予定価格!$G$427=0,ROUND(予定価格!H333*(入力表!$F$12/予定価格!$H$431),-H345),ROUND((予定価格!G333*(入力表!$F$12-予定価格!$H$431)/予定価格!$G$431)+予定価格!H333,-H345)))+I345</f>
        <v>0</v>
      </c>
      <c r="G345" s="258"/>
      <c r="H345" s="47">
        <f t="shared" si="90"/>
        <v>4</v>
      </c>
      <c r="I345" s="48">
        <f t="shared" si="86"/>
        <v>0</v>
      </c>
      <c r="J345" s="116">
        <f t="shared" si="87"/>
        <v>0</v>
      </c>
      <c r="K345" s="19">
        <f t="shared" si="88"/>
        <v>0</v>
      </c>
      <c r="L345" s="50"/>
      <c r="M345" s="13">
        <f>ROUND(予定価格!B333*査定表!$B$437,-$F$14)</f>
        <v>0</v>
      </c>
      <c r="N345">
        <f>IF(M345=0,1,M345/予定価格!B333)</f>
        <v>1</v>
      </c>
      <c r="O345">
        <f t="shared" si="91"/>
        <v>21</v>
      </c>
      <c r="P345">
        <f t="shared" si="92"/>
        <v>0</v>
      </c>
      <c r="Q345">
        <f>IF(M345=0,0,M345/予定価格!B333)</f>
        <v>0</v>
      </c>
      <c r="R345">
        <f t="shared" si="93"/>
        <v>21</v>
      </c>
      <c r="S345">
        <f t="shared" si="94"/>
        <v>0</v>
      </c>
      <c r="T345" s="13">
        <f t="shared" si="95"/>
        <v>0</v>
      </c>
      <c r="U345" s="13" t="e">
        <f>IF(予定価格!$G$427=0,ROUND(予定価格!H333*(入力表!$F$12/予定価格!$H$431),-$F$14),ROUND((予定価格!G333*(入力表!$F$12-予定価格!$H$431)/予定価格!$G$431)+予定価格!H333,-$F$14))</f>
        <v>#DIV/0!</v>
      </c>
      <c r="V345" t="e">
        <f>IF(U345=0,1,IF(予定価格!O333=0,1,(U345-予定価格!P333)/予定価格!O333))</f>
        <v>#DIV/0!</v>
      </c>
      <c r="W345" t="e">
        <f t="shared" si="96"/>
        <v>#DIV/0!</v>
      </c>
      <c r="X345" t="e">
        <f t="shared" si="97"/>
        <v>#DIV/0!</v>
      </c>
      <c r="Y345" t="e">
        <f>IF(U345=0,0,IF(予定価格!G333=0,0,(U345-予定価格!H333)/予定価格!G333))</f>
        <v>#DIV/0!</v>
      </c>
      <c r="Z345" t="e">
        <f t="shared" si="98"/>
        <v>#DIV/0!</v>
      </c>
      <c r="AA345" t="e">
        <f t="shared" si="99"/>
        <v>#DIV/0!</v>
      </c>
      <c r="AB345" s="13" t="e">
        <f t="shared" si="100"/>
        <v>#DIV/0!</v>
      </c>
    </row>
    <row r="346" spans="1:28" hidden="1" x14ac:dyDescent="0.15">
      <c r="A346">
        <f>+予定価格!A334</f>
        <v>0</v>
      </c>
      <c r="B346" s="258">
        <f>ROUND(予定価格!B334*査定表!$B$437,-D346)+E346</f>
        <v>0</v>
      </c>
      <c r="C346" s="258"/>
      <c r="D346" s="45">
        <f t="shared" si="89"/>
        <v>4</v>
      </c>
      <c r="E346" s="46">
        <f t="shared" si="85"/>
        <v>0</v>
      </c>
      <c r="F346" s="258">
        <f>IF($F$12=0,0,IF(予定価格!$G$427=0,ROUND(予定価格!H334*(入力表!$F$12/予定価格!$H$431),-H346),ROUND((予定価格!G334*(入力表!$F$12-予定価格!$H$431)/予定価格!$G$431)+予定価格!H334,-H346)))+I346</f>
        <v>0</v>
      </c>
      <c r="G346" s="258"/>
      <c r="H346" s="47">
        <f t="shared" si="90"/>
        <v>4</v>
      </c>
      <c r="I346" s="48">
        <f t="shared" si="86"/>
        <v>0</v>
      </c>
      <c r="J346" s="116">
        <f t="shared" si="87"/>
        <v>0</v>
      </c>
      <c r="K346" s="19">
        <f t="shared" si="88"/>
        <v>0</v>
      </c>
      <c r="L346" s="50"/>
      <c r="M346" s="13">
        <f>ROUND(予定価格!B334*査定表!$B$437,-$F$14)</f>
        <v>0</v>
      </c>
      <c r="N346">
        <f>IF(M346=0,1,M346/予定価格!B334)</f>
        <v>1</v>
      </c>
      <c r="O346">
        <f t="shared" si="91"/>
        <v>21</v>
      </c>
      <c r="P346">
        <f t="shared" si="92"/>
        <v>0</v>
      </c>
      <c r="Q346">
        <f>IF(M346=0,0,M346/予定価格!B334)</f>
        <v>0</v>
      </c>
      <c r="R346">
        <f t="shared" si="93"/>
        <v>21</v>
      </c>
      <c r="S346">
        <f t="shared" si="94"/>
        <v>0</v>
      </c>
      <c r="T346" s="13">
        <f t="shared" si="95"/>
        <v>0</v>
      </c>
      <c r="U346" s="13" t="e">
        <f>IF(予定価格!$G$427=0,ROUND(予定価格!H334*(入力表!$F$12/予定価格!$H$431),-$F$14),ROUND((予定価格!G334*(入力表!$F$12-予定価格!$H$431)/予定価格!$G$431)+予定価格!H334,-$F$14))</f>
        <v>#DIV/0!</v>
      </c>
      <c r="V346" t="e">
        <f>IF(U346=0,1,IF(予定価格!O334=0,1,(U346-予定価格!P334)/予定価格!O334))</f>
        <v>#DIV/0!</v>
      </c>
      <c r="W346" t="e">
        <f t="shared" si="96"/>
        <v>#DIV/0!</v>
      </c>
      <c r="X346" t="e">
        <f t="shared" si="97"/>
        <v>#DIV/0!</v>
      </c>
      <c r="Y346" t="e">
        <f>IF(U346=0,0,IF(予定価格!G334=0,0,(U346-予定価格!H334)/予定価格!G334))</f>
        <v>#DIV/0!</v>
      </c>
      <c r="Z346" t="e">
        <f t="shared" si="98"/>
        <v>#DIV/0!</v>
      </c>
      <c r="AA346" t="e">
        <f t="shared" si="99"/>
        <v>#DIV/0!</v>
      </c>
      <c r="AB346" s="13" t="e">
        <f t="shared" si="100"/>
        <v>#DIV/0!</v>
      </c>
    </row>
    <row r="347" spans="1:28" hidden="1" x14ac:dyDescent="0.15">
      <c r="A347">
        <f>+予定価格!A335</f>
        <v>0</v>
      </c>
      <c r="B347" s="258">
        <f>ROUND(予定価格!B335*査定表!$B$437,-D347)+E347</f>
        <v>0</v>
      </c>
      <c r="C347" s="258"/>
      <c r="D347" s="45">
        <f t="shared" si="89"/>
        <v>4</v>
      </c>
      <c r="E347" s="46">
        <f t="shared" si="85"/>
        <v>0</v>
      </c>
      <c r="F347" s="258">
        <f>IF($F$12=0,0,IF(予定価格!$G$427=0,ROUND(予定価格!H335*(入力表!$F$12/予定価格!$H$431),-H347),ROUND((予定価格!G335*(入力表!$F$12-予定価格!$H$431)/予定価格!$G$431)+予定価格!H335,-H347)))+I347</f>
        <v>0</v>
      </c>
      <c r="G347" s="258"/>
      <c r="H347" s="47">
        <f t="shared" si="90"/>
        <v>4</v>
      </c>
      <c r="I347" s="48">
        <f t="shared" si="86"/>
        <v>0</v>
      </c>
      <c r="J347" s="116">
        <f t="shared" si="87"/>
        <v>0</v>
      </c>
      <c r="K347" s="19">
        <f t="shared" si="88"/>
        <v>0</v>
      </c>
      <c r="L347" s="50"/>
      <c r="M347" s="13">
        <f>ROUND(予定価格!B335*査定表!$B$437,-$F$14)</f>
        <v>0</v>
      </c>
      <c r="N347">
        <f>IF(M347=0,1,M347/予定価格!B335)</f>
        <v>1</v>
      </c>
      <c r="O347">
        <f t="shared" si="91"/>
        <v>21</v>
      </c>
      <c r="P347">
        <f t="shared" si="92"/>
        <v>0</v>
      </c>
      <c r="Q347">
        <f>IF(M347=0,0,M347/予定価格!B335)</f>
        <v>0</v>
      </c>
      <c r="R347">
        <f t="shared" si="93"/>
        <v>21</v>
      </c>
      <c r="S347">
        <f t="shared" si="94"/>
        <v>0</v>
      </c>
      <c r="T347" s="13">
        <f t="shared" si="95"/>
        <v>0</v>
      </c>
      <c r="U347" s="13" t="e">
        <f>IF(予定価格!$G$427=0,ROUND(予定価格!H335*(入力表!$F$12/予定価格!$H$431),-$F$14),ROUND((予定価格!G335*(入力表!$F$12-予定価格!$H$431)/予定価格!$G$431)+予定価格!H335,-$F$14))</f>
        <v>#DIV/0!</v>
      </c>
      <c r="V347" t="e">
        <f>IF(U347=0,1,IF(予定価格!O335=0,1,(U347-予定価格!P335)/予定価格!O335))</f>
        <v>#DIV/0!</v>
      </c>
      <c r="W347" t="e">
        <f t="shared" si="96"/>
        <v>#DIV/0!</v>
      </c>
      <c r="X347" t="e">
        <f t="shared" si="97"/>
        <v>#DIV/0!</v>
      </c>
      <c r="Y347" t="e">
        <f>IF(U347=0,0,IF(予定価格!G335=0,0,(U347-予定価格!H335)/予定価格!G335))</f>
        <v>#DIV/0!</v>
      </c>
      <c r="Z347" t="e">
        <f t="shared" si="98"/>
        <v>#DIV/0!</v>
      </c>
      <c r="AA347" t="e">
        <f t="shared" si="99"/>
        <v>#DIV/0!</v>
      </c>
      <c r="AB347" s="13" t="e">
        <f t="shared" si="100"/>
        <v>#DIV/0!</v>
      </c>
    </row>
    <row r="348" spans="1:28" hidden="1" x14ac:dyDescent="0.15">
      <c r="A348">
        <f>+予定価格!A336</f>
        <v>0</v>
      </c>
      <c r="B348" s="258">
        <f>ROUND(予定価格!B336*査定表!$B$437,-D348)+E348</f>
        <v>0</v>
      </c>
      <c r="C348" s="258"/>
      <c r="D348" s="45">
        <f t="shared" si="89"/>
        <v>4</v>
      </c>
      <c r="E348" s="46">
        <f t="shared" si="85"/>
        <v>0</v>
      </c>
      <c r="F348" s="258">
        <f>IF($F$12=0,0,IF(予定価格!$G$427=0,ROUND(予定価格!H336*(入力表!$F$12/予定価格!$H$431),-H348),ROUND((予定価格!G336*(入力表!$F$12-予定価格!$H$431)/予定価格!$G$431)+予定価格!H336,-H348)))+I348</f>
        <v>0</v>
      </c>
      <c r="G348" s="258"/>
      <c r="H348" s="47">
        <f t="shared" si="90"/>
        <v>4</v>
      </c>
      <c r="I348" s="48">
        <f t="shared" si="86"/>
        <v>0</v>
      </c>
      <c r="J348" s="116">
        <f t="shared" si="87"/>
        <v>0</v>
      </c>
      <c r="K348" s="19">
        <f t="shared" si="88"/>
        <v>0</v>
      </c>
      <c r="L348" s="50"/>
      <c r="M348" s="13">
        <f>ROUND(予定価格!B336*査定表!$B$437,-$F$14)</f>
        <v>0</v>
      </c>
      <c r="N348">
        <f>IF(M348=0,1,M348/予定価格!B336)</f>
        <v>1</v>
      </c>
      <c r="O348">
        <f t="shared" si="91"/>
        <v>21</v>
      </c>
      <c r="P348">
        <f t="shared" si="92"/>
        <v>0</v>
      </c>
      <c r="Q348">
        <f>IF(M348=0,0,M348/予定価格!B336)</f>
        <v>0</v>
      </c>
      <c r="R348">
        <f t="shared" si="93"/>
        <v>21</v>
      </c>
      <c r="S348">
        <f t="shared" si="94"/>
        <v>0</v>
      </c>
      <c r="T348" s="13">
        <f t="shared" si="95"/>
        <v>0</v>
      </c>
      <c r="U348" s="13" t="e">
        <f>IF(予定価格!$G$427=0,ROUND(予定価格!H336*(入力表!$F$12/予定価格!$H$431),-$F$14),ROUND((予定価格!G336*(入力表!$F$12-予定価格!$H$431)/予定価格!$G$431)+予定価格!H336,-$F$14))</f>
        <v>#DIV/0!</v>
      </c>
      <c r="V348" t="e">
        <f>IF(U348=0,1,IF(予定価格!O336=0,1,(U348-予定価格!P336)/予定価格!O336))</f>
        <v>#DIV/0!</v>
      </c>
      <c r="W348" t="e">
        <f t="shared" si="96"/>
        <v>#DIV/0!</v>
      </c>
      <c r="X348" t="e">
        <f t="shared" si="97"/>
        <v>#DIV/0!</v>
      </c>
      <c r="Y348" t="e">
        <f>IF(U348=0,0,IF(予定価格!G336=0,0,(U348-予定価格!H336)/予定価格!G336))</f>
        <v>#DIV/0!</v>
      </c>
      <c r="Z348" t="e">
        <f t="shared" si="98"/>
        <v>#DIV/0!</v>
      </c>
      <c r="AA348" t="e">
        <f t="shared" si="99"/>
        <v>#DIV/0!</v>
      </c>
      <c r="AB348" s="13" t="e">
        <f t="shared" si="100"/>
        <v>#DIV/0!</v>
      </c>
    </row>
    <row r="349" spans="1:28" hidden="1" x14ac:dyDescent="0.15">
      <c r="A349">
        <f>+予定価格!A337</f>
        <v>0</v>
      </c>
      <c r="B349" s="258">
        <f>ROUND(予定価格!B337*査定表!$B$437,-D349)+E349</f>
        <v>0</v>
      </c>
      <c r="C349" s="258"/>
      <c r="D349" s="45">
        <f t="shared" si="89"/>
        <v>4</v>
      </c>
      <c r="E349" s="46">
        <f t="shared" si="85"/>
        <v>0</v>
      </c>
      <c r="F349" s="258">
        <f>IF($F$12=0,0,IF(予定価格!$G$427=0,ROUND(予定価格!H337*(入力表!$F$12/予定価格!$H$431),-H349),ROUND((予定価格!G337*(入力表!$F$12-予定価格!$H$431)/予定価格!$G$431)+予定価格!H337,-H349)))+I349</f>
        <v>0</v>
      </c>
      <c r="G349" s="258"/>
      <c r="H349" s="47">
        <f t="shared" si="90"/>
        <v>4</v>
      </c>
      <c r="I349" s="48">
        <f t="shared" si="86"/>
        <v>0</v>
      </c>
      <c r="J349" s="116">
        <f t="shared" si="87"/>
        <v>0</v>
      </c>
      <c r="K349" s="19">
        <f t="shared" si="88"/>
        <v>0</v>
      </c>
      <c r="L349" s="50"/>
      <c r="M349" s="13">
        <f>ROUND(予定価格!B337*査定表!$B$437,-$F$14)</f>
        <v>0</v>
      </c>
      <c r="N349">
        <f>IF(M349=0,1,M349/予定価格!B337)</f>
        <v>1</v>
      </c>
      <c r="O349">
        <f t="shared" si="91"/>
        <v>21</v>
      </c>
      <c r="P349">
        <f t="shared" si="92"/>
        <v>0</v>
      </c>
      <c r="Q349">
        <f>IF(M349=0,0,M349/予定価格!B337)</f>
        <v>0</v>
      </c>
      <c r="R349">
        <f t="shared" si="93"/>
        <v>21</v>
      </c>
      <c r="S349">
        <f t="shared" si="94"/>
        <v>0</v>
      </c>
      <c r="T349" s="13">
        <f t="shared" si="95"/>
        <v>0</v>
      </c>
      <c r="U349" s="13" t="e">
        <f>IF(予定価格!$G$427=0,ROUND(予定価格!H337*(入力表!$F$12/予定価格!$H$431),-$F$14),ROUND((予定価格!G337*(入力表!$F$12-予定価格!$H$431)/予定価格!$G$431)+予定価格!H337,-$F$14))</f>
        <v>#DIV/0!</v>
      </c>
      <c r="V349" t="e">
        <f>IF(U349=0,1,IF(予定価格!O337=0,1,(U349-予定価格!P337)/予定価格!O337))</f>
        <v>#DIV/0!</v>
      </c>
      <c r="W349" t="e">
        <f t="shared" si="96"/>
        <v>#DIV/0!</v>
      </c>
      <c r="X349" t="e">
        <f t="shared" si="97"/>
        <v>#DIV/0!</v>
      </c>
      <c r="Y349" t="e">
        <f>IF(U349=0,0,IF(予定価格!G337=0,0,(U349-予定価格!H337)/予定価格!G337))</f>
        <v>#DIV/0!</v>
      </c>
      <c r="Z349" t="e">
        <f t="shared" si="98"/>
        <v>#DIV/0!</v>
      </c>
      <c r="AA349" t="e">
        <f t="shared" si="99"/>
        <v>#DIV/0!</v>
      </c>
      <c r="AB349" s="13" t="e">
        <f t="shared" si="100"/>
        <v>#DIV/0!</v>
      </c>
    </row>
    <row r="350" spans="1:28" hidden="1" x14ac:dyDescent="0.15">
      <c r="A350">
        <f>+予定価格!A338</f>
        <v>0</v>
      </c>
      <c r="B350" s="258">
        <f>ROUND(予定価格!B338*査定表!$B$437,-D350)+E350</f>
        <v>0</v>
      </c>
      <c r="C350" s="258"/>
      <c r="D350" s="45">
        <f t="shared" si="89"/>
        <v>4</v>
      </c>
      <c r="E350" s="46">
        <f t="shared" si="85"/>
        <v>0</v>
      </c>
      <c r="F350" s="258">
        <f>IF($F$12=0,0,IF(予定価格!$G$427=0,ROUND(予定価格!H338*(入力表!$F$12/予定価格!$H$431),-H350),ROUND((予定価格!G338*(入力表!$F$12-予定価格!$H$431)/予定価格!$G$431)+予定価格!H338,-H350)))+I350</f>
        <v>0</v>
      </c>
      <c r="G350" s="258"/>
      <c r="H350" s="47">
        <f t="shared" si="90"/>
        <v>4</v>
      </c>
      <c r="I350" s="48">
        <f t="shared" si="86"/>
        <v>0</v>
      </c>
      <c r="J350" s="116">
        <f t="shared" si="87"/>
        <v>0</v>
      </c>
      <c r="K350" s="19">
        <f t="shared" si="88"/>
        <v>0</v>
      </c>
      <c r="L350" s="50"/>
      <c r="M350" s="13">
        <f>ROUND(予定価格!B338*査定表!$B$437,-$F$14)</f>
        <v>0</v>
      </c>
      <c r="N350">
        <f>IF(M350=0,1,M350/予定価格!B338)</f>
        <v>1</v>
      </c>
      <c r="O350">
        <f t="shared" si="91"/>
        <v>21</v>
      </c>
      <c r="P350">
        <f t="shared" si="92"/>
        <v>0</v>
      </c>
      <c r="Q350">
        <f>IF(M350=0,0,M350/予定価格!B338)</f>
        <v>0</v>
      </c>
      <c r="R350">
        <f t="shared" si="93"/>
        <v>21</v>
      </c>
      <c r="S350">
        <f t="shared" si="94"/>
        <v>0</v>
      </c>
      <c r="T350" s="13">
        <f t="shared" si="95"/>
        <v>0</v>
      </c>
      <c r="U350" s="13" t="e">
        <f>IF(予定価格!$G$427=0,ROUND(予定価格!H338*(入力表!$F$12/予定価格!$H$431),-$F$14),ROUND((予定価格!G338*(入力表!$F$12-予定価格!$H$431)/予定価格!$G$431)+予定価格!H338,-$F$14))</f>
        <v>#DIV/0!</v>
      </c>
      <c r="V350" t="e">
        <f>IF(U350=0,1,IF(予定価格!O338=0,1,(U350-予定価格!P338)/予定価格!O338))</f>
        <v>#DIV/0!</v>
      </c>
      <c r="W350" t="e">
        <f t="shared" si="96"/>
        <v>#DIV/0!</v>
      </c>
      <c r="X350" t="e">
        <f t="shared" si="97"/>
        <v>#DIV/0!</v>
      </c>
      <c r="Y350" t="e">
        <f>IF(U350=0,0,IF(予定価格!G338=0,0,(U350-予定価格!H338)/予定価格!G338))</f>
        <v>#DIV/0!</v>
      </c>
      <c r="Z350" t="e">
        <f t="shared" si="98"/>
        <v>#DIV/0!</v>
      </c>
      <c r="AA350" t="e">
        <f t="shared" si="99"/>
        <v>#DIV/0!</v>
      </c>
      <c r="AB350" s="13" t="e">
        <f t="shared" si="100"/>
        <v>#DIV/0!</v>
      </c>
    </row>
    <row r="351" spans="1:28" hidden="1" x14ac:dyDescent="0.15">
      <c r="A351">
        <f>+予定価格!A339</f>
        <v>0</v>
      </c>
      <c r="B351" s="258">
        <f>ROUND(予定価格!B339*査定表!$B$437,-D351)+E351</f>
        <v>0</v>
      </c>
      <c r="C351" s="258"/>
      <c r="D351" s="45">
        <f t="shared" si="89"/>
        <v>4</v>
      </c>
      <c r="E351" s="46">
        <f t="shared" si="85"/>
        <v>0</v>
      </c>
      <c r="F351" s="258">
        <f>IF($F$12=0,0,IF(予定価格!$G$427=0,ROUND(予定価格!H339*(入力表!$F$12/予定価格!$H$431),-H351),ROUND((予定価格!G339*(入力表!$F$12-予定価格!$H$431)/予定価格!$G$431)+予定価格!H339,-H351)))+I351</f>
        <v>0</v>
      </c>
      <c r="G351" s="258"/>
      <c r="H351" s="47">
        <f t="shared" si="90"/>
        <v>4</v>
      </c>
      <c r="I351" s="48">
        <f t="shared" si="86"/>
        <v>0</v>
      </c>
      <c r="J351" s="116">
        <f t="shared" si="87"/>
        <v>0</v>
      </c>
      <c r="K351" s="19">
        <f t="shared" si="88"/>
        <v>0</v>
      </c>
      <c r="L351" s="50"/>
      <c r="M351" s="13">
        <f>ROUND(予定価格!B339*査定表!$B$437,-$F$14)</f>
        <v>0</v>
      </c>
      <c r="N351">
        <f>IF(M351=0,1,M351/予定価格!B339)</f>
        <v>1</v>
      </c>
      <c r="O351">
        <f t="shared" si="91"/>
        <v>21</v>
      </c>
      <c r="P351">
        <f t="shared" si="92"/>
        <v>0</v>
      </c>
      <c r="Q351">
        <f>IF(M351=0,0,M351/予定価格!B339)</f>
        <v>0</v>
      </c>
      <c r="R351">
        <f t="shared" si="93"/>
        <v>21</v>
      </c>
      <c r="S351">
        <f t="shared" si="94"/>
        <v>0</v>
      </c>
      <c r="T351" s="13">
        <f t="shared" si="95"/>
        <v>0</v>
      </c>
      <c r="U351" s="13" t="e">
        <f>IF(予定価格!$G$427=0,ROUND(予定価格!H339*(入力表!$F$12/予定価格!$H$431),-$F$14),ROUND((予定価格!G339*(入力表!$F$12-予定価格!$H$431)/予定価格!$G$431)+予定価格!H339,-$F$14))</f>
        <v>#DIV/0!</v>
      </c>
      <c r="V351" t="e">
        <f>IF(U351=0,1,IF(予定価格!O339=0,1,(U351-予定価格!P339)/予定価格!O339))</f>
        <v>#DIV/0!</v>
      </c>
      <c r="W351" t="e">
        <f t="shared" si="96"/>
        <v>#DIV/0!</v>
      </c>
      <c r="X351" t="e">
        <f t="shared" si="97"/>
        <v>#DIV/0!</v>
      </c>
      <c r="Y351" t="e">
        <f>IF(U351=0,0,IF(予定価格!G339=0,0,(U351-予定価格!H339)/予定価格!G339))</f>
        <v>#DIV/0!</v>
      </c>
      <c r="Z351" t="e">
        <f t="shared" si="98"/>
        <v>#DIV/0!</v>
      </c>
      <c r="AA351" t="e">
        <f t="shared" si="99"/>
        <v>#DIV/0!</v>
      </c>
      <c r="AB351" s="13" t="e">
        <f t="shared" si="100"/>
        <v>#DIV/0!</v>
      </c>
    </row>
    <row r="352" spans="1:28" hidden="1" x14ac:dyDescent="0.15">
      <c r="A352">
        <f>+予定価格!A340</f>
        <v>0</v>
      </c>
      <c r="B352" s="258">
        <f>ROUND(予定価格!B340*査定表!$B$437,-D352)+E352</f>
        <v>0</v>
      </c>
      <c r="C352" s="258"/>
      <c r="D352" s="45">
        <f t="shared" si="89"/>
        <v>4</v>
      </c>
      <c r="E352" s="46">
        <f t="shared" si="85"/>
        <v>0</v>
      </c>
      <c r="F352" s="258">
        <f>IF($F$12=0,0,IF(予定価格!$G$427=0,ROUND(予定価格!H340*(入力表!$F$12/予定価格!$H$431),-H352),ROUND((予定価格!G340*(入力表!$F$12-予定価格!$H$431)/予定価格!$G$431)+予定価格!H340,-H352)))+I352</f>
        <v>0</v>
      </c>
      <c r="G352" s="258"/>
      <c r="H352" s="47">
        <f t="shared" si="90"/>
        <v>4</v>
      </c>
      <c r="I352" s="48">
        <f t="shared" si="86"/>
        <v>0</v>
      </c>
      <c r="J352" s="116">
        <f t="shared" si="87"/>
        <v>0</v>
      </c>
      <c r="K352" s="19">
        <f t="shared" si="88"/>
        <v>0</v>
      </c>
      <c r="L352" s="50"/>
      <c r="M352" s="13">
        <f>ROUND(予定価格!B340*査定表!$B$437,-$F$14)</f>
        <v>0</v>
      </c>
      <c r="N352">
        <f>IF(M352=0,1,M352/予定価格!B340)</f>
        <v>1</v>
      </c>
      <c r="O352">
        <f t="shared" si="91"/>
        <v>21</v>
      </c>
      <c r="P352">
        <f t="shared" si="92"/>
        <v>0</v>
      </c>
      <c r="Q352">
        <f>IF(M352=0,0,M352/予定価格!B340)</f>
        <v>0</v>
      </c>
      <c r="R352">
        <f t="shared" si="93"/>
        <v>21</v>
      </c>
      <c r="S352">
        <f t="shared" si="94"/>
        <v>0</v>
      </c>
      <c r="T352" s="13">
        <f t="shared" si="95"/>
        <v>0</v>
      </c>
      <c r="U352" s="13" t="e">
        <f>IF(予定価格!$G$427=0,ROUND(予定価格!H340*(入力表!$F$12/予定価格!$H$431),-$F$14),ROUND((予定価格!G340*(入力表!$F$12-予定価格!$H$431)/予定価格!$G$431)+予定価格!H340,-$F$14))</f>
        <v>#DIV/0!</v>
      </c>
      <c r="V352" t="e">
        <f>IF(U352=0,1,IF(予定価格!O340=0,1,(U352-予定価格!P340)/予定価格!O340))</f>
        <v>#DIV/0!</v>
      </c>
      <c r="W352" t="e">
        <f t="shared" si="96"/>
        <v>#DIV/0!</v>
      </c>
      <c r="X352" t="e">
        <f t="shared" si="97"/>
        <v>#DIV/0!</v>
      </c>
      <c r="Y352" t="e">
        <f>IF(U352=0,0,IF(予定価格!G340=0,0,(U352-予定価格!H340)/予定価格!G340))</f>
        <v>#DIV/0!</v>
      </c>
      <c r="Z352" t="e">
        <f t="shared" si="98"/>
        <v>#DIV/0!</v>
      </c>
      <c r="AA352" t="e">
        <f t="shared" si="99"/>
        <v>#DIV/0!</v>
      </c>
      <c r="AB352" s="13" t="e">
        <f t="shared" si="100"/>
        <v>#DIV/0!</v>
      </c>
    </row>
    <row r="353" spans="1:28" hidden="1" x14ac:dyDescent="0.15">
      <c r="A353">
        <f>+予定価格!A341</f>
        <v>0</v>
      </c>
      <c r="B353" s="258">
        <f>ROUND(予定価格!B341*査定表!$B$437,-D353)+E353</f>
        <v>0</v>
      </c>
      <c r="C353" s="258"/>
      <c r="D353" s="45">
        <f t="shared" si="89"/>
        <v>4</v>
      </c>
      <c r="E353" s="46">
        <f t="shared" si="85"/>
        <v>0</v>
      </c>
      <c r="F353" s="258">
        <f>IF($F$12=0,0,IF(予定価格!$G$427=0,ROUND(予定価格!H341*(入力表!$F$12/予定価格!$H$431),-H353),ROUND((予定価格!G341*(入力表!$F$12-予定価格!$H$431)/予定価格!$G$431)+予定価格!H341,-H353)))+I353</f>
        <v>0</v>
      </c>
      <c r="G353" s="258"/>
      <c r="H353" s="47">
        <f t="shared" si="90"/>
        <v>4</v>
      </c>
      <c r="I353" s="48">
        <f t="shared" si="86"/>
        <v>0</v>
      </c>
      <c r="J353" s="116">
        <f t="shared" si="87"/>
        <v>0</v>
      </c>
      <c r="K353" s="19">
        <f t="shared" si="88"/>
        <v>0</v>
      </c>
      <c r="L353" s="50"/>
      <c r="M353" s="13">
        <f>ROUND(予定価格!B341*査定表!$B$437,-$F$14)</f>
        <v>0</v>
      </c>
      <c r="N353">
        <f>IF(M353=0,1,M353/予定価格!B341)</f>
        <v>1</v>
      </c>
      <c r="O353">
        <f t="shared" si="91"/>
        <v>21</v>
      </c>
      <c r="P353">
        <f t="shared" si="92"/>
        <v>0</v>
      </c>
      <c r="Q353">
        <f>IF(M353=0,0,M353/予定価格!B341)</f>
        <v>0</v>
      </c>
      <c r="R353">
        <f t="shared" si="93"/>
        <v>21</v>
      </c>
      <c r="S353">
        <f t="shared" si="94"/>
        <v>0</v>
      </c>
      <c r="T353" s="13">
        <f t="shared" si="95"/>
        <v>0</v>
      </c>
      <c r="U353" s="13" t="e">
        <f>IF(予定価格!$G$427=0,ROUND(予定価格!H341*(入力表!$F$12/予定価格!$H$431),-$F$14),ROUND((予定価格!G341*(入力表!$F$12-予定価格!$H$431)/予定価格!$G$431)+予定価格!H341,-$F$14))</f>
        <v>#DIV/0!</v>
      </c>
      <c r="V353" t="e">
        <f>IF(U353=0,1,IF(予定価格!O341=0,1,(U353-予定価格!P341)/予定価格!O341))</f>
        <v>#DIV/0!</v>
      </c>
      <c r="W353" t="e">
        <f t="shared" si="96"/>
        <v>#DIV/0!</v>
      </c>
      <c r="X353" t="e">
        <f t="shared" si="97"/>
        <v>#DIV/0!</v>
      </c>
      <c r="Y353" t="e">
        <f>IF(U353=0,0,IF(予定価格!G341=0,0,(U353-予定価格!H341)/予定価格!G341))</f>
        <v>#DIV/0!</v>
      </c>
      <c r="Z353" t="e">
        <f t="shared" si="98"/>
        <v>#DIV/0!</v>
      </c>
      <c r="AA353" t="e">
        <f t="shared" si="99"/>
        <v>#DIV/0!</v>
      </c>
      <c r="AB353" s="13" t="e">
        <f t="shared" si="100"/>
        <v>#DIV/0!</v>
      </c>
    </row>
    <row r="354" spans="1:28" hidden="1" x14ac:dyDescent="0.15">
      <c r="A354">
        <f>+予定価格!A342</f>
        <v>0</v>
      </c>
      <c r="B354" s="258">
        <f>ROUND(予定価格!B342*査定表!$B$437,-D354)+E354</f>
        <v>0</v>
      </c>
      <c r="C354" s="258"/>
      <c r="D354" s="45">
        <f t="shared" si="89"/>
        <v>4</v>
      </c>
      <c r="E354" s="46">
        <f t="shared" si="85"/>
        <v>0</v>
      </c>
      <c r="F354" s="258">
        <f>IF($F$12=0,0,IF(予定価格!$G$427=0,ROUND(予定価格!H342*(入力表!$F$12/予定価格!$H$431),-H354),ROUND((予定価格!G342*(入力表!$F$12-予定価格!$H$431)/予定価格!$G$431)+予定価格!H342,-H354)))+I354</f>
        <v>0</v>
      </c>
      <c r="G354" s="258"/>
      <c r="H354" s="47">
        <f t="shared" si="90"/>
        <v>4</v>
      </c>
      <c r="I354" s="48">
        <f t="shared" si="86"/>
        <v>0</v>
      </c>
      <c r="J354" s="116">
        <f t="shared" si="87"/>
        <v>0</v>
      </c>
      <c r="K354" s="19">
        <f t="shared" si="88"/>
        <v>0</v>
      </c>
      <c r="L354" s="50"/>
      <c r="M354" s="13">
        <f>ROUND(予定価格!B342*査定表!$B$437,-$F$14)</f>
        <v>0</v>
      </c>
      <c r="N354">
        <f>IF(M354=0,1,M354/予定価格!B342)</f>
        <v>1</v>
      </c>
      <c r="O354">
        <f t="shared" si="91"/>
        <v>21</v>
      </c>
      <c r="P354">
        <f t="shared" si="92"/>
        <v>0</v>
      </c>
      <c r="Q354">
        <f>IF(M354=0,0,M354/予定価格!B342)</f>
        <v>0</v>
      </c>
      <c r="R354">
        <f t="shared" si="93"/>
        <v>21</v>
      </c>
      <c r="S354">
        <f t="shared" si="94"/>
        <v>0</v>
      </c>
      <c r="T354" s="13">
        <f t="shared" si="95"/>
        <v>0</v>
      </c>
      <c r="U354" s="13" t="e">
        <f>IF(予定価格!$G$427=0,ROUND(予定価格!H342*(入力表!$F$12/予定価格!$H$431),-$F$14),ROUND((予定価格!G342*(入力表!$F$12-予定価格!$H$431)/予定価格!$G$431)+予定価格!H342,-$F$14))</f>
        <v>#DIV/0!</v>
      </c>
      <c r="V354" t="e">
        <f>IF(U354=0,1,IF(予定価格!O342=0,1,(U354-予定価格!P342)/予定価格!O342))</f>
        <v>#DIV/0!</v>
      </c>
      <c r="W354" t="e">
        <f t="shared" si="96"/>
        <v>#DIV/0!</v>
      </c>
      <c r="X354" t="e">
        <f t="shared" si="97"/>
        <v>#DIV/0!</v>
      </c>
      <c r="Y354" t="e">
        <f>IF(U354=0,0,IF(予定価格!G342=0,0,(U354-予定価格!H342)/予定価格!G342))</f>
        <v>#DIV/0!</v>
      </c>
      <c r="Z354" t="e">
        <f t="shared" si="98"/>
        <v>#DIV/0!</v>
      </c>
      <c r="AA354" t="e">
        <f t="shared" si="99"/>
        <v>#DIV/0!</v>
      </c>
      <c r="AB354" s="13" t="e">
        <f t="shared" si="100"/>
        <v>#DIV/0!</v>
      </c>
    </row>
    <row r="355" spans="1:28" hidden="1" x14ac:dyDescent="0.15">
      <c r="A355">
        <f>+予定価格!A343</f>
        <v>0</v>
      </c>
      <c r="B355" s="258">
        <f>ROUND(予定価格!B343*査定表!$B$437,-D355)+E355</f>
        <v>0</v>
      </c>
      <c r="C355" s="258"/>
      <c r="D355" s="45">
        <f t="shared" si="89"/>
        <v>4</v>
      </c>
      <c r="E355" s="46">
        <f t="shared" si="85"/>
        <v>0</v>
      </c>
      <c r="F355" s="258">
        <f>IF($F$12=0,0,IF(予定価格!$G$427=0,ROUND(予定価格!H343*(入力表!$F$12/予定価格!$H$431),-H355),ROUND((予定価格!G343*(入力表!$F$12-予定価格!$H$431)/予定価格!$G$431)+予定価格!H343,-H355)))+I355</f>
        <v>0</v>
      </c>
      <c r="G355" s="258"/>
      <c r="H355" s="47">
        <f t="shared" si="90"/>
        <v>4</v>
      </c>
      <c r="I355" s="48">
        <f t="shared" si="86"/>
        <v>0</v>
      </c>
      <c r="J355" s="116">
        <f t="shared" si="87"/>
        <v>0</v>
      </c>
      <c r="K355" s="19">
        <f t="shared" si="88"/>
        <v>0</v>
      </c>
      <c r="L355" s="50"/>
      <c r="M355" s="13">
        <f>ROUND(予定価格!B343*査定表!$B$437,-$F$14)</f>
        <v>0</v>
      </c>
      <c r="N355">
        <f>IF(M355=0,1,M355/予定価格!B343)</f>
        <v>1</v>
      </c>
      <c r="O355">
        <f t="shared" si="91"/>
        <v>21</v>
      </c>
      <c r="P355">
        <f t="shared" si="92"/>
        <v>0</v>
      </c>
      <c r="Q355">
        <f>IF(M355=0,0,M355/予定価格!B343)</f>
        <v>0</v>
      </c>
      <c r="R355">
        <f t="shared" si="93"/>
        <v>21</v>
      </c>
      <c r="S355">
        <f t="shared" si="94"/>
        <v>0</v>
      </c>
      <c r="T355" s="13">
        <f t="shared" si="95"/>
        <v>0</v>
      </c>
      <c r="U355" s="13" t="e">
        <f>IF(予定価格!$G$427=0,ROUND(予定価格!H343*(入力表!$F$12/予定価格!$H$431),-$F$14),ROUND((予定価格!G343*(入力表!$F$12-予定価格!$H$431)/予定価格!$G$431)+予定価格!H343,-$F$14))</f>
        <v>#DIV/0!</v>
      </c>
      <c r="V355" t="e">
        <f>IF(U355=0,1,IF(予定価格!O343=0,1,(U355-予定価格!P343)/予定価格!O343))</f>
        <v>#DIV/0!</v>
      </c>
      <c r="W355" t="e">
        <f t="shared" si="96"/>
        <v>#DIV/0!</v>
      </c>
      <c r="X355" t="e">
        <f t="shared" si="97"/>
        <v>#DIV/0!</v>
      </c>
      <c r="Y355" t="e">
        <f>IF(U355=0,0,IF(予定価格!G343=0,0,(U355-予定価格!H343)/予定価格!G343))</f>
        <v>#DIV/0!</v>
      </c>
      <c r="Z355" t="e">
        <f t="shared" si="98"/>
        <v>#DIV/0!</v>
      </c>
      <c r="AA355" t="e">
        <f t="shared" si="99"/>
        <v>#DIV/0!</v>
      </c>
      <c r="AB355" s="13" t="e">
        <f t="shared" si="100"/>
        <v>#DIV/0!</v>
      </c>
    </row>
    <row r="356" spans="1:28" hidden="1" x14ac:dyDescent="0.15">
      <c r="A356">
        <f>+予定価格!A344</f>
        <v>0</v>
      </c>
      <c r="B356" s="258">
        <f>ROUND(予定価格!B344*査定表!$B$437,-D356)+E356</f>
        <v>0</v>
      </c>
      <c r="C356" s="258"/>
      <c r="D356" s="45">
        <f t="shared" si="89"/>
        <v>4</v>
      </c>
      <c r="E356" s="46">
        <f t="shared" si="85"/>
        <v>0</v>
      </c>
      <c r="F356" s="258">
        <f>IF($F$12=0,0,IF(予定価格!$G$427=0,ROUND(予定価格!H344*(入力表!$F$12/予定価格!$H$431),-H356),ROUND((予定価格!G344*(入力表!$F$12-予定価格!$H$431)/予定価格!$G$431)+予定価格!H344,-H356)))+I356</f>
        <v>0</v>
      </c>
      <c r="G356" s="258"/>
      <c r="H356" s="47">
        <f t="shared" si="90"/>
        <v>4</v>
      </c>
      <c r="I356" s="48">
        <f t="shared" si="86"/>
        <v>0</v>
      </c>
      <c r="J356" s="116">
        <f t="shared" si="87"/>
        <v>0</v>
      </c>
      <c r="K356" s="19">
        <f t="shared" si="88"/>
        <v>0</v>
      </c>
      <c r="L356" s="50"/>
      <c r="M356" s="13">
        <f>ROUND(予定価格!B344*査定表!$B$437,-$F$14)</f>
        <v>0</v>
      </c>
      <c r="N356">
        <f>IF(M356=0,1,M356/予定価格!B344)</f>
        <v>1</v>
      </c>
      <c r="O356">
        <f t="shared" si="91"/>
        <v>21</v>
      </c>
      <c r="P356">
        <f t="shared" si="92"/>
        <v>0</v>
      </c>
      <c r="Q356">
        <f>IF(M356=0,0,M356/予定価格!B344)</f>
        <v>0</v>
      </c>
      <c r="R356">
        <f t="shared" si="93"/>
        <v>21</v>
      </c>
      <c r="S356">
        <f t="shared" si="94"/>
        <v>0</v>
      </c>
      <c r="T356" s="13">
        <f t="shared" si="95"/>
        <v>0</v>
      </c>
      <c r="U356" s="13" t="e">
        <f>IF(予定価格!$G$427=0,ROUND(予定価格!H344*(入力表!$F$12/予定価格!$H$431),-$F$14),ROUND((予定価格!G344*(入力表!$F$12-予定価格!$H$431)/予定価格!$G$431)+予定価格!H344,-$F$14))</f>
        <v>#DIV/0!</v>
      </c>
      <c r="V356" t="e">
        <f>IF(U356=0,1,IF(予定価格!O344=0,1,(U356-予定価格!P344)/予定価格!O344))</f>
        <v>#DIV/0!</v>
      </c>
      <c r="W356" t="e">
        <f t="shared" si="96"/>
        <v>#DIV/0!</v>
      </c>
      <c r="X356" t="e">
        <f t="shared" si="97"/>
        <v>#DIV/0!</v>
      </c>
      <c r="Y356" t="e">
        <f>IF(U356=0,0,IF(予定価格!G344=0,0,(U356-予定価格!H344)/予定価格!G344))</f>
        <v>#DIV/0!</v>
      </c>
      <c r="Z356" t="e">
        <f t="shared" si="98"/>
        <v>#DIV/0!</v>
      </c>
      <c r="AA356" t="e">
        <f t="shared" si="99"/>
        <v>#DIV/0!</v>
      </c>
      <c r="AB356" s="13" t="e">
        <f t="shared" si="100"/>
        <v>#DIV/0!</v>
      </c>
    </row>
    <row r="357" spans="1:28" hidden="1" x14ac:dyDescent="0.15">
      <c r="A357">
        <f>+予定価格!A345</f>
        <v>0</v>
      </c>
      <c r="B357" s="258">
        <f>ROUND(予定価格!B345*査定表!$B$437,-D357)+E357</f>
        <v>0</v>
      </c>
      <c r="C357" s="258"/>
      <c r="D357" s="45">
        <f t="shared" si="89"/>
        <v>4</v>
      </c>
      <c r="E357" s="46">
        <f t="shared" si="85"/>
        <v>0</v>
      </c>
      <c r="F357" s="258">
        <f>IF($F$12=0,0,IF(予定価格!$G$427=0,ROUND(予定価格!H345*(入力表!$F$12/予定価格!$H$431),-H357),ROUND((予定価格!G345*(入力表!$F$12-予定価格!$H$431)/予定価格!$G$431)+予定価格!H345,-H357)))+I357</f>
        <v>0</v>
      </c>
      <c r="G357" s="258"/>
      <c r="H357" s="47">
        <f t="shared" si="90"/>
        <v>4</v>
      </c>
      <c r="I357" s="48">
        <f t="shared" si="86"/>
        <v>0</v>
      </c>
      <c r="J357" s="116">
        <f t="shared" si="87"/>
        <v>0</v>
      </c>
      <c r="K357" s="19">
        <f t="shared" si="88"/>
        <v>0</v>
      </c>
      <c r="L357" s="50"/>
      <c r="M357" s="13">
        <f>ROUND(予定価格!B345*査定表!$B$437,-$F$14)</f>
        <v>0</v>
      </c>
      <c r="N357">
        <f>IF(M357=0,1,M357/予定価格!B345)</f>
        <v>1</v>
      </c>
      <c r="O357">
        <f t="shared" si="91"/>
        <v>21</v>
      </c>
      <c r="P357">
        <f t="shared" si="92"/>
        <v>0</v>
      </c>
      <c r="Q357">
        <f>IF(M357=0,0,M357/予定価格!B345)</f>
        <v>0</v>
      </c>
      <c r="R357">
        <f t="shared" si="93"/>
        <v>21</v>
      </c>
      <c r="S357">
        <f t="shared" si="94"/>
        <v>0</v>
      </c>
      <c r="T357" s="13">
        <f t="shared" si="95"/>
        <v>0</v>
      </c>
      <c r="U357" s="13" t="e">
        <f>IF(予定価格!$G$427=0,ROUND(予定価格!H345*(入力表!$F$12/予定価格!$H$431),-$F$14),ROUND((予定価格!G345*(入力表!$F$12-予定価格!$H$431)/予定価格!$G$431)+予定価格!H345,-$F$14))</f>
        <v>#DIV/0!</v>
      </c>
      <c r="V357" t="e">
        <f>IF(U357=0,1,IF(予定価格!O345=0,1,(U357-予定価格!P345)/予定価格!O345))</f>
        <v>#DIV/0!</v>
      </c>
      <c r="W357" t="e">
        <f t="shared" si="96"/>
        <v>#DIV/0!</v>
      </c>
      <c r="X357" t="e">
        <f t="shared" si="97"/>
        <v>#DIV/0!</v>
      </c>
      <c r="Y357" t="e">
        <f>IF(U357=0,0,IF(予定価格!G345=0,0,(U357-予定価格!H345)/予定価格!G345))</f>
        <v>#DIV/0!</v>
      </c>
      <c r="Z357" t="e">
        <f t="shared" si="98"/>
        <v>#DIV/0!</v>
      </c>
      <c r="AA357" t="e">
        <f t="shared" si="99"/>
        <v>#DIV/0!</v>
      </c>
      <c r="AB357" s="13" t="e">
        <f t="shared" si="100"/>
        <v>#DIV/0!</v>
      </c>
    </row>
    <row r="358" spans="1:28" hidden="1" x14ac:dyDescent="0.15">
      <c r="A358">
        <f>+予定価格!A346</f>
        <v>0</v>
      </c>
      <c r="B358" s="258">
        <f>ROUND(予定価格!B346*査定表!$B$437,-D358)+E358</f>
        <v>0</v>
      </c>
      <c r="C358" s="258"/>
      <c r="D358" s="45">
        <f t="shared" si="89"/>
        <v>4</v>
      </c>
      <c r="E358" s="46">
        <f t="shared" si="85"/>
        <v>0</v>
      </c>
      <c r="F358" s="258">
        <f>IF($F$12=0,0,IF(予定価格!$G$427=0,ROUND(予定価格!H346*(入力表!$F$12/予定価格!$H$431),-H358),ROUND((予定価格!G346*(入力表!$F$12-予定価格!$H$431)/予定価格!$G$431)+予定価格!H346,-H358)))+I358</f>
        <v>0</v>
      </c>
      <c r="G358" s="258"/>
      <c r="H358" s="47">
        <f t="shared" si="90"/>
        <v>4</v>
      </c>
      <c r="I358" s="48">
        <f t="shared" si="86"/>
        <v>0</v>
      </c>
      <c r="J358" s="116">
        <f t="shared" si="87"/>
        <v>0</v>
      </c>
      <c r="K358" s="19">
        <f t="shared" si="88"/>
        <v>0</v>
      </c>
      <c r="L358" s="50"/>
      <c r="M358" s="13">
        <f>ROUND(予定価格!B346*査定表!$B$437,-$F$14)</f>
        <v>0</v>
      </c>
      <c r="N358">
        <f>IF(M358=0,1,M358/予定価格!B346)</f>
        <v>1</v>
      </c>
      <c r="O358">
        <f t="shared" si="91"/>
        <v>21</v>
      </c>
      <c r="P358">
        <f t="shared" si="92"/>
        <v>0</v>
      </c>
      <c r="Q358">
        <f>IF(M358=0,0,M358/予定価格!B346)</f>
        <v>0</v>
      </c>
      <c r="R358">
        <f t="shared" si="93"/>
        <v>21</v>
      </c>
      <c r="S358">
        <f t="shared" si="94"/>
        <v>0</v>
      </c>
      <c r="T358" s="13">
        <f t="shared" si="95"/>
        <v>0</v>
      </c>
      <c r="U358" s="13" t="e">
        <f>IF(予定価格!$G$427=0,ROUND(予定価格!H346*(入力表!$F$12/予定価格!$H$431),-$F$14),ROUND((予定価格!G346*(入力表!$F$12-予定価格!$H$431)/予定価格!$G$431)+予定価格!H346,-$F$14))</f>
        <v>#DIV/0!</v>
      </c>
      <c r="V358" t="e">
        <f>IF(U358=0,1,IF(予定価格!O346=0,1,(U358-予定価格!P346)/予定価格!O346))</f>
        <v>#DIV/0!</v>
      </c>
      <c r="W358" t="e">
        <f t="shared" si="96"/>
        <v>#DIV/0!</v>
      </c>
      <c r="X358" t="e">
        <f t="shared" si="97"/>
        <v>#DIV/0!</v>
      </c>
      <c r="Y358" t="e">
        <f>IF(U358=0,0,IF(予定価格!G346=0,0,(U358-予定価格!H346)/予定価格!G346))</f>
        <v>#DIV/0!</v>
      </c>
      <c r="Z358" t="e">
        <f t="shared" si="98"/>
        <v>#DIV/0!</v>
      </c>
      <c r="AA358" t="e">
        <f t="shared" si="99"/>
        <v>#DIV/0!</v>
      </c>
      <c r="AB358" s="13" t="e">
        <f t="shared" si="100"/>
        <v>#DIV/0!</v>
      </c>
    </row>
    <row r="359" spans="1:28" hidden="1" x14ac:dyDescent="0.15">
      <c r="A359">
        <f>+予定価格!A347</f>
        <v>0</v>
      </c>
      <c r="B359" s="258">
        <f>ROUND(予定価格!B347*査定表!$B$437,-D359)+E359</f>
        <v>0</v>
      </c>
      <c r="C359" s="258"/>
      <c r="D359" s="45">
        <f t="shared" si="89"/>
        <v>4</v>
      </c>
      <c r="E359" s="46">
        <f t="shared" si="85"/>
        <v>0</v>
      </c>
      <c r="F359" s="258">
        <f>IF($F$12=0,0,IF(予定価格!$G$427=0,ROUND(予定価格!H347*(入力表!$F$12/予定価格!$H$431),-H359),ROUND((予定価格!G347*(入力表!$F$12-予定価格!$H$431)/予定価格!$G$431)+予定価格!H347,-H359)))+I359</f>
        <v>0</v>
      </c>
      <c r="G359" s="258"/>
      <c r="H359" s="47">
        <f t="shared" si="90"/>
        <v>4</v>
      </c>
      <c r="I359" s="48">
        <f t="shared" si="86"/>
        <v>0</v>
      </c>
      <c r="J359" s="116">
        <f t="shared" si="87"/>
        <v>0</v>
      </c>
      <c r="K359" s="19">
        <f t="shared" si="88"/>
        <v>0</v>
      </c>
      <c r="L359" s="50"/>
      <c r="M359" s="13">
        <f>ROUND(予定価格!B347*査定表!$B$437,-$F$14)</f>
        <v>0</v>
      </c>
      <c r="N359">
        <f>IF(M359=0,1,M359/予定価格!B347)</f>
        <v>1</v>
      </c>
      <c r="O359">
        <f t="shared" si="91"/>
        <v>21</v>
      </c>
      <c r="P359">
        <f t="shared" si="92"/>
        <v>0</v>
      </c>
      <c r="Q359">
        <f>IF(M359=0,0,M359/予定価格!B347)</f>
        <v>0</v>
      </c>
      <c r="R359">
        <f t="shared" si="93"/>
        <v>21</v>
      </c>
      <c r="S359">
        <f t="shared" si="94"/>
        <v>0</v>
      </c>
      <c r="T359" s="13">
        <f t="shared" si="95"/>
        <v>0</v>
      </c>
      <c r="U359" s="13" t="e">
        <f>IF(予定価格!$G$427=0,ROUND(予定価格!H347*(入力表!$F$12/予定価格!$H$431),-$F$14),ROUND((予定価格!G347*(入力表!$F$12-予定価格!$H$431)/予定価格!$G$431)+予定価格!H347,-$F$14))</f>
        <v>#DIV/0!</v>
      </c>
      <c r="V359" t="e">
        <f>IF(U359=0,1,IF(予定価格!O347=0,1,(U359-予定価格!P347)/予定価格!O347))</f>
        <v>#DIV/0!</v>
      </c>
      <c r="W359" t="e">
        <f t="shared" si="96"/>
        <v>#DIV/0!</v>
      </c>
      <c r="X359" t="e">
        <f t="shared" si="97"/>
        <v>#DIV/0!</v>
      </c>
      <c r="Y359" t="e">
        <f>IF(U359=0,0,IF(予定価格!G347=0,0,(U359-予定価格!H347)/予定価格!G347))</f>
        <v>#DIV/0!</v>
      </c>
      <c r="Z359" t="e">
        <f t="shared" si="98"/>
        <v>#DIV/0!</v>
      </c>
      <c r="AA359" t="e">
        <f t="shared" si="99"/>
        <v>#DIV/0!</v>
      </c>
      <c r="AB359" s="13" t="e">
        <f t="shared" si="100"/>
        <v>#DIV/0!</v>
      </c>
    </row>
    <row r="360" spans="1:28" hidden="1" x14ac:dyDescent="0.15">
      <c r="A360">
        <f>+予定価格!A348</f>
        <v>0</v>
      </c>
      <c r="B360" s="258">
        <f>ROUND(予定価格!B348*査定表!$B$437,-D360)+E360</f>
        <v>0</v>
      </c>
      <c r="C360" s="258"/>
      <c r="D360" s="45">
        <f t="shared" si="89"/>
        <v>4</v>
      </c>
      <c r="E360" s="46">
        <f t="shared" si="85"/>
        <v>0</v>
      </c>
      <c r="F360" s="258">
        <f>IF($F$12=0,0,IF(予定価格!$G$427=0,ROUND(予定価格!H348*(入力表!$F$12/予定価格!$H$431),-H360),ROUND((予定価格!G348*(入力表!$F$12-予定価格!$H$431)/予定価格!$G$431)+予定価格!H348,-H360)))+I360</f>
        <v>0</v>
      </c>
      <c r="G360" s="258"/>
      <c r="H360" s="47">
        <f t="shared" si="90"/>
        <v>4</v>
      </c>
      <c r="I360" s="48">
        <f t="shared" si="86"/>
        <v>0</v>
      </c>
      <c r="J360" s="116">
        <f t="shared" si="87"/>
        <v>0</v>
      </c>
      <c r="K360" s="19">
        <f t="shared" si="88"/>
        <v>0</v>
      </c>
      <c r="L360" s="50"/>
      <c r="M360" s="13">
        <f>ROUND(予定価格!B348*査定表!$B$437,-$F$14)</f>
        <v>0</v>
      </c>
      <c r="N360">
        <f>IF(M360=0,1,M360/予定価格!B348)</f>
        <v>1</v>
      </c>
      <c r="O360">
        <f t="shared" si="91"/>
        <v>21</v>
      </c>
      <c r="P360">
        <f t="shared" si="92"/>
        <v>0</v>
      </c>
      <c r="Q360">
        <f>IF(M360=0,0,M360/予定価格!B348)</f>
        <v>0</v>
      </c>
      <c r="R360">
        <f t="shared" si="93"/>
        <v>21</v>
      </c>
      <c r="S360">
        <f t="shared" si="94"/>
        <v>0</v>
      </c>
      <c r="T360" s="13">
        <f t="shared" si="95"/>
        <v>0</v>
      </c>
      <c r="U360" s="13" t="e">
        <f>IF(予定価格!$G$427=0,ROUND(予定価格!H348*(入力表!$F$12/予定価格!$H$431),-$F$14),ROUND((予定価格!G348*(入力表!$F$12-予定価格!$H$431)/予定価格!$G$431)+予定価格!H348,-$F$14))</f>
        <v>#DIV/0!</v>
      </c>
      <c r="V360" t="e">
        <f>IF(U360=0,1,IF(予定価格!O348=0,1,(U360-予定価格!P348)/予定価格!O348))</f>
        <v>#DIV/0!</v>
      </c>
      <c r="W360" t="e">
        <f t="shared" si="96"/>
        <v>#DIV/0!</v>
      </c>
      <c r="X360" t="e">
        <f t="shared" si="97"/>
        <v>#DIV/0!</v>
      </c>
      <c r="Y360" t="e">
        <f>IF(U360=0,0,IF(予定価格!G348=0,0,(U360-予定価格!H348)/予定価格!G348))</f>
        <v>#DIV/0!</v>
      </c>
      <c r="Z360" t="e">
        <f t="shared" si="98"/>
        <v>#DIV/0!</v>
      </c>
      <c r="AA360" t="e">
        <f t="shared" si="99"/>
        <v>#DIV/0!</v>
      </c>
      <c r="AB360" s="13" t="e">
        <f t="shared" si="100"/>
        <v>#DIV/0!</v>
      </c>
    </row>
    <row r="361" spans="1:28" hidden="1" x14ac:dyDescent="0.15">
      <c r="A361">
        <f>+予定価格!A349</f>
        <v>0</v>
      </c>
      <c r="B361" s="258">
        <f>ROUND(予定価格!B349*査定表!$B$437,-D361)+E361</f>
        <v>0</v>
      </c>
      <c r="C361" s="258"/>
      <c r="D361" s="45">
        <f t="shared" si="89"/>
        <v>4</v>
      </c>
      <c r="E361" s="46">
        <f t="shared" si="85"/>
        <v>0</v>
      </c>
      <c r="F361" s="258">
        <f>IF($F$12=0,0,IF(予定価格!$G$427=0,ROUND(予定価格!H349*(入力表!$F$12/予定価格!$H$431),-H361),ROUND((予定価格!G349*(入力表!$F$12-予定価格!$H$431)/予定価格!$G$431)+予定価格!H349,-H361)))+I361</f>
        <v>0</v>
      </c>
      <c r="G361" s="258"/>
      <c r="H361" s="47">
        <f t="shared" si="90"/>
        <v>4</v>
      </c>
      <c r="I361" s="48">
        <f t="shared" si="86"/>
        <v>0</v>
      </c>
      <c r="J361" s="116">
        <f t="shared" si="87"/>
        <v>0</v>
      </c>
      <c r="K361" s="19">
        <f t="shared" si="88"/>
        <v>0</v>
      </c>
      <c r="L361" s="50"/>
      <c r="M361" s="13">
        <f>ROUND(予定価格!B349*査定表!$B$437,-$F$14)</f>
        <v>0</v>
      </c>
      <c r="N361">
        <f>IF(M361=0,1,M361/予定価格!B349)</f>
        <v>1</v>
      </c>
      <c r="O361">
        <f t="shared" si="91"/>
        <v>21</v>
      </c>
      <c r="P361">
        <f t="shared" si="92"/>
        <v>0</v>
      </c>
      <c r="Q361">
        <f>IF(M361=0,0,M361/予定価格!B349)</f>
        <v>0</v>
      </c>
      <c r="R361">
        <f t="shared" si="93"/>
        <v>21</v>
      </c>
      <c r="S361">
        <f t="shared" si="94"/>
        <v>0</v>
      </c>
      <c r="T361" s="13">
        <f t="shared" si="95"/>
        <v>0</v>
      </c>
      <c r="U361" s="13" t="e">
        <f>IF(予定価格!$G$427=0,ROUND(予定価格!H349*(入力表!$F$12/予定価格!$H$431),-$F$14),ROUND((予定価格!G349*(入力表!$F$12-予定価格!$H$431)/予定価格!$G$431)+予定価格!H349,-$F$14))</f>
        <v>#DIV/0!</v>
      </c>
      <c r="V361" t="e">
        <f>IF(U361=0,1,IF(予定価格!O349=0,1,(U361-予定価格!P349)/予定価格!O349))</f>
        <v>#DIV/0!</v>
      </c>
      <c r="W361" t="e">
        <f t="shared" si="96"/>
        <v>#DIV/0!</v>
      </c>
      <c r="X361" t="e">
        <f t="shared" si="97"/>
        <v>#DIV/0!</v>
      </c>
      <c r="Y361" t="e">
        <f>IF(U361=0,0,IF(予定価格!G349=0,0,(U361-予定価格!H349)/予定価格!G349))</f>
        <v>#DIV/0!</v>
      </c>
      <c r="Z361" t="e">
        <f t="shared" si="98"/>
        <v>#DIV/0!</v>
      </c>
      <c r="AA361" t="e">
        <f t="shared" si="99"/>
        <v>#DIV/0!</v>
      </c>
      <c r="AB361" s="13" t="e">
        <f t="shared" si="100"/>
        <v>#DIV/0!</v>
      </c>
    </row>
    <row r="362" spans="1:28" hidden="1" x14ac:dyDescent="0.15">
      <c r="A362">
        <f>+予定価格!A350</f>
        <v>0</v>
      </c>
      <c r="B362" s="258">
        <f>ROUND(予定価格!B350*査定表!$B$437,-D362)+E362</f>
        <v>0</v>
      </c>
      <c r="C362" s="258"/>
      <c r="D362" s="45">
        <f t="shared" si="89"/>
        <v>4</v>
      </c>
      <c r="E362" s="46">
        <f t="shared" si="85"/>
        <v>0</v>
      </c>
      <c r="F362" s="258">
        <f>IF($F$12=0,0,IF(予定価格!$G$427=0,ROUND(予定価格!H350*(入力表!$F$12/予定価格!$H$431),-H362),ROUND((予定価格!G350*(入力表!$F$12-予定価格!$H$431)/予定価格!$G$431)+予定価格!H350,-H362)))+I362</f>
        <v>0</v>
      </c>
      <c r="G362" s="258"/>
      <c r="H362" s="47">
        <f t="shared" si="90"/>
        <v>4</v>
      </c>
      <c r="I362" s="48">
        <f t="shared" si="86"/>
        <v>0</v>
      </c>
      <c r="J362" s="116">
        <f t="shared" si="87"/>
        <v>0</v>
      </c>
      <c r="K362" s="19">
        <f t="shared" si="88"/>
        <v>0</v>
      </c>
      <c r="L362" s="50"/>
      <c r="M362" s="13">
        <f>ROUND(予定価格!B350*査定表!$B$437,-$F$14)</f>
        <v>0</v>
      </c>
      <c r="N362">
        <f>IF(M362=0,1,M362/予定価格!B350)</f>
        <v>1</v>
      </c>
      <c r="O362">
        <f t="shared" si="91"/>
        <v>21</v>
      </c>
      <c r="P362">
        <f t="shared" si="92"/>
        <v>0</v>
      </c>
      <c r="Q362">
        <f>IF(M362=0,0,M362/予定価格!B350)</f>
        <v>0</v>
      </c>
      <c r="R362">
        <f t="shared" si="93"/>
        <v>21</v>
      </c>
      <c r="S362">
        <f t="shared" si="94"/>
        <v>0</v>
      </c>
      <c r="T362" s="13">
        <f t="shared" si="95"/>
        <v>0</v>
      </c>
      <c r="U362" s="13" t="e">
        <f>IF(予定価格!$G$427=0,ROUND(予定価格!H350*(入力表!$F$12/予定価格!$H$431),-$F$14),ROUND((予定価格!G350*(入力表!$F$12-予定価格!$H$431)/予定価格!$G$431)+予定価格!H350,-$F$14))</f>
        <v>#DIV/0!</v>
      </c>
      <c r="V362" t="e">
        <f>IF(U362=0,1,IF(予定価格!O350=0,1,(U362-予定価格!P350)/予定価格!O350))</f>
        <v>#DIV/0!</v>
      </c>
      <c r="W362" t="e">
        <f t="shared" si="96"/>
        <v>#DIV/0!</v>
      </c>
      <c r="X362" t="e">
        <f t="shared" si="97"/>
        <v>#DIV/0!</v>
      </c>
      <c r="Y362" t="e">
        <f>IF(U362=0,0,IF(予定価格!G350=0,0,(U362-予定価格!H350)/予定価格!G350))</f>
        <v>#DIV/0!</v>
      </c>
      <c r="Z362" t="e">
        <f t="shared" si="98"/>
        <v>#DIV/0!</v>
      </c>
      <c r="AA362" t="e">
        <f t="shared" si="99"/>
        <v>#DIV/0!</v>
      </c>
      <c r="AB362" s="13" t="e">
        <f t="shared" si="100"/>
        <v>#DIV/0!</v>
      </c>
    </row>
    <row r="363" spans="1:28" hidden="1" x14ac:dyDescent="0.15">
      <c r="A363">
        <f>+予定価格!A351</f>
        <v>0</v>
      </c>
      <c r="B363" s="258">
        <f>ROUND(予定価格!B351*査定表!$B$437,-D363)+E363</f>
        <v>0</v>
      </c>
      <c r="C363" s="258"/>
      <c r="D363" s="45">
        <f t="shared" si="89"/>
        <v>4</v>
      </c>
      <c r="E363" s="46">
        <f t="shared" si="85"/>
        <v>0</v>
      </c>
      <c r="F363" s="258">
        <f>IF($F$12=0,0,IF(予定価格!$G$427=0,ROUND(予定価格!H351*(入力表!$F$12/予定価格!$H$431),-H363),ROUND((予定価格!G351*(入力表!$F$12-予定価格!$H$431)/予定価格!$G$431)+予定価格!H351,-H363)))+I363</f>
        <v>0</v>
      </c>
      <c r="G363" s="258"/>
      <c r="H363" s="47">
        <f t="shared" si="90"/>
        <v>4</v>
      </c>
      <c r="I363" s="48">
        <f t="shared" si="86"/>
        <v>0</v>
      </c>
      <c r="J363" s="116">
        <f t="shared" si="87"/>
        <v>0</v>
      </c>
      <c r="K363" s="19">
        <f t="shared" si="88"/>
        <v>0</v>
      </c>
      <c r="L363" s="50"/>
      <c r="M363" s="13">
        <f>ROUND(予定価格!B351*査定表!$B$437,-$F$14)</f>
        <v>0</v>
      </c>
      <c r="N363">
        <f>IF(M363=0,1,M363/予定価格!B351)</f>
        <v>1</v>
      </c>
      <c r="O363">
        <f t="shared" si="91"/>
        <v>21</v>
      </c>
      <c r="P363">
        <f t="shared" si="92"/>
        <v>0</v>
      </c>
      <c r="Q363">
        <f>IF(M363=0,0,M363/予定価格!B351)</f>
        <v>0</v>
      </c>
      <c r="R363">
        <f t="shared" si="93"/>
        <v>21</v>
      </c>
      <c r="S363">
        <f t="shared" si="94"/>
        <v>0</v>
      </c>
      <c r="T363" s="13">
        <f t="shared" si="95"/>
        <v>0</v>
      </c>
      <c r="U363" s="13" t="e">
        <f>IF(予定価格!$G$427=0,ROUND(予定価格!H351*(入力表!$F$12/予定価格!$H$431),-$F$14),ROUND((予定価格!G351*(入力表!$F$12-予定価格!$H$431)/予定価格!$G$431)+予定価格!H351,-$F$14))</f>
        <v>#DIV/0!</v>
      </c>
      <c r="V363" t="e">
        <f>IF(U363=0,1,IF(予定価格!O351=0,1,(U363-予定価格!P351)/予定価格!O351))</f>
        <v>#DIV/0!</v>
      </c>
      <c r="W363" t="e">
        <f t="shared" si="96"/>
        <v>#DIV/0!</v>
      </c>
      <c r="X363" t="e">
        <f t="shared" si="97"/>
        <v>#DIV/0!</v>
      </c>
      <c r="Y363" t="e">
        <f>IF(U363=0,0,IF(予定価格!G351=0,0,(U363-予定価格!H351)/予定価格!G351))</f>
        <v>#DIV/0!</v>
      </c>
      <c r="Z363" t="e">
        <f t="shared" si="98"/>
        <v>#DIV/0!</v>
      </c>
      <c r="AA363" t="e">
        <f t="shared" si="99"/>
        <v>#DIV/0!</v>
      </c>
      <c r="AB363" s="13" t="e">
        <f t="shared" si="100"/>
        <v>#DIV/0!</v>
      </c>
    </row>
    <row r="364" spans="1:28" hidden="1" x14ac:dyDescent="0.15">
      <c r="A364">
        <f>+予定価格!A352</f>
        <v>0</v>
      </c>
      <c r="B364" s="258">
        <f>ROUND(予定価格!B352*査定表!$B$437,-D364)+E364</f>
        <v>0</v>
      </c>
      <c r="C364" s="258"/>
      <c r="D364" s="45">
        <f t="shared" si="89"/>
        <v>4</v>
      </c>
      <c r="E364" s="46">
        <f t="shared" si="85"/>
        <v>0</v>
      </c>
      <c r="F364" s="258">
        <f>IF($F$12=0,0,IF(予定価格!$G$427=0,ROUND(予定価格!H352*(入力表!$F$12/予定価格!$H$431),-H364),ROUND((予定価格!G352*(入力表!$F$12-予定価格!$H$431)/予定価格!$G$431)+予定価格!H352,-H364)))+I364</f>
        <v>0</v>
      </c>
      <c r="G364" s="258"/>
      <c r="H364" s="47">
        <f t="shared" si="90"/>
        <v>4</v>
      </c>
      <c r="I364" s="48">
        <f t="shared" si="86"/>
        <v>0</v>
      </c>
      <c r="J364" s="116">
        <f t="shared" si="87"/>
        <v>0</v>
      </c>
      <c r="K364" s="19">
        <f t="shared" si="88"/>
        <v>0</v>
      </c>
      <c r="L364" s="50"/>
      <c r="M364" s="13">
        <f>ROUND(予定価格!B352*査定表!$B$437,-$F$14)</f>
        <v>0</v>
      </c>
      <c r="N364">
        <f>IF(M364=0,1,M364/予定価格!B352)</f>
        <v>1</v>
      </c>
      <c r="O364">
        <f t="shared" si="91"/>
        <v>21</v>
      </c>
      <c r="P364">
        <f t="shared" si="92"/>
        <v>0</v>
      </c>
      <c r="Q364">
        <f>IF(M364=0,0,M364/予定価格!B352)</f>
        <v>0</v>
      </c>
      <c r="R364">
        <f t="shared" si="93"/>
        <v>21</v>
      </c>
      <c r="S364">
        <f t="shared" si="94"/>
        <v>0</v>
      </c>
      <c r="T364" s="13">
        <f t="shared" si="95"/>
        <v>0</v>
      </c>
      <c r="U364" s="13" t="e">
        <f>IF(予定価格!$G$427=0,ROUND(予定価格!H352*(入力表!$F$12/予定価格!$H$431),-$F$14),ROUND((予定価格!G352*(入力表!$F$12-予定価格!$H$431)/予定価格!$G$431)+予定価格!H352,-$F$14))</f>
        <v>#DIV/0!</v>
      </c>
      <c r="V364" t="e">
        <f>IF(U364=0,1,IF(予定価格!O352=0,1,(U364-予定価格!P352)/予定価格!O352))</f>
        <v>#DIV/0!</v>
      </c>
      <c r="W364" t="e">
        <f t="shared" si="96"/>
        <v>#DIV/0!</v>
      </c>
      <c r="X364" t="e">
        <f t="shared" si="97"/>
        <v>#DIV/0!</v>
      </c>
      <c r="Y364" t="e">
        <f>IF(U364=0,0,IF(予定価格!G352=0,0,(U364-予定価格!H352)/予定価格!G352))</f>
        <v>#DIV/0!</v>
      </c>
      <c r="Z364" t="e">
        <f t="shared" si="98"/>
        <v>#DIV/0!</v>
      </c>
      <c r="AA364" t="e">
        <f t="shared" si="99"/>
        <v>#DIV/0!</v>
      </c>
      <c r="AB364" s="13" t="e">
        <f t="shared" si="100"/>
        <v>#DIV/0!</v>
      </c>
    </row>
    <row r="365" spans="1:28" hidden="1" x14ac:dyDescent="0.15">
      <c r="A365">
        <f>+予定価格!A353</f>
        <v>0</v>
      </c>
      <c r="B365" s="258">
        <f>ROUND(予定価格!B353*査定表!$B$437,-D365)+E365</f>
        <v>0</v>
      </c>
      <c r="C365" s="258"/>
      <c r="D365" s="45">
        <f t="shared" si="89"/>
        <v>4</v>
      </c>
      <c r="E365" s="46">
        <f t="shared" si="85"/>
        <v>0</v>
      </c>
      <c r="F365" s="258">
        <f>IF($F$12=0,0,IF(予定価格!$G$427=0,ROUND(予定価格!H353*(入力表!$F$12/予定価格!$H$431),-H365),ROUND((予定価格!G353*(入力表!$F$12-予定価格!$H$431)/予定価格!$G$431)+予定価格!H353,-H365)))+I365</f>
        <v>0</v>
      </c>
      <c r="G365" s="258"/>
      <c r="H365" s="47">
        <f t="shared" si="90"/>
        <v>4</v>
      </c>
      <c r="I365" s="48">
        <f t="shared" si="86"/>
        <v>0</v>
      </c>
      <c r="J365" s="116">
        <f t="shared" si="87"/>
        <v>0</v>
      </c>
      <c r="K365" s="19">
        <f t="shared" si="88"/>
        <v>0</v>
      </c>
      <c r="L365" s="50"/>
      <c r="M365" s="13">
        <f>ROUND(予定価格!B353*査定表!$B$437,-$F$14)</f>
        <v>0</v>
      </c>
      <c r="N365">
        <f>IF(M365=0,1,M365/予定価格!B353)</f>
        <v>1</v>
      </c>
      <c r="O365">
        <f t="shared" si="91"/>
        <v>21</v>
      </c>
      <c r="P365">
        <f t="shared" si="92"/>
        <v>0</v>
      </c>
      <c r="Q365">
        <f>IF(M365=0,0,M365/予定価格!B353)</f>
        <v>0</v>
      </c>
      <c r="R365">
        <f t="shared" si="93"/>
        <v>21</v>
      </c>
      <c r="S365">
        <f t="shared" si="94"/>
        <v>0</v>
      </c>
      <c r="T365" s="13">
        <f t="shared" si="95"/>
        <v>0</v>
      </c>
      <c r="U365" s="13" t="e">
        <f>IF(予定価格!$G$427=0,ROUND(予定価格!H353*(入力表!$F$12/予定価格!$H$431),-$F$14),ROUND((予定価格!G353*(入力表!$F$12-予定価格!$H$431)/予定価格!$G$431)+予定価格!H353,-$F$14))</f>
        <v>#DIV/0!</v>
      </c>
      <c r="V365" t="e">
        <f>IF(U365=0,1,IF(予定価格!O353=0,1,(U365-予定価格!P353)/予定価格!O353))</f>
        <v>#DIV/0!</v>
      </c>
      <c r="W365" t="e">
        <f t="shared" si="96"/>
        <v>#DIV/0!</v>
      </c>
      <c r="X365" t="e">
        <f t="shared" si="97"/>
        <v>#DIV/0!</v>
      </c>
      <c r="Y365" t="e">
        <f>IF(U365=0,0,IF(予定価格!G353=0,0,(U365-予定価格!H353)/予定価格!G353))</f>
        <v>#DIV/0!</v>
      </c>
      <c r="Z365" t="e">
        <f t="shared" si="98"/>
        <v>#DIV/0!</v>
      </c>
      <c r="AA365" t="e">
        <f t="shared" si="99"/>
        <v>#DIV/0!</v>
      </c>
      <c r="AB365" s="13" t="e">
        <f t="shared" si="100"/>
        <v>#DIV/0!</v>
      </c>
    </row>
    <row r="366" spans="1:28" hidden="1" x14ac:dyDescent="0.15">
      <c r="A366">
        <f>+予定価格!A354</f>
        <v>0</v>
      </c>
      <c r="B366" s="258">
        <f>ROUND(予定価格!B354*査定表!$B$437,-D366)+E366</f>
        <v>0</v>
      </c>
      <c r="C366" s="258"/>
      <c r="D366" s="45">
        <f t="shared" si="89"/>
        <v>4</v>
      </c>
      <c r="E366" s="46">
        <f t="shared" si="85"/>
        <v>0</v>
      </c>
      <c r="F366" s="258">
        <f>IF($F$12=0,0,IF(予定価格!$G$427=0,ROUND(予定価格!H354*(入力表!$F$12/予定価格!$H$431),-H366),ROUND((予定価格!G354*(入力表!$F$12-予定価格!$H$431)/予定価格!$G$431)+予定価格!H354,-H366)))+I366</f>
        <v>0</v>
      </c>
      <c r="G366" s="258"/>
      <c r="H366" s="47">
        <f t="shared" si="90"/>
        <v>4</v>
      </c>
      <c r="I366" s="48">
        <f t="shared" si="86"/>
        <v>0</v>
      </c>
      <c r="J366" s="116">
        <f t="shared" si="87"/>
        <v>0</v>
      </c>
      <c r="K366" s="19">
        <f t="shared" si="88"/>
        <v>0</v>
      </c>
      <c r="L366" s="50"/>
      <c r="M366" s="13">
        <f>ROUND(予定価格!B354*査定表!$B$437,-$F$14)</f>
        <v>0</v>
      </c>
      <c r="N366">
        <f>IF(M366=0,1,M366/予定価格!B354)</f>
        <v>1</v>
      </c>
      <c r="O366">
        <f t="shared" si="91"/>
        <v>21</v>
      </c>
      <c r="P366">
        <f t="shared" si="92"/>
        <v>0</v>
      </c>
      <c r="Q366">
        <f>IF(M366=0,0,M366/予定価格!B354)</f>
        <v>0</v>
      </c>
      <c r="R366">
        <f t="shared" si="93"/>
        <v>21</v>
      </c>
      <c r="S366">
        <f t="shared" si="94"/>
        <v>0</v>
      </c>
      <c r="T366" s="13">
        <f t="shared" si="95"/>
        <v>0</v>
      </c>
      <c r="U366" s="13" t="e">
        <f>IF(予定価格!$G$427=0,ROUND(予定価格!H354*(入力表!$F$12/予定価格!$H$431),-$F$14),ROUND((予定価格!G354*(入力表!$F$12-予定価格!$H$431)/予定価格!$G$431)+予定価格!H354,-$F$14))</f>
        <v>#DIV/0!</v>
      </c>
      <c r="V366" t="e">
        <f>IF(U366=0,1,IF(予定価格!O354=0,1,(U366-予定価格!P354)/予定価格!O354))</f>
        <v>#DIV/0!</v>
      </c>
      <c r="W366" t="e">
        <f t="shared" si="96"/>
        <v>#DIV/0!</v>
      </c>
      <c r="X366" t="e">
        <f t="shared" si="97"/>
        <v>#DIV/0!</v>
      </c>
      <c r="Y366" t="e">
        <f>IF(U366=0,0,IF(予定価格!G354=0,0,(U366-予定価格!H354)/予定価格!G354))</f>
        <v>#DIV/0!</v>
      </c>
      <c r="Z366" t="e">
        <f t="shared" si="98"/>
        <v>#DIV/0!</v>
      </c>
      <c r="AA366" t="e">
        <f t="shared" si="99"/>
        <v>#DIV/0!</v>
      </c>
      <c r="AB366" s="13" t="e">
        <f t="shared" si="100"/>
        <v>#DIV/0!</v>
      </c>
    </row>
    <row r="367" spans="1:28" hidden="1" x14ac:dyDescent="0.15">
      <c r="A367">
        <f>+予定価格!A355</f>
        <v>0</v>
      </c>
      <c r="B367" s="258">
        <f>ROUND(予定価格!B355*査定表!$B$437,-D367)+E367</f>
        <v>0</v>
      </c>
      <c r="C367" s="258"/>
      <c r="D367" s="45">
        <f t="shared" si="89"/>
        <v>4</v>
      </c>
      <c r="E367" s="46">
        <f t="shared" si="85"/>
        <v>0</v>
      </c>
      <c r="F367" s="258">
        <f>IF($F$12=0,0,IF(予定価格!$G$427=0,ROUND(予定価格!H355*(入力表!$F$12/予定価格!$H$431),-H367),ROUND((予定価格!G355*(入力表!$F$12-予定価格!$H$431)/予定価格!$G$431)+予定価格!H355,-H367)))+I367</f>
        <v>0</v>
      </c>
      <c r="G367" s="258"/>
      <c r="H367" s="47">
        <f t="shared" si="90"/>
        <v>4</v>
      </c>
      <c r="I367" s="48">
        <f t="shared" si="86"/>
        <v>0</v>
      </c>
      <c r="J367" s="116">
        <f t="shared" si="87"/>
        <v>0</v>
      </c>
      <c r="K367" s="19">
        <f t="shared" si="88"/>
        <v>0</v>
      </c>
      <c r="L367" s="50"/>
      <c r="M367" s="13">
        <f>ROUND(予定価格!B355*査定表!$B$437,-$F$14)</f>
        <v>0</v>
      </c>
      <c r="N367">
        <f>IF(M367=0,1,M367/予定価格!B355)</f>
        <v>1</v>
      </c>
      <c r="O367">
        <f t="shared" si="91"/>
        <v>21</v>
      </c>
      <c r="P367">
        <f t="shared" si="92"/>
        <v>0</v>
      </c>
      <c r="Q367">
        <f>IF(M367=0,0,M367/予定価格!B355)</f>
        <v>0</v>
      </c>
      <c r="R367">
        <f t="shared" si="93"/>
        <v>21</v>
      </c>
      <c r="S367">
        <f t="shared" si="94"/>
        <v>0</v>
      </c>
      <c r="T367" s="13">
        <f t="shared" si="95"/>
        <v>0</v>
      </c>
      <c r="U367" s="13" t="e">
        <f>IF(予定価格!$G$427=0,ROUND(予定価格!H355*(入力表!$F$12/予定価格!$H$431),-$F$14),ROUND((予定価格!G355*(入力表!$F$12-予定価格!$H$431)/予定価格!$G$431)+予定価格!H355,-$F$14))</f>
        <v>#DIV/0!</v>
      </c>
      <c r="V367" t="e">
        <f>IF(U367=0,1,IF(予定価格!O355=0,1,(U367-予定価格!P355)/予定価格!O355))</f>
        <v>#DIV/0!</v>
      </c>
      <c r="W367" t="e">
        <f t="shared" si="96"/>
        <v>#DIV/0!</v>
      </c>
      <c r="X367" t="e">
        <f t="shared" si="97"/>
        <v>#DIV/0!</v>
      </c>
      <c r="Y367" t="e">
        <f>IF(U367=0,0,IF(予定価格!G355=0,0,(U367-予定価格!H355)/予定価格!G355))</f>
        <v>#DIV/0!</v>
      </c>
      <c r="Z367" t="e">
        <f t="shared" si="98"/>
        <v>#DIV/0!</v>
      </c>
      <c r="AA367" t="e">
        <f t="shared" si="99"/>
        <v>#DIV/0!</v>
      </c>
      <c r="AB367" s="13" t="e">
        <f t="shared" si="100"/>
        <v>#DIV/0!</v>
      </c>
    </row>
    <row r="368" spans="1:28" hidden="1" x14ac:dyDescent="0.15">
      <c r="A368">
        <f>+予定価格!A356</f>
        <v>0</v>
      </c>
      <c r="B368" s="258">
        <f>ROUND(予定価格!B356*査定表!$B$437,-D368)+E368</f>
        <v>0</v>
      </c>
      <c r="C368" s="258"/>
      <c r="D368" s="45">
        <f t="shared" si="89"/>
        <v>4</v>
      </c>
      <c r="E368" s="46">
        <f t="shared" si="85"/>
        <v>0</v>
      </c>
      <c r="F368" s="258">
        <f>IF($F$12=0,0,IF(予定価格!$G$427=0,ROUND(予定価格!H356*(入力表!$F$12/予定価格!$H$431),-H368),ROUND((予定価格!G356*(入力表!$F$12-予定価格!$H$431)/予定価格!$G$431)+予定価格!H356,-H368)))+I368</f>
        <v>0</v>
      </c>
      <c r="G368" s="258"/>
      <c r="H368" s="47">
        <f t="shared" si="90"/>
        <v>4</v>
      </c>
      <c r="I368" s="48">
        <f t="shared" si="86"/>
        <v>0</v>
      </c>
      <c r="J368" s="116">
        <f t="shared" si="87"/>
        <v>0</v>
      </c>
      <c r="K368" s="19">
        <f t="shared" si="88"/>
        <v>0</v>
      </c>
      <c r="L368" s="50"/>
      <c r="M368" s="13">
        <f>ROUND(予定価格!B356*査定表!$B$437,-$F$14)</f>
        <v>0</v>
      </c>
      <c r="N368">
        <f>IF(M368=0,1,M368/予定価格!B356)</f>
        <v>1</v>
      </c>
      <c r="O368">
        <f t="shared" si="91"/>
        <v>21</v>
      </c>
      <c r="P368">
        <f t="shared" si="92"/>
        <v>0</v>
      </c>
      <c r="Q368">
        <f>IF(M368=0,0,M368/予定価格!B356)</f>
        <v>0</v>
      </c>
      <c r="R368">
        <f t="shared" si="93"/>
        <v>21</v>
      </c>
      <c r="S368">
        <f t="shared" si="94"/>
        <v>0</v>
      </c>
      <c r="T368" s="13">
        <f t="shared" si="95"/>
        <v>0</v>
      </c>
      <c r="U368" s="13" t="e">
        <f>IF(予定価格!$G$427=0,ROUND(予定価格!H356*(入力表!$F$12/予定価格!$H$431),-$F$14),ROUND((予定価格!G356*(入力表!$F$12-予定価格!$H$431)/予定価格!$G$431)+予定価格!H356,-$F$14))</f>
        <v>#DIV/0!</v>
      </c>
      <c r="V368" t="e">
        <f>IF(U368=0,1,IF(予定価格!O356=0,1,(U368-予定価格!P356)/予定価格!O356))</f>
        <v>#DIV/0!</v>
      </c>
      <c r="W368" t="e">
        <f t="shared" si="96"/>
        <v>#DIV/0!</v>
      </c>
      <c r="X368" t="e">
        <f t="shared" si="97"/>
        <v>#DIV/0!</v>
      </c>
      <c r="Y368" t="e">
        <f>IF(U368=0,0,IF(予定価格!G356=0,0,(U368-予定価格!H356)/予定価格!G356))</f>
        <v>#DIV/0!</v>
      </c>
      <c r="Z368" t="e">
        <f t="shared" si="98"/>
        <v>#DIV/0!</v>
      </c>
      <c r="AA368" t="e">
        <f t="shared" si="99"/>
        <v>#DIV/0!</v>
      </c>
      <c r="AB368" s="13" t="e">
        <f t="shared" si="100"/>
        <v>#DIV/0!</v>
      </c>
    </row>
    <row r="369" spans="1:28" hidden="1" x14ac:dyDescent="0.15">
      <c r="A369">
        <f>+予定価格!A357</f>
        <v>0</v>
      </c>
      <c r="B369" s="258">
        <f>ROUND(予定価格!B357*査定表!$B$437,-D369)+E369</f>
        <v>0</v>
      </c>
      <c r="C369" s="258"/>
      <c r="D369" s="45">
        <f t="shared" si="89"/>
        <v>4</v>
      </c>
      <c r="E369" s="46">
        <f t="shared" si="85"/>
        <v>0</v>
      </c>
      <c r="F369" s="258">
        <f>IF($F$12=0,0,IF(予定価格!$G$427=0,ROUND(予定価格!H357*(入力表!$F$12/予定価格!$H$431),-H369),ROUND((予定価格!G357*(入力表!$F$12-予定価格!$H$431)/予定価格!$G$431)+予定価格!H357,-H369)))+I369</f>
        <v>0</v>
      </c>
      <c r="G369" s="258"/>
      <c r="H369" s="47">
        <f t="shared" si="90"/>
        <v>4</v>
      </c>
      <c r="I369" s="48">
        <f t="shared" si="86"/>
        <v>0</v>
      </c>
      <c r="J369" s="116">
        <f t="shared" si="87"/>
        <v>0</v>
      </c>
      <c r="K369" s="19">
        <f t="shared" si="88"/>
        <v>0</v>
      </c>
      <c r="L369" s="50"/>
      <c r="M369" s="13">
        <f>ROUND(予定価格!B357*査定表!$B$437,-$F$14)</f>
        <v>0</v>
      </c>
      <c r="N369">
        <f>IF(M369=0,1,M369/予定価格!B357)</f>
        <v>1</v>
      </c>
      <c r="O369">
        <f t="shared" si="91"/>
        <v>21</v>
      </c>
      <c r="P369">
        <f t="shared" si="92"/>
        <v>0</v>
      </c>
      <c r="Q369">
        <f>IF(M369=0,0,M369/予定価格!B357)</f>
        <v>0</v>
      </c>
      <c r="R369">
        <f t="shared" si="93"/>
        <v>21</v>
      </c>
      <c r="S369">
        <f t="shared" si="94"/>
        <v>0</v>
      </c>
      <c r="T369" s="13">
        <f t="shared" si="95"/>
        <v>0</v>
      </c>
      <c r="U369" s="13" t="e">
        <f>IF(予定価格!$G$427=0,ROUND(予定価格!H357*(入力表!$F$12/予定価格!$H$431),-$F$14),ROUND((予定価格!G357*(入力表!$F$12-予定価格!$H$431)/予定価格!$G$431)+予定価格!H357,-$F$14))</f>
        <v>#DIV/0!</v>
      </c>
      <c r="V369" t="e">
        <f>IF(U369=0,1,IF(予定価格!O357=0,1,(U369-予定価格!P357)/予定価格!O357))</f>
        <v>#DIV/0!</v>
      </c>
      <c r="W369" t="e">
        <f t="shared" si="96"/>
        <v>#DIV/0!</v>
      </c>
      <c r="X369" t="e">
        <f t="shared" si="97"/>
        <v>#DIV/0!</v>
      </c>
      <c r="Y369" t="e">
        <f>IF(U369=0,0,IF(予定価格!G357=0,0,(U369-予定価格!H357)/予定価格!G357))</f>
        <v>#DIV/0!</v>
      </c>
      <c r="Z369" t="e">
        <f t="shared" si="98"/>
        <v>#DIV/0!</v>
      </c>
      <c r="AA369" t="e">
        <f t="shared" si="99"/>
        <v>#DIV/0!</v>
      </c>
      <c r="AB369" s="13" t="e">
        <f t="shared" si="100"/>
        <v>#DIV/0!</v>
      </c>
    </row>
    <row r="370" spans="1:28" hidden="1" x14ac:dyDescent="0.15">
      <c r="A370">
        <f>+予定価格!A358</f>
        <v>0</v>
      </c>
      <c r="B370" s="258">
        <f>ROUND(予定価格!B358*査定表!$B$437,-D370)+E370</f>
        <v>0</v>
      </c>
      <c r="C370" s="258"/>
      <c r="D370" s="45">
        <f t="shared" si="89"/>
        <v>4</v>
      </c>
      <c r="E370" s="46">
        <f t="shared" si="85"/>
        <v>0</v>
      </c>
      <c r="F370" s="258">
        <f>IF($F$12=0,0,IF(予定価格!$G$427=0,ROUND(予定価格!H358*(入力表!$F$12/予定価格!$H$431),-H370),ROUND((予定価格!G358*(入力表!$F$12-予定価格!$H$431)/予定価格!$G$431)+予定価格!H358,-H370)))+I370</f>
        <v>0</v>
      </c>
      <c r="G370" s="258"/>
      <c r="H370" s="47">
        <f t="shared" si="90"/>
        <v>4</v>
      </c>
      <c r="I370" s="48">
        <f t="shared" si="86"/>
        <v>0</v>
      </c>
      <c r="J370" s="116">
        <f t="shared" si="87"/>
        <v>0</v>
      </c>
      <c r="K370" s="19">
        <f t="shared" si="88"/>
        <v>0</v>
      </c>
      <c r="L370" s="50"/>
      <c r="M370" s="13">
        <f>ROUND(予定価格!B358*査定表!$B$437,-$F$14)</f>
        <v>0</v>
      </c>
      <c r="N370">
        <f>IF(M370=0,1,M370/予定価格!B358)</f>
        <v>1</v>
      </c>
      <c r="O370">
        <f t="shared" si="91"/>
        <v>21</v>
      </c>
      <c r="P370">
        <f t="shared" si="92"/>
        <v>0</v>
      </c>
      <c r="Q370">
        <f>IF(M370=0,0,M370/予定価格!B358)</f>
        <v>0</v>
      </c>
      <c r="R370">
        <f t="shared" si="93"/>
        <v>21</v>
      </c>
      <c r="S370">
        <f t="shared" si="94"/>
        <v>0</v>
      </c>
      <c r="T370" s="13">
        <f t="shared" si="95"/>
        <v>0</v>
      </c>
      <c r="U370" s="13" t="e">
        <f>IF(予定価格!$G$427=0,ROUND(予定価格!H358*(入力表!$F$12/予定価格!$H$431),-$F$14),ROUND((予定価格!G358*(入力表!$F$12-予定価格!$H$431)/予定価格!$G$431)+予定価格!H358,-$F$14))</f>
        <v>#DIV/0!</v>
      </c>
      <c r="V370" t="e">
        <f>IF(U370=0,1,IF(予定価格!O358=0,1,(U370-予定価格!P358)/予定価格!O358))</f>
        <v>#DIV/0!</v>
      </c>
      <c r="W370" t="e">
        <f t="shared" si="96"/>
        <v>#DIV/0!</v>
      </c>
      <c r="X370" t="e">
        <f t="shared" si="97"/>
        <v>#DIV/0!</v>
      </c>
      <c r="Y370" t="e">
        <f>IF(U370=0,0,IF(予定価格!G358=0,0,(U370-予定価格!H358)/予定価格!G358))</f>
        <v>#DIV/0!</v>
      </c>
      <c r="Z370" t="e">
        <f t="shared" si="98"/>
        <v>#DIV/0!</v>
      </c>
      <c r="AA370" t="e">
        <f t="shared" si="99"/>
        <v>#DIV/0!</v>
      </c>
      <c r="AB370" s="13" t="e">
        <f t="shared" si="100"/>
        <v>#DIV/0!</v>
      </c>
    </row>
    <row r="371" spans="1:28" hidden="1" x14ac:dyDescent="0.15">
      <c r="A371">
        <f>+予定価格!A359</f>
        <v>0</v>
      </c>
      <c r="B371" s="258">
        <f>ROUND(予定価格!B359*査定表!$B$437,-D371)+E371</f>
        <v>0</v>
      </c>
      <c r="C371" s="258"/>
      <c r="D371" s="45">
        <f t="shared" si="89"/>
        <v>4</v>
      </c>
      <c r="E371" s="46">
        <f t="shared" si="85"/>
        <v>0</v>
      </c>
      <c r="F371" s="258">
        <f>IF($F$12=0,0,IF(予定価格!$G$427=0,ROUND(予定価格!H359*(入力表!$F$12/予定価格!$H$431),-H371),ROUND((予定価格!G359*(入力表!$F$12-予定価格!$H$431)/予定価格!$G$431)+予定価格!H359,-H371)))+I371</f>
        <v>0</v>
      </c>
      <c r="G371" s="258"/>
      <c r="H371" s="47">
        <f t="shared" si="90"/>
        <v>4</v>
      </c>
      <c r="I371" s="48">
        <f t="shared" si="86"/>
        <v>0</v>
      </c>
      <c r="J371" s="116">
        <f t="shared" si="87"/>
        <v>0</v>
      </c>
      <c r="K371" s="19">
        <f t="shared" si="88"/>
        <v>0</v>
      </c>
      <c r="L371" s="50"/>
      <c r="M371" s="13">
        <f>ROUND(予定価格!B359*査定表!$B$437,-$F$14)</f>
        <v>0</v>
      </c>
      <c r="N371">
        <f>IF(M371=0,1,M371/予定価格!B359)</f>
        <v>1</v>
      </c>
      <c r="O371">
        <f t="shared" si="91"/>
        <v>21</v>
      </c>
      <c r="P371">
        <f t="shared" si="92"/>
        <v>0</v>
      </c>
      <c r="Q371">
        <f>IF(M371=0,0,M371/予定価格!B359)</f>
        <v>0</v>
      </c>
      <c r="R371">
        <f t="shared" si="93"/>
        <v>21</v>
      </c>
      <c r="S371">
        <f t="shared" si="94"/>
        <v>0</v>
      </c>
      <c r="T371" s="13">
        <f t="shared" si="95"/>
        <v>0</v>
      </c>
      <c r="U371" s="13" t="e">
        <f>IF(予定価格!$G$427=0,ROUND(予定価格!H359*(入力表!$F$12/予定価格!$H$431),-$F$14),ROUND((予定価格!G359*(入力表!$F$12-予定価格!$H$431)/予定価格!$G$431)+予定価格!H359,-$F$14))</f>
        <v>#DIV/0!</v>
      </c>
      <c r="V371" t="e">
        <f>IF(U371=0,1,IF(予定価格!O359=0,1,(U371-予定価格!P359)/予定価格!O359))</f>
        <v>#DIV/0!</v>
      </c>
      <c r="W371" t="e">
        <f t="shared" si="96"/>
        <v>#DIV/0!</v>
      </c>
      <c r="X371" t="e">
        <f t="shared" si="97"/>
        <v>#DIV/0!</v>
      </c>
      <c r="Y371" t="e">
        <f>IF(U371=0,0,IF(予定価格!G359=0,0,(U371-予定価格!H359)/予定価格!G359))</f>
        <v>#DIV/0!</v>
      </c>
      <c r="Z371" t="e">
        <f t="shared" si="98"/>
        <v>#DIV/0!</v>
      </c>
      <c r="AA371" t="e">
        <f t="shared" si="99"/>
        <v>#DIV/0!</v>
      </c>
      <c r="AB371" s="13" t="e">
        <f t="shared" si="100"/>
        <v>#DIV/0!</v>
      </c>
    </row>
    <row r="372" spans="1:28" hidden="1" x14ac:dyDescent="0.15">
      <c r="A372">
        <f>+予定価格!A360</f>
        <v>0</v>
      </c>
      <c r="B372" s="258">
        <f>ROUND(予定価格!B360*査定表!$B$437,-D372)+E372</f>
        <v>0</v>
      </c>
      <c r="C372" s="258"/>
      <c r="D372" s="45">
        <f t="shared" si="89"/>
        <v>4</v>
      </c>
      <c r="E372" s="46">
        <f t="shared" si="85"/>
        <v>0</v>
      </c>
      <c r="F372" s="258">
        <f>IF($F$12=0,0,IF(予定価格!$G$427=0,ROUND(予定価格!H360*(入力表!$F$12/予定価格!$H$431),-H372),ROUND((予定価格!G360*(入力表!$F$12-予定価格!$H$431)/予定価格!$G$431)+予定価格!H360,-H372)))+I372</f>
        <v>0</v>
      </c>
      <c r="G372" s="258"/>
      <c r="H372" s="47">
        <f t="shared" si="90"/>
        <v>4</v>
      </c>
      <c r="I372" s="48">
        <f t="shared" si="86"/>
        <v>0</v>
      </c>
      <c r="J372" s="116">
        <f t="shared" si="87"/>
        <v>0</v>
      </c>
      <c r="K372" s="19">
        <f t="shared" si="88"/>
        <v>0</v>
      </c>
      <c r="L372" s="50"/>
      <c r="M372" s="13">
        <f>ROUND(予定価格!B360*査定表!$B$437,-$F$14)</f>
        <v>0</v>
      </c>
      <c r="N372">
        <f>IF(M372=0,1,M372/予定価格!B360)</f>
        <v>1</v>
      </c>
      <c r="O372">
        <f t="shared" si="91"/>
        <v>21</v>
      </c>
      <c r="P372">
        <f t="shared" si="92"/>
        <v>0</v>
      </c>
      <c r="Q372">
        <f>IF(M372=0,0,M372/予定価格!B360)</f>
        <v>0</v>
      </c>
      <c r="R372">
        <f t="shared" si="93"/>
        <v>21</v>
      </c>
      <c r="S372">
        <f t="shared" si="94"/>
        <v>0</v>
      </c>
      <c r="T372" s="13">
        <f t="shared" si="95"/>
        <v>0</v>
      </c>
      <c r="U372" s="13" t="e">
        <f>IF(予定価格!$G$427=0,ROUND(予定価格!H360*(入力表!$F$12/予定価格!$H$431),-$F$14),ROUND((予定価格!G360*(入力表!$F$12-予定価格!$H$431)/予定価格!$G$431)+予定価格!H360,-$F$14))</f>
        <v>#DIV/0!</v>
      </c>
      <c r="V372" t="e">
        <f>IF(U372=0,1,IF(予定価格!O360=0,1,(U372-予定価格!P360)/予定価格!O360))</f>
        <v>#DIV/0!</v>
      </c>
      <c r="W372" t="e">
        <f t="shared" si="96"/>
        <v>#DIV/0!</v>
      </c>
      <c r="X372" t="e">
        <f t="shared" si="97"/>
        <v>#DIV/0!</v>
      </c>
      <c r="Y372" t="e">
        <f>IF(U372=0,0,IF(予定価格!G360=0,0,(U372-予定価格!H360)/予定価格!G360))</f>
        <v>#DIV/0!</v>
      </c>
      <c r="Z372" t="e">
        <f t="shared" si="98"/>
        <v>#DIV/0!</v>
      </c>
      <c r="AA372" t="e">
        <f t="shared" si="99"/>
        <v>#DIV/0!</v>
      </c>
      <c r="AB372" s="13" t="e">
        <f t="shared" si="100"/>
        <v>#DIV/0!</v>
      </c>
    </row>
    <row r="373" spans="1:28" hidden="1" x14ac:dyDescent="0.15">
      <c r="A373">
        <f>+予定価格!A361</f>
        <v>0</v>
      </c>
      <c r="B373" s="258">
        <f>ROUND(予定価格!B361*査定表!$B$437,-D373)+E373</f>
        <v>0</v>
      </c>
      <c r="C373" s="258"/>
      <c r="D373" s="45">
        <f t="shared" si="89"/>
        <v>4</v>
      </c>
      <c r="E373" s="46">
        <f t="shared" si="85"/>
        <v>0</v>
      </c>
      <c r="F373" s="258">
        <f>IF($F$12=0,0,IF(予定価格!$G$427=0,ROUND(予定価格!H361*(入力表!$F$12/予定価格!$H$431),-H373),ROUND((予定価格!G361*(入力表!$F$12-予定価格!$H$431)/予定価格!$G$431)+予定価格!H361,-H373)))+I373</f>
        <v>0</v>
      </c>
      <c r="G373" s="258"/>
      <c r="H373" s="47">
        <f t="shared" si="90"/>
        <v>4</v>
      </c>
      <c r="I373" s="48">
        <f t="shared" si="86"/>
        <v>0</v>
      </c>
      <c r="J373" s="116">
        <f t="shared" si="87"/>
        <v>0</v>
      </c>
      <c r="K373" s="19">
        <f t="shared" si="88"/>
        <v>0</v>
      </c>
      <c r="L373" s="50"/>
      <c r="M373" s="13">
        <f>ROUND(予定価格!B361*査定表!$B$437,-$F$14)</f>
        <v>0</v>
      </c>
      <c r="N373">
        <f>IF(M373=0,1,M373/予定価格!B361)</f>
        <v>1</v>
      </c>
      <c r="O373">
        <f t="shared" si="91"/>
        <v>21</v>
      </c>
      <c r="P373">
        <f t="shared" si="92"/>
        <v>0</v>
      </c>
      <c r="Q373">
        <f>IF(M373=0,0,M373/予定価格!B361)</f>
        <v>0</v>
      </c>
      <c r="R373">
        <f t="shared" si="93"/>
        <v>21</v>
      </c>
      <c r="S373">
        <f t="shared" si="94"/>
        <v>0</v>
      </c>
      <c r="T373" s="13">
        <f t="shared" si="95"/>
        <v>0</v>
      </c>
      <c r="U373" s="13" t="e">
        <f>IF(予定価格!$G$427=0,ROUND(予定価格!H361*(入力表!$F$12/予定価格!$H$431),-$F$14),ROUND((予定価格!G361*(入力表!$F$12-予定価格!$H$431)/予定価格!$G$431)+予定価格!H361,-$F$14))</f>
        <v>#DIV/0!</v>
      </c>
      <c r="V373" t="e">
        <f>IF(U373=0,1,IF(予定価格!O361=0,1,(U373-予定価格!P361)/予定価格!O361))</f>
        <v>#DIV/0!</v>
      </c>
      <c r="W373" t="e">
        <f t="shared" si="96"/>
        <v>#DIV/0!</v>
      </c>
      <c r="X373" t="e">
        <f t="shared" si="97"/>
        <v>#DIV/0!</v>
      </c>
      <c r="Y373" t="e">
        <f>IF(U373=0,0,IF(予定価格!G361=0,0,(U373-予定価格!H361)/予定価格!G361))</f>
        <v>#DIV/0!</v>
      </c>
      <c r="Z373" t="e">
        <f t="shared" si="98"/>
        <v>#DIV/0!</v>
      </c>
      <c r="AA373" t="e">
        <f t="shared" si="99"/>
        <v>#DIV/0!</v>
      </c>
      <c r="AB373" s="13" t="e">
        <f t="shared" si="100"/>
        <v>#DIV/0!</v>
      </c>
    </row>
    <row r="374" spans="1:28" hidden="1" x14ac:dyDescent="0.15">
      <c r="A374">
        <f>+予定価格!A362</f>
        <v>0</v>
      </c>
      <c r="B374" s="258">
        <f>ROUND(予定価格!B362*査定表!$B$437,-D374)+E374</f>
        <v>0</v>
      </c>
      <c r="C374" s="258"/>
      <c r="D374" s="45">
        <f t="shared" si="89"/>
        <v>4</v>
      </c>
      <c r="E374" s="46">
        <f t="shared" si="85"/>
        <v>0</v>
      </c>
      <c r="F374" s="258">
        <f>IF($F$12=0,0,IF(予定価格!$G$427=0,ROUND(予定価格!H362*(入力表!$F$12/予定価格!$H$431),-H374),ROUND((予定価格!G362*(入力表!$F$12-予定価格!$H$431)/予定価格!$G$431)+予定価格!H362,-H374)))+I374</f>
        <v>0</v>
      </c>
      <c r="G374" s="258"/>
      <c r="H374" s="47">
        <f t="shared" si="90"/>
        <v>4</v>
      </c>
      <c r="I374" s="48">
        <f t="shared" si="86"/>
        <v>0</v>
      </c>
      <c r="J374" s="116">
        <f t="shared" si="87"/>
        <v>0</v>
      </c>
      <c r="K374" s="19">
        <f t="shared" si="88"/>
        <v>0</v>
      </c>
      <c r="L374" s="50"/>
      <c r="M374" s="13">
        <f>ROUND(予定価格!B362*査定表!$B$437,-$F$14)</f>
        <v>0</v>
      </c>
      <c r="N374">
        <f>IF(M374=0,1,M374/予定価格!B362)</f>
        <v>1</v>
      </c>
      <c r="O374">
        <f t="shared" si="91"/>
        <v>21</v>
      </c>
      <c r="P374">
        <f t="shared" si="92"/>
        <v>0</v>
      </c>
      <c r="Q374">
        <f>IF(M374=0,0,M374/予定価格!B362)</f>
        <v>0</v>
      </c>
      <c r="R374">
        <f t="shared" si="93"/>
        <v>21</v>
      </c>
      <c r="S374">
        <f t="shared" si="94"/>
        <v>0</v>
      </c>
      <c r="T374" s="13">
        <f t="shared" si="95"/>
        <v>0</v>
      </c>
      <c r="U374" s="13" t="e">
        <f>IF(予定価格!$G$427=0,ROUND(予定価格!H362*(入力表!$F$12/予定価格!$H$431),-$F$14),ROUND((予定価格!G362*(入力表!$F$12-予定価格!$H$431)/予定価格!$G$431)+予定価格!H362,-$F$14))</f>
        <v>#DIV/0!</v>
      </c>
      <c r="V374" t="e">
        <f>IF(U374=0,1,IF(予定価格!O362=0,1,(U374-予定価格!P362)/予定価格!O362))</f>
        <v>#DIV/0!</v>
      </c>
      <c r="W374" t="e">
        <f t="shared" si="96"/>
        <v>#DIV/0!</v>
      </c>
      <c r="X374" t="e">
        <f t="shared" si="97"/>
        <v>#DIV/0!</v>
      </c>
      <c r="Y374" t="e">
        <f>IF(U374=0,0,IF(予定価格!G362=0,0,(U374-予定価格!H362)/予定価格!G362))</f>
        <v>#DIV/0!</v>
      </c>
      <c r="Z374" t="e">
        <f t="shared" si="98"/>
        <v>#DIV/0!</v>
      </c>
      <c r="AA374" t="e">
        <f t="shared" si="99"/>
        <v>#DIV/0!</v>
      </c>
      <c r="AB374" s="13" t="e">
        <f t="shared" si="100"/>
        <v>#DIV/0!</v>
      </c>
    </row>
    <row r="375" spans="1:28" hidden="1" x14ac:dyDescent="0.15">
      <c r="A375">
        <f>+予定価格!A363</f>
        <v>0</v>
      </c>
      <c r="B375" s="258">
        <f>ROUND(予定価格!B363*査定表!$B$437,-D375)+E375</f>
        <v>0</v>
      </c>
      <c r="C375" s="258"/>
      <c r="D375" s="45">
        <f t="shared" si="89"/>
        <v>4</v>
      </c>
      <c r="E375" s="46">
        <f t="shared" si="85"/>
        <v>0</v>
      </c>
      <c r="F375" s="258">
        <f>IF($F$12=0,0,IF(予定価格!$G$427=0,ROUND(予定価格!H363*(入力表!$F$12/予定価格!$H$431),-H375),ROUND((予定価格!G363*(入力表!$F$12-予定価格!$H$431)/予定価格!$G$431)+予定価格!H363,-H375)))+I375</f>
        <v>0</v>
      </c>
      <c r="G375" s="258"/>
      <c r="H375" s="47">
        <f t="shared" si="90"/>
        <v>4</v>
      </c>
      <c r="I375" s="48">
        <f t="shared" si="86"/>
        <v>0</v>
      </c>
      <c r="J375" s="116">
        <f t="shared" si="87"/>
        <v>0</v>
      </c>
      <c r="K375" s="19">
        <f t="shared" si="88"/>
        <v>0</v>
      </c>
      <c r="L375" s="50"/>
      <c r="M375" s="13">
        <f>ROUND(予定価格!B363*査定表!$B$437,-$F$14)</f>
        <v>0</v>
      </c>
      <c r="N375">
        <f>IF(M375=0,1,M375/予定価格!B363)</f>
        <v>1</v>
      </c>
      <c r="O375">
        <f t="shared" si="91"/>
        <v>21</v>
      </c>
      <c r="P375">
        <f t="shared" si="92"/>
        <v>0</v>
      </c>
      <c r="Q375">
        <f>IF(M375=0,0,M375/予定価格!B363)</f>
        <v>0</v>
      </c>
      <c r="R375">
        <f t="shared" si="93"/>
        <v>21</v>
      </c>
      <c r="S375">
        <f t="shared" si="94"/>
        <v>0</v>
      </c>
      <c r="T375" s="13">
        <f t="shared" si="95"/>
        <v>0</v>
      </c>
      <c r="U375" s="13" t="e">
        <f>IF(予定価格!$G$427=0,ROUND(予定価格!H363*(入力表!$F$12/予定価格!$H$431),-$F$14),ROUND((予定価格!G363*(入力表!$F$12-予定価格!$H$431)/予定価格!$G$431)+予定価格!H363,-$F$14))</f>
        <v>#DIV/0!</v>
      </c>
      <c r="V375" t="e">
        <f>IF(U375=0,1,IF(予定価格!O363=0,1,(U375-予定価格!P363)/予定価格!O363))</f>
        <v>#DIV/0!</v>
      </c>
      <c r="W375" t="e">
        <f t="shared" si="96"/>
        <v>#DIV/0!</v>
      </c>
      <c r="X375" t="e">
        <f t="shared" si="97"/>
        <v>#DIV/0!</v>
      </c>
      <c r="Y375" t="e">
        <f>IF(U375=0,0,IF(予定価格!G363=0,0,(U375-予定価格!H363)/予定価格!G363))</f>
        <v>#DIV/0!</v>
      </c>
      <c r="Z375" t="e">
        <f t="shared" si="98"/>
        <v>#DIV/0!</v>
      </c>
      <c r="AA375" t="e">
        <f t="shared" si="99"/>
        <v>#DIV/0!</v>
      </c>
      <c r="AB375" s="13" t="e">
        <f t="shared" si="100"/>
        <v>#DIV/0!</v>
      </c>
    </row>
    <row r="376" spans="1:28" hidden="1" x14ac:dyDescent="0.15">
      <c r="A376">
        <f>+予定価格!A364</f>
        <v>0</v>
      </c>
      <c r="B376" s="258">
        <f>ROUND(予定価格!B364*査定表!$B$437,-D376)+E376</f>
        <v>0</v>
      </c>
      <c r="C376" s="258"/>
      <c r="D376" s="45">
        <f t="shared" si="89"/>
        <v>4</v>
      </c>
      <c r="E376" s="46">
        <f t="shared" si="85"/>
        <v>0</v>
      </c>
      <c r="F376" s="258">
        <f>IF($F$12=0,0,IF(予定価格!$G$427=0,ROUND(予定価格!H364*(入力表!$F$12/予定価格!$H$431),-H376),ROUND((予定価格!G364*(入力表!$F$12-予定価格!$H$431)/予定価格!$G$431)+予定価格!H364,-H376)))+I376</f>
        <v>0</v>
      </c>
      <c r="G376" s="258"/>
      <c r="H376" s="47">
        <f t="shared" si="90"/>
        <v>4</v>
      </c>
      <c r="I376" s="48">
        <f t="shared" si="86"/>
        <v>0</v>
      </c>
      <c r="J376" s="116">
        <f t="shared" si="87"/>
        <v>0</v>
      </c>
      <c r="K376" s="19">
        <f t="shared" si="88"/>
        <v>0</v>
      </c>
      <c r="L376" s="50"/>
      <c r="M376" s="13">
        <f>ROUND(予定価格!B364*査定表!$B$437,-$F$14)</f>
        <v>0</v>
      </c>
      <c r="N376">
        <f>IF(M376=0,1,M376/予定価格!B364)</f>
        <v>1</v>
      </c>
      <c r="O376">
        <f t="shared" si="91"/>
        <v>21</v>
      </c>
      <c r="P376">
        <f t="shared" si="92"/>
        <v>0</v>
      </c>
      <c r="Q376">
        <f>IF(M376=0,0,M376/予定価格!B364)</f>
        <v>0</v>
      </c>
      <c r="R376">
        <f t="shared" si="93"/>
        <v>21</v>
      </c>
      <c r="S376">
        <f t="shared" si="94"/>
        <v>0</v>
      </c>
      <c r="T376" s="13">
        <f t="shared" si="95"/>
        <v>0</v>
      </c>
      <c r="U376" s="13" t="e">
        <f>IF(予定価格!$G$427=0,ROUND(予定価格!H364*(入力表!$F$12/予定価格!$H$431),-$F$14),ROUND((予定価格!G364*(入力表!$F$12-予定価格!$H$431)/予定価格!$G$431)+予定価格!H364,-$F$14))</f>
        <v>#DIV/0!</v>
      </c>
      <c r="V376" t="e">
        <f>IF(U376=0,1,IF(予定価格!O364=0,1,(U376-予定価格!P364)/予定価格!O364))</f>
        <v>#DIV/0!</v>
      </c>
      <c r="W376" t="e">
        <f t="shared" si="96"/>
        <v>#DIV/0!</v>
      </c>
      <c r="X376" t="e">
        <f t="shared" si="97"/>
        <v>#DIV/0!</v>
      </c>
      <c r="Y376" t="e">
        <f>IF(U376=0,0,IF(予定価格!G364=0,0,(U376-予定価格!H364)/予定価格!G364))</f>
        <v>#DIV/0!</v>
      </c>
      <c r="Z376" t="e">
        <f t="shared" si="98"/>
        <v>#DIV/0!</v>
      </c>
      <c r="AA376" t="e">
        <f t="shared" si="99"/>
        <v>#DIV/0!</v>
      </c>
      <c r="AB376" s="13" t="e">
        <f t="shared" si="100"/>
        <v>#DIV/0!</v>
      </c>
    </row>
    <row r="377" spans="1:28" hidden="1" x14ac:dyDescent="0.15">
      <c r="A377">
        <f>+予定価格!A365</f>
        <v>0</v>
      </c>
      <c r="B377" s="258">
        <f>ROUND(予定価格!B365*査定表!$B$437,-D377)+E377</f>
        <v>0</v>
      </c>
      <c r="C377" s="258"/>
      <c r="D377" s="45">
        <f t="shared" si="89"/>
        <v>4</v>
      </c>
      <c r="E377" s="46">
        <f t="shared" si="85"/>
        <v>0</v>
      </c>
      <c r="F377" s="258">
        <f>IF($F$12=0,0,IF(予定価格!$G$427=0,ROUND(予定価格!H365*(入力表!$F$12/予定価格!$H$431),-H377),ROUND((予定価格!G365*(入力表!$F$12-予定価格!$H$431)/予定価格!$G$431)+予定価格!H365,-H377)))+I377</f>
        <v>0</v>
      </c>
      <c r="G377" s="258"/>
      <c r="H377" s="47">
        <f t="shared" si="90"/>
        <v>4</v>
      </c>
      <c r="I377" s="48">
        <f t="shared" si="86"/>
        <v>0</v>
      </c>
      <c r="J377" s="116">
        <f t="shared" si="87"/>
        <v>0</v>
      </c>
      <c r="K377" s="19">
        <f t="shared" si="88"/>
        <v>0</v>
      </c>
      <c r="L377" s="50"/>
      <c r="M377" s="13">
        <f>ROUND(予定価格!B365*査定表!$B$437,-$F$14)</f>
        <v>0</v>
      </c>
      <c r="N377">
        <f>IF(M377=0,1,M377/予定価格!B365)</f>
        <v>1</v>
      </c>
      <c r="O377">
        <f t="shared" si="91"/>
        <v>21</v>
      </c>
      <c r="P377">
        <f t="shared" si="92"/>
        <v>0</v>
      </c>
      <c r="Q377">
        <f>IF(M377=0,0,M377/予定価格!B365)</f>
        <v>0</v>
      </c>
      <c r="R377">
        <f t="shared" si="93"/>
        <v>21</v>
      </c>
      <c r="S377">
        <f t="shared" si="94"/>
        <v>0</v>
      </c>
      <c r="T377" s="13">
        <f t="shared" si="95"/>
        <v>0</v>
      </c>
      <c r="U377" s="13" t="e">
        <f>IF(予定価格!$G$427=0,ROUND(予定価格!H365*(入力表!$F$12/予定価格!$H$431),-$F$14),ROUND((予定価格!G365*(入力表!$F$12-予定価格!$H$431)/予定価格!$G$431)+予定価格!H365,-$F$14))</f>
        <v>#DIV/0!</v>
      </c>
      <c r="V377" t="e">
        <f>IF(U377=0,1,IF(予定価格!O365=0,1,(U377-予定価格!P365)/予定価格!O365))</f>
        <v>#DIV/0!</v>
      </c>
      <c r="W377" t="e">
        <f t="shared" si="96"/>
        <v>#DIV/0!</v>
      </c>
      <c r="X377" t="e">
        <f t="shared" si="97"/>
        <v>#DIV/0!</v>
      </c>
      <c r="Y377" t="e">
        <f>IF(U377=0,0,IF(予定価格!G365=0,0,(U377-予定価格!H365)/予定価格!G365))</f>
        <v>#DIV/0!</v>
      </c>
      <c r="Z377" t="e">
        <f t="shared" si="98"/>
        <v>#DIV/0!</v>
      </c>
      <c r="AA377" t="e">
        <f t="shared" si="99"/>
        <v>#DIV/0!</v>
      </c>
      <c r="AB377" s="13" t="e">
        <f t="shared" si="100"/>
        <v>#DIV/0!</v>
      </c>
    </row>
    <row r="378" spans="1:28" hidden="1" x14ac:dyDescent="0.15">
      <c r="A378">
        <f>+予定価格!A366</f>
        <v>0</v>
      </c>
      <c r="B378" s="258">
        <f>ROUND(予定価格!B366*査定表!$B$437,-D378)+E378</f>
        <v>0</v>
      </c>
      <c r="C378" s="258"/>
      <c r="D378" s="45">
        <f t="shared" si="89"/>
        <v>4</v>
      </c>
      <c r="E378" s="46">
        <f t="shared" si="85"/>
        <v>0</v>
      </c>
      <c r="F378" s="258">
        <f>IF($F$12=0,0,IF(予定価格!$G$427=0,ROUND(予定価格!H366*(入力表!$F$12/予定価格!$H$431),-H378),ROUND((予定価格!G366*(入力表!$F$12-予定価格!$H$431)/予定価格!$G$431)+予定価格!H366,-H378)))+I378</f>
        <v>0</v>
      </c>
      <c r="G378" s="258"/>
      <c r="H378" s="47">
        <f t="shared" si="90"/>
        <v>4</v>
      </c>
      <c r="I378" s="48">
        <f t="shared" si="86"/>
        <v>0</v>
      </c>
      <c r="J378" s="116">
        <f t="shared" si="87"/>
        <v>0</v>
      </c>
      <c r="K378" s="19">
        <f t="shared" si="88"/>
        <v>0</v>
      </c>
      <c r="L378" s="50"/>
      <c r="M378" s="13">
        <f>ROUND(予定価格!B366*査定表!$B$437,-$F$14)</f>
        <v>0</v>
      </c>
      <c r="N378">
        <f>IF(M378=0,1,M378/予定価格!B366)</f>
        <v>1</v>
      </c>
      <c r="O378">
        <f t="shared" si="91"/>
        <v>21</v>
      </c>
      <c r="P378">
        <f t="shared" si="92"/>
        <v>0</v>
      </c>
      <c r="Q378">
        <f>IF(M378=0,0,M378/予定価格!B366)</f>
        <v>0</v>
      </c>
      <c r="R378">
        <f t="shared" si="93"/>
        <v>21</v>
      </c>
      <c r="S378">
        <f t="shared" si="94"/>
        <v>0</v>
      </c>
      <c r="T378" s="13">
        <f t="shared" si="95"/>
        <v>0</v>
      </c>
      <c r="U378" s="13" t="e">
        <f>IF(予定価格!$G$427=0,ROUND(予定価格!H366*(入力表!$F$12/予定価格!$H$431),-$F$14),ROUND((予定価格!G366*(入力表!$F$12-予定価格!$H$431)/予定価格!$G$431)+予定価格!H366,-$F$14))</f>
        <v>#DIV/0!</v>
      </c>
      <c r="V378" t="e">
        <f>IF(U378=0,1,IF(予定価格!O366=0,1,(U378-予定価格!P366)/予定価格!O366))</f>
        <v>#DIV/0!</v>
      </c>
      <c r="W378" t="e">
        <f t="shared" si="96"/>
        <v>#DIV/0!</v>
      </c>
      <c r="X378" t="e">
        <f t="shared" si="97"/>
        <v>#DIV/0!</v>
      </c>
      <c r="Y378" t="e">
        <f>IF(U378=0,0,IF(予定価格!G366=0,0,(U378-予定価格!H366)/予定価格!G366))</f>
        <v>#DIV/0!</v>
      </c>
      <c r="Z378" t="e">
        <f t="shared" si="98"/>
        <v>#DIV/0!</v>
      </c>
      <c r="AA378" t="e">
        <f t="shared" si="99"/>
        <v>#DIV/0!</v>
      </c>
      <c r="AB378" s="13" t="e">
        <f t="shared" si="100"/>
        <v>#DIV/0!</v>
      </c>
    </row>
    <row r="379" spans="1:28" hidden="1" x14ac:dyDescent="0.15">
      <c r="A379">
        <f>+予定価格!A367</f>
        <v>0</v>
      </c>
      <c r="B379" s="258">
        <f>ROUND(予定価格!B367*査定表!$B$437,-D379)+E379</f>
        <v>0</v>
      </c>
      <c r="C379" s="258"/>
      <c r="D379" s="45">
        <f t="shared" si="89"/>
        <v>4</v>
      </c>
      <c r="E379" s="46">
        <f t="shared" si="85"/>
        <v>0</v>
      </c>
      <c r="F379" s="258">
        <f>IF($F$12=0,0,IF(予定価格!$G$427=0,ROUND(予定価格!H367*(入力表!$F$12/予定価格!$H$431),-H379),ROUND((予定価格!G367*(入力表!$F$12-予定価格!$H$431)/予定価格!$G$431)+予定価格!H367,-H379)))+I379</f>
        <v>0</v>
      </c>
      <c r="G379" s="258"/>
      <c r="H379" s="47">
        <f t="shared" si="90"/>
        <v>4</v>
      </c>
      <c r="I379" s="48">
        <f t="shared" si="86"/>
        <v>0</v>
      </c>
      <c r="J379" s="116">
        <f t="shared" si="87"/>
        <v>0</v>
      </c>
      <c r="K379" s="19">
        <f t="shared" si="88"/>
        <v>0</v>
      </c>
      <c r="L379" s="50"/>
      <c r="M379" s="13">
        <f>ROUND(予定価格!B367*査定表!$B$437,-$F$14)</f>
        <v>0</v>
      </c>
      <c r="N379">
        <f>IF(M379=0,1,M379/予定価格!B367)</f>
        <v>1</v>
      </c>
      <c r="O379">
        <f t="shared" si="91"/>
        <v>21</v>
      </c>
      <c r="P379">
        <f t="shared" si="92"/>
        <v>0</v>
      </c>
      <c r="Q379">
        <f>IF(M379=0,0,M379/予定価格!B367)</f>
        <v>0</v>
      </c>
      <c r="R379">
        <f t="shared" si="93"/>
        <v>21</v>
      </c>
      <c r="S379">
        <f t="shared" si="94"/>
        <v>0</v>
      </c>
      <c r="T379" s="13">
        <f t="shared" si="95"/>
        <v>0</v>
      </c>
      <c r="U379" s="13" t="e">
        <f>IF(予定価格!$G$427=0,ROUND(予定価格!H367*(入力表!$F$12/予定価格!$H$431),-$F$14),ROUND((予定価格!G367*(入力表!$F$12-予定価格!$H$431)/予定価格!$G$431)+予定価格!H367,-$F$14))</f>
        <v>#DIV/0!</v>
      </c>
      <c r="V379" t="e">
        <f>IF(U379=0,1,IF(予定価格!O367=0,1,(U379-予定価格!P367)/予定価格!O367))</f>
        <v>#DIV/0!</v>
      </c>
      <c r="W379" t="e">
        <f t="shared" si="96"/>
        <v>#DIV/0!</v>
      </c>
      <c r="X379" t="e">
        <f t="shared" si="97"/>
        <v>#DIV/0!</v>
      </c>
      <c r="Y379" t="e">
        <f>IF(U379=0,0,IF(予定価格!G367=0,0,(U379-予定価格!H367)/予定価格!G367))</f>
        <v>#DIV/0!</v>
      </c>
      <c r="Z379" t="e">
        <f t="shared" si="98"/>
        <v>#DIV/0!</v>
      </c>
      <c r="AA379" t="e">
        <f t="shared" si="99"/>
        <v>#DIV/0!</v>
      </c>
      <c r="AB379" s="13" t="e">
        <f t="shared" si="100"/>
        <v>#DIV/0!</v>
      </c>
    </row>
    <row r="380" spans="1:28" hidden="1" x14ac:dyDescent="0.15">
      <c r="A380">
        <f>+予定価格!A368</f>
        <v>0</v>
      </c>
      <c r="B380" s="258">
        <f>ROUND(予定価格!B368*査定表!$B$437,-D380)+E380</f>
        <v>0</v>
      </c>
      <c r="C380" s="258"/>
      <c r="D380" s="45">
        <f t="shared" si="89"/>
        <v>4</v>
      </c>
      <c r="E380" s="46">
        <f t="shared" si="85"/>
        <v>0</v>
      </c>
      <c r="F380" s="258">
        <f>IF($F$12=0,0,IF(予定価格!$G$427=0,ROUND(予定価格!H368*(入力表!$F$12/予定価格!$H$431),-H380),ROUND((予定価格!G368*(入力表!$F$12-予定価格!$H$431)/予定価格!$G$431)+予定価格!H368,-H380)))+I380</f>
        <v>0</v>
      </c>
      <c r="G380" s="258"/>
      <c r="H380" s="47">
        <f t="shared" si="90"/>
        <v>4</v>
      </c>
      <c r="I380" s="48">
        <f t="shared" si="86"/>
        <v>0</v>
      </c>
      <c r="J380" s="116">
        <f t="shared" si="87"/>
        <v>0</v>
      </c>
      <c r="K380" s="19">
        <f t="shared" si="88"/>
        <v>0</v>
      </c>
      <c r="L380" s="50"/>
      <c r="M380" s="13">
        <f>ROUND(予定価格!B368*査定表!$B$437,-$F$14)</f>
        <v>0</v>
      </c>
      <c r="N380">
        <f>IF(M380=0,1,M380/予定価格!B368)</f>
        <v>1</v>
      </c>
      <c r="O380">
        <f t="shared" si="91"/>
        <v>21</v>
      </c>
      <c r="P380">
        <f t="shared" si="92"/>
        <v>0</v>
      </c>
      <c r="Q380">
        <f>IF(M380=0,0,M380/予定価格!B368)</f>
        <v>0</v>
      </c>
      <c r="R380">
        <f t="shared" si="93"/>
        <v>21</v>
      </c>
      <c r="S380">
        <f t="shared" si="94"/>
        <v>0</v>
      </c>
      <c r="T380" s="13">
        <f t="shared" si="95"/>
        <v>0</v>
      </c>
      <c r="U380" s="13" t="e">
        <f>IF(予定価格!$G$427=0,ROUND(予定価格!H368*(入力表!$F$12/予定価格!$H$431),-$F$14),ROUND((予定価格!G368*(入力表!$F$12-予定価格!$H$431)/予定価格!$G$431)+予定価格!H368,-$F$14))</f>
        <v>#DIV/0!</v>
      </c>
      <c r="V380" t="e">
        <f>IF(U380=0,1,IF(予定価格!O368=0,1,(U380-予定価格!P368)/予定価格!O368))</f>
        <v>#DIV/0!</v>
      </c>
      <c r="W380" t="e">
        <f t="shared" si="96"/>
        <v>#DIV/0!</v>
      </c>
      <c r="X380" t="e">
        <f t="shared" si="97"/>
        <v>#DIV/0!</v>
      </c>
      <c r="Y380" t="e">
        <f>IF(U380=0,0,IF(予定価格!G368=0,0,(U380-予定価格!H368)/予定価格!G368))</f>
        <v>#DIV/0!</v>
      </c>
      <c r="Z380" t="e">
        <f t="shared" si="98"/>
        <v>#DIV/0!</v>
      </c>
      <c r="AA380" t="e">
        <f t="shared" si="99"/>
        <v>#DIV/0!</v>
      </c>
      <c r="AB380" s="13" t="e">
        <f t="shared" si="100"/>
        <v>#DIV/0!</v>
      </c>
    </row>
    <row r="381" spans="1:28" hidden="1" x14ac:dyDescent="0.15">
      <c r="A381">
        <f>+予定価格!A369</f>
        <v>0</v>
      </c>
      <c r="B381" s="258">
        <f>ROUND(予定価格!B369*査定表!$B$437,-D381)+E381</f>
        <v>0</v>
      </c>
      <c r="C381" s="258"/>
      <c r="D381" s="45">
        <f t="shared" si="89"/>
        <v>4</v>
      </c>
      <c r="E381" s="46">
        <f t="shared" si="85"/>
        <v>0</v>
      </c>
      <c r="F381" s="258">
        <f>IF($F$12=0,0,IF(予定価格!$G$427=0,ROUND(予定価格!H369*(入力表!$F$12/予定価格!$H$431),-H381),ROUND((予定価格!G369*(入力表!$F$12-予定価格!$H$431)/予定価格!$G$431)+予定価格!H369,-H381)))+I381</f>
        <v>0</v>
      </c>
      <c r="G381" s="258"/>
      <c r="H381" s="47">
        <f t="shared" si="90"/>
        <v>4</v>
      </c>
      <c r="I381" s="48">
        <f t="shared" si="86"/>
        <v>0</v>
      </c>
      <c r="J381" s="116">
        <f t="shared" si="87"/>
        <v>0</v>
      </c>
      <c r="K381" s="19">
        <f t="shared" si="88"/>
        <v>0</v>
      </c>
      <c r="L381" s="50"/>
      <c r="M381" s="13">
        <f>ROUND(予定価格!B369*査定表!$B$437,-$F$14)</f>
        <v>0</v>
      </c>
      <c r="N381">
        <f>IF(M381=0,1,M381/予定価格!B369)</f>
        <v>1</v>
      </c>
      <c r="O381">
        <f t="shared" si="91"/>
        <v>21</v>
      </c>
      <c r="P381">
        <f t="shared" si="92"/>
        <v>0</v>
      </c>
      <c r="Q381">
        <f>IF(M381=0,0,M381/予定価格!B369)</f>
        <v>0</v>
      </c>
      <c r="R381">
        <f t="shared" si="93"/>
        <v>21</v>
      </c>
      <c r="S381">
        <f t="shared" si="94"/>
        <v>0</v>
      </c>
      <c r="T381" s="13">
        <f t="shared" si="95"/>
        <v>0</v>
      </c>
      <c r="U381" s="13" t="e">
        <f>IF(予定価格!$G$427=0,ROUND(予定価格!H369*(入力表!$F$12/予定価格!$H$431),-$F$14),ROUND((予定価格!G369*(入力表!$F$12-予定価格!$H$431)/予定価格!$G$431)+予定価格!H369,-$F$14))</f>
        <v>#DIV/0!</v>
      </c>
      <c r="V381" t="e">
        <f>IF(U381=0,1,IF(予定価格!O369=0,1,(U381-予定価格!P369)/予定価格!O369))</f>
        <v>#DIV/0!</v>
      </c>
      <c r="W381" t="e">
        <f t="shared" si="96"/>
        <v>#DIV/0!</v>
      </c>
      <c r="X381" t="e">
        <f t="shared" si="97"/>
        <v>#DIV/0!</v>
      </c>
      <c r="Y381" t="e">
        <f>IF(U381=0,0,IF(予定価格!G369=0,0,(U381-予定価格!H369)/予定価格!G369))</f>
        <v>#DIV/0!</v>
      </c>
      <c r="Z381" t="e">
        <f t="shared" si="98"/>
        <v>#DIV/0!</v>
      </c>
      <c r="AA381" t="e">
        <f t="shared" si="99"/>
        <v>#DIV/0!</v>
      </c>
      <c r="AB381" s="13" t="e">
        <f t="shared" si="100"/>
        <v>#DIV/0!</v>
      </c>
    </row>
    <row r="382" spans="1:28" hidden="1" x14ac:dyDescent="0.15">
      <c r="A382">
        <f>+予定価格!A370</f>
        <v>0</v>
      </c>
      <c r="B382" s="258">
        <f>ROUND(予定価格!B370*査定表!$B$437,-D382)+E382</f>
        <v>0</v>
      </c>
      <c r="C382" s="258"/>
      <c r="D382" s="45">
        <f t="shared" si="89"/>
        <v>4</v>
      </c>
      <c r="E382" s="46">
        <f t="shared" si="85"/>
        <v>0</v>
      </c>
      <c r="F382" s="258">
        <f>IF($F$12=0,0,IF(予定価格!$G$427=0,ROUND(予定価格!H370*(入力表!$F$12/予定価格!$H$431),-H382),ROUND((予定価格!G370*(入力表!$F$12-予定価格!$H$431)/予定価格!$G$431)+予定価格!H370,-H382)))+I382</f>
        <v>0</v>
      </c>
      <c r="G382" s="258"/>
      <c r="H382" s="47">
        <f t="shared" si="90"/>
        <v>4</v>
      </c>
      <c r="I382" s="48">
        <f t="shared" si="86"/>
        <v>0</v>
      </c>
      <c r="J382" s="116">
        <f t="shared" si="87"/>
        <v>0</v>
      </c>
      <c r="K382" s="19">
        <f t="shared" si="88"/>
        <v>0</v>
      </c>
      <c r="L382" s="50"/>
      <c r="M382" s="13">
        <f>ROUND(予定価格!B370*査定表!$B$437,-$F$14)</f>
        <v>0</v>
      </c>
      <c r="N382">
        <f>IF(M382=0,1,M382/予定価格!B370)</f>
        <v>1</v>
      </c>
      <c r="O382">
        <f t="shared" si="91"/>
        <v>21</v>
      </c>
      <c r="P382">
        <f t="shared" si="92"/>
        <v>0</v>
      </c>
      <c r="Q382">
        <f>IF(M382=0,0,M382/予定価格!B370)</f>
        <v>0</v>
      </c>
      <c r="R382">
        <f t="shared" si="93"/>
        <v>21</v>
      </c>
      <c r="S382">
        <f t="shared" si="94"/>
        <v>0</v>
      </c>
      <c r="T382" s="13">
        <f t="shared" si="95"/>
        <v>0</v>
      </c>
      <c r="U382" s="13" t="e">
        <f>IF(予定価格!$G$427=0,ROUND(予定価格!H370*(入力表!$F$12/予定価格!$H$431),-$F$14),ROUND((予定価格!G370*(入力表!$F$12-予定価格!$H$431)/予定価格!$G$431)+予定価格!H370,-$F$14))</f>
        <v>#DIV/0!</v>
      </c>
      <c r="V382" t="e">
        <f>IF(U382=0,1,IF(予定価格!O370=0,1,(U382-予定価格!P370)/予定価格!O370))</f>
        <v>#DIV/0!</v>
      </c>
      <c r="W382" t="e">
        <f t="shared" si="96"/>
        <v>#DIV/0!</v>
      </c>
      <c r="X382" t="e">
        <f t="shared" si="97"/>
        <v>#DIV/0!</v>
      </c>
      <c r="Y382" t="e">
        <f>IF(U382=0,0,IF(予定価格!G370=0,0,(U382-予定価格!H370)/予定価格!G370))</f>
        <v>#DIV/0!</v>
      </c>
      <c r="Z382" t="e">
        <f t="shared" si="98"/>
        <v>#DIV/0!</v>
      </c>
      <c r="AA382" t="e">
        <f t="shared" si="99"/>
        <v>#DIV/0!</v>
      </c>
      <c r="AB382" s="13" t="e">
        <f t="shared" si="100"/>
        <v>#DIV/0!</v>
      </c>
    </row>
    <row r="383" spans="1:28" hidden="1" x14ac:dyDescent="0.15">
      <c r="A383">
        <f>+予定価格!A371</f>
        <v>0</v>
      </c>
      <c r="B383" s="258">
        <f>ROUND(予定価格!B371*査定表!$B$437,-D383)+E383</f>
        <v>0</v>
      </c>
      <c r="C383" s="258"/>
      <c r="D383" s="45">
        <f t="shared" si="89"/>
        <v>4</v>
      </c>
      <c r="E383" s="46">
        <f t="shared" si="85"/>
        <v>0</v>
      </c>
      <c r="F383" s="258">
        <f>IF($F$12=0,0,IF(予定価格!$G$427=0,ROUND(予定価格!H371*(入力表!$F$12/予定価格!$H$431),-H383),ROUND((予定価格!G371*(入力表!$F$12-予定価格!$H$431)/予定価格!$G$431)+予定価格!H371,-H383)))+I383</f>
        <v>0</v>
      </c>
      <c r="G383" s="258"/>
      <c r="H383" s="47">
        <f t="shared" si="90"/>
        <v>4</v>
      </c>
      <c r="I383" s="48">
        <f t="shared" si="86"/>
        <v>0</v>
      </c>
      <c r="J383" s="116">
        <f t="shared" si="87"/>
        <v>0</v>
      </c>
      <c r="K383" s="19">
        <f t="shared" si="88"/>
        <v>0</v>
      </c>
      <c r="L383" s="50"/>
      <c r="M383" s="13">
        <f>ROUND(予定価格!B371*査定表!$B$437,-$F$14)</f>
        <v>0</v>
      </c>
      <c r="N383">
        <f>IF(M383=0,1,M383/予定価格!B371)</f>
        <v>1</v>
      </c>
      <c r="O383">
        <f t="shared" si="91"/>
        <v>21</v>
      </c>
      <c r="P383">
        <f t="shared" si="92"/>
        <v>0</v>
      </c>
      <c r="Q383">
        <f>IF(M383=0,0,M383/予定価格!B371)</f>
        <v>0</v>
      </c>
      <c r="R383">
        <f t="shared" si="93"/>
        <v>21</v>
      </c>
      <c r="S383">
        <f t="shared" si="94"/>
        <v>0</v>
      </c>
      <c r="T383" s="13">
        <f t="shared" si="95"/>
        <v>0</v>
      </c>
      <c r="U383" s="13" t="e">
        <f>IF(予定価格!$G$427=0,ROUND(予定価格!H371*(入力表!$F$12/予定価格!$H$431),-$F$14),ROUND((予定価格!G371*(入力表!$F$12-予定価格!$H$431)/予定価格!$G$431)+予定価格!H371,-$F$14))</f>
        <v>#DIV/0!</v>
      </c>
      <c r="V383" t="e">
        <f>IF(U383=0,1,IF(予定価格!O371=0,1,(U383-予定価格!P371)/予定価格!O371))</f>
        <v>#DIV/0!</v>
      </c>
      <c r="W383" t="e">
        <f t="shared" si="96"/>
        <v>#DIV/0!</v>
      </c>
      <c r="X383" t="e">
        <f t="shared" si="97"/>
        <v>#DIV/0!</v>
      </c>
      <c r="Y383" t="e">
        <f>IF(U383=0,0,IF(予定価格!G371=0,0,(U383-予定価格!H371)/予定価格!G371))</f>
        <v>#DIV/0!</v>
      </c>
      <c r="Z383" t="e">
        <f t="shared" si="98"/>
        <v>#DIV/0!</v>
      </c>
      <c r="AA383" t="e">
        <f t="shared" si="99"/>
        <v>#DIV/0!</v>
      </c>
      <c r="AB383" s="13" t="e">
        <f t="shared" si="100"/>
        <v>#DIV/0!</v>
      </c>
    </row>
    <row r="384" spans="1:28" hidden="1" x14ac:dyDescent="0.15">
      <c r="A384">
        <f>+予定価格!A372</f>
        <v>0</v>
      </c>
      <c r="B384" s="258">
        <f>ROUND(予定価格!B372*査定表!$B$437,-D384)+E384</f>
        <v>0</v>
      </c>
      <c r="C384" s="258"/>
      <c r="D384" s="45">
        <f t="shared" si="89"/>
        <v>4</v>
      </c>
      <c r="E384" s="46">
        <f t="shared" si="85"/>
        <v>0</v>
      </c>
      <c r="F384" s="258">
        <f>IF($F$12=0,0,IF(予定価格!$G$427=0,ROUND(予定価格!H372*(入力表!$F$12/予定価格!$H$431),-H384),ROUND((予定価格!G372*(入力表!$F$12-予定価格!$H$431)/予定価格!$G$431)+予定価格!H372,-H384)))+I384</f>
        <v>0</v>
      </c>
      <c r="G384" s="258"/>
      <c r="H384" s="47">
        <f t="shared" si="90"/>
        <v>4</v>
      </c>
      <c r="I384" s="48">
        <f t="shared" si="86"/>
        <v>0</v>
      </c>
      <c r="J384" s="116">
        <f t="shared" si="87"/>
        <v>0</v>
      </c>
      <c r="K384" s="19">
        <f t="shared" si="88"/>
        <v>0</v>
      </c>
      <c r="L384" s="50"/>
      <c r="M384" s="13">
        <f>ROUND(予定価格!B372*査定表!$B$437,-$F$14)</f>
        <v>0</v>
      </c>
      <c r="N384">
        <f>IF(M384=0,1,M384/予定価格!B372)</f>
        <v>1</v>
      </c>
      <c r="O384">
        <f t="shared" si="91"/>
        <v>21</v>
      </c>
      <c r="P384">
        <f t="shared" si="92"/>
        <v>0</v>
      </c>
      <c r="Q384">
        <f>IF(M384=0,0,M384/予定価格!B372)</f>
        <v>0</v>
      </c>
      <c r="R384">
        <f t="shared" si="93"/>
        <v>21</v>
      </c>
      <c r="S384">
        <f t="shared" si="94"/>
        <v>0</v>
      </c>
      <c r="T384" s="13">
        <f t="shared" si="95"/>
        <v>0</v>
      </c>
      <c r="U384" s="13" t="e">
        <f>IF(予定価格!$G$427=0,ROUND(予定価格!H372*(入力表!$F$12/予定価格!$H$431),-$F$14),ROUND((予定価格!G372*(入力表!$F$12-予定価格!$H$431)/予定価格!$G$431)+予定価格!H372,-$F$14))</f>
        <v>#DIV/0!</v>
      </c>
      <c r="V384" t="e">
        <f>IF(U384=0,1,IF(予定価格!O372=0,1,(U384-予定価格!P372)/予定価格!O372))</f>
        <v>#DIV/0!</v>
      </c>
      <c r="W384" t="e">
        <f t="shared" si="96"/>
        <v>#DIV/0!</v>
      </c>
      <c r="X384" t="e">
        <f t="shared" si="97"/>
        <v>#DIV/0!</v>
      </c>
      <c r="Y384" t="e">
        <f>IF(U384=0,0,IF(予定価格!G372=0,0,(U384-予定価格!H372)/予定価格!G372))</f>
        <v>#DIV/0!</v>
      </c>
      <c r="Z384" t="e">
        <f t="shared" si="98"/>
        <v>#DIV/0!</v>
      </c>
      <c r="AA384" t="e">
        <f t="shared" si="99"/>
        <v>#DIV/0!</v>
      </c>
      <c r="AB384" s="13" t="e">
        <f t="shared" si="100"/>
        <v>#DIV/0!</v>
      </c>
    </row>
    <row r="385" spans="1:28" hidden="1" x14ac:dyDescent="0.15">
      <c r="A385">
        <f>+予定価格!A373</f>
        <v>0</v>
      </c>
      <c r="B385" s="258">
        <f>ROUND(予定価格!B373*査定表!$B$437,-D385)+E385</f>
        <v>0</v>
      </c>
      <c r="C385" s="258"/>
      <c r="D385" s="45">
        <f t="shared" si="89"/>
        <v>4</v>
      </c>
      <c r="E385" s="46">
        <f t="shared" si="85"/>
        <v>0</v>
      </c>
      <c r="F385" s="258">
        <f>IF($F$12=0,0,IF(予定価格!$G$427=0,ROUND(予定価格!H373*(入力表!$F$12/予定価格!$H$431),-H385),ROUND((予定価格!G373*(入力表!$F$12-予定価格!$H$431)/予定価格!$G$431)+予定価格!H373,-H385)))+I385</f>
        <v>0</v>
      </c>
      <c r="G385" s="258"/>
      <c r="H385" s="47">
        <f t="shared" si="90"/>
        <v>4</v>
      </c>
      <c r="I385" s="48">
        <f t="shared" si="86"/>
        <v>0</v>
      </c>
      <c r="J385" s="116">
        <f t="shared" si="87"/>
        <v>0</v>
      </c>
      <c r="K385" s="19">
        <f t="shared" si="88"/>
        <v>0</v>
      </c>
      <c r="L385" s="50"/>
      <c r="M385" s="13">
        <f>ROUND(予定価格!B373*査定表!$B$437,-$F$14)</f>
        <v>0</v>
      </c>
      <c r="N385">
        <f>IF(M385=0,1,M385/予定価格!B373)</f>
        <v>1</v>
      </c>
      <c r="O385">
        <f t="shared" si="91"/>
        <v>21</v>
      </c>
      <c r="P385">
        <f t="shared" si="92"/>
        <v>0</v>
      </c>
      <c r="Q385">
        <f>IF(M385=0,0,M385/予定価格!B373)</f>
        <v>0</v>
      </c>
      <c r="R385">
        <f t="shared" si="93"/>
        <v>21</v>
      </c>
      <c r="S385">
        <f t="shared" si="94"/>
        <v>0</v>
      </c>
      <c r="T385" s="13">
        <f t="shared" si="95"/>
        <v>0</v>
      </c>
      <c r="U385" s="13" t="e">
        <f>IF(予定価格!$G$427=0,ROUND(予定価格!H373*(入力表!$F$12/予定価格!$H$431),-$F$14),ROUND((予定価格!G373*(入力表!$F$12-予定価格!$H$431)/予定価格!$G$431)+予定価格!H373,-$F$14))</f>
        <v>#DIV/0!</v>
      </c>
      <c r="V385" t="e">
        <f>IF(U385=0,1,IF(予定価格!O373=0,1,(U385-予定価格!P373)/予定価格!O373))</f>
        <v>#DIV/0!</v>
      </c>
      <c r="W385" t="e">
        <f t="shared" si="96"/>
        <v>#DIV/0!</v>
      </c>
      <c r="X385" t="e">
        <f t="shared" si="97"/>
        <v>#DIV/0!</v>
      </c>
      <c r="Y385" t="e">
        <f>IF(U385=0,0,IF(予定価格!G373=0,0,(U385-予定価格!H373)/予定価格!G373))</f>
        <v>#DIV/0!</v>
      </c>
      <c r="Z385" t="e">
        <f t="shared" si="98"/>
        <v>#DIV/0!</v>
      </c>
      <c r="AA385" t="e">
        <f t="shared" si="99"/>
        <v>#DIV/0!</v>
      </c>
      <c r="AB385" s="13" t="e">
        <f t="shared" si="100"/>
        <v>#DIV/0!</v>
      </c>
    </row>
    <row r="386" spans="1:28" hidden="1" x14ac:dyDescent="0.15">
      <c r="A386">
        <f>+予定価格!A374</f>
        <v>0</v>
      </c>
      <c r="B386" s="258">
        <f>ROUND(予定価格!B374*査定表!$B$437,-D386)+E386</f>
        <v>0</v>
      </c>
      <c r="C386" s="258"/>
      <c r="D386" s="45">
        <f t="shared" si="89"/>
        <v>4</v>
      </c>
      <c r="E386" s="46">
        <f t="shared" si="85"/>
        <v>0</v>
      </c>
      <c r="F386" s="258">
        <f>IF($F$12=0,0,IF(予定価格!$G$427=0,ROUND(予定価格!H374*(入力表!$F$12/予定価格!$H$431),-H386),ROUND((予定価格!G374*(入力表!$F$12-予定価格!$H$431)/予定価格!$G$431)+予定価格!H374,-H386)))+I386</f>
        <v>0</v>
      </c>
      <c r="G386" s="258"/>
      <c r="H386" s="47">
        <f t="shared" si="90"/>
        <v>4</v>
      </c>
      <c r="I386" s="48">
        <f t="shared" si="86"/>
        <v>0</v>
      </c>
      <c r="J386" s="116">
        <f t="shared" si="87"/>
        <v>0</v>
      </c>
      <c r="K386" s="19">
        <f t="shared" si="88"/>
        <v>0</v>
      </c>
      <c r="L386" s="50"/>
      <c r="M386" s="13">
        <f>ROUND(予定価格!B374*査定表!$B$437,-$F$14)</f>
        <v>0</v>
      </c>
      <c r="N386">
        <f>IF(M386=0,1,M386/予定価格!B374)</f>
        <v>1</v>
      </c>
      <c r="O386">
        <f t="shared" si="91"/>
        <v>21</v>
      </c>
      <c r="P386">
        <f t="shared" si="92"/>
        <v>0</v>
      </c>
      <c r="Q386">
        <f>IF(M386=0,0,M386/予定価格!B374)</f>
        <v>0</v>
      </c>
      <c r="R386">
        <f t="shared" si="93"/>
        <v>21</v>
      </c>
      <c r="S386">
        <f t="shared" si="94"/>
        <v>0</v>
      </c>
      <c r="T386" s="13">
        <f t="shared" si="95"/>
        <v>0</v>
      </c>
      <c r="U386" s="13" t="e">
        <f>IF(予定価格!$G$427=0,ROUND(予定価格!H374*(入力表!$F$12/予定価格!$H$431),-$F$14),ROUND((予定価格!G374*(入力表!$F$12-予定価格!$H$431)/予定価格!$G$431)+予定価格!H374,-$F$14))</f>
        <v>#DIV/0!</v>
      </c>
      <c r="V386" t="e">
        <f>IF(U386=0,1,IF(予定価格!O374=0,1,(U386-予定価格!P374)/予定価格!O374))</f>
        <v>#DIV/0!</v>
      </c>
      <c r="W386" t="e">
        <f t="shared" si="96"/>
        <v>#DIV/0!</v>
      </c>
      <c r="X386" t="e">
        <f t="shared" si="97"/>
        <v>#DIV/0!</v>
      </c>
      <c r="Y386" t="e">
        <f>IF(U386=0,0,IF(予定価格!G374=0,0,(U386-予定価格!H374)/予定価格!G374))</f>
        <v>#DIV/0!</v>
      </c>
      <c r="Z386" t="e">
        <f t="shared" si="98"/>
        <v>#DIV/0!</v>
      </c>
      <c r="AA386" t="e">
        <f t="shared" si="99"/>
        <v>#DIV/0!</v>
      </c>
      <c r="AB386" s="13" t="e">
        <f t="shared" si="100"/>
        <v>#DIV/0!</v>
      </c>
    </row>
    <row r="387" spans="1:28" hidden="1" x14ac:dyDescent="0.15">
      <c r="A387">
        <f>+予定価格!A375</f>
        <v>0</v>
      </c>
      <c r="B387" s="258">
        <f>ROUND(予定価格!B375*査定表!$B$437,-D387)+E387</f>
        <v>0</v>
      </c>
      <c r="C387" s="258"/>
      <c r="D387" s="45">
        <f t="shared" si="89"/>
        <v>4</v>
      </c>
      <c r="E387" s="46">
        <f t="shared" si="85"/>
        <v>0</v>
      </c>
      <c r="F387" s="258">
        <f>IF($F$12=0,0,IF(予定価格!$G$427=0,ROUND(予定価格!H375*(入力表!$F$12/予定価格!$H$431),-H387),ROUND((予定価格!G375*(入力表!$F$12-予定価格!$H$431)/予定価格!$G$431)+予定価格!H375,-H387)))+I387</f>
        <v>0</v>
      </c>
      <c r="G387" s="258"/>
      <c r="H387" s="47">
        <f t="shared" si="90"/>
        <v>4</v>
      </c>
      <c r="I387" s="48">
        <f t="shared" si="86"/>
        <v>0</v>
      </c>
      <c r="J387" s="116">
        <f t="shared" si="87"/>
        <v>0</v>
      </c>
      <c r="K387" s="19">
        <f t="shared" si="88"/>
        <v>0</v>
      </c>
      <c r="L387" s="50"/>
      <c r="M387" s="13">
        <f>ROUND(予定価格!B375*査定表!$B$437,-$F$14)</f>
        <v>0</v>
      </c>
      <c r="N387">
        <f>IF(M387=0,1,M387/予定価格!B375)</f>
        <v>1</v>
      </c>
      <c r="O387">
        <f t="shared" si="91"/>
        <v>21</v>
      </c>
      <c r="P387">
        <f t="shared" si="92"/>
        <v>0</v>
      </c>
      <c r="Q387">
        <f>IF(M387=0,0,M387/予定価格!B375)</f>
        <v>0</v>
      </c>
      <c r="R387">
        <f t="shared" si="93"/>
        <v>21</v>
      </c>
      <c r="S387">
        <f t="shared" si="94"/>
        <v>0</v>
      </c>
      <c r="T387" s="13">
        <f t="shared" si="95"/>
        <v>0</v>
      </c>
      <c r="U387" s="13" t="e">
        <f>IF(予定価格!$G$427=0,ROUND(予定価格!H375*(入力表!$F$12/予定価格!$H$431),-$F$14),ROUND((予定価格!G375*(入力表!$F$12-予定価格!$H$431)/予定価格!$G$431)+予定価格!H375,-$F$14))</f>
        <v>#DIV/0!</v>
      </c>
      <c r="V387" t="e">
        <f>IF(U387=0,1,IF(予定価格!O375=0,1,(U387-予定価格!P375)/予定価格!O375))</f>
        <v>#DIV/0!</v>
      </c>
      <c r="W387" t="e">
        <f t="shared" si="96"/>
        <v>#DIV/0!</v>
      </c>
      <c r="X387" t="e">
        <f t="shared" si="97"/>
        <v>#DIV/0!</v>
      </c>
      <c r="Y387" t="e">
        <f>IF(U387=0,0,IF(予定価格!G375=0,0,(U387-予定価格!H375)/予定価格!G375))</f>
        <v>#DIV/0!</v>
      </c>
      <c r="Z387" t="e">
        <f t="shared" si="98"/>
        <v>#DIV/0!</v>
      </c>
      <c r="AA387" t="e">
        <f t="shared" si="99"/>
        <v>#DIV/0!</v>
      </c>
      <c r="AB387" s="13" t="e">
        <f t="shared" si="100"/>
        <v>#DIV/0!</v>
      </c>
    </row>
    <row r="388" spans="1:28" hidden="1" x14ac:dyDescent="0.15">
      <c r="A388">
        <f>+予定価格!A376</f>
        <v>0</v>
      </c>
      <c r="B388" s="258">
        <f>ROUND(予定価格!B376*査定表!$B$437,-D388)+E388</f>
        <v>0</v>
      </c>
      <c r="C388" s="258"/>
      <c r="D388" s="45">
        <f t="shared" si="89"/>
        <v>4</v>
      </c>
      <c r="E388" s="46">
        <f t="shared" si="85"/>
        <v>0</v>
      </c>
      <c r="F388" s="258">
        <f>IF($F$12=0,0,IF(予定価格!$G$427=0,ROUND(予定価格!H376*(入力表!$F$12/予定価格!$H$431),-H388),ROUND((予定価格!G376*(入力表!$F$12-予定価格!$H$431)/予定価格!$G$431)+予定価格!H376,-H388)))+I388</f>
        <v>0</v>
      </c>
      <c r="G388" s="258"/>
      <c r="H388" s="47">
        <f t="shared" si="90"/>
        <v>4</v>
      </c>
      <c r="I388" s="48">
        <f t="shared" si="86"/>
        <v>0</v>
      </c>
      <c r="J388" s="116">
        <f t="shared" si="87"/>
        <v>0</v>
      </c>
      <c r="K388" s="19">
        <f t="shared" si="88"/>
        <v>0</v>
      </c>
      <c r="L388" s="50"/>
      <c r="M388" s="13">
        <f>ROUND(予定価格!B376*査定表!$B$437,-$F$14)</f>
        <v>0</v>
      </c>
      <c r="N388">
        <f>IF(M388=0,1,M388/予定価格!B376)</f>
        <v>1</v>
      </c>
      <c r="O388">
        <f t="shared" si="91"/>
        <v>21</v>
      </c>
      <c r="P388">
        <f t="shared" si="92"/>
        <v>0</v>
      </c>
      <c r="Q388">
        <f>IF(M388=0,0,M388/予定価格!B376)</f>
        <v>0</v>
      </c>
      <c r="R388">
        <f t="shared" si="93"/>
        <v>21</v>
      </c>
      <c r="S388">
        <f t="shared" si="94"/>
        <v>0</v>
      </c>
      <c r="T388" s="13">
        <f t="shared" si="95"/>
        <v>0</v>
      </c>
      <c r="U388" s="13" t="e">
        <f>IF(予定価格!$G$427=0,ROUND(予定価格!H376*(入力表!$F$12/予定価格!$H$431),-$F$14),ROUND((予定価格!G376*(入力表!$F$12-予定価格!$H$431)/予定価格!$G$431)+予定価格!H376,-$F$14))</f>
        <v>#DIV/0!</v>
      </c>
      <c r="V388" t="e">
        <f>IF(U388=0,1,IF(予定価格!O376=0,1,(U388-予定価格!P376)/予定価格!O376))</f>
        <v>#DIV/0!</v>
      </c>
      <c r="W388" t="e">
        <f t="shared" si="96"/>
        <v>#DIV/0!</v>
      </c>
      <c r="X388" t="e">
        <f t="shared" si="97"/>
        <v>#DIV/0!</v>
      </c>
      <c r="Y388" t="e">
        <f>IF(U388=0,0,IF(予定価格!G376=0,0,(U388-予定価格!H376)/予定価格!G376))</f>
        <v>#DIV/0!</v>
      </c>
      <c r="Z388" t="e">
        <f t="shared" si="98"/>
        <v>#DIV/0!</v>
      </c>
      <c r="AA388" t="e">
        <f t="shared" si="99"/>
        <v>#DIV/0!</v>
      </c>
      <c r="AB388" s="13" t="e">
        <f t="shared" si="100"/>
        <v>#DIV/0!</v>
      </c>
    </row>
    <row r="389" spans="1:28" hidden="1" x14ac:dyDescent="0.15">
      <c r="A389">
        <f>+予定価格!A377</f>
        <v>0</v>
      </c>
      <c r="B389" s="258">
        <f>ROUND(予定価格!B377*査定表!$B$437,-D389)+E389</f>
        <v>0</v>
      </c>
      <c r="C389" s="258"/>
      <c r="D389" s="45">
        <f t="shared" si="89"/>
        <v>4</v>
      </c>
      <c r="E389" s="46">
        <f t="shared" si="85"/>
        <v>0</v>
      </c>
      <c r="F389" s="258">
        <f>IF($F$12=0,0,IF(予定価格!$G$427=0,ROUND(予定価格!H377*(入力表!$F$12/予定価格!$H$431),-H389),ROUND((予定価格!G377*(入力表!$F$12-予定価格!$H$431)/予定価格!$G$431)+予定価格!H377,-H389)))+I389</f>
        <v>0</v>
      </c>
      <c r="G389" s="258"/>
      <c r="H389" s="47">
        <f t="shared" si="90"/>
        <v>4</v>
      </c>
      <c r="I389" s="48">
        <f t="shared" si="86"/>
        <v>0</v>
      </c>
      <c r="J389" s="116">
        <f t="shared" si="87"/>
        <v>0</v>
      </c>
      <c r="K389" s="19">
        <f t="shared" si="88"/>
        <v>0</v>
      </c>
      <c r="L389" s="50"/>
      <c r="M389" s="13">
        <f>ROUND(予定価格!B377*査定表!$B$437,-$F$14)</f>
        <v>0</v>
      </c>
      <c r="N389">
        <f>IF(M389=0,1,M389/予定価格!B377)</f>
        <v>1</v>
      </c>
      <c r="O389">
        <f t="shared" si="91"/>
        <v>21</v>
      </c>
      <c r="P389">
        <f t="shared" si="92"/>
        <v>0</v>
      </c>
      <c r="Q389">
        <f>IF(M389=0,0,M389/予定価格!B377)</f>
        <v>0</v>
      </c>
      <c r="R389">
        <f t="shared" si="93"/>
        <v>21</v>
      </c>
      <c r="S389">
        <f t="shared" si="94"/>
        <v>0</v>
      </c>
      <c r="T389" s="13">
        <f t="shared" si="95"/>
        <v>0</v>
      </c>
      <c r="U389" s="13" t="e">
        <f>IF(予定価格!$G$427=0,ROUND(予定価格!H377*(入力表!$F$12/予定価格!$H$431),-$F$14),ROUND((予定価格!G377*(入力表!$F$12-予定価格!$H$431)/予定価格!$G$431)+予定価格!H377,-$F$14))</f>
        <v>#DIV/0!</v>
      </c>
      <c r="V389" t="e">
        <f>IF(U389=0,1,IF(予定価格!O377=0,1,(U389-予定価格!P377)/予定価格!O377))</f>
        <v>#DIV/0!</v>
      </c>
      <c r="W389" t="e">
        <f t="shared" si="96"/>
        <v>#DIV/0!</v>
      </c>
      <c r="X389" t="e">
        <f t="shared" si="97"/>
        <v>#DIV/0!</v>
      </c>
      <c r="Y389" t="e">
        <f>IF(U389=0,0,IF(予定価格!G377=0,0,(U389-予定価格!H377)/予定価格!G377))</f>
        <v>#DIV/0!</v>
      </c>
      <c r="Z389" t="e">
        <f t="shared" si="98"/>
        <v>#DIV/0!</v>
      </c>
      <c r="AA389" t="e">
        <f t="shared" si="99"/>
        <v>#DIV/0!</v>
      </c>
      <c r="AB389" s="13" t="e">
        <f t="shared" si="100"/>
        <v>#DIV/0!</v>
      </c>
    </row>
    <row r="390" spans="1:28" hidden="1" x14ac:dyDescent="0.15">
      <c r="A390">
        <f>+予定価格!A378</f>
        <v>0</v>
      </c>
      <c r="B390" s="258">
        <f>ROUND(予定価格!B378*査定表!$B$437,-D390)+E390</f>
        <v>0</v>
      </c>
      <c r="C390" s="258"/>
      <c r="D390" s="45">
        <f t="shared" si="89"/>
        <v>4</v>
      </c>
      <c r="E390" s="46">
        <f t="shared" si="85"/>
        <v>0</v>
      </c>
      <c r="F390" s="258">
        <f>IF($F$12=0,0,IF(予定価格!$G$427=0,ROUND(予定価格!H378*(入力表!$F$12/予定価格!$H$431),-H390),ROUND((予定価格!G378*(入力表!$F$12-予定価格!$H$431)/予定価格!$G$431)+予定価格!H378,-H390)))+I390</f>
        <v>0</v>
      </c>
      <c r="G390" s="258"/>
      <c r="H390" s="47">
        <f t="shared" si="90"/>
        <v>4</v>
      </c>
      <c r="I390" s="48">
        <f t="shared" si="86"/>
        <v>0</v>
      </c>
      <c r="J390" s="116">
        <f t="shared" si="87"/>
        <v>0</v>
      </c>
      <c r="K390" s="19">
        <f t="shared" si="88"/>
        <v>0</v>
      </c>
      <c r="L390" s="50"/>
      <c r="M390" s="13">
        <f>ROUND(予定価格!B378*査定表!$B$437,-$F$14)</f>
        <v>0</v>
      </c>
      <c r="N390">
        <f>IF(M390=0,1,M390/予定価格!B378)</f>
        <v>1</v>
      </c>
      <c r="O390">
        <f t="shared" si="91"/>
        <v>21</v>
      </c>
      <c r="P390">
        <f t="shared" si="92"/>
        <v>0</v>
      </c>
      <c r="Q390">
        <f>IF(M390=0,0,M390/予定価格!B378)</f>
        <v>0</v>
      </c>
      <c r="R390">
        <f t="shared" si="93"/>
        <v>21</v>
      </c>
      <c r="S390">
        <f t="shared" si="94"/>
        <v>0</v>
      </c>
      <c r="T390" s="13">
        <f t="shared" si="95"/>
        <v>0</v>
      </c>
      <c r="U390" s="13" t="e">
        <f>IF(予定価格!$G$427=0,ROUND(予定価格!H378*(入力表!$F$12/予定価格!$H$431),-$F$14),ROUND((予定価格!G378*(入力表!$F$12-予定価格!$H$431)/予定価格!$G$431)+予定価格!H378,-$F$14))</f>
        <v>#DIV/0!</v>
      </c>
      <c r="V390" t="e">
        <f>IF(U390=0,1,IF(予定価格!O378=0,1,(U390-予定価格!P378)/予定価格!O378))</f>
        <v>#DIV/0!</v>
      </c>
      <c r="W390" t="e">
        <f t="shared" si="96"/>
        <v>#DIV/0!</v>
      </c>
      <c r="X390" t="e">
        <f t="shared" si="97"/>
        <v>#DIV/0!</v>
      </c>
      <c r="Y390" t="e">
        <f>IF(U390=0,0,IF(予定価格!G378=0,0,(U390-予定価格!H378)/予定価格!G378))</f>
        <v>#DIV/0!</v>
      </c>
      <c r="Z390" t="e">
        <f t="shared" si="98"/>
        <v>#DIV/0!</v>
      </c>
      <c r="AA390" t="e">
        <f t="shared" si="99"/>
        <v>#DIV/0!</v>
      </c>
      <c r="AB390" s="13" t="e">
        <f t="shared" si="100"/>
        <v>#DIV/0!</v>
      </c>
    </row>
    <row r="391" spans="1:28" hidden="1" x14ac:dyDescent="0.15">
      <c r="A391">
        <f>+予定価格!A379</f>
        <v>0</v>
      </c>
      <c r="B391" s="258">
        <f>ROUND(予定価格!B379*査定表!$B$437,-D391)+E391</f>
        <v>0</v>
      </c>
      <c r="C391" s="258"/>
      <c r="D391" s="45">
        <f t="shared" si="89"/>
        <v>4</v>
      </c>
      <c r="E391" s="46">
        <f t="shared" si="85"/>
        <v>0</v>
      </c>
      <c r="F391" s="258">
        <f>IF($F$12=0,0,IF(予定価格!$G$427=0,ROUND(予定価格!H379*(入力表!$F$12/予定価格!$H$431),-H391),ROUND((予定価格!G379*(入力表!$F$12-予定価格!$H$431)/予定価格!$G$431)+予定価格!H379,-H391)))+I391</f>
        <v>0</v>
      </c>
      <c r="G391" s="258"/>
      <c r="H391" s="47">
        <f t="shared" si="90"/>
        <v>4</v>
      </c>
      <c r="I391" s="48">
        <f t="shared" si="86"/>
        <v>0</v>
      </c>
      <c r="J391" s="116">
        <f t="shared" si="87"/>
        <v>0</v>
      </c>
      <c r="K391" s="19">
        <f t="shared" si="88"/>
        <v>0</v>
      </c>
      <c r="L391" s="50"/>
      <c r="M391" s="13">
        <f>ROUND(予定価格!B379*査定表!$B$437,-$F$14)</f>
        <v>0</v>
      </c>
      <c r="N391">
        <f>IF(M391=0,1,M391/予定価格!B379)</f>
        <v>1</v>
      </c>
      <c r="O391">
        <f t="shared" si="91"/>
        <v>21</v>
      </c>
      <c r="P391">
        <f t="shared" si="92"/>
        <v>0</v>
      </c>
      <c r="Q391">
        <f>IF(M391=0,0,M391/予定価格!B379)</f>
        <v>0</v>
      </c>
      <c r="R391">
        <f t="shared" si="93"/>
        <v>21</v>
      </c>
      <c r="S391">
        <f t="shared" si="94"/>
        <v>0</v>
      </c>
      <c r="T391" s="13">
        <f t="shared" si="95"/>
        <v>0</v>
      </c>
      <c r="U391" s="13" t="e">
        <f>IF(予定価格!$G$427=0,ROUND(予定価格!H379*(入力表!$F$12/予定価格!$H$431),-$F$14),ROUND((予定価格!G379*(入力表!$F$12-予定価格!$H$431)/予定価格!$G$431)+予定価格!H379,-$F$14))</f>
        <v>#DIV/0!</v>
      </c>
      <c r="V391" t="e">
        <f>IF(U391=0,1,IF(予定価格!O379=0,1,(U391-予定価格!P379)/予定価格!O379))</f>
        <v>#DIV/0!</v>
      </c>
      <c r="W391" t="e">
        <f t="shared" si="96"/>
        <v>#DIV/0!</v>
      </c>
      <c r="X391" t="e">
        <f t="shared" si="97"/>
        <v>#DIV/0!</v>
      </c>
      <c r="Y391" t="e">
        <f>IF(U391=0,0,IF(予定価格!G379=0,0,(U391-予定価格!H379)/予定価格!G379))</f>
        <v>#DIV/0!</v>
      </c>
      <c r="Z391" t="e">
        <f t="shared" si="98"/>
        <v>#DIV/0!</v>
      </c>
      <c r="AA391" t="e">
        <f t="shared" si="99"/>
        <v>#DIV/0!</v>
      </c>
      <c r="AB391" s="13" t="e">
        <f t="shared" si="100"/>
        <v>#DIV/0!</v>
      </c>
    </row>
    <row r="392" spans="1:28" hidden="1" x14ac:dyDescent="0.15">
      <c r="A392">
        <f>+予定価格!A380</f>
        <v>0</v>
      </c>
      <c r="B392" s="258">
        <f>ROUND(予定価格!B380*査定表!$B$437,-D392)+E392</f>
        <v>0</v>
      </c>
      <c r="C392" s="258"/>
      <c r="D392" s="45">
        <f t="shared" si="89"/>
        <v>4</v>
      </c>
      <c r="E392" s="46">
        <f t="shared" si="85"/>
        <v>0</v>
      </c>
      <c r="F392" s="258">
        <f>IF($F$12=0,0,IF(予定価格!$G$427=0,ROUND(予定価格!H380*(入力表!$F$12/予定価格!$H$431),-H392),ROUND((予定価格!G380*(入力表!$F$12-予定価格!$H$431)/予定価格!$G$431)+予定価格!H380,-H392)))+I392</f>
        <v>0</v>
      </c>
      <c r="G392" s="258"/>
      <c r="H392" s="47">
        <f t="shared" si="90"/>
        <v>4</v>
      </c>
      <c r="I392" s="48">
        <f t="shared" si="86"/>
        <v>0</v>
      </c>
      <c r="J392" s="116">
        <f t="shared" si="87"/>
        <v>0</v>
      </c>
      <c r="K392" s="19">
        <f t="shared" si="88"/>
        <v>0</v>
      </c>
      <c r="L392" s="50"/>
      <c r="M392" s="13">
        <f>ROUND(予定価格!B380*査定表!$B$437,-$F$14)</f>
        <v>0</v>
      </c>
      <c r="N392">
        <f>IF(M392=0,1,M392/予定価格!B380)</f>
        <v>1</v>
      </c>
      <c r="O392">
        <f t="shared" si="91"/>
        <v>21</v>
      </c>
      <c r="P392">
        <f t="shared" si="92"/>
        <v>0</v>
      </c>
      <c r="Q392">
        <f>IF(M392=0,0,M392/予定価格!B380)</f>
        <v>0</v>
      </c>
      <c r="R392">
        <f t="shared" si="93"/>
        <v>21</v>
      </c>
      <c r="S392">
        <f t="shared" si="94"/>
        <v>0</v>
      </c>
      <c r="T392" s="13">
        <f t="shared" si="95"/>
        <v>0</v>
      </c>
      <c r="U392" s="13" t="e">
        <f>IF(予定価格!$G$427=0,ROUND(予定価格!H380*(入力表!$F$12/予定価格!$H$431),-$F$14),ROUND((予定価格!G380*(入力表!$F$12-予定価格!$H$431)/予定価格!$G$431)+予定価格!H380,-$F$14))</f>
        <v>#DIV/0!</v>
      </c>
      <c r="V392" t="e">
        <f>IF(U392=0,1,IF(予定価格!O380=0,1,(U392-予定価格!P380)/予定価格!O380))</f>
        <v>#DIV/0!</v>
      </c>
      <c r="W392" t="e">
        <f t="shared" si="96"/>
        <v>#DIV/0!</v>
      </c>
      <c r="X392" t="e">
        <f t="shared" si="97"/>
        <v>#DIV/0!</v>
      </c>
      <c r="Y392" t="e">
        <f>IF(U392=0,0,IF(予定価格!G380=0,0,(U392-予定価格!H380)/予定価格!G380))</f>
        <v>#DIV/0!</v>
      </c>
      <c r="Z392" t="e">
        <f t="shared" si="98"/>
        <v>#DIV/0!</v>
      </c>
      <c r="AA392" t="e">
        <f t="shared" si="99"/>
        <v>#DIV/0!</v>
      </c>
      <c r="AB392" s="13" t="e">
        <f t="shared" si="100"/>
        <v>#DIV/0!</v>
      </c>
    </row>
    <row r="393" spans="1:28" hidden="1" x14ac:dyDescent="0.15">
      <c r="A393">
        <f>+予定価格!A381</f>
        <v>0</v>
      </c>
      <c r="B393" s="258">
        <f>ROUND(予定価格!B381*査定表!$B$437,-D393)+E393</f>
        <v>0</v>
      </c>
      <c r="C393" s="258"/>
      <c r="D393" s="45">
        <f t="shared" si="89"/>
        <v>4</v>
      </c>
      <c r="E393" s="46">
        <f t="shared" si="85"/>
        <v>0</v>
      </c>
      <c r="F393" s="258">
        <f>IF($F$12=0,0,IF(予定価格!$G$427=0,ROUND(予定価格!H381*(入力表!$F$12/予定価格!$H$431),-H393),ROUND((予定価格!G381*(入力表!$F$12-予定価格!$H$431)/予定価格!$G$431)+予定価格!H381,-H393)))+I393</f>
        <v>0</v>
      </c>
      <c r="G393" s="258"/>
      <c r="H393" s="47">
        <f t="shared" si="90"/>
        <v>4</v>
      </c>
      <c r="I393" s="48">
        <f t="shared" si="86"/>
        <v>0</v>
      </c>
      <c r="J393" s="116">
        <f t="shared" si="87"/>
        <v>0</v>
      </c>
      <c r="K393" s="19">
        <f t="shared" si="88"/>
        <v>0</v>
      </c>
      <c r="L393" s="50"/>
      <c r="M393" s="13">
        <f>ROUND(予定価格!B381*査定表!$B$437,-$F$14)</f>
        <v>0</v>
      </c>
      <c r="N393">
        <f>IF(M393=0,1,M393/予定価格!B381)</f>
        <v>1</v>
      </c>
      <c r="O393">
        <f t="shared" si="91"/>
        <v>21</v>
      </c>
      <c r="P393">
        <f t="shared" si="92"/>
        <v>0</v>
      </c>
      <c r="Q393">
        <f>IF(M393=0,0,M393/予定価格!B381)</f>
        <v>0</v>
      </c>
      <c r="R393">
        <f t="shared" si="93"/>
        <v>21</v>
      </c>
      <c r="S393">
        <f t="shared" si="94"/>
        <v>0</v>
      </c>
      <c r="T393" s="13">
        <f t="shared" si="95"/>
        <v>0</v>
      </c>
      <c r="U393" s="13" t="e">
        <f>IF(予定価格!$G$427=0,ROUND(予定価格!H381*(入力表!$F$12/予定価格!$H$431),-$F$14),ROUND((予定価格!G381*(入力表!$F$12-予定価格!$H$431)/予定価格!$G$431)+予定価格!H381,-$F$14))</f>
        <v>#DIV/0!</v>
      </c>
      <c r="V393" t="e">
        <f>IF(U393=0,1,IF(予定価格!O381=0,1,(U393-予定価格!P381)/予定価格!O381))</f>
        <v>#DIV/0!</v>
      </c>
      <c r="W393" t="e">
        <f t="shared" si="96"/>
        <v>#DIV/0!</v>
      </c>
      <c r="X393" t="e">
        <f t="shared" si="97"/>
        <v>#DIV/0!</v>
      </c>
      <c r="Y393" t="e">
        <f>IF(U393=0,0,IF(予定価格!G381=0,0,(U393-予定価格!H381)/予定価格!G381))</f>
        <v>#DIV/0!</v>
      </c>
      <c r="Z393" t="e">
        <f t="shared" si="98"/>
        <v>#DIV/0!</v>
      </c>
      <c r="AA393" t="e">
        <f t="shared" si="99"/>
        <v>#DIV/0!</v>
      </c>
      <c r="AB393" s="13" t="e">
        <f t="shared" si="100"/>
        <v>#DIV/0!</v>
      </c>
    </row>
    <row r="394" spans="1:28" hidden="1" x14ac:dyDescent="0.15">
      <c r="A394">
        <f>+予定価格!A382</f>
        <v>0</v>
      </c>
      <c r="B394" s="258">
        <f>ROUND(予定価格!B382*査定表!$B$437,-D394)+E394</f>
        <v>0</v>
      </c>
      <c r="C394" s="258"/>
      <c r="D394" s="45">
        <f t="shared" si="89"/>
        <v>4</v>
      </c>
      <c r="E394" s="46">
        <f t="shared" si="85"/>
        <v>0</v>
      </c>
      <c r="F394" s="258">
        <f>IF($F$12=0,0,IF(予定価格!$G$427=0,ROUND(予定価格!H382*(入力表!$F$12/予定価格!$H$431),-H394),ROUND((予定価格!G382*(入力表!$F$12-予定価格!$H$431)/予定価格!$G$431)+予定価格!H382,-H394)))+I394</f>
        <v>0</v>
      </c>
      <c r="G394" s="258"/>
      <c r="H394" s="47">
        <f t="shared" si="90"/>
        <v>4</v>
      </c>
      <c r="I394" s="48">
        <f t="shared" si="86"/>
        <v>0</v>
      </c>
      <c r="J394" s="116">
        <f t="shared" si="87"/>
        <v>0</v>
      </c>
      <c r="K394" s="19">
        <f t="shared" si="88"/>
        <v>0</v>
      </c>
      <c r="L394" s="50"/>
      <c r="M394" s="13">
        <f>ROUND(予定価格!B382*査定表!$B$437,-$F$14)</f>
        <v>0</v>
      </c>
      <c r="N394">
        <f>IF(M394=0,1,M394/予定価格!B382)</f>
        <v>1</v>
      </c>
      <c r="O394">
        <f t="shared" si="91"/>
        <v>21</v>
      </c>
      <c r="P394">
        <f t="shared" si="92"/>
        <v>0</v>
      </c>
      <c r="Q394">
        <f>IF(M394=0,0,M394/予定価格!B382)</f>
        <v>0</v>
      </c>
      <c r="R394">
        <f t="shared" si="93"/>
        <v>21</v>
      </c>
      <c r="S394">
        <f t="shared" si="94"/>
        <v>0</v>
      </c>
      <c r="T394" s="13">
        <f t="shared" si="95"/>
        <v>0</v>
      </c>
      <c r="U394" s="13" t="e">
        <f>IF(予定価格!$G$427=0,ROUND(予定価格!H382*(入力表!$F$12/予定価格!$H$431),-$F$14),ROUND((予定価格!G382*(入力表!$F$12-予定価格!$H$431)/予定価格!$G$431)+予定価格!H382,-$F$14))</f>
        <v>#DIV/0!</v>
      </c>
      <c r="V394" t="e">
        <f>IF(U394=0,1,IF(予定価格!O382=0,1,(U394-予定価格!P382)/予定価格!O382))</f>
        <v>#DIV/0!</v>
      </c>
      <c r="W394" t="e">
        <f t="shared" si="96"/>
        <v>#DIV/0!</v>
      </c>
      <c r="X394" t="e">
        <f t="shared" si="97"/>
        <v>#DIV/0!</v>
      </c>
      <c r="Y394" t="e">
        <f>IF(U394=0,0,IF(予定価格!G382=0,0,(U394-予定価格!H382)/予定価格!G382))</f>
        <v>#DIV/0!</v>
      </c>
      <c r="Z394" t="e">
        <f t="shared" si="98"/>
        <v>#DIV/0!</v>
      </c>
      <c r="AA394" t="e">
        <f t="shared" si="99"/>
        <v>#DIV/0!</v>
      </c>
      <c r="AB394" s="13" t="e">
        <f t="shared" si="100"/>
        <v>#DIV/0!</v>
      </c>
    </row>
    <row r="395" spans="1:28" hidden="1" x14ac:dyDescent="0.15">
      <c r="A395">
        <f>+予定価格!A383</f>
        <v>0</v>
      </c>
      <c r="B395" s="258">
        <f>ROUND(予定価格!B383*査定表!$B$437,-D395)+E395</f>
        <v>0</v>
      </c>
      <c r="C395" s="258"/>
      <c r="D395" s="45">
        <f t="shared" si="89"/>
        <v>4</v>
      </c>
      <c r="E395" s="46">
        <f t="shared" si="85"/>
        <v>0</v>
      </c>
      <c r="F395" s="258">
        <f>IF($F$12=0,0,IF(予定価格!$G$427=0,ROUND(予定価格!H383*(入力表!$F$12/予定価格!$H$431),-H395),ROUND((予定価格!G383*(入力表!$F$12-予定価格!$H$431)/予定価格!$G$431)+予定価格!H383,-H395)))+I395</f>
        <v>0</v>
      </c>
      <c r="G395" s="258"/>
      <c r="H395" s="47">
        <f t="shared" si="90"/>
        <v>4</v>
      </c>
      <c r="I395" s="48">
        <f t="shared" si="86"/>
        <v>0</v>
      </c>
      <c r="J395" s="116">
        <f t="shared" si="87"/>
        <v>0</v>
      </c>
      <c r="K395" s="19">
        <f t="shared" si="88"/>
        <v>0</v>
      </c>
      <c r="L395" s="50"/>
      <c r="M395" s="13">
        <f>ROUND(予定価格!B383*査定表!$B$437,-$F$14)</f>
        <v>0</v>
      </c>
      <c r="N395">
        <f>IF(M395=0,1,M395/予定価格!B383)</f>
        <v>1</v>
      </c>
      <c r="O395">
        <f t="shared" si="91"/>
        <v>21</v>
      </c>
      <c r="P395">
        <f t="shared" si="92"/>
        <v>0</v>
      </c>
      <c r="Q395">
        <f>IF(M395=0,0,M395/予定価格!B383)</f>
        <v>0</v>
      </c>
      <c r="R395">
        <f t="shared" si="93"/>
        <v>21</v>
      </c>
      <c r="S395">
        <f t="shared" si="94"/>
        <v>0</v>
      </c>
      <c r="T395" s="13">
        <f t="shared" si="95"/>
        <v>0</v>
      </c>
      <c r="U395" s="13" t="e">
        <f>IF(予定価格!$G$427=0,ROUND(予定価格!H383*(入力表!$F$12/予定価格!$H$431),-$F$14),ROUND((予定価格!G383*(入力表!$F$12-予定価格!$H$431)/予定価格!$G$431)+予定価格!H383,-$F$14))</f>
        <v>#DIV/0!</v>
      </c>
      <c r="V395" t="e">
        <f>IF(U395=0,1,IF(予定価格!O383=0,1,(U395-予定価格!P383)/予定価格!O383))</f>
        <v>#DIV/0!</v>
      </c>
      <c r="W395" t="e">
        <f t="shared" si="96"/>
        <v>#DIV/0!</v>
      </c>
      <c r="X395" t="e">
        <f t="shared" si="97"/>
        <v>#DIV/0!</v>
      </c>
      <c r="Y395" t="e">
        <f>IF(U395=0,0,IF(予定価格!G383=0,0,(U395-予定価格!H383)/予定価格!G383))</f>
        <v>#DIV/0!</v>
      </c>
      <c r="Z395" t="e">
        <f t="shared" si="98"/>
        <v>#DIV/0!</v>
      </c>
      <c r="AA395" t="e">
        <f t="shared" si="99"/>
        <v>#DIV/0!</v>
      </c>
      <c r="AB395" s="13" t="e">
        <f t="shared" si="100"/>
        <v>#DIV/0!</v>
      </c>
    </row>
    <row r="396" spans="1:28" hidden="1" x14ac:dyDescent="0.15">
      <c r="A396">
        <f>+予定価格!A384</f>
        <v>0</v>
      </c>
      <c r="B396" s="258">
        <f>ROUND(予定価格!B384*査定表!$B$437,-D396)+E396</f>
        <v>0</v>
      </c>
      <c r="C396" s="258"/>
      <c r="D396" s="45">
        <f t="shared" si="89"/>
        <v>4</v>
      </c>
      <c r="E396" s="46">
        <f t="shared" si="85"/>
        <v>0</v>
      </c>
      <c r="F396" s="258">
        <f>IF($F$12=0,0,IF(予定価格!$G$427=0,ROUND(予定価格!H384*(入力表!$F$12/予定価格!$H$431),-H396),ROUND((予定価格!G384*(入力表!$F$12-予定価格!$H$431)/予定価格!$G$431)+予定価格!H384,-H396)))+I396</f>
        <v>0</v>
      </c>
      <c r="G396" s="258"/>
      <c r="H396" s="47">
        <f t="shared" si="90"/>
        <v>4</v>
      </c>
      <c r="I396" s="48">
        <f t="shared" si="86"/>
        <v>0</v>
      </c>
      <c r="J396" s="116">
        <f t="shared" si="87"/>
        <v>0</v>
      </c>
      <c r="K396" s="19">
        <f t="shared" si="88"/>
        <v>0</v>
      </c>
      <c r="L396" s="50"/>
      <c r="M396" s="13">
        <f>ROUND(予定価格!B384*査定表!$B$437,-$F$14)</f>
        <v>0</v>
      </c>
      <c r="N396">
        <f>IF(M396=0,1,M396/予定価格!B384)</f>
        <v>1</v>
      </c>
      <c r="O396">
        <f t="shared" si="91"/>
        <v>21</v>
      </c>
      <c r="P396">
        <f t="shared" si="92"/>
        <v>0</v>
      </c>
      <c r="Q396">
        <f>IF(M396=0,0,M396/予定価格!B384)</f>
        <v>0</v>
      </c>
      <c r="R396">
        <f t="shared" si="93"/>
        <v>21</v>
      </c>
      <c r="S396">
        <f t="shared" si="94"/>
        <v>0</v>
      </c>
      <c r="T396" s="13">
        <f t="shared" si="95"/>
        <v>0</v>
      </c>
      <c r="U396" s="13" t="e">
        <f>IF(予定価格!$G$427=0,ROUND(予定価格!H384*(入力表!$F$12/予定価格!$H$431),-$F$14),ROUND((予定価格!G384*(入力表!$F$12-予定価格!$H$431)/予定価格!$G$431)+予定価格!H384,-$F$14))</f>
        <v>#DIV/0!</v>
      </c>
      <c r="V396" t="e">
        <f>IF(U396=0,1,IF(予定価格!O384=0,1,(U396-予定価格!P384)/予定価格!O384))</f>
        <v>#DIV/0!</v>
      </c>
      <c r="W396" t="e">
        <f t="shared" si="96"/>
        <v>#DIV/0!</v>
      </c>
      <c r="X396" t="e">
        <f t="shared" si="97"/>
        <v>#DIV/0!</v>
      </c>
      <c r="Y396" t="e">
        <f>IF(U396=0,0,IF(予定価格!G384=0,0,(U396-予定価格!H384)/予定価格!G384))</f>
        <v>#DIV/0!</v>
      </c>
      <c r="Z396" t="e">
        <f t="shared" si="98"/>
        <v>#DIV/0!</v>
      </c>
      <c r="AA396" t="e">
        <f t="shared" si="99"/>
        <v>#DIV/0!</v>
      </c>
      <c r="AB396" s="13" t="e">
        <f t="shared" si="100"/>
        <v>#DIV/0!</v>
      </c>
    </row>
    <row r="397" spans="1:28" hidden="1" x14ac:dyDescent="0.15">
      <c r="A397">
        <f>+予定価格!A385</f>
        <v>0</v>
      </c>
      <c r="B397" s="258">
        <f>ROUND(予定価格!B385*査定表!$B$437,-D397)+E397</f>
        <v>0</v>
      </c>
      <c r="C397" s="258"/>
      <c r="D397" s="45">
        <f t="shared" si="89"/>
        <v>4</v>
      </c>
      <c r="E397" s="46">
        <f t="shared" si="85"/>
        <v>0</v>
      </c>
      <c r="F397" s="258">
        <f>IF($F$12=0,0,IF(予定価格!$G$427=0,ROUND(予定価格!H385*(入力表!$F$12/予定価格!$H$431),-H397),ROUND((予定価格!G385*(入力表!$F$12-予定価格!$H$431)/予定価格!$G$431)+予定価格!H385,-H397)))+I397</f>
        <v>0</v>
      </c>
      <c r="G397" s="258"/>
      <c r="H397" s="47">
        <f t="shared" si="90"/>
        <v>4</v>
      </c>
      <c r="I397" s="48">
        <f t="shared" si="86"/>
        <v>0</v>
      </c>
      <c r="J397" s="116">
        <f t="shared" si="87"/>
        <v>0</v>
      </c>
      <c r="K397" s="19">
        <f t="shared" si="88"/>
        <v>0</v>
      </c>
      <c r="L397" s="50"/>
      <c r="M397" s="13">
        <f>ROUND(予定価格!B385*査定表!$B$437,-$F$14)</f>
        <v>0</v>
      </c>
      <c r="N397">
        <f>IF(M397=0,1,M397/予定価格!B385)</f>
        <v>1</v>
      </c>
      <c r="O397">
        <f t="shared" si="91"/>
        <v>21</v>
      </c>
      <c r="P397">
        <f t="shared" si="92"/>
        <v>0</v>
      </c>
      <c r="Q397">
        <f>IF(M397=0,0,M397/予定価格!B385)</f>
        <v>0</v>
      </c>
      <c r="R397">
        <f t="shared" si="93"/>
        <v>21</v>
      </c>
      <c r="S397">
        <f t="shared" si="94"/>
        <v>0</v>
      </c>
      <c r="T397" s="13">
        <f t="shared" si="95"/>
        <v>0</v>
      </c>
      <c r="U397" s="13" t="e">
        <f>IF(予定価格!$G$427=0,ROUND(予定価格!H385*(入力表!$F$12/予定価格!$H$431),-$F$14),ROUND((予定価格!G385*(入力表!$F$12-予定価格!$H$431)/予定価格!$G$431)+予定価格!H385,-$F$14))</f>
        <v>#DIV/0!</v>
      </c>
      <c r="V397" t="e">
        <f>IF(U397=0,1,IF(予定価格!O385=0,1,(U397-予定価格!P385)/予定価格!O385))</f>
        <v>#DIV/0!</v>
      </c>
      <c r="W397" t="e">
        <f t="shared" si="96"/>
        <v>#DIV/0!</v>
      </c>
      <c r="X397" t="e">
        <f t="shared" si="97"/>
        <v>#DIV/0!</v>
      </c>
      <c r="Y397" t="e">
        <f>IF(U397=0,0,IF(予定価格!G385=0,0,(U397-予定価格!H385)/予定価格!G385))</f>
        <v>#DIV/0!</v>
      </c>
      <c r="Z397" t="e">
        <f t="shared" si="98"/>
        <v>#DIV/0!</v>
      </c>
      <c r="AA397" t="e">
        <f t="shared" si="99"/>
        <v>#DIV/0!</v>
      </c>
      <c r="AB397" s="13" t="e">
        <f t="shared" si="100"/>
        <v>#DIV/0!</v>
      </c>
    </row>
    <row r="398" spans="1:28" hidden="1" x14ac:dyDescent="0.15">
      <c r="A398">
        <f>+予定価格!A386</f>
        <v>0</v>
      </c>
      <c r="B398" s="258">
        <f>ROUND(予定価格!B386*査定表!$B$437,-D398)+E398</f>
        <v>0</v>
      </c>
      <c r="C398" s="258"/>
      <c r="D398" s="45">
        <f t="shared" si="89"/>
        <v>4</v>
      </c>
      <c r="E398" s="46">
        <f t="shared" si="85"/>
        <v>0</v>
      </c>
      <c r="F398" s="258">
        <f>IF($F$12=0,0,IF(予定価格!$G$427=0,ROUND(予定価格!H386*(入力表!$F$12/予定価格!$H$431),-H398),ROUND((予定価格!G386*(入力表!$F$12-予定価格!$H$431)/予定価格!$G$431)+予定価格!H386,-H398)))+I398</f>
        <v>0</v>
      </c>
      <c r="G398" s="258"/>
      <c r="H398" s="47">
        <f t="shared" si="90"/>
        <v>4</v>
      </c>
      <c r="I398" s="48">
        <f t="shared" si="86"/>
        <v>0</v>
      </c>
      <c r="J398" s="116">
        <f t="shared" si="87"/>
        <v>0</v>
      </c>
      <c r="K398" s="19">
        <f t="shared" si="88"/>
        <v>0</v>
      </c>
      <c r="L398" s="50"/>
      <c r="M398" s="13">
        <f>ROUND(予定価格!B386*査定表!$B$437,-$F$14)</f>
        <v>0</v>
      </c>
      <c r="N398">
        <f>IF(M398=0,1,M398/予定価格!B386)</f>
        <v>1</v>
      </c>
      <c r="O398">
        <f t="shared" si="91"/>
        <v>21</v>
      </c>
      <c r="P398">
        <f t="shared" si="92"/>
        <v>0</v>
      </c>
      <c r="Q398">
        <f>IF(M398=0,0,M398/予定価格!B386)</f>
        <v>0</v>
      </c>
      <c r="R398">
        <f t="shared" si="93"/>
        <v>21</v>
      </c>
      <c r="S398">
        <f t="shared" si="94"/>
        <v>0</v>
      </c>
      <c r="T398" s="13">
        <f t="shared" si="95"/>
        <v>0</v>
      </c>
      <c r="U398" s="13" t="e">
        <f>IF(予定価格!$G$427=0,ROUND(予定価格!H386*(入力表!$F$12/予定価格!$H$431),-$F$14),ROUND((予定価格!G386*(入力表!$F$12-予定価格!$H$431)/予定価格!$G$431)+予定価格!H386,-$F$14))</f>
        <v>#DIV/0!</v>
      </c>
      <c r="V398" t="e">
        <f>IF(U398=0,1,IF(予定価格!O386=0,1,(U398-予定価格!P386)/予定価格!O386))</f>
        <v>#DIV/0!</v>
      </c>
      <c r="W398" t="e">
        <f t="shared" si="96"/>
        <v>#DIV/0!</v>
      </c>
      <c r="X398" t="e">
        <f t="shared" si="97"/>
        <v>#DIV/0!</v>
      </c>
      <c r="Y398" t="e">
        <f>IF(U398=0,0,IF(予定価格!G386=0,0,(U398-予定価格!H386)/予定価格!G386))</f>
        <v>#DIV/0!</v>
      </c>
      <c r="Z398" t="e">
        <f t="shared" si="98"/>
        <v>#DIV/0!</v>
      </c>
      <c r="AA398" t="e">
        <f t="shared" si="99"/>
        <v>#DIV/0!</v>
      </c>
      <c r="AB398" s="13" t="e">
        <f t="shared" si="100"/>
        <v>#DIV/0!</v>
      </c>
    </row>
    <row r="399" spans="1:28" hidden="1" x14ac:dyDescent="0.15">
      <c r="A399">
        <f>+予定価格!A387</f>
        <v>0</v>
      </c>
      <c r="B399" s="258">
        <f>ROUND(予定価格!B387*査定表!$B$437,-D399)+E399</f>
        <v>0</v>
      </c>
      <c r="C399" s="258"/>
      <c r="D399" s="45">
        <f t="shared" si="89"/>
        <v>4</v>
      </c>
      <c r="E399" s="46">
        <f t="shared" si="85"/>
        <v>0</v>
      </c>
      <c r="F399" s="258">
        <f>IF($F$12=0,0,IF(予定価格!$G$427=0,ROUND(予定価格!H387*(入力表!$F$12/予定価格!$H$431),-H399),ROUND((予定価格!G387*(入力表!$F$12-予定価格!$H$431)/予定価格!$G$431)+予定価格!H387,-H399)))+I399</f>
        <v>0</v>
      </c>
      <c r="G399" s="258"/>
      <c r="H399" s="47">
        <f t="shared" si="90"/>
        <v>4</v>
      </c>
      <c r="I399" s="48">
        <f t="shared" si="86"/>
        <v>0</v>
      </c>
      <c r="J399" s="116">
        <f t="shared" si="87"/>
        <v>0</v>
      </c>
      <c r="K399" s="19">
        <f t="shared" si="88"/>
        <v>0</v>
      </c>
      <c r="L399" s="50"/>
      <c r="M399" s="13">
        <f>ROUND(予定価格!B387*査定表!$B$437,-$F$14)</f>
        <v>0</v>
      </c>
      <c r="N399">
        <f>IF(M399=0,1,M399/予定価格!B387)</f>
        <v>1</v>
      </c>
      <c r="O399">
        <f t="shared" si="91"/>
        <v>21</v>
      </c>
      <c r="P399">
        <f t="shared" si="92"/>
        <v>0</v>
      </c>
      <c r="Q399">
        <f>IF(M399=0,0,M399/予定価格!B387)</f>
        <v>0</v>
      </c>
      <c r="R399">
        <f t="shared" si="93"/>
        <v>21</v>
      </c>
      <c r="S399">
        <f t="shared" si="94"/>
        <v>0</v>
      </c>
      <c r="T399" s="13">
        <f t="shared" si="95"/>
        <v>0</v>
      </c>
      <c r="U399" s="13" t="e">
        <f>IF(予定価格!$G$427=0,ROUND(予定価格!H387*(入力表!$F$12/予定価格!$H$431),-$F$14),ROUND((予定価格!G387*(入力表!$F$12-予定価格!$H$431)/予定価格!$G$431)+予定価格!H387,-$F$14))</f>
        <v>#DIV/0!</v>
      </c>
      <c r="V399" t="e">
        <f>IF(U399=0,1,IF(予定価格!O387=0,1,(U399-予定価格!P387)/予定価格!O387))</f>
        <v>#DIV/0!</v>
      </c>
      <c r="W399" t="e">
        <f t="shared" si="96"/>
        <v>#DIV/0!</v>
      </c>
      <c r="X399" t="e">
        <f t="shared" si="97"/>
        <v>#DIV/0!</v>
      </c>
      <c r="Y399" t="e">
        <f>IF(U399=0,0,IF(予定価格!G387=0,0,(U399-予定価格!H387)/予定価格!G387))</f>
        <v>#DIV/0!</v>
      </c>
      <c r="Z399" t="e">
        <f t="shared" si="98"/>
        <v>#DIV/0!</v>
      </c>
      <c r="AA399" t="e">
        <f t="shared" si="99"/>
        <v>#DIV/0!</v>
      </c>
      <c r="AB399" s="13" t="e">
        <f t="shared" si="100"/>
        <v>#DIV/0!</v>
      </c>
    </row>
    <row r="400" spans="1:28" hidden="1" x14ac:dyDescent="0.15">
      <c r="A400">
        <f>+予定価格!A388</f>
        <v>0</v>
      </c>
      <c r="B400" s="258">
        <f>ROUND(予定価格!B388*査定表!$B$437,-D400)+E400</f>
        <v>0</v>
      </c>
      <c r="C400" s="258"/>
      <c r="D400" s="45">
        <f t="shared" si="89"/>
        <v>4</v>
      </c>
      <c r="E400" s="46">
        <f t="shared" si="85"/>
        <v>0</v>
      </c>
      <c r="F400" s="258">
        <f>IF($F$12=0,0,IF(予定価格!$G$427=0,ROUND(予定価格!H388*(入力表!$F$12/予定価格!$H$431),-H400),ROUND((予定価格!G388*(入力表!$F$12-予定価格!$H$431)/予定価格!$G$431)+予定価格!H388,-H400)))+I400</f>
        <v>0</v>
      </c>
      <c r="G400" s="258"/>
      <c r="H400" s="47">
        <f t="shared" si="90"/>
        <v>4</v>
      </c>
      <c r="I400" s="48">
        <f t="shared" si="86"/>
        <v>0</v>
      </c>
      <c r="J400" s="116">
        <f t="shared" si="87"/>
        <v>0</v>
      </c>
      <c r="K400" s="19">
        <f t="shared" si="88"/>
        <v>0</v>
      </c>
      <c r="L400" s="50"/>
      <c r="M400" s="13">
        <f>ROUND(予定価格!B388*査定表!$B$437,-$F$14)</f>
        <v>0</v>
      </c>
      <c r="N400">
        <f>IF(M400=0,1,M400/予定価格!B388)</f>
        <v>1</v>
      </c>
      <c r="O400">
        <f t="shared" si="91"/>
        <v>21</v>
      </c>
      <c r="P400">
        <f t="shared" si="92"/>
        <v>0</v>
      </c>
      <c r="Q400">
        <f>IF(M400=0,0,M400/予定価格!B388)</f>
        <v>0</v>
      </c>
      <c r="R400">
        <f t="shared" si="93"/>
        <v>21</v>
      </c>
      <c r="S400">
        <f t="shared" si="94"/>
        <v>0</v>
      </c>
      <c r="T400" s="13">
        <f t="shared" si="95"/>
        <v>0</v>
      </c>
      <c r="U400" s="13" t="e">
        <f>IF(予定価格!$G$427=0,ROUND(予定価格!H388*(入力表!$F$12/予定価格!$H$431),-$F$14),ROUND((予定価格!G388*(入力表!$F$12-予定価格!$H$431)/予定価格!$G$431)+予定価格!H388,-$F$14))</f>
        <v>#DIV/0!</v>
      </c>
      <c r="V400" t="e">
        <f>IF(U400=0,1,IF(予定価格!O388=0,1,(U400-予定価格!P388)/予定価格!O388))</f>
        <v>#DIV/0!</v>
      </c>
      <c r="W400" t="e">
        <f t="shared" si="96"/>
        <v>#DIV/0!</v>
      </c>
      <c r="X400" t="e">
        <f t="shared" si="97"/>
        <v>#DIV/0!</v>
      </c>
      <c r="Y400" t="e">
        <f>IF(U400=0,0,IF(予定価格!G388=0,0,(U400-予定価格!H388)/予定価格!G388))</f>
        <v>#DIV/0!</v>
      </c>
      <c r="Z400" t="e">
        <f t="shared" si="98"/>
        <v>#DIV/0!</v>
      </c>
      <c r="AA400" t="e">
        <f t="shared" si="99"/>
        <v>#DIV/0!</v>
      </c>
      <c r="AB400" s="13" t="e">
        <f t="shared" si="100"/>
        <v>#DIV/0!</v>
      </c>
    </row>
    <row r="401" spans="1:28" hidden="1" x14ac:dyDescent="0.15">
      <c r="A401">
        <f>+予定価格!A389</f>
        <v>0</v>
      </c>
      <c r="B401" s="258">
        <f>ROUND(予定価格!B389*査定表!$B$437,-D401)+E401</f>
        <v>0</v>
      </c>
      <c r="C401" s="258"/>
      <c r="D401" s="45">
        <f t="shared" si="89"/>
        <v>4</v>
      </c>
      <c r="E401" s="46">
        <f t="shared" ref="E401:E438" si="101">IF(F$12=0,+P401+S401,0)</f>
        <v>0</v>
      </c>
      <c r="F401" s="258">
        <f>IF($F$12=0,0,IF(予定価格!$G$427=0,ROUND(予定価格!H389*(入力表!$F$12/予定価格!$H$431),-H401),ROUND((予定価格!G389*(入力表!$F$12-予定価格!$H$431)/予定価格!$G$431)+予定価格!H389,-H401)))+I401</f>
        <v>0</v>
      </c>
      <c r="G401" s="258"/>
      <c r="H401" s="47">
        <f t="shared" si="90"/>
        <v>4</v>
      </c>
      <c r="I401" s="48">
        <f t="shared" ref="I401:I438" si="102">IF(F$12=0,0,+X401+AA401)</f>
        <v>0</v>
      </c>
      <c r="J401" s="116">
        <f t="shared" ref="J401:J438" si="103">+F401+K401</f>
        <v>0</v>
      </c>
      <c r="K401" s="19">
        <f t="shared" ref="K401:K438" si="104">+B401</f>
        <v>0</v>
      </c>
      <c r="L401" s="50"/>
      <c r="M401" s="13">
        <f>ROUND(予定価格!B389*査定表!$B$437,-$F$14)</f>
        <v>0</v>
      </c>
      <c r="N401">
        <f>IF(M401=0,1,M401/予定価格!B389)</f>
        <v>1</v>
      </c>
      <c r="O401">
        <f t="shared" si="91"/>
        <v>21</v>
      </c>
      <c r="P401">
        <f t="shared" si="92"/>
        <v>0</v>
      </c>
      <c r="Q401">
        <f>IF(M401=0,0,M401/予定価格!B389)</f>
        <v>0</v>
      </c>
      <c r="R401">
        <f t="shared" si="93"/>
        <v>21</v>
      </c>
      <c r="S401">
        <f t="shared" si="94"/>
        <v>0</v>
      </c>
      <c r="T401" s="13">
        <f t="shared" si="95"/>
        <v>0</v>
      </c>
      <c r="U401" s="13" t="e">
        <f>IF(予定価格!$G$427=0,ROUND(予定価格!H389*(入力表!$F$12/予定価格!$H$431),-$F$14),ROUND((予定価格!G389*(入力表!$F$12-予定価格!$H$431)/予定価格!$G$431)+予定価格!H389,-$F$14))</f>
        <v>#DIV/0!</v>
      </c>
      <c r="V401" t="e">
        <f>IF(U401=0,1,IF(予定価格!O389=0,1,(U401-予定価格!P389)/予定価格!O389))</f>
        <v>#DIV/0!</v>
      </c>
      <c r="W401" t="e">
        <f t="shared" si="96"/>
        <v>#DIV/0!</v>
      </c>
      <c r="X401" t="e">
        <f t="shared" si="97"/>
        <v>#DIV/0!</v>
      </c>
      <c r="Y401" t="e">
        <f>IF(U401=0,0,IF(予定価格!G389=0,0,(U401-予定価格!H389)/予定価格!G389))</f>
        <v>#DIV/0!</v>
      </c>
      <c r="Z401" t="e">
        <f t="shared" si="98"/>
        <v>#DIV/0!</v>
      </c>
      <c r="AA401" t="e">
        <f t="shared" si="99"/>
        <v>#DIV/0!</v>
      </c>
      <c r="AB401" s="13" t="e">
        <f t="shared" si="100"/>
        <v>#DIV/0!</v>
      </c>
    </row>
    <row r="402" spans="1:28" hidden="1" x14ac:dyDescent="0.15">
      <c r="A402">
        <f>+予定価格!A390</f>
        <v>0</v>
      </c>
      <c r="B402" s="258">
        <f>ROUND(予定価格!B390*査定表!$B$437,-D402)+E402</f>
        <v>0</v>
      </c>
      <c r="C402" s="258"/>
      <c r="D402" s="45">
        <f t="shared" ref="D402:D438" si="105">+$F$14</f>
        <v>4</v>
      </c>
      <c r="E402" s="46">
        <f t="shared" si="101"/>
        <v>0</v>
      </c>
      <c r="F402" s="258">
        <f>IF($F$12=0,0,IF(予定価格!$G$427=0,ROUND(予定価格!H390*(入力表!$F$12/予定価格!$H$431),-H402),ROUND((予定価格!G390*(入力表!$F$12-予定価格!$H$431)/予定価格!$G$431)+予定価格!H390,-H402)))+I402</f>
        <v>0</v>
      </c>
      <c r="G402" s="258"/>
      <c r="H402" s="47">
        <f t="shared" ref="H402:H438" si="106">+$F$14</f>
        <v>4</v>
      </c>
      <c r="I402" s="48">
        <f t="shared" si="102"/>
        <v>0</v>
      </c>
      <c r="J402" s="116">
        <f t="shared" si="103"/>
        <v>0</v>
      </c>
      <c r="K402" s="19">
        <f t="shared" si="104"/>
        <v>0</v>
      </c>
      <c r="L402" s="50"/>
      <c r="M402" s="13">
        <f>ROUND(予定価格!B390*査定表!$B$437,-$F$14)</f>
        <v>0</v>
      </c>
      <c r="N402">
        <f>IF(M402=0,1,M402/予定価格!B390)</f>
        <v>1</v>
      </c>
      <c r="O402">
        <f t="shared" ref="O402:O438" si="107">RANK(N402,N$17:N$472,1)</f>
        <v>21</v>
      </c>
      <c r="P402">
        <f t="shared" ref="P402:P438" si="108">IF(M$15&gt;0,IF(O402*10^$F$14&lt;=M$15,10^$F$14,0),0)</f>
        <v>0</v>
      </c>
      <c r="Q402">
        <f>IF(M402=0,0,M402/予定価格!B390)</f>
        <v>0</v>
      </c>
      <c r="R402">
        <f t="shared" ref="R402:R438" si="109">RANK(Q402,Q$17:Q$472,0)</f>
        <v>21</v>
      </c>
      <c r="S402">
        <f t="shared" ref="S402:S438" si="110">IF(M$15&lt;0,IF(R402*10^$F$14&lt;=-M$15,-(10^$F$14),0),0)</f>
        <v>0</v>
      </c>
      <c r="T402" s="13">
        <f t="shared" ref="T402:T438" si="111">+M402+P402+S402</f>
        <v>0</v>
      </c>
      <c r="U402" s="13" t="e">
        <f>IF(予定価格!$G$427=0,ROUND(予定価格!H390*(入力表!$F$12/予定価格!$H$431),-$F$14),ROUND((予定価格!G390*(入力表!$F$12-予定価格!$H$431)/予定価格!$G$431)+予定価格!H390,-$F$14))</f>
        <v>#DIV/0!</v>
      </c>
      <c r="V402" t="e">
        <f>IF(U402=0,1,IF(予定価格!O390=0,1,(U402-予定価格!P390)/予定価格!O390))</f>
        <v>#DIV/0!</v>
      </c>
      <c r="W402" t="e">
        <f t="shared" ref="W402:W438" si="112">RANK(V402,V$17:V$472,1)</f>
        <v>#DIV/0!</v>
      </c>
      <c r="X402" t="e">
        <f t="shared" ref="X402:X438" si="113">IF(U$15&gt;0,IF(W402*10^$F$14&lt;=U$15,10^$F$14,0),0)</f>
        <v>#DIV/0!</v>
      </c>
      <c r="Y402" t="e">
        <f>IF(U402=0,0,IF(予定価格!G390=0,0,(U402-予定価格!H390)/予定価格!G390))</f>
        <v>#DIV/0!</v>
      </c>
      <c r="Z402" t="e">
        <f t="shared" ref="Z402:Z438" si="114">RANK(Y402,Y$17:Y$472,0)</f>
        <v>#DIV/0!</v>
      </c>
      <c r="AA402" t="e">
        <f t="shared" ref="AA402:AA438" si="115">IF(U$15&lt;0,IF(Z402*10^$F$14&lt;=-U$15,-(10^$F$14),0),0)</f>
        <v>#DIV/0!</v>
      </c>
      <c r="AB402" s="13" t="e">
        <f t="shared" ref="AB402:AB438" si="116">+U402+X402+AA402</f>
        <v>#DIV/0!</v>
      </c>
    </row>
    <row r="403" spans="1:28" hidden="1" x14ac:dyDescent="0.15">
      <c r="A403">
        <f>+予定価格!A391</f>
        <v>0</v>
      </c>
      <c r="B403" s="258">
        <f>ROUND(予定価格!B391*査定表!$B$437,-D403)+E403</f>
        <v>0</v>
      </c>
      <c r="C403" s="258"/>
      <c r="D403" s="45">
        <f t="shared" si="105"/>
        <v>4</v>
      </c>
      <c r="E403" s="46">
        <f t="shared" si="101"/>
        <v>0</v>
      </c>
      <c r="F403" s="258">
        <f>IF($F$12=0,0,IF(予定価格!$G$427=0,ROUND(予定価格!H391*(入力表!$F$12/予定価格!$H$431),-H403),ROUND((予定価格!G391*(入力表!$F$12-予定価格!$H$431)/予定価格!$G$431)+予定価格!H391,-H403)))+I403</f>
        <v>0</v>
      </c>
      <c r="G403" s="258"/>
      <c r="H403" s="47">
        <f t="shared" si="106"/>
        <v>4</v>
      </c>
      <c r="I403" s="48">
        <f t="shared" si="102"/>
        <v>0</v>
      </c>
      <c r="J403" s="116">
        <f t="shared" si="103"/>
        <v>0</v>
      </c>
      <c r="K403" s="19">
        <f t="shared" si="104"/>
        <v>0</v>
      </c>
      <c r="L403" s="50"/>
      <c r="M403" s="13">
        <f>ROUND(予定価格!B391*査定表!$B$437,-$F$14)</f>
        <v>0</v>
      </c>
      <c r="N403">
        <f>IF(M403=0,1,M403/予定価格!B391)</f>
        <v>1</v>
      </c>
      <c r="O403">
        <f t="shared" si="107"/>
        <v>21</v>
      </c>
      <c r="P403">
        <f t="shared" si="108"/>
        <v>0</v>
      </c>
      <c r="Q403">
        <f>IF(M403=0,0,M403/予定価格!B391)</f>
        <v>0</v>
      </c>
      <c r="R403">
        <f t="shared" si="109"/>
        <v>21</v>
      </c>
      <c r="S403">
        <f t="shared" si="110"/>
        <v>0</v>
      </c>
      <c r="T403" s="13">
        <f t="shared" si="111"/>
        <v>0</v>
      </c>
      <c r="U403" s="13" t="e">
        <f>IF(予定価格!$G$427=0,ROUND(予定価格!H391*(入力表!$F$12/予定価格!$H$431),-$F$14),ROUND((予定価格!G391*(入力表!$F$12-予定価格!$H$431)/予定価格!$G$431)+予定価格!H391,-$F$14))</f>
        <v>#DIV/0!</v>
      </c>
      <c r="V403" t="e">
        <f>IF(U403=0,1,IF(予定価格!O391=0,1,(U403-予定価格!P391)/予定価格!O391))</f>
        <v>#DIV/0!</v>
      </c>
      <c r="W403" t="e">
        <f t="shared" si="112"/>
        <v>#DIV/0!</v>
      </c>
      <c r="X403" t="e">
        <f t="shared" si="113"/>
        <v>#DIV/0!</v>
      </c>
      <c r="Y403" t="e">
        <f>IF(U403=0,0,IF(予定価格!G391=0,0,(U403-予定価格!H391)/予定価格!G391))</f>
        <v>#DIV/0!</v>
      </c>
      <c r="Z403" t="e">
        <f t="shared" si="114"/>
        <v>#DIV/0!</v>
      </c>
      <c r="AA403" t="e">
        <f t="shared" si="115"/>
        <v>#DIV/0!</v>
      </c>
      <c r="AB403" s="13" t="e">
        <f t="shared" si="116"/>
        <v>#DIV/0!</v>
      </c>
    </row>
    <row r="404" spans="1:28" hidden="1" x14ac:dyDescent="0.15">
      <c r="A404">
        <f>+予定価格!A392</f>
        <v>0</v>
      </c>
      <c r="B404" s="258">
        <f>ROUND(予定価格!B392*査定表!$B$437,-D404)+E404</f>
        <v>0</v>
      </c>
      <c r="C404" s="258"/>
      <c r="D404" s="45">
        <f t="shared" si="105"/>
        <v>4</v>
      </c>
      <c r="E404" s="46">
        <f t="shared" si="101"/>
        <v>0</v>
      </c>
      <c r="F404" s="258">
        <f>IF($F$12=0,0,IF(予定価格!$G$427=0,ROUND(予定価格!H392*(入力表!$F$12/予定価格!$H$431),-H404),ROUND((予定価格!G392*(入力表!$F$12-予定価格!$H$431)/予定価格!$G$431)+予定価格!H392,-H404)))+I404</f>
        <v>0</v>
      </c>
      <c r="G404" s="258"/>
      <c r="H404" s="47">
        <f t="shared" si="106"/>
        <v>4</v>
      </c>
      <c r="I404" s="48">
        <f t="shared" si="102"/>
        <v>0</v>
      </c>
      <c r="J404" s="116">
        <f t="shared" si="103"/>
        <v>0</v>
      </c>
      <c r="K404" s="19">
        <f t="shared" si="104"/>
        <v>0</v>
      </c>
      <c r="L404" s="50"/>
      <c r="M404" s="13">
        <f>ROUND(予定価格!B392*査定表!$B$437,-$F$14)</f>
        <v>0</v>
      </c>
      <c r="N404">
        <f>IF(M404=0,1,M404/予定価格!B392)</f>
        <v>1</v>
      </c>
      <c r="O404">
        <f t="shared" si="107"/>
        <v>21</v>
      </c>
      <c r="P404">
        <f t="shared" si="108"/>
        <v>0</v>
      </c>
      <c r="Q404">
        <f>IF(M404=0,0,M404/予定価格!B392)</f>
        <v>0</v>
      </c>
      <c r="R404">
        <f t="shared" si="109"/>
        <v>21</v>
      </c>
      <c r="S404">
        <f t="shared" si="110"/>
        <v>0</v>
      </c>
      <c r="T404" s="13">
        <f t="shared" si="111"/>
        <v>0</v>
      </c>
      <c r="U404" s="13" t="e">
        <f>IF(予定価格!$G$427=0,ROUND(予定価格!H392*(入力表!$F$12/予定価格!$H$431),-$F$14),ROUND((予定価格!G392*(入力表!$F$12-予定価格!$H$431)/予定価格!$G$431)+予定価格!H392,-$F$14))</f>
        <v>#DIV/0!</v>
      </c>
      <c r="V404" t="e">
        <f>IF(U404=0,1,IF(予定価格!O392=0,1,(U404-予定価格!P392)/予定価格!O392))</f>
        <v>#DIV/0!</v>
      </c>
      <c r="W404" t="e">
        <f t="shared" si="112"/>
        <v>#DIV/0!</v>
      </c>
      <c r="X404" t="e">
        <f t="shared" si="113"/>
        <v>#DIV/0!</v>
      </c>
      <c r="Y404" t="e">
        <f>IF(U404=0,0,IF(予定価格!G392=0,0,(U404-予定価格!H392)/予定価格!G392))</f>
        <v>#DIV/0!</v>
      </c>
      <c r="Z404" t="e">
        <f t="shared" si="114"/>
        <v>#DIV/0!</v>
      </c>
      <c r="AA404" t="e">
        <f t="shared" si="115"/>
        <v>#DIV/0!</v>
      </c>
      <c r="AB404" s="13" t="e">
        <f t="shared" si="116"/>
        <v>#DIV/0!</v>
      </c>
    </row>
    <row r="405" spans="1:28" hidden="1" x14ac:dyDescent="0.15">
      <c r="A405">
        <f>+予定価格!A393</f>
        <v>0</v>
      </c>
      <c r="B405" s="258">
        <f>ROUND(予定価格!B393*査定表!$B$437,-D405)+E405</f>
        <v>0</v>
      </c>
      <c r="C405" s="258"/>
      <c r="D405" s="45">
        <f t="shared" si="105"/>
        <v>4</v>
      </c>
      <c r="E405" s="46">
        <f t="shared" si="101"/>
        <v>0</v>
      </c>
      <c r="F405" s="258">
        <f>IF($F$12=0,0,IF(予定価格!$G$427=0,ROUND(予定価格!H393*(入力表!$F$12/予定価格!$H$431),-H405),ROUND((予定価格!G393*(入力表!$F$12-予定価格!$H$431)/予定価格!$G$431)+予定価格!H393,-H405)))+I405</f>
        <v>0</v>
      </c>
      <c r="G405" s="258"/>
      <c r="H405" s="47">
        <f t="shared" si="106"/>
        <v>4</v>
      </c>
      <c r="I405" s="48">
        <f t="shared" si="102"/>
        <v>0</v>
      </c>
      <c r="J405" s="116">
        <f t="shared" si="103"/>
        <v>0</v>
      </c>
      <c r="K405" s="19">
        <f t="shared" si="104"/>
        <v>0</v>
      </c>
      <c r="L405" s="50"/>
      <c r="M405" s="13">
        <f>ROUND(予定価格!B393*査定表!$B$437,-$F$14)</f>
        <v>0</v>
      </c>
      <c r="N405">
        <f>IF(M405=0,1,M405/予定価格!B393)</f>
        <v>1</v>
      </c>
      <c r="O405">
        <f t="shared" si="107"/>
        <v>21</v>
      </c>
      <c r="P405">
        <f t="shared" si="108"/>
        <v>0</v>
      </c>
      <c r="Q405">
        <f>IF(M405=0,0,M405/予定価格!B393)</f>
        <v>0</v>
      </c>
      <c r="R405">
        <f t="shared" si="109"/>
        <v>21</v>
      </c>
      <c r="S405">
        <f t="shared" si="110"/>
        <v>0</v>
      </c>
      <c r="T405" s="13">
        <f t="shared" si="111"/>
        <v>0</v>
      </c>
      <c r="U405" s="13" t="e">
        <f>IF(予定価格!$G$427=0,ROUND(予定価格!H393*(入力表!$F$12/予定価格!$H$431),-$F$14),ROUND((予定価格!G393*(入力表!$F$12-予定価格!$H$431)/予定価格!$G$431)+予定価格!H393,-$F$14))</f>
        <v>#DIV/0!</v>
      </c>
      <c r="V405" t="e">
        <f>IF(U405=0,1,IF(予定価格!O393=0,1,(U405-予定価格!P393)/予定価格!O393))</f>
        <v>#DIV/0!</v>
      </c>
      <c r="W405" t="e">
        <f t="shared" si="112"/>
        <v>#DIV/0!</v>
      </c>
      <c r="X405" t="e">
        <f t="shared" si="113"/>
        <v>#DIV/0!</v>
      </c>
      <c r="Y405" t="e">
        <f>IF(U405=0,0,IF(予定価格!G393=0,0,(U405-予定価格!H393)/予定価格!G393))</f>
        <v>#DIV/0!</v>
      </c>
      <c r="Z405" t="e">
        <f t="shared" si="114"/>
        <v>#DIV/0!</v>
      </c>
      <c r="AA405" t="e">
        <f t="shared" si="115"/>
        <v>#DIV/0!</v>
      </c>
      <c r="AB405" s="13" t="e">
        <f t="shared" si="116"/>
        <v>#DIV/0!</v>
      </c>
    </row>
    <row r="406" spans="1:28" hidden="1" x14ac:dyDescent="0.15">
      <c r="A406">
        <f>+予定価格!A394</f>
        <v>0</v>
      </c>
      <c r="B406" s="258">
        <f>ROUND(予定価格!B394*査定表!$B$437,-D406)+E406</f>
        <v>0</v>
      </c>
      <c r="C406" s="258"/>
      <c r="D406" s="45">
        <f t="shared" si="105"/>
        <v>4</v>
      </c>
      <c r="E406" s="46">
        <f t="shared" si="101"/>
        <v>0</v>
      </c>
      <c r="F406" s="258">
        <f>IF($F$12=0,0,IF(予定価格!$G$427=0,ROUND(予定価格!H394*(入力表!$F$12/予定価格!$H$431),-H406),ROUND((予定価格!G394*(入力表!$F$12-予定価格!$H$431)/予定価格!$G$431)+予定価格!H394,-H406)))+I406</f>
        <v>0</v>
      </c>
      <c r="G406" s="258"/>
      <c r="H406" s="47">
        <f t="shared" si="106"/>
        <v>4</v>
      </c>
      <c r="I406" s="48">
        <f t="shared" si="102"/>
        <v>0</v>
      </c>
      <c r="J406" s="116">
        <f t="shared" si="103"/>
        <v>0</v>
      </c>
      <c r="K406" s="19">
        <f t="shared" si="104"/>
        <v>0</v>
      </c>
      <c r="L406" s="50"/>
      <c r="M406" s="13">
        <f>ROUND(予定価格!B394*査定表!$B$437,-$F$14)</f>
        <v>0</v>
      </c>
      <c r="N406">
        <f>IF(M406=0,1,M406/予定価格!B394)</f>
        <v>1</v>
      </c>
      <c r="O406">
        <f t="shared" si="107"/>
        <v>21</v>
      </c>
      <c r="P406">
        <f t="shared" si="108"/>
        <v>0</v>
      </c>
      <c r="Q406">
        <f>IF(M406=0,0,M406/予定価格!B394)</f>
        <v>0</v>
      </c>
      <c r="R406">
        <f t="shared" si="109"/>
        <v>21</v>
      </c>
      <c r="S406">
        <f t="shared" si="110"/>
        <v>0</v>
      </c>
      <c r="T406" s="13">
        <f t="shared" si="111"/>
        <v>0</v>
      </c>
      <c r="U406" s="13" t="e">
        <f>IF(予定価格!$G$427=0,ROUND(予定価格!H394*(入力表!$F$12/予定価格!$H$431),-$F$14),ROUND((予定価格!G394*(入力表!$F$12-予定価格!$H$431)/予定価格!$G$431)+予定価格!H394,-$F$14))</f>
        <v>#DIV/0!</v>
      </c>
      <c r="V406" t="e">
        <f>IF(U406=0,1,IF(予定価格!O394=0,1,(U406-予定価格!P394)/予定価格!O394))</f>
        <v>#DIV/0!</v>
      </c>
      <c r="W406" t="e">
        <f t="shared" si="112"/>
        <v>#DIV/0!</v>
      </c>
      <c r="X406" t="e">
        <f t="shared" si="113"/>
        <v>#DIV/0!</v>
      </c>
      <c r="Y406" t="e">
        <f>IF(U406=0,0,IF(予定価格!G394=0,0,(U406-予定価格!H394)/予定価格!G394))</f>
        <v>#DIV/0!</v>
      </c>
      <c r="Z406" t="e">
        <f t="shared" si="114"/>
        <v>#DIV/0!</v>
      </c>
      <c r="AA406" t="e">
        <f t="shared" si="115"/>
        <v>#DIV/0!</v>
      </c>
      <c r="AB406" s="13" t="e">
        <f t="shared" si="116"/>
        <v>#DIV/0!</v>
      </c>
    </row>
    <row r="407" spans="1:28" hidden="1" x14ac:dyDescent="0.15">
      <c r="A407">
        <f>+予定価格!A395</f>
        <v>0</v>
      </c>
      <c r="B407" s="258">
        <f>ROUND(予定価格!B395*査定表!$B$437,-D407)+E407</f>
        <v>0</v>
      </c>
      <c r="C407" s="258"/>
      <c r="D407" s="45">
        <f t="shared" si="105"/>
        <v>4</v>
      </c>
      <c r="E407" s="46">
        <f t="shared" si="101"/>
        <v>0</v>
      </c>
      <c r="F407" s="258">
        <f>IF($F$12=0,0,IF(予定価格!$G$427=0,ROUND(予定価格!H395*(入力表!$F$12/予定価格!$H$431),-H407),ROUND((予定価格!G395*(入力表!$F$12-予定価格!$H$431)/予定価格!$G$431)+予定価格!H395,-H407)))+I407</f>
        <v>0</v>
      </c>
      <c r="G407" s="258"/>
      <c r="H407" s="47">
        <f t="shared" si="106"/>
        <v>4</v>
      </c>
      <c r="I407" s="48">
        <f t="shared" si="102"/>
        <v>0</v>
      </c>
      <c r="J407" s="116">
        <f t="shared" si="103"/>
        <v>0</v>
      </c>
      <c r="K407" s="19">
        <f t="shared" si="104"/>
        <v>0</v>
      </c>
      <c r="L407" s="50"/>
      <c r="M407" s="13">
        <f>ROUND(予定価格!B395*査定表!$B$437,-$F$14)</f>
        <v>0</v>
      </c>
      <c r="N407">
        <f>IF(M407=0,1,M407/予定価格!B395)</f>
        <v>1</v>
      </c>
      <c r="O407">
        <f t="shared" si="107"/>
        <v>21</v>
      </c>
      <c r="P407">
        <f t="shared" si="108"/>
        <v>0</v>
      </c>
      <c r="Q407">
        <f>IF(M407=0,0,M407/予定価格!B395)</f>
        <v>0</v>
      </c>
      <c r="R407">
        <f t="shared" si="109"/>
        <v>21</v>
      </c>
      <c r="S407">
        <f t="shared" si="110"/>
        <v>0</v>
      </c>
      <c r="T407" s="13">
        <f t="shared" si="111"/>
        <v>0</v>
      </c>
      <c r="U407" s="13" t="e">
        <f>IF(予定価格!$G$427=0,ROUND(予定価格!H395*(入力表!$F$12/予定価格!$H$431),-$F$14),ROUND((予定価格!G395*(入力表!$F$12-予定価格!$H$431)/予定価格!$G$431)+予定価格!H395,-$F$14))</f>
        <v>#DIV/0!</v>
      </c>
      <c r="V407" t="e">
        <f>IF(U407=0,1,IF(予定価格!O395=0,1,(U407-予定価格!P395)/予定価格!O395))</f>
        <v>#DIV/0!</v>
      </c>
      <c r="W407" t="e">
        <f t="shared" si="112"/>
        <v>#DIV/0!</v>
      </c>
      <c r="X407" t="e">
        <f t="shared" si="113"/>
        <v>#DIV/0!</v>
      </c>
      <c r="Y407" t="e">
        <f>IF(U407=0,0,IF(予定価格!G395=0,0,(U407-予定価格!H395)/予定価格!G395))</f>
        <v>#DIV/0!</v>
      </c>
      <c r="Z407" t="e">
        <f t="shared" si="114"/>
        <v>#DIV/0!</v>
      </c>
      <c r="AA407" t="e">
        <f t="shared" si="115"/>
        <v>#DIV/0!</v>
      </c>
      <c r="AB407" s="13" t="e">
        <f t="shared" si="116"/>
        <v>#DIV/0!</v>
      </c>
    </row>
    <row r="408" spans="1:28" hidden="1" x14ac:dyDescent="0.15">
      <c r="A408">
        <f>+予定価格!A396</f>
        <v>0</v>
      </c>
      <c r="B408" s="258">
        <f>ROUND(予定価格!B396*査定表!$B$437,-D408)+E408</f>
        <v>0</v>
      </c>
      <c r="C408" s="258"/>
      <c r="D408" s="45">
        <f t="shared" si="105"/>
        <v>4</v>
      </c>
      <c r="E408" s="46">
        <f t="shared" si="101"/>
        <v>0</v>
      </c>
      <c r="F408" s="258">
        <f>IF($F$12=0,0,IF(予定価格!$G$427=0,ROUND(予定価格!H396*(入力表!$F$12/予定価格!$H$431),-H408),ROUND((予定価格!G396*(入力表!$F$12-予定価格!$H$431)/予定価格!$G$431)+予定価格!H396,-H408)))+I408</f>
        <v>0</v>
      </c>
      <c r="G408" s="258"/>
      <c r="H408" s="47">
        <f t="shared" si="106"/>
        <v>4</v>
      </c>
      <c r="I408" s="48">
        <f t="shared" si="102"/>
        <v>0</v>
      </c>
      <c r="J408" s="116">
        <f t="shared" si="103"/>
        <v>0</v>
      </c>
      <c r="K408" s="19">
        <f t="shared" si="104"/>
        <v>0</v>
      </c>
      <c r="L408" s="50"/>
      <c r="M408" s="13">
        <f>ROUND(予定価格!B396*査定表!$B$437,-$F$14)</f>
        <v>0</v>
      </c>
      <c r="N408">
        <f>IF(M408=0,1,M408/予定価格!B396)</f>
        <v>1</v>
      </c>
      <c r="O408">
        <f t="shared" si="107"/>
        <v>21</v>
      </c>
      <c r="P408">
        <f t="shared" si="108"/>
        <v>0</v>
      </c>
      <c r="Q408">
        <f>IF(M408=0,0,M408/予定価格!B396)</f>
        <v>0</v>
      </c>
      <c r="R408">
        <f t="shared" si="109"/>
        <v>21</v>
      </c>
      <c r="S408">
        <f t="shared" si="110"/>
        <v>0</v>
      </c>
      <c r="T408" s="13">
        <f t="shared" si="111"/>
        <v>0</v>
      </c>
      <c r="U408" s="13" t="e">
        <f>IF(予定価格!$G$427=0,ROUND(予定価格!H396*(入力表!$F$12/予定価格!$H$431),-$F$14),ROUND((予定価格!G396*(入力表!$F$12-予定価格!$H$431)/予定価格!$G$431)+予定価格!H396,-$F$14))</f>
        <v>#DIV/0!</v>
      </c>
      <c r="V408" t="e">
        <f>IF(U408=0,1,IF(予定価格!O396=0,1,(U408-予定価格!P396)/予定価格!O396))</f>
        <v>#DIV/0!</v>
      </c>
      <c r="W408" t="e">
        <f t="shared" si="112"/>
        <v>#DIV/0!</v>
      </c>
      <c r="X408" t="e">
        <f t="shared" si="113"/>
        <v>#DIV/0!</v>
      </c>
      <c r="Y408" t="e">
        <f>IF(U408=0,0,IF(予定価格!G396=0,0,(U408-予定価格!H396)/予定価格!G396))</f>
        <v>#DIV/0!</v>
      </c>
      <c r="Z408" t="e">
        <f t="shared" si="114"/>
        <v>#DIV/0!</v>
      </c>
      <c r="AA408" t="e">
        <f t="shared" si="115"/>
        <v>#DIV/0!</v>
      </c>
      <c r="AB408" s="13" t="e">
        <f t="shared" si="116"/>
        <v>#DIV/0!</v>
      </c>
    </row>
    <row r="409" spans="1:28" hidden="1" x14ac:dyDescent="0.15">
      <c r="A409">
        <f>+予定価格!A397</f>
        <v>0</v>
      </c>
      <c r="B409" s="258">
        <f>ROUND(予定価格!B397*査定表!$B$437,-D409)+E409</f>
        <v>0</v>
      </c>
      <c r="C409" s="258"/>
      <c r="D409" s="45">
        <f t="shared" si="105"/>
        <v>4</v>
      </c>
      <c r="E409" s="46">
        <f t="shared" si="101"/>
        <v>0</v>
      </c>
      <c r="F409" s="258">
        <f>IF($F$12=0,0,IF(予定価格!$G$427=0,ROUND(予定価格!H397*(入力表!$F$12/予定価格!$H$431),-H409),ROUND((予定価格!G397*(入力表!$F$12-予定価格!$H$431)/予定価格!$G$431)+予定価格!H397,-H409)))+I409</f>
        <v>0</v>
      </c>
      <c r="G409" s="258"/>
      <c r="H409" s="47">
        <f t="shared" si="106"/>
        <v>4</v>
      </c>
      <c r="I409" s="48">
        <f t="shared" si="102"/>
        <v>0</v>
      </c>
      <c r="J409" s="116">
        <f t="shared" si="103"/>
        <v>0</v>
      </c>
      <c r="K409" s="19">
        <f t="shared" si="104"/>
        <v>0</v>
      </c>
      <c r="L409" s="50"/>
      <c r="M409" s="13">
        <f>ROUND(予定価格!B397*査定表!$B$437,-$F$14)</f>
        <v>0</v>
      </c>
      <c r="N409">
        <f>IF(M409=0,1,M409/予定価格!B397)</f>
        <v>1</v>
      </c>
      <c r="O409">
        <f t="shared" si="107"/>
        <v>21</v>
      </c>
      <c r="P409">
        <f t="shared" si="108"/>
        <v>0</v>
      </c>
      <c r="Q409">
        <f>IF(M409=0,0,M409/予定価格!B397)</f>
        <v>0</v>
      </c>
      <c r="R409">
        <f t="shared" si="109"/>
        <v>21</v>
      </c>
      <c r="S409">
        <f t="shared" si="110"/>
        <v>0</v>
      </c>
      <c r="T409" s="13">
        <f t="shared" si="111"/>
        <v>0</v>
      </c>
      <c r="U409" s="13" t="e">
        <f>IF(予定価格!$G$427=0,ROUND(予定価格!H397*(入力表!$F$12/予定価格!$H$431),-$F$14),ROUND((予定価格!G397*(入力表!$F$12-予定価格!$H$431)/予定価格!$G$431)+予定価格!H397,-$F$14))</f>
        <v>#DIV/0!</v>
      </c>
      <c r="V409" t="e">
        <f>IF(U409=0,1,IF(予定価格!O397=0,1,(U409-予定価格!P397)/予定価格!O397))</f>
        <v>#DIV/0!</v>
      </c>
      <c r="W409" t="e">
        <f t="shared" si="112"/>
        <v>#DIV/0!</v>
      </c>
      <c r="X409" t="e">
        <f t="shared" si="113"/>
        <v>#DIV/0!</v>
      </c>
      <c r="Y409" t="e">
        <f>IF(U409=0,0,IF(予定価格!G397=0,0,(U409-予定価格!H397)/予定価格!G397))</f>
        <v>#DIV/0!</v>
      </c>
      <c r="Z409" t="e">
        <f t="shared" si="114"/>
        <v>#DIV/0!</v>
      </c>
      <c r="AA409" t="e">
        <f t="shared" si="115"/>
        <v>#DIV/0!</v>
      </c>
      <c r="AB409" s="13" t="e">
        <f t="shared" si="116"/>
        <v>#DIV/0!</v>
      </c>
    </row>
    <row r="410" spans="1:28" hidden="1" x14ac:dyDescent="0.15">
      <c r="A410">
        <f>+予定価格!A398</f>
        <v>0</v>
      </c>
      <c r="B410" s="258">
        <f>ROUND(予定価格!B398*査定表!$B$437,-D410)+E410</f>
        <v>0</v>
      </c>
      <c r="C410" s="258"/>
      <c r="D410" s="45">
        <f t="shared" si="105"/>
        <v>4</v>
      </c>
      <c r="E410" s="46">
        <f t="shared" si="101"/>
        <v>0</v>
      </c>
      <c r="F410" s="258">
        <f>IF($F$12=0,0,IF(予定価格!$G$427=0,ROUND(予定価格!H398*(入力表!$F$12/予定価格!$H$431),-H410),ROUND((予定価格!G398*(入力表!$F$12-予定価格!$H$431)/予定価格!$G$431)+予定価格!H398,-H410)))+I410</f>
        <v>0</v>
      </c>
      <c r="G410" s="258"/>
      <c r="H410" s="47">
        <f t="shared" si="106"/>
        <v>4</v>
      </c>
      <c r="I410" s="48">
        <f t="shared" si="102"/>
        <v>0</v>
      </c>
      <c r="J410" s="116">
        <f t="shared" si="103"/>
        <v>0</v>
      </c>
      <c r="K410" s="19">
        <f t="shared" si="104"/>
        <v>0</v>
      </c>
      <c r="L410" s="50"/>
      <c r="M410" s="13">
        <f>ROUND(予定価格!B398*査定表!$B$437,-$F$14)</f>
        <v>0</v>
      </c>
      <c r="N410">
        <f>IF(M410=0,1,M410/予定価格!B398)</f>
        <v>1</v>
      </c>
      <c r="O410">
        <f t="shared" si="107"/>
        <v>21</v>
      </c>
      <c r="P410">
        <f t="shared" si="108"/>
        <v>0</v>
      </c>
      <c r="Q410">
        <f>IF(M410=0,0,M410/予定価格!B398)</f>
        <v>0</v>
      </c>
      <c r="R410">
        <f t="shared" si="109"/>
        <v>21</v>
      </c>
      <c r="S410">
        <f t="shared" si="110"/>
        <v>0</v>
      </c>
      <c r="T410" s="13">
        <f t="shared" si="111"/>
        <v>0</v>
      </c>
      <c r="U410" s="13" t="e">
        <f>IF(予定価格!$G$427=0,ROUND(予定価格!H398*(入力表!$F$12/予定価格!$H$431),-$F$14),ROUND((予定価格!G398*(入力表!$F$12-予定価格!$H$431)/予定価格!$G$431)+予定価格!H398,-$F$14))</f>
        <v>#DIV/0!</v>
      </c>
      <c r="V410" t="e">
        <f>IF(U410=0,1,IF(予定価格!O398=0,1,(U410-予定価格!P398)/予定価格!O398))</f>
        <v>#DIV/0!</v>
      </c>
      <c r="W410" t="e">
        <f t="shared" si="112"/>
        <v>#DIV/0!</v>
      </c>
      <c r="X410" t="e">
        <f t="shared" si="113"/>
        <v>#DIV/0!</v>
      </c>
      <c r="Y410" t="e">
        <f>IF(U410=0,0,IF(予定価格!G398=0,0,(U410-予定価格!H398)/予定価格!G398))</f>
        <v>#DIV/0!</v>
      </c>
      <c r="Z410" t="e">
        <f t="shared" si="114"/>
        <v>#DIV/0!</v>
      </c>
      <c r="AA410" t="e">
        <f t="shared" si="115"/>
        <v>#DIV/0!</v>
      </c>
      <c r="AB410" s="13" t="e">
        <f t="shared" si="116"/>
        <v>#DIV/0!</v>
      </c>
    </row>
    <row r="411" spans="1:28" hidden="1" x14ac:dyDescent="0.15">
      <c r="A411">
        <f>+予定価格!A399</f>
        <v>0</v>
      </c>
      <c r="B411" s="258">
        <f>ROUND(予定価格!B399*査定表!$B$437,-D411)+E411</f>
        <v>0</v>
      </c>
      <c r="C411" s="258"/>
      <c r="D411" s="45">
        <f t="shared" si="105"/>
        <v>4</v>
      </c>
      <c r="E411" s="46">
        <f t="shared" si="101"/>
        <v>0</v>
      </c>
      <c r="F411" s="258">
        <f>IF($F$12=0,0,IF(予定価格!$G$427=0,ROUND(予定価格!H399*(入力表!$F$12/予定価格!$H$431),-H411),ROUND((予定価格!G399*(入力表!$F$12-予定価格!$H$431)/予定価格!$G$431)+予定価格!H399,-H411)))+I411</f>
        <v>0</v>
      </c>
      <c r="G411" s="258"/>
      <c r="H411" s="47">
        <f t="shared" si="106"/>
        <v>4</v>
      </c>
      <c r="I411" s="48">
        <f t="shared" si="102"/>
        <v>0</v>
      </c>
      <c r="J411" s="116">
        <f t="shared" si="103"/>
        <v>0</v>
      </c>
      <c r="K411" s="19">
        <f t="shared" si="104"/>
        <v>0</v>
      </c>
      <c r="L411" s="50"/>
      <c r="M411" s="13">
        <f>ROUND(予定価格!B399*査定表!$B$437,-$F$14)</f>
        <v>0</v>
      </c>
      <c r="N411">
        <f>IF(M411=0,1,M411/予定価格!B399)</f>
        <v>1</v>
      </c>
      <c r="O411">
        <f t="shared" si="107"/>
        <v>21</v>
      </c>
      <c r="P411">
        <f t="shared" si="108"/>
        <v>0</v>
      </c>
      <c r="Q411">
        <f>IF(M411=0,0,M411/予定価格!B399)</f>
        <v>0</v>
      </c>
      <c r="R411">
        <f t="shared" si="109"/>
        <v>21</v>
      </c>
      <c r="S411">
        <f t="shared" si="110"/>
        <v>0</v>
      </c>
      <c r="T411" s="13">
        <f t="shared" si="111"/>
        <v>0</v>
      </c>
      <c r="U411" s="13" t="e">
        <f>IF(予定価格!$G$427=0,ROUND(予定価格!H399*(入力表!$F$12/予定価格!$H$431),-$F$14),ROUND((予定価格!G399*(入力表!$F$12-予定価格!$H$431)/予定価格!$G$431)+予定価格!H399,-$F$14))</f>
        <v>#DIV/0!</v>
      </c>
      <c r="V411" t="e">
        <f>IF(U411=0,1,IF(予定価格!O399=0,1,(U411-予定価格!P399)/予定価格!O399))</f>
        <v>#DIV/0!</v>
      </c>
      <c r="W411" t="e">
        <f t="shared" si="112"/>
        <v>#DIV/0!</v>
      </c>
      <c r="X411" t="e">
        <f t="shared" si="113"/>
        <v>#DIV/0!</v>
      </c>
      <c r="Y411" t="e">
        <f>IF(U411=0,0,IF(予定価格!G399=0,0,(U411-予定価格!H399)/予定価格!G399))</f>
        <v>#DIV/0!</v>
      </c>
      <c r="Z411" t="e">
        <f t="shared" si="114"/>
        <v>#DIV/0!</v>
      </c>
      <c r="AA411" t="e">
        <f t="shared" si="115"/>
        <v>#DIV/0!</v>
      </c>
      <c r="AB411" s="13" t="e">
        <f t="shared" si="116"/>
        <v>#DIV/0!</v>
      </c>
    </row>
    <row r="412" spans="1:28" hidden="1" x14ac:dyDescent="0.15">
      <c r="A412">
        <f>+予定価格!A400</f>
        <v>0</v>
      </c>
      <c r="B412" s="258">
        <f>ROUND(予定価格!B400*査定表!$B$437,-D412)+E412</f>
        <v>0</v>
      </c>
      <c r="C412" s="258"/>
      <c r="D412" s="45">
        <f t="shared" si="105"/>
        <v>4</v>
      </c>
      <c r="E412" s="46">
        <f t="shared" si="101"/>
        <v>0</v>
      </c>
      <c r="F412" s="258">
        <f>IF($F$12=0,0,IF(予定価格!$G$427=0,ROUND(予定価格!H400*(入力表!$F$12/予定価格!$H$431),-H412),ROUND((予定価格!G400*(入力表!$F$12-予定価格!$H$431)/予定価格!$G$431)+予定価格!H400,-H412)))+I412</f>
        <v>0</v>
      </c>
      <c r="G412" s="258"/>
      <c r="H412" s="47">
        <f t="shared" si="106"/>
        <v>4</v>
      </c>
      <c r="I412" s="48">
        <f t="shared" si="102"/>
        <v>0</v>
      </c>
      <c r="J412" s="116">
        <f t="shared" si="103"/>
        <v>0</v>
      </c>
      <c r="K412" s="19">
        <f t="shared" si="104"/>
        <v>0</v>
      </c>
      <c r="L412" s="50"/>
      <c r="M412" s="13">
        <f>ROUND(予定価格!B400*査定表!$B$437,-$F$14)</f>
        <v>0</v>
      </c>
      <c r="N412">
        <f>IF(M412=0,1,M412/予定価格!B400)</f>
        <v>1</v>
      </c>
      <c r="O412">
        <f t="shared" si="107"/>
        <v>21</v>
      </c>
      <c r="P412">
        <f t="shared" si="108"/>
        <v>0</v>
      </c>
      <c r="Q412">
        <f>IF(M412=0,0,M412/予定価格!B400)</f>
        <v>0</v>
      </c>
      <c r="R412">
        <f t="shared" si="109"/>
        <v>21</v>
      </c>
      <c r="S412">
        <f t="shared" si="110"/>
        <v>0</v>
      </c>
      <c r="T412" s="13">
        <f t="shared" si="111"/>
        <v>0</v>
      </c>
      <c r="U412" s="13" t="e">
        <f>IF(予定価格!$G$427=0,ROUND(予定価格!H400*(入力表!$F$12/予定価格!$H$431),-$F$14),ROUND((予定価格!G400*(入力表!$F$12-予定価格!$H$431)/予定価格!$G$431)+予定価格!H400,-$F$14))</f>
        <v>#DIV/0!</v>
      </c>
      <c r="V412" t="e">
        <f>IF(U412=0,1,IF(予定価格!O400=0,1,(U412-予定価格!P400)/予定価格!O400))</f>
        <v>#DIV/0!</v>
      </c>
      <c r="W412" t="e">
        <f t="shared" si="112"/>
        <v>#DIV/0!</v>
      </c>
      <c r="X412" t="e">
        <f t="shared" si="113"/>
        <v>#DIV/0!</v>
      </c>
      <c r="Y412" t="e">
        <f>IF(U412=0,0,IF(予定価格!G400=0,0,(U412-予定価格!H400)/予定価格!G400))</f>
        <v>#DIV/0!</v>
      </c>
      <c r="Z412" t="e">
        <f t="shared" si="114"/>
        <v>#DIV/0!</v>
      </c>
      <c r="AA412" t="e">
        <f t="shared" si="115"/>
        <v>#DIV/0!</v>
      </c>
      <c r="AB412" s="13" t="e">
        <f t="shared" si="116"/>
        <v>#DIV/0!</v>
      </c>
    </row>
    <row r="413" spans="1:28" hidden="1" x14ac:dyDescent="0.15">
      <c r="A413">
        <f>+予定価格!A401</f>
        <v>0</v>
      </c>
      <c r="B413" s="258">
        <f>ROUND(予定価格!B401*査定表!$B$437,-D413)+E413</f>
        <v>0</v>
      </c>
      <c r="C413" s="258"/>
      <c r="D413" s="45">
        <f t="shared" si="105"/>
        <v>4</v>
      </c>
      <c r="E413" s="46">
        <f t="shared" si="101"/>
        <v>0</v>
      </c>
      <c r="F413" s="258">
        <f>IF($F$12=0,0,IF(予定価格!$G$427=0,ROUND(予定価格!H401*(入力表!$F$12/予定価格!$H$431),-H413),ROUND((予定価格!G401*(入力表!$F$12-予定価格!$H$431)/予定価格!$G$431)+予定価格!H401,-H413)))+I413</f>
        <v>0</v>
      </c>
      <c r="G413" s="258"/>
      <c r="H413" s="47">
        <f t="shared" si="106"/>
        <v>4</v>
      </c>
      <c r="I413" s="48">
        <f t="shared" si="102"/>
        <v>0</v>
      </c>
      <c r="J413" s="116">
        <f t="shared" si="103"/>
        <v>0</v>
      </c>
      <c r="K413" s="19">
        <f t="shared" si="104"/>
        <v>0</v>
      </c>
      <c r="L413" s="50"/>
      <c r="M413" s="13">
        <f>ROUND(予定価格!B401*査定表!$B$437,-$F$14)</f>
        <v>0</v>
      </c>
      <c r="N413">
        <f>IF(M413=0,1,M413/予定価格!B401)</f>
        <v>1</v>
      </c>
      <c r="O413">
        <f t="shared" si="107"/>
        <v>21</v>
      </c>
      <c r="P413">
        <f t="shared" si="108"/>
        <v>0</v>
      </c>
      <c r="Q413">
        <f>IF(M413=0,0,M413/予定価格!B401)</f>
        <v>0</v>
      </c>
      <c r="R413">
        <f t="shared" si="109"/>
        <v>21</v>
      </c>
      <c r="S413">
        <f t="shared" si="110"/>
        <v>0</v>
      </c>
      <c r="T413" s="13">
        <f t="shared" si="111"/>
        <v>0</v>
      </c>
      <c r="U413" s="13" t="e">
        <f>IF(予定価格!$G$427=0,ROUND(予定価格!H401*(入力表!$F$12/予定価格!$H$431),-$F$14),ROUND((予定価格!G401*(入力表!$F$12-予定価格!$H$431)/予定価格!$G$431)+予定価格!H401,-$F$14))</f>
        <v>#DIV/0!</v>
      </c>
      <c r="V413" t="e">
        <f>IF(U413=0,1,IF(予定価格!O401=0,1,(U413-予定価格!P401)/予定価格!O401))</f>
        <v>#DIV/0!</v>
      </c>
      <c r="W413" t="e">
        <f t="shared" si="112"/>
        <v>#DIV/0!</v>
      </c>
      <c r="X413" t="e">
        <f t="shared" si="113"/>
        <v>#DIV/0!</v>
      </c>
      <c r="Y413" t="e">
        <f>IF(U413=0,0,IF(予定価格!G401=0,0,(U413-予定価格!H401)/予定価格!G401))</f>
        <v>#DIV/0!</v>
      </c>
      <c r="Z413" t="e">
        <f t="shared" si="114"/>
        <v>#DIV/0!</v>
      </c>
      <c r="AA413" t="e">
        <f t="shared" si="115"/>
        <v>#DIV/0!</v>
      </c>
      <c r="AB413" s="13" t="e">
        <f t="shared" si="116"/>
        <v>#DIV/0!</v>
      </c>
    </row>
    <row r="414" spans="1:28" hidden="1" x14ac:dyDescent="0.15">
      <c r="A414">
        <f>+予定価格!A402</f>
        <v>0</v>
      </c>
      <c r="B414" s="258">
        <f>ROUND(予定価格!B402*査定表!$B$437,-D414)+E414</f>
        <v>0</v>
      </c>
      <c r="C414" s="258"/>
      <c r="D414" s="45">
        <f t="shared" si="105"/>
        <v>4</v>
      </c>
      <c r="E414" s="46">
        <f t="shared" si="101"/>
        <v>0</v>
      </c>
      <c r="F414" s="258">
        <f>IF($F$12=0,0,IF(予定価格!$G$427=0,ROUND(予定価格!H402*(入力表!$F$12/予定価格!$H$431),-H414),ROUND((予定価格!G402*(入力表!$F$12-予定価格!$H$431)/予定価格!$G$431)+予定価格!H402,-H414)))+I414</f>
        <v>0</v>
      </c>
      <c r="G414" s="258"/>
      <c r="H414" s="47">
        <f t="shared" si="106"/>
        <v>4</v>
      </c>
      <c r="I414" s="48">
        <f t="shared" si="102"/>
        <v>0</v>
      </c>
      <c r="J414" s="116">
        <f t="shared" si="103"/>
        <v>0</v>
      </c>
      <c r="K414" s="19">
        <f t="shared" si="104"/>
        <v>0</v>
      </c>
      <c r="L414" s="50"/>
      <c r="M414" s="13">
        <f>ROUND(予定価格!B402*査定表!$B$437,-$F$14)</f>
        <v>0</v>
      </c>
      <c r="N414">
        <f>IF(M414=0,1,M414/予定価格!B402)</f>
        <v>1</v>
      </c>
      <c r="O414">
        <f t="shared" si="107"/>
        <v>21</v>
      </c>
      <c r="P414">
        <f t="shared" si="108"/>
        <v>0</v>
      </c>
      <c r="Q414">
        <f>IF(M414=0,0,M414/予定価格!B402)</f>
        <v>0</v>
      </c>
      <c r="R414">
        <f t="shared" si="109"/>
        <v>21</v>
      </c>
      <c r="S414">
        <f t="shared" si="110"/>
        <v>0</v>
      </c>
      <c r="T414" s="13">
        <f t="shared" si="111"/>
        <v>0</v>
      </c>
      <c r="U414" s="13" t="e">
        <f>IF(予定価格!$G$427=0,ROUND(予定価格!H402*(入力表!$F$12/予定価格!$H$431),-$F$14),ROUND((予定価格!G402*(入力表!$F$12-予定価格!$H$431)/予定価格!$G$431)+予定価格!H402,-$F$14))</f>
        <v>#DIV/0!</v>
      </c>
      <c r="V414" t="e">
        <f>IF(U414=0,1,IF(予定価格!O402=0,1,(U414-予定価格!P402)/予定価格!O402))</f>
        <v>#DIV/0!</v>
      </c>
      <c r="W414" t="e">
        <f t="shared" si="112"/>
        <v>#DIV/0!</v>
      </c>
      <c r="X414" t="e">
        <f t="shared" si="113"/>
        <v>#DIV/0!</v>
      </c>
      <c r="Y414" t="e">
        <f>IF(U414=0,0,IF(予定価格!G402=0,0,(U414-予定価格!H402)/予定価格!G402))</f>
        <v>#DIV/0!</v>
      </c>
      <c r="Z414" t="e">
        <f t="shared" si="114"/>
        <v>#DIV/0!</v>
      </c>
      <c r="AA414" t="e">
        <f t="shared" si="115"/>
        <v>#DIV/0!</v>
      </c>
      <c r="AB414" s="13" t="e">
        <f t="shared" si="116"/>
        <v>#DIV/0!</v>
      </c>
    </row>
    <row r="415" spans="1:28" hidden="1" x14ac:dyDescent="0.15">
      <c r="A415">
        <f>+予定価格!A403</f>
        <v>0</v>
      </c>
      <c r="B415" s="258">
        <f>ROUND(予定価格!B403*査定表!$B$437,-D415)+E415</f>
        <v>0</v>
      </c>
      <c r="C415" s="258"/>
      <c r="D415" s="45">
        <f t="shared" si="105"/>
        <v>4</v>
      </c>
      <c r="E415" s="46">
        <f t="shared" si="101"/>
        <v>0</v>
      </c>
      <c r="F415" s="258">
        <f>IF($F$12=0,0,IF(予定価格!$G$427=0,ROUND(予定価格!H403*(入力表!$F$12/予定価格!$H$431),-H415),ROUND((予定価格!G403*(入力表!$F$12-予定価格!$H$431)/予定価格!$G$431)+予定価格!H403,-H415)))+I415</f>
        <v>0</v>
      </c>
      <c r="G415" s="258"/>
      <c r="H415" s="47">
        <f t="shared" si="106"/>
        <v>4</v>
      </c>
      <c r="I415" s="48">
        <f t="shared" si="102"/>
        <v>0</v>
      </c>
      <c r="J415" s="116">
        <f t="shared" si="103"/>
        <v>0</v>
      </c>
      <c r="K415" s="19">
        <f t="shared" si="104"/>
        <v>0</v>
      </c>
      <c r="L415" s="50"/>
      <c r="M415" s="13">
        <f>ROUND(予定価格!B403*査定表!$B$437,-$F$14)</f>
        <v>0</v>
      </c>
      <c r="N415">
        <f>IF(M415=0,1,M415/予定価格!B403)</f>
        <v>1</v>
      </c>
      <c r="O415">
        <f t="shared" si="107"/>
        <v>21</v>
      </c>
      <c r="P415">
        <f t="shared" si="108"/>
        <v>0</v>
      </c>
      <c r="Q415">
        <f>IF(M415=0,0,M415/予定価格!B403)</f>
        <v>0</v>
      </c>
      <c r="R415">
        <f t="shared" si="109"/>
        <v>21</v>
      </c>
      <c r="S415">
        <f t="shared" si="110"/>
        <v>0</v>
      </c>
      <c r="T415" s="13">
        <f t="shared" si="111"/>
        <v>0</v>
      </c>
      <c r="U415" s="13" t="e">
        <f>IF(予定価格!$G$427=0,ROUND(予定価格!H403*(入力表!$F$12/予定価格!$H$431),-$F$14),ROUND((予定価格!G403*(入力表!$F$12-予定価格!$H$431)/予定価格!$G$431)+予定価格!H403,-$F$14))</f>
        <v>#DIV/0!</v>
      </c>
      <c r="V415" t="e">
        <f>IF(U415=0,1,IF(予定価格!O403=0,1,(U415-予定価格!P403)/予定価格!O403))</f>
        <v>#DIV/0!</v>
      </c>
      <c r="W415" t="e">
        <f t="shared" si="112"/>
        <v>#DIV/0!</v>
      </c>
      <c r="X415" t="e">
        <f t="shared" si="113"/>
        <v>#DIV/0!</v>
      </c>
      <c r="Y415" t="e">
        <f>IF(U415=0,0,IF(予定価格!G403=0,0,(U415-予定価格!H403)/予定価格!G403))</f>
        <v>#DIV/0!</v>
      </c>
      <c r="Z415" t="e">
        <f t="shared" si="114"/>
        <v>#DIV/0!</v>
      </c>
      <c r="AA415" t="e">
        <f t="shared" si="115"/>
        <v>#DIV/0!</v>
      </c>
      <c r="AB415" s="13" t="e">
        <f t="shared" si="116"/>
        <v>#DIV/0!</v>
      </c>
    </row>
    <row r="416" spans="1:28" hidden="1" x14ac:dyDescent="0.15">
      <c r="A416">
        <f>+予定価格!A404</f>
        <v>0</v>
      </c>
      <c r="B416" s="258">
        <f>ROUND(予定価格!B404*査定表!$B$437,-D416)+E416</f>
        <v>0</v>
      </c>
      <c r="C416" s="258"/>
      <c r="D416" s="45">
        <f t="shared" si="105"/>
        <v>4</v>
      </c>
      <c r="E416" s="46">
        <f t="shared" si="101"/>
        <v>0</v>
      </c>
      <c r="F416" s="258">
        <f>IF($F$12=0,0,IF(予定価格!$G$427=0,ROUND(予定価格!H404*(入力表!$F$12/予定価格!$H$431),-H416),ROUND((予定価格!G404*(入力表!$F$12-予定価格!$H$431)/予定価格!$G$431)+予定価格!H404,-H416)))+I416</f>
        <v>0</v>
      </c>
      <c r="G416" s="258"/>
      <c r="H416" s="47">
        <f t="shared" si="106"/>
        <v>4</v>
      </c>
      <c r="I416" s="48">
        <f t="shared" si="102"/>
        <v>0</v>
      </c>
      <c r="J416" s="116">
        <f t="shared" si="103"/>
        <v>0</v>
      </c>
      <c r="K416" s="19">
        <f t="shared" si="104"/>
        <v>0</v>
      </c>
      <c r="L416" s="50"/>
      <c r="M416" s="13">
        <f>ROUND(予定価格!B404*査定表!$B$437,-$F$14)</f>
        <v>0</v>
      </c>
      <c r="N416">
        <f>IF(M416=0,1,M416/予定価格!B404)</f>
        <v>1</v>
      </c>
      <c r="O416">
        <f t="shared" si="107"/>
        <v>21</v>
      </c>
      <c r="P416">
        <f t="shared" si="108"/>
        <v>0</v>
      </c>
      <c r="Q416">
        <f>IF(M416=0,0,M416/予定価格!B404)</f>
        <v>0</v>
      </c>
      <c r="R416">
        <f t="shared" si="109"/>
        <v>21</v>
      </c>
      <c r="S416">
        <f t="shared" si="110"/>
        <v>0</v>
      </c>
      <c r="T416" s="13">
        <f t="shared" si="111"/>
        <v>0</v>
      </c>
      <c r="U416" s="13" t="e">
        <f>IF(予定価格!$G$427=0,ROUND(予定価格!H404*(入力表!$F$12/予定価格!$H$431),-$F$14),ROUND((予定価格!G404*(入力表!$F$12-予定価格!$H$431)/予定価格!$G$431)+予定価格!H404,-$F$14))</f>
        <v>#DIV/0!</v>
      </c>
      <c r="V416" t="e">
        <f>IF(U416=0,1,IF(予定価格!O404=0,1,(U416-予定価格!P404)/予定価格!O404))</f>
        <v>#DIV/0!</v>
      </c>
      <c r="W416" t="e">
        <f t="shared" si="112"/>
        <v>#DIV/0!</v>
      </c>
      <c r="X416" t="e">
        <f t="shared" si="113"/>
        <v>#DIV/0!</v>
      </c>
      <c r="Y416" t="e">
        <f>IF(U416=0,0,IF(予定価格!G404=0,0,(U416-予定価格!H404)/予定価格!G404))</f>
        <v>#DIV/0!</v>
      </c>
      <c r="Z416" t="e">
        <f t="shared" si="114"/>
        <v>#DIV/0!</v>
      </c>
      <c r="AA416" t="e">
        <f t="shared" si="115"/>
        <v>#DIV/0!</v>
      </c>
      <c r="AB416" s="13" t="e">
        <f t="shared" si="116"/>
        <v>#DIV/0!</v>
      </c>
    </row>
    <row r="417" spans="1:28" hidden="1" x14ac:dyDescent="0.15">
      <c r="A417">
        <f>+予定価格!A405</f>
        <v>0</v>
      </c>
      <c r="B417" s="258">
        <f>ROUND(予定価格!B405*査定表!$B$437,-D417)+E417</f>
        <v>0</v>
      </c>
      <c r="C417" s="258"/>
      <c r="D417" s="45">
        <f t="shared" si="105"/>
        <v>4</v>
      </c>
      <c r="E417" s="46">
        <f t="shared" si="101"/>
        <v>0</v>
      </c>
      <c r="F417" s="258">
        <f>IF($F$12=0,0,IF(予定価格!$G$427=0,ROUND(予定価格!H405*(入力表!$F$12/予定価格!$H$431),-H417),ROUND((予定価格!G405*(入力表!$F$12-予定価格!$H$431)/予定価格!$G$431)+予定価格!H405,-H417)))+I417</f>
        <v>0</v>
      </c>
      <c r="G417" s="258"/>
      <c r="H417" s="47">
        <f t="shared" si="106"/>
        <v>4</v>
      </c>
      <c r="I417" s="48">
        <f t="shared" si="102"/>
        <v>0</v>
      </c>
      <c r="J417" s="116">
        <f t="shared" si="103"/>
        <v>0</v>
      </c>
      <c r="K417" s="19">
        <f t="shared" si="104"/>
        <v>0</v>
      </c>
      <c r="L417" s="50"/>
      <c r="M417" s="13">
        <f>ROUND(予定価格!B405*査定表!$B$437,-$F$14)</f>
        <v>0</v>
      </c>
      <c r="N417">
        <f>IF(M417=0,1,M417/予定価格!B405)</f>
        <v>1</v>
      </c>
      <c r="O417">
        <f t="shared" si="107"/>
        <v>21</v>
      </c>
      <c r="P417">
        <f t="shared" si="108"/>
        <v>0</v>
      </c>
      <c r="Q417">
        <f>IF(M417=0,0,M417/予定価格!B405)</f>
        <v>0</v>
      </c>
      <c r="R417">
        <f t="shared" si="109"/>
        <v>21</v>
      </c>
      <c r="S417">
        <f t="shared" si="110"/>
        <v>0</v>
      </c>
      <c r="T417" s="13">
        <f t="shared" si="111"/>
        <v>0</v>
      </c>
      <c r="U417" s="13" t="e">
        <f>IF(予定価格!$G$427=0,ROUND(予定価格!H405*(入力表!$F$12/予定価格!$H$431),-$F$14),ROUND((予定価格!G405*(入力表!$F$12-予定価格!$H$431)/予定価格!$G$431)+予定価格!H405,-$F$14))</f>
        <v>#DIV/0!</v>
      </c>
      <c r="V417" t="e">
        <f>IF(U417=0,1,IF(予定価格!O405=0,1,(U417-予定価格!P405)/予定価格!O405))</f>
        <v>#DIV/0!</v>
      </c>
      <c r="W417" t="e">
        <f t="shared" si="112"/>
        <v>#DIV/0!</v>
      </c>
      <c r="X417" t="e">
        <f t="shared" si="113"/>
        <v>#DIV/0!</v>
      </c>
      <c r="Y417" t="e">
        <f>IF(U417=0,0,IF(予定価格!G405=0,0,(U417-予定価格!H405)/予定価格!G405))</f>
        <v>#DIV/0!</v>
      </c>
      <c r="Z417" t="e">
        <f t="shared" si="114"/>
        <v>#DIV/0!</v>
      </c>
      <c r="AA417" t="e">
        <f t="shared" si="115"/>
        <v>#DIV/0!</v>
      </c>
      <c r="AB417" s="13" t="e">
        <f t="shared" si="116"/>
        <v>#DIV/0!</v>
      </c>
    </row>
    <row r="418" spans="1:28" hidden="1" x14ac:dyDescent="0.15">
      <c r="A418">
        <f>+予定価格!A406</f>
        <v>0</v>
      </c>
      <c r="B418" s="258">
        <f>ROUND(予定価格!B406*査定表!$B$437,-D418)+E418</f>
        <v>0</v>
      </c>
      <c r="C418" s="258"/>
      <c r="D418" s="45">
        <f t="shared" si="105"/>
        <v>4</v>
      </c>
      <c r="E418" s="46">
        <f t="shared" si="101"/>
        <v>0</v>
      </c>
      <c r="F418" s="258">
        <f>IF($F$12=0,0,IF(予定価格!$G$427=0,ROUND(予定価格!H406*(入力表!$F$12/予定価格!$H$431),-H418),ROUND((予定価格!G406*(入力表!$F$12-予定価格!$H$431)/予定価格!$G$431)+予定価格!H406,-H418)))+I418</f>
        <v>0</v>
      </c>
      <c r="G418" s="258"/>
      <c r="H418" s="47">
        <f t="shared" si="106"/>
        <v>4</v>
      </c>
      <c r="I418" s="48">
        <f t="shared" si="102"/>
        <v>0</v>
      </c>
      <c r="J418" s="116">
        <f t="shared" si="103"/>
        <v>0</v>
      </c>
      <c r="K418" s="19">
        <f t="shared" si="104"/>
        <v>0</v>
      </c>
      <c r="L418" s="50"/>
      <c r="M418" s="13">
        <f>ROUND(予定価格!B406*査定表!$B$437,-$F$14)</f>
        <v>0</v>
      </c>
      <c r="N418">
        <f>IF(M418=0,1,M418/予定価格!B406)</f>
        <v>1</v>
      </c>
      <c r="O418">
        <f t="shared" si="107"/>
        <v>21</v>
      </c>
      <c r="P418">
        <f t="shared" si="108"/>
        <v>0</v>
      </c>
      <c r="Q418">
        <f>IF(M418=0,0,M418/予定価格!B406)</f>
        <v>0</v>
      </c>
      <c r="R418">
        <f t="shared" si="109"/>
        <v>21</v>
      </c>
      <c r="S418">
        <f t="shared" si="110"/>
        <v>0</v>
      </c>
      <c r="T418" s="13">
        <f t="shared" si="111"/>
        <v>0</v>
      </c>
      <c r="U418" s="13" t="e">
        <f>IF(予定価格!$G$427=0,ROUND(予定価格!H406*(入力表!$F$12/予定価格!$H$431),-$F$14),ROUND((予定価格!G406*(入力表!$F$12-予定価格!$H$431)/予定価格!$G$431)+予定価格!H406,-$F$14))</f>
        <v>#DIV/0!</v>
      </c>
      <c r="V418" t="e">
        <f>IF(U418=0,1,IF(予定価格!O406=0,1,(U418-予定価格!P406)/予定価格!O406))</f>
        <v>#DIV/0!</v>
      </c>
      <c r="W418" t="e">
        <f t="shared" si="112"/>
        <v>#DIV/0!</v>
      </c>
      <c r="X418" t="e">
        <f t="shared" si="113"/>
        <v>#DIV/0!</v>
      </c>
      <c r="Y418" t="e">
        <f>IF(U418=0,0,IF(予定価格!G406=0,0,(U418-予定価格!H406)/予定価格!G406))</f>
        <v>#DIV/0!</v>
      </c>
      <c r="Z418" t="e">
        <f t="shared" si="114"/>
        <v>#DIV/0!</v>
      </c>
      <c r="AA418" t="e">
        <f t="shared" si="115"/>
        <v>#DIV/0!</v>
      </c>
      <c r="AB418" s="13" t="e">
        <f t="shared" si="116"/>
        <v>#DIV/0!</v>
      </c>
    </row>
    <row r="419" spans="1:28" hidden="1" x14ac:dyDescent="0.15">
      <c r="A419">
        <f>+予定価格!A407</f>
        <v>0</v>
      </c>
      <c r="B419" s="258">
        <f>ROUND(予定価格!B407*査定表!$B$437,-D419)+E419</f>
        <v>0</v>
      </c>
      <c r="C419" s="258"/>
      <c r="D419" s="45">
        <f t="shared" si="105"/>
        <v>4</v>
      </c>
      <c r="E419" s="46">
        <f t="shared" si="101"/>
        <v>0</v>
      </c>
      <c r="F419" s="258">
        <f>IF($F$12=0,0,IF(予定価格!$G$427=0,ROUND(予定価格!H407*(入力表!$F$12/予定価格!$H$431),-H419),ROUND((予定価格!G407*(入力表!$F$12-予定価格!$H$431)/予定価格!$G$431)+予定価格!H407,-H419)))+I419</f>
        <v>0</v>
      </c>
      <c r="G419" s="258"/>
      <c r="H419" s="47">
        <f t="shared" si="106"/>
        <v>4</v>
      </c>
      <c r="I419" s="48">
        <f t="shared" si="102"/>
        <v>0</v>
      </c>
      <c r="J419" s="116">
        <f t="shared" si="103"/>
        <v>0</v>
      </c>
      <c r="K419" s="19">
        <f t="shared" si="104"/>
        <v>0</v>
      </c>
      <c r="L419" s="50"/>
      <c r="M419" s="13">
        <f>ROUND(予定価格!B407*査定表!$B$437,-$F$14)</f>
        <v>0</v>
      </c>
      <c r="N419">
        <f>IF(M419=0,1,M419/予定価格!B407)</f>
        <v>1</v>
      </c>
      <c r="O419">
        <f t="shared" si="107"/>
        <v>21</v>
      </c>
      <c r="P419">
        <f t="shared" si="108"/>
        <v>0</v>
      </c>
      <c r="Q419">
        <f>IF(M419=0,0,M419/予定価格!B407)</f>
        <v>0</v>
      </c>
      <c r="R419">
        <f t="shared" si="109"/>
        <v>21</v>
      </c>
      <c r="S419">
        <f t="shared" si="110"/>
        <v>0</v>
      </c>
      <c r="T419" s="13">
        <f t="shared" si="111"/>
        <v>0</v>
      </c>
      <c r="U419" s="13" t="e">
        <f>IF(予定価格!$G$427=0,ROUND(予定価格!H407*(入力表!$F$12/予定価格!$H$431),-$F$14),ROUND((予定価格!G407*(入力表!$F$12-予定価格!$H$431)/予定価格!$G$431)+予定価格!H407,-$F$14))</f>
        <v>#DIV/0!</v>
      </c>
      <c r="V419" t="e">
        <f>IF(U419=0,1,IF(予定価格!O407=0,1,(U419-予定価格!P407)/予定価格!O407))</f>
        <v>#DIV/0!</v>
      </c>
      <c r="W419" t="e">
        <f t="shared" si="112"/>
        <v>#DIV/0!</v>
      </c>
      <c r="X419" t="e">
        <f t="shared" si="113"/>
        <v>#DIV/0!</v>
      </c>
      <c r="Y419" t="e">
        <f>IF(U419=0,0,IF(予定価格!G407=0,0,(U419-予定価格!H407)/予定価格!G407))</f>
        <v>#DIV/0!</v>
      </c>
      <c r="Z419" t="e">
        <f t="shared" si="114"/>
        <v>#DIV/0!</v>
      </c>
      <c r="AA419" t="e">
        <f t="shared" si="115"/>
        <v>#DIV/0!</v>
      </c>
      <c r="AB419" s="13" t="e">
        <f t="shared" si="116"/>
        <v>#DIV/0!</v>
      </c>
    </row>
    <row r="420" spans="1:28" hidden="1" x14ac:dyDescent="0.15">
      <c r="A420">
        <f>+予定価格!A408</f>
        <v>0</v>
      </c>
      <c r="B420" s="258">
        <f>ROUND(予定価格!B408*査定表!$B$437,-D420)+E420</f>
        <v>0</v>
      </c>
      <c r="C420" s="258"/>
      <c r="D420" s="45">
        <f t="shared" si="105"/>
        <v>4</v>
      </c>
      <c r="E420" s="46">
        <f t="shared" si="101"/>
        <v>0</v>
      </c>
      <c r="F420" s="258">
        <f>IF($F$12=0,0,IF(予定価格!$G$427=0,ROUND(予定価格!H408*(入力表!$F$12/予定価格!$H$431),-H420),ROUND((予定価格!G408*(入力表!$F$12-予定価格!$H$431)/予定価格!$G$431)+予定価格!H408,-H420)))+I420</f>
        <v>0</v>
      </c>
      <c r="G420" s="258"/>
      <c r="H420" s="47">
        <f t="shared" si="106"/>
        <v>4</v>
      </c>
      <c r="I420" s="48">
        <f t="shared" si="102"/>
        <v>0</v>
      </c>
      <c r="J420" s="116">
        <f t="shared" si="103"/>
        <v>0</v>
      </c>
      <c r="K420" s="19">
        <f t="shared" si="104"/>
        <v>0</v>
      </c>
      <c r="L420" s="50"/>
      <c r="M420" s="13">
        <f>ROUND(予定価格!B408*査定表!$B$437,-$F$14)</f>
        <v>0</v>
      </c>
      <c r="N420">
        <f>IF(M420=0,1,M420/予定価格!B408)</f>
        <v>1</v>
      </c>
      <c r="O420">
        <f t="shared" si="107"/>
        <v>21</v>
      </c>
      <c r="P420">
        <f t="shared" si="108"/>
        <v>0</v>
      </c>
      <c r="Q420">
        <f>IF(M420=0,0,M420/予定価格!B408)</f>
        <v>0</v>
      </c>
      <c r="R420">
        <f t="shared" si="109"/>
        <v>21</v>
      </c>
      <c r="S420">
        <f t="shared" si="110"/>
        <v>0</v>
      </c>
      <c r="T420" s="13">
        <f t="shared" si="111"/>
        <v>0</v>
      </c>
      <c r="U420" s="13" t="e">
        <f>IF(予定価格!$G$427=0,ROUND(予定価格!H408*(入力表!$F$12/予定価格!$H$431),-$F$14),ROUND((予定価格!G408*(入力表!$F$12-予定価格!$H$431)/予定価格!$G$431)+予定価格!H408,-$F$14))</f>
        <v>#DIV/0!</v>
      </c>
      <c r="V420" t="e">
        <f>IF(U420=0,1,IF(予定価格!O408=0,1,(U420-予定価格!P408)/予定価格!O408))</f>
        <v>#DIV/0!</v>
      </c>
      <c r="W420" t="e">
        <f t="shared" si="112"/>
        <v>#DIV/0!</v>
      </c>
      <c r="X420" t="e">
        <f t="shared" si="113"/>
        <v>#DIV/0!</v>
      </c>
      <c r="Y420" t="e">
        <f>IF(U420=0,0,IF(予定価格!G408=0,0,(U420-予定価格!H408)/予定価格!G408))</f>
        <v>#DIV/0!</v>
      </c>
      <c r="Z420" t="e">
        <f t="shared" si="114"/>
        <v>#DIV/0!</v>
      </c>
      <c r="AA420" t="e">
        <f t="shared" si="115"/>
        <v>#DIV/0!</v>
      </c>
      <c r="AB420" s="13" t="e">
        <f t="shared" si="116"/>
        <v>#DIV/0!</v>
      </c>
    </row>
    <row r="421" spans="1:28" hidden="1" x14ac:dyDescent="0.15">
      <c r="A421">
        <f>+予定価格!A409</f>
        <v>0</v>
      </c>
      <c r="B421" s="258">
        <f>ROUND(予定価格!B409*査定表!$B$437,-D421)+E421</f>
        <v>0</v>
      </c>
      <c r="C421" s="258"/>
      <c r="D421" s="45">
        <f t="shared" si="105"/>
        <v>4</v>
      </c>
      <c r="E421" s="46">
        <f t="shared" si="101"/>
        <v>0</v>
      </c>
      <c r="F421" s="258">
        <f>IF($F$12=0,0,IF(予定価格!$G$427=0,ROUND(予定価格!H409*(入力表!$F$12/予定価格!$H$431),-H421),ROUND((予定価格!G409*(入力表!$F$12-予定価格!$H$431)/予定価格!$G$431)+予定価格!H409,-H421)))+I421</f>
        <v>0</v>
      </c>
      <c r="G421" s="258"/>
      <c r="H421" s="47">
        <f t="shared" si="106"/>
        <v>4</v>
      </c>
      <c r="I421" s="48">
        <f t="shared" si="102"/>
        <v>0</v>
      </c>
      <c r="J421" s="116">
        <f t="shared" si="103"/>
        <v>0</v>
      </c>
      <c r="K421" s="19">
        <f t="shared" si="104"/>
        <v>0</v>
      </c>
      <c r="L421" s="50"/>
      <c r="M421" s="13">
        <f>ROUND(予定価格!B409*査定表!$B$437,-$F$14)</f>
        <v>0</v>
      </c>
      <c r="N421">
        <f>IF(M421=0,1,M421/予定価格!B409)</f>
        <v>1</v>
      </c>
      <c r="O421">
        <f t="shared" si="107"/>
        <v>21</v>
      </c>
      <c r="P421">
        <f t="shared" si="108"/>
        <v>0</v>
      </c>
      <c r="Q421">
        <f>IF(M421=0,0,M421/予定価格!B409)</f>
        <v>0</v>
      </c>
      <c r="R421">
        <f t="shared" si="109"/>
        <v>21</v>
      </c>
      <c r="S421">
        <f t="shared" si="110"/>
        <v>0</v>
      </c>
      <c r="T421" s="13">
        <f t="shared" si="111"/>
        <v>0</v>
      </c>
      <c r="U421" s="13" t="e">
        <f>IF(予定価格!$G$427=0,ROUND(予定価格!H409*(入力表!$F$12/予定価格!$H$431),-$F$14),ROUND((予定価格!G409*(入力表!$F$12-予定価格!$H$431)/予定価格!$G$431)+予定価格!H409,-$F$14))</f>
        <v>#DIV/0!</v>
      </c>
      <c r="V421" t="e">
        <f>IF(U421=0,1,IF(予定価格!O409=0,1,(U421-予定価格!P409)/予定価格!O409))</f>
        <v>#DIV/0!</v>
      </c>
      <c r="W421" t="e">
        <f t="shared" si="112"/>
        <v>#DIV/0!</v>
      </c>
      <c r="X421" t="e">
        <f t="shared" si="113"/>
        <v>#DIV/0!</v>
      </c>
      <c r="Y421" t="e">
        <f>IF(U421=0,0,IF(予定価格!G409=0,0,(U421-予定価格!H409)/予定価格!G409))</f>
        <v>#DIV/0!</v>
      </c>
      <c r="Z421" t="e">
        <f t="shared" si="114"/>
        <v>#DIV/0!</v>
      </c>
      <c r="AA421" t="e">
        <f t="shared" si="115"/>
        <v>#DIV/0!</v>
      </c>
      <c r="AB421" s="13" t="e">
        <f t="shared" si="116"/>
        <v>#DIV/0!</v>
      </c>
    </row>
    <row r="422" spans="1:28" hidden="1" x14ac:dyDescent="0.15">
      <c r="A422">
        <f>+予定価格!A410</f>
        <v>0</v>
      </c>
      <c r="B422" s="258">
        <f>ROUND(予定価格!B410*査定表!$B$437,-D422)+E422</f>
        <v>0</v>
      </c>
      <c r="C422" s="258"/>
      <c r="D422" s="45">
        <f t="shared" si="105"/>
        <v>4</v>
      </c>
      <c r="E422" s="46">
        <f t="shared" si="101"/>
        <v>0</v>
      </c>
      <c r="F422" s="258">
        <f>IF($F$12=0,0,IF(予定価格!$G$427=0,ROUND(予定価格!H410*(入力表!$F$12/予定価格!$H$431),-H422),ROUND((予定価格!G410*(入力表!$F$12-予定価格!$H$431)/予定価格!$G$431)+予定価格!H410,-H422)))+I422</f>
        <v>0</v>
      </c>
      <c r="G422" s="258"/>
      <c r="H422" s="47">
        <f t="shared" si="106"/>
        <v>4</v>
      </c>
      <c r="I422" s="48">
        <f t="shared" si="102"/>
        <v>0</v>
      </c>
      <c r="J422" s="116">
        <f t="shared" si="103"/>
        <v>0</v>
      </c>
      <c r="K422" s="19">
        <f t="shared" si="104"/>
        <v>0</v>
      </c>
      <c r="L422" s="50"/>
      <c r="M422" s="13">
        <f>ROUND(予定価格!B410*査定表!$B$437,-$F$14)</f>
        <v>0</v>
      </c>
      <c r="N422">
        <f>IF(M422=0,1,M422/予定価格!B410)</f>
        <v>1</v>
      </c>
      <c r="O422">
        <f t="shared" si="107"/>
        <v>21</v>
      </c>
      <c r="P422">
        <f t="shared" si="108"/>
        <v>0</v>
      </c>
      <c r="Q422">
        <f>IF(M422=0,0,M422/予定価格!B410)</f>
        <v>0</v>
      </c>
      <c r="R422">
        <f t="shared" si="109"/>
        <v>21</v>
      </c>
      <c r="S422">
        <f t="shared" si="110"/>
        <v>0</v>
      </c>
      <c r="T422" s="13">
        <f t="shared" si="111"/>
        <v>0</v>
      </c>
      <c r="U422" s="13" t="e">
        <f>IF(予定価格!$G$427=0,ROUND(予定価格!H410*(入力表!$F$12/予定価格!$H$431),-$F$14),ROUND((予定価格!G410*(入力表!$F$12-予定価格!$H$431)/予定価格!$G$431)+予定価格!H410,-$F$14))</f>
        <v>#DIV/0!</v>
      </c>
      <c r="V422" t="e">
        <f>IF(U422=0,1,IF(予定価格!O410=0,1,(U422-予定価格!P410)/予定価格!O410))</f>
        <v>#DIV/0!</v>
      </c>
      <c r="W422" t="e">
        <f t="shared" si="112"/>
        <v>#DIV/0!</v>
      </c>
      <c r="X422" t="e">
        <f t="shared" si="113"/>
        <v>#DIV/0!</v>
      </c>
      <c r="Y422" t="e">
        <f>IF(U422=0,0,IF(予定価格!G410=0,0,(U422-予定価格!H410)/予定価格!G410))</f>
        <v>#DIV/0!</v>
      </c>
      <c r="Z422" t="e">
        <f t="shared" si="114"/>
        <v>#DIV/0!</v>
      </c>
      <c r="AA422" t="e">
        <f t="shared" si="115"/>
        <v>#DIV/0!</v>
      </c>
      <c r="AB422" s="13" t="e">
        <f t="shared" si="116"/>
        <v>#DIV/0!</v>
      </c>
    </row>
    <row r="423" spans="1:28" hidden="1" x14ac:dyDescent="0.15">
      <c r="A423">
        <f>+予定価格!A411</f>
        <v>0</v>
      </c>
      <c r="B423" s="258">
        <f>ROUND(予定価格!B411*査定表!$B$437,-D423)+E423</f>
        <v>0</v>
      </c>
      <c r="C423" s="258"/>
      <c r="D423" s="45">
        <f t="shared" si="105"/>
        <v>4</v>
      </c>
      <c r="E423" s="46">
        <f t="shared" si="101"/>
        <v>0</v>
      </c>
      <c r="F423" s="258">
        <f>IF($F$12=0,0,IF(予定価格!$G$427=0,ROUND(予定価格!H411*(入力表!$F$12/予定価格!$H$431),-H423),ROUND((予定価格!G411*(入力表!$F$12-予定価格!$H$431)/予定価格!$G$431)+予定価格!H411,-H423)))+I423</f>
        <v>0</v>
      </c>
      <c r="G423" s="258"/>
      <c r="H423" s="47">
        <f t="shared" si="106"/>
        <v>4</v>
      </c>
      <c r="I423" s="48">
        <f t="shared" si="102"/>
        <v>0</v>
      </c>
      <c r="J423" s="116">
        <f t="shared" si="103"/>
        <v>0</v>
      </c>
      <c r="K423" s="19">
        <f t="shared" si="104"/>
        <v>0</v>
      </c>
      <c r="L423" s="50"/>
      <c r="M423" s="13">
        <f>ROUND(予定価格!B411*査定表!$B$437,-$F$14)</f>
        <v>0</v>
      </c>
      <c r="N423">
        <f>IF(M423=0,1,M423/予定価格!B411)</f>
        <v>1</v>
      </c>
      <c r="O423">
        <f t="shared" si="107"/>
        <v>21</v>
      </c>
      <c r="P423">
        <f t="shared" si="108"/>
        <v>0</v>
      </c>
      <c r="Q423">
        <f>IF(M423=0,0,M423/予定価格!B411)</f>
        <v>0</v>
      </c>
      <c r="R423">
        <f t="shared" si="109"/>
        <v>21</v>
      </c>
      <c r="S423">
        <f t="shared" si="110"/>
        <v>0</v>
      </c>
      <c r="T423" s="13">
        <f t="shared" si="111"/>
        <v>0</v>
      </c>
      <c r="U423" s="13" t="e">
        <f>IF(予定価格!$G$427=0,ROUND(予定価格!H411*(入力表!$F$12/予定価格!$H$431),-$F$14),ROUND((予定価格!G411*(入力表!$F$12-予定価格!$H$431)/予定価格!$G$431)+予定価格!H411,-$F$14))</f>
        <v>#DIV/0!</v>
      </c>
      <c r="V423" t="e">
        <f>IF(U423=0,1,IF(予定価格!O411=0,1,(U423-予定価格!P411)/予定価格!O411))</f>
        <v>#DIV/0!</v>
      </c>
      <c r="W423" t="e">
        <f t="shared" si="112"/>
        <v>#DIV/0!</v>
      </c>
      <c r="X423" t="e">
        <f t="shared" si="113"/>
        <v>#DIV/0!</v>
      </c>
      <c r="Y423" t="e">
        <f>IF(U423=0,0,IF(予定価格!G411=0,0,(U423-予定価格!H411)/予定価格!G411))</f>
        <v>#DIV/0!</v>
      </c>
      <c r="Z423" t="e">
        <f t="shared" si="114"/>
        <v>#DIV/0!</v>
      </c>
      <c r="AA423" t="e">
        <f t="shared" si="115"/>
        <v>#DIV/0!</v>
      </c>
      <c r="AB423" s="13" t="e">
        <f t="shared" si="116"/>
        <v>#DIV/0!</v>
      </c>
    </row>
    <row r="424" spans="1:28" hidden="1" x14ac:dyDescent="0.15">
      <c r="A424">
        <f>+予定価格!A412</f>
        <v>0</v>
      </c>
      <c r="B424" s="258">
        <f>ROUND(予定価格!B412*査定表!$B$437,-D424)+E424</f>
        <v>0</v>
      </c>
      <c r="C424" s="258"/>
      <c r="D424" s="45">
        <f t="shared" si="105"/>
        <v>4</v>
      </c>
      <c r="E424" s="46">
        <f t="shared" si="101"/>
        <v>0</v>
      </c>
      <c r="F424" s="258">
        <f>IF($F$12=0,0,IF(予定価格!$G$427=0,ROUND(予定価格!H412*(入力表!$F$12/予定価格!$H$431),-H424),ROUND((予定価格!G412*(入力表!$F$12-予定価格!$H$431)/予定価格!$G$431)+予定価格!H412,-H424)))+I424</f>
        <v>0</v>
      </c>
      <c r="G424" s="258"/>
      <c r="H424" s="47">
        <f t="shared" si="106"/>
        <v>4</v>
      </c>
      <c r="I424" s="48">
        <f t="shared" si="102"/>
        <v>0</v>
      </c>
      <c r="J424" s="116">
        <f t="shared" si="103"/>
        <v>0</v>
      </c>
      <c r="K424" s="19">
        <f t="shared" si="104"/>
        <v>0</v>
      </c>
      <c r="L424" s="50"/>
      <c r="M424" s="13">
        <f>ROUND(予定価格!B412*査定表!$B$437,-$F$14)</f>
        <v>0</v>
      </c>
      <c r="N424">
        <f>IF(M424=0,1,M424/予定価格!B412)</f>
        <v>1</v>
      </c>
      <c r="O424">
        <f t="shared" si="107"/>
        <v>21</v>
      </c>
      <c r="P424">
        <f t="shared" si="108"/>
        <v>0</v>
      </c>
      <c r="Q424">
        <f>IF(M424=0,0,M424/予定価格!B412)</f>
        <v>0</v>
      </c>
      <c r="R424">
        <f t="shared" si="109"/>
        <v>21</v>
      </c>
      <c r="S424">
        <f t="shared" si="110"/>
        <v>0</v>
      </c>
      <c r="T424" s="13">
        <f t="shared" si="111"/>
        <v>0</v>
      </c>
      <c r="U424" s="13" t="e">
        <f>IF(予定価格!$G$427=0,ROUND(予定価格!H412*(入力表!$F$12/予定価格!$H$431),-$F$14),ROUND((予定価格!G412*(入力表!$F$12-予定価格!$H$431)/予定価格!$G$431)+予定価格!H412,-$F$14))</f>
        <v>#DIV/0!</v>
      </c>
      <c r="V424" t="e">
        <f>IF(U424=0,1,IF(予定価格!O412=0,1,(U424-予定価格!P412)/予定価格!O412))</f>
        <v>#DIV/0!</v>
      </c>
      <c r="W424" t="e">
        <f t="shared" si="112"/>
        <v>#DIV/0!</v>
      </c>
      <c r="X424" t="e">
        <f t="shared" si="113"/>
        <v>#DIV/0!</v>
      </c>
      <c r="Y424" t="e">
        <f>IF(U424=0,0,IF(予定価格!G412=0,0,(U424-予定価格!H412)/予定価格!G412))</f>
        <v>#DIV/0!</v>
      </c>
      <c r="Z424" t="e">
        <f t="shared" si="114"/>
        <v>#DIV/0!</v>
      </c>
      <c r="AA424" t="e">
        <f t="shared" si="115"/>
        <v>#DIV/0!</v>
      </c>
      <c r="AB424" s="13" t="e">
        <f t="shared" si="116"/>
        <v>#DIV/0!</v>
      </c>
    </row>
    <row r="425" spans="1:28" hidden="1" x14ac:dyDescent="0.15">
      <c r="A425">
        <f>+予定価格!A413</f>
        <v>0</v>
      </c>
      <c r="B425" s="258">
        <f>ROUND(予定価格!B413*査定表!$B$437,-D425)+E425</f>
        <v>0</v>
      </c>
      <c r="C425" s="258"/>
      <c r="D425" s="45">
        <f t="shared" si="105"/>
        <v>4</v>
      </c>
      <c r="E425" s="46">
        <f t="shared" si="101"/>
        <v>0</v>
      </c>
      <c r="F425" s="258">
        <f>IF($F$12=0,0,IF(予定価格!$G$427=0,ROUND(予定価格!H413*(入力表!$F$12/予定価格!$H$431),-H425),ROUND((予定価格!G413*(入力表!$F$12-予定価格!$H$431)/予定価格!$G$431)+予定価格!H413,-H425)))+I425</f>
        <v>0</v>
      </c>
      <c r="G425" s="258"/>
      <c r="H425" s="47">
        <f t="shared" si="106"/>
        <v>4</v>
      </c>
      <c r="I425" s="48">
        <f t="shared" si="102"/>
        <v>0</v>
      </c>
      <c r="J425" s="116">
        <f t="shared" si="103"/>
        <v>0</v>
      </c>
      <c r="K425" s="19">
        <f t="shared" si="104"/>
        <v>0</v>
      </c>
      <c r="L425" s="50"/>
      <c r="M425" s="13">
        <f>ROUND(予定価格!B413*査定表!$B$437,-$F$14)</f>
        <v>0</v>
      </c>
      <c r="N425">
        <f>IF(M425=0,1,M425/予定価格!B413)</f>
        <v>1</v>
      </c>
      <c r="O425">
        <f t="shared" si="107"/>
        <v>21</v>
      </c>
      <c r="P425">
        <f t="shared" si="108"/>
        <v>0</v>
      </c>
      <c r="Q425">
        <f>IF(M425=0,0,M425/予定価格!B413)</f>
        <v>0</v>
      </c>
      <c r="R425">
        <f t="shared" si="109"/>
        <v>21</v>
      </c>
      <c r="S425">
        <f t="shared" si="110"/>
        <v>0</v>
      </c>
      <c r="T425" s="13">
        <f t="shared" si="111"/>
        <v>0</v>
      </c>
      <c r="U425" s="13" t="e">
        <f>IF(予定価格!$G$427=0,ROUND(予定価格!H413*(入力表!$F$12/予定価格!$H$431),-$F$14),ROUND((予定価格!G413*(入力表!$F$12-予定価格!$H$431)/予定価格!$G$431)+予定価格!H413,-$F$14))</f>
        <v>#DIV/0!</v>
      </c>
      <c r="V425" t="e">
        <f>IF(U425=0,1,IF(予定価格!O413=0,1,(U425-予定価格!P413)/予定価格!O413))</f>
        <v>#DIV/0!</v>
      </c>
      <c r="W425" t="e">
        <f t="shared" si="112"/>
        <v>#DIV/0!</v>
      </c>
      <c r="X425" t="e">
        <f t="shared" si="113"/>
        <v>#DIV/0!</v>
      </c>
      <c r="Y425" t="e">
        <f>IF(U425=0,0,IF(予定価格!G413=0,0,(U425-予定価格!H413)/予定価格!G413))</f>
        <v>#DIV/0!</v>
      </c>
      <c r="Z425" t="e">
        <f t="shared" si="114"/>
        <v>#DIV/0!</v>
      </c>
      <c r="AA425" t="e">
        <f t="shared" si="115"/>
        <v>#DIV/0!</v>
      </c>
      <c r="AB425" s="13" t="e">
        <f t="shared" si="116"/>
        <v>#DIV/0!</v>
      </c>
    </row>
    <row r="426" spans="1:28" hidden="1" x14ac:dyDescent="0.15">
      <c r="A426">
        <f>+予定価格!A414</f>
        <v>0</v>
      </c>
      <c r="B426" s="258">
        <f>ROUND(予定価格!B414*査定表!$B$437,-D426)+E426</f>
        <v>0</v>
      </c>
      <c r="C426" s="258"/>
      <c r="D426" s="45">
        <f t="shared" si="105"/>
        <v>4</v>
      </c>
      <c r="E426" s="46">
        <f t="shared" si="101"/>
        <v>0</v>
      </c>
      <c r="F426" s="258">
        <f>IF($F$12=0,0,IF(予定価格!$G$427=0,ROUND(予定価格!H414*(入力表!$F$12/予定価格!$H$431),-H426),ROUND((予定価格!G414*(入力表!$F$12-予定価格!$H$431)/予定価格!$G$431)+予定価格!H414,-H426)))+I426</f>
        <v>0</v>
      </c>
      <c r="G426" s="258"/>
      <c r="H426" s="47">
        <f t="shared" si="106"/>
        <v>4</v>
      </c>
      <c r="I426" s="48">
        <f t="shared" si="102"/>
        <v>0</v>
      </c>
      <c r="J426" s="116">
        <f t="shared" si="103"/>
        <v>0</v>
      </c>
      <c r="K426" s="19">
        <f t="shared" si="104"/>
        <v>0</v>
      </c>
      <c r="L426" s="50"/>
      <c r="M426" s="13">
        <f>ROUND(予定価格!B414*査定表!$B$437,-$F$14)</f>
        <v>0</v>
      </c>
      <c r="N426">
        <f>IF(M426=0,1,M426/予定価格!B414)</f>
        <v>1</v>
      </c>
      <c r="O426">
        <f t="shared" si="107"/>
        <v>21</v>
      </c>
      <c r="P426">
        <f t="shared" si="108"/>
        <v>0</v>
      </c>
      <c r="Q426">
        <f>IF(M426=0,0,M426/予定価格!B414)</f>
        <v>0</v>
      </c>
      <c r="R426">
        <f t="shared" si="109"/>
        <v>21</v>
      </c>
      <c r="S426">
        <f t="shared" si="110"/>
        <v>0</v>
      </c>
      <c r="T426" s="13">
        <f t="shared" si="111"/>
        <v>0</v>
      </c>
      <c r="U426" s="13" t="e">
        <f>IF(予定価格!$G$427=0,ROUND(予定価格!H414*(入力表!$F$12/予定価格!$H$431),-$F$14),ROUND((予定価格!G414*(入力表!$F$12-予定価格!$H$431)/予定価格!$G$431)+予定価格!H414,-$F$14))</f>
        <v>#DIV/0!</v>
      </c>
      <c r="V426" t="e">
        <f>IF(U426=0,1,IF(予定価格!O414=0,1,(U426-予定価格!P414)/予定価格!O414))</f>
        <v>#DIV/0!</v>
      </c>
      <c r="W426" t="e">
        <f t="shared" si="112"/>
        <v>#DIV/0!</v>
      </c>
      <c r="X426" t="e">
        <f t="shared" si="113"/>
        <v>#DIV/0!</v>
      </c>
      <c r="Y426" t="e">
        <f>IF(U426=0,0,IF(予定価格!G414=0,0,(U426-予定価格!H414)/予定価格!G414))</f>
        <v>#DIV/0!</v>
      </c>
      <c r="Z426" t="e">
        <f t="shared" si="114"/>
        <v>#DIV/0!</v>
      </c>
      <c r="AA426" t="e">
        <f t="shared" si="115"/>
        <v>#DIV/0!</v>
      </c>
      <c r="AB426" s="13" t="e">
        <f t="shared" si="116"/>
        <v>#DIV/0!</v>
      </c>
    </row>
    <row r="427" spans="1:28" hidden="1" x14ac:dyDescent="0.15">
      <c r="A427">
        <f>+予定価格!A415</f>
        <v>0</v>
      </c>
      <c r="B427" s="258">
        <f>ROUND(予定価格!B415*査定表!$B$437,-D427)+E427</f>
        <v>0</v>
      </c>
      <c r="C427" s="258"/>
      <c r="D427" s="45">
        <f t="shared" si="105"/>
        <v>4</v>
      </c>
      <c r="E427" s="46">
        <f t="shared" si="101"/>
        <v>0</v>
      </c>
      <c r="F427" s="258">
        <f>IF($F$12=0,0,IF(予定価格!$G$427=0,ROUND(予定価格!H415*(入力表!$F$12/予定価格!$H$431),-H427),ROUND((予定価格!G415*(入力表!$F$12-予定価格!$H$431)/予定価格!$G$431)+予定価格!H415,-H427)))+I427</f>
        <v>0</v>
      </c>
      <c r="G427" s="258"/>
      <c r="H427" s="47">
        <f t="shared" si="106"/>
        <v>4</v>
      </c>
      <c r="I427" s="48">
        <f t="shared" si="102"/>
        <v>0</v>
      </c>
      <c r="J427" s="116">
        <f t="shared" si="103"/>
        <v>0</v>
      </c>
      <c r="K427" s="19">
        <f t="shared" si="104"/>
        <v>0</v>
      </c>
      <c r="L427" s="50"/>
      <c r="M427" s="13">
        <f>ROUND(予定価格!B415*査定表!$B$437,-$F$14)</f>
        <v>0</v>
      </c>
      <c r="N427">
        <f>IF(M427=0,1,M427/予定価格!B415)</f>
        <v>1</v>
      </c>
      <c r="O427">
        <f t="shared" si="107"/>
        <v>21</v>
      </c>
      <c r="P427">
        <f t="shared" si="108"/>
        <v>0</v>
      </c>
      <c r="Q427">
        <f>IF(M427=0,0,M427/予定価格!B415)</f>
        <v>0</v>
      </c>
      <c r="R427">
        <f t="shared" si="109"/>
        <v>21</v>
      </c>
      <c r="S427">
        <f t="shared" si="110"/>
        <v>0</v>
      </c>
      <c r="T427" s="13">
        <f t="shared" si="111"/>
        <v>0</v>
      </c>
      <c r="U427" s="13" t="e">
        <f>IF(予定価格!$G$427=0,ROUND(予定価格!H415*(入力表!$F$12/予定価格!$H$431),-$F$14),ROUND((予定価格!G415*(入力表!$F$12-予定価格!$H$431)/予定価格!$G$431)+予定価格!H415,-$F$14))</f>
        <v>#DIV/0!</v>
      </c>
      <c r="V427" t="e">
        <f>IF(U427=0,1,IF(予定価格!O415=0,1,(U427-予定価格!P415)/予定価格!O415))</f>
        <v>#DIV/0!</v>
      </c>
      <c r="W427" t="e">
        <f t="shared" si="112"/>
        <v>#DIV/0!</v>
      </c>
      <c r="X427" t="e">
        <f t="shared" si="113"/>
        <v>#DIV/0!</v>
      </c>
      <c r="Y427" t="e">
        <f>IF(U427=0,0,IF(予定価格!G415=0,0,(U427-予定価格!H415)/予定価格!G415))</f>
        <v>#DIV/0!</v>
      </c>
      <c r="Z427" t="e">
        <f t="shared" si="114"/>
        <v>#DIV/0!</v>
      </c>
      <c r="AA427" t="e">
        <f t="shared" si="115"/>
        <v>#DIV/0!</v>
      </c>
      <c r="AB427" s="13" t="e">
        <f t="shared" si="116"/>
        <v>#DIV/0!</v>
      </c>
    </row>
    <row r="428" spans="1:28" hidden="1" x14ac:dyDescent="0.15">
      <c r="A428">
        <f>+予定価格!A416</f>
        <v>0</v>
      </c>
      <c r="B428" s="258">
        <f>ROUND(予定価格!B416*査定表!$B$437,-D428)+E428</f>
        <v>0</v>
      </c>
      <c r="C428" s="258"/>
      <c r="D428" s="45">
        <f t="shared" si="105"/>
        <v>4</v>
      </c>
      <c r="E428" s="46">
        <f t="shared" si="101"/>
        <v>0</v>
      </c>
      <c r="F428" s="258">
        <f>IF($F$12=0,0,IF(予定価格!$G$427=0,ROUND(予定価格!H416*(入力表!$F$12/予定価格!$H$431),-H428),ROUND((予定価格!G416*(入力表!$F$12-予定価格!$H$431)/予定価格!$G$431)+予定価格!H416,-H428)))+I428</f>
        <v>0</v>
      </c>
      <c r="G428" s="258"/>
      <c r="H428" s="47">
        <f t="shared" si="106"/>
        <v>4</v>
      </c>
      <c r="I428" s="48">
        <f t="shared" si="102"/>
        <v>0</v>
      </c>
      <c r="J428" s="116">
        <f t="shared" si="103"/>
        <v>0</v>
      </c>
      <c r="K428" s="19">
        <f t="shared" si="104"/>
        <v>0</v>
      </c>
      <c r="L428" s="50"/>
      <c r="M428" s="13">
        <f>ROUND(予定価格!B416*査定表!$B$437,-$F$14)</f>
        <v>0</v>
      </c>
      <c r="N428">
        <f>IF(M428=0,1,M428/予定価格!B416)</f>
        <v>1</v>
      </c>
      <c r="O428">
        <f t="shared" si="107"/>
        <v>21</v>
      </c>
      <c r="P428">
        <f t="shared" si="108"/>
        <v>0</v>
      </c>
      <c r="Q428">
        <f>IF(M428=0,0,M428/予定価格!B416)</f>
        <v>0</v>
      </c>
      <c r="R428">
        <f t="shared" si="109"/>
        <v>21</v>
      </c>
      <c r="S428">
        <f t="shared" si="110"/>
        <v>0</v>
      </c>
      <c r="T428" s="13">
        <f t="shared" si="111"/>
        <v>0</v>
      </c>
      <c r="U428" s="13" t="e">
        <f>IF(予定価格!$G$427=0,ROUND(予定価格!H416*(入力表!$F$12/予定価格!$H$431),-$F$14),ROUND((予定価格!G416*(入力表!$F$12-予定価格!$H$431)/予定価格!$G$431)+予定価格!H416,-$F$14))</f>
        <v>#DIV/0!</v>
      </c>
      <c r="V428" t="e">
        <f>IF(U428=0,1,IF(予定価格!O416=0,1,(U428-予定価格!P416)/予定価格!O416))</f>
        <v>#DIV/0!</v>
      </c>
      <c r="W428" t="e">
        <f t="shared" si="112"/>
        <v>#DIV/0!</v>
      </c>
      <c r="X428" t="e">
        <f t="shared" si="113"/>
        <v>#DIV/0!</v>
      </c>
      <c r="Y428" t="e">
        <f>IF(U428=0,0,IF(予定価格!G416=0,0,(U428-予定価格!H416)/予定価格!G416))</f>
        <v>#DIV/0!</v>
      </c>
      <c r="Z428" t="e">
        <f t="shared" si="114"/>
        <v>#DIV/0!</v>
      </c>
      <c r="AA428" t="e">
        <f t="shared" si="115"/>
        <v>#DIV/0!</v>
      </c>
      <c r="AB428" s="13" t="e">
        <f t="shared" si="116"/>
        <v>#DIV/0!</v>
      </c>
    </row>
    <row r="429" spans="1:28" hidden="1" x14ac:dyDescent="0.15">
      <c r="A429">
        <f>+予定価格!A417</f>
        <v>0</v>
      </c>
      <c r="B429" s="258">
        <f>ROUND(予定価格!B417*査定表!$B$437,-D429)+E429</f>
        <v>0</v>
      </c>
      <c r="C429" s="258"/>
      <c r="D429" s="45">
        <f t="shared" si="105"/>
        <v>4</v>
      </c>
      <c r="E429" s="46">
        <f t="shared" si="101"/>
        <v>0</v>
      </c>
      <c r="F429" s="258">
        <f>IF($F$12=0,0,IF(予定価格!$G$427=0,ROUND(予定価格!H417*(入力表!$F$12/予定価格!$H$431),-H429),ROUND((予定価格!G417*(入力表!$F$12-予定価格!$H$431)/予定価格!$G$431)+予定価格!H417,-H429)))+I429</f>
        <v>0</v>
      </c>
      <c r="G429" s="258"/>
      <c r="H429" s="47">
        <f t="shared" si="106"/>
        <v>4</v>
      </c>
      <c r="I429" s="48">
        <f t="shared" si="102"/>
        <v>0</v>
      </c>
      <c r="J429" s="116">
        <f t="shared" si="103"/>
        <v>0</v>
      </c>
      <c r="K429" s="19">
        <f t="shared" si="104"/>
        <v>0</v>
      </c>
      <c r="L429" s="50"/>
      <c r="M429" s="13">
        <f>ROUND(予定価格!B417*査定表!$B$437,-$F$14)</f>
        <v>0</v>
      </c>
      <c r="N429">
        <f>IF(M429=0,1,M429/予定価格!B417)</f>
        <v>1</v>
      </c>
      <c r="O429">
        <f t="shared" si="107"/>
        <v>21</v>
      </c>
      <c r="P429">
        <f t="shared" si="108"/>
        <v>0</v>
      </c>
      <c r="Q429">
        <f>IF(M429=0,0,M429/予定価格!B417)</f>
        <v>0</v>
      </c>
      <c r="R429">
        <f t="shared" si="109"/>
        <v>21</v>
      </c>
      <c r="S429">
        <f t="shared" si="110"/>
        <v>0</v>
      </c>
      <c r="T429" s="13">
        <f t="shared" si="111"/>
        <v>0</v>
      </c>
      <c r="U429" s="13" t="e">
        <f>IF(予定価格!$G$427=0,ROUND(予定価格!H417*(入力表!$F$12/予定価格!$H$431),-$F$14),ROUND((予定価格!G417*(入力表!$F$12-予定価格!$H$431)/予定価格!$G$431)+予定価格!H417,-$F$14))</f>
        <v>#DIV/0!</v>
      </c>
      <c r="V429" t="e">
        <f>IF(U429=0,1,IF(予定価格!O417=0,1,(U429-予定価格!P417)/予定価格!O417))</f>
        <v>#DIV/0!</v>
      </c>
      <c r="W429" t="e">
        <f t="shared" si="112"/>
        <v>#DIV/0!</v>
      </c>
      <c r="X429" t="e">
        <f t="shared" si="113"/>
        <v>#DIV/0!</v>
      </c>
      <c r="Y429" t="e">
        <f>IF(U429=0,0,IF(予定価格!G417=0,0,(U429-予定価格!H417)/予定価格!G417))</f>
        <v>#DIV/0!</v>
      </c>
      <c r="Z429" t="e">
        <f t="shared" si="114"/>
        <v>#DIV/0!</v>
      </c>
      <c r="AA429" t="e">
        <f t="shared" si="115"/>
        <v>#DIV/0!</v>
      </c>
      <c r="AB429" s="13" t="e">
        <f t="shared" si="116"/>
        <v>#DIV/0!</v>
      </c>
    </row>
    <row r="430" spans="1:28" hidden="1" x14ac:dyDescent="0.15">
      <c r="A430">
        <f>+予定価格!A418</f>
        <v>0</v>
      </c>
      <c r="B430" s="258">
        <f>ROUND(予定価格!B418*査定表!$B$437,-D430)+E430</f>
        <v>0</v>
      </c>
      <c r="C430" s="258"/>
      <c r="D430" s="45">
        <f t="shared" si="105"/>
        <v>4</v>
      </c>
      <c r="E430" s="46">
        <f t="shared" si="101"/>
        <v>0</v>
      </c>
      <c r="F430" s="258">
        <f>IF($F$12=0,0,IF(予定価格!$G$427=0,ROUND(予定価格!H418*(入力表!$F$12/予定価格!$H$431),-H430),ROUND((予定価格!G418*(入力表!$F$12-予定価格!$H$431)/予定価格!$G$431)+予定価格!H418,-H430)))+I430</f>
        <v>0</v>
      </c>
      <c r="G430" s="258"/>
      <c r="H430" s="47">
        <f t="shared" si="106"/>
        <v>4</v>
      </c>
      <c r="I430" s="48">
        <f t="shared" si="102"/>
        <v>0</v>
      </c>
      <c r="J430" s="116">
        <f t="shared" si="103"/>
        <v>0</v>
      </c>
      <c r="K430" s="19">
        <f t="shared" si="104"/>
        <v>0</v>
      </c>
      <c r="L430" s="50"/>
      <c r="M430" s="13">
        <f>ROUND(予定価格!B418*査定表!$B$437,-$F$14)</f>
        <v>0</v>
      </c>
      <c r="N430">
        <f>IF(M430=0,1,M430/予定価格!B418)</f>
        <v>1</v>
      </c>
      <c r="O430">
        <f t="shared" si="107"/>
        <v>21</v>
      </c>
      <c r="P430">
        <f t="shared" si="108"/>
        <v>0</v>
      </c>
      <c r="Q430">
        <f>IF(M430=0,0,M430/予定価格!B418)</f>
        <v>0</v>
      </c>
      <c r="R430">
        <f t="shared" si="109"/>
        <v>21</v>
      </c>
      <c r="S430">
        <f t="shared" si="110"/>
        <v>0</v>
      </c>
      <c r="T430" s="13">
        <f t="shared" si="111"/>
        <v>0</v>
      </c>
      <c r="U430" s="13" t="e">
        <f>IF(予定価格!$G$427=0,ROUND(予定価格!H418*(入力表!$F$12/予定価格!$H$431),-$F$14),ROUND((予定価格!G418*(入力表!$F$12-予定価格!$H$431)/予定価格!$G$431)+予定価格!H418,-$F$14))</f>
        <v>#DIV/0!</v>
      </c>
      <c r="V430" t="e">
        <f>IF(U430=0,1,IF(予定価格!O418=0,1,(U430-予定価格!P418)/予定価格!O418))</f>
        <v>#DIV/0!</v>
      </c>
      <c r="W430" t="e">
        <f t="shared" si="112"/>
        <v>#DIV/0!</v>
      </c>
      <c r="X430" t="e">
        <f t="shared" si="113"/>
        <v>#DIV/0!</v>
      </c>
      <c r="Y430" t="e">
        <f>IF(U430=0,0,IF(予定価格!G418=0,0,(U430-予定価格!H418)/予定価格!G418))</f>
        <v>#DIV/0!</v>
      </c>
      <c r="Z430" t="e">
        <f t="shared" si="114"/>
        <v>#DIV/0!</v>
      </c>
      <c r="AA430" t="e">
        <f t="shared" si="115"/>
        <v>#DIV/0!</v>
      </c>
      <c r="AB430" s="13" t="e">
        <f t="shared" si="116"/>
        <v>#DIV/0!</v>
      </c>
    </row>
    <row r="431" spans="1:28" hidden="1" x14ac:dyDescent="0.15">
      <c r="A431">
        <f>+予定価格!A419</f>
        <v>0</v>
      </c>
      <c r="B431" s="258">
        <f>ROUND(予定価格!B419*査定表!$B$437,-D431)+E431</f>
        <v>0</v>
      </c>
      <c r="C431" s="258"/>
      <c r="D431" s="45">
        <f t="shared" si="105"/>
        <v>4</v>
      </c>
      <c r="E431" s="46">
        <f t="shared" si="101"/>
        <v>0</v>
      </c>
      <c r="F431" s="258">
        <f>IF($F$12=0,0,IF(予定価格!$G$427=0,ROUND(予定価格!H419*(入力表!$F$12/予定価格!$H$431),-H431),ROUND((予定価格!G419*(入力表!$F$12-予定価格!$H$431)/予定価格!$G$431)+予定価格!H419,-H431)))+I431</f>
        <v>0</v>
      </c>
      <c r="G431" s="258"/>
      <c r="H431" s="47">
        <f t="shared" si="106"/>
        <v>4</v>
      </c>
      <c r="I431" s="48">
        <f t="shared" si="102"/>
        <v>0</v>
      </c>
      <c r="J431" s="116">
        <f t="shared" si="103"/>
        <v>0</v>
      </c>
      <c r="K431" s="19">
        <f t="shared" si="104"/>
        <v>0</v>
      </c>
      <c r="L431" s="50"/>
      <c r="M431" s="13">
        <f>ROUND(予定価格!B419*査定表!$B$437,-$F$14)</f>
        <v>0</v>
      </c>
      <c r="N431">
        <f>IF(M431=0,1,M431/予定価格!B419)</f>
        <v>1</v>
      </c>
      <c r="O431">
        <f t="shared" si="107"/>
        <v>21</v>
      </c>
      <c r="P431">
        <f t="shared" si="108"/>
        <v>0</v>
      </c>
      <c r="Q431">
        <f>IF(M431=0,0,M431/予定価格!B419)</f>
        <v>0</v>
      </c>
      <c r="R431">
        <f t="shared" si="109"/>
        <v>21</v>
      </c>
      <c r="S431">
        <f t="shared" si="110"/>
        <v>0</v>
      </c>
      <c r="T431" s="13">
        <f t="shared" si="111"/>
        <v>0</v>
      </c>
      <c r="U431" s="13" t="e">
        <f>IF(予定価格!$G$427=0,ROUND(予定価格!H419*(入力表!$F$12/予定価格!$H$431),-$F$14),ROUND((予定価格!G419*(入力表!$F$12-予定価格!$H$431)/予定価格!$G$431)+予定価格!H419,-$F$14))</f>
        <v>#DIV/0!</v>
      </c>
      <c r="V431" t="e">
        <f>IF(U431=0,1,IF(予定価格!O419=0,1,(U431-予定価格!P419)/予定価格!O419))</f>
        <v>#DIV/0!</v>
      </c>
      <c r="W431" t="e">
        <f t="shared" si="112"/>
        <v>#DIV/0!</v>
      </c>
      <c r="X431" t="e">
        <f t="shared" si="113"/>
        <v>#DIV/0!</v>
      </c>
      <c r="Y431" t="e">
        <f>IF(U431=0,0,IF(予定価格!G419=0,0,(U431-予定価格!H419)/予定価格!G419))</f>
        <v>#DIV/0!</v>
      </c>
      <c r="Z431" t="e">
        <f t="shared" si="114"/>
        <v>#DIV/0!</v>
      </c>
      <c r="AA431" t="e">
        <f t="shared" si="115"/>
        <v>#DIV/0!</v>
      </c>
      <c r="AB431" s="13" t="e">
        <f t="shared" si="116"/>
        <v>#DIV/0!</v>
      </c>
    </row>
    <row r="432" spans="1:28" hidden="1" x14ac:dyDescent="0.15">
      <c r="A432">
        <f>+予定価格!A420</f>
        <v>0</v>
      </c>
      <c r="B432" s="258">
        <f>ROUND(予定価格!B420*査定表!$B$437,-D432)+E432</f>
        <v>0</v>
      </c>
      <c r="C432" s="258"/>
      <c r="D432" s="45">
        <f t="shared" si="105"/>
        <v>4</v>
      </c>
      <c r="E432" s="46">
        <f t="shared" si="101"/>
        <v>0</v>
      </c>
      <c r="F432" s="258">
        <f>IF($F$12=0,0,IF(予定価格!$G$427=0,ROUND(予定価格!H420*(入力表!$F$12/予定価格!$H$431),-H432),ROUND((予定価格!G420*(入力表!$F$12-予定価格!$H$431)/予定価格!$G$431)+予定価格!H420,-H432)))+I432</f>
        <v>0</v>
      </c>
      <c r="G432" s="258"/>
      <c r="H432" s="47">
        <f t="shared" si="106"/>
        <v>4</v>
      </c>
      <c r="I432" s="48">
        <f t="shared" si="102"/>
        <v>0</v>
      </c>
      <c r="J432" s="116">
        <f t="shared" si="103"/>
        <v>0</v>
      </c>
      <c r="K432" s="19">
        <f t="shared" si="104"/>
        <v>0</v>
      </c>
      <c r="L432" s="50"/>
      <c r="M432" s="13">
        <f>ROUND(予定価格!B420*査定表!$B$437,-$F$14)</f>
        <v>0</v>
      </c>
      <c r="N432">
        <f>IF(M432=0,1,M432/予定価格!B420)</f>
        <v>1</v>
      </c>
      <c r="O432">
        <f t="shared" si="107"/>
        <v>21</v>
      </c>
      <c r="P432">
        <f t="shared" si="108"/>
        <v>0</v>
      </c>
      <c r="Q432">
        <f>IF(M432=0,0,M432/予定価格!B420)</f>
        <v>0</v>
      </c>
      <c r="R432">
        <f t="shared" si="109"/>
        <v>21</v>
      </c>
      <c r="S432">
        <f t="shared" si="110"/>
        <v>0</v>
      </c>
      <c r="T432" s="13">
        <f t="shared" si="111"/>
        <v>0</v>
      </c>
      <c r="U432" s="13" t="e">
        <f>IF(予定価格!$G$427=0,ROUND(予定価格!H420*(入力表!$F$12/予定価格!$H$431),-$F$14),ROUND((予定価格!G420*(入力表!$F$12-予定価格!$H$431)/予定価格!$G$431)+予定価格!H420,-$F$14))</f>
        <v>#DIV/0!</v>
      </c>
      <c r="V432" t="e">
        <f>IF(U432=0,1,IF(予定価格!O420=0,1,(U432-予定価格!P420)/予定価格!O420))</f>
        <v>#DIV/0!</v>
      </c>
      <c r="W432" t="e">
        <f t="shared" si="112"/>
        <v>#DIV/0!</v>
      </c>
      <c r="X432" t="e">
        <f t="shared" si="113"/>
        <v>#DIV/0!</v>
      </c>
      <c r="Y432" t="e">
        <f>IF(U432=0,0,IF(予定価格!G420=0,0,(U432-予定価格!H420)/予定価格!G420))</f>
        <v>#DIV/0!</v>
      </c>
      <c r="Z432" t="e">
        <f t="shared" si="114"/>
        <v>#DIV/0!</v>
      </c>
      <c r="AA432" t="e">
        <f t="shared" si="115"/>
        <v>#DIV/0!</v>
      </c>
      <c r="AB432" s="13" t="e">
        <f t="shared" si="116"/>
        <v>#DIV/0!</v>
      </c>
    </row>
    <row r="433" spans="1:28" hidden="1" x14ac:dyDescent="0.15">
      <c r="A433">
        <f>+予定価格!A421</f>
        <v>0</v>
      </c>
      <c r="B433" s="258">
        <f>ROUND(予定価格!B421*査定表!$B$437,-D433)+E433</f>
        <v>0</v>
      </c>
      <c r="C433" s="258"/>
      <c r="D433" s="45">
        <f t="shared" si="105"/>
        <v>4</v>
      </c>
      <c r="E433" s="46">
        <f t="shared" si="101"/>
        <v>0</v>
      </c>
      <c r="F433" s="258">
        <f>IF($F$12=0,0,IF(予定価格!$G$427=0,ROUND(予定価格!H421*(入力表!$F$12/予定価格!$H$431),-H433),ROUND((予定価格!G421*(入力表!$F$12-予定価格!$H$431)/予定価格!$G$431)+予定価格!H421,-H433)))+I433</f>
        <v>0</v>
      </c>
      <c r="G433" s="258"/>
      <c r="H433" s="47">
        <f t="shared" si="106"/>
        <v>4</v>
      </c>
      <c r="I433" s="48">
        <f t="shared" si="102"/>
        <v>0</v>
      </c>
      <c r="J433" s="116">
        <f t="shared" si="103"/>
        <v>0</v>
      </c>
      <c r="K433" s="19">
        <f t="shared" si="104"/>
        <v>0</v>
      </c>
      <c r="L433" s="50"/>
      <c r="M433" s="13">
        <f>ROUND(予定価格!B421*査定表!$B$437,-$F$14)</f>
        <v>0</v>
      </c>
      <c r="N433">
        <f>IF(M433=0,1,M433/予定価格!B421)</f>
        <v>1</v>
      </c>
      <c r="O433">
        <f t="shared" si="107"/>
        <v>21</v>
      </c>
      <c r="P433">
        <f t="shared" si="108"/>
        <v>0</v>
      </c>
      <c r="Q433">
        <f>IF(M433=0,0,M433/予定価格!B421)</f>
        <v>0</v>
      </c>
      <c r="R433">
        <f t="shared" si="109"/>
        <v>21</v>
      </c>
      <c r="S433">
        <f t="shared" si="110"/>
        <v>0</v>
      </c>
      <c r="T433" s="13">
        <f t="shared" si="111"/>
        <v>0</v>
      </c>
      <c r="U433" s="13" t="e">
        <f>IF(予定価格!$G$427=0,ROUND(予定価格!H421*(入力表!$F$12/予定価格!$H$431),-$F$14),ROUND((予定価格!G421*(入力表!$F$12-予定価格!$H$431)/予定価格!$G$431)+予定価格!H421,-$F$14))</f>
        <v>#DIV/0!</v>
      </c>
      <c r="V433" t="e">
        <f>IF(U433=0,1,IF(予定価格!O421=0,1,(U433-予定価格!P421)/予定価格!O421))</f>
        <v>#DIV/0!</v>
      </c>
      <c r="W433" t="e">
        <f t="shared" si="112"/>
        <v>#DIV/0!</v>
      </c>
      <c r="X433" t="e">
        <f t="shared" si="113"/>
        <v>#DIV/0!</v>
      </c>
      <c r="Y433" t="e">
        <f>IF(U433=0,0,IF(予定価格!G421=0,0,(U433-予定価格!H421)/予定価格!G421))</f>
        <v>#DIV/0!</v>
      </c>
      <c r="Z433" t="e">
        <f t="shared" si="114"/>
        <v>#DIV/0!</v>
      </c>
      <c r="AA433" t="e">
        <f t="shared" si="115"/>
        <v>#DIV/0!</v>
      </c>
      <c r="AB433" s="13" t="e">
        <f t="shared" si="116"/>
        <v>#DIV/0!</v>
      </c>
    </row>
    <row r="434" spans="1:28" hidden="1" x14ac:dyDescent="0.15">
      <c r="A434">
        <f>+予定価格!A422</f>
        <v>0</v>
      </c>
      <c r="B434" s="258">
        <f>ROUND(予定価格!B422*査定表!$B$437,-D434)+E434</f>
        <v>0</v>
      </c>
      <c r="C434" s="258"/>
      <c r="D434" s="45">
        <f t="shared" si="105"/>
        <v>4</v>
      </c>
      <c r="E434" s="46">
        <f t="shared" si="101"/>
        <v>0</v>
      </c>
      <c r="F434" s="258">
        <f>IF($F$12=0,0,IF(予定価格!$G$427=0,ROUND(予定価格!H422*(入力表!$F$12/予定価格!$H$431),-H434),ROUND((予定価格!G422*(入力表!$F$12-予定価格!$H$431)/予定価格!$G$431)+予定価格!H422,-H434)))+I434</f>
        <v>0</v>
      </c>
      <c r="G434" s="258"/>
      <c r="H434" s="47">
        <f t="shared" si="106"/>
        <v>4</v>
      </c>
      <c r="I434" s="48">
        <f t="shared" si="102"/>
        <v>0</v>
      </c>
      <c r="J434" s="116">
        <f t="shared" si="103"/>
        <v>0</v>
      </c>
      <c r="K434" s="19">
        <f t="shared" si="104"/>
        <v>0</v>
      </c>
      <c r="L434" s="50"/>
      <c r="M434" s="13">
        <f>ROUND(予定価格!B422*査定表!$B$437,-$F$14)</f>
        <v>0</v>
      </c>
      <c r="N434">
        <f>IF(M434=0,1,M434/予定価格!B422)</f>
        <v>1</v>
      </c>
      <c r="O434">
        <f t="shared" si="107"/>
        <v>21</v>
      </c>
      <c r="P434">
        <f t="shared" si="108"/>
        <v>0</v>
      </c>
      <c r="Q434">
        <f>IF(M434=0,0,M434/予定価格!B422)</f>
        <v>0</v>
      </c>
      <c r="R434">
        <f t="shared" si="109"/>
        <v>21</v>
      </c>
      <c r="S434">
        <f t="shared" si="110"/>
        <v>0</v>
      </c>
      <c r="T434" s="13">
        <f t="shared" si="111"/>
        <v>0</v>
      </c>
      <c r="U434" s="13" t="e">
        <f>IF(予定価格!$G$427=0,ROUND(予定価格!H422*(入力表!$F$12/予定価格!$H$431),-$F$14),ROUND((予定価格!G422*(入力表!$F$12-予定価格!$H$431)/予定価格!$G$431)+予定価格!H422,-$F$14))</f>
        <v>#DIV/0!</v>
      </c>
      <c r="V434" t="e">
        <f>IF(U434=0,1,IF(予定価格!O422=0,1,(U434-予定価格!P422)/予定価格!O422))</f>
        <v>#DIV/0!</v>
      </c>
      <c r="W434" t="e">
        <f t="shared" si="112"/>
        <v>#DIV/0!</v>
      </c>
      <c r="X434" t="e">
        <f t="shared" si="113"/>
        <v>#DIV/0!</v>
      </c>
      <c r="Y434" t="e">
        <f>IF(U434=0,0,IF(予定価格!G422=0,0,(U434-予定価格!H422)/予定価格!G422))</f>
        <v>#DIV/0!</v>
      </c>
      <c r="Z434" t="e">
        <f t="shared" si="114"/>
        <v>#DIV/0!</v>
      </c>
      <c r="AA434" t="e">
        <f t="shared" si="115"/>
        <v>#DIV/0!</v>
      </c>
      <c r="AB434" s="13" t="e">
        <f t="shared" si="116"/>
        <v>#DIV/0!</v>
      </c>
    </row>
    <row r="435" spans="1:28" hidden="1" x14ac:dyDescent="0.15">
      <c r="A435">
        <f>+予定価格!A423</f>
        <v>0</v>
      </c>
      <c r="B435" s="258">
        <f>ROUND(予定価格!B423*査定表!$B$437,-D435)+E435</f>
        <v>0</v>
      </c>
      <c r="C435" s="258"/>
      <c r="D435" s="45">
        <f t="shared" si="105"/>
        <v>4</v>
      </c>
      <c r="E435" s="46">
        <f t="shared" si="101"/>
        <v>0</v>
      </c>
      <c r="F435" s="258">
        <f>IF($F$12=0,0,IF(予定価格!$G$427=0,ROUND(予定価格!H423*(入力表!$F$12/予定価格!$H$431),-H435),ROUND((予定価格!G423*(入力表!$F$12-予定価格!$H$431)/予定価格!$G$431)+予定価格!H423,-H435)))+I435</f>
        <v>0</v>
      </c>
      <c r="G435" s="258"/>
      <c r="H435" s="47">
        <f t="shared" si="106"/>
        <v>4</v>
      </c>
      <c r="I435" s="48">
        <f t="shared" si="102"/>
        <v>0</v>
      </c>
      <c r="J435" s="116">
        <f t="shared" si="103"/>
        <v>0</v>
      </c>
      <c r="K435" s="19">
        <f t="shared" si="104"/>
        <v>0</v>
      </c>
      <c r="L435" s="50"/>
      <c r="M435" s="13">
        <f>ROUND(予定価格!B423*査定表!$B$437,-$F$14)</f>
        <v>0</v>
      </c>
      <c r="N435">
        <f>IF(M435=0,1,M435/予定価格!B423)</f>
        <v>1</v>
      </c>
      <c r="O435">
        <f t="shared" si="107"/>
        <v>21</v>
      </c>
      <c r="P435">
        <f t="shared" si="108"/>
        <v>0</v>
      </c>
      <c r="Q435">
        <f>IF(M435=0,0,M435/予定価格!B423)</f>
        <v>0</v>
      </c>
      <c r="R435">
        <f t="shared" si="109"/>
        <v>21</v>
      </c>
      <c r="S435">
        <f t="shared" si="110"/>
        <v>0</v>
      </c>
      <c r="T435" s="13">
        <f t="shared" si="111"/>
        <v>0</v>
      </c>
      <c r="U435" s="13" t="e">
        <f>IF(予定価格!$G$427=0,ROUND(予定価格!H423*(入力表!$F$12/予定価格!$H$431),-$F$14),ROUND((予定価格!G423*(入力表!$F$12-予定価格!$H$431)/予定価格!$G$431)+予定価格!H423,-$F$14))</f>
        <v>#DIV/0!</v>
      </c>
      <c r="V435" t="e">
        <f>IF(U435=0,1,IF(予定価格!O423=0,1,(U435-予定価格!P423)/予定価格!O423))</f>
        <v>#DIV/0!</v>
      </c>
      <c r="W435" t="e">
        <f t="shared" si="112"/>
        <v>#DIV/0!</v>
      </c>
      <c r="X435" t="e">
        <f t="shared" si="113"/>
        <v>#DIV/0!</v>
      </c>
      <c r="Y435" t="e">
        <f>IF(U435=0,0,IF(予定価格!G423=0,0,(U435-予定価格!H423)/予定価格!G423))</f>
        <v>#DIV/0!</v>
      </c>
      <c r="Z435" t="e">
        <f t="shared" si="114"/>
        <v>#DIV/0!</v>
      </c>
      <c r="AA435" t="e">
        <f t="shared" si="115"/>
        <v>#DIV/0!</v>
      </c>
      <c r="AB435" s="13" t="e">
        <f t="shared" si="116"/>
        <v>#DIV/0!</v>
      </c>
    </row>
    <row r="436" spans="1:28" hidden="1" x14ac:dyDescent="0.15">
      <c r="A436">
        <f>+予定価格!A424</f>
        <v>0</v>
      </c>
      <c r="B436" s="258">
        <f>ROUND(予定価格!B424*査定表!$B$437,-D436)+E436</f>
        <v>0</v>
      </c>
      <c r="C436" s="258"/>
      <c r="D436" s="45">
        <f t="shared" si="105"/>
        <v>4</v>
      </c>
      <c r="E436" s="46">
        <f t="shared" si="101"/>
        <v>0</v>
      </c>
      <c r="F436" s="258">
        <f>IF($F$12=0,0,IF(予定価格!$G$427=0,ROUND(予定価格!H424*(入力表!$F$12/予定価格!$H$431),-H436),ROUND((予定価格!G424*(入力表!$F$12-予定価格!$H$431)/予定価格!$G$431)+予定価格!H424,-H436)))+I436</f>
        <v>0</v>
      </c>
      <c r="G436" s="258"/>
      <c r="H436" s="47">
        <f t="shared" si="106"/>
        <v>4</v>
      </c>
      <c r="I436" s="48">
        <f t="shared" si="102"/>
        <v>0</v>
      </c>
      <c r="J436" s="116">
        <f t="shared" si="103"/>
        <v>0</v>
      </c>
      <c r="K436" s="19">
        <f t="shared" si="104"/>
        <v>0</v>
      </c>
      <c r="L436" s="50"/>
      <c r="M436" s="13">
        <f>ROUND(予定価格!B424*査定表!$B$437,-$F$14)</f>
        <v>0</v>
      </c>
      <c r="N436">
        <f>IF(M436=0,1,M436/予定価格!B424)</f>
        <v>1</v>
      </c>
      <c r="O436">
        <f t="shared" si="107"/>
        <v>21</v>
      </c>
      <c r="P436">
        <f t="shared" si="108"/>
        <v>0</v>
      </c>
      <c r="Q436">
        <f>IF(M436=0,0,M436/予定価格!B424)</f>
        <v>0</v>
      </c>
      <c r="R436">
        <f t="shared" si="109"/>
        <v>21</v>
      </c>
      <c r="S436">
        <f t="shared" si="110"/>
        <v>0</v>
      </c>
      <c r="T436" s="13">
        <f t="shared" si="111"/>
        <v>0</v>
      </c>
      <c r="U436" s="13" t="e">
        <f>IF(予定価格!$G$427=0,ROUND(予定価格!H424*(入力表!$F$12/予定価格!$H$431),-$F$14),ROUND((予定価格!G424*(入力表!$F$12-予定価格!$H$431)/予定価格!$G$431)+予定価格!H424,-$F$14))</f>
        <v>#DIV/0!</v>
      </c>
      <c r="V436" t="e">
        <f>IF(U436=0,1,IF(予定価格!O424=0,1,(U436-予定価格!P424)/予定価格!O424))</f>
        <v>#DIV/0!</v>
      </c>
      <c r="W436" t="e">
        <f t="shared" si="112"/>
        <v>#DIV/0!</v>
      </c>
      <c r="X436" t="e">
        <f t="shared" si="113"/>
        <v>#DIV/0!</v>
      </c>
      <c r="Y436" t="e">
        <f>IF(U436=0,0,IF(予定価格!G424=0,0,(U436-予定価格!H424)/予定価格!G424))</f>
        <v>#DIV/0!</v>
      </c>
      <c r="Z436" t="e">
        <f t="shared" si="114"/>
        <v>#DIV/0!</v>
      </c>
      <c r="AA436" t="e">
        <f t="shared" si="115"/>
        <v>#DIV/0!</v>
      </c>
      <c r="AB436" s="13" t="e">
        <f t="shared" si="116"/>
        <v>#DIV/0!</v>
      </c>
    </row>
    <row r="437" spans="1:28" hidden="1" x14ac:dyDescent="0.15">
      <c r="A437">
        <f>+予定価格!A425</f>
        <v>0</v>
      </c>
      <c r="B437" s="258">
        <f>ROUND(予定価格!B425*査定表!$B$437,-D437)+E437</f>
        <v>0</v>
      </c>
      <c r="C437" s="258"/>
      <c r="D437" s="45">
        <f t="shared" si="105"/>
        <v>4</v>
      </c>
      <c r="E437" s="46">
        <f t="shared" si="101"/>
        <v>0</v>
      </c>
      <c r="F437" s="258">
        <f>IF($F$12=0,0,IF(予定価格!$G$427=0,ROUND(予定価格!H425*(入力表!$F$12/予定価格!$H$431),-H437),ROUND((予定価格!G425*(入力表!$F$12-予定価格!$H$431)/予定価格!$G$431)+予定価格!H425,-H437)))+I437</f>
        <v>0</v>
      </c>
      <c r="G437" s="258"/>
      <c r="H437" s="47">
        <f t="shared" si="106"/>
        <v>4</v>
      </c>
      <c r="I437" s="48">
        <f t="shared" si="102"/>
        <v>0</v>
      </c>
      <c r="J437" s="116">
        <f t="shared" si="103"/>
        <v>0</v>
      </c>
      <c r="K437" s="19">
        <f t="shared" si="104"/>
        <v>0</v>
      </c>
      <c r="L437" s="50"/>
      <c r="M437" s="13">
        <f>ROUND(予定価格!B425*査定表!$B$437,-$F$14)</f>
        <v>0</v>
      </c>
      <c r="N437">
        <f>IF(M437=0,1,M437/予定価格!B425)</f>
        <v>1</v>
      </c>
      <c r="O437">
        <f t="shared" si="107"/>
        <v>21</v>
      </c>
      <c r="P437">
        <f t="shared" si="108"/>
        <v>0</v>
      </c>
      <c r="Q437">
        <f>IF(M437=0,0,M437/予定価格!B425)</f>
        <v>0</v>
      </c>
      <c r="R437">
        <f t="shared" si="109"/>
        <v>21</v>
      </c>
      <c r="S437">
        <f t="shared" si="110"/>
        <v>0</v>
      </c>
      <c r="T437" s="13">
        <f t="shared" si="111"/>
        <v>0</v>
      </c>
      <c r="U437" s="13" t="e">
        <f>IF(予定価格!$G$427=0,ROUND(予定価格!H425*(入力表!$F$12/予定価格!$H$431),-$F$14),ROUND((予定価格!G425*(入力表!$F$12-予定価格!$H$431)/予定価格!$G$431)+予定価格!H425,-$F$14))</f>
        <v>#DIV/0!</v>
      </c>
      <c r="V437" t="e">
        <f>IF(U437=0,1,IF(予定価格!O425=0,1,(U437-予定価格!P425)/予定価格!O425))</f>
        <v>#DIV/0!</v>
      </c>
      <c r="W437" t="e">
        <f t="shared" si="112"/>
        <v>#DIV/0!</v>
      </c>
      <c r="X437" t="e">
        <f t="shared" si="113"/>
        <v>#DIV/0!</v>
      </c>
      <c r="Y437" t="e">
        <f>IF(U437=0,0,IF(予定価格!G425=0,0,(U437-予定価格!H425)/予定価格!G425))</f>
        <v>#DIV/0!</v>
      </c>
      <c r="Z437" t="e">
        <f t="shared" si="114"/>
        <v>#DIV/0!</v>
      </c>
      <c r="AA437" t="e">
        <f t="shared" si="115"/>
        <v>#DIV/0!</v>
      </c>
      <c r="AB437" s="13" t="e">
        <f t="shared" si="116"/>
        <v>#DIV/0!</v>
      </c>
    </row>
    <row r="438" spans="1:28" x14ac:dyDescent="0.15">
      <c r="A438">
        <f>+予定価格!A426</f>
        <v>0</v>
      </c>
      <c r="B438" s="258">
        <f>ROUND(予定価格!B426*査定表!$B$437,-D438)+E438</f>
        <v>0</v>
      </c>
      <c r="C438" s="258"/>
      <c r="D438" s="45">
        <f t="shared" si="105"/>
        <v>4</v>
      </c>
      <c r="E438" s="46">
        <f t="shared" si="101"/>
        <v>0</v>
      </c>
      <c r="F438" s="258">
        <f>IF($F$12=0,0,IF(予定価格!$G$427=0,ROUND(予定価格!H426*(入力表!$F$12/予定価格!$H$431),-H438),ROUND((予定価格!G426*(入力表!$F$12-予定価格!$H$431)/予定価格!$G$431)+予定価格!H426,-H438)))+I438</f>
        <v>0</v>
      </c>
      <c r="G438" s="258"/>
      <c r="H438" s="47">
        <f t="shared" si="106"/>
        <v>4</v>
      </c>
      <c r="I438" s="48">
        <f t="shared" si="102"/>
        <v>0</v>
      </c>
      <c r="J438" s="116">
        <f t="shared" si="103"/>
        <v>0</v>
      </c>
      <c r="K438" s="19">
        <f t="shared" si="104"/>
        <v>0</v>
      </c>
      <c r="L438" s="50"/>
      <c r="M438" s="13">
        <f>ROUND(予定価格!B426*査定表!$B$437,-$F$14)</f>
        <v>0</v>
      </c>
      <c r="N438">
        <f>IF(M438=0,1,M438/予定価格!B426)</f>
        <v>1</v>
      </c>
      <c r="O438">
        <f t="shared" si="107"/>
        <v>21</v>
      </c>
      <c r="P438">
        <f t="shared" si="108"/>
        <v>0</v>
      </c>
      <c r="Q438">
        <f>IF(M438=0,0,M438/予定価格!B426)</f>
        <v>0</v>
      </c>
      <c r="R438">
        <f t="shared" si="109"/>
        <v>21</v>
      </c>
      <c r="S438">
        <f t="shared" si="110"/>
        <v>0</v>
      </c>
      <c r="T438" s="13">
        <f t="shared" si="111"/>
        <v>0</v>
      </c>
      <c r="U438" s="13" t="e">
        <f>IF(予定価格!$G$427=0,ROUND(予定価格!H426*(入力表!$F$12/予定価格!$H$431),-$F$14),ROUND((予定価格!G426*(入力表!$F$12-予定価格!$H$431)/予定価格!$G$431)+予定価格!H426,-$F$14))</f>
        <v>#DIV/0!</v>
      </c>
      <c r="V438" t="e">
        <f>IF(U438=0,1,IF(予定価格!O426=0,1,(U438-予定価格!P426)/予定価格!O426))</f>
        <v>#DIV/0!</v>
      </c>
      <c r="W438" t="e">
        <f t="shared" si="112"/>
        <v>#DIV/0!</v>
      </c>
      <c r="X438" t="e">
        <f t="shared" si="113"/>
        <v>#DIV/0!</v>
      </c>
      <c r="Y438" t="e">
        <f>IF(U438=0,0,IF(予定価格!G426=0,0,(U438-予定価格!H426)/予定価格!G426))</f>
        <v>#DIV/0!</v>
      </c>
      <c r="Z438" t="e">
        <f t="shared" si="114"/>
        <v>#DIV/0!</v>
      </c>
      <c r="AA438" t="e">
        <f t="shared" si="115"/>
        <v>#DIV/0!</v>
      </c>
      <c r="AB438" s="13" t="e">
        <f t="shared" si="116"/>
        <v>#DIV/0!</v>
      </c>
    </row>
    <row r="439" spans="1:28" x14ac:dyDescent="0.15">
      <c r="A439" t="str">
        <f>+予定価格!A427</f>
        <v>計</v>
      </c>
      <c r="B439" s="258">
        <f>SUM(B17:B438)</f>
        <v>16520000</v>
      </c>
      <c r="C439" s="258"/>
      <c r="F439" s="258">
        <f>SUM(F17:G438)</f>
        <v>0</v>
      </c>
      <c r="G439" s="258"/>
      <c r="J439" s="11">
        <f>+F439+K439</f>
        <v>16520000</v>
      </c>
      <c r="K439" s="13">
        <f>SUM(K17:K438)</f>
        <v>16520000</v>
      </c>
      <c r="L439" s="50"/>
      <c r="M439" s="13">
        <f>SUM(M17:M438)</f>
        <v>16510000</v>
      </c>
      <c r="U439" s="13" t="e">
        <f>SUM(U17:U438)</f>
        <v>#DIV/0!</v>
      </c>
    </row>
    <row r="440" spans="1:28" x14ac:dyDescent="0.15">
      <c r="B440" s="13"/>
      <c r="C440" s="13"/>
      <c r="F440" s="262"/>
      <c r="G440" s="262"/>
      <c r="J440" s="13"/>
      <c r="K440" s="13"/>
      <c r="L440" s="50"/>
    </row>
    <row r="441" spans="1:28" x14ac:dyDescent="0.15">
      <c r="A441" t="str">
        <f>+予定価格!A429</f>
        <v>消費税及び地方消費税相当額</v>
      </c>
      <c r="B441" s="258">
        <f>B439*D441</f>
        <v>1321600</v>
      </c>
      <c r="C441" s="258"/>
      <c r="D441" s="12">
        <v>0.08</v>
      </c>
      <c r="F441" s="258">
        <f>F439*H441</f>
        <v>0</v>
      </c>
      <c r="G441" s="258"/>
      <c r="H441" s="18">
        <f>+D441</f>
        <v>0.08</v>
      </c>
      <c r="J441" s="13">
        <f>+J439*H441</f>
        <v>1321600</v>
      </c>
      <c r="K441" s="13">
        <f>+K439*H441</f>
        <v>1321600</v>
      </c>
      <c r="L441" s="50"/>
      <c r="M441">
        <f>+M439*0.08</f>
        <v>1320800</v>
      </c>
      <c r="U441" t="e">
        <f>+U439*0.08</f>
        <v>#DIV/0!</v>
      </c>
    </row>
    <row r="442" spans="1:28" x14ac:dyDescent="0.15">
      <c r="B442" s="13"/>
      <c r="C442" s="13"/>
      <c r="F442" s="262"/>
      <c r="G442" s="262"/>
      <c r="J442" s="13"/>
      <c r="K442" s="13"/>
      <c r="L442" s="50"/>
    </row>
    <row r="443" spans="1:28" x14ac:dyDescent="0.15">
      <c r="A443" t="str">
        <f>+予定価格!A431</f>
        <v>合計</v>
      </c>
      <c r="B443" s="258">
        <f>+B439+B441</f>
        <v>17841600</v>
      </c>
      <c r="C443" s="258"/>
      <c r="D443" s="250" t="s">
        <v>50</v>
      </c>
      <c r="E443" s="250"/>
      <c r="F443" s="258">
        <f>+F439+F441</f>
        <v>0</v>
      </c>
      <c r="G443" s="258"/>
      <c r="J443" s="13">
        <f>+J439+J441</f>
        <v>17841600</v>
      </c>
      <c r="K443" s="13">
        <f>+K439+K441</f>
        <v>17841600</v>
      </c>
      <c r="L443" s="50"/>
      <c r="M443" s="13">
        <f>+M439+M441</f>
        <v>17830800</v>
      </c>
      <c r="U443" s="13" t="e">
        <f>+U439+U441</f>
        <v>#DIV/0!</v>
      </c>
    </row>
  </sheetData>
  <mergeCells count="874">
    <mergeCell ref="F437:G437"/>
    <mergeCell ref="F438:G438"/>
    <mergeCell ref="F432:G432"/>
    <mergeCell ref="F433:G433"/>
    <mergeCell ref="F434:G434"/>
    <mergeCell ref="F435:G435"/>
    <mergeCell ref="F436:G436"/>
    <mergeCell ref="F427:G427"/>
    <mergeCell ref="F428:G428"/>
    <mergeCell ref="F429:G429"/>
    <mergeCell ref="F430:G430"/>
    <mergeCell ref="F431:G431"/>
    <mergeCell ref="F422:G422"/>
    <mergeCell ref="F423:G423"/>
    <mergeCell ref="F424:G424"/>
    <mergeCell ref="F425:G425"/>
    <mergeCell ref="F426:G426"/>
    <mergeCell ref="F417:G417"/>
    <mergeCell ref="F418:G418"/>
    <mergeCell ref="F419:G419"/>
    <mergeCell ref="F420:G420"/>
    <mergeCell ref="F421:G421"/>
    <mergeCell ref="F412:G412"/>
    <mergeCell ref="F413:G413"/>
    <mergeCell ref="F414:G414"/>
    <mergeCell ref="F415:G415"/>
    <mergeCell ref="F416:G416"/>
    <mergeCell ref="F407:G407"/>
    <mergeCell ref="F408:G408"/>
    <mergeCell ref="F409:G409"/>
    <mergeCell ref="F410:G410"/>
    <mergeCell ref="F411:G411"/>
    <mergeCell ref="F402:G402"/>
    <mergeCell ref="F403:G403"/>
    <mergeCell ref="F404:G404"/>
    <mergeCell ref="F405:G405"/>
    <mergeCell ref="F406:G406"/>
    <mergeCell ref="F397:G397"/>
    <mergeCell ref="F398:G398"/>
    <mergeCell ref="F399:G399"/>
    <mergeCell ref="F400:G400"/>
    <mergeCell ref="F401:G401"/>
    <mergeCell ref="F392:G392"/>
    <mergeCell ref="F393:G393"/>
    <mergeCell ref="F394:G394"/>
    <mergeCell ref="F395:G395"/>
    <mergeCell ref="F396:G396"/>
    <mergeCell ref="F387:G387"/>
    <mergeCell ref="F388:G388"/>
    <mergeCell ref="F389:G389"/>
    <mergeCell ref="F390:G390"/>
    <mergeCell ref="F391:G391"/>
    <mergeCell ref="F382:G382"/>
    <mergeCell ref="F383:G383"/>
    <mergeCell ref="F384:G384"/>
    <mergeCell ref="F385:G385"/>
    <mergeCell ref="F386:G386"/>
    <mergeCell ref="F377:G377"/>
    <mergeCell ref="F378:G378"/>
    <mergeCell ref="F379:G379"/>
    <mergeCell ref="F380:G380"/>
    <mergeCell ref="F381:G381"/>
    <mergeCell ref="F372:G372"/>
    <mergeCell ref="F373:G373"/>
    <mergeCell ref="F374:G374"/>
    <mergeCell ref="F375:G375"/>
    <mergeCell ref="F376:G376"/>
    <mergeCell ref="F367:G367"/>
    <mergeCell ref="F368:G368"/>
    <mergeCell ref="F369:G369"/>
    <mergeCell ref="F370:G370"/>
    <mergeCell ref="F371:G371"/>
    <mergeCell ref="F362:G362"/>
    <mergeCell ref="F363:G363"/>
    <mergeCell ref="F364:G364"/>
    <mergeCell ref="F365:G365"/>
    <mergeCell ref="F366:G366"/>
    <mergeCell ref="F357:G357"/>
    <mergeCell ref="F358:G358"/>
    <mergeCell ref="F359:G359"/>
    <mergeCell ref="F360:G360"/>
    <mergeCell ref="F361:G361"/>
    <mergeCell ref="F352:G352"/>
    <mergeCell ref="F353:G353"/>
    <mergeCell ref="F354:G354"/>
    <mergeCell ref="F355:G355"/>
    <mergeCell ref="F356:G356"/>
    <mergeCell ref="F347:G347"/>
    <mergeCell ref="F348:G348"/>
    <mergeCell ref="F349:G349"/>
    <mergeCell ref="F350:G350"/>
    <mergeCell ref="F351:G351"/>
    <mergeCell ref="F342:G342"/>
    <mergeCell ref="F343:G343"/>
    <mergeCell ref="F344:G344"/>
    <mergeCell ref="F345:G345"/>
    <mergeCell ref="F346:G346"/>
    <mergeCell ref="F337:G337"/>
    <mergeCell ref="F338:G338"/>
    <mergeCell ref="F339:G339"/>
    <mergeCell ref="F340:G340"/>
    <mergeCell ref="F341:G341"/>
    <mergeCell ref="F332:G332"/>
    <mergeCell ref="F333:G333"/>
    <mergeCell ref="F334:G334"/>
    <mergeCell ref="F335:G335"/>
    <mergeCell ref="F336:G336"/>
    <mergeCell ref="F327:G327"/>
    <mergeCell ref="F328:G328"/>
    <mergeCell ref="F329:G329"/>
    <mergeCell ref="F330:G330"/>
    <mergeCell ref="F331:G331"/>
    <mergeCell ref="F322:G322"/>
    <mergeCell ref="F323:G323"/>
    <mergeCell ref="F324:G324"/>
    <mergeCell ref="F325:G325"/>
    <mergeCell ref="F326:G326"/>
    <mergeCell ref="F317:G317"/>
    <mergeCell ref="F318:G318"/>
    <mergeCell ref="F319:G319"/>
    <mergeCell ref="F320:G320"/>
    <mergeCell ref="F321:G321"/>
    <mergeCell ref="F312:G312"/>
    <mergeCell ref="F313:G313"/>
    <mergeCell ref="F314:G314"/>
    <mergeCell ref="F315:G315"/>
    <mergeCell ref="F316:G316"/>
    <mergeCell ref="F307:G307"/>
    <mergeCell ref="F308:G308"/>
    <mergeCell ref="F309:G309"/>
    <mergeCell ref="F310:G310"/>
    <mergeCell ref="F311:G311"/>
    <mergeCell ref="F302:G302"/>
    <mergeCell ref="F303:G303"/>
    <mergeCell ref="F304:G304"/>
    <mergeCell ref="F305:G305"/>
    <mergeCell ref="F306:G306"/>
    <mergeCell ref="F297:G297"/>
    <mergeCell ref="F298:G298"/>
    <mergeCell ref="F299:G299"/>
    <mergeCell ref="F300:G300"/>
    <mergeCell ref="F301:G301"/>
    <mergeCell ref="F292:G292"/>
    <mergeCell ref="F293:G293"/>
    <mergeCell ref="F294:G294"/>
    <mergeCell ref="F295:G295"/>
    <mergeCell ref="F296:G296"/>
    <mergeCell ref="F287:G287"/>
    <mergeCell ref="F288:G288"/>
    <mergeCell ref="F289:G289"/>
    <mergeCell ref="F290:G290"/>
    <mergeCell ref="F291:G291"/>
    <mergeCell ref="F282:G282"/>
    <mergeCell ref="F283:G283"/>
    <mergeCell ref="F284:G284"/>
    <mergeCell ref="F285:G285"/>
    <mergeCell ref="F286:G286"/>
    <mergeCell ref="F277:G277"/>
    <mergeCell ref="F278:G278"/>
    <mergeCell ref="F279:G279"/>
    <mergeCell ref="F280:G280"/>
    <mergeCell ref="F281:G281"/>
    <mergeCell ref="F272:G272"/>
    <mergeCell ref="F273:G273"/>
    <mergeCell ref="F274:G274"/>
    <mergeCell ref="F275:G275"/>
    <mergeCell ref="F276:G276"/>
    <mergeCell ref="F267:G267"/>
    <mergeCell ref="F268:G268"/>
    <mergeCell ref="F269:G269"/>
    <mergeCell ref="F270:G270"/>
    <mergeCell ref="F271:G271"/>
    <mergeCell ref="F262:G262"/>
    <mergeCell ref="F263:G263"/>
    <mergeCell ref="F264:G264"/>
    <mergeCell ref="F265:G265"/>
    <mergeCell ref="F266:G266"/>
    <mergeCell ref="F257:G257"/>
    <mergeCell ref="F258:G258"/>
    <mergeCell ref="F259:G259"/>
    <mergeCell ref="F260:G260"/>
    <mergeCell ref="F261:G261"/>
    <mergeCell ref="F252:G252"/>
    <mergeCell ref="F253:G253"/>
    <mergeCell ref="F254:G254"/>
    <mergeCell ref="F255:G255"/>
    <mergeCell ref="F256:G256"/>
    <mergeCell ref="F247:G247"/>
    <mergeCell ref="F248:G248"/>
    <mergeCell ref="F249:G249"/>
    <mergeCell ref="F250:G250"/>
    <mergeCell ref="F251:G251"/>
    <mergeCell ref="F242:G242"/>
    <mergeCell ref="F243:G243"/>
    <mergeCell ref="F244:G244"/>
    <mergeCell ref="F245:G245"/>
    <mergeCell ref="F246:G246"/>
    <mergeCell ref="F237:G237"/>
    <mergeCell ref="F238:G238"/>
    <mergeCell ref="F239:G239"/>
    <mergeCell ref="F240:G240"/>
    <mergeCell ref="F241:G241"/>
    <mergeCell ref="F232:G232"/>
    <mergeCell ref="F233:G233"/>
    <mergeCell ref="F234:G234"/>
    <mergeCell ref="F235:G235"/>
    <mergeCell ref="F236:G236"/>
    <mergeCell ref="F227:G227"/>
    <mergeCell ref="F228:G228"/>
    <mergeCell ref="F229:G229"/>
    <mergeCell ref="F230:G230"/>
    <mergeCell ref="F231:G231"/>
    <mergeCell ref="F222:G222"/>
    <mergeCell ref="F223:G223"/>
    <mergeCell ref="F224:G224"/>
    <mergeCell ref="F225:G225"/>
    <mergeCell ref="F226:G226"/>
    <mergeCell ref="F217:G217"/>
    <mergeCell ref="F218:G218"/>
    <mergeCell ref="F219:G219"/>
    <mergeCell ref="F220:G220"/>
    <mergeCell ref="F221:G221"/>
    <mergeCell ref="F212:G212"/>
    <mergeCell ref="F213:G213"/>
    <mergeCell ref="F214:G214"/>
    <mergeCell ref="F215:G215"/>
    <mergeCell ref="F216:G216"/>
    <mergeCell ref="F207:G207"/>
    <mergeCell ref="F208:G208"/>
    <mergeCell ref="F209:G209"/>
    <mergeCell ref="F210:G210"/>
    <mergeCell ref="F211:G211"/>
    <mergeCell ref="F202:G202"/>
    <mergeCell ref="F203:G203"/>
    <mergeCell ref="F204:G204"/>
    <mergeCell ref="F205:G205"/>
    <mergeCell ref="F206:G206"/>
    <mergeCell ref="F197:G197"/>
    <mergeCell ref="F198:G198"/>
    <mergeCell ref="F199:G199"/>
    <mergeCell ref="F200:G200"/>
    <mergeCell ref="F201:G201"/>
    <mergeCell ref="F192:G192"/>
    <mergeCell ref="F193:G193"/>
    <mergeCell ref="F194:G194"/>
    <mergeCell ref="F195:G195"/>
    <mergeCell ref="F196:G196"/>
    <mergeCell ref="F187:G187"/>
    <mergeCell ref="F188:G188"/>
    <mergeCell ref="F189:G189"/>
    <mergeCell ref="F190:G190"/>
    <mergeCell ref="F191:G191"/>
    <mergeCell ref="F182:G182"/>
    <mergeCell ref="F183:G183"/>
    <mergeCell ref="F184:G184"/>
    <mergeCell ref="F185:G185"/>
    <mergeCell ref="F186:G186"/>
    <mergeCell ref="F177:G177"/>
    <mergeCell ref="F178:G178"/>
    <mergeCell ref="F179:G179"/>
    <mergeCell ref="F180:G180"/>
    <mergeCell ref="F181:G181"/>
    <mergeCell ref="F172:G172"/>
    <mergeCell ref="F173:G173"/>
    <mergeCell ref="F174:G174"/>
    <mergeCell ref="F175:G175"/>
    <mergeCell ref="F176:G176"/>
    <mergeCell ref="F167:G167"/>
    <mergeCell ref="F168:G168"/>
    <mergeCell ref="F169:G169"/>
    <mergeCell ref="F170:G170"/>
    <mergeCell ref="F171:G171"/>
    <mergeCell ref="F162:G162"/>
    <mergeCell ref="F163:G163"/>
    <mergeCell ref="F164:G164"/>
    <mergeCell ref="F165:G165"/>
    <mergeCell ref="F166:G166"/>
    <mergeCell ref="F157:G157"/>
    <mergeCell ref="F158:G158"/>
    <mergeCell ref="F159:G159"/>
    <mergeCell ref="F160:G160"/>
    <mergeCell ref="F161:G161"/>
    <mergeCell ref="F152:G152"/>
    <mergeCell ref="F153:G153"/>
    <mergeCell ref="F154:G154"/>
    <mergeCell ref="F155:G155"/>
    <mergeCell ref="F156:G156"/>
    <mergeCell ref="F147:G147"/>
    <mergeCell ref="F148:G148"/>
    <mergeCell ref="F149:G149"/>
    <mergeCell ref="F150:G150"/>
    <mergeCell ref="F151:G151"/>
    <mergeCell ref="F142:G142"/>
    <mergeCell ref="F143:G143"/>
    <mergeCell ref="F144:G144"/>
    <mergeCell ref="F145:G145"/>
    <mergeCell ref="F146:G146"/>
    <mergeCell ref="F137:G137"/>
    <mergeCell ref="F138:G138"/>
    <mergeCell ref="F139:G139"/>
    <mergeCell ref="F140:G140"/>
    <mergeCell ref="F141:G141"/>
    <mergeCell ref="F132:G132"/>
    <mergeCell ref="F133:G133"/>
    <mergeCell ref="F134:G134"/>
    <mergeCell ref="F135:G135"/>
    <mergeCell ref="F136:G136"/>
    <mergeCell ref="F127:G127"/>
    <mergeCell ref="F128:G128"/>
    <mergeCell ref="F129:G129"/>
    <mergeCell ref="F130:G130"/>
    <mergeCell ref="F131:G131"/>
    <mergeCell ref="F122:G122"/>
    <mergeCell ref="F123:G123"/>
    <mergeCell ref="F124:G124"/>
    <mergeCell ref="F125:G125"/>
    <mergeCell ref="F126:G126"/>
    <mergeCell ref="F117:G117"/>
    <mergeCell ref="F118:G118"/>
    <mergeCell ref="F119:G119"/>
    <mergeCell ref="F120:G120"/>
    <mergeCell ref="F121:G121"/>
    <mergeCell ref="F112:G112"/>
    <mergeCell ref="F113:G113"/>
    <mergeCell ref="F114:G114"/>
    <mergeCell ref="F115:G115"/>
    <mergeCell ref="F116:G116"/>
    <mergeCell ref="F107:G107"/>
    <mergeCell ref="F108:G108"/>
    <mergeCell ref="F109:G109"/>
    <mergeCell ref="F110:G110"/>
    <mergeCell ref="F111:G111"/>
    <mergeCell ref="F102:G102"/>
    <mergeCell ref="F103:G103"/>
    <mergeCell ref="F104:G104"/>
    <mergeCell ref="F105:G105"/>
    <mergeCell ref="F106:G106"/>
    <mergeCell ref="F97:G97"/>
    <mergeCell ref="F98:G98"/>
    <mergeCell ref="F99:G99"/>
    <mergeCell ref="F100:G100"/>
    <mergeCell ref="F101:G101"/>
    <mergeCell ref="F92:G92"/>
    <mergeCell ref="F93:G93"/>
    <mergeCell ref="F94:G94"/>
    <mergeCell ref="F95:G95"/>
    <mergeCell ref="F96:G96"/>
    <mergeCell ref="F87:G87"/>
    <mergeCell ref="F88:G88"/>
    <mergeCell ref="F89:G89"/>
    <mergeCell ref="F90:G90"/>
    <mergeCell ref="F91:G91"/>
    <mergeCell ref="F82:G82"/>
    <mergeCell ref="F83:G83"/>
    <mergeCell ref="F84:G84"/>
    <mergeCell ref="F85:G85"/>
    <mergeCell ref="F86:G86"/>
    <mergeCell ref="F77:G77"/>
    <mergeCell ref="F78:G78"/>
    <mergeCell ref="F79:G79"/>
    <mergeCell ref="F80:G80"/>
    <mergeCell ref="F81:G81"/>
    <mergeCell ref="F72:G72"/>
    <mergeCell ref="F73:G73"/>
    <mergeCell ref="F74:G74"/>
    <mergeCell ref="F75:G75"/>
    <mergeCell ref="F76:G76"/>
    <mergeCell ref="F67:G67"/>
    <mergeCell ref="F68:G68"/>
    <mergeCell ref="F69:G69"/>
    <mergeCell ref="F70:G70"/>
    <mergeCell ref="F71:G71"/>
    <mergeCell ref="F63:G63"/>
    <mergeCell ref="F64:G64"/>
    <mergeCell ref="F65:G65"/>
    <mergeCell ref="F66:G66"/>
    <mergeCell ref="F57:G57"/>
    <mergeCell ref="F58:G58"/>
    <mergeCell ref="F59:G59"/>
    <mergeCell ref="F60:G60"/>
    <mergeCell ref="F61:G61"/>
    <mergeCell ref="F54:G54"/>
    <mergeCell ref="F55:G55"/>
    <mergeCell ref="F56:G56"/>
    <mergeCell ref="F47:G47"/>
    <mergeCell ref="F48:G48"/>
    <mergeCell ref="F49:G49"/>
    <mergeCell ref="F50:G50"/>
    <mergeCell ref="F51:G51"/>
    <mergeCell ref="F62:G62"/>
    <mergeCell ref="F45:G45"/>
    <mergeCell ref="F46:G46"/>
    <mergeCell ref="F37:G37"/>
    <mergeCell ref="F38:G38"/>
    <mergeCell ref="F39:G39"/>
    <mergeCell ref="F40:G40"/>
    <mergeCell ref="F41:G41"/>
    <mergeCell ref="F52:G52"/>
    <mergeCell ref="F53:G53"/>
    <mergeCell ref="B438:C438"/>
    <mergeCell ref="F18:G18"/>
    <mergeCell ref="F19:G19"/>
    <mergeCell ref="F20:G20"/>
    <mergeCell ref="F21:G21"/>
    <mergeCell ref="F22:G22"/>
    <mergeCell ref="F23:G23"/>
    <mergeCell ref="F24:G24"/>
    <mergeCell ref="F25:G25"/>
    <mergeCell ref="F26:G26"/>
    <mergeCell ref="F27:G27"/>
    <mergeCell ref="F28:G28"/>
    <mergeCell ref="F29:G29"/>
    <mergeCell ref="F30:G30"/>
    <mergeCell ref="F31:G31"/>
    <mergeCell ref="F32:G32"/>
    <mergeCell ref="B433:C433"/>
    <mergeCell ref="B434:C434"/>
    <mergeCell ref="B435:C435"/>
    <mergeCell ref="B436:C436"/>
    <mergeCell ref="B437:C437"/>
    <mergeCell ref="B428:C428"/>
    <mergeCell ref="B429:C429"/>
    <mergeCell ref="B430:C430"/>
    <mergeCell ref="B431:C431"/>
    <mergeCell ref="B432:C432"/>
    <mergeCell ref="B423:C423"/>
    <mergeCell ref="B424:C424"/>
    <mergeCell ref="B425:C425"/>
    <mergeCell ref="B426:C426"/>
    <mergeCell ref="B427:C427"/>
    <mergeCell ref="B418:C418"/>
    <mergeCell ref="B419:C419"/>
    <mergeCell ref="B420:C420"/>
    <mergeCell ref="B421:C421"/>
    <mergeCell ref="B422:C422"/>
    <mergeCell ref="B413:C413"/>
    <mergeCell ref="B414:C414"/>
    <mergeCell ref="B415:C415"/>
    <mergeCell ref="B416:C416"/>
    <mergeCell ref="B417:C417"/>
    <mergeCell ref="B408:C408"/>
    <mergeCell ref="B409:C409"/>
    <mergeCell ref="B410:C410"/>
    <mergeCell ref="B411:C411"/>
    <mergeCell ref="B412:C412"/>
    <mergeCell ref="B403:C403"/>
    <mergeCell ref="B404:C404"/>
    <mergeCell ref="B405:C405"/>
    <mergeCell ref="B406:C406"/>
    <mergeCell ref="B407:C407"/>
    <mergeCell ref="B398:C398"/>
    <mergeCell ref="B399:C399"/>
    <mergeCell ref="B400:C400"/>
    <mergeCell ref="B401:C401"/>
    <mergeCell ref="B402:C402"/>
    <mergeCell ref="B393:C393"/>
    <mergeCell ref="B394:C394"/>
    <mergeCell ref="B395:C395"/>
    <mergeCell ref="B396:C396"/>
    <mergeCell ref="B397:C397"/>
    <mergeCell ref="B388:C388"/>
    <mergeCell ref="B389:C389"/>
    <mergeCell ref="B390:C390"/>
    <mergeCell ref="B391:C391"/>
    <mergeCell ref="B392:C392"/>
    <mergeCell ref="B383:C383"/>
    <mergeCell ref="B384:C384"/>
    <mergeCell ref="B385:C385"/>
    <mergeCell ref="B386:C386"/>
    <mergeCell ref="B387:C387"/>
    <mergeCell ref="B378:C378"/>
    <mergeCell ref="B379:C379"/>
    <mergeCell ref="B380:C380"/>
    <mergeCell ref="B381:C381"/>
    <mergeCell ref="B382:C382"/>
    <mergeCell ref="B373:C373"/>
    <mergeCell ref="B374:C374"/>
    <mergeCell ref="B375:C375"/>
    <mergeCell ref="B376:C376"/>
    <mergeCell ref="B377:C377"/>
    <mergeCell ref="B368:C368"/>
    <mergeCell ref="B369:C369"/>
    <mergeCell ref="B370:C370"/>
    <mergeCell ref="B371:C371"/>
    <mergeCell ref="B372:C372"/>
    <mergeCell ref="B363:C363"/>
    <mergeCell ref="B364:C364"/>
    <mergeCell ref="B365:C365"/>
    <mergeCell ref="B366:C366"/>
    <mergeCell ref="B367:C367"/>
    <mergeCell ref="B358:C358"/>
    <mergeCell ref="B359:C359"/>
    <mergeCell ref="B360:C360"/>
    <mergeCell ref="B361:C361"/>
    <mergeCell ref="B362:C362"/>
    <mergeCell ref="B353:C353"/>
    <mergeCell ref="B354:C354"/>
    <mergeCell ref="B355:C355"/>
    <mergeCell ref="B356:C356"/>
    <mergeCell ref="B357:C357"/>
    <mergeCell ref="B348:C348"/>
    <mergeCell ref="B349:C349"/>
    <mergeCell ref="B350:C350"/>
    <mergeCell ref="B351:C351"/>
    <mergeCell ref="B352:C352"/>
    <mergeCell ref="B343:C343"/>
    <mergeCell ref="B344:C344"/>
    <mergeCell ref="B345:C345"/>
    <mergeCell ref="B346:C346"/>
    <mergeCell ref="B347:C347"/>
    <mergeCell ref="B338:C338"/>
    <mergeCell ref="B339:C339"/>
    <mergeCell ref="B340:C340"/>
    <mergeCell ref="B341:C341"/>
    <mergeCell ref="B342:C342"/>
    <mergeCell ref="B333:C333"/>
    <mergeCell ref="B334:C334"/>
    <mergeCell ref="B335:C335"/>
    <mergeCell ref="B336:C336"/>
    <mergeCell ref="B337:C337"/>
    <mergeCell ref="B328:C328"/>
    <mergeCell ref="B329:C329"/>
    <mergeCell ref="B330:C330"/>
    <mergeCell ref="B331:C331"/>
    <mergeCell ref="B332:C332"/>
    <mergeCell ref="B323:C323"/>
    <mergeCell ref="B324:C324"/>
    <mergeCell ref="B325:C325"/>
    <mergeCell ref="B326:C326"/>
    <mergeCell ref="B327:C327"/>
    <mergeCell ref="B318:C318"/>
    <mergeCell ref="B319:C319"/>
    <mergeCell ref="B320:C320"/>
    <mergeCell ref="B321:C321"/>
    <mergeCell ref="B322:C322"/>
    <mergeCell ref="B313:C313"/>
    <mergeCell ref="B314:C314"/>
    <mergeCell ref="B315:C315"/>
    <mergeCell ref="B316:C316"/>
    <mergeCell ref="B317:C317"/>
    <mergeCell ref="B308:C308"/>
    <mergeCell ref="B309:C309"/>
    <mergeCell ref="B310:C310"/>
    <mergeCell ref="B311:C311"/>
    <mergeCell ref="B312:C312"/>
    <mergeCell ref="B303:C303"/>
    <mergeCell ref="B304:C304"/>
    <mergeCell ref="B305:C305"/>
    <mergeCell ref="B306:C306"/>
    <mergeCell ref="B307:C307"/>
    <mergeCell ref="B298:C298"/>
    <mergeCell ref="B299:C299"/>
    <mergeCell ref="B300:C300"/>
    <mergeCell ref="B301:C301"/>
    <mergeCell ref="B302:C302"/>
    <mergeCell ref="B293:C293"/>
    <mergeCell ref="B294:C294"/>
    <mergeCell ref="B295:C295"/>
    <mergeCell ref="B296:C296"/>
    <mergeCell ref="B297:C297"/>
    <mergeCell ref="B288:C288"/>
    <mergeCell ref="B289:C289"/>
    <mergeCell ref="B290:C290"/>
    <mergeCell ref="B291:C291"/>
    <mergeCell ref="B292:C292"/>
    <mergeCell ref="B283:C283"/>
    <mergeCell ref="B284:C284"/>
    <mergeCell ref="B285:C285"/>
    <mergeCell ref="B286:C286"/>
    <mergeCell ref="B287:C287"/>
    <mergeCell ref="B278:C278"/>
    <mergeCell ref="B279:C279"/>
    <mergeCell ref="B280:C280"/>
    <mergeCell ref="B281:C281"/>
    <mergeCell ref="B282:C282"/>
    <mergeCell ref="B273:C273"/>
    <mergeCell ref="B274:C274"/>
    <mergeCell ref="B275:C275"/>
    <mergeCell ref="B276:C276"/>
    <mergeCell ref="B277:C277"/>
    <mergeCell ref="B268:C268"/>
    <mergeCell ref="B269:C269"/>
    <mergeCell ref="B270:C270"/>
    <mergeCell ref="B271:C271"/>
    <mergeCell ref="B272:C272"/>
    <mergeCell ref="B263:C263"/>
    <mergeCell ref="B264:C264"/>
    <mergeCell ref="B265:C265"/>
    <mergeCell ref="B266:C266"/>
    <mergeCell ref="B267:C267"/>
    <mergeCell ref="B258:C258"/>
    <mergeCell ref="B259:C259"/>
    <mergeCell ref="B260:C260"/>
    <mergeCell ref="B261:C261"/>
    <mergeCell ref="B262:C262"/>
    <mergeCell ref="B253:C253"/>
    <mergeCell ref="B254:C254"/>
    <mergeCell ref="B255:C255"/>
    <mergeCell ref="B256:C256"/>
    <mergeCell ref="B257:C257"/>
    <mergeCell ref="B248:C248"/>
    <mergeCell ref="B249:C249"/>
    <mergeCell ref="B250:C250"/>
    <mergeCell ref="B251:C251"/>
    <mergeCell ref="B252:C252"/>
    <mergeCell ref="B243:C243"/>
    <mergeCell ref="B244:C244"/>
    <mergeCell ref="B245:C245"/>
    <mergeCell ref="B246:C246"/>
    <mergeCell ref="B247:C247"/>
    <mergeCell ref="B238:C238"/>
    <mergeCell ref="B239:C239"/>
    <mergeCell ref="B240:C240"/>
    <mergeCell ref="B241:C241"/>
    <mergeCell ref="B242:C242"/>
    <mergeCell ref="B233:C233"/>
    <mergeCell ref="B234:C234"/>
    <mergeCell ref="B235:C235"/>
    <mergeCell ref="B236:C236"/>
    <mergeCell ref="B237:C237"/>
    <mergeCell ref="B228:C228"/>
    <mergeCell ref="B229:C229"/>
    <mergeCell ref="B230:C230"/>
    <mergeCell ref="B231:C231"/>
    <mergeCell ref="B232:C232"/>
    <mergeCell ref="B223:C223"/>
    <mergeCell ref="B224:C224"/>
    <mergeCell ref="B225:C225"/>
    <mergeCell ref="B226:C226"/>
    <mergeCell ref="B227:C227"/>
    <mergeCell ref="B218:C218"/>
    <mergeCell ref="B219:C219"/>
    <mergeCell ref="B220:C220"/>
    <mergeCell ref="B221:C221"/>
    <mergeCell ref="B222:C222"/>
    <mergeCell ref="B213:C213"/>
    <mergeCell ref="B214:C214"/>
    <mergeCell ref="B215:C215"/>
    <mergeCell ref="B216:C216"/>
    <mergeCell ref="B217:C217"/>
    <mergeCell ref="B208:C208"/>
    <mergeCell ref="B209:C209"/>
    <mergeCell ref="B210:C210"/>
    <mergeCell ref="B211:C211"/>
    <mergeCell ref="B212:C212"/>
    <mergeCell ref="B203:C203"/>
    <mergeCell ref="B204:C204"/>
    <mergeCell ref="B205:C205"/>
    <mergeCell ref="B206:C206"/>
    <mergeCell ref="B207:C207"/>
    <mergeCell ref="B198:C198"/>
    <mergeCell ref="B199:C199"/>
    <mergeCell ref="B200:C200"/>
    <mergeCell ref="B201:C201"/>
    <mergeCell ref="B202:C202"/>
    <mergeCell ref="B193:C193"/>
    <mergeCell ref="B194:C194"/>
    <mergeCell ref="B195:C195"/>
    <mergeCell ref="B196:C196"/>
    <mergeCell ref="B197:C197"/>
    <mergeCell ref="B188:C188"/>
    <mergeCell ref="B189:C189"/>
    <mergeCell ref="B190:C190"/>
    <mergeCell ref="B191:C191"/>
    <mergeCell ref="B192:C192"/>
    <mergeCell ref="B183:C183"/>
    <mergeCell ref="B184:C184"/>
    <mergeCell ref="B185:C185"/>
    <mergeCell ref="B186:C186"/>
    <mergeCell ref="B187:C187"/>
    <mergeCell ref="B178:C178"/>
    <mergeCell ref="B179:C179"/>
    <mergeCell ref="B180:C180"/>
    <mergeCell ref="B181:C181"/>
    <mergeCell ref="B182:C182"/>
    <mergeCell ref="B173:C173"/>
    <mergeCell ref="B174:C174"/>
    <mergeCell ref="B175:C175"/>
    <mergeCell ref="B176:C176"/>
    <mergeCell ref="B177:C177"/>
    <mergeCell ref="B168:C168"/>
    <mergeCell ref="B169:C169"/>
    <mergeCell ref="B170:C170"/>
    <mergeCell ref="B171:C171"/>
    <mergeCell ref="B172:C172"/>
    <mergeCell ref="B163:C163"/>
    <mergeCell ref="B164:C164"/>
    <mergeCell ref="B165:C165"/>
    <mergeCell ref="B166:C166"/>
    <mergeCell ref="B167:C167"/>
    <mergeCell ref="B158:C158"/>
    <mergeCell ref="B159:C159"/>
    <mergeCell ref="B160:C160"/>
    <mergeCell ref="B161:C161"/>
    <mergeCell ref="B162:C162"/>
    <mergeCell ref="B153:C153"/>
    <mergeCell ref="B154:C154"/>
    <mergeCell ref="B155:C155"/>
    <mergeCell ref="B156:C156"/>
    <mergeCell ref="B157:C157"/>
    <mergeCell ref="B148:C148"/>
    <mergeCell ref="B149:C149"/>
    <mergeCell ref="B150:C150"/>
    <mergeCell ref="B151:C151"/>
    <mergeCell ref="B152:C152"/>
    <mergeCell ref="B143:C143"/>
    <mergeCell ref="B144:C144"/>
    <mergeCell ref="B145:C145"/>
    <mergeCell ref="B146:C146"/>
    <mergeCell ref="B147:C147"/>
    <mergeCell ref="B138:C138"/>
    <mergeCell ref="B139:C139"/>
    <mergeCell ref="B140:C140"/>
    <mergeCell ref="B141:C141"/>
    <mergeCell ref="B142:C142"/>
    <mergeCell ref="B133:C133"/>
    <mergeCell ref="B134:C134"/>
    <mergeCell ref="B135:C135"/>
    <mergeCell ref="B136:C136"/>
    <mergeCell ref="B137:C137"/>
    <mergeCell ref="B128:C128"/>
    <mergeCell ref="B129:C129"/>
    <mergeCell ref="B130:C130"/>
    <mergeCell ref="B131:C131"/>
    <mergeCell ref="B132:C132"/>
    <mergeCell ref="B123:C123"/>
    <mergeCell ref="B124:C124"/>
    <mergeCell ref="B125:C125"/>
    <mergeCell ref="B126:C126"/>
    <mergeCell ref="B127:C127"/>
    <mergeCell ref="B118:C118"/>
    <mergeCell ref="B119:C119"/>
    <mergeCell ref="B120:C120"/>
    <mergeCell ref="B121:C121"/>
    <mergeCell ref="B122:C122"/>
    <mergeCell ref="B113:C113"/>
    <mergeCell ref="B114:C114"/>
    <mergeCell ref="B115:C115"/>
    <mergeCell ref="B116:C116"/>
    <mergeCell ref="B117:C117"/>
    <mergeCell ref="B108:C108"/>
    <mergeCell ref="B109:C109"/>
    <mergeCell ref="B110:C110"/>
    <mergeCell ref="B111:C111"/>
    <mergeCell ref="B112:C112"/>
    <mergeCell ref="B103:C103"/>
    <mergeCell ref="B104:C104"/>
    <mergeCell ref="B105:C105"/>
    <mergeCell ref="B106:C106"/>
    <mergeCell ref="B107:C107"/>
    <mergeCell ref="B98:C98"/>
    <mergeCell ref="B99:C99"/>
    <mergeCell ref="B100:C100"/>
    <mergeCell ref="B101:C101"/>
    <mergeCell ref="B102:C102"/>
    <mergeCell ref="B93:C93"/>
    <mergeCell ref="B94:C94"/>
    <mergeCell ref="B95:C95"/>
    <mergeCell ref="B96:C96"/>
    <mergeCell ref="B97:C97"/>
    <mergeCell ref="B88:C88"/>
    <mergeCell ref="B89:C89"/>
    <mergeCell ref="B90:C90"/>
    <mergeCell ref="B91:C91"/>
    <mergeCell ref="B92:C92"/>
    <mergeCell ref="B83:C83"/>
    <mergeCell ref="B84:C84"/>
    <mergeCell ref="B85:C85"/>
    <mergeCell ref="B86:C86"/>
    <mergeCell ref="B87:C87"/>
    <mergeCell ref="B78:C78"/>
    <mergeCell ref="B79:C79"/>
    <mergeCell ref="B80:C80"/>
    <mergeCell ref="B81:C81"/>
    <mergeCell ref="B82:C82"/>
    <mergeCell ref="B73:C73"/>
    <mergeCell ref="B74:C74"/>
    <mergeCell ref="B75:C75"/>
    <mergeCell ref="B76:C76"/>
    <mergeCell ref="B77:C77"/>
    <mergeCell ref="B68:C68"/>
    <mergeCell ref="B69:C69"/>
    <mergeCell ref="B70:C70"/>
    <mergeCell ref="B71:C71"/>
    <mergeCell ref="B72:C72"/>
    <mergeCell ref="B63:C63"/>
    <mergeCell ref="B64:C64"/>
    <mergeCell ref="B65:C65"/>
    <mergeCell ref="B66:C66"/>
    <mergeCell ref="B67:C67"/>
    <mergeCell ref="B58:C58"/>
    <mergeCell ref="B59:C59"/>
    <mergeCell ref="B60:C60"/>
    <mergeCell ref="B61:C61"/>
    <mergeCell ref="B62:C62"/>
    <mergeCell ref="B54:C54"/>
    <mergeCell ref="B55:C55"/>
    <mergeCell ref="B56:C56"/>
    <mergeCell ref="B57:C57"/>
    <mergeCell ref="B48:C48"/>
    <mergeCell ref="B49:C49"/>
    <mergeCell ref="B50:C50"/>
    <mergeCell ref="B51:C51"/>
    <mergeCell ref="B52:C52"/>
    <mergeCell ref="B45:C45"/>
    <mergeCell ref="B46:C46"/>
    <mergeCell ref="B47:C47"/>
    <mergeCell ref="B38:C38"/>
    <mergeCell ref="B39:C39"/>
    <mergeCell ref="B40:C40"/>
    <mergeCell ref="B41:C41"/>
    <mergeCell ref="B42:C42"/>
    <mergeCell ref="B53:C53"/>
    <mergeCell ref="F11:G11"/>
    <mergeCell ref="B37:C37"/>
    <mergeCell ref="B28:C28"/>
    <mergeCell ref="B29:C29"/>
    <mergeCell ref="B30:C30"/>
    <mergeCell ref="B31:C31"/>
    <mergeCell ref="B32:C32"/>
    <mergeCell ref="B43:C43"/>
    <mergeCell ref="B44:C44"/>
    <mergeCell ref="F42:G42"/>
    <mergeCell ref="F43:G43"/>
    <mergeCell ref="F44:G44"/>
    <mergeCell ref="F35:G35"/>
    <mergeCell ref="F36:G36"/>
    <mergeCell ref="B13:C13"/>
    <mergeCell ref="B17:C17"/>
    <mergeCell ref="B20:C20"/>
    <mergeCell ref="B21:C21"/>
    <mergeCell ref="B22:C22"/>
    <mergeCell ref="B23:C23"/>
    <mergeCell ref="B24:C24"/>
    <mergeCell ref="B25:C25"/>
    <mergeCell ref="B33:C33"/>
    <mergeCell ref="B34:C34"/>
    <mergeCell ref="B35:C35"/>
    <mergeCell ref="B36:C36"/>
    <mergeCell ref="B26:C26"/>
    <mergeCell ref="B27:C27"/>
    <mergeCell ref="D2:E2"/>
    <mergeCell ref="B8:C8"/>
    <mergeCell ref="B9:C9"/>
    <mergeCell ref="B3:C3"/>
    <mergeCell ref="B5:C5"/>
    <mergeCell ref="B6:C6"/>
    <mergeCell ref="B7:C7"/>
    <mergeCell ref="B10:C10"/>
    <mergeCell ref="B11:C11"/>
    <mergeCell ref="N1:R1"/>
    <mergeCell ref="M6:O6"/>
    <mergeCell ref="P6:S6"/>
    <mergeCell ref="M8:O10"/>
    <mergeCell ref="D443:E443"/>
    <mergeCell ref="B439:C439"/>
    <mergeCell ref="B441:C441"/>
    <mergeCell ref="B443:C443"/>
    <mergeCell ref="F10:H10"/>
    <mergeCell ref="B18:C18"/>
    <mergeCell ref="B19:C19"/>
    <mergeCell ref="F442:G442"/>
    <mergeCell ref="F443:G443"/>
    <mergeCell ref="F439:G439"/>
    <mergeCell ref="F440:G440"/>
    <mergeCell ref="F441:G441"/>
    <mergeCell ref="F12:G12"/>
    <mergeCell ref="F17:G17"/>
    <mergeCell ref="F16:G16"/>
    <mergeCell ref="F33:G33"/>
    <mergeCell ref="F34:G34"/>
    <mergeCell ref="B4:C4"/>
    <mergeCell ref="B12:C12"/>
    <mergeCell ref="D1:E1"/>
  </mergeCells>
  <phoneticPr fontId="2"/>
  <conditionalFormatting sqref="F14">
    <cfRule type="expression" dxfId="5" priority="2" stopIfTrue="1">
      <formula>AND(ABS($L$15)&lt;10^$F$14,$L$15&lt;&gt;0)</formula>
    </cfRule>
  </conditionalFormatting>
  <conditionalFormatting sqref="B443:C443">
    <cfRule type="cellIs" dxfId="4" priority="3" stopIfTrue="1" operator="notEqual">
      <formula>$B$12</formula>
    </cfRule>
  </conditionalFormatting>
  <conditionalFormatting sqref="F443:G443">
    <cfRule type="cellIs" dxfId="3" priority="4" stopIfTrue="1" operator="notEqual">
      <formula>$F$12</formula>
    </cfRule>
  </conditionalFormatting>
  <conditionalFormatting sqref="F11">
    <cfRule type="expression" dxfId="2" priority="1">
      <formula>F11="未受領"</formula>
    </cfRule>
  </conditionalFormatting>
  <dataValidations count="2">
    <dataValidation type="list" allowBlank="1" showInputMessage="1" showErrorMessage="1" sqref="J8 F9">
      <formula1>"有り,無し"</formula1>
    </dataValidation>
    <dataValidation type="list" allowBlank="1" showInputMessage="1" showErrorMessage="1" sqref="F11">
      <formula1>"受領済,未受領"</formula1>
    </dataValidation>
  </dataValidations>
  <printOptions headings="1" gridLines="1"/>
  <pageMargins left="0.78740157480314965" right="0.78740157480314965" top="0.98425196850393704" bottom="0.98425196850393704" header="0.51181102362204722" footer="0.51181102362204722"/>
  <pageSetup paperSize="9" scale="7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Macro4">
                <anchor moveWithCells="1" sizeWithCells="1">
                  <from>
                    <xdr:col>8</xdr:col>
                    <xdr:colOff>161925</xdr:colOff>
                    <xdr:row>8</xdr:row>
                    <xdr:rowOff>114300</xdr:rowOff>
                  </from>
                  <to>
                    <xdr:col>9</xdr:col>
                    <xdr:colOff>533400</xdr:colOff>
                    <xdr:row>12</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バックデータ!$A$6:$A$25</xm:f>
          </x14:formula1>
          <xm:sqref>J4</xm:sqref>
        </x14:dataValidation>
        <x14:dataValidation type="list" allowBlank="1" showInputMessage="1" showErrorMessage="1">
          <x14:formula1>
            <xm:f>バックデータ!$A$4:$F$4</xm:f>
          </x14:formula1>
          <xm:sqref>H5</xm:sqref>
        </x14:dataValidation>
        <x14:dataValidation type="list" allowBlank="1" showInputMessage="1" showErrorMessage="1">
          <x14:formula1>
            <xm:f>バックデータ!$A$4:$F$4</xm:f>
          </x14:formula1>
          <xm:sqref>B3:C3</xm:sqref>
        </x14:dataValidation>
        <x14:dataValidation type="list" allowBlank="1" showInputMessage="1" showErrorMessage="1">
          <x14:formula1>
            <xm:f>バックデータ!$A$28:$A$59</xm:f>
          </x14:formula1>
          <xm:sqref>F10:H10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58"/>
  <sheetViews>
    <sheetView showZeros="0" view="pageBreakPreview" topLeftCell="A57" zoomScale="70" zoomScaleNormal="85" zoomScaleSheetLayoutView="70" workbookViewId="0">
      <selection activeCell="A92" sqref="A58:XFD92"/>
    </sheetView>
  </sheetViews>
  <sheetFormatPr defaultRowHeight="13.5" x14ac:dyDescent="0.15"/>
  <cols>
    <col min="1" max="1" width="11" bestFit="1" customWidth="1"/>
    <col min="2" max="2" width="9.5" customWidth="1"/>
    <col min="3" max="3" width="3.375" customWidth="1"/>
    <col min="4" max="4" width="9.5" customWidth="1"/>
    <col min="5" max="5" width="12.125" bestFit="1" customWidth="1"/>
    <col min="6" max="6" width="11" customWidth="1"/>
    <col min="7" max="7" width="6.625" customWidth="1"/>
    <col min="8" max="8" width="2.125" customWidth="1"/>
    <col min="9" max="9" width="13" customWidth="1"/>
    <col min="10" max="10" width="14.75" customWidth="1"/>
    <col min="11" max="11" width="15.5" customWidth="1"/>
    <col min="12" max="12" width="11.25" customWidth="1"/>
    <col min="13" max="13" width="13.375" bestFit="1" customWidth="1"/>
  </cols>
  <sheetData>
    <row r="1" spans="1:13" ht="18" customHeight="1" x14ac:dyDescent="0.15">
      <c r="A1" s="30" t="s">
        <v>10</v>
      </c>
      <c r="B1" s="315">
        <f>+入力表!B4</f>
        <v>43636</v>
      </c>
      <c r="C1" s="316"/>
      <c r="D1" s="316"/>
      <c r="E1" s="31" t="s">
        <v>0</v>
      </c>
      <c r="F1" s="316">
        <f>+入力表!B7</f>
        <v>19000217</v>
      </c>
      <c r="G1" s="316"/>
      <c r="H1" s="316"/>
      <c r="I1" s="31" t="s">
        <v>1</v>
      </c>
      <c r="J1" s="6" t="str">
        <f>+入力表!B3</f>
        <v>由肥明子</v>
      </c>
    </row>
    <row r="2" spans="1:13" ht="18" customHeight="1" x14ac:dyDescent="0.15">
      <c r="A2" s="32" t="s">
        <v>17</v>
      </c>
      <c r="B2" s="319" t="s">
        <v>6</v>
      </c>
      <c r="C2" s="319"/>
      <c r="D2" s="319"/>
      <c r="E2" s="319"/>
      <c r="F2" s="319"/>
      <c r="G2" s="319"/>
      <c r="H2" s="319"/>
      <c r="I2" s="319"/>
      <c r="J2" s="320"/>
    </row>
    <row r="3" spans="1:13" ht="18" customHeight="1" x14ac:dyDescent="0.15">
      <c r="A3" s="7">
        <f>+入力表!B5</f>
        <v>1011</v>
      </c>
      <c r="B3" s="317" t="str">
        <f>+入力表!B6</f>
        <v>1･3号線各駅可動式ホーム柵設置に伴う建築工事設計業務委託</v>
      </c>
      <c r="C3" s="317"/>
      <c r="D3" s="317"/>
      <c r="E3" s="317"/>
      <c r="F3" s="317"/>
      <c r="G3" s="317"/>
      <c r="H3" s="317"/>
      <c r="I3" s="317"/>
      <c r="J3" s="318"/>
    </row>
    <row r="4" spans="1:13" ht="18" customHeight="1" x14ac:dyDescent="0.15">
      <c r="A4" s="32" t="s">
        <v>14</v>
      </c>
      <c r="B4" s="3">
        <f>+入力表!B8</f>
        <v>43636</v>
      </c>
      <c r="C4" s="5" t="s">
        <v>5</v>
      </c>
      <c r="D4" s="4">
        <f>+入力表!B9</f>
        <v>43798</v>
      </c>
      <c r="E4" s="33" t="s">
        <v>7</v>
      </c>
      <c r="F4" s="39" t="str">
        <f>+入力表!B10</f>
        <v>全日本コンサルタント株式会社</v>
      </c>
      <c r="G4" s="40"/>
      <c r="H4" s="41"/>
      <c r="I4" s="33" t="s">
        <v>2</v>
      </c>
      <c r="J4" s="8" t="str">
        <f>+入力表!B11</f>
        <v>06-6646-0030</v>
      </c>
    </row>
    <row r="5" spans="1:13" ht="18" customHeight="1" x14ac:dyDescent="0.15">
      <c r="A5" s="34" t="s">
        <v>3</v>
      </c>
      <c r="B5" s="324">
        <f>IF(+入力表!B12=0,入力表!F12,入力表!B12)</f>
        <v>17841600</v>
      </c>
      <c r="C5" s="324"/>
      <c r="D5" s="325"/>
      <c r="E5" s="9" t="s">
        <v>4</v>
      </c>
      <c r="F5" s="326">
        <f>B5*入力表!D441/(1+入力表!D441)</f>
        <v>1321600</v>
      </c>
      <c r="G5" s="327"/>
      <c r="H5" s="2" t="s">
        <v>8</v>
      </c>
      <c r="I5" s="35" t="s">
        <v>9</v>
      </c>
      <c r="J5" s="94">
        <f>+入力表!B13</f>
        <v>0</v>
      </c>
    </row>
    <row r="6" spans="1:13" ht="18" customHeight="1" x14ac:dyDescent="0.15">
      <c r="A6" s="305" t="s">
        <v>16</v>
      </c>
      <c r="B6" s="306"/>
      <c r="C6" s="306"/>
      <c r="D6" s="306"/>
      <c r="E6" s="307" t="str">
        <f>IF(入力表!F439=0,"",入力表!J16)</f>
        <v/>
      </c>
      <c r="F6" s="308"/>
      <c r="G6" s="309"/>
      <c r="H6" s="308" t="str">
        <f>IF(入力表!F439=0,"",入力表!F16)</f>
        <v/>
      </c>
      <c r="I6" s="308"/>
      <c r="J6" s="310"/>
      <c r="K6" s="67" t="s">
        <v>68</v>
      </c>
      <c r="L6" s="17" t="s">
        <v>69</v>
      </c>
      <c r="M6" s="43" t="s">
        <v>70</v>
      </c>
    </row>
    <row r="7" spans="1:13" ht="18" customHeight="1" x14ac:dyDescent="0.15">
      <c r="A7" s="299">
        <f>+入力表!A17</f>
        <v>0</v>
      </c>
      <c r="B7" s="300"/>
      <c r="C7" s="300"/>
      <c r="D7" s="300"/>
      <c r="E7" s="311">
        <f>+IF(入力表!F$12=0,入力表!B17,入力表!J17)</f>
        <v>0</v>
      </c>
      <c r="F7" s="311"/>
      <c r="G7" s="311"/>
      <c r="H7" s="311" t="str">
        <f>IF(LEN(予定価格!G5)=0,"",IF(AND(LEN(予定価格!G5)=1,LEN(予定価格!H5)=1),0,IF(入力表!$F$439=0,"",入力表!F17)))</f>
        <v/>
      </c>
      <c r="I7" s="311"/>
      <c r="J7" s="312"/>
    </row>
    <row r="8" spans="1:13" ht="18" customHeight="1" x14ac:dyDescent="0.15">
      <c r="A8" s="299">
        <f>+入力表!A18</f>
        <v>0</v>
      </c>
      <c r="B8" s="300"/>
      <c r="C8" s="300"/>
      <c r="D8" s="300"/>
      <c r="E8" s="311">
        <f>+IF(入力表!F$12=0,入力表!B18,入力表!J18)</f>
        <v>0</v>
      </c>
      <c r="F8" s="311"/>
      <c r="G8" s="311"/>
      <c r="H8" s="311" t="str">
        <f>IF(LEN(予定価格!G6)=0,"",IF(AND(LEN(予定価格!G6)=1,LEN(予定価格!H6)=1),0,IF(入力表!$F$439=0,"",入力表!F18)))</f>
        <v/>
      </c>
      <c r="I8" s="311"/>
      <c r="J8" s="312"/>
      <c r="K8" t="s">
        <v>71</v>
      </c>
      <c r="L8" t="s">
        <v>72</v>
      </c>
      <c r="M8" t="s">
        <v>73</v>
      </c>
    </row>
    <row r="9" spans="1:13" ht="18" customHeight="1" x14ac:dyDescent="0.15">
      <c r="A9" s="321" t="str">
        <f>+入力表!A19</f>
        <v>（ア）1号線の部</v>
      </c>
      <c r="B9" s="322"/>
      <c r="C9" s="322"/>
      <c r="D9" s="323"/>
      <c r="E9" s="313">
        <f>SUM(E10:G50)</f>
        <v>15300000</v>
      </c>
      <c r="F9" s="313"/>
      <c r="G9" s="313"/>
      <c r="H9" s="313" t="str">
        <f>IF(LEN(予定価格!G7)=0,"",IF(AND(LEN(予定価格!G7)=1,LEN(予定価格!H7)=1),0,IF(入力表!$F$439=0,"",入力表!F19)))</f>
        <v/>
      </c>
      <c r="I9" s="313"/>
      <c r="J9" s="314"/>
      <c r="K9" s="334">
        <f>SUM(E10:G50)</f>
        <v>15300000</v>
      </c>
      <c r="L9" s="335">
        <f>K9*0.08</f>
        <v>1224000</v>
      </c>
      <c r="M9" s="335">
        <f>K9+L9</f>
        <v>16524000</v>
      </c>
    </row>
    <row r="10" spans="1:13" ht="18" customHeight="1" x14ac:dyDescent="0.15">
      <c r="A10" s="299">
        <f>+入力表!A20</f>
        <v>0</v>
      </c>
      <c r="B10" s="300"/>
      <c r="C10" s="300"/>
      <c r="D10" s="300"/>
      <c r="E10" s="311">
        <f>+IF(入力表!F$12=0,入力表!B20,入力表!J20)</f>
        <v>0</v>
      </c>
      <c r="F10" s="311"/>
      <c r="G10" s="311"/>
      <c r="H10" s="311" t="str">
        <f>IF(LEN(予定価格!G8)=0,"",IF(AND(LEN(予定価格!G8)=1,LEN(予定価格!H8)=1),0,IF(入力表!$F$439=0,"",入力表!F20)))</f>
        <v/>
      </c>
      <c r="I10" s="311"/>
      <c r="J10" s="312"/>
      <c r="K10" s="334"/>
      <c r="L10" s="335"/>
      <c r="M10" s="335"/>
    </row>
    <row r="11" spans="1:13" ht="18" customHeight="1" x14ac:dyDescent="0.15">
      <c r="A11" s="299" t="str">
        <f>+入力表!A21</f>
        <v>江坂駅</v>
      </c>
      <c r="B11" s="300"/>
      <c r="C11" s="300"/>
      <c r="D11" s="300"/>
      <c r="E11" s="311">
        <f>+IF(入力表!F$12=0,入力表!B21,入力表!J21)</f>
        <v>740000</v>
      </c>
      <c r="F11" s="311"/>
      <c r="G11" s="311"/>
      <c r="H11" s="311" t="str">
        <f>IF(LEN(予定価格!G9)=0,"",IF(AND(LEN(予定価格!G9)=1,LEN(予定価格!H9)=1),0,IF(入力表!$F$439=0,"",入力表!F21)))</f>
        <v/>
      </c>
      <c r="I11" s="311"/>
      <c r="J11" s="312"/>
      <c r="K11" s="334"/>
      <c r="L11" s="335"/>
      <c r="M11" s="335"/>
    </row>
    <row r="12" spans="1:13" ht="18" customHeight="1" x14ac:dyDescent="0.15">
      <c r="A12" s="299" t="str">
        <f>+入力表!A22</f>
        <v>東三国駅</v>
      </c>
      <c r="B12" s="300"/>
      <c r="C12" s="300"/>
      <c r="D12" s="300"/>
      <c r="E12" s="311">
        <f>+IF(入力表!F$12=0,入力表!B22,入力表!J22)</f>
        <v>760000</v>
      </c>
      <c r="F12" s="311"/>
      <c r="G12" s="311"/>
      <c r="H12" s="311" t="str">
        <f>IF(LEN(予定価格!G10)=0,"",IF(AND(LEN(予定価格!G10)=1,LEN(予定価格!H10)=1),0,IF(入力表!$F$439=0,"",入力表!F22)))</f>
        <v/>
      </c>
      <c r="I12" s="311"/>
      <c r="J12" s="312"/>
      <c r="K12" s="334"/>
      <c r="L12" s="335"/>
      <c r="M12" s="335"/>
    </row>
    <row r="13" spans="1:13" ht="18" customHeight="1" x14ac:dyDescent="0.15">
      <c r="A13" s="299" t="str">
        <f>+入力表!A23</f>
        <v>新大阪駅</v>
      </c>
      <c r="B13" s="300"/>
      <c r="C13" s="300"/>
      <c r="D13" s="300"/>
      <c r="E13" s="311">
        <f>+IF(入力表!F$12=0,入力表!B23,入力表!J23)</f>
        <v>1030000</v>
      </c>
      <c r="F13" s="311"/>
      <c r="G13" s="311"/>
      <c r="H13" s="311" t="str">
        <f>IF(LEN(予定価格!G11)=0,"",IF(AND(LEN(予定価格!G11)=1,LEN(予定価格!H11)=1),0,IF(入力表!$F$439=0,"",入力表!F23)))</f>
        <v/>
      </c>
      <c r="I13" s="311"/>
      <c r="J13" s="312"/>
      <c r="K13" s="334"/>
      <c r="L13" s="335"/>
      <c r="M13" s="335"/>
    </row>
    <row r="14" spans="1:13" ht="18" customHeight="1" x14ac:dyDescent="0.15">
      <c r="A14" s="299" t="str">
        <f>+入力表!A24</f>
        <v>西中島南方駅</v>
      </c>
      <c r="B14" s="300"/>
      <c r="C14" s="300"/>
      <c r="D14" s="300"/>
      <c r="E14" s="311">
        <f>+IF(入力表!F$12=0,入力表!B24,入力表!J24)</f>
        <v>800000</v>
      </c>
      <c r="F14" s="311"/>
      <c r="G14" s="311"/>
      <c r="H14" s="311" t="str">
        <f>IF(LEN(予定価格!G12)=0,"",IF(AND(LEN(予定価格!G12)=1,LEN(予定価格!H12)=1),0,IF(入力表!$F$439=0,"",入力表!F24)))</f>
        <v/>
      </c>
      <c r="I14" s="311"/>
      <c r="J14" s="312"/>
      <c r="K14" s="334"/>
      <c r="L14" s="335"/>
      <c r="M14" s="335"/>
    </row>
    <row r="15" spans="1:13" ht="18" customHeight="1" x14ac:dyDescent="0.15">
      <c r="A15" s="299" t="str">
        <f>+入力表!A25</f>
        <v>中津駅</v>
      </c>
      <c r="B15" s="300"/>
      <c r="C15" s="300"/>
      <c r="D15" s="300"/>
      <c r="E15" s="311">
        <f>+IF(入力表!F$12=0,入力表!B25,入力表!J25)</f>
        <v>740000</v>
      </c>
      <c r="F15" s="311"/>
      <c r="G15" s="311"/>
      <c r="H15" s="311" t="str">
        <f>IF(LEN(予定価格!G13)=0,"",IF(AND(LEN(予定価格!G13)=1,LEN(予定価格!H13)=1),0,IF(入力表!$F$439=0,"",入力表!F25)))</f>
        <v/>
      </c>
      <c r="I15" s="311"/>
      <c r="J15" s="312"/>
      <c r="K15" s="334"/>
      <c r="L15" s="335"/>
      <c r="M15" s="335"/>
    </row>
    <row r="16" spans="1:13" ht="18" customHeight="1" x14ac:dyDescent="0.15">
      <c r="A16" s="299" t="str">
        <f>+入力表!A26</f>
        <v>梅田駅</v>
      </c>
      <c r="B16" s="300"/>
      <c r="C16" s="300"/>
      <c r="D16" s="300"/>
      <c r="E16" s="311">
        <f>+IF(入力表!F$12=0,入力表!B26,入力表!J26)</f>
        <v>1430000</v>
      </c>
      <c r="F16" s="311"/>
      <c r="G16" s="311"/>
      <c r="H16" s="311" t="str">
        <f>IF(LEN(予定価格!G14)=0,"",IF(AND(LEN(予定価格!G14)=1,LEN(予定価格!H14)=1),0,IF(入力表!$F$439=0,"",入力表!F26)))</f>
        <v/>
      </c>
      <c r="I16" s="311"/>
      <c r="J16" s="312"/>
      <c r="K16" s="334"/>
      <c r="L16" s="335"/>
      <c r="M16" s="335"/>
    </row>
    <row r="17" spans="1:13" ht="18" customHeight="1" x14ac:dyDescent="0.15">
      <c r="A17" s="299" t="str">
        <f>+入力表!A27</f>
        <v>淀屋橋駅</v>
      </c>
      <c r="B17" s="300"/>
      <c r="C17" s="300"/>
      <c r="D17" s="300"/>
      <c r="E17" s="311">
        <f>+IF(入力表!F$12=0,入力表!B27,入力表!J27)</f>
        <v>740000</v>
      </c>
      <c r="F17" s="311"/>
      <c r="G17" s="311"/>
      <c r="H17" s="311" t="str">
        <f>IF(LEN(予定価格!G15)=0,"",IF(AND(LEN(予定価格!G15)=1,LEN(予定価格!H15)=1),0,IF(入力表!$F$439=0,"",入力表!F27)))</f>
        <v/>
      </c>
      <c r="I17" s="311"/>
      <c r="J17" s="312"/>
      <c r="K17" s="334"/>
      <c r="L17" s="335"/>
      <c r="M17" s="335"/>
    </row>
    <row r="18" spans="1:13" ht="18" customHeight="1" x14ac:dyDescent="0.15">
      <c r="A18" s="299" t="str">
        <f>+入力表!A28</f>
        <v>R1本町駅</v>
      </c>
      <c r="B18" s="300"/>
      <c r="C18" s="300"/>
      <c r="D18" s="300"/>
      <c r="E18" s="311">
        <f>+IF(入力表!F$12=0,入力表!B28,入力表!J28)</f>
        <v>720000</v>
      </c>
      <c r="F18" s="311"/>
      <c r="G18" s="311"/>
      <c r="H18" s="311" t="str">
        <f>IF(LEN(予定価格!G16)=0,"",IF(AND(LEN(予定価格!G16)=1,LEN(予定価格!H16)=1),0,IF(入力表!$F$439=0,"",入力表!F28)))</f>
        <v/>
      </c>
      <c r="I18" s="311"/>
      <c r="J18" s="312"/>
      <c r="K18" s="334"/>
      <c r="L18" s="335"/>
      <c r="M18" s="335"/>
    </row>
    <row r="19" spans="1:13" ht="18" customHeight="1" x14ac:dyDescent="0.15">
      <c r="A19" s="299" t="str">
        <f>+入力表!A29</f>
        <v>R1なんば駅</v>
      </c>
      <c r="B19" s="300"/>
      <c r="C19" s="300"/>
      <c r="D19" s="300"/>
      <c r="E19" s="311">
        <f>+IF(入力表!F$12=0,入力表!B29,入力表!J29)</f>
        <v>1180000</v>
      </c>
      <c r="F19" s="311"/>
      <c r="G19" s="311"/>
      <c r="H19" s="311" t="str">
        <f>IF(LEN(予定価格!G17)=0,"",IF(AND(LEN(予定価格!G17)=1,LEN(予定価格!H17)=1),0,IF(入力表!$F$439=0,"",入力表!F29)))</f>
        <v/>
      </c>
      <c r="I19" s="311"/>
      <c r="J19" s="312"/>
      <c r="K19" s="334"/>
      <c r="L19" s="335"/>
      <c r="M19" s="335"/>
    </row>
    <row r="20" spans="1:13" ht="18" customHeight="1" x14ac:dyDescent="0.15">
      <c r="A20" s="299" t="str">
        <f>+入力表!A30</f>
        <v>R1大国町駅</v>
      </c>
      <c r="B20" s="300"/>
      <c r="C20" s="300"/>
      <c r="D20" s="300"/>
      <c r="E20" s="311">
        <f>+IF(入力表!F$12=0,入力表!B30,入力表!J30)</f>
        <v>460000</v>
      </c>
      <c r="F20" s="311"/>
      <c r="G20" s="311"/>
      <c r="H20" s="311" t="str">
        <f>IF(LEN(予定価格!G18)=0,"",IF(AND(LEN(予定価格!G18)=1,LEN(予定価格!H18)=1),0,IF(入力表!$F$439=0,"",入力表!F30)))</f>
        <v/>
      </c>
      <c r="I20" s="311"/>
      <c r="J20" s="312"/>
      <c r="K20" s="334"/>
      <c r="L20" s="335"/>
      <c r="M20" s="335"/>
    </row>
    <row r="21" spans="1:13" ht="18" customHeight="1" x14ac:dyDescent="0.15">
      <c r="A21" s="299" t="str">
        <f>+入力表!A31</f>
        <v>動物園前駅</v>
      </c>
      <c r="B21" s="300"/>
      <c r="C21" s="300"/>
      <c r="D21" s="300"/>
      <c r="E21" s="311">
        <f>+IF(入力表!F$12=0,入力表!B31,入力表!J31)</f>
        <v>810000</v>
      </c>
      <c r="F21" s="311"/>
      <c r="G21" s="311"/>
      <c r="H21" s="311" t="str">
        <f>IF(LEN(予定価格!G19)=0,"",IF(AND(LEN(予定価格!G19)=1,LEN(予定価格!H19)=1),0,IF(入力表!$F$439=0,"",入力表!F31)))</f>
        <v/>
      </c>
      <c r="I21" s="311"/>
      <c r="J21" s="312"/>
      <c r="K21" s="334"/>
      <c r="L21" s="335"/>
      <c r="M21" s="335"/>
    </row>
    <row r="22" spans="1:13" ht="18" customHeight="1" x14ac:dyDescent="0.15">
      <c r="A22" s="299" t="str">
        <f>+入力表!A32</f>
        <v>昭和町駅</v>
      </c>
      <c r="B22" s="300"/>
      <c r="C22" s="300"/>
      <c r="D22" s="300"/>
      <c r="E22" s="311">
        <f>+IF(入力表!F$12=0,入力表!B32,入力表!J32)</f>
        <v>760000</v>
      </c>
      <c r="F22" s="311"/>
      <c r="G22" s="311"/>
      <c r="H22" s="311" t="str">
        <f>IF(LEN(予定価格!G20)=0,"",IF(AND(LEN(予定価格!G20)=1,LEN(予定価格!H20)=1),0,IF(入力表!$F$439=0,"",入力表!F32)))</f>
        <v/>
      </c>
      <c r="I22" s="311"/>
      <c r="J22" s="312"/>
      <c r="K22" s="334"/>
      <c r="L22" s="335"/>
      <c r="M22" s="335"/>
    </row>
    <row r="23" spans="1:13" ht="18" customHeight="1" x14ac:dyDescent="0.15">
      <c r="A23" s="299" t="str">
        <f>+入力表!A33</f>
        <v>西田辺駅</v>
      </c>
      <c r="B23" s="300"/>
      <c r="C23" s="300"/>
      <c r="D23" s="300"/>
      <c r="E23" s="311">
        <f>+IF(入力表!F$12=0,入力表!B33,入力表!J33)</f>
        <v>730000</v>
      </c>
      <c r="F23" s="311"/>
      <c r="G23" s="311"/>
      <c r="H23" s="311" t="str">
        <f>IF(LEN(予定価格!G21)=0,"",IF(AND(LEN(予定価格!G21)=1,LEN(予定価格!H21)=1),0,IF(入力表!$F$439=0,"",入力表!F33)))</f>
        <v/>
      </c>
      <c r="I23" s="311"/>
      <c r="J23" s="312"/>
      <c r="K23" s="334"/>
      <c r="L23" s="335"/>
      <c r="M23" s="335"/>
    </row>
    <row r="24" spans="1:13" ht="18" customHeight="1" x14ac:dyDescent="0.15">
      <c r="A24" s="299" t="str">
        <f>+入力表!A34</f>
        <v>長居駅</v>
      </c>
      <c r="B24" s="300"/>
      <c r="C24" s="300"/>
      <c r="D24" s="300"/>
      <c r="E24" s="311">
        <f>+IF(入力表!F$12=0,入力表!B34,入力表!J34)</f>
        <v>1080000</v>
      </c>
      <c r="F24" s="311"/>
      <c r="G24" s="311"/>
      <c r="H24" s="311" t="str">
        <f>IF(LEN(予定価格!G22)=0,"",IF(AND(LEN(予定価格!G22)=1,LEN(予定価格!H22)=1),0,IF(入力表!$F$439=0,"",入力表!F34)))</f>
        <v/>
      </c>
      <c r="I24" s="311"/>
      <c r="J24" s="312"/>
      <c r="K24" s="334"/>
      <c r="L24" s="335"/>
      <c r="M24" s="335"/>
    </row>
    <row r="25" spans="1:13" ht="18" customHeight="1" x14ac:dyDescent="0.15">
      <c r="A25" s="299" t="str">
        <f>+入力表!A35</f>
        <v>あびこ駅</v>
      </c>
      <c r="B25" s="300"/>
      <c r="C25" s="300"/>
      <c r="D25" s="300"/>
      <c r="E25" s="311">
        <f>+IF(入力表!F$12=0,入力表!B35,入力表!J35)</f>
        <v>980000</v>
      </c>
      <c r="F25" s="311"/>
      <c r="G25" s="311"/>
      <c r="H25" s="311" t="str">
        <f>IF(LEN(予定価格!G23)=0,"",IF(AND(LEN(予定価格!G23)=1,LEN(予定価格!H23)=1),0,IF(入力表!$F$439=0,"",入力表!F35)))</f>
        <v/>
      </c>
      <c r="I25" s="311"/>
      <c r="J25" s="312"/>
      <c r="K25" s="334"/>
      <c r="L25" s="335"/>
      <c r="M25" s="335"/>
    </row>
    <row r="26" spans="1:13" ht="18" customHeight="1" x14ac:dyDescent="0.15">
      <c r="A26" s="299" t="str">
        <f>+入力表!A36</f>
        <v>北花田駅</v>
      </c>
      <c r="B26" s="300"/>
      <c r="C26" s="300"/>
      <c r="D26" s="300"/>
      <c r="E26" s="311">
        <f>+IF(入力表!F$12=0,入力表!B36,入力表!J36)</f>
        <v>770000</v>
      </c>
      <c r="F26" s="311"/>
      <c r="G26" s="311"/>
      <c r="H26" s="311" t="str">
        <f>IF(LEN(予定価格!G24)=0,"",IF(AND(LEN(予定価格!G24)=1,LEN(予定価格!H24)=1),0,IF(入力表!$F$439=0,"",入力表!F36)))</f>
        <v/>
      </c>
      <c r="I26" s="311"/>
      <c r="J26" s="312"/>
      <c r="K26" s="334"/>
      <c r="L26" s="335"/>
      <c r="M26" s="335"/>
    </row>
    <row r="27" spans="1:13" ht="18" customHeight="1" x14ac:dyDescent="0.15">
      <c r="A27" s="299" t="str">
        <f>+入力表!A37</f>
        <v>新金岡駅</v>
      </c>
      <c r="B27" s="300"/>
      <c r="C27" s="300"/>
      <c r="D27" s="300"/>
      <c r="E27" s="311">
        <f>+IF(入力表!F$12=0,入力表!B37,入力表!J37)</f>
        <v>790000</v>
      </c>
      <c r="F27" s="311"/>
      <c r="G27" s="311"/>
      <c r="H27" s="311" t="str">
        <f>IF(LEN(予定価格!G25)=0,"",IF(AND(LEN(予定価格!G25)=1,LEN(予定価格!H25)=1),0,IF(入力表!$F$439=0,"",入力表!F37)))</f>
        <v/>
      </c>
      <c r="I27" s="311"/>
      <c r="J27" s="312"/>
      <c r="K27" s="334"/>
      <c r="L27" s="335"/>
      <c r="M27" s="335"/>
    </row>
    <row r="28" spans="1:13" ht="18" customHeight="1" x14ac:dyDescent="0.15">
      <c r="A28" s="299" t="str">
        <f>+入力表!A38</f>
        <v>なかもず駅</v>
      </c>
      <c r="B28" s="300"/>
      <c r="C28" s="300"/>
      <c r="D28" s="300"/>
      <c r="E28" s="311">
        <f>+IF(入力表!F$12=0,入力表!B38,入力表!J38)</f>
        <v>780000</v>
      </c>
      <c r="F28" s="311"/>
      <c r="G28" s="311"/>
      <c r="H28" s="311" t="str">
        <f>IF(LEN(予定価格!G26)=0,"",IF(AND(LEN(予定価格!G26)=1,LEN(予定価格!H26)=1),0,IF(入力表!$F$439=0,"",入力表!F38)))</f>
        <v/>
      </c>
      <c r="I28" s="311"/>
      <c r="J28" s="312"/>
      <c r="K28" s="334"/>
      <c r="L28" s="335"/>
      <c r="M28" s="335"/>
    </row>
    <row r="29" spans="1:13" ht="18" customHeight="1" x14ac:dyDescent="0.15">
      <c r="A29" s="299">
        <f>+入力表!A39</f>
        <v>0</v>
      </c>
      <c r="B29" s="300"/>
      <c r="C29" s="300"/>
      <c r="D29" s="300"/>
      <c r="E29" s="311">
        <f>+IF(入力表!F$12=0,入力表!B39,入力表!J39)</f>
        <v>0</v>
      </c>
      <c r="F29" s="311"/>
      <c r="G29" s="311"/>
      <c r="H29" s="311" t="str">
        <f>IF(LEN(予定価格!G27)=0,"",IF(AND(LEN(予定価格!G27)=1,LEN(予定価格!H27)=1),0,IF(入力表!$F$439=0,"",入力表!F39)))</f>
        <v/>
      </c>
      <c r="I29" s="311"/>
      <c r="J29" s="312"/>
      <c r="K29" s="334"/>
      <c r="L29" s="335"/>
      <c r="M29" s="335"/>
    </row>
    <row r="30" spans="1:13" ht="18" customHeight="1" x14ac:dyDescent="0.15">
      <c r="A30" s="299">
        <f>+入力表!A40</f>
        <v>0</v>
      </c>
      <c r="B30" s="300"/>
      <c r="C30" s="300"/>
      <c r="D30" s="300"/>
      <c r="E30" s="311">
        <f>+IF(入力表!F$12=0,入力表!B40,入力表!J40)</f>
        <v>0</v>
      </c>
      <c r="F30" s="311"/>
      <c r="G30" s="311"/>
      <c r="H30" s="311" t="str">
        <f>IF(LEN(予定価格!G28)=0,"",IF(AND(LEN(予定価格!G28)=1,LEN(予定価格!H28)=1),0,IF(入力表!$F$439=0,"",入力表!F40)))</f>
        <v/>
      </c>
      <c r="I30" s="311"/>
      <c r="J30" s="312"/>
      <c r="K30" s="334"/>
      <c r="L30" s="335"/>
      <c r="M30" s="335"/>
    </row>
    <row r="31" spans="1:13" ht="18" customHeight="1" x14ac:dyDescent="0.15">
      <c r="A31" s="299">
        <f>+入力表!A41</f>
        <v>0</v>
      </c>
      <c r="B31" s="300"/>
      <c r="C31" s="300"/>
      <c r="D31" s="300"/>
      <c r="E31" s="311">
        <f>+IF(入力表!F$12=0,入力表!B41,入力表!J41)</f>
        <v>0</v>
      </c>
      <c r="F31" s="311"/>
      <c r="G31" s="311"/>
      <c r="H31" s="311" t="str">
        <f>IF(LEN(予定価格!G29)=0,"",IF(AND(LEN(予定価格!G29)=1,LEN(予定価格!H29)=1),0,IF(入力表!$F$439=0,"",入力表!F41)))</f>
        <v/>
      </c>
      <c r="I31" s="311"/>
      <c r="J31" s="312"/>
      <c r="K31" s="334"/>
      <c r="L31" s="335"/>
      <c r="M31" s="335"/>
    </row>
    <row r="32" spans="1:13" ht="18" hidden="1" customHeight="1" x14ac:dyDescent="0.15">
      <c r="A32" s="299">
        <f>+入力表!A42</f>
        <v>0</v>
      </c>
      <c r="B32" s="300"/>
      <c r="C32" s="300"/>
      <c r="D32" s="300"/>
      <c r="E32" s="311">
        <f>+IF(入力表!F$12=0,入力表!B42,入力表!J42)</f>
        <v>0</v>
      </c>
      <c r="F32" s="311"/>
      <c r="G32" s="311"/>
      <c r="H32" s="311" t="str">
        <f>IF(LEN(予定価格!G30)=0,"",IF(AND(LEN(予定価格!G30)=1,LEN(予定価格!H30)=1),0,IF(入力表!$F$439=0,"",入力表!F42)))</f>
        <v/>
      </c>
      <c r="I32" s="311"/>
      <c r="J32" s="312"/>
      <c r="K32" s="334"/>
      <c r="L32" s="335"/>
      <c r="M32" s="335"/>
    </row>
    <row r="33" spans="1:13" ht="18" hidden="1" customHeight="1" x14ac:dyDescent="0.15">
      <c r="A33" s="299">
        <f>+入力表!A43</f>
        <v>0</v>
      </c>
      <c r="B33" s="300"/>
      <c r="C33" s="300"/>
      <c r="D33" s="300"/>
      <c r="E33" s="311">
        <f>+IF(入力表!F$12=0,入力表!B43,入力表!J43)</f>
        <v>0</v>
      </c>
      <c r="F33" s="311"/>
      <c r="G33" s="311"/>
      <c r="H33" s="311" t="str">
        <f>IF(LEN(予定価格!G31)=0,"",IF(AND(LEN(予定価格!G31)=1,LEN(予定価格!H31)=1),0,IF(入力表!$F$439=0,"",入力表!F43)))</f>
        <v/>
      </c>
      <c r="I33" s="311"/>
      <c r="J33" s="312"/>
      <c r="K33" s="334"/>
      <c r="L33" s="335"/>
      <c r="M33" s="335"/>
    </row>
    <row r="34" spans="1:13" ht="18" hidden="1" customHeight="1" x14ac:dyDescent="0.15">
      <c r="A34" s="299">
        <f>+入力表!A44</f>
        <v>0</v>
      </c>
      <c r="B34" s="300"/>
      <c r="C34" s="300"/>
      <c r="D34" s="300"/>
      <c r="E34" s="311">
        <f>+IF(入力表!F$12=0,入力表!B44,入力表!J44)</f>
        <v>0</v>
      </c>
      <c r="F34" s="311"/>
      <c r="G34" s="311"/>
      <c r="H34" s="311" t="str">
        <f>IF(LEN(予定価格!G32)=0,"",IF(AND(LEN(予定価格!G32)=1,LEN(予定価格!H32)=1),0,IF(入力表!$F$439=0,"",入力表!F44)))</f>
        <v/>
      </c>
      <c r="I34" s="311"/>
      <c r="J34" s="312"/>
      <c r="K34" s="334"/>
      <c r="L34" s="335"/>
      <c r="M34" s="335"/>
    </row>
    <row r="35" spans="1:13" ht="18" hidden="1" customHeight="1" x14ac:dyDescent="0.15">
      <c r="A35" s="299">
        <f>+入力表!A45</f>
        <v>0</v>
      </c>
      <c r="B35" s="300"/>
      <c r="C35" s="300"/>
      <c r="D35" s="300"/>
      <c r="E35" s="311">
        <f>+IF(入力表!F$12=0,入力表!B45,入力表!J45)</f>
        <v>0</v>
      </c>
      <c r="F35" s="311"/>
      <c r="G35" s="311"/>
      <c r="H35" s="311" t="str">
        <f>IF(LEN(予定価格!G33)=0,"",IF(AND(LEN(予定価格!G33)=1,LEN(予定価格!H33)=1),0,IF(入力表!$F$439=0,"",入力表!F45)))</f>
        <v/>
      </c>
      <c r="I35" s="311"/>
      <c r="J35" s="312"/>
      <c r="K35" s="334"/>
      <c r="L35" s="335"/>
      <c r="M35" s="335"/>
    </row>
    <row r="36" spans="1:13" ht="18" hidden="1" customHeight="1" x14ac:dyDescent="0.15">
      <c r="A36" s="299">
        <f>+入力表!A46</f>
        <v>0</v>
      </c>
      <c r="B36" s="300"/>
      <c r="C36" s="300"/>
      <c r="D36" s="300"/>
      <c r="E36" s="311">
        <f>+IF(入力表!F$12=0,入力表!B46,入力表!J46)</f>
        <v>0</v>
      </c>
      <c r="F36" s="311"/>
      <c r="G36" s="311"/>
      <c r="H36" s="311" t="str">
        <f>IF(LEN(予定価格!G34)=0,"",IF(AND(LEN(予定価格!G34)=1,LEN(予定価格!H34)=1),0,IF(入力表!$F$439=0,"",入力表!F46)))</f>
        <v/>
      </c>
      <c r="I36" s="311"/>
      <c r="J36" s="312"/>
      <c r="K36" s="334"/>
      <c r="L36" s="335"/>
      <c r="M36" s="335"/>
    </row>
    <row r="37" spans="1:13" ht="18" hidden="1" customHeight="1" x14ac:dyDescent="0.15">
      <c r="A37" s="299">
        <f>+入力表!A47</f>
        <v>0</v>
      </c>
      <c r="B37" s="300"/>
      <c r="C37" s="300"/>
      <c r="D37" s="300"/>
      <c r="E37" s="311">
        <f>+IF(入力表!F$12=0,入力表!B47,入力表!J47)</f>
        <v>0</v>
      </c>
      <c r="F37" s="311"/>
      <c r="G37" s="311"/>
      <c r="H37" s="311" t="str">
        <f>IF(LEN(予定価格!G35)=0,"",IF(AND(LEN(予定価格!G35)=1,LEN(予定価格!H35)=1),0,IF(入力表!$F$439=0,"",入力表!F47)))</f>
        <v/>
      </c>
      <c r="I37" s="311"/>
      <c r="J37" s="312"/>
      <c r="K37" s="334"/>
      <c r="L37" s="335"/>
      <c r="M37" s="335"/>
    </row>
    <row r="38" spans="1:13" ht="18" hidden="1" customHeight="1" x14ac:dyDescent="0.15">
      <c r="A38" s="299">
        <f>+入力表!A48</f>
        <v>0</v>
      </c>
      <c r="B38" s="300"/>
      <c r="C38" s="300"/>
      <c r="D38" s="300"/>
      <c r="E38" s="311">
        <f>+IF(入力表!F$12=0,入力表!B48,入力表!J48)</f>
        <v>0</v>
      </c>
      <c r="F38" s="311"/>
      <c r="G38" s="311"/>
      <c r="H38" s="311" t="str">
        <f>IF(LEN(予定価格!G36)=0,"",IF(AND(LEN(予定価格!G36)=1,LEN(予定価格!H36)=1),0,IF(入力表!$F$439=0,"",入力表!F48)))</f>
        <v/>
      </c>
      <c r="I38" s="311"/>
      <c r="J38" s="312"/>
      <c r="K38" s="334"/>
      <c r="L38" s="335"/>
      <c r="M38" s="335"/>
    </row>
    <row r="39" spans="1:13" ht="18" hidden="1" customHeight="1" x14ac:dyDescent="0.15">
      <c r="A39" s="299">
        <f>+入力表!A49</f>
        <v>0</v>
      </c>
      <c r="B39" s="300"/>
      <c r="C39" s="300"/>
      <c r="D39" s="300"/>
      <c r="E39" s="311">
        <f>+IF(入力表!F$12=0,入力表!B49,入力表!J49)</f>
        <v>0</v>
      </c>
      <c r="F39" s="311"/>
      <c r="G39" s="311"/>
      <c r="H39" s="311" t="str">
        <f>IF(LEN(予定価格!G37)=0,"",IF(AND(LEN(予定価格!G37)=1,LEN(予定価格!H37)=1),0,IF(入力表!$F$439=0,"",入力表!F49)))</f>
        <v/>
      </c>
      <c r="I39" s="311"/>
      <c r="J39" s="312"/>
      <c r="K39" s="334"/>
      <c r="L39" s="335"/>
      <c r="M39" s="335"/>
    </row>
    <row r="40" spans="1:13" ht="18" hidden="1" customHeight="1" x14ac:dyDescent="0.15">
      <c r="A40" s="299">
        <f>+入力表!A50</f>
        <v>0</v>
      </c>
      <c r="B40" s="300"/>
      <c r="C40" s="300"/>
      <c r="D40" s="300"/>
      <c r="E40" s="311">
        <f>+IF(入力表!F$12=0,入力表!B50,入力表!J50)</f>
        <v>0</v>
      </c>
      <c r="F40" s="311"/>
      <c r="G40" s="311"/>
      <c r="H40" s="311" t="str">
        <f>IF(LEN(予定価格!G38)=0,"",IF(AND(LEN(予定価格!G38)=1,LEN(予定価格!H38)=1),0,IF(入力表!$F$439=0,"",入力表!F50)))</f>
        <v/>
      </c>
      <c r="I40" s="311"/>
      <c r="J40" s="312"/>
      <c r="K40" s="334"/>
      <c r="L40" s="335"/>
      <c r="M40" s="335"/>
    </row>
    <row r="41" spans="1:13" ht="18" hidden="1" customHeight="1" x14ac:dyDescent="0.15">
      <c r="A41" s="299">
        <f>+入力表!A51</f>
        <v>0</v>
      </c>
      <c r="B41" s="300"/>
      <c r="C41" s="300"/>
      <c r="D41" s="300"/>
      <c r="E41" s="311">
        <f>+IF(入力表!F$12=0,入力表!B51,入力表!J51)</f>
        <v>0</v>
      </c>
      <c r="F41" s="311"/>
      <c r="G41" s="311"/>
      <c r="H41" s="311" t="str">
        <f>IF(LEN(予定価格!G39)=0,"",IF(AND(LEN(予定価格!G39)=1,LEN(予定価格!H39)=1),0,IF(入力表!$F$439=0,"",入力表!F51)))</f>
        <v/>
      </c>
      <c r="I41" s="311"/>
      <c r="J41" s="312"/>
      <c r="K41" s="334"/>
      <c r="L41" s="335"/>
      <c r="M41" s="335"/>
    </row>
    <row r="42" spans="1:13" ht="18" hidden="1" customHeight="1" x14ac:dyDescent="0.15">
      <c r="A42" s="299">
        <f>+入力表!A52</f>
        <v>0</v>
      </c>
      <c r="B42" s="300"/>
      <c r="C42" s="300"/>
      <c r="D42" s="300"/>
      <c r="E42" s="311">
        <f>+IF(入力表!F$12=0,入力表!B52,入力表!J52)</f>
        <v>0</v>
      </c>
      <c r="F42" s="311"/>
      <c r="G42" s="311"/>
      <c r="H42" s="311" t="str">
        <f>IF(LEN(予定価格!G40)=0,"",IF(AND(LEN(予定価格!G40)=1,LEN(予定価格!H40)=1),0,IF(入力表!$F$439=0,"",入力表!F52)))</f>
        <v/>
      </c>
      <c r="I42" s="311"/>
      <c r="J42" s="312"/>
      <c r="K42" s="334"/>
      <c r="L42" s="335"/>
      <c r="M42" s="335"/>
    </row>
    <row r="43" spans="1:13" ht="18" hidden="1" customHeight="1" x14ac:dyDescent="0.15">
      <c r="A43" s="299">
        <f>+入力表!A53</f>
        <v>0</v>
      </c>
      <c r="B43" s="300"/>
      <c r="C43" s="300"/>
      <c r="D43" s="300"/>
      <c r="E43" s="311">
        <f>+IF(入力表!F$12=0,入力表!B53,入力表!J53)</f>
        <v>0</v>
      </c>
      <c r="F43" s="311"/>
      <c r="G43" s="311"/>
      <c r="H43" s="311" t="str">
        <f>IF(LEN(予定価格!G41)=0,"",IF(AND(LEN(予定価格!G41)=1,LEN(予定価格!H41)=1),0,IF(入力表!$F$439=0,"",入力表!F53)))</f>
        <v/>
      </c>
      <c r="I43" s="311"/>
      <c r="J43" s="312"/>
      <c r="K43" s="334"/>
      <c r="L43" s="335"/>
      <c r="M43" s="335"/>
    </row>
    <row r="44" spans="1:13" ht="18" hidden="1" customHeight="1" x14ac:dyDescent="0.15">
      <c r="A44" s="299">
        <f>+入力表!A54</f>
        <v>0</v>
      </c>
      <c r="B44" s="300"/>
      <c r="C44" s="300"/>
      <c r="D44" s="300"/>
      <c r="E44" s="311">
        <f>+IF(入力表!F$12=0,入力表!B54,入力表!J54)</f>
        <v>0</v>
      </c>
      <c r="F44" s="311"/>
      <c r="G44" s="311"/>
      <c r="H44" s="311" t="str">
        <f>IF(LEN(予定価格!G42)=0,"",IF(AND(LEN(予定価格!G42)=1,LEN(予定価格!H42)=1),0,IF(入力表!$F$439=0,"",入力表!F54)))</f>
        <v/>
      </c>
      <c r="I44" s="311"/>
      <c r="J44" s="312"/>
      <c r="K44" s="334"/>
      <c r="L44" s="335"/>
      <c r="M44" s="335"/>
    </row>
    <row r="45" spans="1:13" ht="18" hidden="1" customHeight="1" x14ac:dyDescent="0.15">
      <c r="A45" s="299">
        <f>+入力表!A55</f>
        <v>0</v>
      </c>
      <c r="B45" s="300"/>
      <c r="C45" s="300"/>
      <c r="D45" s="300"/>
      <c r="E45" s="311">
        <f>+IF(入力表!F$12=0,入力表!B55,入力表!J55)</f>
        <v>0</v>
      </c>
      <c r="F45" s="311"/>
      <c r="G45" s="311"/>
      <c r="H45" s="311" t="str">
        <f>IF(LEN(予定価格!G43)=0,"",IF(AND(LEN(予定価格!G43)=1,LEN(予定価格!H43)=1),0,IF(入力表!$F$439=0,"",入力表!F55)))</f>
        <v/>
      </c>
      <c r="I45" s="311"/>
      <c r="J45" s="312"/>
      <c r="K45" s="334"/>
      <c r="L45" s="335"/>
      <c r="M45" s="335"/>
    </row>
    <row r="46" spans="1:13" ht="18" hidden="1" customHeight="1" x14ac:dyDescent="0.15">
      <c r="A46" s="299">
        <f>+入力表!A56</f>
        <v>0</v>
      </c>
      <c r="B46" s="300"/>
      <c r="C46" s="300"/>
      <c r="D46" s="300"/>
      <c r="E46" s="311">
        <f>+IF(入力表!F$12=0,入力表!B56,入力表!J56)</f>
        <v>0</v>
      </c>
      <c r="F46" s="311"/>
      <c r="G46" s="311"/>
      <c r="H46" s="311" t="str">
        <f>IF(LEN(予定価格!G44)=0,"",IF(AND(LEN(予定価格!G44)=1,LEN(予定価格!H44)=1),0,IF(入力表!$F$439=0,"",入力表!F56)))</f>
        <v/>
      </c>
      <c r="I46" s="311"/>
      <c r="J46" s="312"/>
      <c r="K46" s="334"/>
      <c r="L46" s="335"/>
      <c r="M46" s="335"/>
    </row>
    <row r="47" spans="1:13" ht="18" hidden="1" customHeight="1" x14ac:dyDescent="0.15">
      <c r="A47" s="299">
        <f>+入力表!A57</f>
        <v>0</v>
      </c>
      <c r="B47" s="300"/>
      <c r="C47" s="300"/>
      <c r="D47" s="300"/>
      <c r="E47" s="311">
        <f>+IF(入力表!F$12=0,入力表!B57,入力表!J57)</f>
        <v>0</v>
      </c>
      <c r="F47" s="311"/>
      <c r="G47" s="311"/>
      <c r="H47" s="311" t="str">
        <f>IF(LEN(予定価格!G45)=0,"",IF(AND(LEN(予定価格!G45)=1,LEN(予定価格!H45)=1),0,IF(入力表!$F$439=0,"",入力表!F57)))</f>
        <v/>
      </c>
      <c r="I47" s="311"/>
      <c r="J47" s="312"/>
      <c r="K47" s="334"/>
      <c r="L47" s="335"/>
      <c r="M47" s="335"/>
    </row>
    <row r="48" spans="1:13" ht="18" hidden="1" customHeight="1" x14ac:dyDescent="0.15">
      <c r="A48" s="299">
        <f>+入力表!A58</f>
        <v>0</v>
      </c>
      <c r="B48" s="300"/>
      <c r="C48" s="300"/>
      <c r="D48" s="300"/>
      <c r="E48" s="311">
        <f>+IF(入力表!F$12=0,入力表!B58,入力表!J58)</f>
        <v>0</v>
      </c>
      <c r="F48" s="311"/>
      <c r="G48" s="311"/>
      <c r="H48" s="311" t="str">
        <f>IF(LEN(予定価格!G46)=0,"",IF(AND(LEN(予定価格!G46)=1,LEN(予定価格!H46)=1),0,IF(入力表!$F$439=0,"",入力表!F58)))</f>
        <v/>
      </c>
      <c r="I48" s="311"/>
      <c r="J48" s="312"/>
      <c r="K48" s="334"/>
      <c r="L48" s="335"/>
      <c r="M48" s="335"/>
    </row>
    <row r="49" spans="1:13" ht="18" customHeight="1" x14ac:dyDescent="0.15">
      <c r="A49" s="299">
        <f>+入力表!A59</f>
        <v>0</v>
      </c>
      <c r="B49" s="300"/>
      <c r="C49" s="300"/>
      <c r="D49" s="300"/>
      <c r="E49" s="311">
        <f>+IF(入力表!F$12=0,入力表!B59,入力表!J59)</f>
        <v>0</v>
      </c>
      <c r="F49" s="311"/>
      <c r="G49" s="311"/>
      <c r="H49" s="311" t="str">
        <f>IF(LEN(予定価格!G47)=0,"",IF(AND(LEN(予定価格!G47)=1,LEN(予定価格!H47)=1),0,IF(入力表!$F$439=0,"",入力表!F59)))</f>
        <v/>
      </c>
      <c r="I49" s="311"/>
      <c r="J49" s="312"/>
      <c r="K49" s="334"/>
      <c r="L49" s="335"/>
      <c r="M49" s="335"/>
    </row>
    <row r="50" spans="1:13" ht="18" customHeight="1" x14ac:dyDescent="0.15">
      <c r="A50" s="299">
        <f>+入力表!A60</f>
        <v>0</v>
      </c>
      <c r="B50" s="300"/>
      <c r="C50" s="300"/>
      <c r="D50" s="300"/>
      <c r="E50" s="311">
        <f>+IF(入力表!F$12=0,入力表!B60,入力表!J60)</f>
        <v>0</v>
      </c>
      <c r="F50" s="311"/>
      <c r="G50" s="311"/>
      <c r="H50" s="311" t="str">
        <f>IF(LEN(予定価格!G48)=0,"",IF(AND(LEN(予定価格!G48)=1,LEN(予定価格!H48)=1),0,IF(入力表!$F$439=0,"",入力表!F60)))</f>
        <v/>
      </c>
      <c r="I50" s="311"/>
      <c r="J50" s="312"/>
      <c r="K50" s="334"/>
      <c r="L50" s="335"/>
      <c r="M50" s="335"/>
    </row>
    <row r="51" spans="1:13" ht="18" customHeight="1" x14ac:dyDescent="0.15">
      <c r="A51" s="328" t="str">
        <f>+入力表!A61</f>
        <v>（イ）3号線の部</v>
      </c>
      <c r="B51" s="329"/>
      <c r="C51" s="329"/>
      <c r="D51" s="329"/>
      <c r="E51" s="313">
        <f>SUM(E52:G92)</f>
        <v>1220000</v>
      </c>
      <c r="F51" s="313"/>
      <c r="G51" s="313"/>
      <c r="H51" s="313" t="str">
        <f>IF(LEN(予定価格!G49)=0,"",IF(AND(LEN(予定価格!G49)=1,LEN(予定価格!H49)=1),0,IF(入力表!$F$439=0,"",入力表!F61)))</f>
        <v/>
      </c>
      <c r="I51" s="313"/>
      <c r="J51" s="314"/>
      <c r="K51" s="334">
        <f>SUM(E52:G92)</f>
        <v>1220000</v>
      </c>
      <c r="L51" s="335">
        <f>K51*0.08</f>
        <v>97600</v>
      </c>
      <c r="M51" s="335">
        <f>K51+L51</f>
        <v>1317600</v>
      </c>
    </row>
    <row r="52" spans="1:13" ht="18" customHeight="1" x14ac:dyDescent="0.15">
      <c r="A52" s="299">
        <f>+入力表!A62</f>
        <v>0</v>
      </c>
      <c r="B52" s="300"/>
      <c r="C52" s="300"/>
      <c r="D52" s="300"/>
      <c r="E52" s="311">
        <f>+IF(入力表!F$12=0,入力表!B62,入力表!J62)</f>
        <v>0</v>
      </c>
      <c r="F52" s="311"/>
      <c r="G52" s="311"/>
      <c r="H52" s="311" t="str">
        <f>IF(LEN(予定価格!G50)=0,"",IF(AND(LEN(予定価格!G50)=1,LEN(予定価格!H50)=1),0,IF(入力表!$F$439=0,"",入力表!F62)))</f>
        <v/>
      </c>
      <c r="I52" s="311"/>
      <c r="J52" s="312"/>
      <c r="K52" s="334"/>
      <c r="L52" s="335"/>
      <c r="M52" s="335"/>
    </row>
    <row r="53" spans="1:13" ht="18" customHeight="1" x14ac:dyDescent="0.15">
      <c r="A53" s="299" t="str">
        <f>+入力表!A63</f>
        <v>西梅田駅</v>
      </c>
      <c r="B53" s="300"/>
      <c r="C53" s="300"/>
      <c r="D53" s="300"/>
      <c r="E53" s="311">
        <f>+IF(入力表!F$12=0,入力表!B63,入力表!J63)</f>
        <v>760000</v>
      </c>
      <c r="F53" s="311"/>
      <c r="G53" s="311"/>
      <c r="H53" s="311" t="str">
        <f>IF(LEN(予定価格!G51)=0,"",IF(AND(LEN(予定価格!G51)=1,LEN(予定価格!H51)=1),0,IF(入力表!$F$439=0,"",入力表!F63)))</f>
        <v/>
      </c>
      <c r="I53" s="311"/>
      <c r="J53" s="312"/>
      <c r="K53" s="334"/>
      <c r="L53" s="335"/>
      <c r="M53" s="335"/>
    </row>
    <row r="54" spans="1:13" ht="18" customHeight="1" x14ac:dyDescent="0.15">
      <c r="A54" s="299" t="str">
        <f>+入力表!A64</f>
        <v>R3大国町駅</v>
      </c>
      <c r="B54" s="300"/>
      <c r="C54" s="300"/>
      <c r="D54" s="300"/>
      <c r="E54" s="311">
        <f>+IF(入力表!F$12=0,入力表!B64,入力表!J64)</f>
        <v>460000</v>
      </c>
      <c r="F54" s="311"/>
      <c r="G54" s="311"/>
      <c r="H54" s="311" t="str">
        <f>IF(LEN(予定価格!G52)=0,"",IF(AND(LEN(予定価格!G52)=1,LEN(予定価格!H52)=1),0,IF(入力表!$F$439=0,"",入力表!F64)))</f>
        <v/>
      </c>
      <c r="I54" s="311"/>
      <c r="J54" s="312"/>
      <c r="K54" s="334"/>
      <c r="L54" s="335"/>
      <c r="M54" s="335"/>
    </row>
    <row r="55" spans="1:13" ht="18" customHeight="1" x14ac:dyDescent="0.15">
      <c r="A55" s="299">
        <f>+入力表!A65</f>
        <v>0</v>
      </c>
      <c r="B55" s="300"/>
      <c r="C55" s="300"/>
      <c r="D55" s="300"/>
      <c r="E55" s="311">
        <f>+IF(入力表!F$12=0,入力表!B65,入力表!J65)</f>
        <v>0</v>
      </c>
      <c r="F55" s="311"/>
      <c r="G55" s="311"/>
      <c r="H55" s="311" t="str">
        <f>IF(LEN(予定価格!G53)=0,"",IF(AND(LEN(予定価格!G53)=1,LEN(予定価格!H53)=1),0,IF(入力表!$F$439=0,"",入力表!F65)))</f>
        <v/>
      </c>
      <c r="I55" s="311"/>
      <c r="J55" s="312"/>
      <c r="K55" s="334"/>
      <c r="L55" s="335"/>
      <c r="M55" s="335"/>
    </row>
    <row r="56" spans="1:13" ht="18" customHeight="1" x14ac:dyDescent="0.15">
      <c r="A56" s="299">
        <f>+入力表!A66</f>
        <v>0</v>
      </c>
      <c r="B56" s="300"/>
      <c r="C56" s="300"/>
      <c r="D56" s="300"/>
      <c r="E56" s="311">
        <f>+IF(入力表!F$12=0,入力表!B66,入力表!J66)</f>
        <v>0</v>
      </c>
      <c r="F56" s="311"/>
      <c r="G56" s="311"/>
      <c r="H56" s="311" t="str">
        <f>IF(LEN(予定価格!G54)=0,"",IF(AND(LEN(予定価格!G54)=1,LEN(予定価格!H54)=1),0,IF(入力表!$F$439=0,"",入力表!F66)))</f>
        <v/>
      </c>
      <c r="I56" s="311"/>
      <c r="J56" s="312"/>
      <c r="K56" s="334"/>
      <c r="L56" s="335"/>
      <c r="M56" s="335"/>
    </row>
    <row r="57" spans="1:13" ht="18" customHeight="1" x14ac:dyDescent="0.15">
      <c r="A57" s="299">
        <f>+入力表!A67</f>
        <v>0</v>
      </c>
      <c r="B57" s="300"/>
      <c r="C57" s="300"/>
      <c r="D57" s="300"/>
      <c r="E57" s="311">
        <f>+IF(入力表!F$12=0,入力表!B67,入力表!J67)</f>
        <v>0</v>
      </c>
      <c r="F57" s="311"/>
      <c r="G57" s="311"/>
      <c r="H57" s="311" t="str">
        <f>IF(LEN(予定価格!G55)=0,"",IF(AND(LEN(予定価格!G55)=1,LEN(予定価格!H55)=1),0,IF(入力表!$F$439=0,"",入力表!F67)))</f>
        <v/>
      </c>
      <c r="I57" s="311"/>
      <c r="J57" s="312"/>
      <c r="K57" s="334"/>
      <c r="L57" s="335"/>
      <c r="M57" s="335"/>
    </row>
    <row r="58" spans="1:13" ht="18" hidden="1" customHeight="1" x14ac:dyDescent="0.15">
      <c r="A58" s="299">
        <f>+入力表!A68</f>
        <v>0</v>
      </c>
      <c r="B58" s="300"/>
      <c r="C58" s="300"/>
      <c r="D58" s="300"/>
      <c r="E58" s="311">
        <f>+IF(入力表!F$12=0,入力表!B68,入力表!J68)</f>
        <v>0</v>
      </c>
      <c r="F58" s="311"/>
      <c r="G58" s="311"/>
      <c r="H58" s="311" t="str">
        <f>IF(LEN(予定価格!G56)=0,"",IF(AND(LEN(予定価格!G56)=1,LEN(予定価格!H56)=1),0,IF(入力表!$F$439=0,"",入力表!F68)))</f>
        <v/>
      </c>
      <c r="I58" s="311"/>
      <c r="J58" s="312"/>
      <c r="K58" s="334"/>
      <c r="L58" s="335"/>
      <c r="M58" s="335"/>
    </row>
    <row r="59" spans="1:13" ht="18" hidden="1" customHeight="1" x14ac:dyDescent="0.15">
      <c r="A59" s="299">
        <f>+入力表!A69</f>
        <v>0</v>
      </c>
      <c r="B59" s="300"/>
      <c r="C59" s="300"/>
      <c r="D59" s="300"/>
      <c r="E59" s="311">
        <f>+IF(入力表!F$12=0,入力表!B69,入力表!J69)</f>
        <v>0</v>
      </c>
      <c r="F59" s="311"/>
      <c r="G59" s="311"/>
      <c r="H59" s="311" t="str">
        <f>IF(LEN(予定価格!G57)=0,"",IF(AND(LEN(予定価格!G57)=1,LEN(予定価格!H57)=1),0,IF(入力表!$F$439=0,"",入力表!F69)))</f>
        <v/>
      </c>
      <c r="I59" s="311"/>
      <c r="J59" s="312"/>
      <c r="K59" s="334"/>
      <c r="L59" s="335"/>
      <c r="M59" s="335"/>
    </row>
    <row r="60" spans="1:13" ht="18" hidden="1" customHeight="1" x14ac:dyDescent="0.15">
      <c r="A60" s="299">
        <f>+入力表!A70</f>
        <v>0</v>
      </c>
      <c r="B60" s="300"/>
      <c r="C60" s="300"/>
      <c r="D60" s="300"/>
      <c r="E60" s="311">
        <f>+IF(入力表!F$12=0,入力表!B70,入力表!J70)</f>
        <v>0</v>
      </c>
      <c r="F60" s="311"/>
      <c r="G60" s="311"/>
      <c r="H60" s="311" t="str">
        <f>IF(LEN(予定価格!G58)=0,"",IF(AND(LEN(予定価格!G58)=1,LEN(予定価格!H58)=1),0,IF(入力表!$F$439=0,"",入力表!F70)))</f>
        <v/>
      </c>
      <c r="I60" s="311"/>
      <c r="J60" s="312"/>
      <c r="K60" s="334"/>
      <c r="L60" s="335"/>
      <c r="M60" s="335"/>
    </row>
    <row r="61" spans="1:13" ht="18" hidden="1" customHeight="1" x14ac:dyDescent="0.15">
      <c r="A61" s="299">
        <f>+入力表!A71</f>
        <v>0</v>
      </c>
      <c r="B61" s="300"/>
      <c r="C61" s="300"/>
      <c r="D61" s="300"/>
      <c r="E61" s="311">
        <f>+IF(入力表!F$12=0,入力表!B71,入力表!J71)</f>
        <v>0</v>
      </c>
      <c r="F61" s="311"/>
      <c r="G61" s="311"/>
      <c r="H61" s="311" t="str">
        <f>IF(LEN(予定価格!G59)=0,"",IF(AND(LEN(予定価格!G59)=1,LEN(予定価格!H59)=1),0,IF(入力表!$F$439=0,"",入力表!F71)))</f>
        <v/>
      </c>
      <c r="I61" s="311"/>
      <c r="J61" s="312"/>
      <c r="K61" s="334"/>
      <c r="L61" s="335"/>
      <c r="M61" s="335"/>
    </row>
    <row r="62" spans="1:13" ht="18" hidden="1" customHeight="1" x14ac:dyDescent="0.15">
      <c r="A62" s="299">
        <f>+入力表!A72</f>
        <v>0</v>
      </c>
      <c r="B62" s="300"/>
      <c r="C62" s="300"/>
      <c r="D62" s="300"/>
      <c r="E62" s="311">
        <f>+IF(入力表!F$12=0,入力表!B72,入力表!J72)</f>
        <v>0</v>
      </c>
      <c r="F62" s="311"/>
      <c r="G62" s="311"/>
      <c r="H62" s="311" t="str">
        <f>IF(LEN(予定価格!G60)=0,"",IF(AND(LEN(予定価格!G60)=1,LEN(予定価格!H60)=1),0,IF(入力表!$F$439=0,"",入力表!F72)))</f>
        <v/>
      </c>
      <c r="I62" s="311"/>
      <c r="J62" s="312"/>
      <c r="K62" s="334"/>
      <c r="L62" s="335"/>
      <c r="M62" s="335"/>
    </row>
    <row r="63" spans="1:13" ht="18" hidden="1" customHeight="1" x14ac:dyDescent="0.15">
      <c r="A63" s="299">
        <f>+入力表!A73</f>
        <v>0</v>
      </c>
      <c r="B63" s="300"/>
      <c r="C63" s="300"/>
      <c r="D63" s="300"/>
      <c r="E63" s="311">
        <f>+IF(入力表!F$12=0,入力表!B73,入力表!J73)</f>
        <v>0</v>
      </c>
      <c r="F63" s="311"/>
      <c r="G63" s="311"/>
      <c r="H63" s="311" t="str">
        <f>IF(LEN(予定価格!G61)=0,"",IF(AND(LEN(予定価格!G61)=1,LEN(予定価格!H61)=1),0,IF(入力表!$F$439=0,"",入力表!F73)))</f>
        <v/>
      </c>
      <c r="I63" s="311"/>
      <c r="J63" s="312"/>
      <c r="K63" s="334"/>
      <c r="L63" s="335"/>
      <c r="M63" s="335"/>
    </row>
    <row r="64" spans="1:13" ht="18" hidden="1" customHeight="1" x14ac:dyDescent="0.15">
      <c r="A64" s="299">
        <f>+入力表!A74</f>
        <v>0</v>
      </c>
      <c r="B64" s="300"/>
      <c r="C64" s="300"/>
      <c r="D64" s="300"/>
      <c r="E64" s="311">
        <f>+IF(入力表!F$12=0,入力表!B74,入力表!J74)</f>
        <v>0</v>
      </c>
      <c r="F64" s="311"/>
      <c r="G64" s="311"/>
      <c r="H64" s="311" t="str">
        <f>IF(LEN(予定価格!G62)=0,"",IF(AND(LEN(予定価格!G62)=1,LEN(予定価格!H62)=1),0,IF(入力表!$F$439=0,"",入力表!F74)))</f>
        <v/>
      </c>
      <c r="I64" s="311"/>
      <c r="J64" s="312"/>
      <c r="K64" s="334"/>
      <c r="L64" s="335"/>
      <c r="M64" s="335"/>
    </row>
    <row r="65" spans="1:13" ht="18" hidden="1" customHeight="1" x14ac:dyDescent="0.15">
      <c r="A65" s="299">
        <f>+入力表!A75</f>
        <v>0</v>
      </c>
      <c r="B65" s="300"/>
      <c r="C65" s="300"/>
      <c r="D65" s="300"/>
      <c r="E65" s="311">
        <f>+IF(入力表!F$12=0,入力表!B75,入力表!J75)</f>
        <v>0</v>
      </c>
      <c r="F65" s="311"/>
      <c r="G65" s="311"/>
      <c r="H65" s="311" t="str">
        <f>IF(LEN(予定価格!G63)=0,"",IF(AND(LEN(予定価格!G63)=1,LEN(予定価格!H63)=1),0,IF(入力表!$F$439=0,"",入力表!F75)))</f>
        <v/>
      </c>
      <c r="I65" s="311"/>
      <c r="J65" s="312"/>
      <c r="K65" s="334"/>
      <c r="L65" s="335"/>
      <c r="M65" s="335"/>
    </row>
    <row r="66" spans="1:13" ht="18" hidden="1" customHeight="1" x14ac:dyDescent="0.15">
      <c r="A66" s="299">
        <f>+入力表!A76</f>
        <v>0</v>
      </c>
      <c r="B66" s="300"/>
      <c r="C66" s="300"/>
      <c r="D66" s="300"/>
      <c r="E66" s="311">
        <f>+IF(入力表!F$12=0,入力表!B76,入力表!J76)</f>
        <v>0</v>
      </c>
      <c r="F66" s="311"/>
      <c r="G66" s="311"/>
      <c r="H66" s="311" t="str">
        <f>IF(LEN(予定価格!G64)=0,"",IF(AND(LEN(予定価格!G64)=1,LEN(予定価格!H64)=1),0,IF(入力表!$F$439=0,"",入力表!F76)))</f>
        <v/>
      </c>
      <c r="I66" s="311"/>
      <c r="J66" s="312"/>
      <c r="K66" s="334"/>
      <c r="L66" s="335"/>
      <c r="M66" s="335"/>
    </row>
    <row r="67" spans="1:13" ht="18" hidden="1" customHeight="1" x14ac:dyDescent="0.15">
      <c r="A67" s="299">
        <f>+入力表!A77</f>
        <v>0</v>
      </c>
      <c r="B67" s="300"/>
      <c r="C67" s="300"/>
      <c r="D67" s="300"/>
      <c r="E67" s="311">
        <f>+IF(入力表!F$12=0,入力表!B77,入力表!J77)</f>
        <v>0</v>
      </c>
      <c r="F67" s="311"/>
      <c r="G67" s="311"/>
      <c r="H67" s="311" t="str">
        <f>IF(LEN(予定価格!G65)=0,"",IF(AND(LEN(予定価格!G65)=1,LEN(予定価格!H65)=1),0,IF(入力表!$F$439=0,"",入力表!F77)))</f>
        <v/>
      </c>
      <c r="I67" s="311"/>
      <c r="J67" s="312"/>
      <c r="K67" s="334"/>
      <c r="L67" s="335"/>
      <c r="M67" s="335"/>
    </row>
    <row r="68" spans="1:13" ht="18" hidden="1" customHeight="1" x14ac:dyDescent="0.15">
      <c r="A68" s="299">
        <f>+入力表!A78</f>
        <v>0</v>
      </c>
      <c r="B68" s="300"/>
      <c r="C68" s="300"/>
      <c r="D68" s="300"/>
      <c r="E68" s="311">
        <f>+IF(入力表!F$12=0,入力表!B78,入力表!J78)</f>
        <v>0</v>
      </c>
      <c r="F68" s="311"/>
      <c r="G68" s="311"/>
      <c r="H68" s="311" t="str">
        <f>IF(LEN(予定価格!G66)=0,"",IF(AND(LEN(予定価格!G66)=1,LEN(予定価格!H66)=1),0,IF(入力表!$F$439=0,"",入力表!F78)))</f>
        <v/>
      </c>
      <c r="I68" s="311"/>
      <c r="J68" s="312"/>
      <c r="K68" s="334"/>
      <c r="L68" s="335"/>
      <c r="M68" s="335"/>
    </row>
    <row r="69" spans="1:13" ht="18" hidden="1" customHeight="1" x14ac:dyDescent="0.15">
      <c r="A69" s="299">
        <f>+入力表!A79</f>
        <v>0</v>
      </c>
      <c r="B69" s="300"/>
      <c r="C69" s="300"/>
      <c r="D69" s="300"/>
      <c r="E69" s="311">
        <f>+IF(入力表!F$12=0,入力表!B79,入力表!J79)</f>
        <v>0</v>
      </c>
      <c r="F69" s="311"/>
      <c r="G69" s="311"/>
      <c r="H69" s="311" t="str">
        <f>IF(LEN(予定価格!G67)=0,"",IF(AND(LEN(予定価格!G67)=1,LEN(予定価格!H67)=1),0,IF(入力表!$F$439=0,"",入力表!F79)))</f>
        <v/>
      </c>
      <c r="I69" s="311"/>
      <c r="J69" s="312"/>
      <c r="K69" s="334"/>
      <c r="L69" s="335"/>
      <c r="M69" s="335"/>
    </row>
    <row r="70" spans="1:13" ht="18" hidden="1" customHeight="1" x14ac:dyDescent="0.15">
      <c r="A70" s="299">
        <f>+入力表!A80</f>
        <v>0</v>
      </c>
      <c r="B70" s="300"/>
      <c r="C70" s="300"/>
      <c r="D70" s="300"/>
      <c r="E70" s="311">
        <f>+IF(入力表!F$12=0,入力表!B80,入力表!J80)</f>
        <v>0</v>
      </c>
      <c r="F70" s="311"/>
      <c r="G70" s="311"/>
      <c r="H70" s="311" t="str">
        <f>IF(LEN(予定価格!G68)=0,"",IF(AND(LEN(予定価格!G68)=1,LEN(予定価格!H68)=1),0,IF(入力表!$F$439=0,"",入力表!F80)))</f>
        <v/>
      </c>
      <c r="I70" s="311"/>
      <c r="J70" s="312"/>
      <c r="K70" s="334"/>
      <c r="L70" s="335"/>
      <c r="M70" s="335"/>
    </row>
    <row r="71" spans="1:13" ht="18" hidden="1" customHeight="1" x14ac:dyDescent="0.15">
      <c r="A71" s="299">
        <f>+入力表!A81</f>
        <v>0</v>
      </c>
      <c r="B71" s="300"/>
      <c r="C71" s="300"/>
      <c r="D71" s="300"/>
      <c r="E71" s="311">
        <f>+IF(入力表!F$12=0,入力表!B81,入力表!J81)</f>
        <v>0</v>
      </c>
      <c r="F71" s="311"/>
      <c r="G71" s="311"/>
      <c r="H71" s="311" t="str">
        <f>IF(LEN(予定価格!G69)=0,"",IF(AND(LEN(予定価格!G69)=1,LEN(予定価格!H69)=1),0,IF(入力表!$F$439=0,"",入力表!F81)))</f>
        <v/>
      </c>
      <c r="I71" s="311"/>
      <c r="J71" s="312"/>
      <c r="K71" s="334"/>
      <c r="L71" s="335"/>
      <c r="M71" s="335"/>
    </row>
    <row r="72" spans="1:13" ht="18" hidden="1" customHeight="1" x14ac:dyDescent="0.15">
      <c r="A72" s="299">
        <f>+入力表!A82</f>
        <v>0</v>
      </c>
      <c r="B72" s="300"/>
      <c r="C72" s="300"/>
      <c r="D72" s="300"/>
      <c r="E72" s="311">
        <f>+IF(入力表!F$12=0,入力表!B82,入力表!J82)</f>
        <v>0</v>
      </c>
      <c r="F72" s="311"/>
      <c r="G72" s="311"/>
      <c r="H72" s="311" t="str">
        <f>IF(LEN(予定価格!G70)=0,"",IF(AND(LEN(予定価格!G70)=1,LEN(予定価格!H70)=1),0,IF(入力表!$F$439=0,"",入力表!F82)))</f>
        <v/>
      </c>
      <c r="I72" s="311"/>
      <c r="J72" s="312"/>
      <c r="K72" s="334"/>
      <c r="L72" s="335"/>
      <c r="M72" s="335"/>
    </row>
    <row r="73" spans="1:13" ht="18" hidden="1" customHeight="1" x14ac:dyDescent="0.15">
      <c r="A73" s="299">
        <f>+入力表!A83</f>
        <v>0</v>
      </c>
      <c r="B73" s="300"/>
      <c r="C73" s="300"/>
      <c r="D73" s="300"/>
      <c r="E73" s="311">
        <f>+IF(入力表!F$12=0,入力表!B83,入力表!J83)</f>
        <v>0</v>
      </c>
      <c r="F73" s="311"/>
      <c r="G73" s="311"/>
      <c r="H73" s="311" t="str">
        <f>IF(LEN(予定価格!G71)=0,"",IF(AND(LEN(予定価格!G71)=1,LEN(予定価格!H71)=1),0,IF(入力表!$F$439=0,"",入力表!F83)))</f>
        <v/>
      </c>
      <c r="I73" s="311"/>
      <c r="J73" s="312"/>
      <c r="K73" s="334"/>
      <c r="L73" s="335"/>
      <c r="M73" s="335"/>
    </row>
    <row r="74" spans="1:13" ht="18" hidden="1" customHeight="1" x14ac:dyDescent="0.15">
      <c r="A74" s="299">
        <f>+入力表!A84</f>
        <v>0</v>
      </c>
      <c r="B74" s="300"/>
      <c r="C74" s="300"/>
      <c r="D74" s="300"/>
      <c r="E74" s="311">
        <f>+IF(入力表!F$12=0,入力表!B84,入力表!J84)</f>
        <v>0</v>
      </c>
      <c r="F74" s="311"/>
      <c r="G74" s="311"/>
      <c r="H74" s="311" t="str">
        <f>IF(LEN(予定価格!G72)=0,"",IF(AND(LEN(予定価格!G72)=1,LEN(予定価格!H72)=1),0,IF(入力表!$F$439=0,"",入力表!F84)))</f>
        <v/>
      </c>
      <c r="I74" s="311"/>
      <c r="J74" s="312"/>
      <c r="K74" s="334"/>
      <c r="L74" s="335"/>
      <c r="M74" s="335"/>
    </row>
    <row r="75" spans="1:13" ht="18" hidden="1" customHeight="1" x14ac:dyDescent="0.15">
      <c r="A75" s="299">
        <f>+入力表!A85</f>
        <v>0</v>
      </c>
      <c r="B75" s="300"/>
      <c r="C75" s="300"/>
      <c r="D75" s="300"/>
      <c r="E75" s="311">
        <f>+IF(入力表!F$12=0,入力表!B85,入力表!J85)</f>
        <v>0</v>
      </c>
      <c r="F75" s="311"/>
      <c r="G75" s="311"/>
      <c r="H75" s="311" t="str">
        <f>IF(LEN(予定価格!G73)=0,"",IF(AND(LEN(予定価格!G73)=1,LEN(予定価格!H73)=1),0,IF(入力表!$F$439=0,"",入力表!F85)))</f>
        <v/>
      </c>
      <c r="I75" s="311"/>
      <c r="J75" s="312"/>
      <c r="K75" s="334"/>
      <c r="L75" s="335"/>
      <c r="M75" s="335"/>
    </row>
    <row r="76" spans="1:13" ht="18" hidden="1" customHeight="1" x14ac:dyDescent="0.15">
      <c r="A76" s="299">
        <f>+入力表!A86</f>
        <v>0</v>
      </c>
      <c r="B76" s="300"/>
      <c r="C76" s="300"/>
      <c r="D76" s="300"/>
      <c r="E76" s="311">
        <f>+IF(入力表!F$12=0,入力表!B86,入力表!J86)</f>
        <v>0</v>
      </c>
      <c r="F76" s="311"/>
      <c r="G76" s="311"/>
      <c r="H76" s="311" t="str">
        <f>IF(LEN(予定価格!G74)=0,"",IF(AND(LEN(予定価格!G74)=1,LEN(予定価格!H74)=1),0,IF(入力表!$F$439=0,"",入力表!F86)))</f>
        <v/>
      </c>
      <c r="I76" s="311"/>
      <c r="J76" s="312"/>
      <c r="K76" s="334"/>
      <c r="L76" s="335"/>
      <c r="M76" s="335"/>
    </row>
    <row r="77" spans="1:13" ht="18" hidden="1" customHeight="1" x14ac:dyDescent="0.15">
      <c r="A77" s="299">
        <f>+入力表!A87</f>
        <v>0</v>
      </c>
      <c r="B77" s="300"/>
      <c r="C77" s="300"/>
      <c r="D77" s="300"/>
      <c r="E77" s="311">
        <f>+IF(入力表!F$12=0,入力表!B87,入力表!J87)</f>
        <v>0</v>
      </c>
      <c r="F77" s="311"/>
      <c r="G77" s="311"/>
      <c r="H77" s="311" t="str">
        <f>IF(LEN(予定価格!G75)=0,"",IF(AND(LEN(予定価格!G75)=1,LEN(予定価格!H75)=1),0,IF(入力表!$F$439=0,"",入力表!F87)))</f>
        <v/>
      </c>
      <c r="I77" s="311"/>
      <c r="J77" s="312"/>
      <c r="K77" s="334"/>
      <c r="L77" s="335"/>
      <c r="M77" s="335"/>
    </row>
    <row r="78" spans="1:13" ht="18" hidden="1" customHeight="1" x14ac:dyDescent="0.15">
      <c r="A78" s="299">
        <f>+入力表!A88</f>
        <v>0</v>
      </c>
      <c r="B78" s="300"/>
      <c r="C78" s="300"/>
      <c r="D78" s="300"/>
      <c r="E78" s="311">
        <f>+IF(入力表!F$12=0,入力表!B88,入力表!J88)</f>
        <v>0</v>
      </c>
      <c r="F78" s="311"/>
      <c r="G78" s="311"/>
      <c r="H78" s="311" t="str">
        <f>IF(LEN(予定価格!G76)=0,"",IF(AND(LEN(予定価格!G76)=1,LEN(予定価格!H76)=1),0,IF(入力表!$F$439=0,"",入力表!F88)))</f>
        <v/>
      </c>
      <c r="I78" s="311"/>
      <c r="J78" s="312"/>
      <c r="K78" s="334"/>
      <c r="L78" s="335"/>
      <c r="M78" s="335"/>
    </row>
    <row r="79" spans="1:13" ht="18" hidden="1" customHeight="1" x14ac:dyDescent="0.15">
      <c r="A79" s="299">
        <f>+入力表!A89</f>
        <v>0</v>
      </c>
      <c r="B79" s="300"/>
      <c r="C79" s="300"/>
      <c r="D79" s="300"/>
      <c r="E79" s="311">
        <f>+IF(入力表!F$12=0,入力表!B89,入力表!J89)</f>
        <v>0</v>
      </c>
      <c r="F79" s="311"/>
      <c r="G79" s="311"/>
      <c r="H79" s="311" t="str">
        <f>IF(LEN(予定価格!G77)=0,"",IF(AND(LEN(予定価格!G77)=1,LEN(予定価格!H77)=1),0,IF(入力表!$F$439=0,"",入力表!F89)))</f>
        <v/>
      </c>
      <c r="I79" s="311"/>
      <c r="J79" s="312"/>
      <c r="K79" s="334"/>
      <c r="L79" s="335"/>
      <c r="M79" s="335"/>
    </row>
    <row r="80" spans="1:13" ht="18" hidden="1" customHeight="1" x14ac:dyDescent="0.15">
      <c r="A80" s="299">
        <f>+入力表!A90</f>
        <v>0</v>
      </c>
      <c r="B80" s="300"/>
      <c r="C80" s="300"/>
      <c r="D80" s="300"/>
      <c r="E80" s="311">
        <f>+IF(入力表!F$12=0,入力表!B90,入力表!J90)</f>
        <v>0</v>
      </c>
      <c r="F80" s="311"/>
      <c r="G80" s="311"/>
      <c r="H80" s="311" t="str">
        <f>IF(LEN(予定価格!G78)=0,"",IF(AND(LEN(予定価格!G78)=1,LEN(予定価格!H78)=1),0,IF(入力表!$F$439=0,"",入力表!F90)))</f>
        <v/>
      </c>
      <c r="I80" s="311"/>
      <c r="J80" s="312"/>
      <c r="K80" s="334"/>
      <c r="L80" s="335"/>
      <c r="M80" s="335"/>
    </row>
    <row r="81" spans="1:13" ht="18" hidden="1" customHeight="1" x14ac:dyDescent="0.15">
      <c r="A81" s="299">
        <f>+入力表!A91</f>
        <v>0</v>
      </c>
      <c r="B81" s="300"/>
      <c r="C81" s="300"/>
      <c r="D81" s="300"/>
      <c r="E81" s="311">
        <f>+IF(入力表!F$12=0,入力表!B91,入力表!J91)</f>
        <v>0</v>
      </c>
      <c r="F81" s="311"/>
      <c r="G81" s="311"/>
      <c r="H81" s="311" t="str">
        <f>IF(LEN(予定価格!G79)=0,"",IF(AND(LEN(予定価格!G79)=1,LEN(予定価格!H79)=1),0,IF(入力表!$F$439=0,"",入力表!F91)))</f>
        <v/>
      </c>
      <c r="I81" s="311"/>
      <c r="J81" s="312"/>
      <c r="K81" s="334"/>
      <c r="L81" s="335"/>
      <c r="M81" s="335"/>
    </row>
    <row r="82" spans="1:13" ht="18" hidden="1" customHeight="1" x14ac:dyDescent="0.15">
      <c r="A82" s="299">
        <f>+入力表!A92</f>
        <v>0</v>
      </c>
      <c r="B82" s="300"/>
      <c r="C82" s="300"/>
      <c r="D82" s="300"/>
      <c r="E82" s="311">
        <f>+IF(入力表!F$12=0,入力表!B92,入力表!J92)</f>
        <v>0</v>
      </c>
      <c r="F82" s="311"/>
      <c r="G82" s="311"/>
      <c r="H82" s="311" t="str">
        <f>IF(LEN(予定価格!G80)=0,"",IF(AND(LEN(予定価格!G80)=1,LEN(予定価格!H80)=1),0,IF(入力表!$F$439=0,"",入力表!F92)))</f>
        <v/>
      </c>
      <c r="I82" s="311"/>
      <c r="J82" s="312"/>
      <c r="K82" s="334"/>
      <c r="L82" s="335"/>
      <c r="M82" s="335"/>
    </row>
    <row r="83" spans="1:13" ht="18" hidden="1" customHeight="1" x14ac:dyDescent="0.15">
      <c r="A83" s="299">
        <f>+入力表!A93</f>
        <v>0</v>
      </c>
      <c r="B83" s="300"/>
      <c r="C83" s="300"/>
      <c r="D83" s="300"/>
      <c r="E83" s="311">
        <f>+IF(入力表!F$12=0,入力表!B93,入力表!J93)</f>
        <v>0</v>
      </c>
      <c r="F83" s="311"/>
      <c r="G83" s="311"/>
      <c r="H83" s="311" t="str">
        <f>IF(LEN(予定価格!G81)=0,"",IF(AND(LEN(予定価格!G81)=1,LEN(予定価格!H81)=1),0,IF(入力表!$F$439=0,"",入力表!F93)))</f>
        <v/>
      </c>
      <c r="I83" s="311"/>
      <c r="J83" s="312"/>
      <c r="K83" s="334"/>
      <c r="L83" s="335"/>
      <c r="M83" s="335"/>
    </row>
    <row r="84" spans="1:13" ht="18" hidden="1" customHeight="1" x14ac:dyDescent="0.15">
      <c r="A84" s="299">
        <f>+入力表!A94</f>
        <v>0</v>
      </c>
      <c r="B84" s="300"/>
      <c r="C84" s="300"/>
      <c r="D84" s="300"/>
      <c r="E84" s="311">
        <f>+IF(入力表!F$12=0,入力表!B94,入力表!J94)</f>
        <v>0</v>
      </c>
      <c r="F84" s="311"/>
      <c r="G84" s="311"/>
      <c r="H84" s="311" t="str">
        <f>IF(LEN(予定価格!G82)=0,"",IF(AND(LEN(予定価格!G82)=1,LEN(予定価格!H82)=1),0,IF(入力表!$F$439=0,"",入力表!F94)))</f>
        <v/>
      </c>
      <c r="I84" s="311"/>
      <c r="J84" s="312"/>
      <c r="K84" s="334"/>
      <c r="L84" s="335"/>
      <c r="M84" s="335"/>
    </row>
    <row r="85" spans="1:13" ht="18" hidden="1" customHeight="1" x14ac:dyDescent="0.15">
      <c r="A85" s="299">
        <f>+入力表!A95</f>
        <v>0</v>
      </c>
      <c r="B85" s="300"/>
      <c r="C85" s="300"/>
      <c r="D85" s="300"/>
      <c r="E85" s="311">
        <f>+IF(入力表!F$12=0,入力表!B95,入力表!J95)</f>
        <v>0</v>
      </c>
      <c r="F85" s="311"/>
      <c r="G85" s="311"/>
      <c r="H85" s="311" t="str">
        <f>IF(LEN(予定価格!G83)=0,"",IF(AND(LEN(予定価格!G83)=1,LEN(予定価格!H83)=1),0,IF(入力表!$F$439=0,"",入力表!F95)))</f>
        <v/>
      </c>
      <c r="I85" s="311"/>
      <c r="J85" s="312"/>
      <c r="K85" s="334"/>
      <c r="L85" s="335"/>
      <c r="M85" s="335"/>
    </row>
    <row r="86" spans="1:13" ht="18" hidden="1" customHeight="1" x14ac:dyDescent="0.15">
      <c r="A86" s="299">
        <f>+入力表!A96</f>
        <v>0</v>
      </c>
      <c r="B86" s="300"/>
      <c r="C86" s="300"/>
      <c r="D86" s="300"/>
      <c r="E86" s="311">
        <f>+IF(入力表!F$12=0,入力表!B96,入力表!J96)</f>
        <v>0</v>
      </c>
      <c r="F86" s="311"/>
      <c r="G86" s="311"/>
      <c r="H86" s="311" t="str">
        <f>IF(LEN(予定価格!G84)=0,"",IF(AND(LEN(予定価格!G84)=1,LEN(予定価格!H84)=1),0,IF(入力表!$F$439=0,"",入力表!F96)))</f>
        <v/>
      </c>
      <c r="I86" s="311"/>
      <c r="J86" s="312"/>
      <c r="K86" s="334"/>
      <c r="L86" s="335"/>
      <c r="M86" s="335"/>
    </row>
    <row r="87" spans="1:13" ht="18" hidden="1" customHeight="1" x14ac:dyDescent="0.15">
      <c r="A87" s="299">
        <f>+入力表!A97</f>
        <v>0</v>
      </c>
      <c r="B87" s="300"/>
      <c r="C87" s="300"/>
      <c r="D87" s="300"/>
      <c r="E87" s="311">
        <f>+IF(入力表!F$12=0,入力表!B97,入力表!J97)</f>
        <v>0</v>
      </c>
      <c r="F87" s="311"/>
      <c r="G87" s="311"/>
      <c r="H87" s="311" t="str">
        <f>IF(LEN(予定価格!G85)=0,"",IF(AND(LEN(予定価格!G85)=1,LEN(予定価格!H85)=1),0,IF(入力表!$F$439=0,"",入力表!F97)))</f>
        <v/>
      </c>
      <c r="I87" s="311"/>
      <c r="J87" s="312"/>
      <c r="K87" s="334"/>
      <c r="L87" s="335"/>
      <c r="M87" s="335"/>
    </row>
    <row r="88" spans="1:13" ht="18" hidden="1" customHeight="1" x14ac:dyDescent="0.15">
      <c r="A88" s="299">
        <f>+入力表!A98</f>
        <v>0</v>
      </c>
      <c r="B88" s="300"/>
      <c r="C88" s="300"/>
      <c r="D88" s="300"/>
      <c r="E88" s="311">
        <f>+IF(入力表!F$12=0,入力表!B98,入力表!J98)</f>
        <v>0</v>
      </c>
      <c r="F88" s="311"/>
      <c r="G88" s="311"/>
      <c r="H88" s="311" t="str">
        <f>IF(LEN(予定価格!G86)=0,"",IF(AND(LEN(予定価格!G86)=1,LEN(予定価格!H86)=1),0,IF(入力表!$F$439=0,"",入力表!F98)))</f>
        <v/>
      </c>
      <c r="I88" s="311"/>
      <c r="J88" s="312"/>
      <c r="K88" s="334"/>
      <c r="L88" s="335"/>
      <c r="M88" s="335"/>
    </row>
    <row r="89" spans="1:13" ht="18" hidden="1" customHeight="1" x14ac:dyDescent="0.15">
      <c r="A89" s="299">
        <f>+入力表!A99</f>
        <v>0</v>
      </c>
      <c r="B89" s="300"/>
      <c r="C89" s="300"/>
      <c r="D89" s="300"/>
      <c r="E89" s="311">
        <f>+IF(入力表!F$12=0,入力表!B99,入力表!J99)</f>
        <v>0</v>
      </c>
      <c r="F89" s="311"/>
      <c r="G89" s="311"/>
      <c r="H89" s="311" t="str">
        <f>IF(LEN(予定価格!G87)=0,"",IF(AND(LEN(予定価格!G87)=1,LEN(予定価格!H87)=1),0,IF(入力表!$F$439=0,"",入力表!F99)))</f>
        <v/>
      </c>
      <c r="I89" s="311"/>
      <c r="J89" s="312"/>
      <c r="K89" s="334"/>
      <c r="L89" s="335"/>
      <c r="M89" s="335"/>
    </row>
    <row r="90" spans="1:13" ht="18" hidden="1" customHeight="1" x14ac:dyDescent="0.15">
      <c r="A90" s="299">
        <f>+入力表!A100</f>
        <v>0</v>
      </c>
      <c r="B90" s="300"/>
      <c r="C90" s="300"/>
      <c r="D90" s="300"/>
      <c r="E90" s="311">
        <f>+IF(入力表!F$12=0,入力表!B100,入力表!J100)</f>
        <v>0</v>
      </c>
      <c r="F90" s="311"/>
      <c r="G90" s="311"/>
      <c r="H90" s="311" t="str">
        <f>IF(LEN(予定価格!G88)=0,"",IF(AND(LEN(予定価格!G88)=1,LEN(予定価格!H88)=1),0,IF(入力表!$F$439=0,"",入力表!F100)))</f>
        <v/>
      </c>
      <c r="I90" s="311"/>
      <c r="J90" s="312"/>
      <c r="K90" s="334"/>
      <c r="L90" s="335"/>
      <c r="M90" s="335"/>
    </row>
    <row r="91" spans="1:13" ht="18" hidden="1" customHeight="1" x14ac:dyDescent="0.15">
      <c r="A91" s="299">
        <f>+入力表!A101</f>
        <v>0</v>
      </c>
      <c r="B91" s="300"/>
      <c r="C91" s="300"/>
      <c r="D91" s="300"/>
      <c r="E91" s="311">
        <f>+IF(入力表!F$12=0,入力表!B101,入力表!J101)</f>
        <v>0</v>
      </c>
      <c r="F91" s="311"/>
      <c r="G91" s="311"/>
      <c r="H91" s="311" t="str">
        <f>IF(LEN(予定価格!G89)=0,"",IF(AND(LEN(予定価格!G89)=1,LEN(予定価格!H89)=1),0,IF(入力表!$F$439=0,"",入力表!F101)))</f>
        <v/>
      </c>
      <c r="I91" s="311"/>
      <c r="J91" s="312"/>
      <c r="K91" s="334"/>
      <c r="L91" s="335"/>
      <c r="M91" s="335"/>
    </row>
    <row r="92" spans="1:13" ht="18" hidden="1" customHeight="1" x14ac:dyDescent="0.15">
      <c r="A92" s="299">
        <f>+入力表!A102</f>
        <v>0</v>
      </c>
      <c r="B92" s="300"/>
      <c r="C92" s="300"/>
      <c r="D92" s="300"/>
      <c r="E92" s="311">
        <f>+IF(入力表!F$12=0,入力表!B102,入力表!J102)</f>
        <v>0</v>
      </c>
      <c r="F92" s="311"/>
      <c r="G92" s="311"/>
      <c r="H92" s="311" t="str">
        <f>IF(LEN(予定価格!G90)=0,"",IF(AND(LEN(予定価格!G90)=1,LEN(予定価格!H90)=1),0,IF(入力表!$F$439=0,"",入力表!F102)))</f>
        <v/>
      </c>
      <c r="I92" s="311"/>
      <c r="J92" s="312"/>
      <c r="K92" s="334"/>
      <c r="L92" s="335"/>
      <c r="M92" s="335"/>
    </row>
    <row r="93" spans="1:13" ht="18" hidden="1" customHeight="1" x14ac:dyDescent="0.15">
      <c r="A93" s="328">
        <f>+入力表!A103</f>
        <v>0</v>
      </c>
      <c r="B93" s="329"/>
      <c r="C93" s="329"/>
      <c r="D93" s="329"/>
      <c r="E93" s="313">
        <f>SUM(E94:G134)</f>
        <v>0</v>
      </c>
      <c r="F93" s="313"/>
      <c r="G93" s="313"/>
      <c r="H93" s="313" t="str">
        <f>IF(LEN(予定価格!G91)=0,"",IF(AND(LEN(予定価格!G91)=1,LEN(予定価格!H91)=1),0,IF(入力表!$F$439=0,"",入力表!F103)))</f>
        <v/>
      </c>
      <c r="I93" s="313"/>
      <c r="J93" s="314"/>
      <c r="K93" s="334">
        <f>SUM(E94:G134)</f>
        <v>0</v>
      </c>
      <c r="L93" s="335">
        <f>K93*0.08</f>
        <v>0</v>
      </c>
      <c r="M93" s="335">
        <f>K93+L93</f>
        <v>0</v>
      </c>
    </row>
    <row r="94" spans="1:13" ht="18" hidden="1" customHeight="1" x14ac:dyDescent="0.15">
      <c r="A94" s="299">
        <f>+入力表!A104</f>
        <v>0</v>
      </c>
      <c r="B94" s="300"/>
      <c r="C94" s="300"/>
      <c r="D94" s="300"/>
      <c r="E94" s="311">
        <f>+IF(入力表!F$12=0,入力表!B104,入力表!J104)</f>
        <v>0</v>
      </c>
      <c r="F94" s="311"/>
      <c r="G94" s="311"/>
      <c r="H94" s="311" t="str">
        <f>IF(LEN(予定価格!G92)=0,"",IF(AND(LEN(予定価格!G92)=1,LEN(予定価格!H92)=1),0,IF(入力表!$F$439=0,"",入力表!F104)))</f>
        <v/>
      </c>
      <c r="I94" s="311"/>
      <c r="J94" s="312"/>
      <c r="K94" s="334"/>
      <c r="L94" s="335"/>
      <c r="M94" s="335"/>
    </row>
    <row r="95" spans="1:13" ht="18" hidden="1" customHeight="1" x14ac:dyDescent="0.15">
      <c r="A95" s="299">
        <f>+入力表!A105</f>
        <v>0</v>
      </c>
      <c r="B95" s="300"/>
      <c r="C95" s="300"/>
      <c r="D95" s="300"/>
      <c r="E95" s="311">
        <f>+IF(入力表!F$12=0,入力表!B105,入力表!J105)</f>
        <v>0</v>
      </c>
      <c r="F95" s="311"/>
      <c r="G95" s="311"/>
      <c r="H95" s="311" t="str">
        <f>IF(LEN(予定価格!G93)=0,"",IF(AND(LEN(予定価格!G93)=1,LEN(予定価格!H93)=1),0,IF(入力表!$F$439=0,"",入力表!F105)))</f>
        <v/>
      </c>
      <c r="I95" s="311"/>
      <c r="J95" s="312"/>
      <c r="K95" s="334"/>
      <c r="L95" s="335"/>
      <c r="M95" s="335"/>
    </row>
    <row r="96" spans="1:13" ht="18" hidden="1" customHeight="1" x14ac:dyDescent="0.15">
      <c r="A96" s="299">
        <f>+入力表!A106</f>
        <v>0</v>
      </c>
      <c r="B96" s="300"/>
      <c r="C96" s="300"/>
      <c r="D96" s="300"/>
      <c r="E96" s="311">
        <f>+IF(入力表!F$12=0,入力表!B106,入力表!J106)</f>
        <v>0</v>
      </c>
      <c r="F96" s="311"/>
      <c r="G96" s="311"/>
      <c r="H96" s="311" t="str">
        <f>IF(LEN(予定価格!G94)=0,"",IF(AND(LEN(予定価格!G94)=1,LEN(予定価格!H94)=1),0,IF(入力表!$F$439=0,"",入力表!F106)))</f>
        <v/>
      </c>
      <c r="I96" s="311"/>
      <c r="J96" s="312"/>
      <c r="K96" s="334"/>
      <c r="L96" s="335"/>
      <c r="M96" s="335"/>
    </row>
    <row r="97" spans="1:13" ht="18" hidden="1" customHeight="1" x14ac:dyDescent="0.15">
      <c r="A97" s="299">
        <f>+入力表!A107</f>
        <v>0</v>
      </c>
      <c r="B97" s="300"/>
      <c r="C97" s="300"/>
      <c r="D97" s="300"/>
      <c r="E97" s="311">
        <f>+IF(入力表!F$12=0,入力表!B107,入力表!J107)</f>
        <v>0</v>
      </c>
      <c r="F97" s="311"/>
      <c r="G97" s="311"/>
      <c r="H97" s="311" t="str">
        <f>IF(LEN(予定価格!G95)=0,"",IF(AND(LEN(予定価格!G95)=1,LEN(予定価格!H95)=1),0,IF(入力表!$F$439=0,"",入力表!F107)))</f>
        <v/>
      </c>
      <c r="I97" s="311"/>
      <c r="J97" s="312"/>
      <c r="K97" s="334"/>
      <c r="L97" s="335"/>
      <c r="M97" s="335"/>
    </row>
    <row r="98" spans="1:13" ht="18" hidden="1" customHeight="1" x14ac:dyDescent="0.15">
      <c r="A98" s="299">
        <f>+入力表!A108</f>
        <v>0</v>
      </c>
      <c r="B98" s="300"/>
      <c r="C98" s="300"/>
      <c r="D98" s="300"/>
      <c r="E98" s="311">
        <f>+IF(入力表!F$12=0,入力表!B108,入力表!J108)</f>
        <v>0</v>
      </c>
      <c r="F98" s="311"/>
      <c r="G98" s="311"/>
      <c r="H98" s="311" t="str">
        <f>IF(LEN(予定価格!G96)=0,"",IF(AND(LEN(予定価格!G96)=1,LEN(予定価格!H96)=1),0,IF(入力表!$F$439=0,"",入力表!F108)))</f>
        <v/>
      </c>
      <c r="I98" s="311"/>
      <c r="J98" s="312"/>
      <c r="K98" s="334"/>
      <c r="L98" s="335"/>
      <c r="M98" s="335"/>
    </row>
    <row r="99" spans="1:13" ht="18" hidden="1" customHeight="1" x14ac:dyDescent="0.15">
      <c r="A99" s="299">
        <f>+入力表!A109</f>
        <v>0</v>
      </c>
      <c r="B99" s="300"/>
      <c r="C99" s="300"/>
      <c r="D99" s="300"/>
      <c r="E99" s="311">
        <f>+IF(入力表!F$12=0,入力表!B109,入力表!J109)</f>
        <v>0</v>
      </c>
      <c r="F99" s="311"/>
      <c r="G99" s="311"/>
      <c r="H99" s="311" t="str">
        <f>IF(LEN(予定価格!G97)=0,"",IF(AND(LEN(予定価格!G97)=1,LEN(予定価格!H97)=1),0,IF(入力表!$F$439=0,"",入力表!F109)))</f>
        <v/>
      </c>
      <c r="I99" s="311"/>
      <c r="J99" s="312"/>
      <c r="K99" s="334"/>
      <c r="L99" s="335"/>
      <c r="M99" s="335"/>
    </row>
    <row r="100" spans="1:13" ht="18" hidden="1" customHeight="1" x14ac:dyDescent="0.15">
      <c r="A100" s="299">
        <f>+入力表!A110</f>
        <v>0</v>
      </c>
      <c r="B100" s="300"/>
      <c r="C100" s="300"/>
      <c r="D100" s="300"/>
      <c r="E100" s="311">
        <f>+IF(入力表!F$12=0,入力表!B110,入力表!J110)</f>
        <v>0</v>
      </c>
      <c r="F100" s="311"/>
      <c r="G100" s="311"/>
      <c r="H100" s="311" t="str">
        <f>IF(LEN(予定価格!G98)=0,"",IF(AND(LEN(予定価格!G98)=1,LEN(予定価格!H98)=1),0,IF(入力表!$F$439=0,"",入力表!F110)))</f>
        <v/>
      </c>
      <c r="I100" s="311"/>
      <c r="J100" s="312"/>
      <c r="K100" s="334"/>
      <c r="L100" s="335"/>
      <c r="M100" s="335"/>
    </row>
    <row r="101" spans="1:13" ht="18" hidden="1" customHeight="1" x14ac:dyDescent="0.15">
      <c r="A101" s="299">
        <f>+入力表!A111</f>
        <v>0</v>
      </c>
      <c r="B101" s="300"/>
      <c r="C101" s="300"/>
      <c r="D101" s="300"/>
      <c r="E101" s="311">
        <f>+IF(入力表!F$12=0,入力表!B111,入力表!J111)</f>
        <v>0</v>
      </c>
      <c r="F101" s="311"/>
      <c r="G101" s="311"/>
      <c r="H101" s="311" t="str">
        <f>IF(LEN(予定価格!G99)=0,"",IF(AND(LEN(予定価格!G99)=1,LEN(予定価格!H99)=1),0,IF(入力表!$F$439=0,"",入力表!F111)))</f>
        <v/>
      </c>
      <c r="I101" s="311"/>
      <c r="J101" s="312"/>
      <c r="K101" s="334"/>
      <c r="L101" s="335"/>
      <c r="M101" s="335"/>
    </row>
    <row r="102" spans="1:13" ht="18" hidden="1" customHeight="1" x14ac:dyDescent="0.15">
      <c r="A102" s="299">
        <f>+入力表!A112</f>
        <v>0</v>
      </c>
      <c r="B102" s="300"/>
      <c r="C102" s="300"/>
      <c r="D102" s="300"/>
      <c r="E102" s="311">
        <f>+IF(入力表!F$12=0,入力表!B112,入力表!J112)</f>
        <v>0</v>
      </c>
      <c r="F102" s="311"/>
      <c r="G102" s="311"/>
      <c r="H102" s="311" t="str">
        <f>IF(LEN(予定価格!G100)=0,"",IF(AND(LEN(予定価格!G100)=1,LEN(予定価格!H100)=1),0,IF(入力表!$F$439=0,"",入力表!F112)))</f>
        <v/>
      </c>
      <c r="I102" s="311"/>
      <c r="J102" s="312"/>
      <c r="K102" s="334"/>
      <c r="L102" s="335"/>
      <c r="M102" s="335"/>
    </row>
    <row r="103" spans="1:13" ht="18" hidden="1" customHeight="1" x14ac:dyDescent="0.15">
      <c r="A103" s="299">
        <f>+入力表!A113</f>
        <v>0</v>
      </c>
      <c r="B103" s="300"/>
      <c r="C103" s="300"/>
      <c r="D103" s="300"/>
      <c r="E103" s="311">
        <f>+IF(入力表!F$12=0,入力表!B113,入力表!J113)</f>
        <v>0</v>
      </c>
      <c r="F103" s="311"/>
      <c r="G103" s="311"/>
      <c r="H103" s="311" t="str">
        <f>IF(LEN(予定価格!G101)=0,"",IF(AND(LEN(予定価格!G101)=1,LEN(予定価格!H101)=1),0,IF(入力表!$F$439=0,"",入力表!F113)))</f>
        <v/>
      </c>
      <c r="I103" s="311"/>
      <c r="J103" s="312"/>
      <c r="K103" s="334"/>
      <c r="L103" s="335"/>
      <c r="M103" s="335"/>
    </row>
    <row r="104" spans="1:13" ht="18" hidden="1" customHeight="1" x14ac:dyDescent="0.15">
      <c r="A104" s="299">
        <f>+入力表!A114</f>
        <v>0</v>
      </c>
      <c r="B104" s="300"/>
      <c r="C104" s="300"/>
      <c r="D104" s="300"/>
      <c r="E104" s="311">
        <f>+IF(入力表!F$12=0,入力表!B114,入力表!J114)</f>
        <v>0</v>
      </c>
      <c r="F104" s="311"/>
      <c r="G104" s="311"/>
      <c r="H104" s="311" t="str">
        <f>IF(LEN(予定価格!G102)=0,"",IF(AND(LEN(予定価格!G102)=1,LEN(予定価格!H102)=1),0,IF(入力表!$F$439=0,"",入力表!F114)))</f>
        <v/>
      </c>
      <c r="I104" s="311"/>
      <c r="J104" s="312"/>
      <c r="K104" s="334"/>
      <c r="L104" s="335"/>
      <c r="M104" s="335"/>
    </row>
    <row r="105" spans="1:13" ht="18" hidden="1" customHeight="1" x14ac:dyDescent="0.15">
      <c r="A105" s="299">
        <f>+入力表!A115</f>
        <v>0</v>
      </c>
      <c r="B105" s="300"/>
      <c r="C105" s="300"/>
      <c r="D105" s="300"/>
      <c r="E105" s="311">
        <f>+IF(入力表!F$12=0,入力表!B115,入力表!J115)</f>
        <v>0</v>
      </c>
      <c r="F105" s="311"/>
      <c r="G105" s="311"/>
      <c r="H105" s="311" t="str">
        <f>IF(LEN(予定価格!G103)=0,"",IF(AND(LEN(予定価格!G103)=1,LEN(予定価格!H103)=1),0,IF(入力表!$F$439=0,"",入力表!F115)))</f>
        <v/>
      </c>
      <c r="I105" s="311"/>
      <c r="J105" s="312"/>
      <c r="K105" s="334"/>
      <c r="L105" s="335"/>
      <c r="M105" s="335"/>
    </row>
    <row r="106" spans="1:13" ht="18" hidden="1" customHeight="1" x14ac:dyDescent="0.15">
      <c r="A106" s="299">
        <f>+入力表!A116</f>
        <v>0</v>
      </c>
      <c r="B106" s="300"/>
      <c r="C106" s="300"/>
      <c r="D106" s="300"/>
      <c r="E106" s="311">
        <f>+IF(入力表!F$12=0,入力表!B116,入力表!J116)</f>
        <v>0</v>
      </c>
      <c r="F106" s="311"/>
      <c r="G106" s="311"/>
      <c r="H106" s="311" t="str">
        <f>IF(LEN(予定価格!G104)=0,"",IF(AND(LEN(予定価格!G104)=1,LEN(予定価格!H104)=1),0,IF(入力表!$F$439=0,"",入力表!F116)))</f>
        <v/>
      </c>
      <c r="I106" s="311"/>
      <c r="J106" s="312"/>
      <c r="K106" s="334"/>
      <c r="L106" s="335"/>
      <c r="M106" s="335"/>
    </row>
    <row r="107" spans="1:13" ht="18" hidden="1" customHeight="1" x14ac:dyDescent="0.15">
      <c r="A107" s="299">
        <f>+入力表!A117</f>
        <v>0</v>
      </c>
      <c r="B107" s="300"/>
      <c r="C107" s="300"/>
      <c r="D107" s="300"/>
      <c r="E107" s="311">
        <f>+IF(入力表!F$12=0,入力表!B117,入力表!J117)</f>
        <v>0</v>
      </c>
      <c r="F107" s="311"/>
      <c r="G107" s="311"/>
      <c r="H107" s="311" t="str">
        <f>IF(LEN(予定価格!G105)=0,"",IF(AND(LEN(予定価格!G105)=1,LEN(予定価格!H105)=1),0,IF(入力表!$F$439=0,"",入力表!F117)))</f>
        <v/>
      </c>
      <c r="I107" s="311"/>
      <c r="J107" s="312"/>
      <c r="K107" s="334"/>
      <c r="L107" s="335"/>
      <c r="M107" s="335"/>
    </row>
    <row r="108" spans="1:13" ht="18" hidden="1" customHeight="1" x14ac:dyDescent="0.15">
      <c r="A108" s="299">
        <f>+入力表!A118</f>
        <v>0</v>
      </c>
      <c r="B108" s="300"/>
      <c r="C108" s="300"/>
      <c r="D108" s="300"/>
      <c r="E108" s="311">
        <f>+IF(入力表!F$12=0,入力表!B118,入力表!J118)</f>
        <v>0</v>
      </c>
      <c r="F108" s="311"/>
      <c r="G108" s="311"/>
      <c r="H108" s="311" t="str">
        <f>IF(LEN(予定価格!G106)=0,"",IF(AND(LEN(予定価格!G106)=1,LEN(予定価格!H106)=1),0,IF(入力表!$F$439=0,"",入力表!F118)))</f>
        <v/>
      </c>
      <c r="I108" s="311"/>
      <c r="J108" s="312"/>
      <c r="K108" s="334"/>
      <c r="L108" s="335"/>
      <c r="M108" s="335"/>
    </row>
    <row r="109" spans="1:13" ht="18" hidden="1" customHeight="1" x14ac:dyDescent="0.15">
      <c r="A109" s="299">
        <f>+入力表!A119</f>
        <v>0</v>
      </c>
      <c r="B109" s="300"/>
      <c r="C109" s="300"/>
      <c r="D109" s="300"/>
      <c r="E109" s="311">
        <f>+IF(入力表!F$12=0,入力表!B119,入力表!J119)</f>
        <v>0</v>
      </c>
      <c r="F109" s="311"/>
      <c r="G109" s="311"/>
      <c r="H109" s="311" t="str">
        <f>IF(LEN(予定価格!G107)=0,"",IF(AND(LEN(予定価格!G107)=1,LEN(予定価格!H107)=1),0,IF(入力表!$F$439=0,"",入力表!F119)))</f>
        <v/>
      </c>
      <c r="I109" s="311"/>
      <c r="J109" s="312"/>
      <c r="K109" s="334"/>
      <c r="L109" s="335"/>
      <c r="M109" s="335"/>
    </row>
    <row r="110" spans="1:13" ht="18" hidden="1" customHeight="1" x14ac:dyDescent="0.15">
      <c r="A110" s="299">
        <f>+入力表!A120</f>
        <v>0</v>
      </c>
      <c r="B110" s="300"/>
      <c r="C110" s="300"/>
      <c r="D110" s="300"/>
      <c r="E110" s="311">
        <f>+IF(入力表!F$12=0,入力表!B120,入力表!J120)</f>
        <v>0</v>
      </c>
      <c r="F110" s="311"/>
      <c r="G110" s="311"/>
      <c r="H110" s="311" t="str">
        <f>IF(LEN(予定価格!G108)=0,"",IF(AND(LEN(予定価格!G108)=1,LEN(予定価格!H108)=1),0,IF(入力表!$F$439=0,"",入力表!F120)))</f>
        <v/>
      </c>
      <c r="I110" s="311"/>
      <c r="J110" s="312"/>
      <c r="K110" s="334"/>
      <c r="L110" s="335"/>
      <c r="M110" s="335"/>
    </row>
    <row r="111" spans="1:13" ht="18" hidden="1" customHeight="1" x14ac:dyDescent="0.15">
      <c r="A111" s="299">
        <f>+入力表!A121</f>
        <v>0</v>
      </c>
      <c r="B111" s="300"/>
      <c r="C111" s="300"/>
      <c r="D111" s="300"/>
      <c r="E111" s="311">
        <f>+IF(入力表!F$12=0,入力表!B121,入力表!J121)</f>
        <v>0</v>
      </c>
      <c r="F111" s="311"/>
      <c r="G111" s="311"/>
      <c r="H111" s="311" t="str">
        <f>IF(LEN(予定価格!G109)=0,"",IF(AND(LEN(予定価格!G109)=1,LEN(予定価格!H109)=1),0,IF(入力表!$F$439=0,"",入力表!F121)))</f>
        <v/>
      </c>
      <c r="I111" s="311"/>
      <c r="J111" s="312"/>
      <c r="K111" s="334"/>
      <c r="L111" s="335"/>
      <c r="M111" s="335"/>
    </row>
    <row r="112" spans="1:13" ht="18" hidden="1" customHeight="1" x14ac:dyDescent="0.15">
      <c r="A112" s="299">
        <f>+入力表!A122</f>
        <v>0</v>
      </c>
      <c r="B112" s="300"/>
      <c r="C112" s="300"/>
      <c r="D112" s="300"/>
      <c r="E112" s="311">
        <f>+IF(入力表!F$12=0,入力表!B122,入力表!J122)</f>
        <v>0</v>
      </c>
      <c r="F112" s="311"/>
      <c r="G112" s="311"/>
      <c r="H112" s="311" t="str">
        <f>IF(LEN(予定価格!G110)=0,"",IF(AND(LEN(予定価格!G110)=1,LEN(予定価格!H110)=1),0,IF(入力表!$F$439=0,"",入力表!F122)))</f>
        <v/>
      </c>
      <c r="I112" s="311"/>
      <c r="J112" s="312"/>
      <c r="K112" s="334"/>
      <c r="L112" s="335"/>
      <c r="M112" s="335"/>
    </row>
    <row r="113" spans="1:13" ht="18" hidden="1" customHeight="1" x14ac:dyDescent="0.15">
      <c r="A113" s="299">
        <f>+入力表!A123</f>
        <v>0</v>
      </c>
      <c r="B113" s="300"/>
      <c r="C113" s="300"/>
      <c r="D113" s="300"/>
      <c r="E113" s="311">
        <f>+IF(入力表!F$12=0,入力表!B123,入力表!J123)</f>
        <v>0</v>
      </c>
      <c r="F113" s="311"/>
      <c r="G113" s="311"/>
      <c r="H113" s="311" t="str">
        <f>IF(LEN(予定価格!G111)=0,"",IF(AND(LEN(予定価格!G111)=1,LEN(予定価格!H111)=1),0,IF(入力表!$F$439=0,"",入力表!F123)))</f>
        <v/>
      </c>
      <c r="I113" s="311"/>
      <c r="J113" s="312"/>
      <c r="K113" s="334"/>
      <c r="L113" s="335"/>
      <c r="M113" s="335"/>
    </row>
    <row r="114" spans="1:13" ht="18" hidden="1" customHeight="1" x14ac:dyDescent="0.15">
      <c r="A114" s="299">
        <f>+入力表!A124</f>
        <v>0</v>
      </c>
      <c r="B114" s="300"/>
      <c r="C114" s="300"/>
      <c r="D114" s="300"/>
      <c r="E114" s="311">
        <f>+IF(入力表!F$12=0,入力表!B124,入力表!J124)</f>
        <v>0</v>
      </c>
      <c r="F114" s="311"/>
      <c r="G114" s="311"/>
      <c r="H114" s="311" t="str">
        <f>IF(LEN(予定価格!G112)=0,"",IF(AND(LEN(予定価格!G112)=1,LEN(予定価格!H112)=1),0,IF(入力表!$F$439=0,"",入力表!F124)))</f>
        <v/>
      </c>
      <c r="I114" s="311"/>
      <c r="J114" s="312"/>
      <c r="K114" s="334"/>
      <c r="L114" s="335"/>
      <c r="M114" s="335"/>
    </row>
    <row r="115" spans="1:13" ht="18" hidden="1" customHeight="1" x14ac:dyDescent="0.15">
      <c r="A115" s="299">
        <f>+入力表!A125</f>
        <v>0</v>
      </c>
      <c r="B115" s="300"/>
      <c r="C115" s="300"/>
      <c r="D115" s="300"/>
      <c r="E115" s="311">
        <f>+IF(入力表!F$12=0,入力表!B125,入力表!J125)</f>
        <v>0</v>
      </c>
      <c r="F115" s="311"/>
      <c r="G115" s="311"/>
      <c r="H115" s="311" t="str">
        <f>IF(LEN(予定価格!G113)=0,"",IF(AND(LEN(予定価格!G113)=1,LEN(予定価格!H113)=1),0,IF(入力表!$F$439=0,"",入力表!F125)))</f>
        <v/>
      </c>
      <c r="I115" s="311"/>
      <c r="J115" s="312"/>
      <c r="K115" s="334"/>
      <c r="L115" s="335"/>
      <c r="M115" s="335"/>
    </row>
    <row r="116" spans="1:13" ht="18" hidden="1" customHeight="1" x14ac:dyDescent="0.15">
      <c r="A116" s="299">
        <f>+入力表!A126</f>
        <v>0</v>
      </c>
      <c r="B116" s="300"/>
      <c r="C116" s="300"/>
      <c r="D116" s="300"/>
      <c r="E116" s="311">
        <f>+IF(入力表!F$12=0,入力表!B126,入力表!J126)</f>
        <v>0</v>
      </c>
      <c r="F116" s="311"/>
      <c r="G116" s="311"/>
      <c r="H116" s="311" t="str">
        <f>IF(LEN(予定価格!G114)=0,"",IF(AND(LEN(予定価格!G114)=1,LEN(予定価格!H114)=1),0,IF(入力表!$F$439=0,"",入力表!F126)))</f>
        <v/>
      </c>
      <c r="I116" s="311"/>
      <c r="J116" s="312"/>
      <c r="K116" s="334"/>
      <c r="L116" s="335"/>
      <c r="M116" s="335"/>
    </row>
    <row r="117" spans="1:13" ht="18" hidden="1" customHeight="1" x14ac:dyDescent="0.15">
      <c r="A117" s="299">
        <f>+入力表!A127</f>
        <v>0</v>
      </c>
      <c r="B117" s="300"/>
      <c r="C117" s="300"/>
      <c r="D117" s="300"/>
      <c r="E117" s="311">
        <f>+IF(入力表!F$12=0,入力表!B127,入力表!J127)</f>
        <v>0</v>
      </c>
      <c r="F117" s="311"/>
      <c r="G117" s="311"/>
      <c r="H117" s="311" t="str">
        <f>IF(LEN(予定価格!G115)=0,"",IF(AND(LEN(予定価格!G115)=1,LEN(予定価格!H115)=1),0,IF(入力表!$F$439=0,"",入力表!F127)))</f>
        <v/>
      </c>
      <c r="I117" s="311"/>
      <c r="J117" s="312"/>
      <c r="K117" s="334"/>
      <c r="L117" s="335"/>
      <c r="M117" s="335"/>
    </row>
    <row r="118" spans="1:13" ht="18" hidden="1" customHeight="1" x14ac:dyDescent="0.15">
      <c r="A118" s="299">
        <f>+入力表!A128</f>
        <v>0</v>
      </c>
      <c r="B118" s="300"/>
      <c r="C118" s="300"/>
      <c r="D118" s="300"/>
      <c r="E118" s="311">
        <f>+IF(入力表!F$12=0,入力表!B128,入力表!J128)</f>
        <v>0</v>
      </c>
      <c r="F118" s="311"/>
      <c r="G118" s="311"/>
      <c r="H118" s="311" t="str">
        <f>IF(LEN(予定価格!G116)=0,"",IF(AND(LEN(予定価格!G116)=1,LEN(予定価格!H116)=1),0,IF(入力表!$F$439=0,"",入力表!F128)))</f>
        <v/>
      </c>
      <c r="I118" s="311"/>
      <c r="J118" s="312"/>
      <c r="K118" s="334"/>
      <c r="L118" s="335"/>
      <c r="M118" s="335"/>
    </row>
    <row r="119" spans="1:13" ht="18" hidden="1" customHeight="1" x14ac:dyDescent="0.15">
      <c r="A119" s="299">
        <f>+入力表!A129</f>
        <v>0</v>
      </c>
      <c r="B119" s="300"/>
      <c r="C119" s="300"/>
      <c r="D119" s="300"/>
      <c r="E119" s="311">
        <f>+IF(入力表!F$12=0,入力表!B129,入力表!J129)</f>
        <v>0</v>
      </c>
      <c r="F119" s="311"/>
      <c r="G119" s="311"/>
      <c r="H119" s="311" t="str">
        <f>IF(LEN(予定価格!G117)=0,"",IF(AND(LEN(予定価格!G117)=1,LEN(予定価格!H117)=1),0,IF(入力表!$F$439=0,"",入力表!F129)))</f>
        <v/>
      </c>
      <c r="I119" s="311"/>
      <c r="J119" s="312"/>
      <c r="K119" s="334"/>
      <c r="L119" s="335"/>
      <c r="M119" s="335"/>
    </row>
    <row r="120" spans="1:13" ht="18" hidden="1" customHeight="1" x14ac:dyDescent="0.15">
      <c r="A120" s="299">
        <f>+入力表!A130</f>
        <v>0</v>
      </c>
      <c r="B120" s="300"/>
      <c r="C120" s="300"/>
      <c r="D120" s="300"/>
      <c r="E120" s="311">
        <f>+IF(入力表!F$12=0,入力表!B130,入力表!J130)</f>
        <v>0</v>
      </c>
      <c r="F120" s="311"/>
      <c r="G120" s="311"/>
      <c r="H120" s="311" t="str">
        <f>IF(LEN(予定価格!G118)=0,"",IF(AND(LEN(予定価格!G118)=1,LEN(予定価格!H118)=1),0,IF(入力表!$F$439=0,"",入力表!F130)))</f>
        <v/>
      </c>
      <c r="I120" s="311"/>
      <c r="J120" s="312"/>
      <c r="K120" s="334"/>
      <c r="L120" s="335"/>
      <c r="M120" s="335"/>
    </row>
    <row r="121" spans="1:13" ht="18" hidden="1" customHeight="1" x14ac:dyDescent="0.15">
      <c r="A121" s="299">
        <f>+入力表!A131</f>
        <v>0</v>
      </c>
      <c r="B121" s="300"/>
      <c r="C121" s="300"/>
      <c r="D121" s="300"/>
      <c r="E121" s="311">
        <f>+IF(入力表!F$12=0,入力表!B131,入力表!J131)</f>
        <v>0</v>
      </c>
      <c r="F121" s="311"/>
      <c r="G121" s="311"/>
      <c r="H121" s="311" t="str">
        <f>IF(LEN(予定価格!G119)=0,"",IF(AND(LEN(予定価格!G119)=1,LEN(予定価格!H119)=1),0,IF(入力表!$F$439=0,"",入力表!F131)))</f>
        <v/>
      </c>
      <c r="I121" s="311"/>
      <c r="J121" s="312"/>
      <c r="K121" s="334"/>
      <c r="L121" s="335"/>
      <c r="M121" s="335"/>
    </row>
    <row r="122" spans="1:13" ht="18" hidden="1" customHeight="1" x14ac:dyDescent="0.15">
      <c r="A122" s="299">
        <f>+入力表!A132</f>
        <v>0</v>
      </c>
      <c r="B122" s="300"/>
      <c r="C122" s="300"/>
      <c r="D122" s="300"/>
      <c r="E122" s="311">
        <f>+IF(入力表!F$12=0,入力表!B132,入力表!J132)</f>
        <v>0</v>
      </c>
      <c r="F122" s="311"/>
      <c r="G122" s="311"/>
      <c r="H122" s="311" t="str">
        <f>IF(LEN(予定価格!G120)=0,"",IF(AND(LEN(予定価格!G120)=1,LEN(予定価格!H120)=1),0,IF(入力表!$F$439=0,"",入力表!F132)))</f>
        <v/>
      </c>
      <c r="I122" s="311"/>
      <c r="J122" s="312"/>
      <c r="K122" s="334"/>
      <c r="L122" s="335"/>
      <c r="M122" s="335"/>
    </row>
    <row r="123" spans="1:13" ht="18" hidden="1" customHeight="1" x14ac:dyDescent="0.15">
      <c r="A123" s="299">
        <f>+入力表!A133</f>
        <v>0</v>
      </c>
      <c r="B123" s="300"/>
      <c r="C123" s="300"/>
      <c r="D123" s="300"/>
      <c r="E123" s="311">
        <f>+IF(入力表!F$12=0,入力表!B133,入力表!J133)</f>
        <v>0</v>
      </c>
      <c r="F123" s="311"/>
      <c r="G123" s="311"/>
      <c r="H123" s="311" t="str">
        <f>IF(LEN(予定価格!G121)=0,"",IF(AND(LEN(予定価格!G121)=1,LEN(予定価格!H121)=1),0,IF(入力表!$F$439=0,"",入力表!F133)))</f>
        <v/>
      </c>
      <c r="I123" s="311"/>
      <c r="J123" s="312"/>
      <c r="K123" s="334"/>
      <c r="L123" s="335"/>
      <c r="M123" s="335"/>
    </row>
    <row r="124" spans="1:13" ht="18" hidden="1" customHeight="1" x14ac:dyDescent="0.15">
      <c r="A124" s="299">
        <f>+入力表!A134</f>
        <v>0</v>
      </c>
      <c r="B124" s="300"/>
      <c r="C124" s="300"/>
      <c r="D124" s="300"/>
      <c r="E124" s="311">
        <f>+IF(入力表!F$12=0,入力表!B134,入力表!J134)</f>
        <v>0</v>
      </c>
      <c r="F124" s="311"/>
      <c r="G124" s="311"/>
      <c r="H124" s="311" t="str">
        <f>IF(LEN(予定価格!G122)=0,"",IF(AND(LEN(予定価格!G122)=1,LEN(予定価格!H122)=1),0,IF(入力表!$F$439=0,"",入力表!F134)))</f>
        <v/>
      </c>
      <c r="I124" s="311"/>
      <c r="J124" s="312"/>
      <c r="K124" s="334"/>
      <c r="L124" s="335"/>
      <c r="M124" s="335"/>
    </row>
    <row r="125" spans="1:13" ht="18" hidden="1" customHeight="1" x14ac:dyDescent="0.15">
      <c r="A125" s="299">
        <f>+入力表!A135</f>
        <v>0</v>
      </c>
      <c r="B125" s="300"/>
      <c r="C125" s="300"/>
      <c r="D125" s="300"/>
      <c r="E125" s="311">
        <f>+IF(入力表!F$12=0,入力表!B135,入力表!J135)</f>
        <v>0</v>
      </c>
      <c r="F125" s="311"/>
      <c r="G125" s="311"/>
      <c r="H125" s="311" t="str">
        <f>IF(LEN(予定価格!G123)=0,"",IF(AND(LEN(予定価格!G123)=1,LEN(予定価格!H123)=1),0,IF(入力表!$F$439=0,"",入力表!F135)))</f>
        <v/>
      </c>
      <c r="I125" s="311"/>
      <c r="J125" s="312"/>
      <c r="K125" s="334"/>
      <c r="L125" s="335"/>
      <c r="M125" s="335"/>
    </row>
    <row r="126" spans="1:13" ht="18" hidden="1" customHeight="1" x14ac:dyDescent="0.15">
      <c r="A126" s="299">
        <f>+入力表!A136</f>
        <v>0</v>
      </c>
      <c r="B126" s="300"/>
      <c r="C126" s="300"/>
      <c r="D126" s="300"/>
      <c r="E126" s="311">
        <f>+IF(入力表!F$12=0,入力表!B136,入力表!J136)</f>
        <v>0</v>
      </c>
      <c r="F126" s="311"/>
      <c r="G126" s="311"/>
      <c r="H126" s="311" t="str">
        <f>IF(LEN(予定価格!G124)=0,"",IF(AND(LEN(予定価格!G124)=1,LEN(予定価格!H124)=1),0,IF(入力表!$F$439=0,"",入力表!F136)))</f>
        <v/>
      </c>
      <c r="I126" s="311"/>
      <c r="J126" s="312"/>
      <c r="K126" s="334"/>
      <c r="L126" s="335"/>
      <c r="M126" s="335"/>
    </row>
    <row r="127" spans="1:13" ht="18" hidden="1" customHeight="1" x14ac:dyDescent="0.15">
      <c r="A127" s="299">
        <f>+入力表!A137</f>
        <v>0</v>
      </c>
      <c r="B127" s="300"/>
      <c r="C127" s="300"/>
      <c r="D127" s="300"/>
      <c r="E127" s="311">
        <f>+IF(入力表!F$12=0,入力表!B137,入力表!J137)</f>
        <v>0</v>
      </c>
      <c r="F127" s="311"/>
      <c r="G127" s="311"/>
      <c r="H127" s="311" t="str">
        <f>IF(LEN(予定価格!G125)=0,"",IF(AND(LEN(予定価格!G125)=1,LEN(予定価格!H125)=1),0,IF(入力表!$F$439=0,"",入力表!F137)))</f>
        <v/>
      </c>
      <c r="I127" s="311"/>
      <c r="J127" s="312"/>
      <c r="K127" s="334"/>
      <c r="L127" s="335"/>
      <c r="M127" s="335"/>
    </row>
    <row r="128" spans="1:13" ht="18" hidden="1" customHeight="1" x14ac:dyDescent="0.15">
      <c r="A128" s="299">
        <f>+入力表!A138</f>
        <v>0</v>
      </c>
      <c r="B128" s="300"/>
      <c r="C128" s="300"/>
      <c r="D128" s="300"/>
      <c r="E128" s="311">
        <f>+IF(入力表!F$12=0,入力表!B138,入力表!J138)</f>
        <v>0</v>
      </c>
      <c r="F128" s="311"/>
      <c r="G128" s="311"/>
      <c r="H128" s="311" t="str">
        <f>IF(LEN(予定価格!G126)=0,"",IF(AND(LEN(予定価格!G126)=1,LEN(予定価格!H126)=1),0,IF(入力表!$F$439=0,"",入力表!F138)))</f>
        <v/>
      </c>
      <c r="I128" s="311"/>
      <c r="J128" s="312"/>
      <c r="K128" s="334"/>
      <c r="L128" s="335"/>
      <c r="M128" s="335"/>
    </row>
    <row r="129" spans="1:13" ht="18" hidden="1" customHeight="1" x14ac:dyDescent="0.15">
      <c r="A129" s="299">
        <f>+入力表!A139</f>
        <v>0</v>
      </c>
      <c r="B129" s="300"/>
      <c r="C129" s="300"/>
      <c r="D129" s="300"/>
      <c r="E129" s="311">
        <f>+IF(入力表!F$12=0,入力表!B139,入力表!J139)</f>
        <v>0</v>
      </c>
      <c r="F129" s="311"/>
      <c r="G129" s="311"/>
      <c r="H129" s="311" t="str">
        <f>IF(LEN(予定価格!G127)=0,"",IF(AND(LEN(予定価格!G127)=1,LEN(予定価格!H127)=1),0,IF(入力表!$F$439=0,"",入力表!F139)))</f>
        <v/>
      </c>
      <c r="I129" s="311"/>
      <c r="J129" s="312"/>
      <c r="K129" s="334"/>
      <c r="L129" s="335"/>
      <c r="M129" s="335"/>
    </row>
    <row r="130" spans="1:13" ht="18" hidden="1" customHeight="1" x14ac:dyDescent="0.15">
      <c r="A130" s="299">
        <f>+入力表!A140</f>
        <v>0</v>
      </c>
      <c r="B130" s="300"/>
      <c r="C130" s="300"/>
      <c r="D130" s="300"/>
      <c r="E130" s="311">
        <f>+IF(入力表!F$12=0,入力表!B140,入力表!J140)</f>
        <v>0</v>
      </c>
      <c r="F130" s="311"/>
      <c r="G130" s="311"/>
      <c r="H130" s="311" t="str">
        <f>IF(LEN(予定価格!G128)=0,"",IF(AND(LEN(予定価格!G128)=1,LEN(予定価格!H128)=1),0,IF(入力表!$F$439=0,"",入力表!F140)))</f>
        <v/>
      </c>
      <c r="I130" s="311"/>
      <c r="J130" s="312"/>
      <c r="K130" s="334"/>
      <c r="L130" s="335"/>
      <c r="M130" s="335"/>
    </row>
    <row r="131" spans="1:13" ht="18" hidden="1" customHeight="1" x14ac:dyDescent="0.15">
      <c r="A131" s="299">
        <f>+入力表!A141</f>
        <v>0</v>
      </c>
      <c r="B131" s="300"/>
      <c r="C131" s="300"/>
      <c r="D131" s="300"/>
      <c r="E131" s="311">
        <f>+IF(入力表!F$12=0,入力表!B141,入力表!J141)</f>
        <v>0</v>
      </c>
      <c r="F131" s="311"/>
      <c r="G131" s="311"/>
      <c r="H131" s="311" t="str">
        <f>IF(LEN(予定価格!G129)=0,"",IF(AND(LEN(予定価格!G129)=1,LEN(予定価格!H129)=1),0,IF(入力表!$F$439=0,"",入力表!F141)))</f>
        <v/>
      </c>
      <c r="I131" s="311"/>
      <c r="J131" s="312"/>
      <c r="K131" s="334"/>
      <c r="L131" s="335"/>
      <c r="M131" s="335"/>
    </row>
    <row r="132" spans="1:13" ht="18" hidden="1" customHeight="1" x14ac:dyDescent="0.15">
      <c r="A132" s="299">
        <f>+入力表!A142</f>
        <v>0</v>
      </c>
      <c r="B132" s="300"/>
      <c r="C132" s="300"/>
      <c r="D132" s="300"/>
      <c r="E132" s="311">
        <f>+IF(入力表!F$12=0,入力表!B142,入力表!J142)</f>
        <v>0</v>
      </c>
      <c r="F132" s="311"/>
      <c r="G132" s="311"/>
      <c r="H132" s="311" t="str">
        <f>IF(LEN(予定価格!G130)=0,"",IF(AND(LEN(予定価格!G130)=1,LEN(予定価格!H130)=1),0,IF(入力表!$F$439=0,"",入力表!F142)))</f>
        <v/>
      </c>
      <c r="I132" s="311"/>
      <c r="J132" s="312"/>
      <c r="K132" s="334"/>
      <c r="L132" s="335"/>
      <c r="M132" s="335"/>
    </row>
    <row r="133" spans="1:13" ht="18" hidden="1" customHeight="1" x14ac:dyDescent="0.15">
      <c r="A133" s="299">
        <f>+入力表!A143</f>
        <v>0</v>
      </c>
      <c r="B133" s="300"/>
      <c r="C133" s="300"/>
      <c r="D133" s="300"/>
      <c r="E133" s="311">
        <f>+IF(入力表!F$12=0,入力表!B143,入力表!J143)</f>
        <v>0</v>
      </c>
      <c r="F133" s="311"/>
      <c r="G133" s="311"/>
      <c r="H133" s="311" t="str">
        <f>IF(LEN(予定価格!G131)=0,"",IF(AND(LEN(予定価格!G131)=1,LEN(予定価格!H131)=1),0,IF(入力表!$F$439=0,"",入力表!F143)))</f>
        <v/>
      </c>
      <c r="I133" s="311"/>
      <c r="J133" s="312"/>
      <c r="K133" s="334"/>
      <c r="L133" s="335"/>
      <c r="M133" s="335"/>
    </row>
    <row r="134" spans="1:13" ht="18" hidden="1" customHeight="1" x14ac:dyDescent="0.15">
      <c r="A134" s="299">
        <f>+入力表!A144</f>
        <v>0</v>
      </c>
      <c r="B134" s="300"/>
      <c r="C134" s="300"/>
      <c r="D134" s="300"/>
      <c r="E134" s="311">
        <f>+IF(入力表!F$12=0,入力表!B144,入力表!J144)</f>
        <v>0</v>
      </c>
      <c r="F134" s="311"/>
      <c r="G134" s="311"/>
      <c r="H134" s="311" t="str">
        <f>IF(LEN(予定価格!G132)=0,"",IF(AND(LEN(予定価格!G132)=1,LEN(予定価格!H132)=1),0,IF(入力表!$F$439=0,"",入力表!F144)))</f>
        <v/>
      </c>
      <c r="I134" s="311"/>
      <c r="J134" s="312"/>
      <c r="K134" s="334"/>
      <c r="L134" s="335"/>
      <c r="M134" s="335"/>
    </row>
    <row r="135" spans="1:13" ht="18" hidden="1" customHeight="1" x14ac:dyDescent="0.15">
      <c r="A135" s="328">
        <f>+入力表!A145</f>
        <v>0</v>
      </c>
      <c r="B135" s="329"/>
      <c r="C135" s="329"/>
      <c r="D135" s="329"/>
      <c r="E135" s="313">
        <f>SUM(E136:G176)</f>
        <v>0</v>
      </c>
      <c r="F135" s="313"/>
      <c r="G135" s="313"/>
      <c r="H135" s="313" t="str">
        <f>IF(LEN(予定価格!G133)=0,"",IF(AND(LEN(予定価格!G133)=1,LEN(予定価格!H133)=1),0,IF(入力表!$F$439=0,"",入力表!F145)))</f>
        <v/>
      </c>
      <c r="I135" s="313"/>
      <c r="J135" s="314"/>
      <c r="K135" s="334">
        <f>SUM(E136:G176)</f>
        <v>0</v>
      </c>
      <c r="L135" s="335">
        <f>K135*0.08</f>
        <v>0</v>
      </c>
      <c r="M135" s="335">
        <f>K135+L135</f>
        <v>0</v>
      </c>
    </row>
    <row r="136" spans="1:13" ht="18" hidden="1" customHeight="1" x14ac:dyDescent="0.15">
      <c r="A136" s="299">
        <f>+入力表!A146</f>
        <v>0</v>
      </c>
      <c r="B136" s="300"/>
      <c r="C136" s="300"/>
      <c r="D136" s="300"/>
      <c r="E136" s="311">
        <f>+IF(入力表!F$12=0,入力表!B146,入力表!J146)</f>
        <v>0</v>
      </c>
      <c r="F136" s="311"/>
      <c r="G136" s="311"/>
      <c r="H136" s="311" t="str">
        <f>IF(LEN(予定価格!G134)=0,"",IF(AND(LEN(予定価格!G134)=1,LEN(予定価格!H134)=1),0,IF(入力表!$F$439=0,"",入力表!F146)))</f>
        <v/>
      </c>
      <c r="I136" s="311"/>
      <c r="J136" s="312"/>
      <c r="K136" s="334"/>
      <c r="L136" s="335"/>
      <c r="M136" s="335"/>
    </row>
    <row r="137" spans="1:13" ht="18" hidden="1" customHeight="1" x14ac:dyDescent="0.15">
      <c r="A137" s="299">
        <f>+入力表!A147</f>
        <v>0</v>
      </c>
      <c r="B137" s="300"/>
      <c r="C137" s="300"/>
      <c r="D137" s="300"/>
      <c r="E137" s="311">
        <f>+IF(入力表!F$12=0,入力表!B147,入力表!J147)</f>
        <v>0</v>
      </c>
      <c r="F137" s="311"/>
      <c r="G137" s="311"/>
      <c r="H137" s="311" t="str">
        <f>IF(LEN(予定価格!G135)=0,"",IF(AND(LEN(予定価格!G135)=1,LEN(予定価格!H135)=1),0,IF(入力表!$F$439=0,"",入力表!F147)))</f>
        <v/>
      </c>
      <c r="I137" s="311"/>
      <c r="J137" s="312"/>
      <c r="K137" s="334"/>
      <c r="L137" s="335"/>
      <c r="M137" s="335"/>
    </row>
    <row r="138" spans="1:13" ht="18" hidden="1" customHeight="1" x14ac:dyDescent="0.15">
      <c r="A138" s="299">
        <f>+入力表!A148</f>
        <v>0</v>
      </c>
      <c r="B138" s="300"/>
      <c r="C138" s="300"/>
      <c r="D138" s="300"/>
      <c r="E138" s="311">
        <f>+IF(入力表!F$12=0,入力表!B148,入力表!J148)</f>
        <v>0</v>
      </c>
      <c r="F138" s="311"/>
      <c r="G138" s="311"/>
      <c r="H138" s="311" t="str">
        <f>IF(LEN(予定価格!G136)=0,"",IF(AND(LEN(予定価格!G136)=1,LEN(予定価格!H136)=1),0,IF(入力表!$F$439=0,"",入力表!F148)))</f>
        <v/>
      </c>
      <c r="I138" s="311"/>
      <c r="J138" s="312"/>
      <c r="K138" s="334"/>
      <c r="L138" s="335"/>
      <c r="M138" s="335"/>
    </row>
    <row r="139" spans="1:13" ht="18" hidden="1" customHeight="1" x14ac:dyDescent="0.15">
      <c r="A139" s="299">
        <f>+入力表!A149</f>
        <v>0</v>
      </c>
      <c r="B139" s="300"/>
      <c r="C139" s="300"/>
      <c r="D139" s="300"/>
      <c r="E139" s="311">
        <f>+IF(入力表!F$12=0,入力表!B149,入力表!J149)</f>
        <v>0</v>
      </c>
      <c r="F139" s="311"/>
      <c r="G139" s="311"/>
      <c r="H139" s="311" t="str">
        <f>IF(LEN(予定価格!G137)=0,"",IF(AND(LEN(予定価格!G137)=1,LEN(予定価格!H137)=1),0,IF(入力表!$F$439=0,"",入力表!F149)))</f>
        <v/>
      </c>
      <c r="I139" s="311"/>
      <c r="J139" s="312"/>
      <c r="K139" s="334"/>
      <c r="L139" s="335"/>
      <c r="M139" s="335"/>
    </row>
    <row r="140" spans="1:13" ht="18" hidden="1" customHeight="1" x14ac:dyDescent="0.15">
      <c r="A140" s="299">
        <f>+入力表!A150</f>
        <v>0</v>
      </c>
      <c r="B140" s="300"/>
      <c r="C140" s="300"/>
      <c r="D140" s="300"/>
      <c r="E140" s="311">
        <f>+IF(入力表!F$12=0,入力表!B150,入力表!J150)</f>
        <v>0</v>
      </c>
      <c r="F140" s="311"/>
      <c r="G140" s="311"/>
      <c r="H140" s="311" t="str">
        <f>IF(LEN(予定価格!G138)=0,"",IF(AND(LEN(予定価格!G138)=1,LEN(予定価格!H138)=1),0,IF(入力表!$F$439=0,"",入力表!F150)))</f>
        <v/>
      </c>
      <c r="I140" s="311"/>
      <c r="J140" s="312"/>
      <c r="K140" s="334"/>
      <c r="L140" s="335"/>
      <c r="M140" s="335"/>
    </row>
    <row r="141" spans="1:13" ht="18" hidden="1" customHeight="1" x14ac:dyDescent="0.15">
      <c r="A141" s="299">
        <f>+入力表!A151</f>
        <v>0</v>
      </c>
      <c r="B141" s="300"/>
      <c r="C141" s="300"/>
      <c r="D141" s="300"/>
      <c r="E141" s="311">
        <f>+IF(入力表!F$12=0,入力表!B151,入力表!J151)</f>
        <v>0</v>
      </c>
      <c r="F141" s="311"/>
      <c r="G141" s="311"/>
      <c r="H141" s="311" t="str">
        <f>IF(LEN(予定価格!G139)=0,"",IF(AND(LEN(予定価格!G139)=1,LEN(予定価格!H139)=1),0,IF(入力表!$F$439=0,"",入力表!F151)))</f>
        <v/>
      </c>
      <c r="I141" s="311"/>
      <c r="J141" s="312"/>
      <c r="K141" s="334"/>
      <c r="L141" s="335"/>
      <c r="M141" s="335"/>
    </row>
    <row r="142" spans="1:13" ht="18" hidden="1" customHeight="1" x14ac:dyDescent="0.15">
      <c r="A142" s="299">
        <f>+入力表!A152</f>
        <v>0</v>
      </c>
      <c r="B142" s="300"/>
      <c r="C142" s="300"/>
      <c r="D142" s="300"/>
      <c r="E142" s="311">
        <f>+IF(入力表!F$12=0,入力表!B152,入力表!J152)</f>
        <v>0</v>
      </c>
      <c r="F142" s="311"/>
      <c r="G142" s="311"/>
      <c r="H142" s="311" t="str">
        <f>IF(LEN(予定価格!G140)=0,"",IF(AND(LEN(予定価格!G140)=1,LEN(予定価格!H140)=1),0,IF(入力表!$F$439=0,"",入力表!F152)))</f>
        <v/>
      </c>
      <c r="I142" s="311"/>
      <c r="J142" s="312"/>
      <c r="K142" s="334"/>
      <c r="L142" s="335"/>
      <c r="M142" s="335"/>
    </row>
    <row r="143" spans="1:13" ht="18" hidden="1" customHeight="1" x14ac:dyDescent="0.15">
      <c r="A143" s="299">
        <f>+入力表!A153</f>
        <v>0</v>
      </c>
      <c r="B143" s="300"/>
      <c r="C143" s="300"/>
      <c r="D143" s="300"/>
      <c r="E143" s="311">
        <f>+IF(入力表!F$12=0,入力表!B153,入力表!J153)</f>
        <v>0</v>
      </c>
      <c r="F143" s="311"/>
      <c r="G143" s="311"/>
      <c r="H143" s="311" t="str">
        <f>IF(LEN(予定価格!G141)=0,"",IF(AND(LEN(予定価格!G141)=1,LEN(予定価格!H141)=1),0,IF(入力表!$F$439=0,"",入力表!F153)))</f>
        <v/>
      </c>
      <c r="I143" s="311"/>
      <c r="J143" s="312"/>
      <c r="K143" s="334"/>
      <c r="L143" s="335"/>
      <c r="M143" s="335"/>
    </row>
    <row r="144" spans="1:13" ht="18" hidden="1" customHeight="1" x14ac:dyDescent="0.15">
      <c r="A144" s="299">
        <f>+入力表!A154</f>
        <v>0</v>
      </c>
      <c r="B144" s="300"/>
      <c r="C144" s="300"/>
      <c r="D144" s="300"/>
      <c r="E144" s="311">
        <f>+IF(入力表!F$12=0,入力表!B154,入力表!J154)</f>
        <v>0</v>
      </c>
      <c r="F144" s="311"/>
      <c r="G144" s="311"/>
      <c r="H144" s="311" t="str">
        <f>IF(LEN(予定価格!G142)=0,"",IF(AND(LEN(予定価格!G142)=1,LEN(予定価格!H142)=1),0,IF(入力表!$F$439=0,"",入力表!F154)))</f>
        <v/>
      </c>
      <c r="I144" s="311"/>
      <c r="J144" s="312"/>
      <c r="K144" s="334"/>
      <c r="L144" s="335"/>
      <c r="M144" s="335"/>
    </row>
    <row r="145" spans="1:13" ht="18" hidden="1" customHeight="1" x14ac:dyDescent="0.15">
      <c r="A145" s="330">
        <f>+入力表!A155</f>
        <v>0</v>
      </c>
      <c r="B145" s="331"/>
      <c r="C145" s="331"/>
      <c r="D145" s="331"/>
      <c r="E145" s="332">
        <f>+IF(入力表!F$12=0,入力表!B155,入力表!J155)</f>
        <v>0</v>
      </c>
      <c r="F145" s="332"/>
      <c r="G145" s="332"/>
      <c r="H145" s="332" t="str">
        <f>IF(LEN(予定価格!G143)=0,"",IF(AND(LEN(予定価格!G143)=1,LEN(予定価格!H143)=1),0,IF(入力表!$F$439=0,"",入力表!F155)))</f>
        <v/>
      </c>
      <c r="I145" s="332"/>
      <c r="J145" s="333"/>
      <c r="K145" s="334"/>
      <c r="L145" s="335"/>
      <c r="M145" s="335"/>
    </row>
    <row r="146" spans="1:13" ht="18" hidden="1" customHeight="1" x14ac:dyDescent="0.15">
      <c r="A146" s="299">
        <f>+入力表!A156</f>
        <v>0</v>
      </c>
      <c r="B146" s="300"/>
      <c r="C146" s="300"/>
      <c r="D146" s="300"/>
      <c r="E146" s="311">
        <f>+IF(入力表!F$12=0,入力表!B156,入力表!J156)</f>
        <v>0</v>
      </c>
      <c r="F146" s="311"/>
      <c r="G146" s="311"/>
      <c r="H146" s="311" t="str">
        <f>IF(LEN(予定価格!G144)=0,"",IF(AND(LEN(予定価格!G144)=1,LEN(予定価格!H144)=1),0,IF(入力表!$F$439=0,"",入力表!F156)))</f>
        <v/>
      </c>
      <c r="I146" s="311"/>
      <c r="J146" s="312"/>
      <c r="K146" s="334"/>
      <c r="L146" s="335"/>
      <c r="M146" s="335"/>
    </row>
    <row r="147" spans="1:13" ht="18" hidden="1" customHeight="1" x14ac:dyDescent="0.15">
      <c r="A147" s="299">
        <f>+入力表!A157</f>
        <v>0</v>
      </c>
      <c r="B147" s="300"/>
      <c r="C147" s="300"/>
      <c r="D147" s="300"/>
      <c r="E147" s="311">
        <f>+IF(入力表!F$12=0,入力表!B157,入力表!J157)</f>
        <v>0</v>
      </c>
      <c r="F147" s="311"/>
      <c r="G147" s="311"/>
      <c r="H147" s="311" t="str">
        <f>IF(LEN(予定価格!G145)=0,"",IF(AND(LEN(予定価格!G145)=1,LEN(予定価格!H145)=1),0,IF(入力表!$F$439=0,"",入力表!F157)))</f>
        <v/>
      </c>
      <c r="I147" s="311"/>
      <c r="J147" s="312"/>
      <c r="K147" s="334"/>
      <c r="L147" s="335"/>
      <c r="M147" s="335"/>
    </row>
    <row r="148" spans="1:13" ht="18" hidden="1" customHeight="1" x14ac:dyDescent="0.15">
      <c r="A148" s="299">
        <f>+入力表!A158</f>
        <v>0</v>
      </c>
      <c r="B148" s="300"/>
      <c r="C148" s="300"/>
      <c r="D148" s="300"/>
      <c r="E148" s="311">
        <f>+IF(入力表!F$12=0,入力表!B158,入力表!J158)</f>
        <v>0</v>
      </c>
      <c r="F148" s="311"/>
      <c r="G148" s="311"/>
      <c r="H148" s="311" t="str">
        <f>IF(LEN(予定価格!G146)=0,"",IF(AND(LEN(予定価格!G146)=1,LEN(予定価格!H146)=1),0,IF(入力表!$F$439=0,"",入力表!F158)))</f>
        <v/>
      </c>
      <c r="I148" s="311"/>
      <c r="J148" s="312"/>
      <c r="K148" s="334"/>
      <c r="L148" s="335"/>
      <c r="M148" s="335"/>
    </row>
    <row r="149" spans="1:13" ht="18" hidden="1" customHeight="1" x14ac:dyDescent="0.15">
      <c r="A149" s="299">
        <f>+入力表!A159</f>
        <v>0</v>
      </c>
      <c r="B149" s="300"/>
      <c r="C149" s="300"/>
      <c r="D149" s="300"/>
      <c r="E149" s="311">
        <f>+IF(入力表!F$12=0,入力表!B159,入力表!J159)</f>
        <v>0</v>
      </c>
      <c r="F149" s="311"/>
      <c r="G149" s="311"/>
      <c r="H149" s="311" t="str">
        <f>IF(LEN(予定価格!G147)=0,"",IF(AND(LEN(予定価格!G147)=1,LEN(予定価格!H147)=1),0,IF(入力表!$F$439=0,"",入力表!F159)))</f>
        <v/>
      </c>
      <c r="I149" s="311"/>
      <c r="J149" s="312"/>
      <c r="K149" s="334"/>
      <c r="L149" s="335"/>
      <c r="M149" s="335"/>
    </row>
    <row r="150" spans="1:13" ht="18" hidden="1" customHeight="1" x14ac:dyDescent="0.15">
      <c r="A150" s="299">
        <f>+入力表!A160</f>
        <v>0</v>
      </c>
      <c r="B150" s="300"/>
      <c r="C150" s="300"/>
      <c r="D150" s="300"/>
      <c r="E150" s="311">
        <f>+IF(入力表!F$12=0,入力表!B160,入力表!J160)</f>
        <v>0</v>
      </c>
      <c r="F150" s="311"/>
      <c r="G150" s="311"/>
      <c r="H150" s="311" t="str">
        <f>IF(LEN(予定価格!G148)=0,"",IF(AND(LEN(予定価格!G148)=1,LEN(予定価格!H148)=1),0,IF(入力表!$F$439=0,"",入力表!F160)))</f>
        <v/>
      </c>
      <c r="I150" s="311"/>
      <c r="J150" s="312"/>
      <c r="K150" s="334"/>
      <c r="L150" s="335"/>
      <c r="M150" s="335"/>
    </row>
    <row r="151" spans="1:13" ht="18" hidden="1" customHeight="1" x14ac:dyDescent="0.15">
      <c r="A151" s="299">
        <f>+入力表!A161</f>
        <v>0</v>
      </c>
      <c r="B151" s="300"/>
      <c r="C151" s="300"/>
      <c r="D151" s="300"/>
      <c r="E151" s="311">
        <f>+IF(入力表!F$12=0,入力表!B161,入力表!J161)</f>
        <v>0</v>
      </c>
      <c r="F151" s="311"/>
      <c r="G151" s="311"/>
      <c r="H151" s="311" t="str">
        <f>IF(LEN(予定価格!G149)=0,"",IF(AND(LEN(予定価格!G149)=1,LEN(予定価格!H149)=1),0,IF(入力表!$F$439=0,"",入力表!F161)))</f>
        <v/>
      </c>
      <c r="I151" s="311"/>
      <c r="J151" s="312"/>
      <c r="K151" s="334"/>
      <c r="L151" s="335"/>
      <c r="M151" s="335"/>
    </row>
    <row r="152" spans="1:13" ht="18" hidden="1" customHeight="1" x14ac:dyDescent="0.15">
      <c r="A152" s="299">
        <f>+入力表!A162</f>
        <v>0</v>
      </c>
      <c r="B152" s="300"/>
      <c r="C152" s="300"/>
      <c r="D152" s="300"/>
      <c r="E152" s="311">
        <f>+IF(入力表!F$12=0,入力表!B162,入力表!J162)</f>
        <v>0</v>
      </c>
      <c r="F152" s="311"/>
      <c r="G152" s="311"/>
      <c r="H152" s="311" t="str">
        <f>IF(LEN(予定価格!G150)=0,"",IF(AND(LEN(予定価格!G150)=1,LEN(予定価格!H150)=1),0,IF(入力表!$F$439=0,"",入力表!F162)))</f>
        <v/>
      </c>
      <c r="I152" s="311"/>
      <c r="J152" s="312"/>
      <c r="K152" s="334"/>
      <c r="L152" s="335"/>
      <c r="M152" s="335"/>
    </row>
    <row r="153" spans="1:13" ht="18" hidden="1" customHeight="1" x14ac:dyDescent="0.15">
      <c r="A153" s="299">
        <f>+入力表!A163</f>
        <v>0</v>
      </c>
      <c r="B153" s="300"/>
      <c r="C153" s="300"/>
      <c r="D153" s="300"/>
      <c r="E153" s="311">
        <f>+IF(入力表!F$12=0,入力表!B163,入力表!J163)</f>
        <v>0</v>
      </c>
      <c r="F153" s="311"/>
      <c r="G153" s="311"/>
      <c r="H153" s="311" t="str">
        <f>IF(LEN(予定価格!G151)=0,"",IF(AND(LEN(予定価格!G151)=1,LEN(予定価格!H151)=1),0,IF(入力表!$F$439=0,"",入力表!F163)))</f>
        <v/>
      </c>
      <c r="I153" s="311"/>
      <c r="J153" s="312"/>
      <c r="K153" s="334"/>
      <c r="L153" s="335"/>
      <c r="M153" s="335"/>
    </row>
    <row r="154" spans="1:13" ht="18" hidden="1" customHeight="1" x14ac:dyDescent="0.15">
      <c r="A154" s="299">
        <f>+入力表!A164</f>
        <v>0</v>
      </c>
      <c r="B154" s="300"/>
      <c r="C154" s="300"/>
      <c r="D154" s="300"/>
      <c r="E154" s="311">
        <f>+IF(入力表!F$12=0,入力表!B164,入力表!J164)</f>
        <v>0</v>
      </c>
      <c r="F154" s="311"/>
      <c r="G154" s="311"/>
      <c r="H154" s="311" t="str">
        <f>IF(LEN(予定価格!G152)=0,"",IF(AND(LEN(予定価格!G152)=1,LEN(予定価格!H152)=1),0,IF(入力表!$F$439=0,"",入力表!F164)))</f>
        <v/>
      </c>
      <c r="I154" s="311"/>
      <c r="J154" s="312"/>
      <c r="K154" s="334"/>
      <c r="L154" s="335"/>
      <c r="M154" s="335"/>
    </row>
    <row r="155" spans="1:13" ht="18" hidden="1" customHeight="1" x14ac:dyDescent="0.15">
      <c r="A155" s="299">
        <f>+入力表!A165</f>
        <v>0</v>
      </c>
      <c r="B155" s="300"/>
      <c r="C155" s="300"/>
      <c r="D155" s="300"/>
      <c r="E155" s="311">
        <f>+IF(入力表!F$12=0,入力表!B165,入力表!J165)</f>
        <v>0</v>
      </c>
      <c r="F155" s="311"/>
      <c r="G155" s="311"/>
      <c r="H155" s="311" t="str">
        <f>IF(LEN(予定価格!G153)=0,"",IF(AND(LEN(予定価格!G153)=1,LEN(予定価格!H153)=1),0,IF(入力表!$F$439=0,"",入力表!F165)))</f>
        <v/>
      </c>
      <c r="I155" s="311"/>
      <c r="J155" s="312"/>
      <c r="K155" s="334"/>
      <c r="L155" s="335"/>
      <c r="M155" s="335"/>
    </row>
    <row r="156" spans="1:13" ht="18" hidden="1" customHeight="1" x14ac:dyDescent="0.15">
      <c r="A156" s="299">
        <f>+入力表!A166</f>
        <v>0</v>
      </c>
      <c r="B156" s="300"/>
      <c r="C156" s="300"/>
      <c r="D156" s="300"/>
      <c r="E156" s="311">
        <f>+IF(入力表!F$12=0,入力表!B166,入力表!J166)</f>
        <v>0</v>
      </c>
      <c r="F156" s="311"/>
      <c r="G156" s="311"/>
      <c r="H156" s="311" t="str">
        <f>IF(LEN(予定価格!G154)=0,"",IF(AND(LEN(予定価格!G154)=1,LEN(予定価格!H154)=1),0,IF(入力表!$F$439=0,"",入力表!F166)))</f>
        <v/>
      </c>
      <c r="I156" s="311"/>
      <c r="J156" s="312"/>
      <c r="K156" s="334"/>
      <c r="L156" s="335"/>
      <c r="M156" s="335"/>
    </row>
    <row r="157" spans="1:13" ht="18" hidden="1" customHeight="1" x14ac:dyDescent="0.15">
      <c r="A157" s="299">
        <f>+入力表!A167</f>
        <v>0</v>
      </c>
      <c r="B157" s="300"/>
      <c r="C157" s="300"/>
      <c r="D157" s="300"/>
      <c r="E157" s="311">
        <f>+IF(入力表!F$12=0,入力表!B167,入力表!J167)</f>
        <v>0</v>
      </c>
      <c r="F157" s="311"/>
      <c r="G157" s="311"/>
      <c r="H157" s="311" t="str">
        <f>IF(LEN(予定価格!G155)=0,"",IF(AND(LEN(予定価格!G155)=1,LEN(予定価格!H155)=1),0,IF(入力表!$F$439=0,"",入力表!F167)))</f>
        <v/>
      </c>
      <c r="I157" s="311"/>
      <c r="J157" s="312"/>
      <c r="K157" s="334"/>
      <c r="L157" s="335"/>
      <c r="M157" s="335"/>
    </row>
    <row r="158" spans="1:13" ht="18" hidden="1" customHeight="1" x14ac:dyDescent="0.15">
      <c r="A158" s="299">
        <f>+入力表!A168</f>
        <v>0</v>
      </c>
      <c r="B158" s="300"/>
      <c r="C158" s="300"/>
      <c r="D158" s="300"/>
      <c r="E158" s="311">
        <f>+IF(入力表!F$12=0,入力表!B168,入力表!J168)</f>
        <v>0</v>
      </c>
      <c r="F158" s="311"/>
      <c r="G158" s="311"/>
      <c r="H158" s="311" t="str">
        <f>IF(LEN(予定価格!G156)=0,"",IF(AND(LEN(予定価格!G156)=1,LEN(予定価格!H156)=1),0,IF(入力表!$F$439=0,"",入力表!F168)))</f>
        <v/>
      </c>
      <c r="I158" s="311"/>
      <c r="J158" s="312"/>
      <c r="K158" s="334"/>
      <c r="L158" s="335"/>
      <c r="M158" s="335"/>
    </row>
    <row r="159" spans="1:13" ht="18" hidden="1" customHeight="1" x14ac:dyDescent="0.15">
      <c r="A159" s="299">
        <f>+入力表!A169</f>
        <v>0</v>
      </c>
      <c r="B159" s="300"/>
      <c r="C159" s="300"/>
      <c r="D159" s="300"/>
      <c r="E159" s="311">
        <f>+IF(入力表!F$12=0,入力表!B169,入力表!J169)</f>
        <v>0</v>
      </c>
      <c r="F159" s="311"/>
      <c r="G159" s="311"/>
      <c r="H159" s="311" t="str">
        <f>IF(LEN(予定価格!G157)=0,"",IF(AND(LEN(予定価格!G157)=1,LEN(予定価格!H157)=1),0,IF(入力表!$F$439=0,"",入力表!F169)))</f>
        <v/>
      </c>
      <c r="I159" s="311"/>
      <c r="J159" s="312"/>
      <c r="K159" s="334"/>
      <c r="L159" s="335"/>
      <c r="M159" s="335"/>
    </row>
    <row r="160" spans="1:13" ht="18" hidden="1" customHeight="1" x14ac:dyDescent="0.15">
      <c r="A160" s="299">
        <f>+入力表!A170</f>
        <v>0</v>
      </c>
      <c r="B160" s="300"/>
      <c r="C160" s="300"/>
      <c r="D160" s="300"/>
      <c r="E160" s="311">
        <f>+IF(入力表!F$12=0,入力表!B170,入力表!J170)</f>
        <v>0</v>
      </c>
      <c r="F160" s="311"/>
      <c r="G160" s="311"/>
      <c r="H160" s="311" t="str">
        <f>IF(LEN(予定価格!G158)=0,"",IF(AND(LEN(予定価格!G158)=1,LEN(予定価格!H158)=1),0,IF(入力表!$F$439=0,"",入力表!F170)))</f>
        <v/>
      </c>
      <c r="I160" s="311"/>
      <c r="J160" s="312"/>
      <c r="K160" s="334"/>
      <c r="L160" s="335"/>
      <c r="M160" s="335"/>
    </row>
    <row r="161" spans="1:13" ht="18" hidden="1" customHeight="1" x14ac:dyDescent="0.15">
      <c r="A161" s="299">
        <f>+入力表!A171</f>
        <v>0</v>
      </c>
      <c r="B161" s="300"/>
      <c r="C161" s="300"/>
      <c r="D161" s="300"/>
      <c r="E161" s="311">
        <f>+IF(入力表!F$12=0,入力表!B171,入力表!J171)</f>
        <v>0</v>
      </c>
      <c r="F161" s="311"/>
      <c r="G161" s="311"/>
      <c r="H161" s="311" t="str">
        <f>IF(LEN(予定価格!G159)=0,"",IF(AND(LEN(予定価格!G159)=1,LEN(予定価格!H159)=1),0,IF(入力表!$F$439=0,"",入力表!F171)))</f>
        <v/>
      </c>
      <c r="I161" s="311"/>
      <c r="J161" s="312"/>
      <c r="K161" s="334"/>
      <c r="L161" s="335"/>
      <c r="M161" s="335"/>
    </row>
    <row r="162" spans="1:13" ht="18" hidden="1" customHeight="1" x14ac:dyDescent="0.15">
      <c r="A162" s="299">
        <f>+入力表!A172</f>
        <v>0</v>
      </c>
      <c r="B162" s="300"/>
      <c r="C162" s="300"/>
      <c r="D162" s="300"/>
      <c r="E162" s="311">
        <f>+IF(入力表!F$12=0,入力表!B172,入力表!J172)</f>
        <v>0</v>
      </c>
      <c r="F162" s="311"/>
      <c r="G162" s="311"/>
      <c r="H162" s="311" t="str">
        <f>IF(LEN(予定価格!G160)=0,"",IF(AND(LEN(予定価格!G160)=1,LEN(予定価格!H160)=1),0,IF(入力表!$F$439=0,"",入力表!F172)))</f>
        <v/>
      </c>
      <c r="I162" s="311"/>
      <c r="J162" s="312"/>
      <c r="K162" s="334"/>
      <c r="L162" s="335"/>
      <c r="M162" s="335"/>
    </row>
    <row r="163" spans="1:13" ht="18" hidden="1" customHeight="1" x14ac:dyDescent="0.15">
      <c r="A163" s="299">
        <f>+入力表!A173</f>
        <v>0</v>
      </c>
      <c r="B163" s="300"/>
      <c r="C163" s="300"/>
      <c r="D163" s="300"/>
      <c r="E163" s="311">
        <f>+IF(入力表!F$12=0,入力表!B173,入力表!J173)</f>
        <v>0</v>
      </c>
      <c r="F163" s="311"/>
      <c r="G163" s="311"/>
      <c r="H163" s="311" t="str">
        <f>IF(LEN(予定価格!G161)=0,"",IF(AND(LEN(予定価格!G161)=1,LEN(予定価格!H161)=1),0,IF(入力表!$F$439=0,"",入力表!F173)))</f>
        <v/>
      </c>
      <c r="I163" s="311"/>
      <c r="J163" s="312"/>
      <c r="K163" s="334"/>
      <c r="L163" s="335"/>
      <c r="M163" s="335"/>
    </row>
    <row r="164" spans="1:13" ht="18" hidden="1" customHeight="1" x14ac:dyDescent="0.15">
      <c r="A164" s="299">
        <f>+入力表!A174</f>
        <v>0</v>
      </c>
      <c r="B164" s="300"/>
      <c r="C164" s="300"/>
      <c r="D164" s="300"/>
      <c r="E164" s="311">
        <f>+IF(入力表!F$12=0,入力表!B174,入力表!J174)</f>
        <v>0</v>
      </c>
      <c r="F164" s="311"/>
      <c r="G164" s="311"/>
      <c r="H164" s="311" t="str">
        <f>IF(LEN(予定価格!G162)=0,"",IF(AND(LEN(予定価格!G162)=1,LEN(予定価格!H162)=1),0,IF(入力表!$F$439=0,"",入力表!F174)))</f>
        <v/>
      </c>
      <c r="I164" s="311"/>
      <c r="J164" s="312"/>
      <c r="K164" s="334"/>
      <c r="L164" s="335"/>
      <c r="M164" s="335"/>
    </row>
    <row r="165" spans="1:13" ht="18" hidden="1" customHeight="1" x14ac:dyDescent="0.15">
      <c r="A165" s="299">
        <f>+入力表!A175</f>
        <v>0</v>
      </c>
      <c r="B165" s="300"/>
      <c r="C165" s="300"/>
      <c r="D165" s="300"/>
      <c r="E165" s="311">
        <f>+IF(入力表!F$12=0,入力表!B175,入力表!J175)</f>
        <v>0</v>
      </c>
      <c r="F165" s="311"/>
      <c r="G165" s="311"/>
      <c r="H165" s="311" t="str">
        <f>IF(LEN(予定価格!G163)=0,"",IF(AND(LEN(予定価格!G163)=1,LEN(予定価格!H163)=1),0,IF(入力表!$F$439=0,"",入力表!F175)))</f>
        <v/>
      </c>
      <c r="I165" s="311"/>
      <c r="J165" s="312"/>
      <c r="K165" s="334"/>
      <c r="L165" s="335"/>
      <c r="M165" s="335"/>
    </row>
    <row r="166" spans="1:13" ht="18" hidden="1" customHeight="1" x14ac:dyDescent="0.15">
      <c r="A166" s="299">
        <f>+入力表!A176</f>
        <v>0</v>
      </c>
      <c r="B166" s="300"/>
      <c r="C166" s="300"/>
      <c r="D166" s="300"/>
      <c r="E166" s="311">
        <f>+IF(入力表!F$12=0,入力表!B176,入力表!J176)</f>
        <v>0</v>
      </c>
      <c r="F166" s="311"/>
      <c r="G166" s="311"/>
      <c r="H166" s="311" t="str">
        <f>IF(LEN(予定価格!G164)=0,"",IF(AND(LEN(予定価格!G164)=1,LEN(予定価格!H164)=1),0,IF(入力表!$F$439=0,"",入力表!F176)))</f>
        <v/>
      </c>
      <c r="I166" s="311"/>
      <c r="J166" s="312"/>
      <c r="K166" s="334"/>
      <c r="L166" s="335"/>
      <c r="M166" s="335"/>
    </row>
    <row r="167" spans="1:13" ht="18" hidden="1" customHeight="1" x14ac:dyDescent="0.15">
      <c r="A167" s="299">
        <f>+入力表!A177</f>
        <v>0</v>
      </c>
      <c r="B167" s="300"/>
      <c r="C167" s="300"/>
      <c r="D167" s="300"/>
      <c r="E167" s="311">
        <f>+IF(入力表!F$12=0,入力表!B177,入力表!J177)</f>
        <v>0</v>
      </c>
      <c r="F167" s="311"/>
      <c r="G167" s="311"/>
      <c r="H167" s="311" t="str">
        <f>IF(LEN(予定価格!G165)=0,"",IF(AND(LEN(予定価格!G165)=1,LEN(予定価格!H165)=1),0,IF(入力表!$F$439=0,"",入力表!F177)))</f>
        <v/>
      </c>
      <c r="I167" s="311"/>
      <c r="J167" s="312"/>
      <c r="K167" s="334"/>
      <c r="L167" s="335"/>
      <c r="M167" s="335"/>
    </row>
    <row r="168" spans="1:13" ht="18" hidden="1" customHeight="1" x14ac:dyDescent="0.15">
      <c r="A168" s="299">
        <f>+入力表!A178</f>
        <v>0</v>
      </c>
      <c r="B168" s="300"/>
      <c r="C168" s="300"/>
      <c r="D168" s="300"/>
      <c r="E168" s="311">
        <f>+IF(入力表!F$12=0,入力表!B178,入力表!J178)</f>
        <v>0</v>
      </c>
      <c r="F168" s="311"/>
      <c r="G168" s="311"/>
      <c r="H168" s="311" t="str">
        <f>IF(LEN(予定価格!G166)=0,"",IF(AND(LEN(予定価格!G166)=1,LEN(予定価格!H166)=1),0,IF(入力表!$F$439=0,"",入力表!F178)))</f>
        <v/>
      </c>
      <c r="I168" s="311"/>
      <c r="J168" s="312"/>
      <c r="K168" s="334"/>
      <c r="L168" s="335"/>
      <c r="M168" s="335"/>
    </row>
    <row r="169" spans="1:13" ht="18" hidden="1" customHeight="1" x14ac:dyDescent="0.15">
      <c r="A169" s="299">
        <f>+入力表!A179</f>
        <v>0</v>
      </c>
      <c r="B169" s="300"/>
      <c r="C169" s="300"/>
      <c r="D169" s="300"/>
      <c r="E169" s="311">
        <f>+IF(入力表!F$12=0,入力表!B179,入力表!J179)</f>
        <v>0</v>
      </c>
      <c r="F169" s="311"/>
      <c r="G169" s="311"/>
      <c r="H169" s="311" t="str">
        <f>IF(LEN(予定価格!G167)=0,"",IF(AND(LEN(予定価格!G167)=1,LEN(予定価格!H167)=1),0,IF(入力表!$F$439=0,"",入力表!F179)))</f>
        <v/>
      </c>
      <c r="I169" s="311"/>
      <c r="J169" s="312"/>
      <c r="K169" s="334"/>
      <c r="L169" s="335"/>
      <c r="M169" s="335"/>
    </row>
    <row r="170" spans="1:13" ht="18" hidden="1" customHeight="1" x14ac:dyDescent="0.15">
      <c r="A170" s="299">
        <f>+入力表!A180</f>
        <v>0</v>
      </c>
      <c r="B170" s="300"/>
      <c r="C170" s="300"/>
      <c r="D170" s="300"/>
      <c r="E170" s="311">
        <f>+IF(入力表!F$12=0,入力表!B180,入力表!J180)</f>
        <v>0</v>
      </c>
      <c r="F170" s="311"/>
      <c r="G170" s="311"/>
      <c r="H170" s="311" t="str">
        <f>IF(LEN(予定価格!G168)=0,"",IF(AND(LEN(予定価格!G168)=1,LEN(予定価格!H168)=1),0,IF(入力表!$F$439=0,"",入力表!F180)))</f>
        <v/>
      </c>
      <c r="I170" s="311"/>
      <c r="J170" s="312"/>
      <c r="K170" s="334"/>
      <c r="L170" s="335"/>
      <c r="M170" s="335"/>
    </row>
    <row r="171" spans="1:13" ht="18" hidden="1" customHeight="1" x14ac:dyDescent="0.15">
      <c r="A171" s="299">
        <f>+入力表!A181</f>
        <v>0</v>
      </c>
      <c r="B171" s="300"/>
      <c r="C171" s="300"/>
      <c r="D171" s="300"/>
      <c r="E171" s="311">
        <f>+IF(入力表!F$12=0,入力表!B181,入力表!J181)</f>
        <v>0</v>
      </c>
      <c r="F171" s="311"/>
      <c r="G171" s="311"/>
      <c r="H171" s="311" t="str">
        <f>IF(LEN(予定価格!G169)=0,"",IF(AND(LEN(予定価格!G169)=1,LEN(予定価格!H169)=1),0,IF(入力表!$F$439=0,"",入力表!F181)))</f>
        <v/>
      </c>
      <c r="I171" s="311"/>
      <c r="J171" s="312"/>
      <c r="K171" s="334"/>
      <c r="L171" s="335"/>
      <c r="M171" s="335"/>
    </row>
    <row r="172" spans="1:13" ht="18" hidden="1" customHeight="1" x14ac:dyDescent="0.15">
      <c r="A172" s="299">
        <f>+入力表!A182</f>
        <v>0</v>
      </c>
      <c r="B172" s="300"/>
      <c r="C172" s="300"/>
      <c r="D172" s="300"/>
      <c r="E172" s="311">
        <f>+IF(入力表!F$12=0,入力表!B182,入力表!J182)</f>
        <v>0</v>
      </c>
      <c r="F172" s="311"/>
      <c r="G172" s="311"/>
      <c r="H172" s="311" t="str">
        <f>IF(LEN(予定価格!G170)=0,"",IF(AND(LEN(予定価格!G170)=1,LEN(予定価格!H170)=1),0,IF(入力表!$F$439=0,"",入力表!F182)))</f>
        <v/>
      </c>
      <c r="I172" s="311"/>
      <c r="J172" s="312"/>
      <c r="K172" s="334"/>
      <c r="L172" s="335"/>
      <c r="M172" s="335"/>
    </row>
    <row r="173" spans="1:13" ht="18" hidden="1" customHeight="1" x14ac:dyDescent="0.15">
      <c r="A173" s="299">
        <f>+入力表!A183</f>
        <v>0</v>
      </c>
      <c r="B173" s="300"/>
      <c r="C173" s="300"/>
      <c r="D173" s="300"/>
      <c r="E173" s="311">
        <f>+IF(入力表!F$12=0,入力表!B183,入力表!J183)</f>
        <v>0</v>
      </c>
      <c r="F173" s="311"/>
      <c r="G173" s="311"/>
      <c r="H173" s="311" t="str">
        <f>IF(LEN(予定価格!G171)=0,"",IF(AND(LEN(予定価格!G171)=1,LEN(予定価格!H171)=1),0,IF(入力表!$F$439=0,"",入力表!F183)))</f>
        <v/>
      </c>
      <c r="I173" s="311"/>
      <c r="J173" s="312"/>
      <c r="K173" s="334"/>
      <c r="L173" s="335"/>
      <c r="M173" s="335"/>
    </row>
    <row r="174" spans="1:13" ht="18" hidden="1" customHeight="1" x14ac:dyDescent="0.15">
      <c r="A174" s="299">
        <f>+入力表!A184</f>
        <v>0</v>
      </c>
      <c r="B174" s="300"/>
      <c r="C174" s="300"/>
      <c r="D174" s="300"/>
      <c r="E174" s="311">
        <f>+IF(入力表!F$12=0,入力表!B184,入力表!J184)</f>
        <v>0</v>
      </c>
      <c r="F174" s="311"/>
      <c r="G174" s="311"/>
      <c r="H174" s="311" t="str">
        <f>IF(LEN(予定価格!G172)=0,"",IF(AND(LEN(予定価格!G172)=1,LEN(予定価格!H172)=1),0,IF(入力表!$F$439=0,"",入力表!F184)))</f>
        <v/>
      </c>
      <c r="I174" s="311"/>
      <c r="J174" s="312"/>
      <c r="K174" s="334"/>
      <c r="L174" s="335"/>
      <c r="M174" s="335"/>
    </row>
    <row r="175" spans="1:13" ht="18" hidden="1" customHeight="1" x14ac:dyDescent="0.15">
      <c r="A175" s="299">
        <f>+入力表!A185</f>
        <v>0</v>
      </c>
      <c r="B175" s="300"/>
      <c r="C175" s="300"/>
      <c r="D175" s="300"/>
      <c r="E175" s="311">
        <f>+IF(入力表!F$12=0,入力表!B185,入力表!J185)</f>
        <v>0</v>
      </c>
      <c r="F175" s="311"/>
      <c r="G175" s="311"/>
      <c r="H175" s="311" t="str">
        <f>IF(LEN(予定価格!G173)=0,"",IF(AND(LEN(予定価格!G173)=1,LEN(予定価格!H173)=1),0,IF(入力表!$F$439=0,"",入力表!F185)))</f>
        <v/>
      </c>
      <c r="I175" s="311"/>
      <c r="J175" s="312"/>
      <c r="K175" s="334"/>
      <c r="L175" s="335"/>
      <c r="M175" s="335"/>
    </row>
    <row r="176" spans="1:13" ht="18" hidden="1" customHeight="1" x14ac:dyDescent="0.15">
      <c r="A176" s="299">
        <f>+入力表!A186</f>
        <v>0</v>
      </c>
      <c r="B176" s="300"/>
      <c r="C176" s="300"/>
      <c r="D176" s="300"/>
      <c r="E176" s="311">
        <f>+IF(入力表!F$12=0,入力表!B186,入力表!J186)</f>
        <v>0</v>
      </c>
      <c r="F176" s="311"/>
      <c r="G176" s="311"/>
      <c r="H176" s="311" t="str">
        <f>IF(LEN(予定価格!G174)=0,"",IF(AND(LEN(予定価格!G174)=1,LEN(予定価格!H174)=1),0,IF(入力表!$F$439=0,"",入力表!F186)))</f>
        <v/>
      </c>
      <c r="I176" s="311"/>
      <c r="J176" s="312"/>
      <c r="K176" s="334"/>
      <c r="L176" s="335"/>
      <c r="M176" s="335"/>
    </row>
    <row r="177" spans="1:13" ht="18" hidden="1" customHeight="1" x14ac:dyDescent="0.15">
      <c r="A177" s="328">
        <f>+入力表!A187</f>
        <v>0</v>
      </c>
      <c r="B177" s="329"/>
      <c r="C177" s="329"/>
      <c r="D177" s="329"/>
      <c r="E177" s="313">
        <f>SUM(E178:G218)</f>
        <v>0</v>
      </c>
      <c r="F177" s="313"/>
      <c r="G177" s="313"/>
      <c r="H177" s="313" t="str">
        <f>IF(LEN(予定価格!G175)=0,"",IF(AND(LEN(予定価格!G175)=1,LEN(予定価格!H175)=1),0,IF(入力表!$F$439=0,"",入力表!F187)))</f>
        <v/>
      </c>
      <c r="I177" s="313"/>
      <c r="J177" s="314"/>
      <c r="K177" s="334">
        <f>SUM(E178:G218)</f>
        <v>0</v>
      </c>
      <c r="L177" s="335">
        <f>K177*0.08</f>
        <v>0</v>
      </c>
      <c r="M177" s="335">
        <f>K177+L177</f>
        <v>0</v>
      </c>
    </row>
    <row r="178" spans="1:13" ht="18" hidden="1" customHeight="1" x14ac:dyDescent="0.15">
      <c r="A178" s="299">
        <f>+入力表!A188</f>
        <v>0</v>
      </c>
      <c r="B178" s="300"/>
      <c r="C178" s="300"/>
      <c r="D178" s="300"/>
      <c r="E178" s="311">
        <f>+IF(入力表!F$12=0,入力表!B188,入力表!J188)</f>
        <v>0</v>
      </c>
      <c r="F178" s="311"/>
      <c r="G178" s="311"/>
      <c r="H178" s="311" t="str">
        <f>IF(LEN(予定価格!G176)=0,"",IF(AND(LEN(予定価格!G176)=1,LEN(予定価格!H176)=1),0,IF(入力表!$F$439=0,"",入力表!F188)))</f>
        <v/>
      </c>
      <c r="I178" s="311"/>
      <c r="J178" s="312"/>
      <c r="K178" s="334"/>
      <c r="L178" s="335"/>
      <c r="M178" s="335"/>
    </row>
    <row r="179" spans="1:13" ht="18" hidden="1" customHeight="1" x14ac:dyDescent="0.15">
      <c r="A179" s="299">
        <f>+入力表!A189</f>
        <v>0</v>
      </c>
      <c r="B179" s="300"/>
      <c r="C179" s="300"/>
      <c r="D179" s="300"/>
      <c r="E179" s="311">
        <f>+IF(入力表!F$12=0,入力表!B189,入力表!J189)</f>
        <v>0</v>
      </c>
      <c r="F179" s="311"/>
      <c r="G179" s="311"/>
      <c r="H179" s="311" t="str">
        <f>IF(LEN(予定価格!G177)=0,"",IF(AND(LEN(予定価格!G177)=1,LEN(予定価格!H177)=1),0,IF(入力表!$F$439=0,"",入力表!F189)))</f>
        <v/>
      </c>
      <c r="I179" s="311"/>
      <c r="J179" s="312"/>
      <c r="K179" s="334"/>
      <c r="L179" s="335"/>
      <c r="M179" s="335"/>
    </row>
    <row r="180" spans="1:13" ht="18" hidden="1" customHeight="1" x14ac:dyDescent="0.15">
      <c r="A180" s="299">
        <f>+入力表!A190</f>
        <v>0</v>
      </c>
      <c r="B180" s="300"/>
      <c r="C180" s="300"/>
      <c r="D180" s="300"/>
      <c r="E180" s="311">
        <f>+IF(入力表!F$12=0,入力表!B190,入力表!J190)</f>
        <v>0</v>
      </c>
      <c r="F180" s="311"/>
      <c r="G180" s="311"/>
      <c r="H180" s="311" t="str">
        <f>IF(LEN(予定価格!G178)=0,"",IF(AND(LEN(予定価格!G178)=1,LEN(予定価格!H178)=1),0,IF(入力表!$F$439=0,"",入力表!F190)))</f>
        <v/>
      </c>
      <c r="I180" s="311"/>
      <c r="J180" s="312"/>
      <c r="K180" s="334"/>
      <c r="L180" s="335"/>
      <c r="M180" s="335"/>
    </row>
    <row r="181" spans="1:13" ht="18" hidden="1" customHeight="1" x14ac:dyDescent="0.15">
      <c r="A181" s="299">
        <f>+入力表!A191</f>
        <v>0</v>
      </c>
      <c r="B181" s="300"/>
      <c r="C181" s="300"/>
      <c r="D181" s="300"/>
      <c r="E181" s="311">
        <f>+IF(入力表!F$12=0,入力表!B191,入力表!J191)</f>
        <v>0</v>
      </c>
      <c r="F181" s="311"/>
      <c r="G181" s="311"/>
      <c r="H181" s="311" t="str">
        <f>IF(LEN(予定価格!G179)=0,"",IF(AND(LEN(予定価格!G179)=1,LEN(予定価格!H179)=1),0,IF(入力表!$F$439=0,"",入力表!F191)))</f>
        <v/>
      </c>
      <c r="I181" s="311"/>
      <c r="J181" s="312"/>
      <c r="K181" s="334"/>
      <c r="L181" s="335"/>
      <c r="M181" s="335"/>
    </row>
    <row r="182" spans="1:13" ht="18" hidden="1" customHeight="1" x14ac:dyDescent="0.15">
      <c r="A182" s="299">
        <f>+入力表!A192</f>
        <v>0</v>
      </c>
      <c r="B182" s="300"/>
      <c r="C182" s="300"/>
      <c r="D182" s="300"/>
      <c r="E182" s="311">
        <f>+IF(入力表!F$12=0,入力表!B192,入力表!J192)</f>
        <v>0</v>
      </c>
      <c r="F182" s="311"/>
      <c r="G182" s="311"/>
      <c r="H182" s="311" t="str">
        <f>IF(LEN(予定価格!G180)=0,"",IF(AND(LEN(予定価格!G180)=1,LEN(予定価格!H180)=1),0,IF(入力表!$F$439=0,"",入力表!F192)))</f>
        <v/>
      </c>
      <c r="I182" s="311"/>
      <c r="J182" s="312"/>
      <c r="K182" s="334"/>
      <c r="L182" s="335"/>
      <c r="M182" s="335"/>
    </row>
    <row r="183" spans="1:13" ht="18" hidden="1" customHeight="1" x14ac:dyDescent="0.15">
      <c r="A183" s="299">
        <f>+入力表!A193</f>
        <v>0</v>
      </c>
      <c r="B183" s="300"/>
      <c r="C183" s="300"/>
      <c r="D183" s="300"/>
      <c r="E183" s="311">
        <f>+IF(入力表!F$12=0,入力表!B193,入力表!J193)</f>
        <v>0</v>
      </c>
      <c r="F183" s="311"/>
      <c r="G183" s="311"/>
      <c r="H183" s="311" t="str">
        <f>IF(LEN(予定価格!G181)=0,"",IF(AND(LEN(予定価格!G181)=1,LEN(予定価格!H181)=1),0,IF(入力表!$F$439=0,"",入力表!F193)))</f>
        <v/>
      </c>
      <c r="I183" s="311"/>
      <c r="J183" s="312"/>
      <c r="K183" s="334"/>
      <c r="L183" s="335"/>
      <c r="M183" s="335"/>
    </row>
    <row r="184" spans="1:13" ht="18" hidden="1" customHeight="1" x14ac:dyDescent="0.15">
      <c r="A184" s="299">
        <f>+入力表!A194</f>
        <v>0</v>
      </c>
      <c r="B184" s="300"/>
      <c r="C184" s="300"/>
      <c r="D184" s="300"/>
      <c r="E184" s="311">
        <f>+IF(入力表!F$12=0,入力表!B194,入力表!J194)</f>
        <v>0</v>
      </c>
      <c r="F184" s="311"/>
      <c r="G184" s="311"/>
      <c r="H184" s="311" t="str">
        <f>IF(LEN(予定価格!G182)=0,"",IF(AND(LEN(予定価格!G182)=1,LEN(予定価格!H182)=1),0,IF(入力表!$F$439=0,"",入力表!F194)))</f>
        <v/>
      </c>
      <c r="I184" s="311"/>
      <c r="J184" s="312"/>
      <c r="K184" s="334"/>
      <c r="L184" s="335"/>
      <c r="M184" s="335"/>
    </row>
    <row r="185" spans="1:13" ht="18" hidden="1" customHeight="1" x14ac:dyDescent="0.15">
      <c r="A185" s="299">
        <f>+入力表!A195</f>
        <v>0</v>
      </c>
      <c r="B185" s="300"/>
      <c r="C185" s="300"/>
      <c r="D185" s="300"/>
      <c r="E185" s="311">
        <f>+IF(入力表!F$12=0,入力表!B195,入力表!J195)</f>
        <v>0</v>
      </c>
      <c r="F185" s="311"/>
      <c r="G185" s="311"/>
      <c r="H185" s="311" t="str">
        <f>IF(LEN(予定価格!G183)=0,"",IF(AND(LEN(予定価格!G183)=1,LEN(予定価格!H183)=1),0,IF(入力表!$F$439=0,"",入力表!F195)))</f>
        <v/>
      </c>
      <c r="I185" s="311"/>
      <c r="J185" s="312"/>
      <c r="K185" s="334"/>
      <c r="L185" s="335"/>
      <c r="M185" s="335"/>
    </row>
    <row r="186" spans="1:13" ht="18" hidden="1" customHeight="1" x14ac:dyDescent="0.15">
      <c r="A186" s="299">
        <f>+入力表!A196</f>
        <v>0</v>
      </c>
      <c r="B186" s="300"/>
      <c r="C186" s="300"/>
      <c r="D186" s="300"/>
      <c r="E186" s="311">
        <f>+IF(入力表!F$12=0,入力表!B196,入力表!J196)</f>
        <v>0</v>
      </c>
      <c r="F186" s="311"/>
      <c r="G186" s="311"/>
      <c r="H186" s="311" t="str">
        <f>IF(LEN(予定価格!G184)=0,"",IF(AND(LEN(予定価格!G184)=1,LEN(予定価格!H184)=1),0,IF(入力表!$F$439=0,"",入力表!F196)))</f>
        <v/>
      </c>
      <c r="I186" s="311"/>
      <c r="J186" s="312"/>
      <c r="K186" s="334"/>
      <c r="L186" s="335"/>
      <c r="M186" s="335"/>
    </row>
    <row r="187" spans="1:13" ht="18" hidden="1" customHeight="1" x14ac:dyDescent="0.15">
      <c r="A187" s="299">
        <f>+入力表!A197</f>
        <v>0</v>
      </c>
      <c r="B187" s="300"/>
      <c r="C187" s="300"/>
      <c r="D187" s="300"/>
      <c r="E187" s="311">
        <f>+IF(入力表!F$12=0,入力表!B197,入力表!J197)</f>
        <v>0</v>
      </c>
      <c r="F187" s="311"/>
      <c r="G187" s="311"/>
      <c r="H187" s="311" t="str">
        <f>IF(LEN(予定価格!G185)=0,"",IF(AND(LEN(予定価格!G185)=1,LEN(予定価格!H185)=1),0,IF(入力表!$F$439=0,"",入力表!F197)))</f>
        <v/>
      </c>
      <c r="I187" s="311"/>
      <c r="J187" s="312"/>
      <c r="K187" s="334"/>
      <c r="L187" s="335"/>
      <c r="M187" s="335"/>
    </row>
    <row r="188" spans="1:13" ht="18" hidden="1" customHeight="1" x14ac:dyDescent="0.15">
      <c r="A188" s="299">
        <f>+入力表!A198</f>
        <v>0</v>
      </c>
      <c r="B188" s="300"/>
      <c r="C188" s="300"/>
      <c r="D188" s="300"/>
      <c r="E188" s="311">
        <f>+IF(入力表!F$12=0,入力表!B198,入力表!J198)</f>
        <v>0</v>
      </c>
      <c r="F188" s="311"/>
      <c r="G188" s="311"/>
      <c r="H188" s="311" t="str">
        <f>IF(LEN(予定価格!G186)=0,"",IF(AND(LEN(予定価格!G186)=1,LEN(予定価格!H186)=1),0,IF(入力表!$F$439=0,"",入力表!F198)))</f>
        <v/>
      </c>
      <c r="I188" s="311"/>
      <c r="J188" s="312"/>
      <c r="K188" s="334"/>
      <c r="L188" s="335"/>
      <c r="M188" s="335"/>
    </row>
    <row r="189" spans="1:13" ht="18" hidden="1" customHeight="1" x14ac:dyDescent="0.15">
      <c r="A189" s="299">
        <f>+入力表!A199</f>
        <v>0</v>
      </c>
      <c r="B189" s="300"/>
      <c r="C189" s="300"/>
      <c r="D189" s="300"/>
      <c r="E189" s="311">
        <f>+IF(入力表!F$12=0,入力表!B199,入力表!J199)</f>
        <v>0</v>
      </c>
      <c r="F189" s="311"/>
      <c r="G189" s="311"/>
      <c r="H189" s="311" t="str">
        <f>IF(LEN(予定価格!G187)=0,"",IF(AND(LEN(予定価格!G187)=1,LEN(予定価格!H187)=1),0,IF(入力表!$F$439=0,"",入力表!F199)))</f>
        <v/>
      </c>
      <c r="I189" s="311"/>
      <c r="J189" s="312"/>
      <c r="K189" s="334"/>
      <c r="L189" s="335"/>
      <c r="M189" s="335"/>
    </row>
    <row r="190" spans="1:13" ht="18" hidden="1" customHeight="1" x14ac:dyDescent="0.15">
      <c r="A190" s="299">
        <f>+入力表!A200</f>
        <v>0</v>
      </c>
      <c r="B190" s="300"/>
      <c r="C190" s="300"/>
      <c r="D190" s="300"/>
      <c r="E190" s="311">
        <f>+IF(入力表!F$12=0,入力表!B200,入力表!J200)</f>
        <v>0</v>
      </c>
      <c r="F190" s="311"/>
      <c r="G190" s="311"/>
      <c r="H190" s="311" t="str">
        <f>IF(LEN(予定価格!G188)=0,"",IF(AND(LEN(予定価格!G188)=1,LEN(予定価格!H188)=1),0,IF(入力表!$F$439=0,"",入力表!F200)))</f>
        <v/>
      </c>
      <c r="I190" s="311"/>
      <c r="J190" s="312"/>
      <c r="K190" s="334"/>
      <c r="L190" s="335"/>
      <c r="M190" s="335"/>
    </row>
    <row r="191" spans="1:13" ht="18" hidden="1" customHeight="1" x14ac:dyDescent="0.15">
      <c r="A191" s="299">
        <f>+入力表!A201</f>
        <v>0</v>
      </c>
      <c r="B191" s="300"/>
      <c r="C191" s="300"/>
      <c r="D191" s="300"/>
      <c r="E191" s="311">
        <f>+IF(入力表!F$12=0,入力表!B201,入力表!J201)</f>
        <v>0</v>
      </c>
      <c r="F191" s="311"/>
      <c r="G191" s="311"/>
      <c r="H191" s="311" t="str">
        <f>IF(LEN(予定価格!G189)=0,"",IF(AND(LEN(予定価格!G189)=1,LEN(予定価格!H189)=1),0,IF(入力表!$F$439=0,"",入力表!F201)))</f>
        <v/>
      </c>
      <c r="I191" s="311"/>
      <c r="J191" s="312"/>
      <c r="K191" s="334"/>
      <c r="L191" s="335"/>
      <c r="M191" s="335"/>
    </row>
    <row r="192" spans="1:13" ht="18" hidden="1" customHeight="1" x14ac:dyDescent="0.15">
      <c r="A192" s="299">
        <f>+入力表!A202</f>
        <v>0</v>
      </c>
      <c r="B192" s="300"/>
      <c r="C192" s="300"/>
      <c r="D192" s="300"/>
      <c r="E192" s="311">
        <f>+IF(入力表!F$12=0,入力表!B202,入力表!J202)</f>
        <v>0</v>
      </c>
      <c r="F192" s="311"/>
      <c r="G192" s="311"/>
      <c r="H192" s="311" t="str">
        <f>IF(LEN(予定価格!G190)=0,"",IF(AND(LEN(予定価格!G190)=1,LEN(予定価格!H190)=1),0,IF(入力表!$F$439=0,"",入力表!F202)))</f>
        <v/>
      </c>
      <c r="I192" s="311"/>
      <c r="J192" s="312"/>
      <c r="K192" s="334"/>
      <c r="L192" s="335"/>
      <c r="M192" s="335"/>
    </row>
    <row r="193" spans="1:13" ht="18" hidden="1" customHeight="1" x14ac:dyDescent="0.15">
      <c r="A193" s="299">
        <f>+入力表!A203</f>
        <v>0</v>
      </c>
      <c r="B193" s="300"/>
      <c r="C193" s="300"/>
      <c r="D193" s="300"/>
      <c r="E193" s="311">
        <f>+IF(入力表!F$12=0,入力表!B203,入力表!J203)</f>
        <v>0</v>
      </c>
      <c r="F193" s="311"/>
      <c r="G193" s="311"/>
      <c r="H193" s="311" t="str">
        <f>IF(LEN(予定価格!G191)=0,"",IF(AND(LEN(予定価格!G191)=1,LEN(予定価格!H191)=1),0,IF(入力表!$F$439=0,"",入力表!F203)))</f>
        <v/>
      </c>
      <c r="I193" s="311"/>
      <c r="J193" s="312"/>
      <c r="K193" s="334"/>
      <c r="L193" s="335"/>
      <c r="M193" s="335"/>
    </row>
    <row r="194" spans="1:13" ht="18" hidden="1" customHeight="1" x14ac:dyDescent="0.15">
      <c r="A194" s="299">
        <f>+入力表!A204</f>
        <v>0</v>
      </c>
      <c r="B194" s="300"/>
      <c r="C194" s="300"/>
      <c r="D194" s="300"/>
      <c r="E194" s="311">
        <f>+IF(入力表!F$12=0,入力表!B204,入力表!J204)</f>
        <v>0</v>
      </c>
      <c r="F194" s="311"/>
      <c r="G194" s="311"/>
      <c r="H194" s="311" t="str">
        <f>IF(LEN(予定価格!G192)=0,"",IF(AND(LEN(予定価格!G192)=1,LEN(予定価格!H192)=1),0,IF(入力表!$F$439=0,"",入力表!F204)))</f>
        <v/>
      </c>
      <c r="I194" s="311"/>
      <c r="J194" s="312"/>
      <c r="K194" s="334"/>
      <c r="L194" s="335"/>
      <c r="M194" s="335"/>
    </row>
    <row r="195" spans="1:13" ht="18" hidden="1" customHeight="1" x14ac:dyDescent="0.15">
      <c r="A195" s="299">
        <f>+入力表!A205</f>
        <v>0</v>
      </c>
      <c r="B195" s="300"/>
      <c r="C195" s="300"/>
      <c r="D195" s="300"/>
      <c r="E195" s="311">
        <f>+IF(入力表!F$12=0,入力表!B205,入力表!J205)</f>
        <v>0</v>
      </c>
      <c r="F195" s="311"/>
      <c r="G195" s="311"/>
      <c r="H195" s="311" t="str">
        <f>IF(LEN(予定価格!G193)=0,"",IF(AND(LEN(予定価格!G193)=1,LEN(予定価格!H193)=1),0,IF(入力表!$F$439=0,"",入力表!F205)))</f>
        <v/>
      </c>
      <c r="I195" s="311"/>
      <c r="J195" s="312"/>
      <c r="K195" s="334"/>
      <c r="L195" s="335"/>
      <c r="M195" s="335"/>
    </row>
    <row r="196" spans="1:13" ht="18" hidden="1" customHeight="1" x14ac:dyDescent="0.15">
      <c r="A196" s="299">
        <f>+入力表!A206</f>
        <v>0</v>
      </c>
      <c r="B196" s="300"/>
      <c r="C196" s="300"/>
      <c r="D196" s="300"/>
      <c r="E196" s="311">
        <f>+IF(入力表!F$12=0,入力表!B206,入力表!J206)</f>
        <v>0</v>
      </c>
      <c r="F196" s="311"/>
      <c r="G196" s="311"/>
      <c r="H196" s="311" t="str">
        <f>IF(LEN(予定価格!G194)=0,"",IF(AND(LEN(予定価格!G194)=1,LEN(予定価格!H194)=1),0,IF(入力表!$F$439=0,"",入力表!F206)))</f>
        <v/>
      </c>
      <c r="I196" s="311"/>
      <c r="J196" s="312"/>
      <c r="K196" s="334"/>
      <c r="L196" s="335"/>
      <c r="M196" s="335"/>
    </row>
    <row r="197" spans="1:13" ht="18" hidden="1" customHeight="1" x14ac:dyDescent="0.15">
      <c r="A197" s="299">
        <f>+入力表!A207</f>
        <v>0</v>
      </c>
      <c r="B197" s="300"/>
      <c r="C197" s="300"/>
      <c r="D197" s="300"/>
      <c r="E197" s="311">
        <f>+IF(入力表!F$12=0,入力表!B207,入力表!J207)</f>
        <v>0</v>
      </c>
      <c r="F197" s="311"/>
      <c r="G197" s="311"/>
      <c r="H197" s="311" t="str">
        <f>IF(LEN(予定価格!G195)=0,"",IF(AND(LEN(予定価格!G195)=1,LEN(予定価格!H195)=1),0,IF(入力表!$F$439=0,"",入力表!F207)))</f>
        <v/>
      </c>
      <c r="I197" s="311"/>
      <c r="J197" s="312"/>
      <c r="K197" s="334"/>
      <c r="L197" s="335"/>
      <c r="M197" s="335"/>
    </row>
    <row r="198" spans="1:13" ht="18" hidden="1" customHeight="1" x14ac:dyDescent="0.15">
      <c r="A198" s="299">
        <f>+入力表!A208</f>
        <v>0</v>
      </c>
      <c r="B198" s="300"/>
      <c r="C198" s="300"/>
      <c r="D198" s="300"/>
      <c r="E198" s="311">
        <f>+IF(入力表!F$12=0,入力表!B208,入力表!J208)</f>
        <v>0</v>
      </c>
      <c r="F198" s="311"/>
      <c r="G198" s="311"/>
      <c r="H198" s="311" t="str">
        <f>IF(LEN(予定価格!G196)=0,"",IF(AND(LEN(予定価格!G196)=1,LEN(予定価格!H196)=1),0,IF(入力表!$F$439=0,"",入力表!F208)))</f>
        <v/>
      </c>
      <c r="I198" s="311"/>
      <c r="J198" s="312"/>
      <c r="K198" s="334"/>
      <c r="L198" s="335"/>
      <c r="M198" s="335"/>
    </row>
    <row r="199" spans="1:13" ht="18" hidden="1" customHeight="1" x14ac:dyDescent="0.15">
      <c r="A199" s="299">
        <f>+入力表!A209</f>
        <v>0</v>
      </c>
      <c r="B199" s="300"/>
      <c r="C199" s="300"/>
      <c r="D199" s="300"/>
      <c r="E199" s="311">
        <f>+IF(入力表!F$12=0,入力表!B209,入力表!J209)</f>
        <v>0</v>
      </c>
      <c r="F199" s="311"/>
      <c r="G199" s="311"/>
      <c r="H199" s="311" t="str">
        <f>IF(LEN(予定価格!G197)=0,"",IF(AND(LEN(予定価格!G197)=1,LEN(予定価格!H197)=1),0,IF(入力表!$F$439=0,"",入力表!F209)))</f>
        <v/>
      </c>
      <c r="I199" s="311"/>
      <c r="J199" s="312"/>
      <c r="K199" s="334"/>
      <c r="L199" s="335"/>
      <c r="M199" s="335"/>
    </row>
    <row r="200" spans="1:13" ht="18" hidden="1" customHeight="1" x14ac:dyDescent="0.15">
      <c r="A200" s="299">
        <f>+入力表!A210</f>
        <v>0</v>
      </c>
      <c r="B200" s="300"/>
      <c r="C200" s="300"/>
      <c r="D200" s="300"/>
      <c r="E200" s="311">
        <f>+IF(入力表!F$12=0,入力表!B210,入力表!J210)</f>
        <v>0</v>
      </c>
      <c r="F200" s="311"/>
      <c r="G200" s="311"/>
      <c r="H200" s="311" t="str">
        <f>IF(LEN(予定価格!G198)=0,"",IF(AND(LEN(予定価格!G198)=1,LEN(予定価格!H198)=1),0,IF(入力表!$F$439=0,"",入力表!F210)))</f>
        <v/>
      </c>
      <c r="I200" s="311"/>
      <c r="J200" s="312"/>
      <c r="K200" s="334"/>
      <c r="L200" s="335"/>
      <c r="M200" s="335"/>
    </row>
    <row r="201" spans="1:13" ht="18" hidden="1" customHeight="1" x14ac:dyDescent="0.15">
      <c r="A201" s="299">
        <f>+入力表!A211</f>
        <v>0</v>
      </c>
      <c r="B201" s="300"/>
      <c r="C201" s="300"/>
      <c r="D201" s="300"/>
      <c r="E201" s="311">
        <f>+IF(入力表!F$12=0,入力表!B211,入力表!J211)</f>
        <v>0</v>
      </c>
      <c r="F201" s="311"/>
      <c r="G201" s="311"/>
      <c r="H201" s="311" t="str">
        <f>IF(LEN(予定価格!G199)=0,"",IF(AND(LEN(予定価格!G199)=1,LEN(予定価格!H199)=1),0,IF(入力表!$F$439=0,"",入力表!F211)))</f>
        <v/>
      </c>
      <c r="I201" s="311"/>
      <c r="J201" s="312"/>
      <c r="K201" s="334"/>
      <c r="L201" s="335"/>
      <c r="M201" s="335"/>
    </row>
    <row r="202" spans="1:13" ht="18" hidden="1" customHeight="1" x14ac:dyDescent="0.15">
      <c r="A202" s="299">
        <f>+入力表!A212</f>
        <v>0</v>
      </c>
      <c r="B202" s="300"/>
      <c r="C202" s="300"/>
      <c r="D202" s="300"/>
      <c r="E202" s="311">
        <f>+IF(入力表!F$12=0,入力表!B212,入力表!J212)</f>
        <v>0</v>
      </c>
      <c r="F202" s="311"/>
      <c r="G202" s="311"/>
      <c r="H202" s="311" t="str">
        <f>IF(LEN(予定価格!G200)=0,"",IF(AND(LEN(予定価格!G200)=1,LEN(予定価格!H200)=1),0,IF(入力表!$F$439=0,"",入力表!F212)))</f>
        <v/>
      </c>
      <c r="I202" s="311"/>
      <c r="J202" s="312"/>
      <c r="K202" s="334"/>
      <c r="L202" s="335"/>
      <c r="M202" s="335"/>
    </row>
    <row r="203" spans="1:13" ht="18" hidden="1" customHeight="1" x14ac:dyDescent="0.15">
      <c r="A203" s="299">
        <f>+入力表!A213</f>
        <v>0</v>
      </c>
      <c r="B203" s="300"/>
      <c r="C203" s="300"/>
      <c r="D203" s="300"/>
      <c r="E203" s="311">
        <f>+IF(入力表!F$12=0,入力表!B213,入力表!J213)</f>
        <v>0</v>
      </c>
      <c r="F203" s="311"/>
      <c r="G203" s="311"/>
      <c r="H203" s="311" t="str">
        <f>IF(LEN(予定価格!G201)=0,"",IF(AND(LEN(予定価格!G201)=1,LEN(予定価格!H201)=1),0,IF(入力表!$F$439=0,"",入力表!F213)))</f>
        <v/>
      </c>
      <c r="I203" s="311"/>
      <c r="J203" s="312"/>
      <c r="K203" s="334"/>
      <c r="L203" s="335"/>
      <c r="M203" s="335"/>
    </row>
    <row r="204" spans="1:13" ht="18" hidden="1" customHeight="1" x14ac:dyDescent="0.15">
      <c r="A204" s="299">
        <f>+入力表!A214</f>
        <v>0</v>
      </c>
      <c r="B204" s="300"/>
      <c r="C204" s="300"/>
      <c r="D204" s="300"/>
      <c r="E204" s="311">
        <f>+IF(入力表!F$12=0,入力表!B214,入力表!J214)</f>
        <v>0</v>
      </c>
      <c r="F204" s="311"/>
      <c r="G204" s="311"/>
      <c r="H204" s="311" t="str">
        <f>IF(LEN(予定価格!G202)=0,"",IF(AND(LEN(予定価格!G202)=1,LEN(予定価格!H202)=1),0,IF(入力表!$F$439=0,"",入力表!F214)))</f>
        <v/>
      </c>
      <c r="I204" s="311"/>
      <c r="J204" s="312"/>
      <c r="K204" s="334"/>
      <c r="L204" s="335"/>
      <c r="M204" s="335"/>
    </row>
    <row r="205" spans="1:13" ht="18" hidden="1" customHeight="1" x14ac:dyDescent="0.15">
      <c r="A205" s="299">
        <f>+入力表!A215</f>
        <v>0</v>
      </c>
      <c r="B205" s="300"/>
      <c r="C205" s="300"/>
      <c r="D205" s="300"/>
      <c r="E205" s="311">
        <f>+IF(入力表!F$12=0,入力表!B215,入力表!J215)</f>
        <v>0</v>
      </c>
      <c r="F205" s="311"/>
      <c r="G205" s="311"/>
      <c r="H205" s="311" t="str">
        <f>IF(LEN(予定価格!G203)=0,"",IF(AND(LEN(予定価格!G203)=1,LEN(予定価格!H203)=1),0,IF(入力表!$F$439=0,"",入力表!F215)))</f>
        <v/>
      </c>
      <c r="I205" s="311"/>
      <c r="J205" s="312"/>
      <c r="K205" s="334"/>
      <c r="L205" s="335"/>
      <c r="M205" s="335"/>
    </row>
    <row r="206" spans="1:13" ht="18" hidden="1" customHeight="1" x14ac:dyDescent="0.15">
      <c r="A206" s="299">
        <f>+入力表!A216</f>
        <v>0</v>
      </c>
      <c r="B206" s="300"/>
      <c r="C206" s="300"/>
      <c r="D206" s="300"/>
      <c r="E206" s="311">
        <f>+IF(入力表!F$12=0,入力表!B216,入力表!J216)</f>
        <v>0</v>
      </c>
      <c r="F206" s="311"/>
      <c r="G206" s="311"/>
      <c r="H206" s="311" t="str">
        <f>IF(LEN(予定価格!G204)=0,"",IF(AND(LEN(予定価格!G204)=1,LEN(予定価格!H204)=1),0,IF(入力表!$F$439=0,"",入力表!F216)))</f>
        <v/>
      </c>
      <c r="I206" s="311"/>
      <c r="J206" s="312"/>
      <c r="K206" s="334"/>
      <c r="L206" s="335"/>
      <c r="M206" s="335"/>
    </row>
    <row r="207" spans="1:13" ht="18" hidden="1" customHeight="1" x14ac:dyDescent="0.15">
      <c r="A207" s="299">
        <f>+入力表!A217</f>
        <v>0</v>
      </c>
      <c r="B207" s="300"/>
      <c r="C207" s="300"/>
      <c r="D207" s="300"/>
      <c r="E207" s="311">
        <f>+IF(入力表!F$12=0,入力表!B217,入力表!J217)</f>
        <v>0</v>
      </c>
      <c r="F207" s="311"/>
      <c r="G207" s="311"/>
      <c r="H207" s="311" t="str">
        <f>IF(LEN(予定価格!G205)=0,"",IF(AND(LEN(予定価格!G205)=1,LEN(予定価格!H205)=1),0,IF(入力表!$F$439=0,"",入力表!F217)))</f>
        <v/>
      </c>
      <c r="I207" s="311"/>
      <c r="J207" s="312"/>
      <c r="K207" s="334"/>
      <c r="L207" s="335"/>
      <c r="M207" s="335"/>
    </row>
    <row r="208" spans="1:13" ht="18" hidden="1" customHeight="1" x14ac:dyDescent="0.15">
      <c r="A208" s="299">
        <f>+入力表!A218</f>
        <v>0</v>
      </c>
      <c r="B208" s="300"/>
      <c r="C208" s="300"/>
      <c r="D208" s="300"/>
      <c r="E208" s="311">
        <f>+IF(入力表!F$12=0,入力表!B218,入力表!J218)</f>
        <v>0</v>
      </c>
      <c r="F208" s="311"/>
      <c r="G208" s="311"/>
      <c r="H208" s="311" t="str">
        <f>IF(LEN(予定価格!G206)=0,"",IF(AND(LEN(予定価格!G206)=1,LEN(予定価格!H206)=1),0,IF(入力表!$F$439=0,"",入力表!F218)))</f>
        <v/>
      </c>
      <c r="I208" s="311"/>
      <c r="J208" s="312"/>
      <c r="K208" s="334"/>
      <c r="L208" s="335"/>
      <c r="M208" s="335"/>
    </row>
    <row r="209" spans="1:13" ht="18" hidden="1" customHeight="1" x14ac:dyDescent="0.15">
      <c r="A209" s="299">
        <f>+入力表!A219</f>
        <v>0</v>
      </c>
      <c r="B209" s="300"/>
      <c r="C209" s="300"/>
      <c r="D209" s="300"/>
      <c r="E209" s="311">
        <f>+IF(入力表!F$12=0,入力表!B219,入力表!J219)</f>
        <v>0</v>
      </c>
      <c r="F209" s="311"/>
      <c r="G209" s="311"/>
      <c r="H209" s="311" t="str">
        <f>IF(LEN(予定価格!G207)=0,"",IF(AND(LEN(予定価格!G207)=1,LEN(予定価格!H207)=1),0,IF(入力表!$F$439=0,"",入力表!F219)))</f>
        <v/>
      </c>
      <c r="I209" s="311"/>
      <c r="J209" s="312"/>
      <c r="K209" s="334"/>
      <c r="L209" s="335"/>
      <c r="M209" s="335"/>
    </row>
    <row r="210" spans="1:13" ht="18" hidden="1" customHeight="1" x14ac:dyDescent="0.15">
      <c r="A210" s="299">
        <f>+入力表!A220</f>
        <v>0</v>
      </c>
      <c r="B210" s="300"/>
      <c r="C210" s="300"/>
      <c r="D210" s="300"/>
      <c r="E210" s="311">
        <f>+IF(入力表!F$12=0,入力表!B220,入力表!J220)</f>
        <v>0</v>
      </c>
      <c r="F210" s="311"/>
      <c r="G210" s="311"/>
      <c r="H210" s="311" t="str">
        <f>IF(LEN(予定価格!G208)=0,"",IF(AND(LEN(予定価格!G208)=1,LEN(予定価格!H208)=1),0,IF(入力表!$F$439=0,"",入力表!F220)))</f>
        <v/>
      </c>
      <c r="I210" s="311"/>
      <c r="J210" s="312"/>
      <c r="K210" s="334"/>
      <c r="L210" s="335"/>
      <c r="M210" s="335"/>
    </row>
    <row r="211" spans="1:13" ht="18" hidden="1" customHeight="1" x14ac:dyDescent="0.15">
      <c r="A211" s="299">
        <f>+入力表!A221</f>
        <v>0</v>
      </c>
      <c r="B211" s="300"/>
      <c r="C211" s="300"/>
      <c r="D211" s="300"/>
      <c r="E211" s="311">
        <f>+IF(入力表!F$12=0,入力表!B221,入力表!J221)</f>
        <v>0</v>
      </c>
      <c r="F211" s="311"/>
      <c r="G211" s="311"/>
      <c r="H211" s="311" t="str">
        <f>IF(LEN(予定価格!G209)=0,"",IF(AND(LEN(予定価格!G209)=1,LEN(予定価格!H209)=1),0,IF(入力表!$F$439=0,"",入力表!F221)))</f>
        <v/>
      </c>
      <c r="I211" s="311"/>
      <c r="J211" s="312"/>
      <c r="K211" s="334"/>
      <c r="L211" s="335"/>
      <c r="M211" s="335"/>
    </row>
    <row r="212" spans="1:13" ht="18" hidden="1" customHeight="1" x14ac:dyDescent="0.15">
      <c r="A212" s="299">
        <f>+入力表!A222</f>
        <v>0</v>
      </c>
      <c r="B212" s="300"/>
      <c r="C212" s="300"/>
      <c r="D212" s="300"/>
      <c r="E212" s="311">
        <f>+IF(入力表!F$12=0,入力表!B222,入力表!J222)</f>
        <v>0</v>
      </c>
      <c r="F212" s="311"/>
      <c r="G212" s="311"/>
      <c r="H212" s="311" t="str">
        <f>IF(LEN(予定価格!G210)=0,"",IF(AND(LEN(予定価格!G210)=1,LEN(予定価格!H210)=1),0,IF(入力表!$F$439=0,"",入力表!F222)))</f>
        <v/>
      </c>
      <c r="I212" s="311"/>
      <c r="J212" s="312"/>
      <c r="K212" s="334"/>
      <c r="L212" s="335"/>
      <c r="M212" s="335"/>
    </row>
    <row r="213" spans="1:13" ht="18" hidden="1" customHeight="1" x14ac:dyDescent="0.15">
      <c r="A213" s="299">
        <f>+入力表!A223</f>
        <v>0</v>
      </c>
      <c r="B213" s="300"/>
      <c r="C213" s="300"/>
      <c r="D213" s="300"/>
      <c r="E213" s="311">
        <f>+IF(入力表!F$12=0,入力表!B223,入力表!J223)</f>
        <v>0</v>
      </c>
      <c r="F213" s="311"/>
      <c r="G213" s="311"/>
      <c r="H213" s="311" t="str">
        <f>IF(LEN(予定価格!G211)=0,"",IF(AND(LEN(予定価格!G211)=1,LEN(予定価格!H211)=1),0,IF(入力表!$F$439=0,"",入力表!F223)))</f>
        <v/>
      </c>
      <c r="I213" s="311"/>
      <c r="J213" s="312"/>
      <c r="K213" s="334"/>
      <c r="L213" s="335"/>
      <c r="M213" s="335"/>
    </row>
    <row r="214" spans="1:13" ht="18" hidden="1" customHeight="1" x14ac:dyDescent="0.15">
      <c r="A214" s="299">
        <f>+入力表!A224</f>
        <v>0</v>
      </c>
      <c r="B214" s="300"/>
      <c r="C214" s="300"/>
      <c r="D214" s="300"/>
      <c r="E214" s="311">
        <f>+IF(入力表!F$12=0,入力表!B224,入力表!J224)</f>
        <v>0</v>
      </c>
      <c r="F214" s="311"/>
      <c r="G214" s="311"/>
      <c r="H214" s="311" t="str">
        <f>IF(LEN(予定価格!G212)=0,"",IF(AND(LEN(予定価格!G212)=1,LEN(予定価格!H212)=1),0,IF(入力表!$F$439=0,"",入力表!F224)))</f>
        <v/>
      </c>
      <c r="I214" s="311"/>
      <c r="J214" s="312"/>
      <c r="K214" s="334"/>
      <c r="L214" s="335"/>
      <c r="M214" s="335"/>
    </row>
    <row r="215" spans="1:13" ht="18" hidden="1" customHeight="1" x14ac:dyDescent="0.15">
      <c r="A215" s="299">
        <f>+入力表!A225</f>
        <v>0</v>
      </c>
      <c r="B215" s="300"/>
      <c r="C215" s="300"/>
      <c r="D215" s="300"/>
      <c r="E215" s="311">
        <f>+IF(入力表!F$12=0,入力表!B225,入力表!J225)</f>
        <v>0</v>
      </c>
      <c r="F215" s="311"/>
      <c r="G215" s="311"/>
      <c r="H215" s="311" t="str">
        <f>IF(LEN(予定価格!G213)=0,"",IF(AND(LEN(予定価格!G213)=1,LEN(予定価格!H213)=1),0,IF(入力表!$F$439=0,"",入力表!F225)))</f>
        <v/>
      </c>
      <c r="I215" s="311"/>
      <c r="J215" s="312"/>
      <c r="K215" s="334"/>
      <c r="L215" s="335"/>
      <c r="M215" s="335"/>
    </row>
    <row r="216" spans="1:13" ht="18" hidden="1" customHeight="1" x14ac:dyDescent="0.15">
      <c r="A216" s="299">
        <f>+入力表!A226</f>
        <v>0</v>
      </c>
      <c r="B216" s="300"/>
      <c r="C216" s="300"/>
      <c r="D216" s="300"/>
      <c r="E216" s="311">
        <f>+IF(入力表!F$12=0,入力表!B226,入力表!J226)</f>
        <v>0</v>
      </c>
      <c r="F216" s="311"/>
      <c r="G216" s="311"/>
      <c r="H216" s="311" t="str">
        <f>IF(LEN(予定価格!G214)=0,"",IF(AND(LEN(予定価格!G214)=1,LEN(予定価格!H214)=1),0,IF(入力表!$F$439=0,"",入力表!F226)))</f>
        <v/>
      </c>
      <c r="I216" s="311"/>
      <c r="J216" s="312"/>
      <c r="K216" s="334"/>
      <c r="L216" s="335"/>
      <c r="M216" s="335"/>
    </row>
    <row r="217" spans="1:13" ht="18" hidden="1" customHeight="1" x14ac:dyDescent="0.15">
      <c r="A217" s="299">
        <f>+入力表!A227</f>
        <v>0</v>
      </c>
      <c r="B217" s="300"/>
      <c r="C217" s="300"/>
      <c r="D217" s="300"/>
      <c r="E217" s="311">
        <f>+IF(入力表!F$12=0,入力表!B227,入力表!J227)</f>
        <v>0</v>
      </c>
      <c r="F217" s="311"/>
      <c r="G217" s="311"/>
      <c r="H217" s="311" t="str">
        <f>IF(LEN(予定価格!G215)=0,"",IF(AND(LEN(予定価格!G215)=1,LEN(予定価格!H215)=1),0,IF(入力表!$F$439=0,"",入力表!F227)))</f>
        <v/>
      </c>
      <c r="I217" s="311"/>
      <c r="J217" s="312"/>
      <c r="K217" s="334"/>
      <c r="L217" s="335"/>
      <c r="M217" s="335"/>
    </row>
    <row r="218" spans="1:13" ht="18" hidden="1" customHeight="1" x14ac:dyDescent="0.15">
      <c r="A218" s="299">
        <f>+入力表!A228</f>
        <v>0</v>
      </c>
      <c r="B218" s="300"/>
      <c r="C218" s="300"/>
      <c r="D218" s="300"/>
      <c r="E218" s="311">
        <f>+IF(入力表!F$12=0,入力表!B228,入力表!J228)</f>
        <v>0</v>
      </c>
      <c r="F218" s="311"/>
      <c r="G218" s="311"/>
      <c r="H218" s="311" t="str">
        <f>IF(LEN(予定価格!G216)=0,"",IF(AND(LEN(予定価格!G216)=1,LEN(予定価格!H216)=1),0,IF(入力表!$F$439=0,"",入力表!F228)))</f>
        <v/>
      </c>
      <c r="I218" s="311"/>
      <c r="J218" s="312"/>
      <c r="K218" s="334"/>
      <c r="L218" s="335"/>
      <c r="M218" s="335"/>
    </row>
    <row r="219" spans="1:13" ht="18" hidden="1" customHeight="1" x14ac:dyDescent="0.15">
      <c r="A219" s="328">
        <f>+入力表!A229</f>
        <v>0</v>
      </c>
      <c r="B219" s="329"/>
      <c r="C219" s="329"/>
      <c r="D219" s="329"/>
      <c r="E219" s="313">
        <f>SUM(E220:G260)</f>
        <v>0</v>
      </c>
      <c r="F219" s="313"/>
      <c r="G219" s="313"/>
      <c r="H219" s="313" t="str">
        <f>IF(LEN(予定価格!G217)=0,"",IF(AND(LEN(予定価格!G217)=1,LEN(予定価格!H217)=1),0,IF(入力表!$F$439=0,"",入力表!F229)))</f>
        <v/>
      </c>
      <c r="I219" s="313"/>
      <c r="J219" s="314"/>
      <c r="K219" s="334">
        <f>SUM(E220:G260)</f>
        <v>0</v>
      </c>
      <c r="L219" s="335">
        <f>K219*0.08</f>
        <v>0</v>
      </c>
      <c r="M219" s="335">
        <f>K219+L219</f>
        <v>0</v>
      </c>
    </row>
    <row r="220" spans="1:13" ht="18" hidden="1" customHeight="1" x14ac:dyDescent="0.15">
      <c r="A220" s="299">
        <f>+入力表!A230</f>
        <v>0</v>
      </c>
      <c r="B220" s="300"/>
      <c r="C220" s="300"/>
      <c r="D220" s="300"/>
      <c r="E220" s="311">
        <f>+IF(入力表!F$12=0,入力表!B230,入力表!J230)</f>
        <v>0</v>
      </c>
      <c r="F220" s="311"/>
      <c r="G220" s="311"/>
      <c r="H220" s="311" t="str">
        <f>IF(LEN(予定価格!G218)=0,"",IF(AND(LEN(予定価格!G218)=1,LEN(予定価格!H218)=1),0,IF(入力表!$F$439=0,"",入力表!F230)))</f>
        <v/>
      </c>
      <c r="I220" s="311"/>
      <c r="J220" s="312"/>
      <c r="K220" s="334"/>
      <c r="L220" s="335"/>
      <c r="M220" s="335"/>
    </row>
    <row r="221" spans="1:13" ht="18" hidden="1" customHeight="1" x14ac:dyDescent="0.15">
      <c r="A221" s="299">
        <f>+入力表!A231</f>
        <v>0</v>
      </c>
      <c r="B221" s="300"/>
      <c r="C221" s="300"/>
      <c r="D221" s="300"/>
      <c r="E221" s="311">
        <f>+IF(入力表!F$12=0,入力表!B231,入力表!J231)</f>
        <v>0</v>
      </c>
      <c r="F221" s="311"/>
      <c r="G221" s="311"/>
      <c r="H221" s="311" t="str">
        <f>IF(LEN(予定価格!G219)=0,"",IF(AND(LEN(予定価格!G219)=1,LEN(予定価格!H219)=1),0,IF(入力表!$F$439=0,"",入力表!F231)))</f>
        <v/>
      </c>
      <c r="I221" s="311"/>
      <c r="J221" s="312"/>
      <c r="K221" s="334"/>
      <c r="L221" s="335"/>
      <c r="M221" s="335"/>
    </row>
    <row r="222" spans="1:13" ht="18" hidden="1" customHeight="1" x14ac:dyDescent="0.15">
      <c r="A222" s="299">
        <f>+入力表!A232</f>
        <v>0</v>
      </c>
      <c r="B222" s="300"/>
      <c r="C222" s="300"/>
      <c r="D222" s="300"/>
      <c r="E222" s="311">
        <f>+IF(入力表!F$12=0,入力表!B232,入力表!J232)</f>
        <v>0</v>
      </c>
      <c r="F222" s="311"/>
      <c r="G222" s="311"/>
      <c r="H222" s="311" t="str">
        <f>IF(LEN(予定価格!G220)=0,"",IF(AND(LEN(予定価格!G220)=1,LEN(予定価格!H220)=1),0,IF(入力表!$F$439=0,"",入力表!F232)))</f>
        <v/>
      </c>
      <c r="I222" s="311"/>
      <c r="J222" s="312"/>
      <c r="K222" s="334"/>
      <c r="L222" s="335"/>
      <c r="M222" s="335"/>
    </row>
    <row r="223" spans="1:13" ht="18" hidden="1" customHeight="1" x14ac:dyDescent="0.15">
      <c r="A223" s="299">
        <f>+入力表!A233</f>
        <v>0</v>
      </c>
      <c r="B223" s="300"/>
      <c r="C223" s="300"/>
      <c r="D223" s="300"/>
      <c r="E223" s="311">
        <f>+IF(入力表!F$12=0,入力表!B233,入力表!J233)</f>
        <v>0</v>
      </c>
      <c r="F223" s="311"/>
      <c r="G223" s="311"/>
      <c r="H223" s="311" t="str">
        <f>IF(LEN(予定価格!G221)=0,"",IF(AND(LEN(予定価格!G221)=1,LEN(予定価格!H221)=1),0,IF(入力表!$F$439=0,"",入力表!F233)))</f>
        <v/>
      </c>
      <c r="I223" s="311"/>
      <c r="J223" s="312"/>
      <c r="K223" s="334"/>
      <c r="L223" s="335"/>
      <c r="M223" s="335"/>
    </row>
    <row r="224" spans="1:13" ht="18" hidden="1" customHeight="1" x14ac:dyDescent="0.15">
      <c r="A224" s="299">
        <f>+入力表!A234</f>
        <v>0</v>
      </c>
      <c r="B224" s="300"/>
      <c r="C224" s="300"/>
      <c r="D224" s="300"/>
      <c r="E224" s="311">
        <f>+IF(入力表!F$12=0,入力表!B234,入力表!J234)</f>
        <v>0</v>
      </c>
      <c r="F224" s="311"/>
      <c r="G224" s="311"/>
      <c r="H224" s="311" t="str">
        <f>IF(LEN(予定価格!G222)=0,"",IF(AND(LEN(予定価格!G222)=1,LEN(予定価格!H222)=1),0,IF(入力表!$F$439=0,"",入力表!F234)))</f>
        <v/>
      </c>
      <c r="I224" s="311"/>
      <c r="J224" s="312"/>
      <c r="K224" s="334"/>
      <c r="L224" s="335"/>
      <c r="M224" s="335"/>
    </row>
    <row r="225" spans="1:13" ht="18" hidden="1" customHeight="1" x14ac:dyDescent="0.15">
      <c r="A225" s="299">
        <f>+入力表!A235</f>
        <v>0</v>
      </c>
      <c r="B225" s="300"/>
      <c r="C225" s="300"/>
      <c r="D225" s="300"/>
      <c r="E225" s="311">
        <f>+IF(入力表!F$12=0,入力表!B235,入力表!J235)</f>
        <v>0</v>
      </c>
      <c r="F225" s="311"/>
      <c r="G225" s="311"/>
      <c r="H225" s="311" t="str">
        <f>IF(LEN(予定価格!G223)=0,"",IF(AND(LEN(予定価格!G223)=1,LEN(予定価格!H223)=1),0,IF(入力表!$F$439=0,"",入力表!F235)))</f>
        <v/>
      </c>
      <c r="I225" s="311"/>
      <c r="J225" s="312"/>
      <c r="K225" s="334"/>
      <c r="L225" s="335"/>
      <c r="M225" s="335"/>
    </row>
    <row r="226" spans="1:13" ht="18" hidden="1" customHeight="1" x14ac:dyDescent="0.15">
      <c r="A226" s="299">
        <f>+入力表!A236</f>
        <v>0</v>
      </c>
      <c r="B226" s="300"/>
      <c r="C226" s="300"/>
      <c r="D226" s="300"/>
      <c r="E226" s="311">
        <f>+IF(入力表!F$12=0,入力表!B236,入力表!J236)</f>
        <v>0</v>
      </c>
      <c r="F226" s="311"/>
      <c r="G226" s="311"/>
      <c r="H226" s="311" t="str">
        <f>IF(LEN(予定価格!G224)=0,"",IF(AND(LEN(予定価格!G224)=1,LEN(予定価格!H224)=1),0,IF(入力表!$F$439=0,"",入力表!F236)))</f>
        <v/>
      </c>
      <c r="I226" s="311"/>
      <c r="J226" s="312"/>
      <c r="K226" s="334"/>
      <c r="L226" s="335"/>
      <c r="M226" s="335"/>
    </row>
    <row r="227" spans="1:13" ht="18" hidden="1" customHeight="1" x14ac:dyDescent="0.15">
      <c r="A227" s="299">
        <f>+入力表!A237</f>
        <v>0</v>
      </c>
      <c r="B227" s="300"/>
      <c r="C227" s="300"/>
      <c r="D227" s="300"/>
      <c r="E227" s="311">
        <f>+IF(入力表!F$12=0,入力表!B237,入力表!J237)</f>
        <v>0</v>
      </c>
      <c r="F227" s="311"/>
      <c r="G227" s="311"/>
      <c r="H227" s="311" t="str">
        <f>IF(LEN(予定価格!G225)=0,"",IF(AND(LEN(予定価格!G225)=1,LEN(予定価格!H225)=1),0,IF(入力表!$F$439=0,"",入力表!F237)))</f>
        <v/>
      </c>
      <c r="I227" s="311"/>
      <c r="J227" s="312"/>
      <c r="K227" s="334"/>
      <c r="L227" s="335"/>
      <c r="M227" s="335"/>
    </row>
    <row r="228" spans="1:13" ht="18" hidden="1" customHeight="1" x14ac:dyDescent="0.15">
      <c r="A228" s="299">
        <f>+入力表!A238</f>
        <v>0</v>
      </c>
      <c r="B228" s="300"/>
      <c r="C228" s="300"/>
      <c r="D228" s="300"/>
      <c r="E228" s="311">
        <f>+IF(入力表!F$12=0,入力表!B238,入力表!J238)</f>
        <v>0</v>
      </c>
      <c r="F228" s="311"/>
      <c r="G228" s="311"/>
      <c r="H228" s="311" t="str">
        <f>IF(LEN(予定価格!G226)=0,"",IF(AND(LEN(予定価格!G226)=1,LEN(予定価格!H226)=1),0,IF(入力表!$F$439=0,"",入力表!F238)))</f>
        <v/>
      </c>
      <c r="I228" s="311"/>
      <c r="J228" s="312"/>
      <c r="K228" s="334"/>
      <c r="L228" s="335"/>
      <c r="M228" s="335"/>
    </row>
    <row r="229" spans="1:13" ht="18" hidden="1" customHeight="1" x14ac:dyDescent="0.15">
      <c r="A229" s="299">
        <f>+入力表!A239</f>
        <v>0</v>
      </c>
      <c r="B229" s="300"/>
      <c r="C229" s="300"/>
      <c r="D229" s="300"/>
      <c r="E229" s="311">
        <f>+IF(入力表!F$12=0,入力表!B239,入力表!J239)</f>
        <v>0</v>
      </c>
      <c r="F229" s="311"/>
      <c r="G229" s="311"/>
      <c r="H229" s="311" t="str">
        <f>IF(LEN(予定価格!G227)=0,"",IF(AND(LEN(予定価格!G227)=1,LEN(予定価格!H227)=1),0,IF(入力表!$F$439=0,"",入力表!F239)))</f>
        <v/>
      </c>
      <c r="I229" s="311"/>
      <c r="J229" s="312"/>
      <c r="K229" s="334"/>
      <c r="L229" s="335"/>
      <c r="M229" s="335"/>
    </row>
    <row r="230" spans="1:13" ht="18" hidden="1" customHeight="1" x14ac:dyDescent="0.15">
      <c r="A230" s="299">
        <f>+入力表!A240</f>
        <v>0</v>
      </c>
      <c r="B230" s="300"/>
      <c r="C230" s="300"/>
      <c r="D230" s="300"/>
      <c r="E230" s="311">
        <f>+IF(入力表!F$12=0,入力表!B240,入力表!J240)</f>
        <v>0</v>
      </c>
      <c r="F230" s="311"/>
      <c r="G230" s="311"/>
      <c r="H230" s="311" t="str">
        <f>IF(LEN(予定価格!G228)=0,"",IF(AND(LEN(予定価格!G228)=1,LEN(予定価格!H228)=1),0,IF(入力表!$F$439=0,"",入力表!F240)))</f>
        <v/>
      </c>
      <c r="I230" s="311"/>
      <c r="J230" s="312"/>
      <c r="K230" s="334"/>
      <c r="L230" s="335"/>
      <c r="M230" s="335"/>
    </row>
    <row r="231" spans="1:13" ht="18" hidden="1" customHeight="1" x14ac:dyDescent="0.15">
      <c r="A231" s="299">
        <f>+入力表!A241</f>
        <v>0</v>
      </c>
      <c r="B231" s="300"/>
      <c r="C231" s="300"/>
      <c r="D231" s="300"/>
      <c r="E231" s="311">
        <f>+IF(入力表!F$12=0,入力表!B241,入力表!J241)</f>
        <v>0</v>
      </c>
      <c r="F231" s="311"/>
      <c r="G231" s="311"/>
      <c r="H231" s="311" t="str">
        <f>IF(LEN(予定価格!G229)=0,"",IF(AND(LEN(予定価格!G229)=1,LEN(予定価格!H229)=1),0,IF(入力表!$F$439=0,"",入力表!F241)))</f>
        <v/>
      </c>
      <c r="I231" s="311"/>
      <c r="J231" s="312"/>
      <c r="K231" s="334"/>
      <c r="L231" s="335"/>
      <c r="M231" s="335"/>
    </row>
    <row r="232" spans="1:13" ht="18" hidden="1" customHeight="1" x14ac:dyDescent="0.15">
      <c r="A232" s="299">
        <f>+入力表!A242</f>
        <v>0</v>
      </c>
      <c r="B232" s="300"/>
      <c r="C232" s="300"/>
      <c r="D232" s="300"/>
      <c r="E232" s="311">
        <f>+IF(入力表!F$12=0,入力表!B242,入力表!J242)</f>
        <v>0</v>
      </c>
      <c r="F232" s="311"/>
      <c r="G232" s="311"/>
      <c r="H232" s="311" t="str">
        <f>IF(LEN(予定価格!G230)=0,"",IF(AND(LEN(予定価格!G230)=1,LEN(予定価格!H230)=1),0,IF(入力表!$F$439=0,"",入力表!F242)))</f>
        <v/>
      </c>
      <c r="I232" s="311"/>
      <c r="J232" s="312"/>
      <c r="K232" s="334"/>
      <c r="L232" s="335"/>
      <c r="M232" s="335"/>
    </row>
    <row r="233" spans="1:13" ht="18" hidden="1" customHeight="1" x14ac:dyDescent="0.15">
      <c r="A233" s="299">
        <f>+入力表!A243</f>
        <v>0</v>
      </c>
      <c r="B233" s="300"/>
      <c r="C233" s="300"/>
      <c r="D233" s="300"/>
      <c r="E233" s="311">
        <f>+IF(入力表!F$12=0,入力表!B243,入力表!J243)</f>
        <v>0</v>
      </c>
      <c r="F233" s="311"/>
      <c r="G233" s="311"/>
      <c r="H233" s="311" t="str">
        <f>IF(LEN(予定価格!G231)=0,"",IF(AND(LEN(予定価格!G231)=1,LEN(予定価格!H231)=1),0,IF(入力表!$F$439=0,"",入力表!F243)))</f>
        <v/>
      </c>
      <c r="I233" s="311"/>
      <c r="J233" s="312"/>
      <c r="K233" s="334"/>
      <c r="L233" s="335"/>
      <c r="M233" s="335"/>
    </row>
    <row r="234" spans="1:13" ht="18" hidden="1" customHeight="1" x14ac:dyDescent="0.15">
      <c r="A234" s="299">
        <f>+入力表!A244</f>
        <v>0</v>
      </c>
      <c r="B234" s="300"/>
      <c r="C234" s="300"/>
      <c r="D234" s="300"/>
      <c r="E234" s="311">
        <f>+IF(入力表!F$12=0,入力表!B244,入力表!J244)</f>
        <v>0</v>
      </c>
      <c r="F234" s="311"/>
      <c r="G234" s="311"/>
      <c r="H234" s="311" t="str">
        <f>IF(LEN(予定価格!G232)=0,"",IF(AND(LEN(予定価格!G232)=1,LEN(予定価格!H232)=1),0,IF(入力表!$F$439=0,"",入力表!F244)))</f>
        <v/>
      </c>
      <c r="I234" s="311"/>
      <c r="J234" s="312"/>
      <c r="K234" s="334"/>
      <c r="L234" s="335"/>
      <c r="M234" s="335"/>
    </row>
    <row r="235" spans="1:13" ht="18" hidden="1" customHeight="1" x14ac:dyDescent="0.15">
      <c r="A235" s="299">
        <f>+入力表!A245</f>
        <v>0</v>
      </c>
      <c r="B235" s="300"/>
      <c r="C235" s="300"/>
      <c r="D235" s="300"/>
      <c r="E235" s="311">
        <f>+IF(入力表!F$12=0,入力表!B245,入力表!J245)</f>
        <v>0</v>
      </c>
      <c r="F235" s="311"/>
      <c r="G235" s="311"/>
      <c r="H235" s="311" t="str">
        <f>IF(LEN(予定価格!G233)=0,"",IF(AND(LEN(予定価格!G233)=1,LEN(予定価格!H233)=1),0,IF(入力表!$F$439=0,"",入力表!F245)))</f>
        <v/>
      </c>
      <c r="I235" s="311"/>
      <c r="J235" s="312"/>
      <c r="K235" s="334"/>
      <c r="L235" s="335"/>
      <c r="M235" s="335"/>
    </row>
    <row r="236" spans="1:13" ht="18" hidden="1" customHeight="1" x14ac:dyDescent="0.15">
      <c r="A236" s="299">
        <f>+入力表!A246</f>
        <v>0</v>
      </c>
      <c r="B236" s="300"/>
      <c r="C236" s="300"/>
      <c r="D236" s="300"/>
      <c r="E236" s="311">
        <f>+IF(入力表!F$12=0,入力表!B246,入力表!J246)</f>
        <v>0</v>
      </c>
      <c r="F236" s="311"/>
      <c r="G236" s="311"/>
      <c r="H236" s="311" t="str">
        <f>IF(LEN(予定価格!G234)=0,"",IF(AND(LEN(予定価格!G234)=1,LEN(予定価格!H234)=1),0,IF(入力表!$F$439=0,"",入力表!F246)))</f>
        <v/>
      </c>
      <c r="I236" s="311"/>
      <c r="J236" s="312"/>
      <c r="K236" s="334"/>
      <c r="L236" s="335"/>
      <c r="M236" s="335"/>
    </row>
    <row r="237" spans="1:13" ht="18" hidden="1" customHeight="1" x14ac:dyDescent="0.15">
      <c r="A237" s="299">
        <f>+入力表!A247</f>
        <v>0</v>
      </c>
      <c r="B237" s="300"/>
      <c r="C237" s="300"/>
      <c r="D237" s="300"/>
      <c r="E237" s="311">
        <f>+IF(入力表!F$12=0,入力表!B247,入力表!J247)</f>
        <v>0</v>
      </c>
      <c r="F237" s="311"/>
      <c r="G237" s="311"/>
      <c r="H237" s="311" t="str">
        <f>IF(LEN(予定価格!G235)=0,"",IF(AND(LEN(予定価格!G235)=1,LEN(予定価格!H235)=1),0,IF(入力表!$F$439=0,"",入力表!F247)))</f>
        <v/>
      </c>
      <c r="I237" s="311"/>
      <c r="J237" s="312"/>
      <c r="K237" s="334"/>
      <c r="L237" s="335"/>
      <c r="M237" s="335"/>
    </row>
    <row r="238" spans="1:13" ht="18" hidden="1" customHeight="1" x14ac:dyDescent="0.15">
      <c r="A238" s="299">
        <f>+入力表!A248</f>
        <v>0</v>
      </c>
      <c r="B238" s="300"/>
      <c r="C238" s="300"/>
      <c r="D238" s="300"/>
      <c r="E238" s="311">
        <f>+IF(入力表!F$12=0,入力表!B248,入力表!J248)</f>
        <v>0</v>
      </c>
      <c r="F238" s="311"/>
      <c r="G238" s="311"/>
      <c r="H238" s="311" t="str">
        <f>IF(LEN(予定価格!G236)=0,"",IF(AND(LEN(予定価格!G236)=1,LEN(予定価格!H236)=1),0,IF(入力表!$F$439=0,"",入力表!F248)))</f>
        <v/>
      </c>
      <c r="I238" s="311"/>
      <c r="J238" s="312"/>
      <c r="K238" s="334"/>
      <c r="L238" s="335"/>
      <c r="M238" s="335"/>
    </row>
    <row r="239" spans="1:13" ht="18" hidden="1" customHeight="1" x14ac:dyDescent="0.15">
      <c r="A239" s="299">
        <f>+入力表!A249</f>
        <v>0</v>
      </c>
      <c r="B239" s="300"/>
      <c r="C239" s="300"/>
      <c r="D239" s="300"/>
      <c r="E239" s="311">
        <f>+IF(入力表!F$12=0,入力表!B249,入力表!J249)</f>
        <v>0</v>
      </c>
      <c r="F239" s="311"/>
      <c r="G239" s="311"/>
      <c r="H239" s="311" t="str">
        <f>IF(LEN(予定価格!G237)=0,"",IF(AND(LEN(予定価格!G237)=1,LEN(予定価格!H237)=1),0,IF(入力表!$F$439=0,"",入力表!F249)))</f>
        <v/>
      </c>
      <c r="I239" s="311"/>
      <c r="J239" s="312"/>
      <c r="K239" s="334"/>
      <c r="L239" s="335"/>
      <c r="M239" s="335"/>
    </row>
    <row r="240" spans="1:13" ht="18" hidden="1" customHeight="1" x14ac:dyDescent="0.15">
      <c r="A240" s="299">
        <f>+入力表!A250</f>
        <v>0</v>
      </c>
      <c r="B240" s="300"/>
      <c r="C240" s="300"/>
      <c r="D240" s="300"/>
      <c r="E240" s="311">
        <f>+IF(入力表!F$12=0,入力表!B250,入力表!J250)</f>
        <v>0</v>
      </c>
      <c r="F240" s="311"/>
      <c r="G240" s="311"/>
      <c r="H240" s="311" t="str">
        <f>IF(LEN(予定価格!G238)=0,"",IF(AND(LEN(予定価格!G238)=1,LEN(予定価格!H238)=1),0,IF(入力表!$F$439=0,"",入力表!F250)))</f>
        <v/>
      </c>
      <c r="I240" s="311"/>
      <c r="J240" s="312"/>
      <c r="K240" s="334"/>
      <c r="L240" s="335"/>
      <c r="M240" s="335"/>
    </row>
    <row r="241" spans="1:13" ht="18" hidden="1" customHeight="1" x14ac:dyDescent="0.15">
      <c r="A241" s="299">
        <f>+入力表!A251</f>
        <v>0</v>
      </c>
      <c r="B241" s="300"/>
      <c r="C241" s="300"/>
      <c r="D241" s="300"/>
      <c r="E241" s="311">
        <f>+IF(入力表!F$12=0,入力表!B251,入力表!J251)</f>
        <v>0</v>
      </c>
      <c r="F241" s="311"/>
      <c r="G241" s="311"/>
      <c r="H241" s="311" t="str">
        <f>IF(LEN(予定価格!G239)=0,"",IF(AND(LEN(予定価格!G239)=1,LEN(予定価格!H239)=1),0,IF(入力表!$F$439=0,"",入力表!F251)))</f>
        <v/>
      </c>
      <c r="I241" s="311"/>
      <c r="J241" s="312"/>
      <c r="K241" s="334"/>
      <c r="L241" s="335"/>
      <c r="M241" s="335"/>
    </row>
    <row r="242" spans="1:13" ht="18" hidden="1" customHeight="1" x14ac:dyDescent="0.15">
      <c r="A242" s="299">
        <f>+入力表!A252</f>
        <v>0</v>
      </c>
      <c r="B242" s="300"/>
      <c r="C242" s="300"/>
      <c r="D242" s="300"/>
      <c r="E242" s="311">
        <f>+IF(入力表!F$12=0,入力表!B252,入力表!J252)</f>
        <v>0</v>
      </c>
      <c r="F242" s="311"/>
      <c r="G242" s="311"/>
      <c r="H242" s="311" t="str">
        <f>IF(LEN(予定価格!G240)=0,"",IF(AND(LEN(予定価格!G240)=1,LEN(予定価格!H240)=1),0,IF(入力表!$F$439=0,"",入力表!F252)))</f>
        <v/>
      </c>
      <c r="I242" s="311"/>
      <c r="J242" s="312"/>
      <c r="K242" s="334"/>
      <c r="L242" s="335"/>
      <c r="M242" s="335"/>
    </row>
    <row r="243" spans="1:13" ht="18" hidden="1" customHeight="1" x14ac:dyDescent="0.15">
      <c r="A243" s="299">
        <f>+入力表!A253</f>
        <v>0</v>
      </c>
      <c r="B243" s="300"/>
      <c r="C243" s="300"/>
      <c r="D243" s="300"/>
      <c r="E243" s="311">
        <f>+IF(入力表!F$12=0,入力表!B253,入力表!J253)</f>
        <v>0</v>
      </c>
      <c r="F243" s="311"/>
      <c r="G243" s="311"/>
      <c r="H243" s="311" t="str">
        <f>IF(LEN(予定価格!G241)=0,"",IF(AND(LEN(予定価格!G241)=1,LEN(予定価格!H241)=1),0,IF(入力表!$F$439=0,"",入力表!F253)))</f>
        <v/>
      </c>
      <c r="I243" s="311"/>
      <c r="J243" s="312"/>
      <c r="K243" s="334"/>
      <c r="L243" s="335"/>
      <c r="M243" s="335"/>
    </row>
    <row r="244" spans="1:13" ht="18" hidden="1" customHeight="1" x14ac:dyDescent="0.15">
      <c r="A244" s="299">
        <f>+入力表!A254</f>
        <v>0</v>
      </c>
      <c r="B244" s="300"/>
      <c r="C244" s="300"/>
      <c r="D244" s="300"/>
      <c r="E244" s="311">
        <f>+IF(入力表!F$12=0,入力表!B254,入力表!J254)</f>
        <v>0</v>
      </c>
      <c r="F244" s="311"/>
      <c r="G244" s="311"/>
      <c r="H244" s="311" t="str">
        <f>IF(LEN(予定価格!G242)=0,"",IF(AND(LEN(予定価格!G242)=1,LEN(予定価格!H242)=1),0,IF(入力表!$F$439=0,"",入力表!F254)))</f>
        <v/>
      </c>
      <c r="I244" s="311"/>
      <c r="J244" s="312"/>
      <c r="K244" s="334"/>
      <c r="L244" s="335"/>
      <c r="M244" s="335"/>
    </row>
    <row r="245" spans="1:13" ht="18" hidden="1" customHeight="1" x14ac:dyDescent="0.15">
      <c r="A245" s="299">
        <f>+入力表!A255</f>
        <v>0</v>
      </c>
      <c r="B245" s="300"/>
      <c r="C245" s="300"/>
      <c r="D245" s="300"/>
      <c r="E245" s="311">
        <f>+IF(入力表!F$12=0,入力表!B255,入力表!J255)</f>
        <v>0</v>
      </c>
      <c r="F245" s="311"/>
      <c r="G245" s="311"/>
      <c r="H245" s="311" t="str">
        <f>IF(LEN(予定価格!G243)=0,"",IF(AND(LEN(予定価格!G243)=1,LEN(予定価格!H243)=1),0,IF(入力表!$F$439=0,"",入力表!F255)))</f>
        <v/>
      </c>
      <c r="I245" s="311"/>
      <c r="J245" s="312"/>
      <c r="K245" s="334"/>
      <c r="L245" s="335"/>
      <c r="M245" s="335"/>
    </row>
    <row r="246" spans="1:13" ht="18" hidden="1" customHeight="1" x14ac:dyDescent="0.15">
      <c r="A246" s="299">
        <f>+入力表!A256</f>
        <v>0</v>
      </c>
      <c r="B246" s="300"/>
      <c r="C246" s="300"/>
      <c r="D246" s="300"/>
      <c r="E246" s="311">
        <f>+IF(入力表!F$12=0,入力表!B256,入力表!J256)</f>
        <v>0</v>
      </c>
      <c r="F246" s="311"/>
      <c r="G246" s="311"/>
      <c r="H246" s="311" t="str">
        <f>IF(LEN(予定価格!G244)=0,"",IF(AND(LEN(予定価格!G244)=1,LEN(予定価格!H244)=1),0,IF(入力表!$F$439=0,"",入力表!F256)))</f>
        <v/>
      </c>
      <c r="I246" s="311"/>
      <c r="J246" s="312"/>
      <c r="K246" s="334"/>
      <c r="L246" s="335"/>
      <c r="M246" s="335"/>
    </row>
    <row r="247" spans="1:13" ht="18" hidden="1" customHeight="1" x14ac:dyDescent="0.15">
      <c r="A247" s="299">
        <f>+入力表!A257</f>
        <v>0</v>
      </c>
      <c r="B247" s="300"/>
      <c r="C247" s="300"/>
      <c r="D247" s="300"/>
      <c r="E247" s="311">
        <f>+IF(入力表!F$12=0,入力表!B257,入力表!J257)</f>
        <v>0</v>
      </c>
      <c r="F247" s="311"/>
      <c r="G247" s="311"/>
      <c r="H247" s="311" t="str">
        <f>IF(LEN(予定価格!G245)=0,"",IF(AND(LEN(予定価格!G245)=1,LEN(予定価格!H245)=1),0,IF(入力表!$F$439=0,"",入力表!F257)))</f>
        <v/>
      </c>
      <c r="I247" s="311"/>
      <c r="J247" s="312"/>
      <c r="K247" s="334"/>
      <c r="L247" s="335"/>
      <c r="M247" s="335"/>
    </row>
    <row r="248" spans="1:13" ht="18" hidden="1" customHeight="1" x14ac:dyDescent="0.15">
      <c r="A248" s="299">
        <f>+入力表!A258</f>
        <v>0</v>
      </c>
      <c r="B248" s="300"/>
      <c r="C248" s="300"/>
      <c r="D248" s="300"/>
      <c r="E248" s="311">
        <f>+IF(入力表!F$12=0,入力表!B258,入力表!J258)</f>
        <v>0</v>
      </c>
      <c r="F248" s="311"/>
      <c r="G248" s="311"/>
      <c r="H248" s="311" t="str">
        <f>IF(LEN(予定価格!G246)=0,"",IF(AND(LEN(予定価格!G246)=1,LEN(予定価格!H246)=1),0,IF(入力表!$F$439=0,"",入力表!F258)))</f>
        <v/>
      </c>
      <c r="I248" s="311"/>
      <c r="J248" s="312"/>
      <c r="K248" s="334"/>
      <c r="L248" s="335"/>
      <c r="M248" s="335"/>
    </row>
    <row r="249" spans="1:13" ht="18" hidden="1" customHeight="1" x14ac:dyDescent="0.15">
      <c r="A249" s="299">
        <f>+入力表!A259</f>
        <v>0</v>
      </c>
      <c r="B249" s="300"/>
      <c r="C249" s="300"/>
      <c r="D249" s="300"/>
      <c r="E249" s="311">
        <f>+IF(入力表!F$12=0,入力表!B259,入力表!J259)</f>
        <v>0</v>
      </c>
      <c r="F249" s="311"/>
      <c r="G249" s="311"/>
      <c r="H249" s="311" t="str">
        <f>IF(LEN(予定価格!G247)=0,"",IF(AND(LEN(予定価格!G247)=1,LEN(予定価格!H247)=1),0,IF(入力表!$F$439=0,"",入力表!F259)))</f>
        <v/>
      </c>
      <c r="I249" s="311"/>
      <c r="J249" s="312"/>
      <c r="K249" s="334"/>
      <c r="L249" s="335"/>
      <c r="M249" s="335"/>
    </row>
    <row r="250" spans="1:13" ht="18" hidden="1" customHeight="1" x14ac:dyDescent="0.15">
      <c r="A250" s="299">
        <f>+入力表!A260</f>
        <v>0</v>
      </c>
      <c r="B250" s="300"/>
      <c r="C250" s="300"/>
      <c r="D250" s="300"/>
      <c r="E250" s="311">
        <f>+IF(入力表!F$12=0,入力表!B260,入力表!J260)</f>
        <v>0</v>
      </c>
      <c r="F250" s="311"/>
      <c r="G250" s="311"/>
      <c r="H250" s="311" t="str">
        <f>IF(LEN(予定価格!G248)=0,"",IF(AND(LEN(予定価格!G248)=1,LEN(予定価格!H248)=1),0,IF(入力表!$F$439=0,"",入力表!F260)))</f>
        <v/>
      </c>
      <c r="I250" s="311"/>
      <c r="J250" s="312"/>
      <c r="K250" s="334"/>
      <c r="L250" s="335"/>
      <c r="M250" s="335"/>
    </row>
    <row r="251" spans="1:13" ht="18" hidden="1" customHeight="1" x14ac:dyDescent="0.15">
      <c r="A251" s="299">
        <f>+入力表!A261</f>
        <v>0</v>
      </c>
      <c r="B251" s="300"/>
      <c r="C251" s="300"/>
      <c r="D251" s="300"/>
      <c r="E251" s="311">
        <f>+IF(入力表!F$12=0,入力表!B261,入力表!J261)</f>
        <v>0</v>
      </c>
      <c r="F251" s="311"/>
      <c r="G251" s="311"/>
      <c r="H251" s="311" t="str">
        <f>IF(LEN(予定価格!G249)=0,"",IF(AND(LEN(予定価格!G249)=1,LEN(予定価格!H249)=1),0,IF(入力表!$F$439=0,"",入力表!F261)))</f>
        <v/>
      </c>
      <c r="I251" s="311"/>
      <c r="J251" s="312"/>
      <c r="K251" s="334"/>
      <c r="L251" s="335"/>
      <c r="M251" s="335"/>
    </row>
    <row r="252" spans="1:13" ht="18" hidden="1" customHeight="1" x14ac:dyDescent="0.15">
      <c r="A252" s="299">
        <f>+入力表!A262</f>
        <v>0</v>
      </c>
      <c r="B252" s="300"/>
      <c r="C252" s="300"/>
      <c r="D252" s="300"/>
      <c r="E252" s="311">
        <f>+IF(入力表!F$12=0,入力表!B262,入力表!J262)</f>
        <v>0</v>
      </c>
      <c r="F252" s="311"/>
      <c r="G252" s="311"/>
      <c r="H252" s="311" t="str">
        <f>IF(LEN(予定価格!G250)=0,"",IF(AND(LEN(予定価格!G250)=1,LEN(予定価格!H250)=1),0,IF(入力表!$F$439=0,"",入力表!F262)))</f>
        <v/>
      </c>
      <c r="I252" s="311"/>
      <c r="J252" s="312"/>
      <c r="K252" s="334"/>
      <c r="L252" s="335"/>
      <c r="M252" s="335"/>
    </row>
    <row r="253" spans="1:13" ht="18" hidden="1" customHeight="1" x14ac:dyDescent="0.15">
      <c r="A253" s="299">
        <f>+入力表!A263</f>
        <v>0</v>
      </c>
      <c r="B253" s="300"/>
      <c r="C253" s="300"/>
      <c r="D253" s="300"/>
      <c r="E253" s="311">
        <f>+IF(入力表!F$12=0,入力表!B263,入力表!J263)</f>
        <v>0</v>
      </c>
      <c r="F253" s="311"/>
      <c r="G253" s="311"/>
      <c r="H253" s="311" t="str">
        <f>IF(LEN(予定価格!G251)=0,"",IF(AND(LEN(予定価格!G251)=1,LEN(予定価格!H251)=1),0,IF(入力表!$F$439=0,"",入力表!F263)))</f>
        <v/>
      </c>
      <c r="I253" s="311"/>
      <c r="J253" s="312"/>
      <c r="K253" s="334"/>
      <c r="L253" s="335"/>
      <c r="M253" s="335"/>
    </row>
    <row r="254" spans="1:13" ht="18" hidden="1" customHeight="1" x14ac:dyDescent="0.15">
      <c r="A254" s="299">
        <f>+入力表!A264</f>
        <v>0</v>
      </c>
      <c r="B254" s="300"/>
      <c r="C254" s="300"/>
      <c r="D254" s="300"/>
      <c r="E254" s="311">
        <f>+IF(入力表!F$12=0,入力表!B264,入力表!J264)</f>
        <v>0</v>
      </c>
      <c r="F254" s="311"/>
      <c r="G254" s="311"/>
      <c r="H254" s="311" t="str">
        <f>IF(LEN(予定価格!G252)=0,"",IF(AND(LEN(予定価格!G252)=1,LEN(予定価格!H252)=1),0,IF(入力表!$F$439=0,"",入力表!F264)))</f>
        <v/>
      </c>
      <c r="I254" s="311"/>
      <c r="J254" s="312"/>
      <c r="K254" s="334"/>
      <c r="L254" s="335"/>
      <c r="M254" s="335"/>
    </row>
    <row r="255" spans="1:13" ht="18" hidden="1" customHeight="1" x14ac:dyDescent="0.15">
      <c r="A255" s="299">
        <f>+入力表!A265</f>
        <v>0</v>
      </c>
      <c r="B255" s="300"/>
      <c r="C255" s="300"/>
      <c r="D255" s="300"/>
      <c r="E255" s="311">
        <f>+IF(入力表!F$12=0,入力表!B265,入力表!J265)</f>
        <v>0</v>
      </c>
      <c r="F255" s="311"/>
      <c r="G255" s="311"/>
      <c r="H255" s="311" t="str">
        <f>IF(LEN(予定価格!G253)=0,"",IF(AND(LEN(予定価格!G253)=1,LEN(予定価格!H253)=1),0,IF(入力表!$F$439=0,"",入力表!F265)))</f>
        <v/>
      </c>
      <c r="I255" s="311"/>
      <c r="J255" s="312"/>
      <c r="K255" s="334"/>
      <c r="L255" s="335"/>
      <c r="M255" s="335"/>
    </row>
    <row r="256" spans="1:13" ht="18" hidden="1" customHeight="1" x14ac:dyDescent="0.15">
      <c r="A256" s="299">
        <f>+入力表!A266</f>
        <v>0</v>
      </c>
      <c r="B256" s="300"/>
      <c r="C256" s="300"/>
      <c r="D256" s="300"/>
      <c r="E256" s="311">
        <f>+IF(入力表!F$12=0,入力表!B266,入力表!J266)</f>
        <v>0</v>
      </c>
      <c r="F256" s="311"/>
      <c r="G256" s="311"/>
      <c r="H256" s="311" t="str">
        <f>IF(LEN(予定価格!G254)=0,"",IF(AND(LEN(予定価格!G254)=1,LEN(予定価格!H254)=1),0,IF(入力表!$F$439=0,"",入力表!F266)))</f>
        <v/>
      </c>
      <c r="I256" s="311"/>
      <c r="J256" s="312"/>
      <c r="K256" s="334"/>
      <c r="L256" s="335"/>
      <c r="M256" s="335"/>
    </row>
    <row r="257" spans="1:13" ht="18" hidden="1" customHeight="1" x14ac:dyDescent="0.15">
      <c r="A257" s="299">
        <f>+入力表!A267</f>
        <v>0</v>
      </c>
      <c r="B257" s="300"/>
      <c r="C257" s="300"/>
      <c r="D257" s="300"/>
      <c r="E257" s="311">
        <f>+IF(入力表!F$12=0,入力表!B267,入力表!J267)</f>
        <v>0</v>
      </c>
      <c r="F257" s="311"/>
      <c r="G257" s="311"/>
      <c r="H257" s="311" t="str">
        <f>IF(LEN(予定価格!G255)=0,"",IF(AND(LEN(予定価格!G255)=1,LEN(予定価格!H255)=1),0,IF(入力表!$F$439=0,"",入力表!F267)))</f>
        <v/>
      </c>
      <c r="I257" s="311"/>
      <c r="J257" s="312"/>
      <c r="K257" s="334"/>
      <c r="L257" s="335"/>
      <c r="M257" s="335"/>
    </row>
    <row r="258" spans="1:13" ht="18" hidden="1" customHeight="1" x14ac:dyDescent="0.15">
      <c r="A258" s="299">
        <f>+入力表!A268</f>
        <v>0</v>
      </c>
      <c r="B258" s="300"/>
      <c r="C258" s="300"/>
      <c r="D258" s="300"/>
      <c r="E258" s="311">
        <f>+IF(入力表!F$12=0,入力表!B268,入力表!J268)</f>
        <v>0</v>
      </c>
      <c r="F258" s="311"/>
      <c r="G258" s="311"/>
      <c r="H258" s="311" t="str">
        <f>IF(LEN(予定価格!G256)=0,"",IF(AND(LEN(予定価格!G256)=1,LEN(予定価格!H256)=1),0,IF(入力表!$F$439=0,"",入力表!F268)))</f>
        <v/>
      </c>
      <c r="I258" s="311"/>
      <c r="J258" s="312"/>
      <c r="K258" s="334"/>
      <c r="L258" s="335"/>
      <c r="M258" s="335"/>
    </row>
    <row r="259" spans="1:13" ht="18" hidden="1" customHeight="1" x14ac:dyDescent="0.15">
      <c r="A259" s="299">
        <f>+入力表!A269</f>
        <v>0</v>
      </c>
      <c r="B259" s="300"/>
      <c r="C259" s="300"/>
      <c r="D259" s="300"/>
      <c r="E259" s="311">
        <f>+IF(入力表!F$12=0,入力表!B269,入力表!J269)</f>
        <v>0</v>
      </c>
      <c r="F259" s="311"/>
      <c r="G259" s="311"/>
      <c r="H259" s="311" t="str">
        <f>IF(LEN(予定価格!G257)=0,"",IF(AND(LEN(予定価格!G257)=1,LEN(予定価格!H257)=1),0,IF(入力表!$F$439=0,"",入力表!F269)))</f>
        <v/>
      </c>
      <c r="I259" s="311"/>
      <c r="J259" s="312"/>
      <c r="K259" s="334"/>
      <c r="L259" s="335"/>
      <c r="M259" s="335"/>
    </row>
    <row r="260" spans="1:13" ht="18" hidden="1" customHeight="1" x14ac:dyDescent="0.15">
      <c r="A260" s="299">
        <f>+入力表!A270</f>
        <v>0</v>
      </c>
      <c r="B260" s="300"/>
      <c r="C260" s="300"/>
      <c r="D260" s="300"/>
      <c r="E260" s="311">
        <f>+IF(入力表!F$12=0,入力表!B270,入力表!J270)</f>
        <v>0</v>
      </c>
      <c r="F260" s="311"/>
      <c r="G260" s="311"/>
      <c r="H260" s="311" t="str">
        <f>IF(LEN(予定価格!G258)=0,"",IF(AND(LEN(予定価格!G258)=1,LEN(予定価格!H258)=1),0,IF(入力表!$F$439=0,"",入力表!F270)))</f>
        <v/>
      </c>
      <c r="I260" s="311"/>
      <c r="J260" s="312"/>
      <c r="K260" s="334"/>
      <c r="L260" s="335"/>
      <c r="M260" s="335"/>
    </row>
    <row r="261" spans="1:13" ht="18" hidden="1" customHeight="1" x14ac:dyDescent="0.15">
      <c r="A261" s="328">
        <f>+入力表!A271</f>
        <v>0</v>
      </c>
      <c r="B261" s="329"/>
      <c r="C261" s="329"/>
      <c r="D261" s="329"/>
      <c r="E261" s="313">
        <f>SUM(E262:G302)</f>
        <v>0</v>
      </c>
      <c r="F261" s="313"/>
      <c r="G261" s="313"/>
      <c r="H261" s="313" t="str">
        <f>IF(LEN(予定価格!G259)=0,"",IF(AND(LEN(予定価格!G259)=1,LEN(予定価格!H259)=1),0,IF(入力表!$F$439=0,"",入力表!F271)))</f>
        <v/>
      </c>
      <c r="I261" s="313"/>
      <c r="J261" s="314"/>
      <c r="K261" s="334">
        <f>SUM(E262:G302)</f>
        <v>0</v>
      </c>
      <c r="L261" s="335">
        <f>K261*0.08</f>
        <v>0</v>
      </c>
      <c r="M261" s="335">
        <f>K261+L261</f>
        <v>0</v>
      </c>
    </row>
    <row r="262" spans="1:13" ht="18" hidden="1" customHeight="1" x14ac:dyDescent="0.15">
      <c r="A262" s="299">
        <f>+入力表!A272</f>
        <v>0</v>
      </c>
      <c r="B262" s="300"/>
      <c r="C262" s="300"/>
      <c r="D262" s="300"/>
      <c r="E262" s="311">
        <f>+IF(入力表!F$12=0,入力表!B272,入力表!J272)</f>
        <v>0</v>
      </c>
      <c r="F262" s="311"/>
      <c r="G262" s="311"/>
      <c r="H262" s="311" t="str">
        <f>IF(LEN(予定価格!G260)=0,"",IF(AND(LEN(予定価格!G260)=1,LEN(予定価格!H260)=1),0,IF(入力表!$F$439=0,"",入力表!F272)))</f>
        <v/>
      </c>
      <c r="I262" s="311"/>
      <c r="J262" s="312"/>
      <c r="K262" s="334"/>
      <c r="L262" s="335"/>
      <c r="M262" s="335"/>
    </row>
    <row r="263" spans="1:13" ht="18" hidden="1" customHeight="1" x14ac:dyDescent="0.15">
      <c r="A263" s="299">
        <f>+入力表!A273</f>
        <v>0</v>
      </c>
      <c r="B263" s="300"/>
      <c r="C263" s="300"/>
      <c r="D263" s="300"/>
      <c r="E263" s="311">
        <f>+IF(入力表!F$12=0,入力表!B273,入力表!J273)</f>
        <v>0</v>
      </c>
      <c r="F263" s="311"/>
      <c r="G263" s="311"/>
      <c r="H263" s="311" t="str">
        <f>IF(LEN(予定価格!G261)=0,"",IF(AND(LEN(予定価格!G261)=1,LEN(予定価格!H261)=1),0,IF(入力表!$F$439=0,"",入力表!F273)))</f>
        <v/>
      </c>
      <c r="I263" s="311"/>
      <c r="J263" s="312"/>
      <c r="K263" s="334"/>
      <c r="L263" s="335"/>
      <c r="M263" s="335"/>
    </row>
    <row r="264" spans="1:13" ht="18" hidden="1" customHeight="1" x14ac:dyDescent="0.15">
      <c r="A264" s="299">
        <f>+入力表!A274</f>
        <v>0</v>
      </c>
      <c r="B264" s="300"/>
      <c r="C264" s="300"/>
      <c r="D264" s="300"/>
      <c r="E264" s="311">
        <f>+IF(入力表!F$12=0,入力表!B274,入力表!J274)</f>
        <v>0</v>
      </c>
      <c r="F264" s="311"/>
      <c r="G264" s="311"/>
      <c r="H264" s="311" t="str">
        <f>IF(LEN(予定価格!G262)=0,"",IF(AND(LEN(予定価格!G262)=1,LEN(予定価格!H262)=1),0,IF(入力表!$F$439=0,"",入力表!F274)))</f>
        <v/>
      </c>
      <c r="I264" s="311"/>
      <c r="J264" s="312"/>
      <c r="K264" s="334"/>
      <c r="L264" s="335"/>
      <c r="M264" s="335"/>
    </row>
    <row r="265" spans="1:13" ht="18" hidden="1" customHeight="1" x14ac:dyDescent="0.15">
      <c r="A265" s="299">
        <f>+入力表!A275</f>
        <v>0</v>
      </c>
      <c r="B265" s="300"/>
      <c r="C265" s="300"/>
      <c r="D265" s="300"/>
      <c r="E265" s="311">
        <f>+IF(入力表!F$12=0,入力表!B275,入力表!J275)</f>
        <v>0</v>
      </c>
      <c r="F265" s="311"/>
      <c r="G265" s="311"/>
      <c r="H265" s="311" t="str">
        <f>IF(LEN(予定価格!G263)=0,"",IF(AND(LEN(予定価格!G263)=1,LEN(予定価格!H263)=1),0,IF(入力表!$F$439=0,"",入力表!F275)))</f>
        <v/>
      </c>
      <c r="I265" s="311"/>
      <c r="J265" s="312"/>
      <c r="K265" s="334"/>
      <c r="L265" s="335"/>
      <c r="M265" s="335"/>
    </row>
    <row r="266" spans="1:13" ht="18" hidden="1" customHeight="1" x14ac:dyDescent="0.15">
      <c r="A266" s="299">
        <f>+入力表!A276</f>
        <v>0</v>
      </c>
      <c r="B266" s="300"/>
      <c r="C266" s="300"/>
      <c r="D266" s="300"/>
      <c r="E266" s="311">
        <f>+IF(入力表!F$12=0,入力表!B276,入力表!J276)</f>
        <v>0</v>
      </c>
      <c r="F266" s="311"/>
      <c r="G266" s="311"/>
      <c r="H266" s="311" t="str">
        <f>IF(LEN(予定価格!G264)=0,"",IF(AND(LEN(予定価格!G264)=1,LEN(予定価格!H264)=1),0,IF(入力表!$F$439=0,"",入力表!F276)))</f>
        <v/>
      </c>
      <c r="I266" s="311"/>
      <c r="J266" s="312"/>
      <c r="K266" s="334"/>
      <c r="L266" s="335"/>
      <c r="M266" s="335"/>
    </row>
    <row r="267" spans="1:13" ht="18" hidden="1" customHeight="1" x14ac:dyDescent="0.15">
      <c r="A267" s="299">
        <f>+入力表!A277</f>
        <v>0</v>
      </c>
      <c r="B267" s="300"/>
      <c r="C267" s="300"/>
      <c r="D267" s="300"/>
      <c r="E267" s="311">
        <f>+IF(入力表!F$12=0,入力表!B277,入力表!J277)</f>
        <v>0</v>
      </c>
      <c r="F267" s="311"/>
      <c r="G267" s="311"/>
      <c r="H267" s="311" t="str">
        <f>IF(LEN(予定価格!G265)=0,"",IF(AND(LEN(予定価格!G265)=1,LEN(予定価格!H265)=1),0,IF(入力表!$F$439=0,"",入力表!F277)))</f>
        <v/>
      </c>
      <c r="I267" s="311"/>
      <c r="J267" s="312"/>
      <c r="K267" s="334"/>
      <c r="L267" s="335"/>
      <c r="M267" s="335"/>
    </row>
    <row r="268" spans="1:13" ht="18" hidden="1" customHeight="1" x14ac:dyDescent="0.15">
      <c r="A268" s="299">
        <f>+入力表!A278</f>
        <v>0</v>
      </c>
      <c r="B268" s="300"/>
      <c r="C268" s="300"/>
      <c r="D268" s="300"/>
      <c r="E268" s="311">
        <f>+IF(入力表!F$12=0,入力表!B278,入力表!J278)</f>
        <v>0</v>
      </c>
      <c r="F268" s="311"/>
      <c r="G268" s="311"/>
      <c r="H268" s="311" t="str">
        <f>IF(LEN(予定価格!G266)=0,"",IF(AND(LEN(予定価格!G266)=1,LEN(予定価格!H266)=1),0,IF(入力表!$F$439=0,"",入力表!F278)))</f>
        <v/>
      </c>
      <c r="I268" s="311"/>
      <c r="J268" s="312"/>
      <c r="K268" s="334"/>
      <c r="L268" s="335"/>
      <c r="M268" s="335"/>
    </row>
    <row r="269" spans="1:13" ht="18" hidden="1" customHeight="1" x14ac:dyDescent="0.15">
      <c r="A269" s="299">
        <f>+入力表!A279</f>
        <v>0</v>
      </c>
      <c r="B269" s="300"/>
      <c r="C269" s="300"/>
      <c r="D269" s="300"/>
      <c r="E269" s="311">
        <f>+IF(入力表!F$12=0,入力表!B279,入力表!J279)</f>
        <v>0</v>
      </c>
      <c r="F269" s="311"/>
      <c r="G269" s="311"/>
      <c r="H269" s="311" t="str">
        <f>IF(LEN(予定価格!G267)=0,"",IF(AND(LEN(予定価格!G267)=1,LEN(予定価格!H267)=1),0,IF(入力表!$F$439=0,"",入力表!F279)))</f>
        <v/>
      </c>
      <c r="I269" s="311"/>
      <c r="J269" s="312"/>
      <c r="K269" s="334"/>
      <c r="L269" s="335"/>
      <c r="M269" s="335"/>
    </row>
    <row r="270" spans="1:13" ht="18" hidden="1" customHeight="1" x14ac:dyDescent="0.15">
      <c r="A270" s="299">
        <f>+入力表!A280</f>
        <v>0</v>
      </c>
      <c r="B270" s="300"/>
      <c r="C270" s="300"/>
      <c r="D270" s="300"/>
      <c r="E270" s="311">
        <f>+IF(入力表!F$12=0,入力表!B280,入力表!J280)</f>
        <v>0</v>
      </c>
      <c r="F270" s="311"/>
      <c r="G270" s="311"/>
      <c r="H270" s="311" t="str">
        <f>IF(LEN(予定価格!G268)=0,"",IF(AND(LEN(予定価格!G268)=1,LEN(予定価格!H268)=1),0,IF(入力表!$F$439=0,"",入力表!F280)))</f>
        <v/>
      </c>
      <c r="I270" s="311"/>
      <c r="J270" s="312"/>
      <c r="K270" s="334"/>
      <c r="L270" s="335"/>
      <c r="M270" s="335"/>
    </row>
    <row r="271" spans="1:13" ht="18" hidden="1" customHeight="1" x14ac:dyDescent="0.15">
      <c r="A271" s="299">
        <f>+入力表!A281</f>
        <v>0</v>
      </c>
      <c r="B271" s="300"/>
      <c r="C271" s="300"/>
      <c r="D271" s="300"/>
      <c r="E271" s="311">
        <f>+IF(入力表!F$12=0,入力表!B281,入力表!J281)</f>
        <v>0</v>
      </c>
      <c r="F271" s="311"/>
      <c r="G271" s="311"/>
      <c r="H271" s="311" t="str">
        <f>IF(LEN(予定価格!G269)=0,"",IF(AND(LEN(予定価格!G269)=1,LEN(予定価格!H269)=1),0,IF(入力表!$F$439=0,"",入力表!F281)))</f>
        <v/>
      </c>
      <c r="I271" s="311"/>
      <c r="J271" s="312"/>
      <c r="K271" s="334"/>
      <c r="L271" s="335"/>
      <c r="M271" s="335"/>
    </row>
    <row r="272" spans="1:13" ht="18" hidden="1" customHeight="1" x14ac:dyDescent="0.15">
      <c r="A272" s="299">
        <f>+入力表!A282</f>
        <v>0</v>
      </c>
      <c r="B272" s="300"/>
      <c r="C272" s="300"/>
      <c r="D272" s="300"/>
      <c r="E272" s="311">
        <f>+IF(入力表!F$12=0,入力表!B282,入力表!J282)</f>
        <v>0</v>
      </c>
      <c r="F272" s="311"/>
      <c r="G272" s="311"/>
      <c r="H272" s="311" t="str">
        <f>IF(LEN(予定価格!G270)=0,"",IF(AND(LEN(予定価格!G270)=1,LEN(予定価格!H270)=1),0,IF(入力表!$F$439=0,"",入力表!F282)))</f>
        <v/>
      </c>
      <c r="I272" s="311"/>
      <c r="J272" s="312"/>
      <c r="K272" s="334"/>
      <c r="L272" s="335"/>
      <c r="M272" s="335"/>
    </row>
    <row r="273" spans="1:13" ht="18" hidden="1" customHeight="1" x14ac:dyDescent="0.15">
      <c r="A273" s="299">
        <f>+入力表!A283</f>
        <v>0</v>
      </c>
      <c r="B273" s="300"/>
      <c r="C273" s="300"/>
      <c r="D273" s="300"/>
      <c r="E273" s="311">
        <f>+IF(入力表!F$12=0,入力表!B283,入力表!J283)</f>
        <v>0</v>
      </c>
      <c r="F273" s="311"/>
      <c r="G273" s="311"/>
      <c r="H273" s="311" t="str">
        <f>IF(LEN(予定価格!G271)=0,"",IF(AND(LEN(予定価格!G271)=1,LEN(予定価格!H271)=1),0,IF(入力表!$F$439=0,"",入力表!F283)))</f>
        <v/>
      </c>
      <c r="I273" s="311"/>
      <c r="J273" s="312"/>
      <c r="K273" s="334"/>
      <c r="L273" s="335"/>
      <c r="M273" s="335"/>
    </row>
    <row r="274" spans="1:13" ht="18" hidden="1" customHeight="1" x14ac:dyDescent="0.15">
      <c r="A274" s="299">
        <f>+入力表!A284</f>
        <v>0</v>
      </c>
      <c r="B274" s="300"/>
      <c r="C274" s="300"/>
      <c r="D274" s="300"/>
      <c r="E274" s="311">
        <f>+IF(入力表!F$12=0,入力表!B284,入力表!J284)</f>
        <v>0</v>
      </c>
      <c r="F274" s="311"/>
      <c r="G274" s="311"/>
      <c r="H274" s="311" t="str">
        <f>IF(LEN(予定価格!G272)=0,"",IF(AND(LEN(予定価格!G272)=1,LEN(予定価格!H272)=1),0,IF(入力表!$F$439=0,"",入力表!F284)))</f>
        <v/>
      </c>
      <c r="I274" s="311"/>
      <c r="J274" s="312"/>
      <c r="K274" s="334"/>
      <c r="L274" s="335"/>
      <c r="M274" s="335"/>
    </row>
    <row r="275" spans="1:13" ht="18" hidden="1" customHeight="1" x14ac:dyDescent="0.15">
      <c r="A275" s="299">
        <f>+入力表!A285</f>
        <v>0</v>
      </c>
      <c r="B275" s="300"/>
      <c r="C275" s="300"/>
      <c r="D275" s="300"/>
      <c r="E275" s="311">
        <f>+IF(入力表!F$12=0,入力表!B285,入力表!J285)</f>
        <v>0</v>
      </c>
      <c r="F275" s="311"/>
      <c r="G275" s="311"/>
      <c r="H275" s="311" t="str">
        <f>IF(LEN(予定価格!G273)=0,"",IF(AND(LEN(予定価格!G273)=1,LEN(予定価格!H273)=1),0,IF(入力表!$F$439=0,"",入力表!F285)))</f>
        <v/>
      </c>
      <c r="I275" s="311"/>
      <c r="J275" s="312"/>
      <c r="K275" s="334"/>
      <c r="L275" s="335"/>
      <c r="M275" s="335"/>
    </row>
    <row r="276" spans="1:13" ht="18" hidden="1" customHeight="1" x14ac:dyDescent="0.15">
      <c r="A276" s="299">
        <f>+入力表!A286</f>
        <v>0</v>
      </c>
      <c r="B276" s="300"/>
      <c r="C276" s="300"/>
      <c r="D276" s="300"/>
      <c r="E276" s="311">
        <f>+IF(入力表!F$12=0,入力表!B286,入力表!J286)</f>
        <v>0</v>
      </c>
      <c r="F276" s="311"/>
      <c r="G276" s="311"/>
      <c r="H276" s="311" t="str">
        <f>IF(LEN(予定価格!G274)=0,"",IF(AND(LEN(予定価格!G274)=1,LEN(予定価格!H274)=1),0,IF(入力表!$F$439=0,"",入力表!F286)))</f>
        <v/>
      </c>
      <c r="I276" s="311"/>
      <c r="J276" s="312"/>
      <c r="K276" s="334"/>
      <c r="L276" s="335"/>
      <c r="M276" s="335"/>
    </row>
    <row r="277" spans="1:13" ht="18" hidden="1" customHeight="1" x14ac:dyDescent="0.15">
      <c r="A277" s="299">
        <f>+入力表!A287</f>
        <v>0</v>
      </c>
      <c r="B277" s="300"/>
      <c r="C277" s="300"/>
      <c r="D277" s="300"/>
      <c r="E277" s="311">
        <f>+IF(入力表!F$12=0,入力表!B287,入力表!J287)</f>
        <v>0</v>
      </c>
      <c r="F277" s="311"/>
      <c r="G277" s="311"/>
      <c r="H277" s="311" t="str">
        <f>IF(LEN(予定価格!G275)=0,"",IF(AND(LEN(予定価格!G275)=1,LEN(予定価格!H275)=1),0,IF(入力表!$F$439=0,"",入力表!F287)))</f>
        <v/>
      </c>
      <c r="I277" s="311"/>
      <c r="J277" s="312"/>
      <c r="K277" s="334"/>
      <c r="L277" s="335"/>
      <c r="M277" s="335"/>
    </row>
    <row r="278" spans="1:13" ht="18" hidden="1" customHeight="1" x14ac:dyDescent="0.15">
      <c r="A278" s="299">
        <f>+入力表!A288</f>
        <v>0</v>
      </c>
      <c r="B278" s="300"/>
      <c r="C278" s="300"/>
      <c r="D278" s="300"/>
      <c r="E278" s="311">
        <f>+IF(入力表!F$12=0,入力表!B288,入力表!J288)</f>
        <v>0</v>
      </c>
      <c r="F278" s="311"/>
      <c r="G278" s="311"/>
      <c r="H278" s="311" t="str">
        <f>IF(LEN(予定価格!G276)=0,"",IF(AND(LEN(予定価格!G276)=1,LEN(予定価格!H276)=1),0,IF(入力表!$F$439=0,"",入力表!F288)))</f>
        <v/>
      </c>
      <c r="I278" s="311"/>
      <c r="J278" s="312"/>
      <c r="K278" s="334"/>
      <c r="L278" s="335"/>
      <c r="M278" s="335"/>
    </row>
    <row r="279" spans="1:13" ht="18" hidden="1" customHeight="1" x14ac:dyDescent="0.15">
      <c r="A279" s="299">
        <f>+入力表!A289</f>
        <v>0</v>
      </c>
      <c r="B279" s="300"/>
      <c r="C279" s="300"/>
      <c r="D279" s="300"/>
      <c r="E279" s="311">
        <f>+IF(入力表!F$12=0,入力表!B289,入力表!J289)</f>
        <v>0</v>
      </c>
      <c r="F279" s="311"/>
      <c r="G279" s="311"/>
      <c r="H279" s="311" t="str">
        <f>IF(LEN(予定価格!G277)=0,"",IF(AND(LEN(予定価格!G277)=1,LEN(予定価格!H277)=1),0,IF(入力表!$F$439=0,"",入力表!F289)))</f>
        <v/>
      </c>
      <c r="I279" s="311"/>
      <c r="J279" s="312"/>
      <c r="K279" s="334"/>
      <c r="L279" s="335"/>
      <c r="M279" s="335"/>
    </row>
    <row r="280" spans="1:13" ht="18" hidden="1" customHeight="1" x14ac:dyDescent="0.15">
      <c r="A280" s="299">
        <f>+入力表!A290</f>
        <v>0</v>
      </c>
      <c r="B280" s="300"/>
      <c r="C280" s="300"/>
      <c r="D280" s="300"/>
      <c r="E280" s="311">
        <f>+IF(入力表!F$12=0,入力表!B290,入力表!J290)</f>
        <v>0</v>
      </c>
      <c r="F280" s="311"/>
      <c r="G280" s="311"/>
      <c r="H280" s="311" t="str">
        <f>IF(LEN(予定価格!G278)=0,"",IF(AND(LEN(予定価格!G278)=1,LEN(予定価格!H278)=1),0,IF(入力表!$F$439=0,"",入力表!F290)))</f>
        <v/>
      </c>
      <c r="I280" s="311"/>
      <c r="J280" s="312"/>
      <c r="K280" s="334"/>
      <c r="L280" s="335"/>
      <c r="M280" s="335"/>
    </row>
    <row r="281" spans="1:13" ht="18" hidden="1" customHeight="1" x14ac:dyDescent="0.15">
      <c r="A281" s="299">
        <f>+入力表!A291</f>
        <v>0</v>
      </c>
      <c r="B281" s="300"/>
      <c r="C281" s="300"/>
      <c r="D281" s="300"/>
      <c r="E281" s="311">
        <f>+IF(入力表!F$12=0,入力表!B291,入力表!J291)</f>
        <v>0</v>
      </c>
      <c r="F281" s="311"/>
      <c r="G281" s="311"/>
      <c r="H281" s="311" t="str">
        <f>IF(LEN(予定価格!G279)=0,"",IF(AND(LEN(予定価格!G279)=1,LEN(予定価格!H279)=1),0,IF(入力表!$F$439=0,"",入力表!F291)))</f>
        <v/>
      </c>
      <c r="I281" s="311"/>
      <c r="J281" s="312"/>
      <c r="K281" s="334"/>
      <c r="L281" s="335"/>
      <c r="M281" s="335"/>
    </row>
    <row r="282" spans="1:13" ht="18" hidden="1" customHeight="1" x14ac:dyDescent="0.15">
      <c r="A282" s="299">
        <f>+入力表!A292</f>
        <v>0</v>
      </c>
      <c r="B282" s="300"/>
      <c r="C282" s="300"/>
      <c r="D282" s="300"/>
      <c r="E282" s="311">
        <f>+IF(入力表!F$12=0,入力表!B292,入力表!J292)</f>
        <v>0</v>
      </c>
      <c r="F282" s="311"/>
      <c r="G282" s="311"/>
      <c r="H282" s="311" t="str">
        <f>IF(LEN(予定価格!G280)=0,"",IF(AND(LEN(予定価格!G280)=1,LEN(予定価格!H280)=1),0,IF(入力表!$F$439=0,"",入力表!F292)))</f>
        <v/>
      </c>
      <c r="I282" s="311"/>
      <c r="J282" s="312"/>
      <c r="K282" s="334"/>
      <c r="L282" s="335"/>
      <c r="M282" s="335"/>
    </row>
    <row r="283" spans="1:13" ht="18" hidden="1" customHeight="1" x14ac:dyDescent="0.15">
      <c r="A283" s="299">
        <f>+入力表!A293</f>
        <v>0</v>
      </c>
      <c r="B283" s="300"/>
      <c r="C283" s="300"/>
      <c r="D283" s="300"/>
      <c r="E283" s="311">
        <f>+IF(入力表!F$12=0,入力表!B293,入力表!J293)</f>
        <v>0</v>
      </c>
      <c r="F283" s="311"/>
      <c r="G283" s="311"/>
      <c r="H283" s="311" t="str">
        <f>IF(LEN(予定価格!G281)=0,"",IF(AND(LEN(予定価格!G281)=1,LEN(予定価格!H281)=1),0,IF(入力表!$F$439=0,"",入力表!F293)))</f>
        <v/>
      </c>
      <c r="I283" s="311"/>
      <c r="J283" s="312"/>
      <c r="K283" s="334"/>
      <c r="L283" s="335"/>
      <c r="M283" s="335"/>
    </row>
    <row r="284" spans="1:13" ht="18" hidden="1" customHeight="1" x14ac:dyDescent="0.15">
      <c r="A284" s="299">
        <f>+入力表!A294</f>
        <v>0</v>
      </c>
      <c r="B284" s="300"/>
      <c r="C284" s="300"/>
      <c r="D284" s="300"/>
      <c r="E284" s="311">
        <f>+IF(入力表!F$12=0,入力表!B294,入力表!J294)</f>
        <v>0</v>
      </c>
      <c r="F284" s="311"/>
      <c r="G284" s="311"/>
      <c r="H284" s="311" t="str">
        <f>IF(LEN(予定価格!G282)=0,"",IF(AND(LEN(予定価格!G282)=1,LEN(予定価格!H282)=1),0,IF(入力表!$F$439=0,"",入力表!F294)))</f>
        <v/>
      </c>
      <c r="I284" s="311"/>
      <c r="J284" s="312"/>
      <c r="K284" s="334"/>
      <c r="L284" s="335"/>
      <c r="M284" s="335"/>
    </row>
    <row r="285" spans="1:13" ht="18" hidden="1" customHeight="1" x14ac:dyDescent="0.15">
      <c r="A285" s="299">
        <f>+入力表!A295</f>
        <v>0</v>
      </c>
      <c r="B285" s="300"/>
      <c r="C285" s="300"/>
      <c r="D285" s="300"/>
      <c r="E285" s="311">
        <f>+IF(入力表!F$12=0,入力表!B295,入力表!J295)</f>
        <v>0</v>
      </c>
      <c r="F285" s="311"/>
      <c r="G285" s="311"/>
      <c r="H285" s="311" t="str">
        <f>IF(LEN(予定価格!G283)=0,"",IF(AND(LEN(予定価格!G283)=1,LEN(予定価格!H283)=1),0,IF(入力表!$F$439=0,"",入力表!F295)))</f>
        <v/>
      </c>
      <c r="I285" s="311"/>
      <c r="J285" s="312"/>
      <c r="K285" s="334"/>
      <c r="L285" s="335"/>
      <c r="M285" s="335"/>
    </row>
    <row r="286" spans="1:13" ht="18" hidden="1" customHeight="1" x14ac:dyDescent="0.15">
      <c r="A286" s="299">
        <f>+入力表!A296</f>
        <v>0</v>
      </c>
      <c r="B286" s="300"/>
      <c r="C286" s="300"/>
      <c r="D286" s="300"/>
      <c r="E286" s="311">
        <f>+IF(入力表!F$12=0,入力表!B296,入力表!J296)</f>
        <v>0</v>
      </c>
      <c r="F286" s="311"/>
      <c r="G286" s="311"/>
      <c r="H286" s="311" t="str">
        <f>IF(LEN(予定価格!G284)=0,"",IF(AND(LEN(予定価格!G284)=1,LEN(予定価格!H284)=1),0,IF(入力表!$F$439=0,"",入力表!F296)))</f>
        <v/>
      </c>
      <c r="I286" s="311"/>
      <c r="J286" s="312"/>
      <c r="K286" s="334"/>
      <c r="L286" s="335"/>
      <c r="M286" s="335"/>
    </row>
    <row r="287" spans="1:13" ht="18" hidden="1" customHeight="1" x14ac:dyDescent="0.15">
      <c r="A287" s="299">
        <f>+入力表!A297</f>
        <v>0</v>
      </c>
      <c r="B287" s="300"/>
      <c r="C287" s="300"/>
      <c r="D287" s="300"/>
      <c r="E287" s="311">
        <f>+IF(入力表!F$12=0,入力表!B297,入力表!J297)</f>
        <v>0</v>
      </c>
      <c r="F287" s="311"/>
      <c r="G287" s="311"/>
      <c r="H287" s="311" t="str">
        <f>IF(LEN(予定価格!G285)=0,"",IF(AND(LEN(予定価格!G285)=1,LEN(予定価格!H285)=1),0,IF(入力表!$F$439=0,"",入力表!F297)))</f>
        <v/>
      </c>
      <c r="I287" s="311"/>
      <c r="J287" s="312"/>
      <c r="K287" s="334"/>
      <c r="L287" s="335"/>
      <c r="M287" s="335"/>
    </row>
    <row r="288" spans="1:13" ht="18" hidden="1" customHeight="1" x14ac:dyDescent="0.15">
      <c r="A288" s="299">
        <f>+入力表!A298</f>
        <v>0</v>
      </c>
      <c r="B288" s="300"/>
      <c r="C288" s="300"/>
      <c r="D288" s="300"/>
      <c r="E288" s="311">
        <f>+IF(入力表!F$12=0,入力表!B298,入力表!J298)</f>
        <v>0</v>
      </c>
      <c r="F288" s="311"/>
      <c r="G288" s="311"/>
      <c r="H288" s="311" t="str">
        <f>IF(LEN(予定価格!G286)=0,"",IF(AND(LEN(予定価格!G286)=1,LEN(予定価格!H286)=1),0,IF(入力表!$F$439=0,"",入力表!F298)))</f>
        <v/>
      </c>
      <c r="I288" s="311"/>
      <c r="J288" s="312"/>
      <c r="K288" s="334"/>
      <c r="L288" s="335"/>
      <c r="M288" s="335"/>
    </row>
    <row r="289" spans="1:13" ht="18" hidden="1" customHeight="1" x14ac:dyDescent="0.15">
      <c r="A289" s="299">
        <f>+入力表!A299</f>
        <v>0</v>
      </c>
      <c r="B289" s="300"/>
      <c r="C289" s="300"/>
      <c r="D289" s="300"/>
      <c r="E289" s="311">
        <f>+IF(入力表!F$12=0,入力表!B299,入力表!J299)</f>
        <v>0</v>
      </c>
      <c r="F289" s="311"/>
      <c r="G289" s="311"/>
      <c r="H289" s="311" t="str">
        <f>IF(LEN(予定価格!G287)=0,"",IF(AND(LEN(予定価格!G287)=1,LEN(予定価格!H287)=1),0,IF(入力表!$F$439=0,"",入力表!F299)))</f>
        <v/>
      </c>
      <c r="I289" s="311"/>
      <c r="J289" s="312"/>
      <c r="K289" s="334"/>
      <c r="L289" s="335"/>
      <c r="M289" s="335"/>
    </row>
    <row r="290" spans="1:13" ht="18" hidden="1" customHeight="1" x14ac:dyDescent="0.15">
      <c r="A290" s="299">
        <f>+入力表!A300</f>
        <v>0</v>
      </c>
      <c r="B290" s="300"/>
      <c r="C290" s="300"/>
      <c r="D290" s="300"/>
      <c r="E290" s="311">
        <f>+IF(入力表!F$12=0,入力表!B300,入力表!J300)</f>
        <v>0</v>
      </c>
      <c r="F290" s="311"/>
      <c r="G290" s="311"/>
      <c r="H290" s="311" t="str">
        <f>IF(LEN(予定価格!G288)=0,"",IF(AND(LEN(予定価格!G288)=1,LEN(予定価格!H288)=1),0,IF(入力表!$F$439=0,"",入力表!F300)))</f>
        <v/>
      </c>
      <c r="I290" s="311"/>
      <c r="J290" s="312"/>
      <c r="K290" s="334"/>
      <c r="L290" s="335"/>
      <c r="M290" s="335"/>
    </row>
    <row r="291" spans="1:13" ht="18" hidden="1" customHeight="1" x14ac:dyDescent="0.15">
      <c r="A291" s="299">
        <f>+入力表!A301</f>
        <v>0</v>
      </c>
      <c r="B291" s="300"/>
      <c r="C291" s="300"/>
      <c r="D291" s="300"/>
      <c r="E291" s="311">
        <f>+IF(入力表!F$12=0,入力表!B301,入力表!J301)</f>
        <v>0</v>
      </c>
      <c r="F291" s="311"/>
      <c r="G291" s="311"/>
      <c r="H291" s="311" t="str">
        <f>IF(LEN(予定価格!G289)=0,"",IF(AND(LEN(予定価格!G289)=1,LEN(予定価格!H289)=1),0,IF(入力表!$F$439=0,"",入力表!F301)))</f>
        <v/>
      </c>
      <c r="I291" s="311"/>
      <c r="J291" s="312"/>
      <c r="K291" s="334"/>
      <c r="L291" s="335"/>
      <c r="M291" s="335"/>
    </row>
    <row r="292" spans="1:13" ht="18" hidden="1" customHeight="1" x14ac:dyDescent="0.15">
      <c r="A292" s="299">
        <f>+入力表!A302</f>
        <v>0</v>
      </c>
      <c r="B292" s="300"/>
      <c r="C292" s="300"/>
      <c r="D292" s="300"/>
      <c r="E292" s="311">
        <f>+IF(入力表!F$12=0,入力表!B302,入力表!J302)</f>
        <v>0</v>
      </c>
      <c r="F292" s="311"/>
      <c r="G292" s="311"/>
      <c r="H292" s="311" t="str">
        <f>IF(LEN(予定価格!G290)=0,"",IF(AND(LEN(予定価格!G290)=1,LEN(予定価格!H290)=1),0,IF(入力表!$F$439=0,"",入力表!F302)))</f>
        <v/>
      </c>
      <c r="I292" s="311"/>
      <c r="J292" s="312"/>
      <c r="K292" s="334"/>
      <c r="L292" s="335"/>
      <c r="M292" s="335"/>
    </row>
    <row r="293" spans="1:13" ht="18" hidden="1" customHeight="1" x14ac:dyDescent="0.15">
      <c r="A293" s="299">
        <f>+入力表!A303</f>
        <v>0</v>
      </c>
      <c r="B293" s="300"/>
      <c r="C293" s="300"/>
      <c r="D293" s="300"/>
      <c r="E293" s="311">
        <f>+IF(入力表!F$12=0,入力表!B303,入力表!J303)</f>
        <v>0</v>
      </c>
      <c r="F293" s="311"/>
      <c r="G293" s="311"/>
      <c r="H293" s="311" t="str">
        <f>IF(LEN(予定価格!G291)=0,"",IF(AND(LEN(予定価格!G291)=1,LEN(予定価格!H291)=1),0,IF(入力表!$F$439=0,"",入力表!F303)))</f>
        <v/>
      </c>
      <c r="I293" s="311"/>
      <c r="J293" s="312"/>
      <c r="K293" s="334"/>
      <c r="L293" s="335"/>
      <c r="M293" s="335"/>
    </row>
    <row r="294" spans="1:13" ht="18" hidden="1" customHeight="1" x14ac:dyDescent="0.15">
      <c r="A294" s="299">
        <f>+入力表!A304</f>
        <v>0</v>
      </c>
      <c r="B294" s="300"/>
      <c r="C294" s="300"/>
      <c r="D294" s="300"/>
      <c r="E294" s="311">
        <f>+IF(入力表!F$12=0,入力表!B304,入力表!J304)</f>
        <v>0</v>
      </c>
      <c r="F294" s="311"/>
      <c r="G294" s="311"/>
      <c r="H294" s="311" t="str">
        <f>IF(LEN(予定価格!G292)=0,"",IF(AND(LEN(予定価格!G292)=1,LEN(予定価格!H292)=1),0,IF(入力表!$F$439=0,"",入力表!F304)))</f>
        <v/>
      </c>
      <c r="I294" s="311"/>
      <c r="J294" s="312"/>
      <c r="K294" s="334"/>
      <c r="L294" s="335"/>
      <c r="M294" s="335"/>
    </row>
    <row r="295" spans="1:13" ht="18" hidden="1" customHeight="1" x14ac:dyDescent="0.15">
      <c r="A295" s="299">
        <f>+入力表!A305</f>
        <v>0</v>
      </c>
      <c r="B295" s="300"/>
      <c r="C295" s="300"/>
      <c r="D295" s="300"/>
      <c r="E295" s="311">
        <f>+IF(入力表!F$12=0,入力表!B305,入力表!J305)</f>
        <v>0</v>
      </c>
      <c r="F295" s="311"/>
      <c r="G295" s="311"/>
      <c r="H295" s="311" t="str">
        <f>IF(LEN(予定価格!G293)=0,"",IF(AND(LEN(予定価格!G293)=1,LEN(予定価格!H293)=1),0,IF(入力表!$F$439=0,"",入力表!F305)))</f>
        <v/>
      </c>
      <c r="I295" s="311"/>
      <c r="J295" s="312"/>
      <c r="K295" s="334"/>
      <c r="L295" s="335"/>
      <c r="M295" s="335"/>
    </row>
    <row r="296" spans="1:13" ht="18" hidden="1" customHeight="1" x14ac:dyDescent="0.15">
      <c r="A296" s="299">
        <f>+入力表!A306</f>
        <v>0</v>
      </c>
      <c r="B296" s="300"/>
      <c r="C296" s="300"/>
      <c r="D296" s="300"/>
      <c r="E296" s="311">
        <f>+IF(入力表!F$12=0,入力表!B306,入力表!J306)</f>
        <v>0</v>
      </c>
      <c r="F296" s="311"/>
      <c r="G296" s="311"/>
      <c r="H296" s="311" t="str">
        <f>IF(LEN(予定価格!G294)=0,"",IF(AND(LEN(予定価格!G294)=1,LEN(予定価格!H294)=1),0,IF(入力表!$F$439=0,"",入力表!F306)))</f>
        <v/>
      </c>
      <c r="I296" s="311"/>
      <c r="J296" s="312"/>
      <c r="K296" s="334"/>
      <c r="L296" s="335"/>
      <c r="M296" s="335"/>
    </row>
    <row r="297" spans="1:13" ht="18" hidden="1" customHeight="1" x14ac:dyDescent="0.15">
      <c r="A297" s="299">
        <f>+入力表!A307</f>
        <v>0</v>
      </c>
      <c r="B297" s="300"/>
      <c r="C297" s="300"/>
      <c r="D297" s="300"/>
      <c r="E297" s="311">
        <f>+IF(入力表!F$12=0,入力表!B307,入力表!J307)</f>
        <v>0</v>
      </c>
      <c r="F297" s="311"/>
      <c r="G297" s="311"/>
      <c r="H297" s="311" t="str">
        <f>IF(LEN(予定価格!G295)=0,"",IF(AND(LEN(予定価格!G295)=1,LEN(予定価格!H295)=1),0,IF(入力表!$F$439=0,"",入力表!F307)))</f>
        <v/>
      </c>
      <c r="I297" s="311"/>
      <c r="J297" s="312"/>
      <c r="K297" s="334"/>
      <c r="L297" s="335"/>
      <c r="M297" s="335"/>
    </row>
    <row r="298" spans="1:13" ht="18" hidden="1" customHeight="1" x14ac:dyDescent="0.15">
      <c r="A298" s="299">
        <f>+入力表!A308</f>
        <v>0</v>
      </c>
      <c r="B298" s="300"/>
      <c r="C298" s="300"/>
      <c r="D298" s="300"/>
      <c r="E298" s="311">
        <f>+IF(入力表!F$12=0,入力表!B308,入力表!J308)</f>
        <v>0</v>
      </c>
      <c r="F298" s="311"/>
      <c r="G298" s="311"/>
      <c r="H298" s="311" t="str">
        <f>IF(LEN(予定価格!G296)=0,"",IF(AND(LEN(予定価格!G296)=1,LEN(予定価格!H296)=1),0,IF(入力表!$F$439=0,"",入力表!F308)))</f>
        <v/>
      </c>
      <c r="I298" s="311"/>
      <c r="J298" s="312"/>
      <c r="K298" s="334"/>
      <c r="L298" s="335"/>
      <c r="M298" s="335"/>
    </row>
    <row r="299" spans="1:13" ht="18" hidden="1" customHeight="1" x14ac:dyDescent="0.15">
      <c r="A299" s="299">
        <f>+入力表!A309</f>
        <v>0</v>
      </c>
      <c r="B299" s="300"/>
      <c r="C299" s="300"/>
      <c r="D299" s="300"/>
      <c r="E299" s="311">
        <f>+IF(入力表!F$12=0,入力表!B309,入力表!J309)</f>
        <v>0</v>
      </c>
      <c r="F299" s="311"/>
      <c r="G299" s="311"/>
      <c r="H299" s="311" t="str">
        <f>IF(LEN(予定価格!G297)=0,"",IF(AND(LEN(予定価格!G297)=1,LEN(予定価格!H297)=1),0,IF(入力表!$F$439=0,"",入力表!F309)))</f>
        <v/>
      </c>
      <c r="I299" s="311"/>
      <c r="J299" s="312"/>
      <c r="K299" s="334"/>
      <c r="L299" s="335"/>
      <c r="M299" s="335"/>
    </row>
    <row r="300" spans="1:13" ht="18" hidden="1" customHeight="1" x14ac:dyDescent="0.15">
      <c r="A300" s="299">
        <f>+入力表!A310</f>
        <v>0</v>
      </c>
      <c r="B300" s="300"/>
      <c r="C300" s="300"/>
      <c r="D300" s="300"/>
      <c r="E300" s="311">
        <f>+IF(入力表!F$12=0,入力表!B310,入力表!J310)</f>
        <v>0</v>
      </c>
      <c r="F300" s="311"/>
      <c r="G300" s="311"/>
      <c r="H300" s="311" t="str">
        <f>IF(LEN(予定価格!G298)=0,"",IF(AND(LEN(予定価格!G298)=1,LEN(予定価格!H298)=1),0,IF(入力表!$F$439=0,"",入力表!F310)))</f>
        <v/>
      </c>
      <c r="I300" s="311"/>
      <c r="J300" s="312"/>
      <c r="K300" s="334"/>
      <c r="L300" s="335"/>
      <c r="M300" s="335"/>
    </row>
    <row r="301" spans="1:13" ht="18" hidden="1" customHeight="1" x14ac:dyDescent="0.15">
      <c r="A301" s="299">
        <f>+入力表!A311</f>
        <v>0</v>
      </c>
      <c r="B301" s="300"/>
      <c r="C301" s="300"/>
      <c r="D301" s="300"/>
      <c r="E301" s="311">
        <f>+IF(入力表!F$12=0,入力表!B311,入力表!J311)</f>
        <v>0</v>
      </c>
      <c r="F301" s="311"/>
      <c r="G301" s="311"/>
      <c r="H301" s="311" t="str">
        <f>IF(LEN(予定価格!G299)=0,"",IF(AND(LEN(予定価格!G299)=1,LEN(予定価格!H299)=1),0,IF(入力表!$F$439=0,"",入力表!F311)))</f>
        <v/>
      </c>
      <c r="I301" s="311"/>
      <c r="J301" s="312"/>
      <c r="K301" s="334"/>
      <c r="L301" s="335"/>
      <c r="M301" s="335"/>
    </row>
    <row r="302" spans="1:13" ht="18" hidden="1" customHeight="1" x14ac:dyDescent="0.15">
      <c r="A302" s="299">
        <f>+入力表!A312</f>
        <v>0</v>
      </c>
      <c r="B302" s="300"/>
      <c r="C302" s="300"/>
      <c r="D302" s="300"/>
      <c r="E302" s="311">
        <f>+IF(入力表!F$12=0,入力表!B312,入力表!J312)</f>
        <v>0</v>
      </c>
      <c r="F302" s="311"/>
      <c r="G302" s="311"/>
      <c r="H302" s="311" t="str">
        <f>IF(LEN(予定価格!G300)=0,"",IF(AND(LEN(予定価格!G300)=1,LEN(予定価格!H300)=1),0,IF(入力表!$F$439=0,"",入力表!F312)))</f>
        <v/>
      </c>
      <c r="I302" s="311"/>
      <c r="J302" s="312"/>
      <c r="K302" s="334"/>
      <c r="L302" s="335"/>
      <c r="M302" s="335"/>
    </row>
    <row r="303" spans="1:13" ht="18" hidden="1" customHeight="1" x14ac:dyDescent="0.15">
      <c r="A303" s="328">
        <f>+入力表!A313</f>
        <v>0</v>
      </c>
      <c r="B303" s="329"/>
      <c r="C303" s="329"/>
      <c r="D303" s="329"/>
      <c r="E303" s="313">
        <f>SUM(E304:G344)</f>
        <v>0</v>
      </c>
      <c r="F303" s="313"/>
      <c r="G303" s="313"/>
      <c r="H303" s="313" t="str">
        <f>IF(LEN(予定価格!G301)=0,"",IF(AND(LEN(予定価格!G301)=1,LEN(予定価格!H301)=1),0,IF(入力表!$F$439=0,"",入力表!F313)))</f>
        <v/>
      </c>
      <c r="I303" s="313"/>
      <c r="J303" s="314"/>
      <c r="K303" s="334">
        <f>SUM(E304:G344)</f>
        <v>0</v>
      </c>
      <c r="L303" s="335">
        <f>K303*0.08</f>
        <v>0</v>
      </c>
      <c r="M303" s="335">
        <f>K303+L303</f>
        <v>0</v>
      </c>
    </row>
    <row r="304" spans="1:13" ht="18" hidden="1" customHeight="1" x14ac:dyDescent="0.15">
      <c r="A304" s="299">
        <f>+入力表!A314</f>
        <v>0</v>
      </c>
      <c r="B304" s="300"/>
      <c r="C304" s="300"/>
      <c r="D304" s="300"/>
      <c r="E304" s="311">
        <f>+IF(入力表!F$12=0,入力表!B314,入力表!J314)</f>
        <v>0</v>
      </c>
      <c r="F304" s="311"/>
      <c r="G304" s="311"/>
      <c r="H304" s="311" t="str">
        <f>IF(LEN(予定価格!G302)=0,"",IF(AND(LEN(予定価格!G302)=1,LEN(予定価格!H302)=1),0,IF(入力表!$F$439=0,"",入力表!F314)))</f>
        <v/>
      </c>
      <c r="I304" s="311"/>
      <c r="J304" s="312"/>
      <c r="K304" s="334"/>
      <c r="L304" s="335"/>
      <c r="M304" s="335"/>
    </row>
    <row r="305" spans="1:13" ht="18" hidden="1" customHeight="1" x14ac:dyDescent="0.15">
      <c r="A305" s="299">
        <f>+入力表!A315</f>
        <v>0</v>
      </c>
      <c r="B305" s="300"/>
      <c r="C305" s="300"/>
      <c r="D305" s="300"/>
      <c r="E305" s="311">
        <f>+IF(入力表!F$12=0,入力表!B315,入力表!J315)</f>
        <v>0</v>
      </c>
      <c r="F305" s="311"/>
      <c r="G305" s="311"/>
      <c r="H305" s="311" t="str">
        <f>IF(LEN(予定価格!G303)=0,"",IF(AND(LEN(予定価格!G303)=1,LEN(予定価格!H303)=1),0,IF(入力表!$F$439=0,"",入力表!F315)))</f>
        <v/>
      </c>
      <c r="I305" s="311"/>
      <c r="J305" s="312"/>
      <c r="K305" s="334"/>
      <c r="L305" s="335"/>
      <c r="M305" s="335"/>
    </row>
    <row r="306" spans="1:13" ht="18" hidden="1" customHeight="1" x14ac:dyDescent="0.15">
      <c r="A306" s="299">
        <f>+入力表!A316</f>
        <v>0</v>
      </c>
      <c r="B306" s="300"/>
      <c r="C306" s="300"/>
      <c r="D306" s="300"/>
      <c r="E306" s="311">
        <f>+IF(入力表!F$12=0,入力表!B316,入力表!J316)</f>
        <v>0</v>
      </c>
      <c r="F306" s="311"/>
      <c r="G306" s="311"/>
      <c r="H306" s="311" t="str">
        <f>IF(LEN(予定価格!G304)=0,"",IF(AND(LEN(予定価格!G304)=1,LEN(予定価格!H304)=1),0,IF(入力表!$F$439=0,"",入力表!F316)))</f>
        <v/>
      </c>
      <c r="I306" s="311"/>
      <c r="J306" s="312"/>
      <c r="K306" s="334"/>
      <c r="L306" s="335"/>
      <c r="M306" s="335"/>
    </row>
    <row r="307" spans="1:13" ht="18" hidden="1" customHeight="1" x14ac:dyDescent="0.15">
      <c r="A307" s="299">
        <f>+入力表!A317</f>
        <v>0</v>
      </c>
      <c r="B307" s="300"/>
      <c r="C307" s="300"/>
      <c r="D307" s="300"/>
      <c r="E307" s="311">
        <f>+IF(入力表!F$12=0,入力表!B317,入力表!J317)</f>
        <v>0</v>
      </c>
      <c r="F307" s="311"/>
      <c r="G307" s="311"/>
      <c r="H307" s="311" t="str">
        <f>IF(LEN(予定価格!G305)=0,"",IF(AND(LEN(予定価格!G305)=1,LEN(予定価格!H305)=1),0,IF(入力表!$F$439=0,"",入力表!F317)))</f>
        <v/>
      </c>
      <c r="I307" s="311"/>
      <c r="J307" s="312"/>
      <c r="K307" s="334"/>
      <c r="L307" s="335"/>
      <c r="M307" s="335"/>
    </row>
    <row r="308" spans="1:13" ht="18" hidden="1" customHeight="1" x14ac:dyDescent="0.15">
      <c r="A308" s="299">
        <f>+入力表!A318</f>
        <v>0</v>
      </c>
      <c r="B308" s="300"/>
      <c r="C308" s="300"/>
      <c r="D308" s="300"/>
      <c r="E308" s="311">
        <f>+IF(入力表!F$12=0,入力表!B318,入力表!J318)</f>
        <v>0</v>
      </c>
      <c r="F308" s="311"/>
      <c r="G308" s="311"/>
      <c r="H308" s="311" t="str">
        <f>IF(LEN(予定価格!G306)=0,"",IF(AND(LEN(予定価格!G306)=1,LEN(予定価格!H306)=1),0,IF(入力表!$F$439=0,"",入力表!F318)))</f>
        <v/>
      </c>
      <c r="I308" s="311"/>
      <c r="J308" s="312"/>
      <c r="K308" s="334"/>
      <c r="L308" s="335"/>
      <c r="M308" s="335"/>
    </row>
    <row r="309" spans="1:13" ht="18" hidden="1" customHeight="1" x14ac:dyDescent="0.15">
      <c r="A309" s="299">
        <f>+入力表!A319</f>
        <v>0</v>
      </c>
      <c r="B309" s="300"/>
      <c r="C309" s="300"/>
      <c r="D309" s="300"/>
      <c r="E309" s="311">
        <f>+IF(入力表!F$12=0,入力表!B319,入力表!J319)</f>
        <v>0</v>
      </c>
      <c r="F309" s="311"/>
      <c r="G309" s="311"/>
      <c r="H309" s="311" t="str">
        <f>IF(LEN(予定価格!G307)=0,"",IF(AND(LEN(予定価格!G307)=1,LEN(予定価格!H307)=1),0,IF(入力表!$F$439=0,"",入力表!F319)))</f>
        <v/>
      </c>
      <c r="I309" s="311"/>
      <c r="J309" s="312"/>
      <c r="K309" s="334"/>
      <c r="L309" s="335"/>
      <c r="M309" s="335"/>
    </row>
    <row r="310" spans="1:13" ht="18" hidden="1" customHeight="1" x14ac:dyDescent="0.15">
      <c r="A310" s="299">
        <f>+入力表!A320</f>
        <v>0</v>
      </c>
      <c r="B310" s="300"/>
      <c r="C310" s="300"/>
      <c r="D310" s="300"/>
      <c r="E310" s="311">
        <f>+IF(入力表!F$12=0,入力表!B320,入力表!J320)</f>
        <v>0</v>
      </c>
      <c r="F310" s="311"/>
      <c r="G310" s="311"/>
      <c r="H310" s="311" t="str">
        <f>IF(LEN(予定価格!G308)=0,"",IF(AND(LEN(予定価格!G308)=1,LEN(予定価格!H308)=1),0,IF(入力表!$F$439=0,"",入力表!F320)))</f>
        <v/>
      </c>
      <c r="I310" s="311"/>
      <c r="J310" s="312"/>
      <c r="K310" s="334"/>
      <c r="L310" s="335"/>
      <c r="M310" s="335"/>
    </row>
    <row r="311" spans="1:13" ht="18" hidden="1" customHeight="1" x14ac:dyDescent="0.15">
      <c r="A311" s="299">
        <f>+入力表!A321</f>
        <v>0</v>
      </c>
      <c r="B311" s="300"/>
      <c r="C311" s="300"/>
      <c r="D311" s="300"/>
      <c r="E311" s="311">
        <f>+IF(入力表!F$12=0,入力表!B321,入力表!J321)</f>
        <v>0</v>
      </c>
      <c r="F311" s="311"/>
      <c r="G311" s="311"/>
      <c r="H311" s="311" t="str">
        <f>IF(LEN(予定価格!G309)=0,"",IF(AND(LEN(予定価格!G309)=1,LEN(予定価格!H309)=1),0,IF(入力表!$F$439=0,"",入力表!F321)))</f>
        <v/>
      </c>
      <c r="I311" s="311"/>
      <c r="J311" s="312"/>
      <c r="K311" s="334"/>
      <c r="L311" s="335"/>
      <c r="M311" s="335"/>
    </row>
    <row r="312" spans="1:13" ht="18" hidden="1" customHeight="1" x14ac:dyDescent="0.15">
      <c r="A312" s="299">
        <f>+入力表!A322</f>
        <v>0</v>
      </c>
      <c r="B312" s="300"/>
      <c r="C312" s="300"/>
      <c r="D312" s="300"/>
      <c r="E312" s="311">
        <f>+IF(入力表!F$12=0,入力表!B322,入力表!J322)</f>
        <v>0</v>
      </c>
      <c r="F312" s="311"/>
      <c r="G312" s="311"/>
      <c r="H312" s="311" t="str">
        <f>IF(LEN(予定価格!G310)=0,"",IF(AND(LEN(予定価格!G310)=1,LEN(予定価格!H310)=1),0,IF(入力表!$F$439=0,"",入力表!F322)))</f>
        <v/>
      </c>
      <c r="I312" s="311"/>
      <c r="J312" s="312"/>
      <c r="K312" s="334"/>
      <c r="L312" s="335"/>
      <c r="M312" s="335"/>
    </row>
    <row r="313" spans="1:13" ht="18" hidden="1" customHeight="1" x14ac:dyDescent="0.15">
      <c r="A313" s="299">
        <f>+入力表!A323</f>
        <v>0</v>
      </c>
      <c r="B313" s="300"/>
      <c r="C313" s="300"/>
      <c r="D313" s="300"/>
      <c r="E313" s="311">
        <f>+IF(入力表!F$12=0,入力表!B323,入力表!J323)</f>
        <v>0</v>
      </c>
      <c r="F313" s="311"/>
      <c r="G313" s="311"/>
      <c r="H313" s="311" t="str">
        <f>IF(LEN(予定価格!G311)=0,"",IF(AND(LEN(予定価格!G311)=1,LEN(予定価格!H311)=1),0,IF(入力表!$F$439=0,"",入力表!F323)))</f>
        <v/>
      </c>
      <c r="I313" s="311"/>
      <c r="J313" s="312"/>
      <c r="K313" s="334"/>
      <c r="L313" s="335"/>
      <c r="M313" s="335"/>
    </row>
    <row r="314" spans="1:13" ht="18" hidden="1" customHeight="1" x14ac:dyDescent="0.15">
      <c r="A314" s="299">
        <f>+入力表!A324</f>
        <v>0</v>
      </c>
      <c r="B314" s="300"/>
      <c r="C314" s="300"/>
      <c r="D314" s="300"/>
      <c r="E314" s="311">
        <f>+IF(入力表!F$12=0,入力表!B324,入力表!J324)</f>
        <v>0</v>
      </c>
      <c r="F314" s="311"/>
      <c r="G314" s="311"/>
      <c r="H314" s="311" t="str">
        <f>IF(LEN(予定価格!G312)=0,"",IF(AND(LEN(予定価格!G312)=1,LEN(予定価格!H312)=1),0,IF(入力表!$F$439=0,"",入力表!F324)))</f>
        <v/>
      </c>
      <c r="I314" s="311"/>
      <c r="J314" s="312"/>
      <c r="K314" s="334"/>
      <c r="L314" s="335"/>
      <c r="M314" s="335"/>
    </row>
    <row r="315" spans="1:13" ht="18" hidden="1" customHeight="1" x14ac:dyDescent="0.15">
      <c r="A315" s="299">
        <f>+入力表!A325</f>
        <v>0</v>
      </c>
      <c r="B315" s="300"/>
      <c r="C315" s="300"/>
      <c r="D315" s="300"/>
      <c r="E315" s="311">
        <f>+IF(入力表!F$12=0,入力表!B325,入力表!J325)</f>
        <v>0</v>
      </c>
      <c r="F315" s="311"/>
      <c r="G315" s="311"/>
      <c r="H315" s="311" t="str">
        <f>IF(LEN(予定価格!G313)=0,"",IF(AND(LEN(予定価格!G313)=1,LEN(予定価格!H313)=1),0,IF(入力表!$F$439=0,"",入力表!F325)))</f>
        <v/>
      </c>
      <c r="I315" s="311"/>
      <c r="J315" s="312"/>
      <c r="K315" s="334"/>
      <c r="L315" s="335"/>
      <c r="M315" s="335"/>
    </row>
    <row r="316" spans="1:13" ht="18" hidden="1" customHeight="1" x14ac:dyDescent="0.15">
      <c r="A316" s="299">
        <f>+入力表!A326</f>
        <v>0</v>
      </c>
      <c r="B316" s="300"/>
      <c r="C316" s="300"/>
      <c r="D316" s="300"/>
      <c r="E316" s="311">
        <f>+IF(入力表!F$12=0,入力表!B326,入力表!J326)</f>
        <v>0</v>
      </c>
      <c r="F316" s="311"/>
      <c r="G316" s="311"/>
      <c r="H316" s="311" t="str">
        <f>IF(LEN(予定価格!G314)=0,"",IF(AND(LEN(予定価格!G314)=1,LEN(予定価格!H314)=1),0,IF(入力表!$F$439=0,"",入力表!F326)))</f>
        <v/>
      </c>
      <c r="I316" s="311"/>
      <c r="J316" s="312"/>
      <c r="K316" s="334"/>
      <c r="L316" s="335"/>
      <c r="M316" s="335"/>
    </row>
    <row r="317" spans="1:13" ht="18" hidden="1" customHeight="1" x14ac:dyDescent="0.15">
      <c r="A317" s="299">
        <f>+入力表!A327</f>
        <v>0</v>
      </c>
      <c r="B317" s="300"/>
      <c r="C317" s="300"/>
      <c r="D317" s="300"/>
      <c r="E317" s="311">
        <f>+IF(入力表!F$12=0,入力表!B327,入力表!J327)</f>
        <v>0</v>
      </c>
      <c r="F317" s="311"/>
      <c r="G317" s="311"/>
      <c r="H317" s="311" t="str">
        <f>IF(LEN(予定価格!G315)=0,"",IF(AND(LEN(予定価格!G315)=1,LEN(予定価格!H315)=1),0,IF(入力表!$F$439=0,"",入力表!F327)))</f>
        <v/>
      </c>
      <c r="I317" s="311"/>
      <c r="J317" s="312"/>
      <c r="K317" s="334"/>
      <c r="L317" s="335"/>
      <c r="M317" s="335"/>
    </row>
    <row r="318" spans="1:13" ht="18" hidden="1" customHeight="1" x14ac:dyDescent="0.15">
      <c r="A318" s="299">
        <f>+入力表!A328</f>
        <v>0</v>
      </c>
      <c r="B318" s="300"/>
      <c r="C318" s="300"/>
      <c r="D318" s="300"/>
      <c r="E318" s="311">
        <f>+IF(入力表!F$12=0,入力表!B328,入力表!J328)</f>
        <v>0</v>
      </c>
      <c r="F318" s="311"/>
      <c r="G318" s="311"/>
      <c r="H318" s="311" t="str">
        <f>IF(LEN(予定価格!G316)=0,"",IF(AND(LEN(予定価格!G316)=1,LEN(予定価格!H316)=1),0,IF(入力表!$F$439=0,"",入力表!F328)))</f>
        <v/>
      </c>
      <c r="I318" s="311"/>
      <c r="J318" s="312"/>
      <c r="K318" s="334"/>
      <c r="L318" s="335"/>
      <c r="M318" s="335"/>
    </row>
    <row r="319" spans="1:13" ht="18" hidden="1" customHeight="1" x14ac:dyDescent="0.15">
      <c r="A319" s="299">
        <f>+入力表!A329</f>
        <v>0</v>
      </c>
      <c r="B319" s="300"/>
      <c r="C319" s="300"/>
      <c r="D319" s="300"/>
      <c r="E319" s="311">
        <f>+IF(入力表!F$12=0,入力表!B329,入力表!J329)</f>
        <v>0</v>
      </c>
      <c r="F319" s="311"/>
      <c r="G319" s="311"/>
      <c r="H319" s="311" t="str">
        <f>IF(LEN(予定価格!G317)=0,"",IF(AND(LEN(予定価格!G317)=1,LEN(予定価格!H317)=1),0,IF(入力表!$F$439=0,"",入力表!F329)))</f>
        <v/>
      </c>
      <c r="I319" s="311"/>
      <c r="J319" s="312"/>
      <c r="K319" s="334"/>
      <c r="L319" s="335"/>
      <c r="M319" s="335"/>
    </row>
    <row r="320" spans="1:13" ht="18" hidden="1" customHeight="1" x14ac:dyDescent="0.15">
      <c r="A320" s="299">
        <f>+入力表!A330</f>
        <v>0</v>
      </c>
      <c r="B320" s="300"/>
      <c r="C320" s="300"/>
      <c r="D320" s="300"/>
      <c r="E320" s="311">
        <f>+IF(入力表!F$12=0,入力表!B330,入力表!J330)</f>
        <v>0</v>
      </c>
      <c r="F320" s="311"/>
      <c r="G320" s="311"/>
      <c r="H320" s="311" t="str">
        <f>IF(LEN(予定価格!G318)=0,"",IF(AND(LEN(予定価格!G318)=1,LEN(予定価格!H318)=1),0,IF(入力表!$F$439=0,"",入力表!F330)))</f>
        <v/>
      </c>
      <c r="I320" s="311"/>
      <c r="J320" s="312"/>
      <c r="K320" s="334"/>
      <c r="L320" s="335"/>
      <c r="M320" s="335"/>
    </row>
    <row r="321" spans="1:13" ht="18" hidden="1" customHeight="1" x14ac:dyDescent="0.15">
      <c r="A321" s="299">
        <f>+入力表!A331</f>
        <v>0</v>
      </c>
      <c r="B321" s="300"/>
      <c r="C321" s="300"/>
      <c r="D321" s="300"/>
      <c r="E321" s="311">
        <f>+IF(入力表!F$12=0,入力表!B331,入力表!J331)</f>
        <v>0</v>
      </c>
      <c r="F321" s="311"/>
      <c r="G321" s="311"/>
      <c r="H321" s="311" t="str">
        <f>IF(LEN(予定価格!G319)=0,"",IF(AND(LEN(予定価格!G319)=1,LEN(予定価格!H319)=1),0,IF(入力表!$F$439=0,"",入力表!F331)))</f>
        <v/>
      </c>
      <c r="I321" s="311"/>
      <c r="J321" s="312"/>
      <c r="K321" s="334"/>
      <c r="L321" s="335"/>
      <c r="M321" s="335"/>
    </row>
    <row r="322" spans="1:13" ht="18" hidden="1" customHeight="1" x14ac:dyDescent="0.15">
      <c r="A322" s="299">
        <f>+入力表!A332</f>
        <v>0</v>
      </c>
      <c r="B322" s="300"/>
      <c r="C322" s="300"/>
      <c r="D322" s="300"/>
      <c r="E322" s="311">
        <f>+IF(入力表!F$12=0,入力表!B332,入力表!J332)</f>
        <v>0</v>
      </c>
      <c r="F322" s="311"/>
      <c r="G322" s="311"/>
      <c r="H322" s="311" t="str">
        <f>IF(LEN(予定価格!G320)=0,"",IF(AND(LEN(予定価格!G320)=1,LEN(予定価格!H320)=1),0,IF(入力表!$F$439=0,"",入力表!F332)))</f>
        <v/>
      </c>
      <c r="I322" s="311"/>
      <c r="J322" s="312"/>
      <c r="K322" s="334"/>
      <c r="L322" s="335"/>
      <c r="M322" s="335"/>
    </row>
    <row r="323" spans="1:13" ht="18" hidden="1" customHeight="1" x14ac:dyDescent="0.15">
      <c r="A323" s="299">
        <f>+入力表!A333</f>
        <v>0</v>
      </c>
      <c r="B323" s="300"/>
      <c r="C323" s="300"/>
      <c r="D323" s="300"/>
      <c r="E323" s="311">
        <f>+IF(入力表!F$12=0,入力表!B333,入力表!J333)</f>
        <v>0</v>
      </c>
      <c r="F323" s="311"/>
      <c r="G323" s="311"/>
      <c r="H323" s="311" t="str">
        <f>IF(LEN(予定価格!G321)=0,"",IF(AND(LEN(予定価格!G321)=1,LEN(予定価格!H321)=1),0,IF(入力表!$F$439=0,"",入力表!F333)))</f>
        <v/>
      </c>
      <c r="I323" s="311"/>
      <c r="J323" s="312"/>
      <c r="K323" s="334"/>
      <c r="L323" s="335"/>
      <c r="M323" s="335"/>
    </row>
    <row r="324" spans="1:13" ht="18" hidden="1" customHeight="1" x14ac:dyDescent="0.15">
      <c r="A324" s="299">
        <f>+入力表!A334</f>
        <v>0</v>
      </c>
      <c r="B324" s="300"/>
      <c r="C324" s="300"/>
      <c r="D324" s="300"/>
      <c r="E324" s="311">
        <f>+IF(入力表!F$12=0,入力表!B334,入力表!J334)</f>
        <v>0</v>
      </c>
      <c r="F324" s="311"/>
      <c r="G324" s="311"/>
      <c r="H324" s="311" t="str">
        <f>IF(LEN(予定価格!G322)=0,"",IF(AND(LEN(予定価格!G322)=1,LEN(予定価格!H322)=1),0,IF(入力表!$F$439=0,"",入力表!F334)))</f>
        <v/>
      </c>
      <c r="I324" s="311"/>
      <c r="J324" s="312"/>
      <c r="K324" s="334"/>
      <c r="L324" s="335"/>
      <c r="M324" s="335"/>
    </row>
    <row r="325" spans="1:13" ht="18" hidden="1" customHeight="1" x14ac:dyDescent="0.15">
      <c r="A325" s="299">
        <f>+入力表!A335</f>
        <v>0</v>
      </c>
      <c r="B325" s="300"/>
      <c r="C325" s="300"/>
      <c r="D325" s="300"/>
      <c r="E325" s="311">
        <f>+IF(入力表!F$12=0,入力表!B335,入力表!J335)</f>
        <v>0</v>
      </c>
      <c r="F325" s="311"/>
      <c r="G325" s="311"/>
      <c r="H325" s="311" t="str">
        <f>IF(LEN(予定価格!G323)=0,"",IF(AND(LEN(予定価格!G323)=1,LEN(予定価格!H323)=1),0,IF(入力表!$F$439=0,"",入力表!F335)))</f>
        <v/>
      </c>
      <c r="I325" s="311"/>
      <c r="J325" s="312"/>
      <c r="K325" s="334"/>
      <c r="L325" s="335"/>
      <c r="M325" s="335"/>
    </row>
    <row r="326" spans="1:13" ht="18" hidden="1" customHeight="1" x14ac:dyDescent="0.15">
      <c r="A326" s="299">
        <f>+入力表!A336</f>
        <v>0</v>
      </c>
      <c r="B326" s="300"/>
      <c r="C326" s="300"/>
      <c r="D326" s="300"/>
      <c r="E326" s="311">
        <f>+IF(入力表!F$12=0,入力表!B336,入力表!J336)</f>
        <v>0</v>
      </c>
      <c r="F326" s="311"/>
      <c r="G326" s="311"/>
      <c r="H326" s="311" t="str">
        <f>IF(LEN(予定価格!G324)=0,"",IF(AND(LEN(予定価格!G324)=1,LEN(予定価格!H324)=1),0,IF(入力表!$F$439=0,"",入力表!F336)))</f>
        <v/>
      </c>
      <c r="I326" s="311"/>
      <c r="J326" s="312"/>
      <c r="K326" s="334"/>
      <c r="L326" s="335"/>
      <c r="M326" s="335"/>
    </row>
    <row r="327" spans="1:13" ht="18" hidden="1" customHeight="1" x14ac:dyDescent="0.15">
      <c r="A327" s="299">
        <f>+入力表!A337</f>
        <v>0</v>
      </c>
      <c r="B327" s="300"/>
      <c r="C327" s="300"/>
      <c r="D327" s="300"/>
      <c r="E327" s="311">
        <f>+IF(入力表!F$12=0,入力表!B337,入力表!J337)</f>
        <v>0</v>
      </c>
      <c r="F327" s="311"/>
      <c r="G327" s="311"/>
      <c r="H327" s="311" t="str">
        <f>IF(LEN(予定価格!G325)=0,"",IF(AND(LEN(予定価格!G325)=1,LEN(予定価格!H325)=1),0,IF(入力表!$F$439=0,"",入力表!F337)))</f>
        <v/>
      </c>
      <c r="I327" s="311"/>
      <c r="J327" s="312"/>
      <c r="K327" s="334"/>
      <c r="L327" s="335"/>
      <c r="M327" s="335"/>
    </row>
    <row r="328" spans="1:13" ht="18" hidden="1" customHeight="1" x14ac:dyDescent="0.15">
      <c r="A328" s="299">
        <f>+入力表!A338</f>
        <v>0</v>
      </c>
      <c r="B328" s="300"/>
      <c r="C328" s="300"/>
      <c r="D328" s="300"/>
      <c r="E328" s="311">
        <f>+IF(入力表!F$12=0,入力表!B338,入力表!J338)</f>
        <v>0</v>
      </c>
      <c r="F328" s="311"/>
      <c r="G328" s="311"/>
      <c r="H328" s="311" t="str">
        <f>IF(LEN(予定価格!G326)=0,"",IF(AND(LEN(予定価格!G326)=1,LEN(予定価格!H326)=1),0,IF(入力表!$F$439=0,"",入力表!F338)))</f>
        <v/>
      </c>
      <c r="I328" s="311"/>
      <c r="J328" s="312"/>
      <c r="K328" s="334"/>
      <c r="L328" s="335"/>
      <c r="M328" s="335"/>
    </row>
    <row r="329" spans="1:13" ht="18" hidden="1" customHeight="1" x14ac:dyDescent="0.15">
      <c r="A329" s="299">
        <f>+入力表!A339</f>
        <v>0</v>
      </c>
      <c r="B329" s="300"/>
      <c r="C329" s="300"/>
      <c r="D329" s="300"/>
      <c r="E329" s="311">
        <f>+IF(入力表!F$12=0,入力表!B339,入力表!J339)</f>
        <v>0</v>
      </c>
      <c r="F329" s="311"/>
      <c r="G329" s="311"/>
      <c r="H329" s="311" t="str">
        <f>IF(LEN(予定価格!G327)=0,"",IF(AND(LEN(予定価格!G327)=1,LEN(予定価格!H327)=1),0,IF(入力表!$F$439=0,"",入力表!F339)))</f>
        <v/>
      </c>
      <c r="I329" s="311"/>
      <c r="J329" s="312"/>
      <c r="K329" s="334"/>
      <c r="L329" s="335"/>
      <c r="M329" s="335"/>
    </row>
    <row r="330" spans="1:13" ht="18" hidden="1" customHeight="1" x14ac:dyDescent="0.15">
      <c r="A330" s="299">
        <f>+入力表!A340</f>
        <v>0</v>
      </c>
      <c r="B330" s="300"/>
      <c r="C330" s="300"/>
      <c r="D330" s="300"/>
      <c r="E330" s="311">
        <f>+IF(入力表!F$12=0,入力表!B340,入力表!J340)</f>
        <v>0</v>
      </c>
      <c r="F330" s="311"/>
      <c r="G330" s="311"/>
      <c r="H330" s="311" t="str">
        <f>IF(LEN(予定価格!G328)=0,"",IF(AND(LEN(予定価格!G328)=1,LEN(予定価格!H328)=1),0,IF(入力表!$F$439=0,"",入力表!F340)))</f>
        <v/>
      </c>
      <c r="I330" s="311"/>
      <c r="J330" s="312"/>
      <c r="K330" s="334"/>
      <c r="L330" s="335"/>
      <c r="M330" s="335"/>
    </row>
    <row r="331" spans="1:13" ht="18" hidden="1" customHeight="1" x14ac:dyDescent="0.15">
      <c r="A331" s="299">
        <f>+入力表!A341</f>
        <v>0</v>
      </c>
      <c r="B331" s="300"/>
      <c r="C331" s="300"/>
      <c r="D331" s="300"/>
      <c r="E331" s="311">
        <f>+IF(入力表!F$12=0,入力表!B341,入力表!J341)</f>
        <v>0</v>
      </c>
      <c r="F331" s="311"/>
      <c r="G331" s="311"/>
      <c r="H331" s="311" t="str">
        <f>IF(LEN(予定価格!G329)=0,"",IF(AND(LEN(予定価格!G329)=1,LEN(予定価格!H329)=1),0,IF(入力表!$F$439=0,"",入力表!F341)))</f>
        <v/>
      </c>
      <c r="I331" s="311"/>
      <c r="J331" s="312"/>
      <c r="K331" s="334"/>
      <c r="L331" s="335"/>
      <c r="M331" s="335"/>
    </row>
    <row r="332" spans="1:13" ht="18" hidden="1" customHeight="1" x14ac:dyDescent="0.15">
      <c r="A332" s="299">
        <f>+入力表!A342</f>
        <v>0</v>
      </c>
      <c r="B332" s="300"/>
      <c r="C332" s="300"/>
      <c r="D332" s="300"/>
      <c r="E332" s="311">
        <f>+IF(入力表!F$12=0,入力表!B342,入力表!J342)</f>
        <v>0</v>
      </c>
      <c r="F332" s="311"/>
      <c r="G332" s="311"/>
      <c r="H332" s="311" t="str">
        <f>IF(LEN(予定価格!G330)=0,"",IF(AND(LEN(予定価格!G330)=1,LEN(予定価格!H330)=1),0,IF(入力表!$F$439=0,"",入力表!F342)))</f>
        <v/>
      </c>
      <c r="I332" s="311"/>
      <c r="J332" s="312"/>
      <c r="K332" s="334"/>
      <c r="L332" s="335"/>
      <c r="M332" s="335"/>
    </row>
    <row r="333" spans="1:13" ht="18" hidden="1" customHeight="1" x14ac:dyDescent="0.15">
      <c r="A333" s="299">
        <f>+入力表!A343</f>
        <v>0</v>
      </c>
      <c r="B333" s="300"/>
      <c r="C333" s="300"/>
      <c r="D333" s="300"/>
      <c r="E333" s="311">
        <f>+IF(入力表!F$12=0,入力表!B343,入力表!J343)</f>
        <v>0</v>
      </c>
      <c r="F333" s="311"/>
      <c r="G333" s="311"/>
      <c r="H333" s="311" t="str">
        <f>IF(LEN(予定価格!G331)=0,"",IF(AND(LEN(予定価格!G331)=1,LEN(予定価格!H331)=1),0,IF(入力表!$F$439=0,"",入力表!F343)))</f>
        <v/>
      </c>
      <c r="I333" s="311"/>
      <c r="J333" s="312"/>
      <c r="K333" s="334"/>
      <c r="L333" s="335"/>
      <c r="M333" s="335"/>
    </row>
    <row r="334" spans="1:13" ht="18" hidden="1" customHeight="1" x14ac:dyDescent="0.15">
      <c r="A334" s="299">
        <f>+入力表!A344</f>
        <v>0</v>
      </c>
      <c r="B334" s="300"/>
      <c r="C334" s="300"/>
      <c r="D334" s="300"/>
      <c r="E334" s="311">
        <f>+IF(入力表!F$12=0,入力表!B344,入力表!J344)</f>
        <v>0</v>
      </c>
      <c r="F334" s="311"/>
      <c r="G334" s="311"/>
      <c r="H334" s="311" t="str">
        <f>IF(LEN(予定価格!G332)=0,"",IF(AND(LEN(予定価格!G332)=1,LEN(予定価格!H332)=1),0,IF(入力表!$F$439=0,"",入力表!F344)))</f>
        <v/>
      </c>
      <c r="I334" s="311"/>
      <c r="J334" s="312"/>
      <c r="K334" s="334"/>
      <c r="L334" s="335"/>
      <c r="M334" s="335"/>
    </row>
    <row r="335" spans="1:13" ht="18" hidden="1" customHeight="1" x14ac:dyDescent="0.15">
      <c r="A335" s="299">
        <f>+入力表!A345</f>
        <v>0</v>
      </c>
      <c r="B335" s="300"/>
      <c r="C335" s="300"/>
      <c r="D335" s="300"/>
      <c r="E335" s="311">
        <f>+IF(入力表!F$12=0,入力表!B345,入力表!J345)</f>
        <v>0</v>
      </c>
      <c r="F335" s="311"/>
      <c r="G335" s="311"/>
      <c r="H335" s="311" t="str">
        <f>IF(LEN(予定価格!G333)=0,"",IF(AND(LEN(予定価格!G333)=1,LEN(予定価格!H333)=1),0,IF(入力表!$F$439=0,"",入力表!F345)))</f>
        <v/>
      </c>
      <c r="I335" s="311"/>
      <c r="J335" s="312"/>
      <c r="K335" s="334"/>
      <c r="L335" s="335"/>
      <c r="M335" s="335"/>
    </row>
    <row r="336" spans="1:13" ht="18" hidden="1" customHeight="1" x14ac:dyDescent="0.15">
      <c r="A336" s="299">
        <f>+入力表!A346</f>
        <v>0</v>
      </c>
      <c r="B336" s="300"/>
      <c r="C336" s="300"/>
      <c r="D336" s="300"/>
      <c r="E336" s="311">
        <f>+IF(入力表!F$12=0,入力表!B346,入力表!J346)</f>
        <v>0</v>
      </c>
      <c r="F336" s="311"/>
      <c r="G336" s="311"/>
      <c r="H336" s="311" t="str">
        <f>IF(LEN(予定価格!G334)=0,"",IF(AND(LEN(予定価格!G334)=1,LEN(予定価格!H334)=1),0,IF(入力表!$F$439=0,"",入力表!F346)))</f>
        <v/>
      </c>
      <c r="I336" s="311"/>
      <c r="J336" s="312"/>
      <c r="K336" s="334"/>
      <c r="L336" s="335"/>
      <c r="M336" s="335"/>
    </row>
    <row r="337" spans="1:13" ht="18" hidden="1" customHeight="1" x14ac:dyDescent="0.15">
      <c r="A337" s="299">
        <f>+入力表!A347</f>
        <v>0</v>
      </c>
      <c r="B337" s="300"/>
      <c r="C337" s="300"/>
      <c r="D337" s="300"/>
      <c r="E337" s="311">
        <f>+IF(入力表!F$12=0,入力表!B347,入力表!J347)</f>
        <v>0</v>
      </c>
      <c r="F337" s="311"/>
      <c r="G337" s="311"/>
      <c r="H337" s="311" t="str">
        <f>IF(LEN(予定価格!G335)=0,"",IF(AND(LEN(予定価格!G335)=1,LEN(予定価格!H335)=1),0,IF(入力表!$F$439=0,"",入力表!F347)))</f>
        <v/>
      </c>
      <c r="I337" s="311"/>
      <c r="J337" s="312"/>
      <c r="K337" s="334"/>
      <c r="L337" s="335"/>
      <c r="M337" s="335"/>
    </row>
    <row r="338" spans="1:13" ht="18" hidden="1" customHeight="1" x14ac:dyDescent="0.15">
      <c r="A338" s="299">
        <f>+入力表!A348</f>
        <v>0</v>
      </c>
      <c r="B338" s="300"/>
      <c r="C338" s="300"/>
      <c r="D338" s="300"/>
      <c r="E338" s="311">
        <f>+IF(入力表!F$12=0,入力表!B348,入力表!J348)</f>
        <v>0</v>
      </c>
      <c r="F338" s="311"/>
      <c r="G338" s="311"/>
      <c r="H338" s="311" t="str">
        <f>IF(LEN(予定価格!G336)=0,"",IF(AND(LEN(予定価格!G336)=1,LEN(予定価格!H336)=1),0,IF(入力表!$F$439=0,"",入力表!F348)))</f>
        <v/>
      </c>
      <c r="I338" s="311"/>
      <c r="J338" s="312"/>
      <c r="K338" s="334"/>
      <c r="L338" s="335"/>
      <c r="M338" s="335"/>
    </row>
    <row r="339" spans="1:13" ht="18" hidden="1" customHeight="1" x14ac:dyDescent="0.15">
      <c r="A339" s="299">
        <f>+入力表!A349</f>
        <v>0</v>
      </c>
      <c r="B339" s="300"/>
      <c r="C339" s="300"/>
      <c r="D339" s="300"/>
      <c r="E339" s="311">
        <f>+IF(入力表!F$12=0,入力表!B349,入力表!J349)</f>
        <v>0</v>
      </c>
      <c r="F339" s="311"/>
      <c r="G339" s="311"/>
      <c r="H339" s="311" t="str">
        <f>IF(LEN(予定価格!G337)=0,"",IF(AND(LEN(予定価格!G337)=1,LEN(予定価格!H337)=1),0,IF(入力表!$F$439=0,"",入力表!F349)))</f>
        <v/>
      </c>
      <c r="I339" s="311"/>
      <c r="J339" s="312"/>
      <c r="K339" s="334"/>
      <c r="L339" s="335"/>
      <c r="M339" s="335"/>
    </row>
    <row r="340" spans="1:13" ht="18" hidden="1" customHeight="1" x14ac:dyDescent="0.15">
      <c r="A340" s="299">
        <f>+入力表!A350</f>
        <v>0</v>
      </c>
      <c r="B340" s="300"/>
      <c r="C340" s="300"/>
      <c r="D340" s="300"/>
      <c r="E340" s="311">
        <f>+IF(入力表!F$12=0,入力表!B350,入力表!J350)</f>
        <v>0</v>
      </c>
      <c r="F340" s="311"/>
      <c r="G340" s="311"/>
      <c r="H340" s="311" t="str">
        <f>IF(LEN(予定価格!G338)=0,"",IF(AND(LEN(予定価格!G338)=1,LEN(予定価格!H338)=1),0,IF(入力表!$F$439=0,"",入力表!F350)))</f>
        <v/>
      </c>
      <c r="I340" s="311"/>
      <c r="J340" s="312"/>
      <c r="K340" s="334"/>
      <c r="L340" s="335"/>
      <c r="M340" s="335"/>
    </row>
    <row r="341" spans="1:13" ht="18" hidden="1" customHeight="1" x14ac:dyDescent="0.15">
      <c r="A341" s="299">
        <f>+入力表!A351</f>
        <v>0</v>
      </c>
      <c r="B341" s="300"/>
      <c r="C341" s="300"/>
      <c r="D341" s="300"/>
      <c r="E341" s="311">
        <f>+IF(入力表!F$12=0,入力表!B351,入力表!J351)</f>
        <v>0</v>
      </c>
      <c r="F341" s="311"/>
      <c r="G341" s="311"/>
      <c r="H341" s="311" t="str">
        <f>IF(LEN(予定価格!G339)=0,"",IF(AND(LEN(予定価格!G339)=1,LEN(予定価格!H339)=1),0,IF(入力表!$F$439=0,"",入力表!F351)))</f>
        <v/>
      </c>
      <c r="I341" s="311"/>
      <c r="J341" s="312"/>
      <c r="K341" s="334"/>
      <c r="L341" s="335"/>
      <c r="M341" s="335"/>
    </row>
    <row r="342" spans="1:13" ht="18" hidden="1" customHeight="1" x14ac:dyDescent="0.15">
      <c r="A342" s="299">
        <f>+入力表!A352</f>
        <v>0</v>
      </c>
      <c r="B342" s="300"/>
      <c r="C342" s="300"/>
      <c r="D342" s="300"/>
      <c r="E342" s="311">
        <f>+IF(入力表!F$12=0,入力表!B352,入力表!J352)</f>
        <v>0</v>
      </c>
      <c r="F342" s="311"/>
      <c r="G342" s="311"/>
      <c r="H342" s="311" t="str">
        <f>IF(LEN(予定価格!G340)=0,"",IF(AND(LEN(予定価格!G340)=1,LEN(予定価格!H340)=1),0,IF(入力表!$F$439=0,"",入力表!F352)))</f>
        <v/>
      </c>
      <c r="I342" s="311"/>
      <c r="J342" s="312"/>
      <c r="K342" s="334"/>
      <c r="L342" s="335"/>
      <c r="M342" s="335"/>
    </row>
    <row r="343" spans="1:13" ht="18" hidden="1" customHeight="1" x14ac:dyDescent="0.15">
      <c r="A343" s="299">
        <f>+入力表!A353</f>
        <v>0</v>
      </c>
      <c r="B343" s="300"/>
      <c r="C343" s="300"/>
      <c r="D343" s="300"/>
      <c r="E343" s="311">
        <f>+IF(入力表!F$12=0,入力表!B353,入力表!J353)</f>
        <v>0</v>
      </c>
      <c r="F343" s="311"/>
      <c r="G343" s="311"/>
      <c r="H343" s="311" t="str">
        <f>IF(LEN(予定価格!G341)=0,"",IF(AND(LEN(予定価格!G341)=1,LEN(予定価格!H341)=1),0,IF(入力表!$F$439=0,"",入力表!F353)))</f>
        <v/>
      </c>
      <c r="I343" s="311"/>
      <c r="J343" s="312"/>
      <c r="K343" s="334"/>
      <c r="L343" s="335"/>
      <c r="M343" s="335"/>
    </row>
    <row r="344" spans="1:13" ht="18" hidden="1" customHeight="1" x14ac:dyDescent="0.15">
      <c r="A344" s="299">
        <f>+入力表!A354</f>
        <v>0</v>
      </c>
      <c r="B344" s="300"/>
      <c r="C344" s="300"/>
      <c r="D344" s="300"/>
      <c r="E344" s="311">
        <f>+IF(入力表!F$12=0,入力表!B354,入力表!J354)</f>
        <v>0</v>
      </c>
      <c r="F344" s="311"/>
      <c r="G344" s="311"/>
      <c r="H344" s="311" t="str">
        <f>IF(LEN(予定価格!G342)=0,"",IF(AND(LEN(予定価格!G342)=1,LEN(予定価格!H342)=1),0,IF(入力表!$F$439=0,"",入力表!F354)))</f>
        <v/>
      </c>
      <c r="I344" s="311"/>
      <c r="J344" s="312"/>
      <c r="K344" s="334"/>
      <c r="L344" s="335"/>
      <c r="M344" s="335"/>
    </row>
    <row r="345" spans="1:13" ht="18" hidden="1" customHeight="1" x14ac:dyDescent="0.15">
      <c r="A345" s="328">
        <f>+入力表!A355</f>
        <v>0</v>
      </c>
      <c r="B345" s="329"/>
      <c r="C345" s="329"/>
      <c r="D345" s="329"/>
      <c r="E345" s="313">
        <f>SUM(E346:G386)</f>
        <v>0</v>
      </c>
      <c r="F345" s="313"/>
      <c r="G345" s="313"/>
      <c r="H345" s="313" t="str">
        <f>IF(LEN(予定価格!G343)=0,"",IF(AND(LEN(予定価格!G343)=1,LEN(予定価格!H343)=1),0,IF(入力表!$F$439=0,"",入力表!F355)))</f>
        <v/>
      </c>
      <c r="I345" s="313"/>
      <c r="J345" s="314"/>
      <c r="K345" s="334">
        <f>SUM(E346:G386)</f>
        <v>0</v>
      </c>
      <c r="L345" s="335">
        <f>K345*0.08</f>
        <v>0</v>
      </c>
      <c r="M345" s="335">
        <f>K345+L345</f>
        <v>0</v>
      </c>
    </row>
    <row r="346" spans="1:13" ht="18" hidden="1" customHeight="1" x14ac:dyDescent="0.15">
      <c r="A346" s="299">
        <f>+入力表!A356</f>
        <v>0</v>
      </c>
      <c r="B346" s="300"/>
      <c r="C346" s="300"/>
      <c r="D346" s="300"/>
      <c r="E346" s="311">
        <f>+IF(入力表!F$12=0,入力表!B356,入力表!J356)</f>
        <v>0</v>
      </c>
      <c r="F346" s="311"/>
      <c r="G346" s="311"/>
      <c r="H346" s="311" t="str">
        <f>IF(LEN(予定価格!G344)=0,"",IF(AND(LEN(予定価格!G344)=1,LEN(予定価格!H344)=1),0,IF(入力表!$F$439=0,"",入力表!F356)))</f>
        <v/>
      </c>
      <c r="I346" s="311"/>
      <c r="J346" s="312"/>
      <c r="K346" s="334"/>
      <c r="L346" s="335"/>
      <c r="M346" s="335"/>
    </row>
    <row r="347" spans="1:13" ht="18" hidden="1" customHeight="1" x14ac:dyDescent="0.15">
      <c r="A347" s="299">
        <f>+入力表!A357</f>
        <v>0</v>
      </c>
      <c r="B347" s="300"/>
      <c r="C347" s="300"/>
      <c r="D347" s="300"/>
      <c r="E347" s="311">
        <f>+IF(入力表!F$12=0,入力表!B357,入力表!J357)</f>
        <v>0</v>
      </c>
      <c r="F347" s="311"/>
      <c r="G347" s="311"/>
      <c r="H347" s="311" t="str">
        <f>IF(LEN(予定価格!G345)=0,"",IF(AND(LEN(予定価格!G345)=1,LEN(予定価格!H345)=1),0,IF(入力表!$F$439=0,"",入力表!F357)))</f>
        <v/>
      </c>
      <c r="I347" s="311"/>
      <c r="J347" s="312"/>
      <c r="K347" s="334"/>
      <c r="L347" s="335"/>
      <c r="M347" s="335"/>
    </row>
    <row r="348" spans="1:13" ht="18" hidden="1" customHeight="1" x14ac:dyDescent="0.15">
      <c r="A348" s="299">
        <f>+入力表!A358</f>
        <v>0</v>
      </c>
      <c r="B348" s="300"/>
      <c r="C348" s="300"/>
      <c r="D348" s="300"/>
      <c r="E348" s="311">
        <f>+IF(入力表!F$12=0,入力表!B358,入力表!J358)</f>
        <v>0</v>
      </c>
      <c r="F348" s="311"/>
      <c r="G348" s="311"/>
      <c r="H348" s="311" t="str">
        <f>IF(LEN(予定価格!G346)=0,"",IF(AND(LEN(予定価格!G346)=1,LEN(予定価格!H346)=1),0,IF(入力表!$F$439=0,"",入力表!F358)))</f>
        <v/>
      </c>
      <c r="I348" s="311"/>
      <c r="J348" s="312"/>
      <c r="K348" s="334"/>
      <c r="L348" s="335"/>
      <c r="M348" s="335"/>
    </row>
    <row r="349" spans="1:13" ht="18" hidden="1" customHeight="1" x14ac:dyDescent="0.15">
      <c r="A349" s="299">
        <f>+入力表!A359</f>
        <v>0</v>
      </c>
      <c r="B349" s="300"/>
      <c r="C349" s="300"/>
      <c r="D349" s="300"/>
      <c r="E349" s="311">
        <f>+IF(入力表!F$12=0,入力表!B359,入力表!J359)</f>
        <v>0</v>
      </c>
      <c r="F349" s="311"/>
      <c r="G349" s="311"/>
      <c r="H349" s="311" t="str">
        <f>IF(LEN(予定価格!G347)=0,"",IF(AND(LEN(予定価格!G347)=1,LEN(予定価格!H347)=1),0,IF(入力表!$F$439=0,"",入力表!F359)))</f>
        <v/>
      </c>
      <c r="I349" s="311"/>
      <c r="J349" s="312"/>
      <c r="K349" s="334"/>
      <c r="L349" s="335"/>
      <c r="M349" s="335"/>
    </row>
    <row r="350" spans="1:13" ht="18" hidden="1" customHeight="1" x14ac:dyDescent="0.15">
      <c r="A350" s="299">
        <f>+入力表!A360</f>
        <v>0</v>
      </c>
      <c r="B350" s="300"/>
      <c r="C350" s="300"/>
      <c r="D350" s="300"/>
      <c r="E350" s="311">
        <f>+IF(入力表!F$12=0,入力表!B360,入力表!J360)</f>
        <v>0</v>
      </c>
      <c r="F350" s="311"/>
      <c r="G350" s="311"/>
      <c r="H350" s="311" t="str">
        <f>IF(LEN(予定価格!G348)=0,"",IF(AND(LEN(予定価格!G348)=1,LEN(予定価格!H348)=1),0,IF(入力表!$F$439=0,"",入力表!F360)))</f>
        <v/>
      </c>
      <c r="I350" s="311"/>
      <c r="J350" s="312"/>
      <c r="K350" s="334"/>
      <c r="L350" s="335"/>
      <c r="M350" s="335"/>
    </row>
    <row r="351" spans="1:13" ht="18" hidden="1" customHeight="1" x14ac:dyDescent="0.15">
      <c r="A351" s="299">
        <f>+入力表!A361</f>
        <v>0</v>
      </c>
      <c r="B351" s="300"/>
      <c r="C351" s="300"/>
      <c r="D351" s="300"/>
      <c r="E351" s="311">
        <f>+IF(入力表!F$12=0,入力表!B361,入力表!J361)</f>
        <v>0</v>
      </c>
      <c r="F351" s="311"/>
      <c r="G351" s="311"/>
      <c r="H351" s="311" t="str">
        <f>IF(LEN(予定価格!G349)=0,"",IF(AND(LEN(予定価格!G349)=1,LEN(予定価格!H349)=1),0,IF(入力表!$F$439=0,"",入力表!F361)))</f>
        <v/>
      </c>
      <c r="I351" s="311"/>
      <c r="J351" s="312"/>
      <c r="K351" s="334"/>
      <c r="L351" s="335"/>
      <c r="M351" s="335"/>
    </row>
    <row r="352" spans="1:13" ht="18" hidden="1" customHeight="1" x14ac:dyDescent="0.15">
      <c r="A352" s="299">
        <f>+入力表!A362</f>
        <v>0</v>
      </c>
      <c r="B352" s="300"/>
      <c r="C352" s="300"/>
      <c r="D352" s="300"/>
      <c r="E352" s="311">
        <f>+IF(入力表!F$12=0,入力表!B362,入力表!J362)</f>
        <v>0</v>
      </c>
      <c r="F352" s="311"/>
      <c r="G352" s="311"/>
      <c r="H352" s="311" t="str">
        <f>IF(LEN(予定価格!G350)=0,"",IF(AND(LEN(予定価格!G350)=1,LEN(予定価格!H350)=1),0,IF(入力表!$F$439=0,"",入力表!F362)))</f>
        <v/>
      </c>
      <c r="I352" s="311"/>
      <c r="J352" s="312"/>
      <c r="K352" s="334"/>
      <c r="L352" s="335"/>
      <c r="M352" s="335"/>
    </row>
    <row r="353" spans="1:13" ht="18" hidden="1" customHeight="1" x14ac:dyDescent="0.15">
      <c r="A353" s="299">
        <f>+入力表!A363</f>
        <v>0</v>
      </c>
      <c r="B353" s="300"/>
      <c r="C353" s="300"/>
      <c r="D353" s="300"/>
      <c r="E353" s="311">
        <f>+IF(入力表!F$12=0,入力表!B363,入力表!J363)</f>
        <v>0</v>
      </c>
      <c r="F353" s="311"/>
      <c r="G353" s="311"/>
      <c r="H353" s="311" t="str">
        <f>IF(LEN(予定価格!G351)=0,"",IF(AND(LEN(予定価格!G351)=1,LEN(予定価格!H351)=1),0,IF(入力表!$F$439=0,"",入力表!F363)))</f>
        <v/>
      </c>
      <c r="I353" s="311"/>
      <c r="J353" s="312"/>
      <c r="K353" s="334"/>
      <c r="L353" s="335"/>
      <c r="M353" s="335"/>
    </row>
    <row r="354" spans="1:13" ht="18" hidden="1" customHeight="1" x14ac:dyDescent="0.15">
      <c r="A354" s="299">
        <f>+入力表!A364</f>
        <v>0</v>
      </c>
      <c r="B354" s="300"/>
      <c r="C354" s="300"/>
      <c r="D354" s="300"/>
      <c r="E354" s="311">
        <f>+IF(入力表!F$12=0,入力表!B364,入力表!J364)</f>
        <v>0</v>
      </c>
      <c r="F354" s="311"/>
      <c r="G354" s="311"/>
      <c r="H354" s="311" t="str">
        <f>IF(LEN(予定価格!G352)=0,"",IF(AND(LEN(予定価格!G352)=1,LEN(予定価格!H352)=1),0,IF(入力表!$F$439=0,"",入力表!F364)))</f>
        <v/>
      </c>
      <c r="I354" s="311"/>
      <c r="J354" s="312"/>
      <c r="K354" s="334"/>
      <c r="L354" s="335"/>
      <c r="M354" s="335"/>
    </row>
    <row r="355" spans="1:13" ht="18" hidden="1" customHeight="1" x14ac:dyDescent="0.15">
      <c r="A355" s="299">
        <f>+入力表!A365</f>
        <v>0</v>
      </c>
      <c r="B355" s="300"/>
      <c r="C355" s="300"/>
      <c r="D355" s="300"/>
      <c r="E355" s="311">
        <f>+IF(入力表!F$12=0,入力表!B365,入力表!J365)</f>
        <v>0</v>
      </c>
      <c r="F355" s="311"/>
      <c r="G355" s="311"/>
      <c r="H355" s="311" t="str">
        <f>IF(LEN(予定価格!G353)=0,"",IF(AND(LEN(予定価格!G353)=1,LEN(予定価格!H353)=1),0,IF(入力表!$F$439=0,"",入力表!F365)))</f>
        <v/>
      </c>
      <c r="I355" s="311"/>
      <c r="J355" s="312"/>
      <c r="K355" s="334"/>
      <c r="L355" s="335"/>
      <c r="M355" s="335"/>
    </row>
    <row r="356" spans="1:13" ht="18" hidden="1" customHeight="1" x14ac:dyDescent="0.15">
      <c r="A356" s="299">
        <f>+入力表!A366</f>
        <v>0</v>
      </c>
      <c r="B356" s="300"/>
      <c r="C356" s="300"/>
      <c r="D356" s="300"/>
      <c r="E356" s="311">
        <f>+IF(入力表!F$12=0,入力表!B366,入力表!J366)</f>
        <v>0</v>
      </c>
      <c r="F356" s="311"/>
      <c r="G356" s="311"/>
      <c r="H356" s="311" t="str">
        <f>IF(LEN(予定価格!G354)=0,"",IF(AND(LEN(予定価格!G354)=1,LEN(予定価格!H354)=1),0,IF(入力表!$F$439=0,"",入力表!F366)))</f>
        <v/>
      </c>
      <c r="I356" s="311"/>
      <c r="J356" s="312"/>
      <c r="K356" s="334"/>
      <c r="L356" s="335"/>
      <c r="M356" s="335"/>
    </row>
    <row r="357" spans="1:13" ht="18" hidden="1" customHeight="1" x14ac:dyDescent="0.15">
      <c r="A357" s="299">
        <f>+入力表!A367</f>
        <v>0</v>
      </c>
      <c r="B357" s="300"/>
      <c r="C357" s="300"/>
      <c r="D357" s="300"/>
      <c r="E357" s="311">
        <f>+IF(入力表!F$12=0,入力表!B367,入力表!J367)</f>
        <v>0</v>
      </c>
      <c r="F357" s="311"/>
      <c r="G357" s="311"/>
      <c r="H357" s="311" t="str">
        <f>IF(LEN(予定価格!G355)=0,"",IF(AND(LEN(予定価格!G355)=1,LEN(予定価格!H355)=1),0,IF(入力表!$F$439=0,"",入力表!F367)))</f>
        <v/>
      </c>
      <c r="I357" s="311"/>
      <c r="J357" s="312"/>
      <c r="K357" s="334"/>
      <c r="L357" s="335"/>
      <c r="M357" s="335"/>
    </row>
    <row r="358" spans="1:13" ht="18" hidden="1" customHeight="1" x14ac:dyDescent="0.15">
      <c r="A358" s="299">
        <f>+入力表!A368</f>
        <v>0</v>
      </c>
      <c r="B358" s="300"/>
      <c r="C358" s="300"/>
      <c r="D358" s="300"/>
      <c r="E358" s="311">
        <f>+IF(入力表!F$12=0,入力表!B368,入力表!J368)</f>
        <v>0</v>
      </c>
      <c r="F358" s="311"/>
      <c r="G358" s="311"/>
      <c r="H358" s="311" t="str">
        <f>IF(LEN(予定価格!G356)=0,"",IF(AND(LEN(予定価格!G356)=1,LEN(予定価格!H356)=1),0,IF(入力表!$F$439=0,"",入力表!F368)))</f>
        <v/>
      </c>
      <c r="I358" s="311"/>
      <c r="J358" s="312"/>
      <c r="K358" s="334"/>
      <c r="L358" s="335"/>
      <c r="M358" s="335"/>
    </row>
    <row r="359" spans="1:13" ht="18" hidden="1" customHeight="1" x14ac:dyDescent="0.15">
      <c r="A359" s="299">
        <f>+入力表!A369</f>
        <v>0</v>
      </c>
      <c r="B359" s="300"/>
      <c r="C359" s="300"/>
      <c r="D359" s="300"/>
      <c r="E359" s="311">
        <f>+IF(入力表!F$12=0,入力表!B369,入力表!J369)</f>
        <v>0</v>
      </c>
      <c r="F359" s="311"/>
      <c r="G359" s="311"/>
      <c r="H359" s="311" t="str">
        <f>IF(LEN(予定価格!G357)=0,"",IF(AND(LEN(予定価格!G357)=1,LEN(予定価格!H357)=1),0,IF(入力表!$F$439=0,"",入力表!F369)))</f>
        <v/>
      </c>
      <c r="I359" s="311"/>
      <c r="J359" s="312"/>
      <c r="K359" s="334"/>
      <c r="L359" s="335"/>
      <c r="M359" s="335"/>
    </row>
    <row r="360" spans="1:13" ht="18" hidden="1" customHeight="1" x14ac:dyDescent="0.15">
      <c r="A360" s="299">
        <f>+入力表!A370</f>
        <v>0</v>
      </c>
      <c r="B360" s="300"/>
      <c r="C360" s="300"/>
      <c r="D360" s="300"/>
      <c r="E360" s="311">
        <f>+IF(入力表!F$12=0,入力表!B370,入力表!J370)</f>
        <v>0</v>
      </c>
      <c r="F360" s="311"/>
      <c r="G360" s="311"/>
      <c r="H360" s="311" t="str">
        <f>IF(LEN(予定価格!G358)=0,"",IF(AND(LEN(予定価格!G358)=1,LEN(予定価格!H358)=1),0,IF(入力表!$F$439=0,"",入力表!F370)))</f>
        <v/>
      </c>
      <c r="I360" s="311"/>
      <c r="J360" s="312"/>
      <c r="K360" s="334"/>
      <c r="L360" s="335"/>
      <c r="M360" s="335"/>
    </row>
    <row r="361" spans="1:13" ht="18" hidden="1" customHeight="1" x14ac:dyDescent="0.15">
      <c r="A361" s="299">
        <f>+入力表!A371</f>
        <v>0</v>
      </c>
      <c r="B361" s="300"/>
      <c r="C361" s="300"/>
      <c r="D361" s="300"/>
      <c r="E361" s="311">
        <f>+IF(入力表!F$12=0,入力表!B371,入力表!J371)</f>
        <v>0</v>
      </c>
      <c r="F361" s="311"/>
      <c r="G361" s="311"/>
      <c r="H361" s="311" t="str">
        <f>IF(LEN(予定価格!G359)=0,"",IF(AND(LEN(予定価格!G359)=1,LEN(予定価格!H359)=1),0,IF(入力表!$F$439=0,"",入力表!F371)))</f>
        <v/>
      </c>
      <c r="I361" s="311"/>
      <c r="J361" s="312"/>
      <c r="K361" s="334"/>
      <c r="L361" s="335"/>
      <c r="M361" s="335"/>
    </row>
    <row r="362" spans="1:13" ht="18" hidden="1" customHeight="1" x14ac:dyDescent="0.15">
      <c r="A362" s="299">
        <f>+入力表!A372</f>
        <v>0</v>
      </c>
      <c r="B362" s="300"/>
      <c r="C362" s="300"/>
      <c r="D362" s="300"/>
      <c r="E362" s="311">
        <f>+IF(入力表!F$12=0,入力表!B372,入力表!J372)</f>
        <v>0</v>
      </c>
      <c r="F362" s="311"/>
      <c r="G362" s="311"/>
      <c r="H362" s="311" t="str">
        <f>IF(LEN(予定価格!G360)=0,"",IF(AND(LEN(予定価格!G360)=1,LEN(予定価格!H360)=1),0,IF(入力表!$F$439=0,"",入力表!F372)))</f>
        <v/>
      </c>
      <c r="I362" s="311"/>
      <c r="J362" s="312"/>
      <c r="K362" s="334"/>
      <c r="L362" s="335"/>
      <c r="M362" s="335"/>
    </row>
    <row r="363" spans="1:13" ht="18" hidden="1" customHeight="1" x14ac:dyDescent="0.15">
      <c r="A363" s="299">
        <f>+入力表!A373</f>
        <v>0</v>
      </c>
      <c r="B363" s="300"/>
      <c r="C363" s="300"/>
      <c r="D363" s="300"/>
      <c r="E363" s="311">
        <f>+IF(入力表!F$12=0,入力表!B373,入力表!J373)</f>
        <v>0</v>
      </c>
      <c r="F363" s="311"/>
      <c r="G363" s="311"/>
      <c r="H363" s="311" t="str">
        <f>IF(LEN(予定価格!G361)=0,"",IF(AND(LEN(予定価格!G361)=1,LEN(予定価格!H361)=1),0,IF(入力表!$F$439=0,"",入力表!F373)))</f>
        <v/>
      </c>
      <c r="I363" s="311"/>
      <c r="J363" s="312"/>
      <c r="K363" s="334"/>
      <c r="L363" s="335"/>
      <c r="M363" s="335"/>
    </row>
    <row r="364" spans="1:13" ht="18" hidden="1" customHeight="1" x14ac:dyDescent="0.15">
      <c r="A364" s="299">
        <f>+入力表!A374</f>
        <v>0</v>
      </c>
      <c r="B364" s="300"/>
      <c r="C364" s="300"/>
      <c r="D364" s="300"/>
      <c r="E364" s="311">
        <f>+IF(入力表!F$12=0,入力表!B374,入力表!J374)</f>
        <v>0</v>
      </c>
      <c r="F364" s="311"/>
      <c r="G364" s="311"/>
      <c r="H364" s="311" t="str">
        <f>IF(LEN(予定価格!G362)=0,"",IF(AND(LEN(予定価格!G362)=1,LEN(予定価格!H362)=1),0,IF(入力表!$F$439=0,"",入力表!F374)))</f>
        <v/>
      </c>
      <c r="I364" s="311"/>
      <c r="J364" s="312"/>
      <c r="K364" s="334"/>
      <c r="L364" s="335"/>
      <c r="M364" s="335"/>
    </row>
    <row r="365" spans="1:13" ht="18" hidden="1" customHeight="1" x14ac:dyDescent="0.15">
      <c r="A365" s="299">
        <f>+入力表!A375</f>
        <v>0</v>
      </c>
      <c r="B365" s="300"/>
      <c r="C365" s="300"/>
      <c r="D365" s="300"/>
      <c r="E365" s="311">
        <f>+IF(入力表!F$12=0,入力表!B375,入力表!J375)</f>
        <v>0</v>
      </c>
      <c r="F365" s="311"/>
      <c r="G365" s="311"/>
      <c r="H365" s="311" t="str">
        <f>IF(LEN(予定価格!G363)=0,"",IF(AND(LEN(予定価格!G363)=1,LEN(予定価格!H363)=1),0,IF(入力表!$F$439=0,"",入力表!F375)))</f>
        <v/>
      </c>
      <c r="I365" s="311"/>
      <c r="J365" s="312"/>
      <c r="K365" s="334"/>
      <c r="L365" s="335"/>
      <c r="M365" s="335"/>
    </row>
    <row r="366" spans="1:13" ht="18" hidden="1" customHeight="1" x14ac:dyDescent="0.15">
      <c r="A366" s="299">
        <f>+入力表!A376</f>
        <v>0</v>
      </c>
      <c r="B366" s="300"/>
      <c r="C366" s="300"/>
      <c r="D366" s="300"/>
      <c r="E366" s="311">
        <f>+IF(入力表!F$12=0,入力表!B376,入力表!J376)</f>
        <v>0</v>
      </c>
      <c r="F366" s="311"/>
      <c r="G366" s="311"/>
      <c r="H366" s="311" t="str">
        <f>IF(LEN(予定価格!G364)=0,"",IF(AND(LEN(予定価格!G364)=1,LEN(予定価格!H364)=1),0,IF(入力表!$F$439=0,"",入力表!F376)))</f>
        <v/>
      </c>
      <c r="I366" s="311"/>
      <c r="J366" s="312"/>
      <c r="K366" s="334"/>
      <c r="L366" s="335"/>
      <c r="M366" s="335"/>
    </row>
    <row r="367" spans="1:13" ht="18" hidden="1" customHeight="1" x14ac:dyDescent="0.15">
      <c r="A367" s="299">
        <f>+入力表!A377</f>
        <v>0</v>
      </c>
      <c r="B367" s="300"/>
      <c r="C367" s="300"/>
      <c r="D367" s="300"/>
      <c r="E367" s="311">
        <f>+IF(入力表!F$12=0,入力表!B377,入力表!J377)</f>
        <v>0</v>
      </c>
      <c r="F367" s="311"/>
      <c r="G367" s="311"/>
      <c r="H367" s="311" t="str">
        <f>IF(LEN(予定価格!G365)=0,"",IF(AND(LEN(予定価格!G365)=1,LEN(予定価格!H365)=1),0,IF(入力表!$F$439=0,"",入力表!F377)))</f>
        <v/>
      </c>
      <c r="I367" s="311"/>
      <c r="J367" s="312"/>
      <c r="K367" s="334"/>
      <c r="L367" s="335"/>
      <c r="M367" s="335"/>
    </row>
    <row r="368" spans="1:13" ht="18" hidden="1" customHeight="1" x14ac:dyDescent="0.15">
      <c r="A368" s="299">
        <f>+入力表!A378</f>
        <v>0</v>
      </c>
      <c r="B368" s="300"/>
      <c r="C368" s="300"/>
      <c r="D368" s="300"/>
      <c r="E368" s="311">
        <f>+IF(入力表!F$12=0,入力表!B378,入力表!J378)</f>
        <v>0</v>
      </c>
      <c r="F368" s="311"/>
      <c r="G368" s="311"/>
      <c r="H368" s="311" t="str">
        <f>IF(LEN(予定価格!G366)=0,"",IF(AND(LEN(予定価格!G366)=1,LEN(予定価格!H366)=1),0,IF(入力表!$F$439=0,"",入力表!F378)))</f>
        <v/>
      </c>
      <c r="I368" s="311"/>
      <c r="J368" s="312"/>
      <c r="K368" s="334"/>
      <c r="L368" s="335"/>
      <c r="M368" s="335"/>
    </row>
    <row r="369" spans="1:13" ht="18" hidden="1" customHeight="1" x14ac:dyDescent="0.15">
      <c r="A369" s="299">
        <f>+入力表!A379</f>
        <v>0</v>
      </c>
      <c r="B369" s="300"/>
      <c r="C369" s="300"/>
      <c r="D369" s="300"/>
      <c r="E369" s="311">
        <f>+IF(入力表!F$12=0,入力表!B379,入力表!J379)</f>
        <v>0</v>
      </c>
      <c r="F369" s="311"/>
      <c r="G369" s="311"/>
      <c r="H369" s="311" t="str">
        <f>IF(LEN(予定価格!G367)=0,"",IF(AND(LEN(予定価格!G367)=1,LEN(予定価格!H367)=1),0,IF(入力表!$F$439=0,"",入力表!F379)))</f>
        <v/>
      </c>
      <c r="I369" s="311"/>
      <c r="J369" s="312"/>
      <c r="K369" s="334"/>
      <c r="L369" s="335"/>
      <c r="M369" s="335"/>
    </row>
    <row r="370" spans="1:13" ht="18" hidden="1" customHeight="1" x14ac:dyDescent="0.15">
      <c r="A370" s="299">
        <f>+入力表!A380</f>
        <v>0</v>
      </c>
      <c r="B370" s="300"/>
      <c r="C370" s="300"/>
      <c r="D370" s="300"/>
      <c r="E370" s="311">
        <f>+IF(入力表!F$12=0,入力表!B380,入力表!J380)</f>
        <v>0</v>
      </c>
      <c r="F370" s="311"/>
      <c r="G370" s="311"/>
      <c r="H370" s="311" t="str">
        <f>IF(LEN(予定価格!G368)=0,"",IF(AND(LEN(予定価格!G368)=1,LEN(予定価格!H368)=1),0,IF(入力表!$F$439=0,"",入力表!F380)))</f>
        <v/>
      </c>
      <c r="I370" s="311"/>
      <c r="J370" s="312"/>
      <c r="K370" s="334"/>
      <c r="L370" s="335"/>
      <c r="M370" s="335"/>
    </row>
    <row r="371" spans="1:13" ht="18" hidden="1" customHeight="1" x14ac:dyDescent="0.15">
      <c r="A371" s="299">
        <f>+入力表!A381</f>
        <v>0</v>
      </c>
      <c r="B371" s="300"/>
      <c r="C371" s="300"/>
      <c r="D371" s="300"/>
      <c r="E371" s="311">
        <f>+IF(入力表!F$12=0,入力表!B381,入力表!J381)</f>
        <v>0</v>
      </c>
      <c r="F371" s="311"/>
      <c r="G371" s="311"/>
      <c r="H371" s="311" t="str">
        <f>IF(LEN(予定価格!G369)=0,"",IF(AND(LEN(予定価格!G369)=1,LEN(予定価格!H369)=1),0,IF(入力表!$F$439=0,"",入力表!F381)))</f>
        <v/>
      </c>
      <c r="I371" s="311"/>
      <c r="J371" s="312"/>
      <c r="K371" s="334"/>
      <c r="L371" s="335"/>
      <c r="M371" s="335"/>
    </row>
    <row r="372" spans="1:13" ht="18" hidden="1" customHeight="1" x14ac:dyDescent="0.15">
      <c r="A372" s="299">
        <f>+入力表!A382</f>
        <v>0</v>
      </c>
      <c r="B372" s="300"/>
      <c r="C372" s="300"/>
      <c r="D372" s="300"/>
      <c r="E372" s="311">
        <f>+IF(入力表!F$12=0,入力表!B382,入力表!J382)</f>
        <v>0</v>
      </c>
      <c r="F372" s="311"/>
      <c r="G372" s="311"/>
      <c r="H372" s="311" t="str">
        <f>IF(LEN(予定価格!G370)=0,"",IF(AND(LEN(予定価格!G370)=1,LEN(予定価格!H370)=1),0,IF(入力表!$F$439=0,"",入力表!F382)))</f>
        <v/>
      </c>
      <c r="I372" s="311"/>
      <c r="J372" s="312"/>
      <c r="K372" s="334"/>
      <c r="L372" s="335"/>
      <c r="M372" s="335"/>
    </row>
    <row r="373" spans="1:13" ht="18" hidden="1" customHeight="1" x14ac:dyDescent="0.15">
      <c r="A373" s="299">
        <f>+入力表!A383</f>
        <v>0</v>
      </c>
      <c r="B373" s="300"/>
      <c r="C373" s="300"/>
      <c r="D373" s="300"/>
      <c r="E373" s="311">
        <f>+IF(入力表!F$12=0,入力表!B383,入力表!J383)</f>
        <v>0</v>
      </c>
      <c r="F373" s="311"/>
      <c r="G373" s="311"/>
      <c r="H373" s="311" t="str">
        <f>IF(LEN(予定価格!G371)=0,"",IF(AND(LEN(予定価格!G371)=1,LEN(予定価格!H371)=1),0,IF(入力表!$F$439=0,"",入力表!F383)))</f>
        <v/>
      </c>
      <c r="I373" s="311"/>
      <c r="J373" s="312"/>
      <c r="K373" s="334"/>
      <c r="L373" s="335"/>
      <c r="M373" s="335"/>
    </row>
    <row r="374" spans="1:13" ht="18" hidden="1" customHeight="1" x14ac:dyDescent="0.15">
      <c r="A374" s="299">
        <f>+入力表!A384</f>
        <v>0</v>
      </c>
      <c r="B374" s="300"/>
      <c r="C374" s="300"/>
      <c r="D374" s="300"/>
      <c r="E374" s="311">
        <f>+IF(入力表!F$12=0,入力表!B384,入力表!J384)</f>
        <v>0</v>
      </c>
      <c r="F374" s="311"/>
      <c r="G374" s="311"/>
      <c r="H374" s="311" t="str">
        <f>IF(LEN(予定価格!G372)=0,"",IF(AND(LEN(予定価格!G372)=1,LEN(予定価格!H372)=1),0,IF(入力表!$F$439=0,"",入力表!F384)))</f>
        <v/>
      </c>
      <c r="I374" s="311"/>
      <c r="J374" s="312"/>
      <c r="K374" s="334"/>
      <c r="L374" s="335"/>
      <c r="M374" s="335"/>
    </row>
    <row r="375" spans="1:13" ht="18" hidden="1" customHeight="1" x14ac:dyDescent="0.15">
      <c r="A375" s="299">
        <f>+入力表!A385</f>
        <v>0</v>
      </c>
      <c r="B375" s="300"/>
      <c r="C375" s="300"/>
      <c r="D375" s="300"/>
      <c r="E375" s="311">
        <f>+IF(入力表!F$12=0,入力表!B385,入力表!J385)</f>
        <v>0</v>
      </c>
      <c r="F375" s="311"/>
      <c r="G375" s="311"/>
      <c r="H375" s="311" t="str">
        <f>IF(LEN(予定価格!G373)=0,"",IF(AND(LEN(予定価格!G373)=1,LEN(予定価格!H373)=1),0,IF(入力表!$F$439=0,"",入力表!F385)))</f>
        <v/>
      </c>
      <c r="I375" s="311"/>
      <c r="J375" s="312"/>
      <c r="K375" s="334"/>
      <c r="L375" s="335"/>
      <c r="M375" s="335"/>
    </row>
    <row r="376" spans="1:13" ht="18" hidden="1" customHeight="1" x14ac:dyDescent="0.15">
      <c r="A376" s="299">
        <f>+入力表!A386</f>
        <v>0</v>
      </c>
      <c r="B376" s="300"/>
      <c r="C376" s="300"/>
      <c r="D376" s="300"/>
      <c r="E376" s="311">
        <f>+IF(入力表!F$12=0,入力表!B386,入力表!J386)</f>
        <v>0</v>
      </c>
      <c r="F376" s="311"/>
      <c r="G376" s="311"/>
      <c r="H376" s="311" t="str">
        <f>IF(LEN(予定価格!G374)=0,"",IF(AND(LEN(予定価格!G374)=1,LEN(予定価格!H374)=1),0,IF(入力表!$F$439=0,"",入力表!F386)))</f>
        <v/>
      </c>
      <c r="I376" s="311"/>
      <c r="J376" s="312"/>
      <c r="K376" s="334"/>
      <c r="L376" s="335"/>
      <c r="M376" s="335"/>
    </row>
    <row r="377" spans="1:13" ht="18" hidden="1" customHeight="1" x14ac:dyDescent="0.15">
      <c r="A377" s="299">
        <f>+入力表!A387</f>
        <v>0</v>
      </c>
      <c r="B377" s="300"/>
      <c r="C377" s="300"/>
      <c r="D377" s="300"/>
      <c r="E377" s="311">
        <f>+IF(入力表!F$12=0,入力表!B387,入力表!J387)</f>
        <v>0</v>
      </c>
      <c r="F377" s="311"/>
      <c r="G377" s="311"/>
      <c r="H377" s="311" t="str">
        <f>IF(LEN(予定価格!G375)=0,"",IF(AND(LEN(予定価格!G375)=1,LEN(予定価格!H375)=1),0,IF(入力表!$F$439=0,"",入力表!F387)))</f>
        <v/>
      </c>
      <c r="I377" s="311"/>
      <c r="J377" s="312"/>
      <c r="K377" s="334"/>
      <c r="L377" s="335"/>
      <c r="M377" s="335"/>
    </row>
    <row r="378" spans="1:13" ht="18" hidden="1" customHeight="1" x14ac:dyDescent="0.15">
      <c r="A378" s="299">
        <f>+入力表!A388</f>
        <v>0</v>
      </c>
      <c r="B378" s="300"/>
      <c r="C378" s="300"/>
      <c r="D378" s="300"/>
      <c r="E378" s="311">
        <f>+IF(入力表!F$12=0,入力表!B388,入力表!J388)</f>
        <v>0</v>
      </c>
      <c r="F378" s="311"/>
      <c r="G378" s="311"/>
      <c r="H378" s="311" t="str">
        <f>IF(LEN(予定価格!G376)=0,"",IF(AND(LEN(予定価格!G376)=1,LEN(予定価格!H376)=1),0,IF(入力表!$F$439=0,"",入力表!F388)))</f>
        <v/>
      </c>
      <c r="I378" s="311"/>
      <c r="J378" s="312"/>
      <c r="K378" s="334"/>
      <c r="L378" s="335"/>
      <c r="M378" s="335"/>
    </row>
    <row r="379" spans="1:13" ht="18" hidden="1" customHeight="1" x14ac:dyDescent="0.15">
      <c r="A379" s="299">
        <f>+入力表!A389</f>
        <v>0</v>
      </c>
      <c r="B379" s="300"/>
      <c r="C379" s="300"/>
      <c r="D379" s="300"/>
      <c r="E379" s="311">
        <f>+IF(入力表!F$12=0,入力表!B389,入力表!J389)</f>
        <v>0</v>
      </c>
      <c r="F379" s="311"/>
      <c r="G379" s="311"/>
      <c r="H379" s="311" t="str">
        <f>IF(LEN(予定価格!G377)=0,"",IF(AND(LEN(予定価格!G377)=1,LEN(予定価格!H377)=1),0,IF(入力表!$F$439=0,"",入力表!F389)))</f>
        <v/>
      </c>
      <c r="I379" s="311"/>
      <c r="J379" s="312"/>
      <c r="K379" s="334"/>
      <c r="L379" s="335"/>
      <c r="M379" s="335"/>
    </row>
    <row r="380" spans="1:13" ht="18" hidden="1" customHeight="1" x14ac:dyDescent="0.15">
      <c r="A380" s="299">
        <f>+入力表!A390</f>
        <v>0</v>
      </c>
      <c r="B380" s="300"/>
      <c r="C380" s="300"/>
      <c r="D380" s="300"/>
      <c r="E380" s="311">
        <f>+IF(入力表!F$12=0,入力表!B390,入力表!J390)</f>
        <v>0</v>
      </c>
      <c r="F380" s="311"/>
      <c r="G380" s="311"/>
      <c r="H380" s="311" t="str">
        <f>IF(LEN(予定価格!G378)=0,"",IF(AND(LEN(予定価格!G378)=1,LEN(予定価格!H378)=1),0,IF(入力表!$F$439=0,"",入力表!F390)))</f>
        <v/>
      </c>
      <c r="I380" s="311"/>
      <c r="J380" s="312"/>
      <c r="K380" s="334"/>
      <c r="L380" s="335"/>
      <c r="M380" s="335"/>
    </row>
    <row r="381" spans="1:13" ht="18" hidden="1" customHeight="1" x14ac:dyDescent="0.15">
      <c r="A381" s="299">
        <f>+入力表!A391</f>
        <v>0</v>
      </c>
      <c r="B381" s="300"/>
      <c r="C381" s="300"/>
      <c r="D381" s="300"/>
      <c r="E381" s="311">
        <f>+IF(入力表!F$12=0,入力表!B391,入力表!J391)</f>
        <v>0</v>
      </c>
      <c r="F381" s="311"/>
      <c r="G381" s="311"/>
      <c r="H381" s="311" t="str">
        <f>IF(LEN(予定価格!G379)=0,"",IF(AND(LEN(予定価格!G379)=1,LEN(予定価格!H379)=1),0,IF(入力表!$F$439=0,"",入力表!F391)))</f>
        <v/>
      </c>
      <c r="I381" s="311"/>
      <c r="J381" s="312"/>
      <c r="K381" s="334"/>
      <c r="L381" s="335"/>
      <c r="M381" s="335"/>
    </row>
    <row r="382" spans="1:13" ht="18" hidden="1" customHeight="1" x14ac:dyDescent="0.15">
      <c r="A382" s="299">
        <f>+入力表!A392</f>
        <v>0</v>
      </c>
      <c r="B382" s="300"/>
      <c r="C382" s="300"/>
      <c r="D382" s="300"/>
      <c r="E382" s="311">
        <f>+IF(入力表!F$12=0,入力表!B392,入力表!J392)</f>
        <v>0</v>
      </c>
      <c r="F382" s="311"/>
      <c r="G382" s="311"/>
      <c r="H382" s="311" t="str">
        <f>IF(LEN(予定価格!G380)=0,"",IF(AND(LEN(予定価格!G380)=1,LEN(予定価格!H380)=1),0,IF(入力表!$F$439=0,"",入力表!F392)))</f>
        <v/>
      </c>
      <c r="I382" s="311"/>
      <c r="J382" s="312"/>
      <c r="K382" s="334"/>
      <c r="L382" s="335"/>
      <c r="M382" s="335"/>
    </row>
    <row r="383" spans="1:13" ht="18" hidden="1" customHeight="1" x14ac:dyDescent="0.15">
      <c r="A383" s="299">
        <f>+入力表!A393</f>
        <v>0</v>
      </c>
      <c r="B383" s="300"/>
      <c r="C383" s="300"/>
      <c r="D383" s="300"/>
      <c r="E383" s="311">
        <f>+IF(入力表!F$12=0,入力表!B393,入力表!J393)</f>
        <v>0</v>
      </c>
      <c r="F383" s="311"/>
      <c r="G383" s="311"/>
      <c r="H383" s="311" t="str">
        <f>IF(LEN(予定価格!G381)=0,"",IF(AND(LEN(予定価格!G381)=1,LEN(予定価格!H381)=1),0,IF(入力表!$F$439=0,"",入力表!F393)))</f>
        <v/>
      </c>
      <c r="I383" s="311"/>
      <c r="J383" s="312"/>
      <c r="K383" s="334"/>
      <c r="L383" s="335"/>
      <c r="M383" s="335"/>
    </row>
    <row r="384" spans="1:13" ht="18" hidden="1" customHeight="1" x14ac:dyDescent="0.15">
      <c r="A384" s="299">
        <f>+入力表!A394</f>
        <v>0</v>
      </c>
      <c r="B384" s="300"/>
      <c r="C384" s="300"/>
      <c r="D384" s="300"/>
      <c r="E384" s="311">
        <f>+IF(入力表!F$12=0,入力表!B394,入力表!J394)</f>
        <v>0</v>
      </c>
      <c r="F384" s="311"/>
      <c r="G384" s="311"/>
      <c r="H384" s="311" t="str">
        <f>IF(LEN(予定価格!G382)=0,"",IF(AND(LEN(予定価格!G382)=1,LEN(予定価格!H382)=1),0,IF(入力表!$F$439=0,"",入力表!F394)))</f>
        <v/>
      </c>
      <c r="I384" s="311"/>
      <c r="J384" s="312"/>
      <c r="K384" s="334"/>
      <c r="L384" s="335"/>
      <c r="M384" s="335"/>
    </row>
    <row r="385" spans="1:13" ht="18" hidden="1" customHeight="1" x14ac:dyDescent="0.15">
      <c r="A385" s="299">
        <f>+入力表!A395</f>
        <v>0</v>
      </c>
      <c r="B385" s="300"/>
      <c r="C385" s="300"/>
      <c r="D385" s="300"/>
      <c r="E385" s="311">
        <f>+IF(入力表!F$12=0,入力表!B395,入力表!J395)</f>
        <v>0</v>
      </c>
      <c r="F385" s="311"/>
      <c r="G385" s="311"/>
      <c r="H385" s="311" t="str">
        <f>IF(LEN(予定価格!G383)=0,"",IF(AND(LEN(予定価格!G383)=1,LEN(予定価格!H383)=1),0,IF(入力表!$F$439=0,"",入力表!F395)))</f>
        <v/>
      </c>
      <c r="I385" s="311"/>
      <c r="J385" s="312"/>
      <c r="K385" s="334"/>
      <c r="L385" s="335"/>
      <c r="M385" s="335"/>
    </row>
    <row r="386" spans="1:13" ht="18" hidden="1" customHeight="1" x14ac:dyDescent="0.15">
      <c r="A386" s="299">
        <f>+入力表!A396</f>
        <v>0</v>
      </c>
      <c r="B386" s="300"/>
      <c r="C386" s="300"/>
      <c r="D386" s="300"/>
      <c r="E386" s="311">
        <f>+IF(入力表!F$12=0,入力表!B396,入力表!J396)</f>
        <v>0</v>
      </c>
      <c r="F386" s="311"/>
      <c r="G386" s="311"/>
      <c r="H386" s="311" t="str">
        <f>IF(LEN(予定価格!G384)=0,"",IF(AND(LEN(予定価格!G384)=1,LEN(予定価格!H384)=1),0,IF(入力表!$F$439=0,"",入力表!F396)))</f>
        <v/>
      </c>
      <c r="I386" s="311"/>
      <c r="J386" s="312"/>
      <c r="K386" s="334"/>
      <c r="L386" s="335"/>
      <c r="M386" s="335"/>
    </row>
    <row r="387" spans="1:13" ht="18" hidden="1" customHeight="1" x14ac:dyDescent="0.15">
      <c r="A387" s="328">
        <f>+入力表!A397</f>
        <v>0</v>
      </c>
      <c r="B387" s="329"/>
      <c r="C387" s="329"/>
      <c r="D387" s="329"/>
      <c r="E387" s="313">
        <f>SUM(E388:G428)</f>
        <v>0</v>
      </c>
      <c r="F387" s="313"/>
      <c r="G387" s="313"/>
      <c r="H387" s="313" t="str">
        <f>IF(LEN(予定価格!G385)=0,"",IF(AND(LEN(予定価格!G385)=1,LEN(予定価格!H385)=1),0,IF(入力表!$F$439=0,"",入力表!F397)))</f>
        <v/>
      </c>
      <c r="I387" s="313"/>
      <c r="J387" s="314"/>
      <c r="K387" s="334">
        <f>SUM(E388:G428)</f>
        <v>0</v>
      </c>
      <c r="L387" s="335">
        <f>K387*0.08</f>
        <v>0</v>
      </c>
      <c r="M387" s="335">
        <f>K387+L387</f>
        <v>0</v>
      </c>
    </row>
    <row r="388" spans="1:13" ht="18" hidden="1" customHeight="1" x14ac:dyDescent="0.15">
      <c r="A388" s="299">
        <f>+入力表!A398</f>
        <v>0</v>
      </c>
      <c r="B388" s="300"/>
      <c r="C388" s="300"/>
      <c r="D388" s="300"/>
      <c r="E388" s="311">
        <f>+IF(入力表!F$12=0,入力表!B398,入力表!J398)</f>
        <v>0</v>
      </c>
      <c r="F388" s="311"/>
      <c r="G388" s="311"/>
      <c r="H388" s="311" t="str">
        <f>IF(LEN(予定価格!G386)=0,"",IF(AND(LEN(予定価格!G386)=1,LEN(予定価格!H386)=1),0,IF(入力表!$F$439=0,"",入力表!F398)))</f>
        <v/>
      </c>
      <c r="I388" s="311"/>
      <c r="J388" s="312"/>
      <c r="K388" s="334"/>
      <c r="L388" s="335"/>
      <c r="M388" s="335"/>
    </row>
    <row r="389" spans="1:13" ht="18" hidden="1" customHeight="1" x14ac:dyDescent="0.15">
      <c r="A389" s="299">
        <f>+入力表!A399</f>
        <v>0</v>
      </c>
      <c r="B389" s="300"/>
      <c r="C389" s="300"/>
      <c r="D389" s="300"/>
      <c r="E389" s="311">
        <f>+IF(入力表!F$12=0,入力表!B399,入力表!J399)</f>
        <v>0</v>
      </c>
      <c r="F389" s="311"/>
      <c r="G389" s="311"/>
      <c r="H389" s="311" t="str">
        <f>IF(LEN(予定価格!G387)=0,"",IF(AND(LEN(予定価格!G387)=1,LEN(予定価格!H387)=1),0,IF(入力表!$F$439=0,"",入力表!F399)))</f>
        <v/>
      </c>
      <c r="I389" s="311"/>
      <c r="J389" s="312"/>
      <c r="K389" s="334"/>
      <c r="L389" s="335"/>
      <c r="M389" s="335"/>
    </row>
    <row r="390" spans="1:13" ht="18" hidden="1" customHeight="1" x14ac:dyDescent="0.15">
      <c r="A390" s="299">
        <f>+入力表!A400</f>
        <v>0</v>
      </c>
      <c r="B390" s="300"/>
      <c r="C390" s="300"/>
      <c r="D390" s="300"/>
      <c r="E390" s="311">
        <f>+IF(入力表!F$12=0,入力表!B400,入力表!J400)</f>
        <v>0</v>
      </c>
      <c r="F390" s="311"/>
      <c r="G390" s="311"/>
      <c r="H390" s="311" t="str">
        <f>IF(LEN(予定価格!G388)=0,"",IF(AND(LEN(予定価格!G388)=1,LEN(予定価格!H388)=1),0,IF(入力表!$F$439=0,"",入力表!F400)))</f>
        <v/>
      </c>
      <c r="I390" s="311"/>
      <c r="J390" s="312"/>
      <c r="K390" s="334"/>
      <c r="L390" s="335"/>
      <c r="M390" s="335"/>
    </row>
    <row r="391" spans="1:13" ht="18" hidden="1" customHeight="1" x14ac:dyDescent="0.15">
      <c r="A391" s="299">
        <f>+入力表!A401</f>
        <v>0</v>
      </c>
      <c r="B391" s="300"/>
      <c r="C391" s="300"/>
      <c r="D391" s="300"/>
      <c r="E391" s="311">
        <f>+IF(入力表!F$12=0,入力表!B401,入力表!J401)</f>
        <v>0</v>
      </c>
      <c r="F391" s="311"/>
      <c r="G391" s="311"/>
      <c r="H391" s="311" t="str">
        <f>IF(LEN(予定価格!G389)=0,"",IF(AND(LEN(予定価格!G389)=1,LEN(予定価格!H389)=1),0,IF(入力表!$F$439=0,"",入力表!F401)))</f>
        <v/>
      </c>
      <c r="I391" s="311"/>
      <c r="J391" s="312"/>
      <c r="K391" s="334"/>
      <c r="L391" s="335"/>
      <c r="M391" s="335"/>
    </row>
    <row r="392" spans="1:13" ht="18" hidden="1" customHeight="1" x14ac:dyDescent="0.15">
      <c r="A392" s="299">
        <f>+入力表!A402</f>
        <v>0</v>
      </c>
      <c r="B392" s="300"/>
      <c r="C392" s="300"/>
      <c r="D392" s="300"/>
      <c r="E392" s="311">
        <f>+IF(入力表!F$12=0,入力表!B402,入力表!J402)</f>
        <v>0</v>
      </c>
      <c r="F392" s="311"/>
      <c r="G392" s="311"/>
      <c r="H392" s="311" t="str">
        <f>IF(LEN(予定価格!G390)=0,"",IF(AND(LEN(予定価格!G390)=1,LEN(予定価格!H390)=1),0,IF(入力表!$F$439=0,"",入力表!F402)))</f>
        <v/>
      </c>
      <c r="I392" s="311"/>
      <c r="J392" s="312"/>
      <c r="K392" s="334"/>
      <c r="L392" s="335"/>
      <c r="M392" s="335"/>
    </row>
    <row r="393" spans="1:13" ht="18" hidden="1" customHeight="1" x14ac:dyDescent="0.15">
      <c r="A393" s="299">
        <f>+入力表!A403</f>
        <v>0</v>
      </c>
      <c r="B393" s="300"/>
      <c r="C393" s="300"/>
      <c r="D393" s="300"/>
      <c r="E393" s="311">
        <f>+IF(入力表!F$12=0,入力表!B403,入力表!J403)</f>
        <v>0</v>
      </c>
      <c r="F393" s="311"/>
      <c r="G393" s="311"/>
      <c r="H393" s="311" t="str">
        <f>IF(LEN(予定価格!G391)=0,"",IF(AND(LEN(予定価格!G391)=1,LEN(予定価格!H391)=1),0,IF(入力表!$F$439=0,"",入力表!F403)))</f>
        <v/>
      </c>
      <c r="I393" s="311"/>
      <c r="J393" s="312"/>
      <c r="K393" s="334"/>
      <c r="L393" s="335"/>
      <c r="M393" s="335"/>
    </row>
    <row r="394" spans="1:13" ht="18" hidden="1" customHeight="1" x14ac:dyDescent="0.15">
      <c r="A394" s="299">
        <f>+入力表!A404</f>
        <v>0</v>
      </c>
      <c r="B394" s="300"/>
      <c r="C394" s="300"/>
      <c r="D394" s="300"/>
      <c r="E394" s="311">
        <f>+IF(入力表!F$12=0,入力表!B404,入力表!J404)</f>
        <v>0</v>
      </c>
      <c r="F394" s="311"/>
      <c r="G394" s="311"/>
      <c r="H394" s="311" t="str">
        <f>IF(LEN(予定価格!G392)=0,"",IF(AND(LEN(予定価格!G392)=1,LEN(予定価格!H392)=1),0,IF(入力表!$F$439=0,"",入力表!F404)))</f>
        <v/>
      </c>
      <c r="I394" s="311"/>
      <c r="J394" s="312"/>
      <c r="K394" s="334"/>
      <c r="L394" s="335"/>
      <c r="M394" s="335"/>
    </row>
    <row r="395" spans="1:13" ht="18" hidden="1" customHeight="1" x14ac:dyDescent="0.15">
      <c r="A395" s="299">
        <f>+入力表!A405</f>
        <v>0</v>
      </c>
      <c r="B395" s="300"/>
      <c r="C395" s="300"/>
      <c r="D395" s="300"/>
      <c r="E395" s="311">
        <f>+IF(入力表!F$12=0,入力表!B405,入力表!J405)</f>
        <v>0</v>
      </c>
      <c r="F395" s="311"/>
      <c r="G395" s="311"/>
      <c r="H395" s="311" t="str">
        <f>IF(LEN(予定価格!G393)=0,"",IF(AND(LEN(予定価格!G393)=1,LEN(予定価格!H393)=1),0,IF(入力表!$F$439=0,"",入力表!F405)))</f>
        <v/>
      </c>
      <c r="I395" s="311"/>
      <c r="J395" s="312"/>
      <c r="K395" s="334"/>
      <c r="L395" s="335"/>
      <c r="M395" s="335"/>
    </row>
    <row r="396" spans="1:13" ht="18" hidden="1" customHeight="1" x14ac:dyDescent="0.15">
      <c r="A396" s="299">
        <f>+入力表!A406</f>
        <v>0</v>
      </c>
      <c r="B396" s="300"/>
      <c r="C396" s="300"/>
      <c r="D396" s="300"/>
      <c r="E396" s="311">
        <f>+IF(入力表!F$12=0,入力表!B406,入力表!J406)</f>
        <v>0</v>
      </c>
      <c r="F396" s="311"/>
      <c r="G396" s="311"/>
      <c r="H396" s="311" t="str">
        <f>IF(LEN(予定価格!G394)=0,"",IF(AND(LEN(予定価格!G394)=1,LEN(予定価格!H394)=1),0,IF(入力表!$F$439=0,"",入力表!F406)))</f>
        <v/>
      </c>
      <c r="I396" s="311"/>
      <c r="J396" s="312"/>
      <c r="K396" s="334"/>
      <c r="L396" s="335"/>
      <c r="M396" s="335"/>
    </row>
    <row r="397" spans="1:13" ht="18" hidden="1" customHeight="1" x14ac:dyDescent="0.15">
      <c r="A397" s="299">
        <f>+入力表!A407</f>
        <v>0</v>
      </c>
      <c r="B397" s="300"/>
      <c r="C397" s="300"/>
      <c r="D397" s="300"/>
      <c r="E397" s="311">
        <f>+IF(入力表!F$12=0,入力表!B407,入力表!J407)</f>
        <v>0</v>
      </c>
      <c r="F397" s="311"/>
      <c r="G397" s="311"/>
      <c r="H397" s="311" t="str">
        <f>IF(LEN(予定価格!G395)=0,"",IF(AND(LEN(予定価格!G395)=1,LEN(予定価格!H395)=1),0,IF(入力表!$F$439=0,"",入力表!F407)))</f>
        <v/>
      </c>
      <c r="I397" s="311"/>
      <c r="J397" s="312"/>
      <c r="K397" s="334"/>
      <c r="L397" s="335"/>
      <c r="M397" s="335"/>
    </row>
    <row r="398" spans="1:13" ht="18" hidden="1" customHeight="1" x14ac:dyDescent="0.15">
      <c r="A398" s="299">
        <f>+入力表!A408</f>
        <v>0</v>
      </c>
      <c r="B398" s="300"/>
      <c r="C398" s="300"/>
      <c r="D398" s="300"/>
      <c r="E398" s="311">
        <f>+IF(入力表!F$12=0,入力表!B408,入力表!J408)</f>
        <v>0</v>
      </c>
      <c r="F398" s="311"/>
      <c r="G398" s="311"/>
      <c r="H398" s="311" t="str">
        <f>IF(LEN(予定価格!G396)=0,"",IF(AND(LEN(予定価格!G396)=1,LEN(予定価格!H396)=1),0,IF(入力表!$F$439=0,"",入力表!F408)))</f>
        <v/>
      </c>
      <c r="I398" s="311"/>
      <c r="J398" s="312"/>
      <c r="K398" s="334"/>
      <c r="L398" s="335"/>
      <c r="M398" s="335"/>
    </row>
    <row r="399" spans="1:13" ht="18" hidden="1" customHeight="1" x14ac:dyDescent="0.15">
      <c r="A399" s="299">
        <f>+入力表!A409</f>
        <v>0</v>
      </c>
      <c r="B399" s="300"/>
      <c r="C399" s="300"/>
      <c r="D399" s="300"/>
      <c r="E399" s="311">
        <f>+IF(入力表!F$12=0,入力表!B409,入力表!J409)</f>
        <v>0</v>
      </c>
      <c r="F399" s="311"/>
      <c r="G399" s="311"/>
      <c r="H399" s="311" t="str">
        <f>IF(LEN(予定価格!G397)=0,"",IF(AND(LEN(予定価格!G397)=1,LEN(予定価格!H397)=1),0,IF(入力表!$F$439=0,"",入力表!F409)))</f>
        <v/>
      </c>
      <c r="I399" s="311"/>
      <c r="J399" s="312"/>
      <c r="K399" s="334"/>
      <c r="L399" s="335"/>
      <c r="M399" s="335"/>
    </row>
    <row r="400" spans="1:13" ht="18" hidden="1" customHeight="1" x14ac:dyDescent="0.15">
      <c r="A400" s="299">
        <f>+入力表!A410</f>
        <v>0</v>
      </c>
      <c r="B400" s="300"/>
      <c r="C400" s="300"/>
      <c r="D400" s="300"/>
      <c r="E400" s="311">
        <f>+IF(入力表!F$12=0,入力表!B410,入力表!J410)</f>
        <v>0</v>
      </c>
      <c r="F400" s="311"/>
      <c r="G400" s="311"/>
      <c r="H400" s="311" t="str">
        <f>IF(LEN(予定価格!G398)=0,"",IF(AND(LEN(予定価格!G398)=1,LEN(予定価格!H398)=1),0,IF(入力表!$F$439=0,"",入力表!F410)))</f>
        <v/>
      </c>
      <c r="I400" s="311"/>
      <c r="J400" s="312"/>
      <c r="K400" s="334"/>
      <c r="L400" s="335"/>
      <c r="M400" s="335"/>
    </row>
    <row r="401" spans="1:13" ht="18" hidden="1" customHeight="1" x14ac:dyDescent="0.15">
      <c r="A401" s="299">
        <f>+入力表!A411</f>
        <v>0</v>
      </c>
      <c r="B401" s="300"/>
      <c r="C401" s="300"/>
      <c r="D401" s="300"/>
      <c r="E401" s="311">
        <f>+IF(入力表!F$12=0,入力表!B411,入力表!J411)</f>
        <v>0</v>
      </c>
      <c r="F401" s="311"/>
      <c r="G401" s="311"/>
      <c r="H401" s="311" t="str">
        <f>IF(LEN(予定価格!G399)=0,"",IF(AND(LEN(予定価格!G399)=1,LEN(予定価格!H399)=1),0,IF(入力表!$F$439=0,"",入力表!F411)))</f>
        <v/>
      </c>
      <c r="I401" s="311"/>
      <c r="J401" s="312"/>
      <c r="K401" s="334"/>
      <c r="L401" s="335"/>
      <c r="M401" s="335"/>
    </row>
    <row r="402" spans="1:13" ht="18" hidden="1" customHeight="1" x14ac:dyDescent="0.15">
      <c r="A402" s="299">
        <f>+入力表!A412</f>
        <v>0</v>
      </c>
      <c r="B402" s="300"/>
      <c r="C402" s="300"/>
      <c r="D402" s="300"/>
      <c r="E402" s="311">
        <f>+IF(入力表!F$12=0,入力表!B412,入力表!J412)</f>
        <v>0</v>
      </c>
      <c r="F402" s="311"/>
      <c r="G402" s="311"/>
      <c r="H402" s="311" t="str">
        <f>IF(LEN(予定価格!G400)=0,"",IF(AND(LEN(予定価格!G400)=1,LEN(予定価格!H400)=1),0,IF(入力表!$F$439=0,"",入力表!F412)))</f>
        <v/>
      </c>
      <c r="I402" s="311"/>
      <c r="J402" s="312"/>
      <c r="K402" s="334"/>
      <c r="L402" s="335"/>
      <c r="M402" s="335"/>
    </row>
    <row r="403" spans="1:13" ht="18" hidden="1" customHeight="1" x14ac:dyDescent="0.15">
      <c r="A403" s="299">
        <f>+入力表!A413</f>
        <v>0</v>
      </c>
      <c r="B403" s="300"/>
      <c r="C403" s="300"/>
      <c r="D403" s="300"/>
      <c r="E403" s="311">
        <f>+IF(入力表!F$12=0,入力表!B413,入力表!J413)</f>
        <v>0</v>
      </c>
      <c r="F403" s="311"/>
      <c r="G403" s="311"/>
      <c r="H403" s="311" t="str">
        <f>IF(LEN(予定価格!G401)=0,"",IF(AND(LEN(予定価格!G401)=1,LEN(予定価格!H401)=1),0,IF(入力表!$F$439=0,"",入力表!F413)))</f>
        <v/>
      </c>
      <c r="I403" s="311"/>
      <c r="J403" s="312"/>
      <c r="K403" s="334"/>
      <c r="L403" s="335"/>
      <c r="M403" s="335"/>
    </row>
    <row r="404" spans="1:13" ht="18" hidden="1" customHeight="1" x14ac:dyDescent="0.15">
      <c r="A404" s="299">
        <f>+入力表!A414</f>
        <v>0</v>
      </c>
      <c r="B404" s="300"/>
      <c r="C404" s="300"/>
      <c r="D404" s="300"/>
      <c r="E404" s="311">
        <f>+IF(入力表!F$12=0,入力表!B414,入力表!J414)</f>
        <v>0</v>
      </c>
      <c r="F404" s="311"/>
      <c r="G404" s="311"/>
      <c r="H404" s="311" t="str">
        <f>IF(LEN(予定価格!G402)=0,"",IF(AND(LEN(予定価格!G402)=1,LEN(予定価格!H402)=1),0,IF(入力表!$F$439=0,"",入力表!F414)))</f>
        <v/>
      </c>
      <c r="I404" s="311"/>
      <c r="J404" s="312"/>
      <c r="K404" s="334"/>
      <c r="L404" s="335"/>
      <c r="M404" s="335"/>
    </row>
    <row r="405" spans="1:13" ht="18" hidden="1" customHeight="1" x14ac:dyDescent="0.15">
      <c r="A405" s="299">
        <f>+入力表!A415</f>
        <v>0</v>
      </c>
      <c r="B405" s="300"/>
      <c r="C405" s="300"/>
      <c r="D405" s="300"/>
      <c r="E405" s="311">
        <f>+IF(入力表!F$12=0,入力表!B415,入力表!J415)</f>
        <v>0</v>
      </c>
      <c r="F405" s="311"/>
      <c r="G405" s="311"/>
      <c r="H405" s="311" t="str">
        <f>IF(LEN(予定価格!G403)=0,"",IF(AND(LEN(予定価格!G403)=1,LEN(予定価格!H403)=1),0,IF(入力表!$F$439=0,"",入力表!F415)))</f>
        <v/>
      </c>
      <c r="I405" s="311"/>
      <c r="J405" s="312"/>
      <c r="K405" s="334"/>
      <c r="L405" s="335"/>
      <c r="M405" s="335"/>
    </row>
    <row r="406" spans="1:13" ht="18" hidden="1" customHeight="1" x14ac:dyDescent="0.15">
      <c r="A406" s="299">
        <f>+入力表!A416</f>
        <v>0</v>
      </c>
      <c r="B406" s="300"/>
      <c r="C406" s="300"/>
      <c r="D406" s="300"/>
      <c r="E406" s="311">
        <f>+IF(入力表!F$12=0,入力表!B416,入力表!J416)</f>
        <v>0</v>
      </c>
      <c r="F406" s="311"/>
      <c r="G406" s="311"/>
      <c r="H406" s="311" t="str">
        <f>IF(LEN(予定価格!G404)=0,"",IF(AND(LEN(予定価格!G404)=1,LEN(予定価格!H404)=1),0,IF(入力表!$F$439=0,"",入力表!F416)))</f>
        <v/>
      </c>
      <c r="I406" s="311"/>
      <c r="J406" s="312"/>
      <c r="K406" s="334"/>
      <c r="L406" s="335"/>
      <c r="M406" s="335"/>
    </row>
    <row r="407" spans="1:13" ht="18" hidden="1" customHeight="1" x14ac:dyDescent="0.15">
      <c r="A407" s="299">
        <f>+入力表!A417</f>
        <v>0</v>
      </c>
      <c r="B407" s="300"/>
      <c r="C407" s="300"/>
      <c r="D407" s="300"/>
      <c r="E407" s="311">
        <f>+IF(入力表!F$12=0,入力表!B417,入力表!J417)</f>
        <v>0</v>
      </c>
      <c r="F407" s="311"/>
      <c r="G407" s="311"/>
      <c r="H407" s="311" t="str">
        <f>IF(LEN(予定価格!G405)=0,"",IF(AND(LEN(予定価格!G405)=1,LEN(予定価格!H405)=1),0,IF(入力表!$F$439=0,"",入力表!F417)))</f>
        <v/>
      </c>
      <c r="I407" s="311"/>
      <c r="J407" s="312"/>
      <c r="K407" s="334"/>
      <c r="L407" s="335"/>
      <c r="M407" s="335"/>
    </row>
    <row r="408" spans="1:13" ht="18" hidden="1" customHeight="1" x14ac:dyDescent="0.15">
      <c r="A408" s="299">
        <f>+入力表!A418</f>
        <v>0</v>
      </c>
      <c r="B408" s="300"/>
      <c r="C408" s="300"/>
      <c r="D408" s="300"/>
      <c r="E408" s="311">
        <f>+IF(入力表!F$12=0,入力表!B418,入力表!J418)</f>
        <v>0</v>
      </c>
      <c r="F408" s="311"/>
      <c r="G408" s="311"/>
      <c r="H408" s="311" t="str">
        <f>IF(LEN(予定価格!G406)=0,"",IF(AND(LEN(予定価格!G406)=1,LEN(予定価格!H406)=1),0,IF(入力表!$F$439=0,"",入力表!F418)))</f>
        <v/>
      </c>
      <c r="I408" s="311"/>
      <c r="J408" s="312"/>
      <c r="K408" s="334"/>
      <c r="L408" s="335"/>
      <c r="M408" s="335"/>
    </row>
    <row r="409" spans="1:13" ht="18" hidden="1" customHeight="1" x14ac:dyDescent="0.15">
      <c r="A409" s="299">
        <f>+入力表!A419</f>
        <v>0</v>
      </c>
      <c r="B409" s="300"/>
      <c r="C409" s="300"/>
      <c r="D409" s="300"/>
      <c r="E409" s="311">
        <f>+IF(入力表!F$12=0,入力表!B419,入力表!J419)</f>
        <v>0</v>
      </c>
      <c r="F409" s="311"/>
      <c r="G409" s="311"/>
      <c r="H409" s="311" t="str">
        <f>IF(LEN(予定価格!G407)=0,"",IF(AND(LEN(予定価格!G407)=1,LEN(予定価格!H407)=1),0,IF(入力表!$F$439=0,"",入力表!F419)))</f>
        <v/>
      </c>
      <c r="I409" s="311"/>
      <c r="J409" s="312"/>
      <c r="K409" s="334"/>
      <c r="L409" s="335"/>
      <c r="M409" s="335"/>
    </row>
    <row r="410" spans="1:13" ht="18" hidden="1" customHeight="1" x14ac:dyDescent="0.15">
      <c r="A410" s="299">
        <f>+入力表!A420</f>
        <v>0</v>
      </c>
      <c r="B410" s="300"/>
      <c r="C410" s="300"/>
      <c r="D410" s="300"/>
      <c r="E410" s="311">
        <f>+IF(入力表!F$12=0,入力表!B420,入力表!J420)</f>
        <v>0</v>
      </c>
      <c r="F410" s="311"/>
      <c r="G410" s="311"/>
      <c r="H410" s="311" t="str">
        <f>IF(LEN(予定価格!G408)=0,"",IF(AND(LEN(予定価格!G408)=1,LEN(予定価格!H408)=1),0,IF(入力表!$F$439=0,"",入力表!F420)))</f>
        <v/>
      </c>
      <c r="I410" s="311"/>
      <c r="J410" s="312"/>
      <c r="K410" s="334"/>
      <c r="L410" s="335"/>
      <c r="M410" s="335"/>
    </row>
    <row r="411" spans="1:13" ht="18" hidden="1" customHeight="1" x14ac:dyDescent="0.15">
      <c r="A411" s="299">
        <f>+入力表!A421</f>
        <v>0</v>
      </c>
      <c r="B411" s="300"/>
      <c r="C411" s="300"/>
      <c r="D411" s="300"/>
      <c r="E411" s="311">
        <f>+IF(入力表!F$12=0,入力表!B421,入力表!J421)</f>
        <v>0</v>
      </c>
      <c r="F411" s="311"/>
      <c r="G411" s="311"/>
      <c r="H411" s="311" t="str">
        <f>IF(LEN(予定価格!G409)=0,"",IF(AND(LEN(予定価格!G409)=1,LEN(予定価格!H409)=1),0,IF(入力表!$F$439=0,"",入力表!F421)))</f>
        <v/>
      </c>
      <c r="I411" s="311"/>
      <c r="J411" s="312"/>
      <c r="K411" s="334"/>
      <c r="L411" s="335"/>
      <c r="M411" s="335"/>
    </row>
    <row r="412" spans="1:13" ht="18" hidden="1" customHeight="1" x14ac:dyDescent="0.15">
      <c r="A412" s="299">
        <f>+入力表!A422</f>
        <v>0</v>
      </c>
      <c r="B412" s="300"/>
      <c r="C412" s="300"/>
      <c r="D412" s="300"/>
      <c r="E412" s="311">
        <f>+IF(入力表!F$12=0,入力表!B422,入力表!J422)</f>
        <v>0</v>
      </c>
      <c r="F412" s="311"/>
      <c r="G412" s="311"/>
      <c r="H412" s="311" t="str">
        <f>IF(LEN(予定価格!G410)=0,"",IF(AND(LEN(予定価格!G410)=1,LEN(予定価格!H410)=1),0,IF(入力表!$F$439=0,"",入力表!F422)))</f>
        <v/>
      </c>
      <c r="I412" s="311"/>
      <c r="J412" s="312"/>
      <c r="K412" s="334"/>
      <c r="L412" s="335"/>
      <c r="M412" s="335"/>
    </row>
    <row r="413" spans="1:13" ht="18" hidden="1" customHeight="1" x14ac:dyDescent="0.15">
      <c r="A413" s="299">
        <f>+入力表!A423</f>
        <v>0</v>
      </c>
      <c r="B413" s="300"/>
      <c r="C413" s="300"/>
      <c r="D413" s="300"/>
      <c r="E413" s="311">
        <f>+IF(入力表!F$12=0,入力表!B423,入力表!J423)</f>
        <v>0</v>
      </c>
      <c r="F413" s="311"/>
      <c r="G413" s="311"/>
      <c r="H413" s="311" t="str">
        <f>IF(LEN(予定価格!G411)=0,"",IF(AND(LEN(予定価格!G411)=1,LEN(予定価格!H411)=1),0,IF(入力表!$F$439=0,"",入力表!F423)))</f>
        <v/>
      </c>
      <c r="I413" s="311"/>
      <c r="J413" s="312"/>
      <c r="K413" s="334"/>
      <c r="L413" s="335"/>
      <c r="M413" s="335"/>
    </row>
    <row r="414" spans="1:13" ht="18" hidden="1" customHeight="1" x14ac:dyDescent="0.15">
      <c r="A414" s="299">
        <f>+入力表!A424</f>
        <v>0</v>
      </c>
      <c r="B414" s="300"/>
      <c r="C414" s="300"/>
      <c r="D414" s="300"/>
      <c r="E414" s="311">
        <f>+IF(入力表!F$12=0,入力表!B424,入力表!J424)</f>
        <v>0</v>
      </c>
      <c r="F414" s="311"/>
      <c r="G414" s="311"/>
      <c r="H414" s="311" t="str">
        <f>IF(LEN(予定価格!G412)=0,"",IF(AND(LEN(予定価格!G412)=1,LEN(予定価格!H412)=1),0,IF(入力表!$F$439=0,"",入力表!F424)))</f>
        <v/>
      </c>
      <c r="I414" s="311"/>
      <c r="J414" s="312"/>
      <c r="K414" s="334"/>
      <c r="L414" s="335"/>
      <c r="M414" s="335"/>
    </row>
    <row r="415" spans="1:13" ht="18" hidden="1" customHeight="1" x14ac:dyDescent="0.15">
      <c r="A415" s="299">
        <f>+入力表!A425</f>
        <v>0</v>
      </c>
      <c r="B415" s="300"/>
      <c r="C415" s="300"/>
      <c r="D415" s="300"/>
      <c r="E415" s="311">
        <f>+IF(入力表!F$12=0,入力表!B425,入力表!J425)</f>
        <v>0</v>
      </c>
      <c r="F415" s="311"/>
      <c r="G415" s="311"/>
      <c r="H415" s="311" t="str">
        <f>IF(LEN(予定価格!G413)=0,"",IF(AND(LEN(予定価格!G413)=1,LEN(予定価格!H413)=1),0,IF(入力表!$F$439=0,"",入力表!F425)))</f>
        <v/>
      </c>
      <c r="I415" s="311"/>
      <c r="J415" s="312"/>
      <c r="K415" s="334"/>
      <c r="L415" s="335"/>
      <c r="M415" s="335"/>
    </row>
    <row r="416" spans="1:13" ht="18" hidden="1" customHeight="1" x14ac:dyDescent="0.15">
      <c r="A416" s="299">
        <f>+入力表!A426</f>
        <v>0</v>
      </c>
      <c r="B416" s="300"/>
      <c r="C416" s="300"/>
      <c r="D416" s="300"/>
      <c r="E416" s="311">
        <f>+IF(入力表!F$12=0,入力表!B426,入力表!J426)</f>
        <v>0</v>
      </c>
      <c r="F416" s="311"/>
      <c r="G416" s="311"/>
      <c r="H416" s="311" t="str">
        <f>IF(LEN(予定価格!G414)=0,"",IF(AND(LEN(予定価格!G414)=1,LEN(予定価格!H414)=1),0,IF(入力表!$F$439=0,"",入力表!F426)))</f>
        <v/>
      </c>
      <c r="I416" s="311"/>
      <c r="J416" s="312"/>
      <c r="K416" s="334"/>
      <c r="L416" s="335"/>
      <c r="M416" s="335"/>
    </row>
    <row r="417" spans="1:13" ht="18" hidden="1" customHeight="1" x14ac:dyDescent="0.15">
      <c r="A417" s="299">
        <f>+入力表!A427</f>
        <v>0</v>
      </c>
      <c r="B417" s="300"/>
      <c r="C417" s="300"/>
      <c r="D417" s="300"/>
      <c r="E417" s="311">
        <f>+IF(入力表!F$12=0,入力表!B427,入力表!J427)</f>
        <v>0</v>
      </c>
      <c r="F417" s="311"/>
      <c r="G417" s="311"/>
      <c r="H417" s="311" t="str">
        <f>IF(LEN(予定価格!G415)=0,"",IF(AND(LEN(予定価格!G415)=1,LEN(予定価格!H415)=1),0,IF(入力表!$F$439=0,"",入力表!F427)))</f>
        <v/>
      </c>
      <c r="I417" s="311"/>
      <c r="J417" s="312"/>
      <c r="K417" s="334"/>
      <c r="L417" s="335"/>
      <c r="M417" s="335"/>
    </row>
    <row r="418" spans="1:13" ht="18" hidden="1" customHeight="1" x14ac:dyDescent="0.15">
      <c r="A418" s="299">
        <f>+入力表!A428</f>
        <v>0</v>
      </c>
      <c r="B418" s="300"/>
      <c r="C418" s="300"/>
      <c r="D418" s="300"/>
      <c r="E418" s="311">
        <f>+IF(入力表!F$12=0,入力表!B428,入力表!J428)</f>
        <v>0</v>
      </c>
      <c r="F418" s="311"/>
      <c r="G418" s="311"/>
      <c r="H418" s="311" t="str">
        <f>IF(LEN(予定価格!G416)=0,"",IF(AND(LEN(予定価格!G416)=1,LEN(予定価格!H416)=1),0,IF(入力表!$F$439=0,"",入力表!F428)))</f>
        <v/>
      </c>
      <c r="I418" s="311"/>
      <c r="J418" s="312"/>
      <c r="K418" s="334"/>
      <c r="L418" s="335"/>
      <c r="M418" s="335"/>
    </row>
    <row r="419" spans="1:13" ht="18" hidden="1" customHeight="1" x14ac:dyDescent="0.15">
      <c r="A419" s="299">
        <f>+入力表!A429</f>
        <v>0</v>
      </c>
      <c r="B419" s="300"/>
      <c r="C419" s="300"/>
      <c r="D419" s="300"/>
      <c r="E419" s="311">
        <f>+IF(入力表!F$12=0,入力表!B429,入力表!J429)</f>
        <v>0</v>
      </c>
      <c r="F419" s="311"/>
      <c r="G419" s="311"/>
      <c r="H419" s="311" t="str">
        <f>IF(LEN(予定価格!G417)=0,"",IF(AND(LEN(予定価格!G417)=1,LEN(予定価格!H417)=1),0,IF(入力表!$F$439=0,"",入力表!F429)))</f>
        <v/>
      </c>
      <c r="I419" s="311"/>
      <c r="J419" s="312"/>
      <c r="K419" s="334"/>
      <c r="L419" s="335"/>
      <c r="M419" s="335"/>
    </row>
    <row r="420" spans="1:13" ht="18" hidden="1" customHeight="1" x14ac:dyDescent="0.15">
      <c r="A420" s="299">
        <f>+入力表!A430</f>
        <v>0</v>
      </c>
      <c r="B420" s="300"/>
      <c r="C420" s="300"/>
      <c r="D420" s="300"/>
      <c r="E420" s="311">
        <f>+IF(入力表!F$12=0,入力表!B430,入力表!J430)</f>
        <v>0</v>
      </c>
      <c r="F420" s="311"/>
      <c r="G420" s="311"/>
      <c r="H420" s="311" t="str">
        <f>IF(LEN(予定価格!G418)=0,"",IF(AND(LEN(予定価格!G418)=1,LEN(予定価格!H418)=1),0,IF(入力表!$F$439=0,"",入力表!F430)))</f>
        <v/>
      </c>
      <c r="I420" s="311"/>
      <c r="J420" s="312"/>
      <c r="K420" s="334"/>
      <c r="L420" s="335"/>
      <c r="M420" s="335"/>
    </row>
    <row r="421" spans="1:13" ht="18" hidden="1" customHeight="1" x14ac:dyDescent="0.15">
      <c r="A421" s="299">
        <f>+入力表!A431</f>
        <v>0</v>
      </c>
      <c r="B421" s="300"/>
      <c r="C421" s="300"/>
      <c r="D421" s="300"/>
      <c r="E421" s="311">
        <f>+IF(入力表!F$12=0,入力表!B431,入力表!J431)</f>
        <v>0</v>
      </c>
      <c r="F421" s="311"/>
      <c r="G421" s="311"/>
      <c r="H421" s="311" t="str">
        <f>IF(LEN(予定価格!G419)=0,"",IF(AND(LEN(予定価格!G419)=1,LEN(予定価格!H419)=1),0,IF(入力表!$F$439=0,"",入力表!F431)))</f>
        <v/>
      </c>
      <c r="I421" s="311"/>
      <c r="J421" s="312"/>
      <c r="K421" s="334"/>
      <c r="L421" s="335"/>
      <c r="M421" s="335"/>
    </row>
    <row r="422" spans="1:13" ht="18" hidden="1" customHeight="1" x14ac:dyDescent="0.15">
      <c r="A422" s="299">
        <f>+入力表!A432</f>
        <v>0</v>
      </c>
      <c r="B422" s="300"/>
      <c r="C422" s="300"/>
      <c r="D422" s="300"/>
      <c r="E422" s="311">
        <f>+IF(入力表!F$12=0,入力表!B432,入力表!J432)</f>
        <v>0</v>
      </c>
      <c r="F422" s="311"/>
      <c r="G422" s="311"/>
      <c r="H422" s="311" t="str">
        <f>IF(LEN(予定価格!G420)=0,"",IF(AND(LEN(予定価格!G420)=1,LEN(予定価格!H420)=1),0,IF(入力表!$F$439=0,"",入力表!F432)))</f>
        <v/>
      </c>
      <c r="I422" s="311"/>
      <c r="J422" s="312"/>
      <c r="K422" s="334"/>
      <c r="L422" s="335"/>
      <c r="M422" s="335"/>
    </row>
    <row r="423" spans="1:13" ht="18" hidden="1" customHeight="1" x14ac:dyDescent="0.15">
      <c r="A423" s="299">
        <f>+入力表!A433</f>
        <v>0</v>
      </c>
      <c r="B423" s="300"/>
      <c r="C423" s="300"/>
      <c r="D423" s="300"/>
      <c r="E423" s="311">
        <f>+IF(入力表!F$12=0,入力表!B433,入力表!J433)</f>
        <v>0</v>
      </c>
      <c r="F423" s="311"/>
      <c r="G423" s="311"/>
      <c r="H423" s="311" t="str">
        <f>IF(LEN(予定価格!G421)=0,"",IF(AND(LEN(予定価格!G421)=1,LEN(予定価格!H421)=1),0,IF(入力表!$F$439=0,"",入力表!F433)))</f>
        <v/>
      </c>
      <c r="I423" s="311"/>
      <c r="J423" s="312"/>
      <c r="K423" s="334"/>
      <c r="L423" s="335"/>
      <c r="M423" s="335"/>
    </row>
    <row r="424" spans="1:13" ht="18" hidden="1" customHeight="1" x14ac:dyDescent="0.15">
      <c r="A424" s="299">
        <f>+入力表!A434</f>
        <v>0</v>
      </c>
      <c r="B424" s="300"/>
      <c r="C424" s="300"/>
      <c r="D424" s="300"/>
      <c r="E424" s="311">
        <f>+IF(入力表!F$12=0,入力表!B434,入力表!J434)</f>
        <v>0</v>
      </c>
      <c r="F424" s="311"/>
      <c r="G424" s="311"/>
      <c r="H424" s="311" t="str">
        <f>IF(LEN(予定価格!G422)=0,"",IF(AND(LEN(予定価格!G422)=1,LEN(予定価格!H422)=1),0,IF(入力表!$F$439=0,"",入力表!F434)))</f>
        <v/>
      </c>
      <c r="I424" s="311"/>
      <c r="J424" s="312"/>
      <c r="K424" s="334"/>
      <c r="L424" s="335"/>
      <c r="M424" s="335"/>
    </row>
    <row r="425" spans="1:13" ht="18" hidden="1" customHeight="1" x14ac:dyDescent="0.15">
      <c r="A425" s="299">
        <f>+入力表!A435</f>
        <v>0</v>
      </c>
      <c r="B425" s="300"/>
      <c r="C425" s="300"/>
      <c r="D425" s="300"/>
      <c r="E425" s="311">
        <f>+IF(入力表!F$12=0,入力表!B435,入力表!J435)</f>
        <v>0</v>
      </c>
      <c r="F425" s="311"/>
      <c r="G425" s="311"/>
      <c r="H425" s="311" t="str">
        <f>IF(LEN(予定価格!G423)=0,"",IF(AND(LEN(予定価格!G423)=1,LEN(予定価格!H423)=1),0,IF(入力表!$F$439=0,"",入力表!F435)))</f>
        <v/>
      </c>
      <c r="I425" s="311"/>
      <c r="J425" s="312"/>
      <c r="K425" s="334"/>
      <c r="L425" s="335"/>
      <c r="M425" s="335"/>
    </row>
    <row r="426" spans="1:13" ht="18" hidden="1" customHeight="1" x14ac:dyDescent="0.15">
      <c r="A426" s="299">
        <f>+入力表!A436</f>
        <v>0</v>
      </c>
      <c r="B426" s="300"/>
      <c r="C426" s="300"/>
      <c r="D426" s="300"/>
      <c r="E426" s="311">
        <f>+IF(入力表!F$12=0,入力表!B436,入力表!J436)</f>
        <v>0</v>
      </c>
      <c r="F426" s="311"/>
      <c r="G426" s="311"/>
      <c r="H426" s="311" t="str">
        <f>IF(LEN(予定価格!G424)=0,"",IF(AND(LEN(予定価格!G424)=1,LEN(予定価格!H424)=1),0,IF(入力表!$F$439=0,"",入力表!F436)))</f>
        <v/>
      </c>
      <c r="I426" s="311"/>
      <c r="J426" s="312"/>
      <c r="K426" s="334"/>
      <c r="L426" s="335"/>
      <c r="M426" s="335"/>
    </row>
    <row r="427" spans="1:13" ht="18" customHeight="1" x14ac:dyDescent="0.15">
      <c r="A427" s="299">
        <f>+入力表!A437</f>
        <v>0</v>
      </c>
      <c r="B427" s="300"/>
      <c r="C427" s="300"/>
      <c r="D427" s="300"/>
      <c r="E427" s="311">
        <f>+IF(入力表!F$12=0,入力表!B437,入力表!J437)</f>
        <v>0</v>
      </c>
      <c r="F427" s="311"/>
      <c r="G427" s="311"/>
      <c r="H427" s="311" t="str">
        <f>IF(LEN(予定価格!G425)=0,"",IF(AND(LEN(予定価格!G425)=1,LEN(予定価格!H425)=1),0,IF(入力表!$F$439=0,"",入力表!F437)))</f>
        <v/>
      </c>
      <c r="I427" s="311"/>
      <c r="J427" s="312"/>
      <c r="K427" s="334"/>
      <c r="L427" s="335"/>
      <c r="M427" s="335"/>
    </row>
    <row r="428" spans="1:13" ht="18" customHeight="1" x14ac:dyDescent="0.15">
      <c r="A428" s="299">
        <f>+入力表!A438</f>
        <v>0</v>
      </c>
      <c r="B428" s="300"/>
      <c r="C428" s="300"/>
      <c r="D428" s="300"/>
      <c r="E428" s="311">
        <f>+IF(入力表!F$12=0,入力表!B438,入力表!J438)</f>
        <v>0</v>
      </c>
      <c r="F428" s="311"/>
      <c r="G428" s="311"/>
      <c r="H428" s="311" t="str">
        <f>IF(LEN(予定価格!G426)=0,"",IF(AND(LEN(予定価格!G426)=1,LEN(予定価格!H426)=1),0,IF(入力表!$F$439=0,"",入力表!F438)))</f>
        <v/>
      </c>
      <c r="I428" s="311"/>
      <c r="J428" s="312"/>
      <c r="K428" s="334"/>
      <c r="L428" s="335"/>
      <c r="M428" s="335"/>
    </row>
    <row r="429" spans="1:13" ht="18" customHeight="1" x14ac:dyDescent="0.15">
      <c r="A429" s="290" t="str">
        <f>+入力表!A439</f>
        <v>計</v>
      </c>
      <c r="B429" s="291"/>
      <c r="C429" s="291"/>
      <c r="D429" s="292"/>
      <c r="E429" s="283">
        <f>+IF(入力表!F439=0,入力表!B439,入力表!J439)</f>
        <v>16520000</v>
      </c>
      <c r="F429" s="284"/>
      <c r="G429" s="293"/>
      <c r="H429" s="283" t="str">
        <f>IF(入力表!$F$439=0,"",入力表!F439)</f>
        <v/>
      </c>
      <c r="I429" s="284"/>
      <c r="J429" s="285"/>
      <c r="K429" s="46">
        <f>SUM(K9:K428)</f>
        <v>16520000</v>
      </c>
    </row>
    <row r="430" spans="1:13" ht="18" customHeight="1" x14ac:dyDescent="0.15">
      <c r="A430" s="290">
        <f>+入力表!A440</f>
        <v>0</v>
      </c>
      <c r="B430" s="291"/>
      <c r="C430" s="291"/>
      <c r="D430" s="292"/>
      <c r="E430" s="283">
        <f>+IF(入力表!F440=0,入力表!B440,入力表!J440)</f>
        <v>0</v>
      </c>
      <c r="F430" s="284"/>
      <c r="G430" s="293"/>
      <c r="H430" s="283" t="str">
        <f>IF(入力表!$F$439=0,"",入力表!F440)</f>
        <v/>
      </c>
      <c r="I430" s="284"/>
      <c r="J430" s="285"/>
    </row>
    <row r="431" spans="1:13" ht="18" customHeight="1" x14ac:dyDescent="0.15">
      <c r="A431" s="290" t="str">
        <f>+入力表!A441</f>
        <v>消費税及び地方消費税相当額</v>
      </c>
      <c r="B431" s="291"/>
      <c r="C431" s="291"/>
      <c r="D431" s="292"/>
      <c r="E431" s="283">
        <f>+IF(入力表!F441=0,入力表!B441,入力表!J441)</f>
        <v>1321600</v>
      </c>
      <c r="F431" s="284"/>
      <c r="G431" s="293"/>
      <c r="H431" s="283" t="str">
        <f>IF(入力表!$F$439=0,"",入力表!F441)</f>
        <v/>
      </c>
      <c r="I431" s="284"/>
      <c r="J431" s="285"/>
      <c r="L431" s="68">
        <f>SUM(L9:L428)</f>
        <v>1321600</v>
      </c>
    </row>
    <row r="432" spans="1:13" ht="18" customHeight="1" x14ac:dyDescent="0.15">
      <c r="A432" s="290">
        <f>+入力表!A442</f>
        <v>0</v>
      </c>
      <c r="B432" s="291"/>
      <c r="C432" s="291"/>
      <c r="D432" s="292"/>
      <c r="E432" s="283">
        <f>+IF(入力表!F442=0,入力表!B442,入力表!J442)</f>
        <v>0</v>
      </c>
      <c r="F432" s="284"/>
      <c r="G432" s="293"/>
      <c r="H432" s="283" t="str">
        <f>IF(入力表!$F$439=0,"",入力表!F442)</f>
        <v/>
      </c>
      <c r="I432" s="284"/>
      <c r="J432" s="285"/>
    </row>
    <row r="433" spans="1:13" ht="18" customHeight="1" x14ac:dyDescent="0.15">
      <c r="A433" s="290" t="str">
        <f>+入力表!A443</f>
        <v>合計</v>
      </c>
      <c r="B433" s="291"/>
      <c r="C433" s="291"/>
      <c r="D433" s="292"/>
      <c r="E433" s="280">
        <f>IF(入力表!F12=0,IF(入力表!B12=入力表!B443,入力表!B443,"                   ERR"),IF(入力表!F12=入力表!F443,入力表!F443,"                   ERR"))</f>
        <v>17841600</v>
      </c>
      <c r="F433" s="281"/>
      <c r="G433" s="302"/>
      <c r="H433" s="280" t="str">
        <f>IF(入力表!F12=入力表!F443,IF(入力表!$F$439=0,"",入力表!F443),"             ERR")</f>
        <v/>
      </c>
      <c r="I433" s="281"/>
      <c r="J433" s="282"/>
      <c r="M433" s="69">
        <f>SUM(M9:M428)</f>
        <v>17841600</v>
      </c>
    </row>
    <row r="434" spans="1:13" ht="18" customHeight="1" thickBot="1" x14ac:dyDescent="0.2">
      <c r="A434" s="299">
        <f>+入力表!A444</f>
        <v>0</v>
      </c>
      <c r="B434" s="300"/>
      <c r="C434" s="300"/>
      <c r="D434" s="301"/>
      <c r="E434" s="303"/>
      <c r="F434" s="303"/>
      <c r="G434" s="304"/>
      <c r="H434" s="147"/>
      <c r="I434" s="148"/>
      <c r="J434" s="163"/>
    </row>
    <row r="435" spans="1:13" ht="18" customHeight="1" x14ac:dyDescent="0.15">
      <c r="A435" s="286" t="s">
        <v>15</v>
      </c>
      <c r="B435" s="287"/>
      <c r="C435" s="287"/>
      <c r="D435" s="287"/>
      <c r="E435" s="287"/>
      <c r="F435" s="287"/>
      <c r="G435" s="287"/>
      <c r="H435" s="288"/>
      <c r="I435" s="288"/>
      <c r="J435" s="289"/>
    </row>
    <row r="436" spans="1:13" ht="18" customHeight="1" x14ac:dyDescent="0.15">
      <c r="A436" s="150" t="s">
        <v>112</v>
      </c>
      <c r="B436" s="151" t="str">
        <f>入力表!J6</f>
        <v>水田広起</v>
      </c>
      <c r="C436" s="295" t="s">
        <v>13</v>
      </c>
      <c r="D436" s="295"/>
      <c r="E436" s="152"/>
      <c r="F436" s="153" t="s">
        <v>110</v>
      </c>
      <c r="G436" s="153" t="str">
        <f>入力表!H3</f>
        <v>清家光</v>
      </c>
      <c r="H436" s="297" t="s">
        <v>95</v>
      </c>
      <c r="I436" s="298"/>
      <c r="J436" s="154" t="str">
        <f>入力表!F6</f>
        <v>無し</v>
      </c>
    </row>
    <row r="437" spans="1:13" ht="18" customHeight="1" x14ac:dyDescent="0.15">
      <c r="A437" s="150" t="s">
        <v>11</v>
      </c>
      <c r="B437" s="155">
        <f>IF(入力表!B12=0,0,ROUNDDOWN(入力表!B12/予定価格!B431,4))</f>
        <v>0.73380000000000001</v>
      </c>
      <c r="C437" s="296" t="s">
        <v>94</v>
      </c>
      <c r="D437" s="296"/>
      <c r="E437" s="242" t="str">
        <f>入力表!J5</f>
        <v>2018年5月</v>
      </c>
      <c r="F437" s="153" t="s">
        <v>67</v>
      </c>
      <c r="G437" s="153" t="str">
        <f>入力表!H4</f>
        <v>清家光</v>
      </c>
      <c r="H437" s="295" t="s">
        <v>96</v>
      </c>
      <c r="I437" s="295"/>
      <c r="J437" s="154" t="str">
        <f>入力表!H6</f>
        <v>指名競争</v>
      </c>
    </row>
    <row r="438" spans="1:13" ht="18" customHeight="1" x14ac:dyDescent="0.15">
      <c r="A438" s="150" t="s">
        <v>12</v>
      </c>
      <c r="B438" s="156"/>
      <c r="C438" s="295" t="s">
        <v>159</v>
      </c>
      <c r="D438" s="295"/>
      <c r="E438" s="161" t="str">
        <f>入力表!F9</f>
        <v>無し</v>
      </c>
      <c r="F438" s="153" t="s">
        <v>77</v>
      </c>
      <c r="G438" s="153" t="str">
        <f>入力表!H5</f>
        <v>由肥明子</v>
      </c>
      <c r="H438" s="295" t="s">
        <v>114</v>
      </c>
      <c r="I438" s="295"/>
      <c r="J438" s="154" t="str">
        <f>入力表!F7</f>
        <v>適用外</v>
      </c>
    </row>
    <row r="439" spans="1:13" ht="18" customHeight="1" thickBot="1" x14ac:dyDescent="0.2">
      <c r="A439" s="157" t="s">
        <v>158</v>
      </c>
      <c r="B439" s="158"/>
      <c r="C439" s="294" t="s">
        <v>97</v>
      </c>
      <c r="D439" s="294"/>
      <c r="E439" s="159"/>
      <c r="F439" s="162" t="s">
        <v>241</v>
      </c>
      <c r="G439" s="162" t="str">
        <f>入力表!J7</f>
        <v>D2191005</v>
      </c>
      <c r="H439" s="294" t="s">
        <v>76</v>
      </c>
      <c r="I439" s="294"/>
      <c r="J439" s="160" t="str">
        <f>入力表!F8</f>
        <v>有り</v>
      </c>
    </row>
    <row r="440" spans="1:13" ht="20.100000000000001" customHeight="1" thickBot="1" x14ac:dyDescent="0.2">
      <c r="A440" s="149"/>
      <c r="B440" s="149"/>
      <c r="C440" s="149"/>
      <c r="D440" s="149"/>
      <c r="E440" s="110" t="s">
        <v>98</v>
      </c>
      <c r="F440" s="149"/>
      <c r="G440" s="149"/>
      <c r="H440" s="278" t="s">
        <v>90</v>
      </c>
      <c r="I440" s="279"/>
      <c r="J440" s="169" t="str">
        <f>入力表!F10</f>
        <v>建築設計・監理（一級）</v>
      </c>
    </row>
    <row r="441" spans="1:13" ht="20.100000000000001" customHeight="1" x14ac:dyDescent="0.15">
      <c r="A441" s="76" t="s">
        <v>89</v>
      </c>
      <c r="B441" s="1"/>
      <c r="C441" s="1"/>
      <c r="D441" s="1"/>
      <c r="E441" s="1"/>
      <c r="F441" s="1"/>
      <c r="G441" s="1"/>
      <c r="H441" s="1"/>
      <c r="I441" s="1"/>
      <c r="J441" s="1"/>
    </row>
    <row r="442" spans="1:13" ht="20.100000000000001" customHeight="1" x14ac:dyDescent="0.15">
      <c r="A442" s="75" t="s">
        <v>75</v>
      </c>
      <c r="B442" s="1"/>
      <c r="C442" s="1"/>
      <c r="D442" s="1"/>
      <c r="E442" s="1"/>
      <c r="F442" s="1"/>
      <c r="G442" s="1"/>
      <c r="H442" s="1"/>
      <c r="I442" s="1"/>
      <c r="J442" s="1"/>
    </row>
    <row r="443" spans="1:13" ht="20.100000000000001" customHeight="1" x14ac:dyDescent="0.15">
      <c r="A443" s="1"/>
      <c r="B443" s="1"/>
      <c r="C443" s="1"/>
      <c r="D443" s="1"/>
      <c r="E443" s="1"/>
      <c r="F443" s="1"/>
      <c r="G443" s="1"/>
      <c r="H443" s="1"/>
      <c r="I443" s="1"/>
      <c r="J443" s="1"/>
    </row>
    <row r="444" spans="1:13" ht="20.100000000000001" customHeight="1" x14ac:dyDescent="0.15">
      <c r="A444" s="1"/>
      <c r="B444" s="1"/>
      <c r="C444" s="1"/>
      <c r="D444" s="1"/>
      <c r="E444" s="1"/>
      <c r="F444" s="1"/>
      <c r="G444" s="1"/>
      <c r="H444" s="1"/>
      <c r="I444" s="1"/>
      <c r="J444" s="1"/>
    </row>
    <row r="445" spans="1:13" ht="20.100000000000001" customHeight="1" x14ac:dyDescent="0.15">
      <c r="A445" s="1"/>
      <c r="B445" s="1"/>
      <c r="C445" s="1"/>
      <c r="D445" s="1"/>
      <c r="E445" s="1"/>
      <c r="F445" s="1"/>
      <c r="G445" s="1"/>
      <c r="H445" s="1"/>
      <c r="I445" s="1"/>
      <c r="J445" s="1"/>
    </row>
    <row r="446" spans="1:13" ht="20.100000000000001" customHeight="1" x14ac:dyDescent="0.15">
      <c r="A446" s="1"/>
      <c r="B446" s="1"/>
      <c r="C446" s="1"/>
      <c r="D446" s="1"/>
      <c r="E446" s="1"/>
      <c r="F446" s="1"/>
      <c r="G446" s="1"/>
      <c r="H446" s="1"/>
      <c r="I446" s="1"/>
      <c r="J446" s="1"/>
    </row>
    <row r="447" spans="1:13" ht="20.100000000000001" customHeight="1" x14ac:dyDescent="0.15">
      <c r="A447" s="1"/>
      <c r="B447" s="1"/>
      <c r="C447" s="1"/>
      <c r="D447" s="1"/>
      <c r="E447" s="1"/>
      <c r="F447" s="1"/>
      <c r="G447" s="1"/>
      <c r="H447" s="1"/>
      <c r="I447" s="1"/>
      <c r="J447" s="1"/>
    </row>
    <row r="448" spans="1:13" ht="20.100000000000001" customHeight="1" x14ac:dyDescent="0.15">
      <c r="A448" s="1"/>
      <c r="B448" s="1"/>
      <c r="C448" s="1"/>
      <c r="D448" s="1"/>
      <c r="E448" s="1"/>
      <c r="F448" s="1"/>
      <c r="G448" s="1"/>
      <c r="H448" s="1"/>
      <c r="I448" s="1"/>
      <c r="J448" s="1"/>
    </row>
    <row r="449" spans="1:10" ht="20.100000000000001" customHeight="1" x14ac:dyDescent="0.15">
      <c r="A449" s="1"/>
      <c r="B449" s="1"/>
      <c r="C449" s="1"/>
      <c r="D449" s="1"/>
      <c r="E449" s="1"/>
      <c r="F449" s="1"/>
      <c r="G449" s="1"/>
      <c r="H449" s="1"/>
      <c r="I449" s="1"/>
      <c r="J449" s="1"/>
    </row>
    <row r="450" spans="1:10" ht="20.100000000000001" customHeight="1" x14ac:dyDescent="0.15">
      <c r="A450" s="1"/>
      <c r="B450" s="1"/>
      <c r="C450" s="1"/>
      <c r="D450" s="1"/>
      <c r="E450" s="1"/>
      <c r="F450" s="1"/>
      <c r="G450" s="1"/>
      <c r="H450" s="1"/>
      <c r="I450" s="1"/>
      <c r="J450" s="1"/>
    </row>
    <row r="451" spans="1:10" ht="20.100000000000001" customHeight="1" x14ac:dyDescent="0.15">
      <c r="A451" s="1"/>
      <c r="B451" s="1"/>
      <c r="C451" s="1"/>
      <c r="D451" s="1"/>
      <c r="E451" s="1"/>
      <c r="F451" s="1"/>
      <c r="G451" s="1"/>
      <c r="H451" s="1"/>
      <c r="I451" s="1"/>
      <c r="J451" s="1"/>
    </row>
    <row r="452" spans="1:10" ht="20.100000000000001" customHeight="1" x14ac:dyDescent="0.15">
      <c r="A452" s="1"/>
      <c r="B452" s="1"/>
      <c r="C452" s="1"/>
      <c r="D452" s="1"/>
      <c r="E452" s="1"/>
      <c r="F452" s="1"/>
      <c r="G452" s="1"/>
      <c r="H452" s="1"/>
      <c r="I452" s="1"/>
      <c r="J452" s="1"/>
    </row>
    <row r="453" spans="1:10" ht="20.100000000000001" customHeight="1" x14ac:dyDescent="0.15">
      <c r="A453" s="1"/>
      <c r="B453" s="1"/>
      <c r="C453" s="1"/>
      <c r="D453" s="1"/>
      <c r="E453" s="1"/>
      <c r="F453" s="1"/>
      <c r="G453" s="1"/>
      <c r="H453" s="1"/>
      <c r="I453" s="1"/>
      <c r="J453" s="1"/>
    </row>
    <row r="454" spans="1:10" ht="20.100000000000001" customHeight="1" x14ac:dyDescent="0.15"/>
    <row r="455" spans="1:10" ht="20.100000000000001" customHeight="1" x14ac:dyDescent="0.15"/>
    <row r="456" spans="1:10" ht="20.100000000000001" customHeight="1" x14ac:dyDescent="0.15"/>
    <row r="457" spans="1:10" ht="20.100000000000001" customHeight="1" x14ac:dyDescent="0.15"/>
    <row r="458" spans="1:10" ht="20.100000000000001" customHeight="1" x14ac:dyDescent="0.15"/>
  </sheetData>
  <mergeCells count="1332">
    <mergeCell ref="K387:K428"/>
    <mergeCell ref="L387:L428"/>
    <mergeCell ref="M387:M428"/>
    <mergeCell ref="L219:L260"/>
    <mergeCell ref="M219:M260"/>
    <mergeCell ref="K261:K302"/>
    <mergeCell ref="L261:L302"/>
    <mergeCell ref="M261:M302"/>
    <mergeCell ref="K303:K344"/>
    <mergeCell ref="L303:L344"/>
    <mergeCell ref="M303:M344"/>
    <mergeCell ref="K345:K386"/>
    <mergeCell ref="L345:L386"/>
    <mergeCell ref="M345:M386"/>
    <mergeCell ref="H425:J425"/>
    <mergeCell ref="H426:J426"/>
    <mergeCell ref="H427:J427"/>
    <mergeCell ref="H428:J428"/>
    <mergeCell ref="H417:J417"/>
    <mergeCell ref="H418:J418"/>
    <mergeCell ref="H419:J419"/>
    <mergeCell ref="H420:J420"/>
    <mergeCell ref="H421:J421"/>
    <mergeCell ref="H422:J422"/>
    <mergeCell ref="H423:J423"/>
    <mergeCell ref="H424:J424"/>
    <mergeCell ref="H404:J404"/>
    <mergeCell ref="H405:J405"/>
    <mergeCell ref="H406:J406"/>
    <mergeCell ref="H389:J389"/>
    <mergeCell ref="H390:J390"/>
    <mergeCell ref="H391:J391"/>
    <mergeCell ref="K9:K50"/>
    <mergeCell ref="M9:M50"/>
    <mergeCell ref="K51:K92"/>
    <mergeCell ref="M51:M92"/>
    <mergeCell ref="M93:M134"/>
    <mergeCell ref="K93:K134"/>
    <mergeCell ref="K135:K176"/>
    <mergeCell ref="L135:L176"/>
    <mergeCell ref="M135:M176"/>
    <mergeCell ref="L9:L50"/>
    <mergeCell ref="L51:L92"/>
    <mergeCell ref="L93:L134"/>
    <mergeCell ref="K177:K218"/>
    <mergeCell ref="L177:L218"/>
    <mergeCell ref="M177:M218"/>
    <mergeCell ref="K219:K260"/>
    <mergeCell ref="H416:J416"/>
    <mergeCell ref="H407:J407"/>
    <mergeCell ref="H408:J408"/>
    <mergeCell ref="H409:J409"/>
    <mergeCell ref="H410:J410"/>
    <mergeCell ref="H411:J411"/>
    <mergeCell ref="H412:J412"/>
    <mergeCell ref="H413:J413"/>
    <mergeCell ref="H414:J414"/>
    <mergeCell ref="H415:J415"/>
    <mergeCell ref="H398:J398"/>
    <mergeCell ref="H399:J399"/>
    <mergeCell ref="H400:J400"/>
    <mergeCell ref="H401:J401"/>
    <mergeCell ref="H402:J402"/>
    <mergeCell ref="H403:J403"/>
    <mergeCell ref="H392:J392"/>
    <mergeCell ref="H393:J393"/>
    <mergeCell ref="H394:J394"/>
    <mergeCell ref="H395:J395"/>
    <mergeCell ref="H396:J396"/>
    <mergeCell ref="H397:J397"/>
    <mergeCell ref="H380:J380"/>
    <mergeCell ref="H381:J381"/>
    <mergeCell ref="H382:J382"/>
    <mergeCell ref="H383:J383"/>
    <mergeCell ref="H384:J384"/>
    <mergeCell ref="H385:J385"/>
    <mergeCell ref="H386:J386"/>
    <mergeCell ref="H387:J387"/>
    <mergeCell ref="H388:J388"/>
    <mergeCell ref="H371:J371"/>
    <mergeCell ref="H372:J372"/>
    <mergeCell ref="H373:J373"/>
    <mergeCell ref="H374:J374"/>
    <mergeCell ref="H375:J375"/>
    <mergeCell ref="H376:J376"/>
    <mergeCell ref="H377:J377"/>
    <mergeCell ref="H378:J378"/>
    <mergeCell ref="H379:J379"/>
    <mergeCell ref="H362:J362"/>
    <mergeCell ref="H363:J363"/>
    <mergeCell ref="H364:J364"/>
    <mergeCell ref="H365:J365"/>
    <mergeCell ref="H366:J366"/>
    <mergeCell ref="H367:J367"/>
    <mergeCell ref="H368:J368"/>
    <mergeCell ref="H369:J369"/>
    <mergeCell ref="H370:J370"/>
    <mergeCell ref="H353:J353"/>
    <mergeCell ref="H354:J354"/>
    <mergeCell ref="H355:J355"/>
    <mergeCell ref="H356:J356"/>
    <mergeCell ref="H357:J357"/>
    <mergeCell ref="H358:J358"/>
    <mergeCell ref="H359:J359"/>
    <mergeCell ref="H360:J360"/>
    <mergeCell ref="H361:J361"/>
    <mergeCell ref="H344:J344"/>
    <mergeCell ref="H345:J345"/>
    <mergeCell ref="H346:J346"/>
    <mergeCell ref="H347:J347"/>
    <mergeCell ref="H348:J348"/>
    <mergeCell ref="H349:J349"/>
    <mergeCell ref="H350:J350"/>
    <mergeCell ref="H351:J351"/>
    <mergeCell ref="H352:J352"/>
    <mergeCell ref="H335:J335"/>
    <mergeCell ref="H336:J336"/>
    <mergeCell ref="H337:J337"/>
    <mergeCell ref="H338:J338"/>
    <mergeCell ref="H339:J339"/>
    <mergeCell ref="H340:J340"/>
    <mergeCell ref="H341:J341"/>
    <mergeCell ref="H342:J342"/>
    <mergeCell ref="H343:J343"/>
    <mergeCell ref="H326:J326"/>
    <mergeCell ref="H327:J327"/>
    <mergeCell ref="H328:J328"/>
    <mergeCell ref="H329:J329"/>
    <mergeCell ref="H330:J330"/>
    <mergeCell ref="H331:J331"/>
    <mergeCell ref="H332:J332"/>
    <mergeCell ref="H333:J333"/>
    <mergeCell ref="H334:J334"/>
    <mergeCell ref="H317:J317"/>
    <mergeCell ref="H318:J318"/>
    <mergeCell ref="H319:J319"/>
    <mergeCell ref="H320:J320"/>
    <mergeCell ref="H321:J321"/>
    <mergeCell ref="H322:J322"/>
    <mergeCell ref="H323:J323"/>
    <mergeCell ref="H324:J324"/>
    <mergeCell ref="H325:J325"/>
    <mergeCell ref="H308:J308"/>
    <mergeCell ref="H309:J309"/>
    <mergeCell ref="H310:J310"/>
    <mergeCell ref="H311:J311"/>
    <mergeCell ref="H312:J312"/>
    <mergeCell ref="H313:J313"/>
    <mergeCell ref="H314:J314"/>
    <mergeCell ref="H315:J315"/>
    <mergeCell ref="H316:J316"/>
    <mergeCell ref="H299:J299"/>
    <mergeCell ref="H300:J300"/>
    <mergeCell ref="H301:J301"/>
    <mergeCell ref="H302:J302"/>
    <mergeCell ref="H303:J303"/>
    <mergeCell ref="H304:J304"/>
    <mergeCell ref="H305:J305"/>
    <mergeCell ref="H306:J306"/>
    <mergeCell ref="H307:J307"/>
    <mergeCell ref="H290:J290"/>
    <mergeCell ref="H291:J291"/>
    <mergeCell ref="H292:J292"/>
    <mergeCell ref="H293:J293"/>
    <mergeCell ref="H294:J294"/>
    <mergeCell ref="H295:J295"/>
    <mergeCell ref="H296:J296"/>
    <mergeCell ref="H297:J297"/>
    <mergeCell ref="H298:J298"/>
    <mergeCell ref="H281:J281"/>
    <mergeCell ref="H282:J282"/>
    <mergeCell ref="H283:J283"/>
    <mergeCell ref="H284:J284"/>
    <mergeCell ref="H285:J285"/>
    <mergeCell ref="H286:J286"/>
    <mergeCell ref="H287:J287"/>
    <mergeCell ref="H288:J288"/>
    <mergeCell ref="H289:J289"/>
    <mergeCell ref="H272:J272"/>
    <mergeCell ref="H273:J273"/>
    <mergeCell ref="H274:J274"/>
    <mergeCell ref="H275:J275"/>
    <mergeCell ref="H276:J276"/>
    <mergeCell ref="H277:J277"/>
    <mergeCell ref="H278:J278"/>
    <mergeCell ref="H279:J279"/>
    <mergeCell ref="H280:J280"/>
    <mergeCell ref="H263:J263"/>
    <mergeCell ref="H264:J264"/>
    <mergeCell ref="H265:J265"/>
    <mergeCell ref="H266:J266"/>
    <mergeCell ref="H267:J267"/>
    <mergeCell ref="H268:J268"/>
    <mergeCell ref="H269:J269"/>
    <mergeCell ref="H270:J270"/>
    <mergeCell ref="H271:J271"/>
    <mergeCell ref="H254:J254"/>
    <mergeCell ref="H255:J255"/>
    <mergeCell ref="H256:J256"/>
    <mergeCell ref="H257:J257"/>
    <mergeCell ref="H258:J258"/>
    <mergeCell ref="H259:J259"/>
    <mergeCell ref="H260:J260"/>
    <mergeCell ref="H261:J261"/>
    <mergeCell ref="H262:J262"/>
    <mergeCell ref="H245:J245"/>
    <mergeCell ref="H246:J246"/>
    <mergeCell ref="H247:J247"/>
    <mergeCell ref="H248:J248"/>
    <mergeCell ref="H249:J249"/>
    <mergeCell ref="H250:J250"/>
    <mergeCell ref="H251:J251"/>
    <mergeCell ref="H252:J252"/>
    <mergeCell ref="H253:J253"/>
    <mergeCell ref="H236:J236"/>
    <mergeCell ref="H237:J237"/>
    <mergeCell ref="H238:J238"/>
    <mergeCell ref="H239:J239"/>
    <mergeCell ref="H240:J240"/>
    <mergeCell ref="H241:J241"/>
    <mergeCell ref="H242:J242"/>
    <mergeCell ref="H243:J243"/>
    <mergeCell ref="H244:J244"/>
    <mergeCell ref="H227:J227"/>
    <mergeCell ref="H228:J228"/>
    <mergeCell ref="H229:J229"/>
    <mergeCell ref="H230:J230"/>
    <mergeCell ref="H231:J231"/>
    <mergeCell ref="H232:J232"/>
    <mergeCell ref="H233:J233"/>
    <mergeCell ref="H234:J234"/>
    <mergeCell ref="H235:J235"/>
    <mergeCell ref="H218:J218"/>
    <mergeCell ref="H219:J219"/>
    <mergeCell ref="H220:J220"/>
    <mergeCell ref="H221:J221"/>
    <mergeCell ref="H222:J222"/>
    <mergeCell ref="H223:J223"/>
    <mergeCell ref="H224:J224"/>
    <mergeCell ref="H225:J225"/>
    <mergeCell ref="H226:J226"/>
    <mergeCell ref="H209:J209"/>
    <mergeCell ref="H210:J210"/>
    <mergeCell ref="H211:J211"/>
    <mergeCell ref="H212:J212"/>
    <mergeCell ref="H213:J213"/>
    <mergeCell ref="H214:J214"/>
    <mergeCell ref="H215:J215"/>
    <mergeCell ref="H216:J216"/>
    <mergeCell ref="H217:J217"/>
    <mergeCell ref="H200:J200"/>
    <mergeCell ref="H201:J201"/>
    <mergeCell ref="H202:J202"/>
    <mergeCell ref="H203:J203"/>
    <mergeCell ref="H204:J204"/>
    <mergeCell ref="H205:J205"/>
    <mergeCell ref="H206:J206"/>
    <mergeCell ref="H207:J207"/>
    <mergeCell ref="H208:J208"/>
    <mergeCell ref="H191:J191"/>
    <mergeCell ref="H192:J192"/>
    <mergeCell ref="H193:J193"/>
    <mergeCell ref="H194:J194"/>
    <mergeCell ref="H195:J195"/>
    <mergeCell ref="H196:J196"/>
    <mergeCell ref="H197:J197"/>
    <mergeCell ref="H198:J198"/>
    <mergeCell ref="H199:J199"/>
    <mergeCell ref="H182:J182"/>
    <mergeCell ref="H183:J183"/>
    <mergeCell ref="H184:J184"/>
    <mergeCell ref="H185:J185"/>
    <mergeCell ref="H186:J186"/>
    <mergeCell ref="H187:J187"/>
    <mergeCell ref="H188:J188"/>
    <mergeCell ref="H189:J189"/>
    <mergeCell ref="H190:J190"/>
    <mergeCell ref="H173:J173"/>
    <mergeCell ref="H174:J174"/>
    <mergeCell ref="H175:J175"/>
    <mergeCell ref="H176:J176"/>
    <mergeCell ref="H177:J177"/>
    <mergeCell ref="H178:J178"/>
    <mergeCell ref="H179:J179"/>
    <mergeCell ref="H180:J180"/>
    <mergeCell ref="H181:J181"/>
    <mergeCell ref="H164:J164"/>
    <mergeCell ref="H165:J165"/>
    <mergeCell ref="H166:J166"/>
    <mergeCell ref="H167:J167"/>
    <mergeCell ref="H168:J168"/>
    <mergeCell ref="H169:J169"/>
    <mergeCell ref="H170:J170"/>
    <mergeCell ref="H171:J171"/>
    <mergeCell ref="H172:J172"/>
    <mergeCell ref="H155:J155"/>
    <mergeCell ref="H156:J156"/>
    <mergeCell ref="H157:J157"/>
    <mergeCell ref="H158:J158"/>
    <mergeCell ref="H159:J159"/>
    <mergeCell ref="H160:J160"/>
    <mergeCell ref="H161:J161"/>
    <mergeCell ref="H162:J162"/>
    <mergeCell ref="H163:J163"/>
    <mergeCell ref="H146:J146"/>
    <mergeCell ref="H147:J147"/>
    <mergeCell ref="H148:J148"/>
    <mergeCell ref="H149:J149"/>
    <mergeCell ref="H150:J150"/>
    <mergeCell ref="H151:J151"/>
    <mergeCell ref="H152:J152"/>
    <mergeCell ref="H153:J153"/>
    <mergeCell ref="H154:J154"/>
    <mergeCell ref="H137:J137"/>
    <mergeCell ref="H138:J138"/>
    <mergeCell ref="H139:J139"/>
    <mergeCell ref="H140:J140"/>
    <mergeCell ref="H141:J141"/>
    <mergeCell ref="H142:J142"/>
    <mergeCell ref="H143:J143"/>
    <mergeCell ref="H144:J144"/>
    <mergeCell ref="H145:J145"/>
    <mergeCell ref="H128:J128"/>
    <mergeCell ref="H129:J129"/>
    <mergeCell ref="H130:J130"/>
    <mergeCell ref="H131:J131"/>
    <mergeCell ref="H132:J132"/>
    <mergeCell ref="H133:J133"/>
    <mergeCell ref="H134:J134"/>
    <mergeCell ref="H135:J135"/>
    <mergeCell ref="H136:J136"/>
    <mergeCell ref="H119:J119"/>
    <mergeCell ref="H120:J120"/>
    <mergeCell ref="H121:J121"/>
    <mergeCell ref="H122:J122"/>
    <mergeCell ref="H123:J123"/>
    <mergeCell ref="H124:J124"/>
    <mergeCell ref="H125:J125"/>
    <mergeCell ref="H126:J126"/>
    <mergeCell ref="H127:J127"/>
    <mergeCell ref="H110:J110"/>
    <mergeCell ref="H111:J111"/>
    <mergeCell ref="H112:J112"/>
    <mergeCell ref="H113:J113"/>
    <mergeCell ref="H114:J114"/>
    <mergeCell ref="H115:J115"/>
    <mergeCell ref="H116:J116"/>
    <mergeCell ref="H117:J117"/>
    <mergeCell ref="H118:J118"/>
    <mergeCell ref="H101:J101"/>
    <mergeCell ref="H102:J102"/>
    <mergeCell ref="H103:J103"/>
    <mergeCell ref="H104:J104"/>
    <mergeCell ref="H105:J105"/>
    <mergeCell ref="H106:J106"/>
    <mergeCell ref="H107:J107"/>
    <mergeCell ref="H108:J108"/>
    <mergeCell ref="H109:J109"/>
    <mergeCell ref="H92:J92"/>
    <mergeCell ref="H93:J93"/>
    <mergeCell ref="H94:J94"/>
    <mergeCell ref="H95:J95"/>
    <mergeCell ref="H96:J96"/>
    <mergeCell ref="H97:J97"/>
    <mergeCell ref="H98:J98"/>
    <mergeCell ref="H99:J99"/>
    <mergeCell ref="H100:J100"/>
    <mergeCell ref="H83:J83"/>
    <mergeCell ref="H84:J84"/>
    <mergeCell ref="H85:J85"/>
    <mergeCell ref="H86:J86"/>
    <mergeCell ref="H87:J87"/>
    <mergeCell ref="H88:J88"/>
    <mergeCell ref="H89:J89"/>
    <mergeCell ref="H90:J90"/>
    <mergeCell ref="H91:J91"/>
    <mergeCell ref="H74:J74"/>
    <mergeCell ref="H75:J75"/>
    <mergeCell ref="H76:J76"/>
    <mergeCell ref="H77:J77"/>
    <mergeCell ref="H78:J78"/>
    <mergeCell ref="H79:J79"/>
    <mergeCell ref="H80:J80"/>
    <mergeCell ref="H81:J81"/>
    <mergeCell ref="H82:J82"/>
    <mergeCell ref="H65:J65"/>
    <mergeCell ref="H66:J66"/>
    <mergeCell ref="H67:J67"/>
    <mergeCell ref="H68:J68"/>
    <mergeCell ref="H69:J69"/>
    <mergeCell ref="H70:J70"/>
    <mergeCell ref="H71:J71"/>
    <mergeCell ref="H72:J72"/>
    <mergeCell ref="H73:J73"/>
    <mergeCell ref="H56:J56"/>
    <mergeCell ref="H57:J57"/>
    <mergeCell ref="H58:J58"/>
    <mergeCell ref="H59:J59"/>
    <mergeCell ref="H60:J60"/>
    <mergeCell ref="H61:J61"/>
    <mergeCell ref="H62:J62"/>
    <mergeCell ref="H63:J63"/>
    <mergeCell ref="H64:J64"/>
    <mergeCell ref="H47:J47"/>
    <mergeCell ref="H48:J48"/>
    <mergeCell ref="H49:J49"/>
    <mergeCell ref="H50:J50"/>
    <mergeCell ref="H51:J51"/>
    <mergeCell ref="H52:J52"/>
    <mergeCell ref="H53:J53"/>
    <mergeCell ref="H54:J54"/>
    <mergeCell ref="H55:J55"/>
    <mergeCell ref="H38:J38"/>
    <mergeCell ref="H39:J39"/>
    <mergeCell ref="H40:J40"/>
    <mergeCell ref="H41:J41"/>
    <mergeCell ref="H42:J42"/>
    <mergeCell ref="H43:J43"/>
    <mergeCell ref="H44:J44"/>
    <mergeCell ref="H45:J45"/>
    <mergeCell ref="H46:J46"/>
    <mergeCell ref="H29:J29"/>
    <mergeCell ref="H30:J30"/>
    <mergeCell ref="H31:J31"/>
    <mergeCell ref="H32:J32"/>
    <mergeCell ref="H33:J33"/>
    <mergeCell ref="H34:J34"/>
    <mergeCell ref="H35:J35"/>
    <mergeCell ref="H36:J36"/>
    <mergeCell ref="H37:J37"/>
    <mergeCell ref="E424:G424"/>
    <mergeCell ref="E425:G425"/>
    <mergeCell ref="E426:G426"/>
    <mergeCell ref="E427:G427"/>
    <mergeCell ref="E428:G428"/>
    <mergeCell ref="H10:J10"/>
    <mergeCell ref="H11:J11"/>
    <mergeCell ref="H12:J12"/>
    <mergeCell ref="H13:J13"/>
    <mergeCell ref="H14:J14"/>
    <mergeCell ref="H15:J15"/>
    <mergeCell ref="H16:J16"/>
    <mergeCell ref="H17:J17"/>
    <mergeCell ref="H18:J18"/>
    <mergeCell ref="H19:J19"/>
    <mergeCell ref="H20:J20"/>
    <mergeCell ref="H21:J21"/>
    <mergeCell ref="H22:J22"/>
    <mergeCell ref="H23:J23"/>
    <mergeCell ref="H24:J24"/>
    <mergeCell ref="H25:J25"/>
    <mergeCell ref="H26:J26"/>
    <mergeCell ref="H27:J27"/>
    <mergeCell ref="H28:J28"/>
    <mergeCell ref="E415:G415"/>
    <mergeCell ref="E416:G416"/>
    <mergeCell ref="E417:G417"/>
    <mergeCell ref="E418:G418"/>
    <mergeCell ref="E419:G419"/>
    <mergeCell ref="E420:G420"/>
    <mergeCell ref="E421:G421"/>
    <mergeCell ref="E422:G422"/>
    <mergeCell ref="E423:G423"/>
    <mergeCell ref="E406:G406"/>
    <mergeCell ref="E407:G407"/>
    <mergeCell ref="E408:G408"/>
    <mergeCell ref="E409:G409"/>
    <mergeCell ref="E410:G410"/>
    <mergeCell ref="E411:G411"/>
    <mergeCell ref="E412:G412"/>
    <mergeCell ref="E413:G413"/>
    <mergeCell ref="E414:G414"/>
    <mergeCell ref="E397:G397"/>
    <mergeCell ref="E398:G398"/>
    <mergeCell ref="E399:G399"/>
    <mergeCell ref="E400:G400"/>
    <mergeCell ref="E401:G401"/>
    <mergeCell ref="E402:G402"/>
    <mergeCell ref="E403:G403"/>
    <mergeCell ref="E404:G404"/>
    <mergeCell ref="E405:G405"/>
    <mergeCell ref="E388:G388"/>
    <mergeCell ref="E389:G389"/>
    <mergeCell ref="E390:G390"/>
    <mergeCell ref="E391:G391"/>
    <mergeCell ref="E392:G392"/>
    <mergeCell ref="E393:G393"/>
    <mergeCell ref="E394:G394"/>
    <mergeCell ref="E395:G395"/>
    <mergeCell ref="E396:G396"/>
    <mergeCell ref="E379:G379"/>
    <mergeCell ref="E380:G380"/>
    <mergeCell ref="E381:G381"/>
    <mergeCell ref="E382:G382"/>
    <mergeCell ref="E383:G383"/>
    <mergeCell ref="E384:G384"/>
    <mergeCell ref="E385:G385"/>
    <mergeCell ref="E386:G386"/>
    <mergeCell ref="E387:G387"/>
    <mergeCell ref="E370:G370"/>
    <mergeCell ref="E371:G371"/>
    <mergeCell ref="E372:G372"/>
    <mergeCell ref="E373:G373"/>
    <mergeCell ref="E374:G374"/>
    <mergeCell ref="E375:G375"/>
    <mergeCell ref="E376:G376"/>
    <mergeCell ref="E377:G377"/>
    <mergeCell ref="E378:G378"/>
    <mergeCell ref="E361:G361"/>
    <mergeCell ref="E362:G362"/>
    <mergeCell ref="E363:G363"/>
    <mergeCell ref="E364:G364"/>
    <mergeCell ref="E365:G365"/>
    <mergeCell ref="E366:G366"/>
    <mergeCell ref="E367:G367"/>
    <mergeCell ref="E368:G368"/>
    <mergeCell ref="E369:G369"/>
    <mergeCell ref="E352:G352"/>
    <mergeCell ref="E353:G353"/>
    <mergeCell ref="E354:G354"/>
    <mergeCell ref="E355:G355"/>
    <mergeCell ref="E356:G356"/>
    <mergeCell ref="E357:G357"/>
    <mergeCell ref="E358:G358"/>
    <mergeCell ref="E359:G359"/>
    <mergeCell ref="E360:G360"/>
    <mergeCell ref="E343:G343"/>
    <mergeCell ref="E344:G344"/>
    <mergeCell ref="E345:G345"/>
    <mergeCell ref="E346:G346"/>
    <mergeCell ref="E347:G347"/>
    <mergeCell ref="E348:G348"/>
    <mergeCell ref="E349:G349"/>
    <mergeCell ref="E350:G350"/>
    <mergeCell ref="E351:G351"/>
    <mergeCell ref="E334:G334"/>
    <mergeCell ref="E335:G335"/>
    <mergeCell ref="E336:G336"/>
    <mergeCell ref="E337:G337"/>
    <mergeCell ref="E338:G338"/>
    <mergeCell ref="E339:G339"/>
    <mergeCell ref="E340:G340"/>
    <mergeCell ref="E341:G341"/>
    <mergeCell ref="E342:G342"/>
    <mergeCell ref="E325:G325"/>
    <mergeCell ref="E326:G326"/>
    <mergeCell ref="E327:G327"/>
    <mergeCell ref="E328:G328"/>
    <mergeCell ref="E329:G329"/>
    <mergeCell ref="E330:G330"/>
    <mergeCell ref="E331:G331"/>
    <mergeCell ref="E332:G332"/>
    <mergeCell ref="E333:G333"/>
    <mergeCell ref="E316:G316"/>
    <mergeCell ref="E317:G317"/>
    <mergeCell ref="E318:G318"/>
    <mergeCell ref="E319:G319"/>
    <mergeCell ref="E320:G320"/>
    <mergeCell ref="E321:G321"/>
    <mergeCell ref="E322:G322"/>
    <mergeCell ref="E323:G323"/>
    <mergeCell ref="E324:G324"/>
    <mergeCell ref="E307:G307"/>
    <mergeCell ref="E308:G308"/>
    <mergeCell ref="E309:G309"/>
    <mergeCell ref="E310:G310"/>
    <mergeCell ref="E311:G311"/>
    <mergeCell ref="E312:G312"/>
    <mergeCell ref="E313:G313"/>
    <mergeCell ref="E314:G314"/>
    <mergeCell ref="E315:G315"/>
    <mergeCell ref="E298:G298"/>
    <mergeCell ref="E299:G299"/>
    <mergeCell ref="E300:G300"/>
    <mergeCell ref="E301:G301"/>
    <mergeCell ref="E302:G302"/>
    <mergeCell ref="E303:G303"/>
    <mergeCell ref="E304:G304"/>
    <mergeCell ref="E305:G305"/>
    <mergeCell ref="E306:G306"/>
    <mergeCell ref="E289:G289"/>
    <mergeCell ref="E290:G290"/>
    <mergeCell ref="E291:G291"/>
    <mergeCell ref="E292:G292"/>
    <mergeCell ref="E293:G293"/>
    <mergeCell ref="E294:G294"/>
    <mergeCell ref="E295:G295"/>
    <mergeCell ref="E296:G296"/>
    <mergeCell ref="E297:G297"/>
    <mergeCell ref="E280:G280"/>
    <mergeCell ref="E281:G281"/>
    <mergeCell ref="E282:G282"/>
    <mergeCell ref="E283:G283"/>
    <mergeCell ref="E284:G284"/>
    <mergeCell ref="E285:G285"/>
    <mergeCell ref="E286:G286"/>
    <mergeCell ref="E287:G287"/>
    <mergeCell ref="E288:G288"/>
    <mergeCell ref="E271:G271"/>
    <mergeCell ref="E272:G272"/>
    <mergeCell ref="E273:G273"/>
    <mergeCell ref="E274:G274"/>
    <mergeCell ref="E275:G275"/>
    <mergeCell ref="E276:G276"/>
    <mergeCell ref="E277:G277"/>
    <mergeCell ref="E278:G278"/>
    <mergeCell ref="E279:G279"/>
    <mergeCell ref="E262:G262"/>
    <mergeCell ref="E263:G263"/>
    <mergeCell ref="E264:G264"/>
    <mergeCell ref="E265:G265"/>
    <mergeCell ref="E266:G266"/>
    <mergeCell ref="E267:G267"/>
    <mergeCell ref="E268:G268"/>
    <mergeCell ref="E269:G269"/>
    <mergeCell ref="E270:G270"/>
    <mergeCell ref="E253:G253"/>
    <mergeCell ref="E254:G254"/>
    <mergeCell ref="E255:G255"/>
    <mergeCell ref="E256:G256"/>
    <mergeCell ref="E257:G257"/>
    <mergeCell ref="E258:G258"/>
    <mergeCell ref="E259:G259"/>
    <mergeCell ref="E260:G260"/>
    <mergeCell ref="E261:G261"/>
    <mergeCell ref="E244:G244"/>
    <mergeCell ref="E245:G245"/>
    <mergeCell ref="E246:G246"/>
    <mergeCell ref="E247:G247"/>
    <mergeCell ref="E248:G248"/>
    <mergeCell ref="E249:G249"/>
    <mergeCell ref="E250:G250"/>
    <mergeCell ref="E251:G251"/>
    <mergeCell ref="E252:G252"/>
    <mergeCell ref="E235:G235"/>
    <mergeCell ref="E236:G236"/>
    <mergeCell ref="E237:G237"/>
    <mergeCell ref="E238:G238"/>
    <mergeCell ref="E239:G239"/>
    <mergeCell ref="E240:G240"/>
    <mergeCell ref="E241:G241"/>
    <mergeCell ref="E242:G242"/>
    <mergeCell ref="E243:G243"/>
    <mergeCell ref="E226:G226"/>
    <mergeCell ref="E227:G227"/>
    <mergeCell ref="E228:G228"/>
    <mergeCell ref="E229:G229"/>
    <mergeCell ref="E230:G230"/>
    <mergeCell ref="E231:G231"/>
    <mergeCell ref="E232:G232"/>
    <mergeCell ref="E233:G233"/>
    <mergeCell ref="E234:G234"/>
    <mergeCell ref="E217:G217"/>
    <mergeCell ref="E218:G218"/>
    <mergeCell ref="E219:G219"/>
    <mergeCell ref="E220:G220"/>
    <mergeCell ref="E221:G221"/>
    <mergeCell ref="E222:G222"/>
    <mergeCell ref="E223:G223"/>
    <mergeCell ref="E224:G224"/>
    <mergeCell ref="E225:G225"/>
    <mergeCell ref="E208:G208"/>
    <mergeCell ref="E209:G209"/>
    <mergeCell ref="E210:G210"/>
    <mergeCell ref="E211:G211"/>
    <mergeCell ref="E212:G212"/>
    <mergeCell ref="E213:G213"/>
    <mergeCell ref="E214:G214"/>
    <mergeCell ref="E215:G215"/>
    <mergeCell ref="E216:G216"/>
    <mergeCell ref="E199:G199"/>
    <mergeCell ref="E200:G200"/>
    <mergeCell ref="E201:G201"/>
    <mergeCell ref="E202:G202"/>
    <mergeCell ref="E203:G203"/>
    <mergeCell ref="E204:G204"/>
    <mergeCell ref="E205:G205"/>
    <mergeCell ref="E206:G206"/>
    <mergeCell ref="E207:G207"/>
    <mergeCell ref="E190:G190"/>
    <mergeCell ref="E191:G191"/>
    <mergeCell ref="E192:G192"/>
    <mergeCell ref="E193:G193"/>
    <mergeCell ref="E194:G194"/>
    <mergeCell ref="E195:G195"/>
    <mergeCell ref="E196:G196"/>
    <mergeCell ref="E197:G197"/>
    <mergeCell ref="E198:G198"/>
    <mergeCell ref="E181:G181"/>
    <mergeCell ref="E182:G182"/>
    <mergeCell ref="E183:G183"/>
    <mergeCell ref="E184:G184"/>
    <mergeCell ref="E185:G185"/>
    <mergeCell ref="E186:G186"/>
    <mergeCell ref="E187:G187"/>
    <mergeCell ref="E188:G188"/>
    <mergeCell ref="E189:G189"/>
    <mergeCell ref="E172:G172"/>
    <mergeCell ref="E173:G173"/>
    <mergeCell ref="E174:G174"/>
    <mergeCell ref="E175:G175"/>
    <mergeCell ref="E176:G176"/>
    <mergeCell ref="E177:G177"/>
    <mergeCell ref="E178:G178"/>
    <mergeCell ref="E179:G179"/>
    <mergeCell ref="E180:G180"/>
    <mergeCell ref="E163:G163"/>
    <mergeCell ref="E164:G164"/>
    <mergeCell ref="E165:G165"/>
    <mergeCell ref="E166:G166"/>
    <mergeCell ref="E167:G167"/>
    <mergeCell ref="E168:G168"/>
    <mergeCell ref="E169:G169"/>
    <mergeCell ref="E170:G170"/>
    <mergeCell ref="E171:G171"/>
    <mergeCell ref="E154:G154"/>
    <mergeCell ref="E155:G155"/>
    <mergeCell ref="E156:G156"/>
    <mergeCell ref="E157:G157"/>
    <mergeCell ref="E158:G158"/>
    <mergeCell ref="E159:G159"/>
    <mergeCell ref="E160:G160"/>
    <mergeCell ref="E161:G161"/>
    <mergeCell ref="E162:G162"/>
    <mergeCell ref="E145:G145"/>
    <mergeCell ref="E146:G146"/>
    <mergeCell ref="E147:G147"/>
    <mergeCell ref="E148:G148"/>
    <mergeCell ref="E149:G149"/>
    <mergeCell ref="E150:G150"/>
    <mergeCell ref="E151:G151"/>
    <mergeCell ref="E152:G152"/>
    <mergeCell ref="E153:G153"/>
    <mergeCell ref="E136:G136"/>
    <mergeCell ref="E137:G137"/>
    <mergeCell ref="E138:G138"/>
    <mergeCell ref="E139:G139"/>
    <mergeCell ref="E140:G140"/>
    <mergeCell ref="E141:G141"/>
    <mergeCell ref="E142:G142"/>
    <mergeCell ref="E143:G143"/>
    <mergeCell ref="E144:G144"/>
    <mergeCell ref="E127:G127"/>
    <mergeCell ref="E128:G128"/>
    <mergeCell ref="E129:G129"/>
    <mergeCell ref="E130:G130"/>
    <mergeCell ref="E131:G131"/>
    <mergeCell ref="E132:G132"/>
    <mergeCell ref="E133:G133"/>
    <mergeCell ref="E134:G134"/>
    <mergeCell ref="E135:G135"/>
    <mergeCell ref="E118:G118"/>
    <mergeCell ref="E119:G119"/>
    <mergeCell ref="E120:G120"/>
    <mergeCell ref="E121:G121"/>
    <mergeCell ref="E122:G122"/>
    <mergeCell ref="E123:G123"/>
    <mergeCell ref="E124:G124"/>
    <mergeCell ref="E125:G125"/>
    <mergeCell ref="E126:G126"/>
    <mergeCell ref="E109:G109"/>
    <mergeCell ref="E110:G110"/>
    <mergeCell ref="E111:G111"/>
    <mergeCell ref="E112:G112"/>
    <mergeCell ref="E113:G113"/>
    <mergeCell ref="E114:G114"/>
    <mergeCell ref="E115:G115"/>
    <mergeCell ref="E116:G116"/>
    <mergeCell ref="E117:G117"/>
    <mergeCell ref="E100:G100"/>
    <mergeCell ref="E101:G101"/>
    <mergeCell ref="E102:G102"/>
    <mergeCell ref="E103:G103"/>
    <mergeCell ref="E104:G104"/>
    <mergeCell ref="E105:G105"/>
    <mergeCell ref="E106:G106"/>
    <mergeCell ref="E107:G107"/>
    <mergeCell ref="E108:G108"/>
    <mergeCell ref="E91:G91"/>
    <mergeCell ref="E92:G92"/>
    <mergeCell ref="E93:G93"/>
    <mergeCell ref="E94:G94"/>
    <mergeCell ref="E95:G95"/>
    <mergeCell ref="E96:G96"/>
    <mergeCell ref="E97:G97"/>
    <mergeCell ref="E98:G98"/>
    <mergeCell ref="E99:G99"/>
    <mergeCell ref="E82:G82"/>
    <mergeCell ref="E83:G83"/>
    <mergeCell ref="E84:G84"/>
    <mergeCell ref="E85:G85"/>
    <mergeCell ref="E86:G86"/>
    <mergeCell ref="E87:G87"/>
    <mergeCell ref="E88:G88"/>
    <mergeCell ref="E89:G89"/>
    <mergeCell ref="E90:G90"/>
    <mergeCell ref="E73:G73"/>
    <mergeCell ref="E74:G74"/>
    <mergeCell ref="E75:G75"/>
    <mergeCell ref="E76:G76"/>
    <mergeCell ref="E77:G77"/>
    <mergeCell ref="E78:G78"/>
    <mergeCell ref="E79:G79"/>
    <mergeCell ref="E80:G80"/>
    <mergeCell ref="E81:G81"/>
    <mergeCell ref="E64:G64"/>
    <mergeCell ref="E65:G65"/>
    <mergeCell ref="E66:G66"/>
    <mergeCell ref="E67:G67"/>
    <mergeCell ref="E68:G68"/>
    <mergeCell ref="E69:G69"/>
    <mergeCell ref="E70:G70"/>
    <mergeCell ref="E71:G71"/>
    <mergeCell ref="E72:G72"/>
    <mergeCell ref="E55:G55"/>
    <mergeCell ref="E56:G56"/>
    <mergeCell ref="E57:G57"/>
    <mergeCell ref="E58:G58"/>
    <mergeCell ref="E59:G59"/>
    <mergeCell ref="E60:G60"/>
    <mergeCell ref="E61:G61"/>
    <mergeCell ref="E62:G62"/>
    <mergeCell ref="E63:G63"/>
    <mergeCell ref="E46:G46"/>
    <mergeCell ref="E47:G47"/>
    <mergeCell ref="E48:G48"/>
    <mergeCell ref="E49:G49"/>
    <mergeCell ref="E50:G50"/>
    <mergeCell ref="E51:G51"/>
    <mergeCell ref="E52:G52"/>
    <mergeCell ref="E53:G53"/>
    <mergeCell ref="E54:G54"/>
    <mergeCell ref="E37:G37"/>
    <mergeCell ref="E38:G38"/>
    <mergeCell ref="E39:G39"/>
    <mergeCell ref="E40:G40"/>
    <mergeCell ref="E41:G41"/>
    <mergeCell ref="E42:G42"/>
    <mergeCell ref="E43:G43"/>
    <mergeCell ref="E44:G44"/>
    <mergeCell ref="E45:G45"/>
    <mergeCell ref="E28:G28"/>
    <mergeCell ref="E29:G29"/>
    <mergeCell ref="E30:G30"/>
    <mergeCell ref="E31:G31"/>
    <mergeCell ref="E32:G32"/>
    <mergeCell ref="E33:G33"/>
    <mergeCell ref="E34:G34"/>
    <mergeCell ref="E35:G35"/>
    <mergeCell ref="E36:G36"/>
    <mergeCell ref="E10:G10"/>
    <mergeCell ref="E11:G11"/>
    <mergeCell ref="E12:G12"/>
    <mergeCell ref="E13:G13"/>
    <mergeCell ref="E14:G14"/>
    <mergeCell ref="E15:G15"/>
    <mergeCell ref="E16:G16"/>
    <mergeCell ref="E17:G17"/>
    <mergeCell ref="E18:G18"/>
    <mergeCell ref="E19:G19"/>
    <mergeCell ref="E20:G20"/>
    <mergeCell ref="E21:G21"/>
    <mergeCell ref="E22:G22"/>
    <mergeCell ref="E23:G23"/>
    <mergeCell ref="E24:G24"/>
    <mergeCell ref="E25:G25"/>
    <mergeCell ref="E26:G26"/>
    <mergeCell ref="E27:G27"/>
    <mergeCell ref="A427:D427"/>
    <mergeCell ref="A428:D428"/>
    <mergeCell ref="A418:D418"/>
    <mergeCell ref="A419:D419"/>
    <mergeCell ref="A420:D420"/>
    <mergeCell ref="A421:D421"/>
    <mergeCell ref="A422:D422"/>
    <mergeCell ref="A423:D423"/>
    <mergeCell ref="A424:D424"/>
    <mergeCell ref="A425:D425"/>
    <mergeCell ref="A426:D426"/>
    <mergeCell ref="A409:D409"/>
    <mergeCell ref="A410:D410"/>
    <mergeCell ref="A411:D411"/>
    <mergeCell ref="A412:D412"/>
    <mergeCell ref="A413:D413"/>
    <mergeCell ref="A414:D414"/>
    <mergeCell ref="A415:D415"/>
    <mergeCell ref="A416:D416"/>
    <mergeCell ref="A417:D417"/>
    <mergeCell ref="A400:D400"/>
    <mergeCell ref="A401:D401"/>
    <mergeCell ref="A402:D402"/>
    <mergeCell ref="A403:D403"/>
    <mergeCell ref="A404:D404"/>
    <mergeCell ref="A405:D405"/>
    <mergeCell ref="A406:D406"/>
    <mergeCell ref="A407:D407"/>
    <mergeCell ref="A408:D408"/>
    <mergeCell ref="A391:D391"/>
    <mergeCell ref="A392:D392"/>
    <mergeCell ref="A393:D393"/>
    <mergeCell ref="A394:D394"/>
    <mergeCell ref="A395:D395"/>
    <mergeCell ref="A396:D396"/>
    <mergeCell ref="A397:D397"/>
    <mergeCell ref="A398:D398"/>
    <mergeCell ref="A399:D399"/>
    <mergeCell ref="A382:D382"/>
    <mergeCell ref="A383:D383"/>
    <mergeCell ref="A384:D384"/>
    <mergeCell ref="A385:D385"/>
    <mergeCell ref="A386:D386"/>
    <mergeCell ref="A387:D387"/>
    <mergeCell ref="A388:D388"/>
    <mergeCell ref="A389:D389"/>
    <mergeCell ref="A390:D390"/>
    <mergeCell ref="A373:D373"/>
    <mergeCell ref="A374:D374"/>
    <mergeCell ref="A375:D375"/>
    <mergeCell ref="A376:D376"/>
    <mergeCell ref="A377:D377"/>
    <mergeCell ref="A378:D378"/>
    <mergeCell ref="A379:D379"/>
    <mergeCell ref="A380:D380"/>
    <mergeCell ref="A381:D381"/>
    <mergeCell ref="A364:D364"/>
    <mergeCell ref="A365:D365"/>
    <mergeCell ref="A366:D366"/>
    <mergeCell ref="A367:D367"/>
    <mergeCell ref="A368:D368"/>
    <mergeCell ref="A369:D369"/>
    <mergeCell ref="A370:D370"/>
    <mergeCell ref="A371:D371"/>
    <mergeCell ref="A372:D372"/>
    <mergeCell ref="A355:D355"/>
    <mergeCell ref="A356:D356"/>
    <mergeCell ref="A357:D357"/>
    <mergeCell ref="A358:D358"/>
    <mergeCell ref="A359:D359"/>
    <mergeCell ref="A360:D360"/>
    <mergeCell ref="A361:D361"/>
    <mergeCell ref="A362:D362"/>
    <mergeCell ref="A363:D363"/>
    <mergeCell ref="A346:D346"/>
    <mergeCell ref="A347:D347"/>
    <mergeCell ref="A348:D348"/>
    <mergeCell ref="A349:D349"/>
    <mergeCell ref="A350:D350"/>
    <mergeCell ref="A351:D351"/>
    <mergeCell ref="A352:D352"/>
    <mergeCell ref="A353:D353"/>
    <mergeCell ref="A354:D354"/>
    <mergeCell ref="A337:D337"/>
    <mergeCell ref="A338:D338"/>
    <mergeCell ref="A339:D339"/>
    <mergeCell ref="A340:D340"/>
    <mergeCell ref="A341:D341"/>
    <mergeCell ref="A342:D342"/>
    <mergeCell ref="A343:D343"/>
    <mergeCell ref="A344:D344"/>
    <mergeCell ref="A345:D345"/>
    <mergeCell ref="A328:D328"/>
    <mergeCell ref="A329:D329"/>
    <mergeCell ref="A330:D330"/>
    <mergeCell ref="A331:D331"/>
    <mergeCell ref="A332:D332"/>
    <mergeCell ref="A333:D333"/>
    <mergeCell ref="A334:D334"/>
    <mergeCell ref="A335:D335"/>
    <mergeCell ref="A336:D336"/>
    <mergeCell ref="A319:D319"/>
    <mergeCell ref="A320:D320"/>
    <mergeCell ref="A321:D321"/>
    <mergeCell ref="A322:D322"/>
    <mergeCell ref="A323:D323"/>
    <mergeCell ref="A324:D324"/>
    <mergeCell ref="A325:D325"/>
    <mergeCell ref="A326:D326"/>
    <mergeCell ref="A327:D327"/>
    <mergeCell ref="A310:D310"/>
    <mergeCell ref="A311:D311"/>
    <mergeCell ref="A312:D312"/>
    <mergeCell ref="A313:D313"/>
    <mergeCell ref="A314:D314"/>
    <mergeCell ref="A315:D315"/>
    <mergeCell ref="A316:D316"/>
    <mergeCell ref="A317:D317"/>
    <mergeCell ref="A318:D318"/>
    <mergeCell ref="A301:D301"/>
    <mergeCell ref="A302:D302"/>
    <mergeCell ref="A303:D303"/>
    <mergeCell ref="A304:D304"/>
    <mergeCell ref="A305:D305"/>
    <mergeCell ref="A306:D306"/>
    <mergeCell ref="A307:D307"/>
    <mergeCell ref="A308:D308"/>
    <mergeCell ref="A309:D309"/>
    <mergeCell ref="A292:D292"/>
    <mergeCell ref="A293:D293"/>
    <mergeCell ref="A294:D294"/>
    <mergeCell ref="A295:D295"/>
    <mergeCell ref="A296:D296"/>
    <mergeCell ref="A297:D297"/>
    <mergeCell ref="A298:D298"/>
    <mergeCell ref="A299:D299"/>
    <mergeCell ref="A300:D300"/>
    <mergeCell ref="A283:D283"/>
    <mergeCell ref="A284:D284"/>
    <mergeCell ref="A285:D285"/>
    <mergeCell ref="A286:D286"/>
    <mergeCell ref="A287:D287"/>
    <mergeCell ref="A288:D288"/>
    <mergeCell ref="A289:D289"/>
    <mergeCell ref="A290:D290"/>
    <mergeCell ref="A291:D291"/>
    <mergeCell ref="A274:D274"/>
    <mergeCell ref="A275:D275"/>
    <mergeCell ref="A276:D276"/>
    <mergeCell ref="A277:D277"/>
    <mergeCell ref="A278:D278"/>
    <mergeCell ref="A279:D279"/>
    <mergeCell ref="A280:D280"/>
    <mergeCell ref="A281:D281"/>
    <mergeCell ref="A282:D282"/>
    <mergeCell ref="A265:D265"/>
    <mergeCell ref="A266:D266"/>
    <mergeCell ref="A267:D267"/>
    <mergeCell ref="A268:D268"/>
    <mergeCell ref="A269:D269"/>
    <mergeCell ref="A270:D270"/>
    <mergeCell ref="A271:D271"/>
    <mergeCell ref="A272:D272"/>
    <mergeCell ref="A273:D273"/>
    <mergeCell ref="A256:D256"/>
    <mergeCell ref="A257:D257"/>
    <mergeCell ref="A258:D258"/>
    <mergeCell ref="A259:D259"/>
    <mergeCell ref="A260:D260"/>
    <mergeCell ref="A261:D261"/>
    <mergeCell ref="A262:D262"/>
    <mergeCell ref="A263:D263"/>
    <mergeCell ref="A264:D264"/>
    <mergeCell ref="A247:D247"/>
    <mergeCell ref="A248:D248"/>
    <mergeCell ref="A249:D249"/>
    <mergeCell ref="A250:D250"/>
    <mergeCell ref="A251:D251"/>
    <mergeCell ref="A252:D252"/>
    <mergeCell ref="A253:D253"/>
    <mergeCell ref="A254:D254"/>
    <mergeCell ref="A255:D255"/>
    <mergeCell ref="A238:D238"/>
    <mergeCell ref="A239:D239"/>
    <mergeCell ref="A240:D240"/>
    <mergeCell ref="A241:D241"/>
    <mergeCell ref="A242:D242"/>
    <mergeCell ref="A243:D243"/>
    <mergeCell ref="A244:D244"/>
    <mergeCell ref="A245:D245"/>
    <mergeCell ref="A246:D246"/>
    <mergeCell ref="A229:D229"/>
    <mergeCell ref="A230:D230"/>
    <mergeCell ref="A231:D231"/>
    <mergeCell ref="A232:D232"/>
    <mergeCell ref="A233:D233"/>
    <mergeCell ref="A234:D234"/>
    <mergeCell ref="A235:D235"/>
    <mergeCell ref="A236:D236"/>
    <mergeCell ref="A237:D237"/>
    <mergeCell ref="A220:D220"/>
    <mergeCell ref="A221:D221"/>
    <mergeCell ref="A222:D222"/>
    <mergeCell ref="A223:D223"/>
    <mergeCell ref="A224:D224"/>
    <mergeCell ref="A225:D225"/>
    <mergeCell ref="A226:D226"/>
    <mergeCell ref="A227:D227"/>
    <mergeCell ref="A228:D228"/>
    <mergeCell ref="A211:D211"/>
    <mergeCell ref="A212:D212"/>
    <mergeCell ref="A213:D213"/>
    <mergeCell ref="A214:D214"/>
    <mergeCell ref="A215:D215"/>
    <mergeCell ref="A216:D216"/>
    <mergeCell ref="A217:D217"/>
    <mergeCell ref="A218:D218"/>
    <mergeCell ref="A219:D219"/>
    <mergeCell ref="A202:D202"/>
    <mergeCell ref="A203:D203"/>
    <mergeCell ref="A204:D204"/>
    <mergeCell ref="A205:D205"/>
    <mergeCell ref="A206:D206"/>
    <mergeCell ref="A207:D207"/>
    <mergeCell ref="A208:D208"/>
    <mergeCell ref="A209:D209"/>
    <mergeCell ref="A210:D210"/>
    <mergeCell ref="A193:D193"/>
    <mergeCell ref="A194:D194"/>
    <mergeCell ref="A195:D195"/>
    <mergeCell ref="A196:D196"/>
    <mergeCell ref="A197:D197"/>
    <mergeCell ref="A198:D198"/>
    <mergeCell ref="A199:D199"/>
    <mergeCell ref="A200:D200"/>
    <mergeCell ref="A201:D201"/>
    <mergeCell ref="A184:D184"/>
    <mergeCell ref="A185:D185"/>
    <mergeCell ref="A186:D186"/>
    <mergeCell ref="A187:D187"/>
    <mergeCell ref="A188:D188"/>
    <mergeCell ref="A189:D189"/>
    <mergeCell ref="A190:D190"/>
    <mergeCell ref="A191:D191"/>
    <mergeCell ref="A192:D192"/>
    <mergeCell ref="A175:D175"/>
    <mergeCell ref="A176:D176"/>
    <mergeCell ref="A177:D177"/>
    <mergeCell ref="A178:D178"/>
    <mergeCell ref="A179:D179"/>
    <mergeCell ref="A180:D180"/>
    <mergeCell ref="A181:D181"/>
    <mergeCell ref="A182:D182"/>
    <mergeCell ref="A183:D183"/>
    <mergeCell ref="A166:D166"/>
    <mergeCell ref="A167:D167"/>
    <mergeCell ref="A168:D168"/>
    <mergeCell ref="A169:D169"/>
    <mergeCell ref="A170:D170"/>
    <mergeCell ref="A171:D171"/>
    <mergeCell ref="A172:D172"/>
    <mergeCell ref="A173:D173"/>
    <mergeCell ref="A174:D174"/>
    <mergeCell ref="A157:D157"/>
    <mergeCell ref="A158:D158"/>
    <mergeCell ref="A159:D159"/>
    <mergeCell ref="A160:D160"/>
    <mergeCell ref="A161:D161"/>
    <mergeCell ref="A162:D162"/>
    <mergeCell ref="A163:D163"/>
    <mergeCell ref="A164:D164"/>
    <mergeCell ref="A165:D165"/>
    <mergeCell ref="A148:D148"/>
    <mergeCell ref="A149:D149"/>
    <mergeCell ref="A150:D150"/>
    <mergeCell ref="A151:D151"/>
    <mergeCell ref="A152:D152"/>
    <mergeCell ref="A153:D153"/>
    <mergeCell ref="A154:D154"/>
    <mergeCell ref="A155:D155"/>
    <mergeCell ref="A156:D156"/>
    <mergeCell ref="A139:D139"/>
    <mergeCell ref="A140:D140"/>
    <mergeCell ref="A141:D141"/>
    <mergeCell ref="A142:D142"/>
    <mergeCell ref="A143:D143"/>
    <mergeCell ref="A144:D144"/>
    <mergeCell ref="A145:D145"/>
    <mergeCell ref="A146:D146"/>
    <mergeCell ref="A147:D147"/>
    <mergeCell ref="A130:D130"/>
    <mergeCell ref="A131:D131"/>
    <mergeCell ref="A132:D132"/>
    <mergeCell ref="A133:D133"/>
    <mergeCell ref="A134:D134"/>
    <mergeCell ref="A135:D135"/>
    <mergeCell ref="A136:D136"/>
    <mergeCell ref="A137:D137"/>
    <mergeCell ref="A138:D138"/>
    <mergeCell ref="A121:D121"/>
    <mergeCell ref="A122:D122"/>
    <mergeCell ref="A123:D123"/>
    <mergeCell ref="A124:D124"/>
    <mergeCell ref="A125:D125"/>
    <mergeCell ref="A126:D126"/>
    <mergeCell ref="A127:D127"/>
    <mergeCell ref="A128:D128"/>
    <mergeCell ref="A129:D129"/>
    <mergeCell ref="A112:D112"/>
    <mergeCell ref="A113:D113"/>
    <mergeCell ref="A114:D114"/>
    <mergeCell ref="A115:D115"/>
    <mergeCell ref="A116:D116"/>
    <mergeCell ref="A117:D117"/>
    <mergeCell ref="A118:D118"/>
    <mergeCell ref="A119:D119"/>
    <mergeCell ref="A120:D120"/>
    <mergeCell ref="A103:D103"/>
    <mergeCell ref="A104:D104"/>
    <mergeCell ref="A105:D105"/>
    <mergeCell ref="A106:D106"/>
    <mergeCell ref="A107:D107"/>
    <mergeCell ref="A108:D108"/>
    <mergeCell ref="A109:D109"/>
    <mergeCell ref="A110:D110"/>
    <mergeCell ref="A111:D111"/>
    <mergeCell ref="A94:D94"/>
    <mergeCell ref="A95:D95"/>
    <mergeCell ref="A96:D96"/>
    <mergeCell ref="A97:D97"/>
    <mergeCell ref="A98:D98"/>
    <mergeCell ref="A99:D99"/>
    <mergeCell ref="A100:D100"/>
    <mergeCell ref="A101:D101"/>
    <mergeCell ref="A102:D102"/>
    <mergeCell ref="A85:D85"/>
    <mergeCell ref="A86:D86"/>
    <mergeCell ref="A87:D87"/>
    <mergeCell ref="A88:D88"/>
    <mergeCell ref="A89:D89"/>
    <mergeCell ref="A90:D90"/>
    <mergeCell ref="A91:D91"/>
    <mergeCell ref="A92:D92"/>
    <mergeCell ref="A93:D93"/>
    <mergeCell ref="A76:D76"/>
    <mergeCell ref="A77:D77"/>
    <mergeCell ref="A78:D78"/>
    <mergeCell ref="A79:D79"/>
    <mergeCell ref="A80:D80"/>
    <mergeCell ref="A81:D81"/>
    <mergeCell ref="A82:D82"/>
    <mergeCell ref="A83:D83"/>
    <mergeCell ref="A84:D84"/>
    <mergeCell ref="A67:D67"/>
    <mergeCell ref="A68:D68"/>
    <mergeCell ref="A69:D69"/>
    <mergeCell ref="A70:D70"/>
    <mergeCell ref="A71:D71"/>
    <mergeCell ref="A72:D72"/>
    <mergeCell ref="A73:D73"/>
    <mergeCell ref="A74:D74"/>
    <mergeCell ref="A75:D75"/>
    <mergeCell ref="A59:D59"/>
    <mergeCell ref="A60:D60"/>
    <mergeCell ref="A61:D61"/>
    <mergeCell ref="A62:D62"/>
    <mergeCell ref="A63:D63"/>
    <mergeCell ref="A64:D64"/>
    <mergeCell ref="A65:D65"/>
    <mergeCell ref="A66:D66"/>
    <mergeCell ref="A49:D49"/>
    <mergeCell ref="A50:D50"/>
    <mergeCell ref="A51:D51"/>
    <mergeCell ref="A52:D52"/>
    <mergeCell ref="A53:D53"/>
    <mergeCell ref="A54:D54"/>
    <mergeCell ref="A55:D55"/>
    <mergeCell ref="A56:D56"/>
    <mergeCell ref="A57:D57"/>
    <mergeCell ref="B1:D1"/>
    <mergeCell ref="B3:J3"/>
    <mergeCell ref="B2:J2"/>
    <mergeCell ref="F1:H1"/>
    <mergeCell ref="A7:D7"/>
    <mergeCell ref="A8:D8"/>
    <mergeCell ref="A9:D9"/>
    <mergeCell ref="E432:G432"/>
    <mergeCell ref="A430:D430"/>
    <mergeCell ref="B5:D5"/>
    <mergeCell ref="F5:G5"/>
    <mergeCell ref="A429:D429"/>
    <mergeCell ref="E7:G7"/>
    <mergeCell ref="E8:G8"/>
    <mergeCell ref="E9:G9"/>
    <mergeCell ref="A40:D40"/>
    <mergeCell ref="A41:D41"/>
    <mergeCell ref="A42:D42"/>
    <mergeCell ref="A43:D43"/>
    <mergeCell ref="A44:D44"/>
    <mergeCell ref="A45:D45"/>
    <mergeCell ref="A46:D46"/>
    <mergeCell ref="A47:D47"/>
    <mergeCell ref="A48:D48"/>
    <mergeCell ref="A31:D31"/>
    <mergeCell ref="A32:D32"/>
    <mergeCell ref="A33:D33"/>
    <mergeCell ref="A34:D34"/>
    <mergeCell ref="A35:D35"/>
    <mergeCell ref="A36:D36"/>
    <mergeCell ref="A37:D37"/>
    <mergeCell ref="A38:D38"/>
    <mergeCell ref="E429:G429"/>
    <mergeCell ref="E434:G434"/>
    <mergeCell ref="A6:D6"/>
    <mergeCell ref="E6:G6"/>
    <mergeCell ref="H6:J6"/>
    <mergeCell ref="H7:J7"/>
    <mergeCell ref="H8:J8"/>
    <mergeCell ref="H9:J9"/>
    <mergeCell ref="A10:D10"/>
    <mergeCell ref="A11:D11"/>
    <mergeCell ref="A12:D12"/>
    <mergeCell ref="A13:D13"/>
    <mergeCell ref="A14:D14"/>
    <mergeCell ref="A15:D15"/>
    <mergeCell ref="A16:D16"/>
    <mergeCell ref="A17:D17"/>
    <mergeCell ref="A18:D18"/>
    <mergeCell ref="A19:D19"/>
    <mergeCell ref="A20:D20"/>
    <mergeCell ref="A21:D21"/>
    <mergeCell ref="H429:J429"/>
    <mergeCell ref="A22:D22"/>
    <mergeCell ref="A23:D23"/>
    <mergeCell ref="A24:D24"/>
    <mergeCell ref="A25:D25"/>
    <mergeCell ref="A26:D26"/>
    <mergeCell ref="A27:D27"/>
    <mergeCell ref="A28:D28"/>
    <mergeCell ref="A29:D29"/>
    <mergeCell ref="A30:D30"/>
    <mergeCell ref="A39:D39"/>
    <mergeCell ref="A58:D58"/>
    <mergeCell ref="H440:I440"/>
    <mergeCell ref="H433:J433"/>
    <mergeCell ref="H430:J430"/>
    <mergeCell ref="H431:J431"/>
    <mergeCell ref="H432:J432"/>
    <mergeCell ref="A435:J435"/>
    <mergeCell ref="A433:D433"/>
    <mergeCell ref="A431:D431"/>
    <mergeCell ref="E430:G430"/>
    <mergeCell ref="E431:G431"/>
    <mergeCell ref="H439:I439"/>
    <mergeCell ref="C436:D436"/>
    <mergeCell ref="C438:D438"/>
    <mergeCell ref="C439:D439"/>
    <mergeCell ref="C437:D437"/>
    <mergeCell ref="A432:D432"/>
    <mergeCell ref="H436:I436"/>
    <mergeCell ref="H437:I437"/>
    <mergeCell ref="H438:I438"/>
    <mergeCell ref="A434:D434"/>
    <mergeCell ref="E433:G433"/>
  </mergeCells>
  <phoneticPr fontId="2"/>
  <conditionalFormatting sqref="E433:G433">
    <cfRule type="cellIs" dxfId="1" priority="1" stopIfTrue="1" operator="equal">
      <formula>"                   ERR"</formula>
    </cfRule>
  </conditionalFormatting>
  <conditionalFormatting sqref="H433">
    <cfRule type="cellIs" dxfId="0" priority="2" stopIfTrue="1" operator="equal">
      <formula>"             ERR"</formula>
    </cfRule>
  </conditionalFormatting>
  <hyperlinks>
    <hyperlink ref="A441" r:id="rId1"/>
  </hyperlinks>
  <pageMargins left="0.98425196850393704" right="0.39370078740157483" top="0.39370078740157483" bottom="0.39370078740157483" header="0.51181102362204722" footer="0.51181102362204722"/>
  <pageSetup paperSize="9" scale="66" orientation="portrait" horizontalDpi="300" verticalDpi="300"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2:H432"/>
  <sheetViews>
    <sheetView view="pageBreakPreview" topLeftCell="A19" zoomScale="60" zoomScaleNormal="70" workbookViewId="0">
      <selection activeCell="A50" sqref="A50"/>
    </sheetView>
  </sheetViews>
  <sheetFormatPr defaultRowHeight="13.5" x14ac:dyDescent="0.15"/>
  <cols>
    <col min="1" max="1" width="33.625" customWidth="1"/>
    <col min="2" max="2" width="28.375" customWidth="1"/>
    <col min="7" max="8" width="9.625" bestFit="1" customWidth="1"/>
  </cols>
  <sheetData>
    <row r="2" spans="1:8" x14ac:dyDescent="0.15">
      <c r="G2" s="16" t="s">
        <v>40</v>
      </c>
    </row>
    <row r="3" spans="1:8" x14ac:dyDescent="0.15">
      <c r="A3" s="224" t="s">
        <v>25</v>
      </c>
      <c r="B3" s="225" t="s">
        <v>52</v>
      </c>
      <c r="C3" s="340" t="s">
        <v>26</v>
      </c>
      <c r="D3" s="340"/>
      <c r="E3" s="341"/>
      <c r="G3" s="24" t="s">
        <v>30</v>
      </c>
      <c r="H3" s="25" t="s">
        <v>31</v>
      </c>
    </row>
    <row r="4" spans="1:8" x14ac:dyDescent="0.15">
      <c r="A4" s="213" t="s">
        <v>16</v>
      </c>
      <c r="B4" s="214"/>
      <c r="C4" s="306"/>
      <c r="D4" s="306"/>
      <c r="E4" s="336"/>
      <c r="G4" s="20"/>
      <c r="H4" s="21"/>
    </row>
    <row r="5" spans="1:8" ht="14.25" x14ac:dyDescent="0.15">
      <c r="A5" s="229"/>
      <c r="B5" s="230"/>
      <c r="C5" s="311">
        <f>+G5+H5</f>
        <v>0</v>
      </c>
      <c r="D5" s="311"/>
      <c r="E5" s="312"/>
      <c r="G5" s="36"/>
      <c r="H5" s="37"/>
    </row>
    <row r="6" spans="1:8" ht="14.25" x14ac:dyDescent="0.15">
      <c r="A6" s="228"/>
      <c r="B6" s="226"/>
      <c r="C6" s="311">
        <f t="shared" ref="C6:C90" si="0">+G6+H6</f>
        <v>0</v>
      </c>
      <c r="D6" s="311"/>
      <c r="E6" s="312"/>
      <c r="G6" s="36"/>
      <c r="H6" s="37"/>
    </row>
    <row r="7" spans="1:8" ht="14.25" x14ac:dyDescent="0.15">
      <c r="A7" s="217" t="s">
        <v>254</v>
      </c>
      <c r="B7" s="226"/>
      <c r="C7" s="311">
        <f t="shared" si="0"/>
        <v>0</v>
      </c>
      <c r="D7" s="311"/>
      <c r="E7" s="312"/>
      <c r="G7" s="36"/>
      <c r="H7" s="37"/>
    </row>
    <row r="8" spans="1:8" ht="14.25" x14ac:dyDescent="0.15">
      <c r="A8" s="217"/>
      <c r="B8" s="219"/>
      <c r="C8" s="311">
        <f t="shared" si="0"/>
        <v>0</v>
      </c>
      <c r="D8" s="311"/>
      <c r="E8" s="312"/>
      <c r="G8" s="36"/>
      <c r="H8" s="37"/>
    </row>
    <row r="9" spans="1:8" ht="14.25" x14ac:dyDescent="0.15">
      <c r="A9" s="217" t="s">
        <v>255</v>
      </c>
      <c r="B9" s="219">
        <v>1009000</v>
      </c>
      <c r="C9" s="311">
        <f t="shared" si="0"/>
        <v>0</v>
      </c>
      <c r="D9" s="311"/>
      <c r="E9" s="312"/>
      <c r="G9" s="36"/>
      <c r="H9" s="37"/>
    </row>
    <row r="10" spans="1:8" ht="14.25" x14ac:dyDescent="0.15">
      <c r="A10" s="217" t="s">
        <v>256</v>
      </c>
      <c r="B10" s="219">
        <v>1038000</v>
      </c>
      <c r="C10" s="311">
        <f t="shared" si="0"/>
        <v>0</v>
      </c>
      <c r="D10" s="311"/>
      <c r="E10" s="312"/>
      <c r="G10" s="36"/>
      <c r="H10" s="37"/>
    </row>
    <row r="11" spans="1:8" ht="14.25" x14ac:dyDescent="0.15">
      <c r="A11" s="217" t="s">
        <v>257</v>
      </c>
      <c r="B11" s="219">
        <v>1396000</v>
      </c>
      <c r="C11" s="311">
        <f t="shared" ref="C11:C46" si="1">+G11+H11</f>
        <v>0</v>
      </c>
      <c r="D11" s="311"/>
      <c r="E11" s="312"/>
      <c r="G11" s="36"/>
      <c r="H11" s="37"/>
    </row>
    <row r="12" spans="1:8" ht="14.25" x14ac:dyDescent="0.15">
      <c r="A12" s="217" t="s">
        <v>258</v>
      </c>
      <c r="B12" s="219">
        <v>1086000</v>
      </c>
      <c r="C12" s="311">
        <f t="shared" si="1"/>
        <v>0</v>
      </c>
      <c r="D12" s="311"/>
      <c r="E12" s="312"/>
      <c r="G12" s="36"/>
      <c r="H12" s="37"/>
    </row>
    <row r="13" spans="1:8" ht="14.25" x14ac:dyDescent="0.15">
      <c r="A13" s="217" t="s">
        <v>259</v>
      </c>
      <c r="B13" s="219">
        <v>1009000</v>
      </c>
      <c r="C13" s="311">
        <f t="shared" si="1"/>
        <v>0</v>
      </c>
      <c r="D13" s="311"/>
      <c r="E13" s="312"/>
      <c r="G13" s="36"/>
      <c r="H13" s="37"/>
    </row>
    <row r="14" spans="1:8" ht="14.25" x14ac:dyDescent="0.15">
      <c r="A14" s="217" t="s">
        <v>260</v>
      </c>
      <c r="B14" s="219">
        <v>1947000</v>
      </c>
      <c r="C14" s="311">
        <f t="shared" si="1"/>
        <v>0</v>
      </c>
      <c r="D14" s="311"/>
      <c r="E14" s="312"/>
      <c r="G14" s="36"/>
      <c r="H14" s="37"/>
    </row>
    <row r="15" spans="1:8" ht="14.25" x14ac:dyDescent="0.15">
      <c r="A15" s="217" t="s">
        <v>261</v>
      </c>
      <c r="B15" s="219">
        <v>1009000</v>
      </c>
      <c r="C15" s="311">
        <f t="shared" si="1"/>
        <v>0</v>
      </c>
      <c r="D15" s="311"/>
      <c r="E15" s="312"/>
      <c r="G15" s="36"/>
      <c r="H15" s="37"/>
    </row>
    <row r="16" spans="1:8" ht="14.25" x14ac:dyDescent="0.15">
      <c r="A16" s="217" t="s">
        <v>262</v>
      </c>
      <c r="B16" s="219">
        <v>981000</v>
      </c>
      <c r="C16" s="311">
        <f t="shared" si="1"/>
        <v>0</v>
      </c>
      <c r="D16" s="311"/>
      <c r="E16" s="312"/>
      <c r="G16" s="36"/>
      <c r="H16" s="37"/>
    </row>
    <row r="17" spans="1:8" ht="14.25" x14ac:dyDescent="0.15">
      <c r="A17" s="217" t="s">
        <v>263</v>
      </c>
      <c r="B17" s="219">
        <v>1608000</v>
      </c>
      <c r="C17" s="311">
        <f t="shared" si="1"/>
        <v>0</v>
      </c>
      <c r="D17" s="311"/>
      <c r="E17" s="312"/>
      <c r="G17" s="36"/>
      <c r="H17" s="37"/>
    </row>
    <row r="18" spans="1:8" ht="14.25" x14ac:dyDescent="0.15">
      <c r="A18" s="217" t="s">
        <v>264</v>
      </c>
      <c r="B18" s="219">
        <v>623000</v>
      </c>
      <c r="C18" s="311">
        <f t="shared" si="1"/>
        <v>0</v>
      </c>
      <c r="D18" s="311"/>
      <c r="E18" s="312"/>
      <c r="G18" s="36"/>
      <c r="H18" s="37"/>
    </row>
    <row r="19" spans="1:8" ht="14.25" x14ac:dyDescent="0.15">
      <c r="A19" s="217" t="s">
        <v>265</v>
      </c>
      <c r="B19" s="219">
        <v>1106000</v>
      </c>
      <c r="C19" s="311">
        <f t="shared" si="1"/>
        <v>0</v>
      </c>
      <c r="D19" s="311"/>
      <c r="E19" s="312"/>
      <c r="G19" s="36"/>
      <c r="H19" s="37"/>
    </row>
    <row r="20" spans="1:8" ht="14.25" x14ac:dyDescent="0.15">
      <c r="A20" s="217" t="s">
        <v>266</v>
      </c>
      <c r="B20" s="219">
        <v>1038000</v>
      </c>
      <c r="C20" s="311">
        <f t="shared" si="1"/>
        <v>0</v>
      </c>
      <c r="D20" s="311"/>
      <c r="E20" s="312"/>
      <c r="G20" s="36"/>
      <c r="H20" s="37"/>
    </row>
    <row r="21" spans="1:8" ht="14.25" x14ac:dyDescent="0.15">
      <c r="A21" s="217" t="s">
        <v>267</v>
      </c>
      <c r="B21" s="219">
        <v>999000</v>
      </c>
      <c r="C21" s="311">
        <f t="shared" si="1"/>
        <v>0</v>
      </c>
      <c r="D21" s="311"/>
      <c r="E21" s="312"/>
      <c r="G21" s="36"/>
      <c r="H21" s="37"/>
    </row>
    <row r="22" spans="1:8" ht="14.25" x14ac:dyDescent="0.15">
      <c r="A22" s="217" t="s">
        <v>268</v>
      </c>
      <c r="B22" s="219">
        <v>1473000</v>
      </c>
      <c r="C22" s="311">
        <f t="shared" si="1"/>
        <v>0</v>
      </c>
      <c r="D22" s="311"/>
      <c r="E22" s="312"/>
      <c r="G22" s="36"/>
      <c r="H22" s="37"/>
    </row>
    <row r="23" spans="1:8" ht="14.25" x14ac:dyDescent="0.15">
      <c r="A23" s="217" t="s">
        <v>269</v>
      </c>
      <c r="B23" s="219">
        <v>1337000</v>
      </c>
      <c r="C23" s="311">
        <f t="shared" si="1"/>
        <v>0</v>
      </c>
      <c r="D23" s="311"/>
      <c r="E23" s="312"/>
      <c r="G23" s="36"/>
      <c r="H23" s="37"/>
    </row>
    <row r="24" spans="1:8" ht="14.25" x14ac:dyDescent="0.15">
      <c r="A24" s="217" t="s">
        <v>270</v>
      </c>
      <c r="B24" s="219">
        <v>1047000</v>
      </c>
      <c r="C24" s="311">
        <f t="shared" si="1"/>
        <v>0</v>
      </c>
      <c r="D24" s="311"/>
      <c r="E24" s="312"/>
      <c r="G24" s="36"/>
      <c r="H24" s="37"/>
    </row>
    <row r="25" spans="1:8" ht="14.25" x14ac:dyDescent="0.15">
      <c r="A25" s="217" t="s">
        <v>271</v>
      </c>
      <c r="B25" s="219">
        <v>1077000</v>
      </c>
      <c r="C25" s="311">
        <f t="shared" si="1"/>
        <v>0</v>
      </c>
      <c r="D25" s="311"/>
      <c r="E25" s="312"/>
      <c r="G25" s="36"/>
      <c r="H25" s="37"/>
    </row>
    <row r="26" spans="1:8" ht="14.25" x14ac:dyDescent="0.15">
      <c r="A26" s="218" t="s">
        <v>272</v>
      </c>
      <c r="B26" s="221">
        <v>1067000</v>
      </c>
      <c r="C26" s="283">
        <f t="shared" si="1"/>
        <v>0</v>
      </c>
      <c r="D26" s="284"/>
      <c r="E26" s="285"/>
      <c r="G26" s="36"/>
      <c r="H26" s="37"/>
    </row>
    <row r="27" spans="1:8" ht="14.25" x14ac:dyDescent="0.15">
      <c r="A27" s="217"/>
      <c r="B27" s="219"/>
      <c r="C27" s="311">
        <f t="shared" si="1"/>
        <v>0</v>
      </c>
      <c r="D27" s="311"/>
      <c r="E27" s="312"/>
      <c r="G27" s="36"/>
      <c r="H27" s="37"/>
    </row>
    <row r="28" spans="1:8" ht="14.25" hidden="1" x14ac:dyDescent="0.15">
      <c r="A28" s="218"/>
      <c r="B28" s="221"/>
      <c r="C28" s="283">
        <f t="shared" si="1"/>
        <v>0</v>
      </c>
      <c r="D28" s="284"/>
      <c r="E28" s="285"/>
      <c r="G28" s="36"/>
      <c r="H28" s="37"/>
    </row>
    <row r="29" spans="1:8" ht="14.25" hidden="1" x14ac:dyDescent="0.15">
      <c r="A29" s="218"/>
      <c r="B29" s="221"/>
      <c r="C29" s="283">
        <f t="shared" si="1"/>
        <v>0</v>
      </c>
      <c r="D29" s="284"/>
      <c r="E29" s="285"/>
      <c r="G29" s="36"/>
      <c r="H29" s="37"/>
    </row>
    <row r="30" spans="1:8" ht="14.25" hidden="1" x14ac:dyDescent="0.15">
      <c r="A30" s="218"/>
      <c r="B30" s="221"/>
      <c r="C30" s="283">
        <f t="shared" si="1"/>
        <v>0</v>
      </c>
      <c r="D30" s="284"/>
      <c r="E30" s="285"/>
      <c r="G30" s="36"/>
      <c r="H30" s="37"/>
    </row>
    <row r="31" spans="1:8" ht="14.25" hidden="1" x14ac:dyDescent="0.15">
      <c r="A31" s="218"/>
      <c r="B31" s="221"/>
      <c r="C31" s="283">
        <f t="shared" si="1"/>
        <v>0</v>
      </c>
      <c r="D31" s="284"/>
      <c r="E31" s="285"/>
      <c r="G31" s="36"/>
      <c r="H31" s="37"/>
    </row>
    <row r="32" spans="1:8" ht="14.25" hidden="1" x14ac:dyDescent="0.15">
      <c r="A32" s="218"/>
      <c r="B32" s="221"/>
      <c r="C32" s="283">
        <f t="shared" si="1"/>
        <v>0</v>
      </c>
      <c r="D32" s="284"/>
      <c r="E32" s="285"/>
      <c r="G32" s="36"/>
      <c r="H32" s="37"/>
    </row>
    <row r="33" spans="1:8" ht="14.25" hidden="1" x14ac:dyDescent="0.15">
      <c r="A33" s="218"/>
      <c r="B33" s="221"/>
      <c r="C33" s="283">
        <f t="shared" si="1"/>
        <v>0</v>
      </c>
      <c r="D33" s="284"/>
      <c r="E33" s="285"/>
      <c r="G33" s="36"/>
      <c r="H33" s="37"/>
    </row>
    <row r="34" spans="1:8" ht="14.25" hidden="1" x14ac:dyDescent="0.15">
      <c r="A34" s="218"/>
      <c r="B34" s="221"/>
      <c r="C34" s="283">
        <f t="shared" si="1"/>
        <v>0</v>
      </c>
      <c r="D34" s="284"/>
      <c r="E34" s="285"/>
      <c r="G34" s="36"/>
      <c r="H34" s="37"/>
    </row>
    <row r="35" spans="1:8" ht="14.25" hidden="1" x14ac:dyDescent="0.15">
      <c r="A35" s="218"/>
      <c r="B35" s="221"/>
      <c r="C35" s="283">
        <f t="shared" si="1"/>
        <v>0</v>
      </c>
      <c r="D35" s="284"/>
      <c r="E35" s="285"/>
      <c r="G35" s="36"/>
      <c r="H35" s="37"/>
    </row>
    <row r="36" spans="1:8" ht="14.25" hidden="1" x14ac:dyDescent="0.15">
      <c r="A36" s="218"/>
      <c r="B36" s="221"/>
      <c r="C36" s="283">
        <f t="shared" si="1"/>
        <v>0</v>
      </c>
      <c r="D36" s="284"/>
      <c r="E36" s="285"/>
      <c r="G36" s="36"/>
      <c r="H36" s="37"/>
    </row>
    <row r="37" spans="1:8" ht="14.25" hidden="1" x14ac:dyDescent="0.15">
      <c r="A37" s="218"/>
      <c r="B37" s="221"/>
      <c r="C37" s="283">
        <f t="shared" si="1"/>
        <v>0</v>
      </c>
      <c r="D37" s="284"/>
      <c r="E37" s="285"/>
      <c r="G37" s="36"/>
      <c r="H37" s="37"/>
    </row>
    <row r="38" spans="1:8" ht="14.25" hidden="1" x14ac:dyDescent="0.15">
      <c r="A38" s="218"/>
      <c r="B38" s="221"/>
      <c r="C38" s="283">
        <f t="shared" si="1"/>
        <v>0</v>
      </c>
      <c r="D38" s="284"/>
      <c r="E38" s="285"/>
      <c r="G38" s="36"/>
      <c r="H38" s="37"/>
    </row>
    <row r="39" spans="1:8" ht="14.25" hidden="1" x14ac:dyDescent="0.15">
      <c r="A39" s="218"/>
      <c r="B39" s="221"/>
      <c r="C39" s="283">
        <f t="shared" si="1"/>
        <v>0</v>
      </c>
      <c r="D39" s="284"/>
      <c r="E39" s="285"/>
      <c r="G39" s="36"/>
      <c r="H39" s="37"/>
    </row>
    <row r="40" spans="1:8" ht="14.25" hidden="1" x14ac:dyDescent="0.15">
      <c r="A40" s="218"/>
      <c r="B40" s="221"/>
      <c r="C40" s="283">
        <f t="shared" si="1"/>
        <v>0</v>
      </c>
      <c r="D40" s="284"/>
      <c r="E40" s="285"/>
      <c r="G40" s="36"/>
      <c r="H40" s="37"/>
    </row>
    <row r="41" spans="1:8" ht="14.25" hidden="1" x14ac:dyDescent="0.15">
      <c r="A41" s="218"/>
      <c r="B41" s="221"/>
      <c r="C41" s="283">
        <f t="shared" si="1"/>
        <v>0</v>
      </c>
      <c r="D41" s="284"/>
      <c r="E41" s="285"/>
      <c r="G41" s="36"/>
      <c r="H41" s="37"/>
    </row>
    <row r="42" spans="1:8" ht="14.25" hidden="1" x14ac:dyDescent="0.15">
      <c r="A42" s="218"/>
      <c r="B42" s="221"/>
      <c r="C42" s="283">
        <f t="shared" si="1"/>
        <v>0</v>
      </c>
      <c r="D42" s="284"/>
      <c r="E42" s="285"/>
      <c r="G42" s="36"/>
      <c r="H42" s="37"/>
    </row>
    <row r="43" spans="1:8" ht="14.25" hidden="1" x14ac:dyDescent="0.15">
      <c r="A43" s="218"/>
      <c r="B43" s="221"/>
      <c r="C43" s="283">
        <f t="shared" si="1"/>
        <v>0</v>
      </c>
      <c r="D43" s="284"/>
      <c r="E43" s="285"/>
      <c r="G43" s="36"/>
      <c r="H43" s="37"/>
    </row>
    <row r="44" spans="1:8" ht="14.25" hidden="1" x14ac:dyDescent="0.15">
      <c r="A44" s="218"/>
      <c r="B44" s="221"/>
      <c r="C44" s="283">
        <f t="shared" si="1"/>
        <v>0</v>
      </c>
      <c r="D44" s="284"/>
      <c r="E44" s="285"/>
      <c r="G44" s="36"/>
      <c r="H44" s="37"/>
    </row>
    <row r="45" spans="1:8" ht="14.25" hidden="1" x14ac:dyDescent="0.15">
      <c r="A45" s="218"/>
      <c r="B45" s="221"/>
      <c r="C45" s="283">
        <f t="shared" si="1"/>
        <v>0</v>
      </c>
      <c r="D45" s="284"/>
      <c r="E45" s="285"/>
      <c r="G45" s="36"/>
      <c r="H45" s="37"/>
    </row>
    <row r="46" spans="1:8" ht="14.25" x14ac:dyDescent="0.15">
      <c r="A46" s="218"/>
      <c r="B46" s="221"/>
      <c r="C46" s="283">
        <f t="shared" si="1"/>
        <v>0</v>
      </c>
      <c r="D46" s="284"/>
      <c r="E46" s="285"/>
      <c r="G46" s="36"/>
      <c r="H46" s="37"/>
    </row>
    <row r="47" spans="1:8" ht="14.25" x14ac:dyDescent="0.15">
      <c r="A47" s="217"/>
      <c r="B47" s="219"/>
      <c r="C47" s="311">
        <f t="shared" si="0"/>
        <v>0</v>
      </c>
      <c r="D47" s="311"/>
      <c r="E47" s="312"/>
      <c r="G47" s="36"/>
      <c r="H47" s="37"/>
    </row>
    <row r="48" spans="1:8" ht="14.25" x14ac:dyDescent="0.15">
      <c r="A48" s="215"/>
      <c r="B48" s="216"/>
      <c r="C48" s="311">
        <f t="shared" si="0"/>
        <v>0</v>
      </c>
      <c r="D48" s="311"/>
      <c r="E48" s="312"/>
      <c r="G48" s="36"/>
      <c r="H48" s="37"/>
    </row>
    <row r="49" spans="1:8" ht="14.25" x14ac:dyDescent="0.15">
      <c r="A49" s="217" t="s">
        <v>275</v>
      </c>
      <c r="B49" s="216"/>
      <c r="C49" s="311">
        <f t="shared" si="0"/>
        <v>0</v>
      </c>
      <c r="D49" s="311"/>
      <c r="E49" s="312"/>
      <c r="G49" s="36"/>
      <c r="H49" s="37"/>
    </row>
    <row r="50" spans="1:8" ht="14.25" x14ac:dyDescent="0.15">
      <c r="A50" s="217"/>
      <c r="B50" s="219"/>
      <c r="C50" s="311">
        <f t="shared" si="0"/>
        <v>0</v>
      </c>
      <c r="D50" s="311"/>
      <c r="E50" s="312"/>
      <c r="G50" s="36"/>
      <c r="H50" s="37"/>
    </row>
    <row r="51" spans="1:8" ht="14.25" x14ac:dyDescent="0.15">
      <c r="A51" s="217" t="s">
        <v>273</v>
      </c>
      <c r="B51" s="219">
        <v>1038000</v>
      </c>
      <c r="C51" s="311">
        <f t="shared" si="0"/>
        <v>0</v>
      </c>
      <c r="D51" s="311"/>
      <c r="E51" s="312"/>
      <c r="G51" s="36"/>
      <c r="H51" s="37"/>
    </row>
    <row r="52" spans="1:8" ht="14.25" x14ac:dyDescent="0.15">
      <c r="A52" s="218" t="s">
        <v>274</v>
      </c>
      <c r="B52" s="219">
        <v>623000</v>
      </c>
      <c r="C52" s="311">
        <f t="shared" si="0"/>
        <v>0</v>
      </c>
      <c r="D52" s="311"/>
      <c r="E52" s="312"/>
      <c r="G52" s="36"/>
      <c r="H52" s="37"/>
    </row>
    <row r="53" spans="1:8" ht="14.25" x14ac:dyDescent="0.15">
      <c r="A53" s="218"/>
      <c r="B53" s="219"/>
      <c r="C53" s="311">
        <f t="shared" ref="C53:C88" si="2">+G53+H53</f>
        <v>0</v>
      </c>
      <c r="D53" s="311"/>
      <c r="E53" s="312"/>
      <c r="G53" s="36"/>
      <c r="H53" s="37"/>
    </row>
    <row r="54" spans="1:8" ht="14.25" hidden="1" x14ac:dyDescent="0.15">
      <c r="A54" s="117"/>
      <c r="B54" s="219"/>
      <c r="C54" s="311">
        <f t="shared" si="2"/>
        <v>0</v>
      </c>
      <c r="D54" s="311"/>
      <c r="E54" s="312"/>
      <c r="G54" s="36"/>
      <c r="H54" s="37"/>
    </row>
    <row r="55" spans="1:8" ht="14.25" hidden="1" x14ac:dyDescent="0.15">
      <c r="A55" s="117"/>
      <c r="B55" s="219"/>
      <c r="C55" s="311">
        <f t="shared" si="2"/>
        <v>0</v>
      </c>
      <c r="D55" s="311"/>
      <c r="E55" s="312"/>
      <c r="G55" s="36"/>
      <c r="H55" s="37"/>
    </row>
    <row r="56" spans="1:8" ht="14.25" hidden="1" x14ac:dyDescent="0.15">
      <c r="A56" s="117"/>
      <c r="B56" s="220"/>
      <c r="C56" s="311">
        <f t="shared" si="2"/>
        <v>0</v>
      </c>
      <c r="D56" s="311"/>
      <c r="E56" s="312"/>
      <c r="G56" s="36"/>
      <c r="H56" s="37"/>
    </row>
    <row r="57" spans="1:8" ht="14.25" hidden="1" x14ac:dyDescent="0.15">
      <c r="A57" s="117"/>
      <c r="B57" s="220"/>
      <c r="C57" s="311">
        <f t="shared" si="2"/>
        <v>0</v>
      </c>
      <c r="D57" s="311"/>
      <c r="E57" s="312"/>
      <c r="G57" s="36"/>
      <c r="H57" s="37"/>
    </row>
    <row r="58" spans="1:8" ht="14.25" hidden="1" x14ac:dyDescent="0.15">
      <c r="A58" s="117"/>
      <c r="B58" s="220"/>
      <c r="C58" s="311">
        <f t="shared" si="2"/>
        <v>0</v>
      </c>
      <c r="D58" s="311"/>
      <c r="E58" s="312"/>
      <c r="G58" s="36"/>
      <c r="H58" s="37"/>
    </row>
    <row r="59" spans="1:8" ht="14.25" hidden="1" x14ac:dyDescent="0.15">
      <c r="A59" s="117"/>
      <c r="B59" s="220"/>
      <c r="C59" s="311">
        <f t="shared" si="2"/>
        <v>0</v>
      </c>
      <c r="D59" s="311"/>
      <c r="E59" s="312"/>
      <c r="G59" s="36"/>
      <c r="H59" s="37"/>
    </row>
    <row r="60" spans="1:8" ht="14.25" hidden="1" x14ac:dyDescent="0.15">
      <c r="A60" s="117"/>
      <c r="B60" s="220"/>
      <c r="C60" s="311">
        <f t="shared" si="2"/>
        <v>0</v>
      </c>
      <c r="D60" s="311"/>
      <c r="E60" s="312"/>
      <c r="G60" s="36"/>
      <c r="H60" s="37"/>
    </row>
    <row r="61" spans="1:8" ht="14.25" hidden="1" x14ac:dyDescent="0.15">
      <c r="A61" s="117"/>
      <c r="B61" s="220"/>
      <c r="C61" s="311">
        <f t="shared" si="2"/>
        <v>0</v>
      </c>
      <c r="D61" s="311"/>
      <c r="E61" s="312"/>
      <c r="G61" s="36"/>
      <c r="H61" s="37"/>
    </row>
    <row r="62" spans="1:8" ht="14.25" hidden="1" x14ac:dyDescent="0.15">
      <c r="A62" s="117"/>
      <c r="B62" s="220"/>
      <c r="C62" s="311">
        <f t="shared" si="2"/>
        <v>0</v>
      </c>
      <c r="D62" s="311"/>
      <c r="E62" s="312"/>
      <c r="G62" s="36"/>
      <c r="H62" s="37"/>
    </row>
    <row r="63" spans="1:8" ht="14.25" hidden="1" x14ac:dyDescent="0.15">
      <c r="A63" s="117"/>
      <c r="B63" s="220"/>
      <c r="C63" s="311">
        <f t="shared" si="2"/>
        <v>0</v>
      </c>
      <c r="D63" s="311"/>
      <c r="E63" s="312"/>
      <c r="G63" s="36"/>
      <c r="H63" s="37"/>
    </row>
    <row r="64" spans="1:8" ht="14.25" hidden="1" x14ac:dyDescent="0.15">
      <c r="A64" s="117"/>
      <c r="B64" s="220"/>
      <c r="C64" s="311">
        <f t="shared" si="2"/>
        <v>0</v>
      </c>
      <c r="D64" s="311"/>
      <c r="E64" s="312"/>
      <c r="G64" s="36"/>
      <c r="H64" s="37"/>
    </row>
    <row r="65" spans="1:8" ht="14.25" hidden="1" x14ac:dyDescent="0.15">
      <c r="A65" s="117"/>
      <c r="B65" s="220"/>
      <c r="C65" s="311">
        <f t="shared" si="2"/>
        <v>0</v>
      </c>
      <c r="D65" s="311"/>
      <c r="E65" s="312"/>
      <c r="G65" s="36"/>
      <c r="H65" s="37"/>
    </row>
    <row r="66" spans="1:8" ht="14.25" hidden="1" x14ac:dyDescent="0.15">
      <c r="A66" s="218"/>
      <c r="B66" s="220"/>
      <c r="C66" s="311">
        <f t="shared" si="2"/>
        <v>0</v>
      </c>
      <c r="D66" s="311"/>
      <c r="E66" s="312"/>
      <c r="G66" s="36"/>
      <c r="H66" s="37"/>
    </row>
    <row r="67" spans="1:8" ht="14.25" hidden="1" x14ac:dyDescent="0.15">
      <c r="A67" s="218"/>
      <c r="B67" s="220"/>
      <c r="C67" s="311">
        <f t="shared" si="2"/>
        <v>0</v>
      </c>
      <c r="D67" s="311"/>
      <c r="E67" s="312"/>
      <c r="G67" s="36"/>
      <c r="H67" s="37"/>
    </row>
    <row r="68" spans="1:8" ht="14.25" hidden="1" x14ac:dyDescent="0.15">
      <c r="A68" s="218"/>
      <c r="B68" s="220"/>
      <c r="C68" s="311">
        <f t="shared" si="2"/>
        <v>0</v>
      </c>
      <c r="D68" s="311"/>
      <c r="E68" s="312"/>
      <c r="G68" s="36"/>
      <c r="H68" s="37"/>
    </row>
    <row r="69" spans="1:8" ht="14.25" hidden="1" x14ac:dyDescent="0.15">
      <c r="A69" s="218"/>
      <c r="B69" s="220"/>
      <c r="C69" s="311">
        <f t="shared" si="2"/>
        <v>0</v>
      </c>
      <c r="D69" s="311"/>
      <c r="E69" s="312"/>
      <c r="G69" s="36"/>
      <c r="H69" s="37"/>
    </row>
    <row r="70" spans="1:8" ht="14.25" hidden="1" x14ac:dyDescent="0.15">
      <c r="A70" s="218"/>
      <c r="B70" s="220"/>
      <c r="C70" s="311">
        <f t="shared" si="2"/>
        <v>0</v>
      </c>
      <c r="D70" s="311"/>
      <c r="E70" s="312"/>
      <c r="G70" s="36"/>
      <c r="H70" s="37"/>
    </row>
    <row r="71" spans="1:8" ht="14.25" hidden="1" x14ac:dyDescent="0.15">
      <c r="A71" s="218"/>
      <c r="B71" s="220"/>
      <c r="C71" s="311">
        <f t="shared" si="2"/>
        <v>0</v>
      </c>
      <c r="D71" s="311"/>
      <c r="E71" s="312"/>
      <c r="G71" s="36"/>
      <c r="H71" s="37"/>
    </row>
    <row r="72" spans="1:8" ht="14.25" hidden="1" x14ac:dyDescent="0.15">
      <c r="A72" s="218"/>
      <c r="B72" s="220"/>
      <c r="C72" s="311">
        <f t="shared" si="2"/>
        <v>0</v>
      </c>
      <c r="D72" s="311"/>
      <c r="E72" s="312"/>
      <c r="G72" s="36"/>
      <c r="H72" s="37"/>
    </row>
    <row r="73" spans="1:8" ht="14.25" hidden="1" x14ac:dyDescent="0.15">
      <c r="A73" s="218"/>
      <c r="B73" s="220"/>
      <c r="C73" s="311">
        <f t="shared" si="2"/>
        <v>0</v>
      </c>
      <c r="D73" s="311"/>
      <c r="E73" s="312"/>
      <c r="G73" s="36"/>
      <c r="H73" s="37"/>
    </row>
    <row r="74" spans="1:8" ht="14.25" hidden="1" x14ac:dyDescent="0.15">
      <c r="A74" s="218"/>
      <c r="B74" s="220"/>
      <c r="C74" s="311">
        <f t="shared" si="2"/>
        <v>0</v>
      </c>
      <c r="D74" s="311"/>
      <c r="E74" s="312"/>
      <c r="G74" s="36"/>
      <c r="H74" s="37"/>
    </row>
    <row r="75" spans="1:8" ht="14.25" hidden="1" x14ac:dyDescent="0.15">
      <c r="A75" s="218"/>
      <c r="B75" s="220"/>
      <c r="C75" s="311">
        <f t="shared" si="2"/>
        <v>0</v>
      </c>
      <c r="D75" s="311"/>
      <c r="E75" s="312"/>
      <c r="G75" s="36"/>
      <c r="H75" s="37"/>
    </row>
    <row r="76" spans="1:8" ht="14.25" hidden="1" x14ac:dyDescent="0.15">
      <c r="A76" s="218"/>
      <c r="B76" s="220"/>
      <c r="C76" s="311">
        <f t="shared" si="2"/>
        <v>0</v>
      </c>
      <c r="D76" s="311"/>
      <c r="E76" s="312"/>
      <c r="G76" s="36"/>
      <c r="H76" s="37"/>
    </row>
    <row r="77" spans="1:8" ht="14.25" hidden="1" x14ac:dyDescent="0.15">
      <c r="A77" s="218"/>
      <c r="B77" s="220"/>
      <c r="C77" s="311">
        <f t="shared" si="2"/>
        <v>0</v>
      </c>
      <c r="D77" s="311"/>
      <c r="E77" s="312"/>
      <c r="G77" s="36"/>
      <c r="H77" s="37"/>
    </row>
    <row r="78" spans="1:8" ht="14.25" hidden="1" x14ac:dyDescent="0.15">
      <c r="A78" s="218"/>
      <c r="B78" s="220"/>
      <c r="C78" s="311">
        <f t="shared" si="2"/>
        <v>0</v>
      </c>
      <c r="D78" s="311"/>
      <c r="E78" s="312"/>
      <c r="G78" s="36"/>
      <c r="H78" s="37"/>
    </row>
    <row r="79" spans="1:8" ht="14.25" hidden="1" x14ac:dyDescent="0.15">
      <c r="A79" s="218"/>
      <c r="B79" s="220"/>
      <c r="C79" s="311">
        <f t="shared" si="2"/>
        <v>0</v>
      </c>
      <c r="D79" s="311"/>
      <c r="E79" s="312"/>
      <c r="G79" s="36"/>
      <c r="H79" s="37"/>
    </row>
    <row r="80" spans="1:8" ht="14.25" hidden="1" x14ac:dyDescent="0.15">
      <c r="A80" s="218"/>
      <c r="B80" s="220"/>
      <c r="C80" s="311">
        <f t="shared" si="2"/>
        <v>0</v>
      </c>
      <c r="D80" s="311"/>
      <c r="E80" s="312"/>
      <c r="G80" s="36"/>
      <c r="H80" s="37"/>
    </row>
    <row r="81" spans="1:8" ht="14.25" hidden="1" x14ac:dyDescent="0.15">
      <c r="A81" s="218"/>
      <c r="B81" s="220"/>
      <c r="C81" s="311">
        <f t="shared" si="2"/>
        <v>0</v>
      </c>
      <c r="D81" s="311"/>
      <c r="E81" s="312"/>
      <c r="G81" s="36"/>
      <c r="H81" s="37"/>
    </row>
    <row r="82" spans="1:8" ht="14.25" hidden="1" x14ac:dyDescent="0.15">
      <c r="A82" s="218"/>
      <c r="B82" s="220"/>
      <c r="C82" s="311">
        <f t="shared" si="2"/>
        <v>0</v>
      </c>
      <c r="D82" s="311"/>
      <c r="E82" s="312"/>
      <c r="G82" s="36"/>
      <c r="H82" s="37"/>
    </row>
    <row r="83" spans="1:8" ht="14.25" hidden="1" x14ac:dyDescent="0.15">
      <c r="A83" s="218"/>
      <c r="B83" s="220"/>
      <c r="C83" s="311">
        <f t="shared" si="2"/>
        <v>0</v>
      </c>
      <c r="D83" s="311"/>
      <c r="E83" s="312"/>
      <c r="G83" s="36"/>
      <c r="H83" s="37"/>
    </row>
    <row r="84" spans="1:8" ht="14.25" hidden="1" x14ac:dyDescent="0.15">
      <c r="A84" s="218"/>
      <c r="B84" s="220"/>
      <c r="C84" s="311">
        <f t="shared" si="2"/>
        <v>0</v>
      </c>
      <c r="D84" s="311"/>
      <c r="E84" s="312"/>
      <c r="G84" s="36"/>
      <c r="H84" s="37"/>
    </row>
    <row r="85" spans="1:8" ht="14.25" hidden="1" x14ac:dyDescent="0.15">
      <c r="A85" s="218"/>
      <c r="B85" s="220"/>
      <c r="C85" s="311">
        <f t="shared" si="2"/>
        <v>0</v>
      </c>
      <c r="D85" s="311"/>
      <c r="E85" s="312"/>
      <c r="G85" s="36"/>
      <c r="H85" s="37"/>
    </row>
    <row r="86" spans="1:8" ht="14.25" hidden="1" x14ac:dyDescent="0.15">
      <c r="A86" s="218"/>
      <c r="B86" s="220"/>
      <c r="C86" s="311">
        <f t="shared" si="2"/>
        <v>0</v>
      </c>
      <c r="D86" s="311"/>
      <c r="E86" s="312"/>
      <c r="G86" s="36"/>
      <c r="H86" s="37"/>
    </row>
    <row r="87" spans="1:8" ht="14.25" hidden="1" x14ac:dyDescent="0.15">
      <c r="A87" s="218"/>
      <c r="B87" s="220"/>
      <c r="C87" s="311">
        <f t="shared" si="2"/>
        <v>0</v>
      </c>
      <c r="D87" s="311"/>
      <c r="E87" s="312"/>
      <c r="G87" s="36"/>
      <c r="H87" s="37"/>
    </row>
    <row r="88" spans="1:8" ht="14.25" x14ac:dyDescent="0.15">
      <c r="A88" s="218"/>
      <c r="B88" s="220"/>
      <c r="C88" s="311">
        <f t="shared" si="2"/>
        <v>0</v>
      </c>
      <c r="D88" s="311"/>
      <c r="E88" s="312"/>
      <c r="G88" s="36"/>
      <c r="H88" s="37"/>
    </row>
    <row r="89" spans="1:8" ht="14.25" x14ac:dyDescent="0.15">
      <c r="A89" s="218"/>
      <c r="B89" s="219"/>
      <c r="C89" s="311">
        <f t="shared" ref="C89" si="3">+G89+H89</f>
        <v>0</v>
      </c>
      <c r="D89" s="311"/>
      <c r="E89" s="312"/>
      <c r="G89" s="36"/>
      <c r="H89" s="37"/>
    </row>
    <row r="90" spans="1:8" ht="14.25" x14ac:dyDescent="0.15">
      <c r="A90" s="227"/>
      <c r="B90" s="216"/>
      <c r="C90" s="311">
        <f t="shared" si="0"/>
        <v>0</v>
      </c>
      <c r="D90" s="311"/>
      <c r="E90" s="312"/>
      <c r="G90" s="36"/>
      <c r="H90" s="37"/>
    </row>
    <row r="91" spans="1:8" ht="14.25" x14ac:dyDescent="0.15">
      <c r="A91" s="217"/>
      <c r="B91" s="226"/>
      <c r="C91" s="311">
        <f t="shared" ref="C91:C173" si="4">+G91+H91</f>
        <v>0</v>
      </c>
      <c r="D91" s="311"/>
      <c r="E91" s="312"/>
      <c r="G91" s="36"/>
      <c r="H91" s="37"/>
    </row>
    <row r="92" spans="1:8" ht="14.25" hidden="1" x14ac:dyDescent="0.15">
      <c r="A92" s="217"/>
      <c r="B92" s="219"/>
      <c r="C92" s="311">
        <f t="shared" si="4"/>
        <v>0</v>
      </c>
      <c r="D92" s="311"/>
      <c r="E92" s="312"/>
      <c r="G92" s="36"/>
      <c r="H92" s="37"/>
    </row>
    <row r="93" spans="1:8" ht="14.25" hidden="1" x14ac:dyDescent="0.15">
      <c r="A93" s="217"/>
      <c r="B93" s="219"/>
      <c r="C93" s="311">
        <f t="shared" si="4"/>
        <v>0</v>
      </c>
      <c r="D93" s="311"/>
      <c r="E93" s="312"/>
      <c r="G93" s="36"/>
      <c r="H93" s="37"/>
    </row>
    <row r="94" spans="1:8" ht="14.25" hidden="1" x14ac:dyDescent="0.15">
      <c r="A94" s="217"/>
      <c r="B94" s="219"/>
      <c r="C94" s="311">
        <f t="shared" si="4"/>
        <v>0</v>
      </c>
      <c r="D94" s="311"/>
      <c r="E94" s="312"/>
      <c r="G94" s="36"/>
      <c r="H94" s="37"/>
    </row>
    <row r="95" spans="1:8" ht="14.25" hidden="1" x14ac:dyDescent="0.15">
      <c r="A95" s="217"/>
      <c r="B95" s="219"/>
      <c r="C95" s="311">
        <f t="shared" si="4"/>
        <v>0</v>
      </c>
      <c r="D95" s="311"/>
      <c r="E95" s="312"/>
      <c r="G95" s="36"/>
      <c r="H95" s="37"/>
    </row>
    <row r="96" spans="1:8" ht="14.25" hidden="1" x14ac:dyDescent="0.15">
      <c r="A96" s="217"/>
      <c r="B96" s="219"/>
      <c r="C96" s="311">
        <f t="shared" si="4"/>
        <v>0</v>
      </c>
      <c r="D96" s="311"/>
      <c r="E96" s="312"/>
      <c r="G96" s="36"/>
      <c r="H96" s="37"/>
    </row>
    <row r="97" spans="1:8" ht="14.25" hidden="1" x14ac:dyDescent="0.15">
      <c r="A97" s="217"/>
      <c r="B97" s="219"/>
      <c r="C97" s="311">
        <f t="shared" si="4"/>
        <v>0</v>
      </c>
      <c r="D97" s="311"/>
      <c r="E97" s="312"/>
      <c r="G97" s="36"/>
      <c r="H97" s="37"/>
    </row>
    <row r="98" spans="1:8" ht="14.25" hidden="1" x14ac:dyDescent="0.15">
      <c r="A98" s="217"/>
      <c r="B98" s="219"/>
      <c r="C98" s="311">
        <f t="shared" si="4"/>
        <v>0</v>
      </c>
      <c r="D98" s="311"/>
      <c r="E98" s="312"/>
      <c r="G98" s="36"/>
      <c r="H98" s="37"/>
    </row>
    <row r="99" spans="1:8" ht="14.25" hidden="1" x14ac:dyDescent="0.15">
      <c r="A99" s="217"/>
      <c r="B99" s="219"/>
      <c r="C99" s="311">
        <f t="shared" si="4"/>
        <v>0</v>
      </c>
      <c r="D99" s="311"/>
      <c r="E99" s="312"/>
      <c r="G99" s="36"/>
      <c r="H99" s="37"/>
    </row>
    <row r="100" spans="1:8" ht="14.25" hidden="1" x14ac:dyDescent="0.15">
      <c r="A100" s="217"/>
      <c r="B100" s="219"/>
      <c r="C100" s="311">
        <f t="shared" si="4"/>
        <v>0</v>
      </c>
      <c r="D100" s="311"/>
      <c r="E100" s="312"/>
      <c r="G100" s="36"/>
      <c r="H100" s="37"/>
    </row>
    <row r="101" spans="1:8" ht="14.25" hidden="1" x14ac:dyDescent="0.15">
      <c r="A101" s="217"/>
      <c r="B101" s="219"/>
      <c r="C101" s="311">
        <f t="shared" si="4"/>
        <v>0</v>
      </c>
      <c r="D101" s="311"/>
      <c r="E101" s="312"/>
      <c r="G101" s="36"/>
      <c r="H101" s="37"/>
    </row>
    <row r="102" spans="1:8" ht="14.25" hidden="1" x14ac:dyDescent="0.15">
      <c r="A102" s="217"/>
      <c r="B102" s="219"/>
      <c r="C102" s="311">
        <f t="shared" si="4"/>
        <v>0</v>
      </c>
      <c r="D102" s="311"/>
      <c r="E102" s="312"/>
      <c r="G102" s="36"/>
      <c r="H102" s="37"/>
    </row>
    <row r="103" spans="1:8" ht="14.25" hidden="1" x14ac:dyDescent="0.15">
      <c r="A103" s="217"/>
      <c r="B103" s="219"/>
      <c r="C103" s="311">
        <f t="shared" si="4"/>
        <v>0</v>
      </c>
      <c r="D103" s="311"/>
      <c r="E103" s="312"/>
      <c r="G103" s="36"/>
      <c r="H103" s="37"/>
    </row>
    <row r="104" spans="1:8" ht="14.25" hidden="1" x14ac:dyDescent="0.15">
      <c r="A104" s="217"/>
      <c r="B104" s="219"/>
      <c r="C104" s="311">
        <f t="shared" si="4"/>
        <v>0</v>
      </c>
      <c r="D104" s="311"/>
      <c r="E104" s="312"/>
      <c r="G104" s="36"/>
      <c r="H104" s="37"/>
    </row>
    <row r="105" spans="1:8" ht="14.25" hidden="1" x14ac:dyDescent="0.15">
      <c r="A105" s="217"/>
      <c r="B105" s="219"/>
      <c r="C105" s="311">
        <f t="shared" si="4"/>
        <v>0</v>
      </c>
      <c r="D105" s="311"/>
      <c r="E105" s="312"/>
      <c r="G105" s="36"/>
      <c r="H105" s="37"/>
    </row>
    <row r="106" spans="1:8" ht="14.25" hidden="1" x14ac:dyDescent="0.15">
      <c r="A106" s="217"/>
      <c r="B106" s="219"/>
      <c r="C106" s="311">
        <f t="shared" si="4"/>
        <v>0</v>
      </c>
      <c r="D106" s="311"/>
      <c r="E106" s="312"/>
      <c r="G106" s="36"/>
      <c r="H106" s="37"/>
    </row>
    <row r="107" spans="1:8" ht="14.25" hidden="1" x14ac:dyDescent="0.15">
      <c r="A107" s="217"/>
      <c r="B107" s="219"/>
      <c r="C107" s="311">
        <f t="shared" si="4"/>
        <v>0</v>
      </c>
      <c r="D107" s="311"/>
      <c r="E107" s="312"/>
      <c r="G107" s="36"/>
      <c r="H107" s="37"/>
    </row>
    <row r="108" spans="1:8" ht="14.25" hidden="1" x14ac:dyDescent="0.15">
      <c r="A108" s="217"/>
      <c r="B108" s="219"/>
      <c r="C108" s="311">
        <f t="shared" si="4"/>
        <v>0</v>
      </c>
      <c r="D108" s="311"/>
      <c r="E108" s="312"/>
      <c r="G108" s="36"/>
      <c r="H108" s="37"/>
    </row>
    <row r="109" spans="1:8" ht="14.25" hidden="1" x14ac:dyDescent="0.15">
      <c r="A109" s="217"/>
      <c r="B109" s="219"/>
      <c r="C109" s="311">
        <f t="shared" si="4"/>
        <v>0</v>
      </c>
      <c r="D109" s="311"/>
      <c r="E109" s="312"/>
      <c r="G109" s="36"/>
      <c r="H109" s="37"/>
    </row>
    <row r="110" spans="1:8" ht="14.25" hidden="1" x14ac:dyDescent="0.15">
      <c r="A110" s="218"/>
      <c r="B110" s="221"/>
      <c r="C110" s="283">
        <f t="shared" si="4"/>
        <v>0</v>
      </c>
      <c r="D110" s="284"/>
      <c r="E110" s="285"/>
      <c r="G110" s="36"/>
      <c r="H110" s="37"/>
    </row>
    <row r="111" spans="1:8" ht="14.25" hidden="1" x14ac:dyDescent="0.15">
      <c r="A111" s="217"/>
      <c r="B111" s="219"/>
      <c r="C111" s="311">
        <f t="shared" si="4"/>
        <v>0</v>
      </c>
      <c r="D111" s="311"/>
      <c r="E111" s="312"/>
      <c r="G111" s="36"/>
      <c r="H111" s="37"/>
    </row>
    <row r="112" spans="1:8" ht="14.25" hidden="1" x14ac:dyDescent="0.15">
      <c r="A112" s="218"/>
      <c r="B112" s="221"/>
      <c r="C112" s="283">
        <f t="shared" si="4"/>
        <v>0</v>
      </c>
      <c r="D112" s="284"/>
      <c r="E112" s="285"/>
      <c r="G112" s="36"/>
      <c r="H112" s="37"/>
    </row>
    <row r="113" spans="1:8" ht="14.25" hidden="1" x14ac:dyDescent="0.15">
      <c r="A113" s="218"/>
      <c r="B113" s="221"/>
      <c r="C113" s="283">
        <f t="shared" si="4"/>
        <v>0</v>
      </c>
      <c r="D113" s="284"/>
      <c r="E113" s="285"/>
      <c r="G113" s="36"/>
      <c r="H113" s="37"/>
    </row>
    <row r="114" spans="1:8" ht="14.25" hidden="1" x14ac:dyDescent="0.15">
      <c r="A114" s="218"/>
      <c r="B114" s="221"/>
      <c r="C114" s="283">
        <f t="shared" si="4"/>
        <v>0</v>
      </c>
      <c r="D114" s="284"/>
      <c r="E114" s="285"/>
      <c r="G114" s="36"/>
      <c r="H114" s="37"/>
    </row>
    <row r="115" spans="1:8" ht="14.25" hidden="1" x14ac:dyDescent="0.15">
      <c r="A115" s="218"/>
      <c r="B115" s="221"/>
      <c r="C115" s="283">
        <f t="shared" si="4"/>
        <v>0</v>
      </c>
      <c r="D115" s="284"/>
      <c r="E115" s="285"/>
      <c r="G115" s="36"/>
      <c r="H115" s="37"/>
    </row>
    <row r="116" spans="1:8" ht="14.25" hidden="1" x14ac:dyDescent="0.15">
      <c r="A116" s="218"/>
      <c r="B116" s="221"/>
      <c r="C116" s="283">
        <f t="shared" si="4"/>
        <v>0</v>
      </c>
      <c r="D116" s="284"/>
      <c r="E116" s="285"/>
      <c r="G116" s="36"/>
      <c r="H116" s="37"/>
    </row>
    <row r="117" spans="1:8" ht="14.25" hidden="1" x14ac:dyDescent="0.15">
      <c r="A117" s="218"/>
      <c r="B117" s="221"/>
      <c r="C117" s="283">
        <f t="shared" si="4"/>
        <v>0</v>
      </c>
      <c r="D117" s="284"/>
      <c r="E117" s="285"/>
      <c r="G117" s="36"/>
      <c r="H117" s="37"/>
    </row>
    <row r="118" spans="1:8" ht="14.25" hidden="1" x14ac:dyDescent="0.15">
      <c r="A118" s="218"/>
      <c r="B118" s="221"/>
      <c r="C118" s="283">
        <f t="shared" si="4"/>
        <v>0</v>
      </c>
      <c r="D118" s="284"/>
      <c r="E118" s="285"/>
      <c r="G118" s="36"/>
      <c r="H118" s="37"/>
    </row>
    <row r="119" spans="1:8" ht="14.25" hidden="1" x14ac:dyDescent="0.15">
      <c r="A119" s="218"/>
      <c r="B119" s="221"/>
      <c r="C119" s="283">
        <f t="shared" si="4"/>
        <v>0</v>
      </c>
      <c r="D119" s="284"/>
      <c r="E119" s="285"/>
      <c r="G119" s="36"/>
      <c r="H119" s="37"/>
    </row>
    <row r="120" spans="1:8" ht="14.25" hidden="1" x14ac:dyDescent="0.15">
      <c r="A120" s="218"/>
      <c r="B120" s="221"/>
      <c r="C120" s="283">
        <f t="shared" si="4"/>
        <v>0</v>
      </c>
      <c r="D120" s="284"/>
      <c r="E120" s="285"/>
      <c r="G120" s="36"/>
      <c r="H120" s="37"/>
    </row>
    <row r="121" spans="1:8" ht="14.25" hidden="1" x14ac:dyDescent="0.15">
      <c r="A121" s="218"/>
      <c r="B121" s="221"/>
      <c r="C121" s="283">
        <f t="shared" si="4"/>
        <v>0</v>
      </c>
      <c r="D121" s="284"/>
      <c r="E121" s="285"/>
      <c r="G121" s="36"/>
      <c r="H121" s="37"/>
    </row>
    <row r="122" spans="1:8" ht="14.25" hidden="1" x14ac:dyDescent="0.15">
      <c r="A122" s="218"/>
      <c r="B122" s="221"/>
      <c r="C122" s="283">
        <f t="shared" si="4"/>
        <v>0</v>
      </c>
      <c r="D122" s="284"/>
      <c r="E122" s="285"/>
      <c r="G122" s="36"/>
      <c r="H122" s="37"/>
    </row>
    <row r="123" spans="1:8" ht="14.25" hidden="1" x14ac:dyDescent="0.15">
      <c r="A123" s="218"/>
      <c r="B123" s="221"/>
      <c r="C123" s="283">
        <f t="shared" si="4"/>
        <v>0</v>
      </c>
      <c r="D123" s="284"/>
      <c r="E123" s="285"/>
      <c r="G123" s="36"/>
      <c r="H123" s="37"/>
    </row>
    <row r="124" spans="1:8" ht="14.25" hidden="1" x14ac:dyDescent="0.15">
      <c r="A124" s="218"/>
      <c r="B124" s="221"/>
      <c r="C124" s="283">
        <f t="shared" si="4"/>
        <v>0</v>
      </c>
      <c r="D124" s="284"/>
      <c r="E124" s="285"/>
      <c r="G124" s="36"/>
      <c r="H124" s="37"/>
    </row>
    <row r="125" spans="1:8" ht="14.25" hidden="1" x14ac:dyDescent="0.15">
      <c r="A125" s="218"/>
      <c r="B125" s="221"/>
      <c r="C125" s="283">
        <f t="shared" si="4"/>
        <v>0</v>
      </c>
      <c r="D125" s="284"/>
      <c r="E125" s="285"/>
      <c r="G125" s="36"/>
      <c r="H125" s="37"/>
    </row>
    <row r="126" spans="1:8" ht="14.25" hidden="1" x14ac:dyDescent="0.15">
      <c r="A126" s="218"/>
      <c r="B126" s="221"/>
      <c r="C126" s="283">
        <f t="shared" si="4"/>
        <v>0</v>
      </c>
      <c r="D126" s="284"/>
      <c r="E126" s="285"/>
      <c r="G126" s="36"/>
      <c r="H126" s="37"/>
    </row>
    <row r="127" spans="1:8" ht="14.25" hidden="1" x14ac:dyDescent="0.15">
      <c r="A127" s="218"/>
      <c r="B127" s="221"/>
      <c r="C127" s="283">
        <f t="shared" si="4"/>
        <v>0</v>
      </c>
      <c r="D127" s="284"/>
      <c r="E127" s="285"/>
      <c r="G127" s="36"/>
      <c r="H127" s="37"/>
    </row>
    <row r="128" spans="1:8" ht="14.25" hidden="1" x14ac:dyDescent="0.15">
      <c r="A128" s="218"/>
      <c r="B128" s="221"/>
      <c r="C128" s="283">
        <f t="shared" si="4"/>
        <v>0</v>
      </c>
      <c r="D128" s="284"/>
      <c r="E128" s="285"/>
      <c r="G128" s="36"/>
      <c r="H128" s="37"/>
    </row>
    <row r="129" spans="1:8" ht="14.25" hidden="1" x14ac:dyDescent="0.15">
      <c r="A129" s="218"/>
      <c r="B129" s="221"/>
      <c r="C129" s="283">
        <f t="shared" si="4"/>
        <v>0</v>
      </c>
      <c r="D129" s="284"/>
      <c r="E129" s="285"/>
      <c r="G129" s="36"/>
      <c r="H129" s="37"/>
    </row>
    <row r="130" spans="1:8" ht="14.25" hidden="1" x14ac:dyDescent="0.15">
      <c r="A130" s="218"/>
      <c r="B130" s="221"/>
      <c r="C130" s="283">
        <f t="shared" si="4"/>
        <v>0</v>
      </c>
      <c r="D130" s="284"/>
      <c r="E130" s="285"/>
      <c r="G130" s="36"/>
      <c r="H130" s="37"/>
    </row>
    <row r="131" spans="1:8" ht="14.25" hidden="1" x14ac:dyDescent="0.15">
      <c r="A131" s="217"/>
      <c r="B131" s="219"/>
      <c r="C131" s="311">
        <f t="shared" si="4"/>
        <v>0</v>
      </c>
      <c r="D131" s="311"/>
      <c r="E131" s="312"/>
      <c r="G131" s="36"/>
      <c r="H131" s="37"/>
    </row>
    <row r="132" spans="1:8" ht="14.25" hidden="1" x14ac:dyDescent="0.15">
      <c r="A132" s="215"/>
      <c r="B132" s="216"/>
      <c r="C132" s="311">
        <f t="shared" si="4"/>
        <v>0</v>
      </c>
      <c r="D132" s="311"/>
      <c r="E132" s="312"/>
      <c r="G132" s="36"/>
      <c r="H132" s="37"/>
    </row>
    <row r="133" spans="1:8" ht="14.25" hidden="1" x14ac:dyDescent="0.15">
      <c r="A133" s="217"/>
      <c r="B133" s="216"/>
      <c r="C133" s="311">
        <f t="shared" si="4"/>
        <v>0</v>
      </c>
      <c r="D133" s="311"/>
      <c r="E133" s="312"/>
      <c r="G133" s="36"/>
      <c r="H133" s="37"/>
    </row>
    <row r="134" spans="1:8" ht="14.25" hidden="1" x14ac:dyDescent="0.15">
      <c r="A134" s="217"/>
      <c r="B134" s="219"/>
      <c r="C134" s="311">
        <f t="shared" si="4"/>
        <v>0</v>
      </c>
      <c r="D134" s="311"/>
      <c r="E134" s="312"/>
      <c r="G134" s="36"/>
      <c r="H134" s="37"/>
    </row>
    <row r="135" spans="1:8" ht="14.25" hidden="1" x14ac:dyDescent="0.15">
      <c r="A135" s="217"/>
      <c r="B135" s="219"/>
      <c r="C135" s="311">
        <f t="shared" si="4"/>
        <v>0</v>
      </c>
      <c r="D135" s="311"/>
      <c r="E135" s="312"/>
      <c r="G135" s="36"/>
      <c r="H135" s="37"/>
    </row>
    <row r="136" spans="1:8" ht="14.25" hidden="1" x14ac:dyDescent="0.15">
      <c r="A136" s="217"/>
      <c r="B136" s="219"/>
      <c r="C136" s="311">
        <f t="shared" si="4"/>
        <v>0</v>
      </c>
      <c r="D136" s="311"/>
      <c r="E136" s="312"/>
      <c r="G136" s="36"/>
      <c r="H136" s="37"/>
    </row>
    <row r="137" spans="1:8" ht="14.25" hidden="1" x14ac:dyDescent="0.15">
      <c r="A137" s="217"/>
      <c r="B137" s="219"/>
      <c r="C137" s="311">
        <f t="shared" si="4"/>
        <v>0</v>
      </c>
      <c r="D137" s="311"/>
      <c r="E137" s="312"/>
      <c r="G137" s="36"/>
      <c r="H137" s="37"/>
    </row>
    <row r="138" spans="1:8" ht="14.25" hidden="1" x14ac:dyDescent="0.15">
      <c r="A138" s="217"/>
      <c r="B138" s="219"/>
      <c r="C138" s="311">
        <f t="shared" si="4"/>
        <v>0</v>
      </c>
      <c r="D138" s="311"/>
      <c r="E138" s="312"/>
      <c r="G138" s="36"/>
      <c r="H138" s="37"/>
    </row>
    <row r="139" spans="1:8" ht="14.25" hidden="1" x14ac:dyDescent="0.15">
      <c r="A139" s="217"/>
      <c r="B139" s="219"/>
      <c r="C139" s="311">
        <f t="shared" si="4"/>
        <v>0</v>
      </c>
      <c r="D139" s="311"/>
      <c r="E139" s="312"/>
      <c r="G139" s="36"/>
      <c r="H139" s="37"/>
    </row>
    <row r="140" spans="1:8" ht="14.25" hidden="1" x14ac:dyDescent="0.15">
      <c r="A140" s="117"/>
      <c r="B140" s="220"/>
      <c r="C140" s="311">
        <f t="shared" si="4"/>
        <v>0</v>
      </c>
      <c r="D140" s="311"/>
      <c r="E140" s="312"/>
      <c r="G140" s="36"/>
      <c r="H140" s="37"/>
    </row>
    <row r="141" spans="1:8" ht="14.25" hidden="1" x14ac:dyDescent="0.15">
      <c r="A141" s="117"/>
      <c r="B141" s="220"/>
      <c r="C141" s="311">
        <f t="shared" si="4"/>
        <v>0</v>
      </c>
      <c r="D141" s="311"/>
      <c r="E141" s="312"/>
      <c r="G141" s="36"/>
      <c r="H141" s="37"/>
    </row>
    <row r="142" spans="1:8" ht="14.25" hidden="1" x14ac:dyDescent="0.15">
      <c r="A142" s="117"/>
      <c r="B142" s="220"/>
      <c r="C142" s="311">
        <f t="shared" si="4"/>
        <v>0</v>
      </c>
      <c r="D142" s="311"/>
      <c r="E142" s="312"/>
      <c r="G142" s="36"/>
      <c r="H142" s="37"/>
    </row>
    <row r="143" spans="1:8" ht="14.25" hidden="1" x14ac:dyDescent="0.15">
      <c r="A143" s="117"/>
      <c r="B143" s="220"/>
      <c r="C143" s="311">
        <f t="shared" si="4"/>
        <v>0</v>
      </c>
      <c r="D143" s="311"/>
      <c r="E143" s="312"/>
      <c r="G143" s="36"/>
      <c r="H143" s="37"/>
    </row>
    <row r="144" spans="1:8" ht="14.25" hidden="1" x14ac:dyDescent="0.15">
      <c r="A144" s="117"/>
      <c r="B144" s="220"/>
      <c r="C144" s="311">
        <f t="shared" si="4"/>
        <v>0</v>
      </c>
      <c r="D144" s="311"/>
      <c r="E144" s="312"/>
      <c r="G144" s="36"/>
      <c r="H144" s="37"/>
    </row>
    <row r="145" spans="1:8" ht="14.25" hidden="1" x14ac:dyDescent="0.15">
      <c r="A145" s="117"/>
      <c r="B145" s="220"/>
      <c r="C145" s="311">
        <f t="shared" si="4"/>
        <v>0</v>
      </c>
      <c r="D145" s="311"/>
      <c r="E145" s="312"/>
      <c r="G145" s="36"/>
      <c r="H145" s="37"/>
    </row>
    <row r="146" spans="1:8" ht="14.25" hidden="1" x14ac:dyDescent="0.15">
      <c r="A146" s="117"/>
      <c r="B146" s="220"/>
      <c r="C146" s="311">
        <f t="shared" si="4"/>
        <v>0</v>
      </c>
      <c r="D146" s="311"/>
      <c r="E146" s="312"/>
      <c r="G146" s="36"/>
      <c r="H146" s="37"/>
    </row>
    <row r="147" spans="1:8" ht="14.25" hidden="1" x14ac:dyDescent="0.15">
      <c r="A147" s="117"/>
      <c r="B147" s="220"/>
      <c r="C147" s="311">
        <f t="shared" si="4"/>
        <v>0</v>
      </c>
      <c r="D147" s="311"/>
      <c r="E147" s="312"/>
      <c r="G147" s="36"/>
      <c r="H147" s="37"/>
    </row>
    <row r="148" spans="1:8" ht="14.25" hidden="1" x14ac:dyDescent="0.15">
      <c r="A148" s="117"/>
      <c r="B148" s="220"/>
      <c r="C148" s="311">
        <f t="shared" si="4"/>
        <v>0</v>
      </c>
      <c r="D148" s="311"/>
      <c r="E148" s="312"/>
      <c r="G148" s="36"/>
      <c r="H148" s="37"/>
    </row>
    <row r="149" spans="1:8" ht="14.25" hidden="1" x14ac:dyDescent="0.15">
      <c r="A149" s="117"/>
      <c r="B149" s="220"/>
      <c r="C149" s="311">
        <f t="shared" si="4"/>
        <v>0</v>
      </c>
      <c r="D149" s="311"/>
      <c r="E149" s="312"/>
      <c r="G149" s="36"/>
      <c r="H149" s="37"/>
    </row>
    <row r="150" spans="1:8" ht="14.25" hidden="1" x14ac:dyDescent="0.15">
      <c r="A150" s="218"/>
      <c r="B150" s="220"/>
      <c r="C150" s="311">
        <f t="shared" si="4"/>
        <v>0</v>
      </c>
      <c r="D150" s="311"/>
      <c r="E150" s="312"/>
      <c r="G150" s="36"/>
      <c r="H150" s="37"/>
    </row>
    <row r="151" spans="1:8" ht="14.25" hidden="1" x14ac:dyDescent="0.15">
      <c r="A151" s="218"/>
      <c r="B151" s="220"/>
      <c r="C151" s="311">
        <f t="shared" si="4"/>
        <v>0</v>
      </c>
      <c r="D151" s="311"/>
      <c r="E151" s="312"/>
      <c r="G151" s="36"/>
      <c r="H151" s="37"/>
    </row>
    <row r="152" spans="1:8" ht="14.25" hidden="1" x14ac:dyDescent="0.15">
      <c r="A152" s="218"/>
      <c r="B152" s="220"/>
      <c r="C152" s="311">
        <f t="shared" si="4"/>
        <v>0</v>
      </c>
      <c r="D152" s="311"/>
      <c r="E152" s="312"/>
      <c r="G152" s="36"/>
      <c r="H152" s="37"/>
    </row>
    <row r="153" spans="1:8" ht="14.25" hidden="1" x14ac:dyDescent="0.15">
      <c r="A153" s="218"/>
      <c r="B153" s="220"/>
      <c r="C153" s="311">
        <f t="shared" si="4"/>
        <v>0</v>
      </c>
      <c r="D153" s="311"/>
      <c r="E153" s="312"/>
      <c r="G153" s="36"/>
      <c r="H153" s="37"/>
    </row>
    <row r="154" spans="1:8" ht="14.25" hidden="1" x14ac:dyDescent="0.15">
      <c r="A154" s="218"/>
      <c r="B154" s="220"/>
      <c r="C154" s="311">
        <f t="shared" si="4"/>
        <v>0</v>
      </c>
      <c r="D154" s="311"/>
      <c r="E154" s="312"/>
      <c r="G154" s="36"/>
      <c r="H154" s="37"/>
    </row>
    <row r="155" spans="1:8" ht="14.25" hidden="1" x14ac:dyDescent="0.15">
      <c r="A155" s="218"/>
      <c r="B155" s="220"/>
      <c r="C155" s="311">
        <f t="shared" si="4"/>
        <v>0</v>
      </c>
      <c r="D155" s="311"/>
      <c r="E155" s="312"/>
      <c r="G155" s="36"/>
      <c r="H155" s="37"/>
    </row>
    <row r="156" spans="1:8" ht="14.25" hidden="1" x14ac:dyDescent="0.15">
      <c r="A156" s="218"/>
      <c r="B156" s="220"/>
      <c r="C156" s="311">
        <f t="shared" si="4"/>
        <v>0</v>
      </c>
      <c r="D156" s="311"/>
      <c r="E156" s="312"/>
      <c r="G156" s="36"/>
      <c r="H156" s="37"/>
    </row>
    <row r="157" spans="1:8" ht="14.25" hidden="1" x14ac:dyDescent="0.15">
      <c r="A157" s="218"/>
      <c r="B157" s="220"/>
      <c r="C157" s="311">
        <f t="shared" si="4"/>
        <v>0</v>
      </c>
      <c r="D157" s="311"/>
      <c r="E157" s="312"/>
      <c r="G157" s="36"/>
      <c r="H157" s="37"/>
    </row>
    <row r="158" spans="1:8" ht="14.25" hidden="1" x14ac:dyDescent="0.15">
      <c r="A158" s="218"/>
      <c r="B158" s="220"/>
      <c r="C158" s="311">
        <f t="shared" si="4"/>
        <v>0</v>
      </c>
      <c r="D158" s="311"/>
      <c r="E158" s="312"/>
      <c r="G158" s="36"/>
      <c r="H158" s="37"/>
    </row>
    <row r="159" spans="1:8" ht="14.25" hidden="1" x14ac:dyDescent="0.15">
      <c r="A159" s="218"/>
      <c r="B159" s="220"/>
      <c r="C159" s="311">
        <f t="shared" si="4"/>
        <v>0</v>
      </c>
      <c r="D159" s="311"/>
      <c r="E159" s="312"/>
      <c r="G159" s="36"/>
      <c r="H159" s="37"/>
    </row>
    <row r="160" spans="1:8" ht="14.25" hidden="1" x14ac:dyDescent="0.15">
      <c r="A160" s="218"/>
      <c r="B160" s="220"/>
      <c r="C160" s="311">
        <f t="shared" si="4"/>
        <v>0</v>
      </c>
      <c r="D160" s="311"/>
      <c r="E160" s="312"/>
      <c r="G160" s="36"/>
      <c r="H160" s="37"/>
    </row>
    <row r="161" spans="1:8" ht="14.25" hidden="1" x14ac:dyDescent="0.15">
      <c r="A161" s="218"/>
      <c r="B161" s="220"/>
      <c r="C161" s="311">
        <f t="shared" si="4"/>
        <v>0</v>
      </c>
      <c r="D161" s="311"/>
      <c r="E161" s="312"/>
      <c r="G161" s="36"/>
      <c r="H161" s="37"/>
    </row>
    <row r="162" spans="1:8" ht="14.25" hidden="1" x14ac:dyDescent="0.15">
      <c r="A162" s="218"/>
      <c r="B162" s="220"/>
      <c r="C162" s="311">
        <f t="shared" si="4"/>
        <v>0</v>
      </c>
      <c r="D162" s="311"/>
      <c r="E162" s="312"/>
      <c r="G162" s="36"/>
      <c r="H162" s="37"/>
    </row>
    <row r="163" spans="1:8" ht="14.25" hidden="1" x14ac:dyDescent="0.15">
      <c r="A163" s="218"/>
      <c r="B163" s="220"/>
      <c r="C163" s="311">
        <f t="shared" si="4"/>
        <v>0</v>
      </c>
      <c r="D163" s="311"/>
      <c r="E163" s="312"/>
      <c r="G163" s="36"/>
      <c r="H163" s="37"/>
    </row>
    <row r="164" spans="1:8" ht="14.25" hidden="1" x14ac:dyDescent="0.15">
      <c r="A164" s="218"/>
      <c r="B164" s="220"/>
      <c r="C164" s="311">
        <f t="shared" si="4"/>
        <v>0</v>
      </c>
      <c r="D164" s="311"/>
      <c r="E164" s="312"/>
      <c r="G164" s="36"/>
      <c r="H164" s="37"/>
    </row>
    <row r="165" spans="1:8" ht="14.25" hidden="1" x14ac:dyDescent="0.15">
      <c r="A165" s="218"/>
      <c r="B165" s="220"/>
      <c r="C165" s="311">
        <f t="shared" si="4"/>
        <v>0</v>
      </c>
      <c r="D165" s="311"/>
      <c r="E165" s="312"/>
      <c r="G165" s="36"/>
      <c r="H165" s="37"/>
    </row>
    <row r="166" spans="1:8" ht="14.25" hidden="1" x14ac:dyDescent="0.15">
      <c r="A166" s="218"/>
      <c r="B166" s="220"/>
      <c r="C166" s="311">
        <f t="shared" si="4"/>
        <v>0</v>
      </c>
      <c r="D166" s="311"/>
      <c r="E166" s="312"/>
      <c r="G166" s="36"/>
      <c r="H166" s="37"/>
    </row>
    <row r="167" spans="1:8" ht="14.25" hidden="1" x14ac:dyDescent="0.15">
      <c r="A167" s="218"/>
      <c r="B167" s="220"/>
      <c r="C167" s="311">
        <f t="shared" si="4"/>
        <v>0</v>
      </c>
      <c r="D167" s="311"/>
      <c r="E167" s="312"/>
      <c r="G167" s="36"/>
      <c r="H167" s="37"/>
    </row>
    <row r="168" spans="1:8" ht="14.25" hidden="1" x14ac:dyDescent="0.15">
      <c r="A168" s="218"/>
      <c r="B168" s="220"/>
      <c r="C168" s="311">
        <f t="shared" si="4"/>
        <v>0</v>
      </c>
      <c r="D168" s="311"/>
      <c r="E168" s="312"/>
      <c r="G168" s="36"/>
      <c r="H168" s="37"/>
    </row>
    <row r="169" spans="1:8" ht="14.25" hidden="1" x14ac:dyDescent="0.15">
      <c r="A169" s="218"/>
      <c r="B169" s="220"/>
      <c r="C169" s="311">
        <f t="shared" si="4"/>
        <v>0</v>
      </c>
      <c r="D169" s="311"/>
      <c r="E169" s="312"/>
      <c r="G169" s="36"/>
      <c r="H169" s="37"/>
    </row>
    <row r="170" spans="1:8" ht="14.25" hidden="1" x14ac:dyDescent="0.15">
      <c r="A170" s="218"/>
      <c r="B170" s="220"/>
      <c r="C170" s="311">
        <f t="shared" si="4"/>
        <v>0</v>
      </c>
      <c r="D170" s="311"/>
      <c r="E170" s="312"/>
      <c r="G170" s="36"/>
      <c r="H170" s="37"/>
    </row>
    <row r="171" spans="1:8" ht="14.25" hidden="1" x14ac:dyDescent="0.15">
      <c r="A171" s="218"/>
      <c r="B171" s="220"/>
      <c r="C171" s="311">
        <f t="shared" si="4"/>
        <v>0</v>
      </c>
      <c r="D171" s="311"/>
      <c r="E171" s="312"/>
      <c r="G171" s="36"/>
      <c r="H171" s="37"/>
    </row>
    <row r="172" spans="1:8" ht="14.25" hidden="1" x14ac:dyDescent="0.15">
      <c r="A172" s="218"/>
      <c r="B172" s="220"/>
      <c r="C172" s="311">
        <f t="shared" si="4"/>
        <v>0</v>
      </c>
      <c r="D172" s="311"/>
      <c r="E172" s="312"/>
      <c r="G172" s="36"/>
      <c r="H172" s="37"/>
    </row>
    <row r="173" spans="1:8" ht="14.25" hidden="1" x14ac:dyDescent="0.15">
      <c r="A173" s="218"/>
      <c r="B173" s="219"/>
      <c r="C173" s="311">
        <f t="shared" si="4"/>
        <v>0</v>
      </c>
      <c r="D173" s="311"/>
      <c r="E173" s="312"/>
      <c r="G173" s="36"/>
      <c r="H173" s="37"/>
    </row>
    <row r="174" spans="1:8" ht="14.25" hidden="1" x14ac:dyDescent="0.15">
      <c r="A174" s="215"/>
      <c r="B174" s="216"/>
      <c r="C174" s="311">
        <f t="shared" ref="C174:C237" si="5">+G174+H174</f>
        <v>0</v>
      </c>
      <c r="D174" s="311"/>
      <c r="E174" s="312"/>
      <c r="G174" s="36"/>
      <c r="H174" s="37"/>
    </row>
    <row r="175" spans="1:8" ht="14.25" hidden="1" x14ac:dyDescent="0.15">
      <c r="A175" s="217"/>
      <c r="B175" s="216"/>
      <c r="C175" s="311">
        <f t="shared" si="5"/>
        <v>0</v>
      </c>
      <c r="D175" s="311"/>
      <c r="E175" s="312"/>
      <c r="G175" s="36"/>
      <c r="H175" s="37"/>
    </row>
    <row r="176" spans="1:8" ht="14.25" hidden="1" x14ac:dyDescent="0.15">
      <c r="A176" s="217"/>
      <c r="B176" s="219"/>
      <c r="C176" s="311">
        <f t="shared" si="5"/>
        <v>0</v>
      </c>
      <c r="D176" s="311"/>
      <c r="E176" s="312"/>
      <c r="G176" s="36"/>
      <c r="H176" s="37"/>
    </row>
    <row r="177" spans="1:8" ht="14.25" hidden="1" x14ac:dyDescent="0.15">
      <c r="A177" s="217"/>
      <c r="B177" s="219"/>
      <c r="C177" s="311">
        <f t="shared" si="5"/>
        <v>0</v>
      </c>
      <c r="D177" s="311"/>
      <c r="E177" s="312"/>
      <c r="G177" s="36"/>
      <c r="H177" s="37"/>
    </row>
    <row r="178" spans="1:8" ht="14.25" hidden="1" x14ac:dyDescent="0.15">
      <c r="A178" s="217"/>
      <c r="B178" s="219"/>
      <c r="C178" s="311">
        <f t="shared" si="5"/>
        <v>0</v>
      </c>
      <c r="D178" s="311"/>
      <c r="E178" s="312"/>
      <c r="G178" s="36"/>
      <c r="H178" s="37"/>
    </row>
    <row r="179" spans="1:8" ht="14.25" hidden="1" x14ac:dyDescent="0.15">
      <c r="A179" s="217"/>
      <c r="B179" s="219"/>
      <c r="C179" s="311">
        <f t="shared" si="5"/>
        <v>0</v>
      </c>
      <c r="D179" s="311"/>
      <c r="E179" s="312"/>
      <c r="G179" s="36"/>
      <c r="H179" s="37"/>
    </row>
    <row r="180" spans="1:8" ht="14.25" hidden="1" x14ac:dyDescent="0.15">
      <c r="A180" s="217"/>
      <c r="B180" s="219"/>
      <c r="C180" s="311">
        <f t="shared" si="5"/>
        <v>0</v>
      </c>
      <c r="D180" s="311"/>
      <c r="E180" s="312"/>
      <c r="G180" s="36"/>
      <c r="H180" s="37"/>
    </row>
    <row r="181" spans="1:8" ht="14.25" hidden="1" x14ac:dyDescent="0.15">
      <c r="A181" s="217"/>
      <c r="B181" s="219"/>
      <c r="C181" s="311">
        <f t="shared" si="5"/>
        <v>0</v>
      </c>
      <c r="D181" s="311"/>
      <c r="E181" s="312"/>
      <c r="G181" s="36"/>
      <c r="H181" s="37"/>
    </row>
    <row r="182" spans="1:8" ht="14.25" hidden="1" x14ac:dyDescent="0.15">
      <c r="A182" s="117"/>
      <c r="B182" s="220"/>
      <c r="C182" s="311">
        <f t="shared" si="5"/>
        <v>0</v>
      </c>
      <c r="D182" s="311"/>
      <c r="E182" s="312"/>
      <c r="G182" s="36"/>
      <c r="H182" s="37"/>
    </row>
    <row r="183" spans="1:8" ht="14.25" hidden="1" x14ac:dyDescent="0.15">
      <c r="A183" s="117"/>
      <c r="B183" s="220"/>
      <c r="C183" s="311">
        <f t="shared" si="5"/>
        <v>0</v>
      </c>
      <c r="D183" s="311"/>
      <c r="E183" s="312"/>
      <c r="G183" s="36"/>
      <c r="H183" s="37"/>
    </row>
    <row r="184" spans="1:8" ht="14.25" hidden="1" x14ac:dyDescent="0.15">
      <c r="A184" s="117"/>
      <c r="B184" s="220"/>
      <c r="C184" s="311">
        <f t="shared" si="5"/>
        <v>0</v>
      </c>
      <c r="D184" s="311"/>
      <c r="E184" s="312"/>
      <c r="G184" s="36"/>
      <c r="H184" s="37"/>
    </row>
    <row r="185" spans="1:8" ht="14.25" hidden="1" x14ac:dyDescent="0.15">
      <c r="A185" s="117"/>
      <c r="B185" s="220"/>
      <c r="C185" s="311">
        <f t="shared" si="5"/>
        <v>0</v>
      </c>
      <c r="D185" s="311"/>
      <c r="E185" s="312"/>
      <c r="G185" s="36"/>
      <c r="H185" s="37"/>
    </row>
    <row r="186" spans="1:8" ht="14.25" hidden="1" x14ac:dyDescent="0.15">
      <c r="A186" s="117"/>
      <c r="B186" s="220"/>
      <c r="C186" s="311">
        <f t="shared" si="5"/>
        <v>0</v>
      </c>
      <c r="D186" s="311"/>
      <c r="E186" s="312"/>
      <c r="G186" s="36"/>
      <c r="H186" s="37"/>
    </row>
    <row r="187" spans="1:8" ht="14.25" hidden="1" x14ac:dyDescent="0.15">
      <c r="A187" s="117"/>
      <c r="B187" s="220"/>
      <c r="C187" s="311">
        <f t="shared" si="5"/>
        <v>0</v>
      </c>
      <c r="D187" s="311"/>
      <c r="E187" s="312"/>
      <c r="G187" s="36"/>
      <c r="H187" s="37"/>
    </row>
    <row r="188" spans="1:8" ht="14.25" hidden="1" x14ac:dyDescent="0.15">
      <c r="A188" s="117"/>
      <c r="B188" s="220"/>
      <c r="C188" s="311">
        <f t="shared" si="5"/>
        <v>0</v>
      </c>
      <c r="D188" s="311"/>
      <c r="E188" s="312"/>
      <c r="G188" s="36"/>
      <c r="H188" s="37"/>
    </row>
    <row r="189" spans="1:8" ht="14.25" hidden="1" x14ac:dyDescent="0.15">
      <c r="A189" s="117"/>
      <c r="B189" s="220"/>
      <c r="C189" s="311">
        <f t="shared" si="5"/>
        <v>0</v>
      </c>
      <c r="D189" s="311"/>
      <c r="E189" s="312"/>
      <c r="G189" s="36"/>
      <c r="H189" s="37"/>
    </row>
    <row r="190" spans="1:8" ht="14.25" hidden="1" x14ac:dyDescent="0.15">
      <c r="A190" s="117"/>
      <c r="B190" s="220"/>
      <c r="C190" s="311">
        <f t="shared" si="5"/>
        <v>0</v>
      </c>
      <c r="D190" s="311"/>
      <c r="E190" s="312"/>
      <c r="G190" s="36"/>
      <c r="H190" s="37"/>
    </row>
    <row r="191" spans="1:8" ht="14.25" hidden="1" x14ac:dyDescent="0.15">
      <c r="A191" s="117"/>
      <c r="B191" s="220"/>
      <c r="C191" s="311">
        <f t="shared" si="5"/>
        <v>0</v>
      </c>
      <c r="D191" s="311"/>
      <c r="E191" s="312"/>
      <c r="G191" s="36"/>
      <c r="H191" s="37"/>
    </row>
    <row r="192" spans="1:8" ht="14.25" hidden="1" x14ac:dyDescent="0.15">
      <c r="A192" s="218"/>
      <c r="B192" s="220"/>
      <c r="C192" s="311">
        <f t="shared" si="5"/>
        <v>0</v>
      </c>
      <c r="D192" s="311"/>
      <c r="E192" s="312"/>
      <c r="G192" s="36"/>
      <c r="H192" s="37"/>
    </row>
    <row r="193" spans="1:8" ht="14.25" hidden="1" x14ac:dyDescent="0.15">
      <c r="A193" s="218"/>
      <c r="B193" s="220"/>
      <c r="C193" s="311">
        <f t="shared" si="5"/>
        <v>0</v>
      </c>
      <c r="D193" s="311"/>
      <c r="E193" s="312"/>
      <c r="G193" s="36"/>
      <c r="H193" s="37"/>
    </row>
    <row r="194" spans="1:8" ht="14.25" hidden="1" x14ac:dyDescent="0.15">
      <c r="A194" s="218"/>
      <c r="B194" s="220"/>
      <c r="C194" s="311">
        <f t="shared" si="5"/>
        <v>0</v>
      </c>
      <c r="D194" s="311"/>
      <c r="E194" s="312"/>
      <c r="G194" s="36"/>
      <c r="H194" s="37"/>
    </row>
    <row r="195" spans="1:8" ht="14.25" hidden="1" x14ac:dyDescent="0.15">
      <c r="A195" s="218"/>
      <c r="B195" s="220"/>
      <c r="C195" s="311">
        <f t="shared" si="5"/>
        <v>0</v>
      </c>
      <c r="D195" s="311"/>
      <c r="E195" s="312"/>
      <c r="G195" s="36"/>
      <c r="H195" s="37"/>
    </row>
    <row r="196" spans="1:8" ht="14.25" hidden="1" x14ac:dyDescent="0.15">
      <c r="A196" s="218"/>
      <c r="B196" s="220"/>
      <c r="C196" s="311">
        <f t="shared" si="5"/>
        <v>0</v>
      </c>
      <c r="D196" s="311"/>
      <c r="E196" s="312"/>
      <c r="G196" s="36"/>
      <c r="H196" s="37"/>
    </row>
    <row r="197" spans="1:8" ht="14.25" hidden="1" x14ac:dyDescent="0.15">
      <c r="A197" s="218"/>
      <c r="B197" s="220"/>
      <c r="C197" s="311">
        <f t="shared" si="5"/>
        <v>0</v>
      </c>
      <c r="D197" s="311"/>
      <c r="E197" s="312"/>
      <c r="G197" s="36"/>
      <c r="H197" s="37"/>
    </row>
    <row r="198" spans="1:8" ht="14.25" hidden="1" x14ac:dyDescent="0.15">
      <c r="A198" s="218"/>
      <c r="B198" s="220"/>
      <c r="C198" s="311">
        <f t="shared" si="5"/>
        <v>0</v>
      </c>
      <c r="D198" s="311"/>
      <c r="E198" s="312"/>
      <c r="G198" s="36"/>
      <c r="H198" s="37"/>
    </row>
    <row r="199" spans="1:8" ht="14.25" hidden="1" x14ac:dyDescent="0.15">
      <c r="A199" s="218"/>
      <c r="B199" s="220"/>
      <c r="C199" s="311">
        <f t="shared" si="5"/>
        <v>0</v>
      </c>
      <c r="D199" s="311"/>
      <c r="E199" s="312"/>
      <c r="G199" s="36"/>
      <c r="H199" s="37"/>
    </row>
    <row r="200" spans="1:8" ht="14.25" hidden="1" x14ac:dyDescent="0.15">
      <c r="A200" s="218"/>
      <c r="B200" s="220"/>
      <c r="C200" s="311">
        <f t="shared" si="5"/>
        <v>0</v>
      </c>
      <c r="D200" s="311"/>
      <c r="E200" s="312"/>
      <c r="G200" s="36"/>
      <c r="H200" s="37"/>
    </row>
    <row r="201" spans="1:8" ht="14.25" hidden="1" x14ac:dyDescent="0.15">
      <c r="A201" s="218"/>
      <c r="B201" s="220"/>
      <c r="C201" s="311">
        <f t="shared" si="5"/>
        <v>0</v>
      </c>
      <c r="D201" s="311"/>
      <c r="E201" s="312"/>
      <c r="G201" s="36"/>
      <c r="H201" s="37"/>
    </row>
    <row r="202" spans="1:8" ht="14.25" hidden="1" x14ac:dyDescent="0.15">
      <c r="A202" s="218"/>
      <c r="B202" s="220"/>
      <c r="C202" s="311">
        <f t="shared" si="5"/>
        <v>0</v>
      </c>
      <c r="D202" s="311"/>
      <c r="E202" s="312"/>
      <c r="G202" s="36"/>
      <c r="H202" s="37"/>
    </row>
    <row r="203" spans="1:8" ht="14.25" hidden="1" x14ac:dyDescent="0.15">
      <c r="A203" s="218"/>
      <c r="B203" s="220"/>
      <c r="C203" s="311">
        <f t="shared" si="5"/>
        <v>0</v>
      </c>
      <c r="D203" s="311"/>
      <c r="E203" s="312"/>
      <c r="G203" s="36"/>
      <c r="H203" s="37"/>
    </row>
    <row r="204" spans="1:8" ht="14.25" hidden="1" x14ac:dyDescent="0.15">
      <c r="A204" s="218"/>
      <c r="B204" s="220"/>
      <c r="C204" s="311">
        <f t="shared" si="5"/>
        <v>0</v>
      </c>
      <c r="D204" s="311"/>
      <c r="E204" s="312"/>
      <c r="G204" s="36"/>
      <c r="H204" s="37"/>
    </row>
    <row r="205" spans="1:8" ht="14.25" hidden="1" x14ac:dyDescent="0.15">
      <c r="A205" s="218"/>
      <c r="B205" s="220"/>
      <c r="C205" s="311">
        <f t="shared" si="5"/>
        <v>0</v>
      </c>
      <c r="D205" s="311"/>
      <c r="E205" s="312"/>
      <c r="G205" s="36"/>
      <c r="H205" s="37"/>
    </row>
    <row r="206" spans="1:8" ht="14.25" hidden="1" x14ac:dyDescent="0.15">
      <c r="A206" s="218"/>
      <c r="B206" s="220"/>
      <c r="C206" s="311">
        <f t="shared" si="5"/>
        <v>0</v>
      </c>
      <c r="D206" s="311"/>
      <c r="E206" s="312"/>
      <c r="G206" s="36"/>
      <c r="H206" s="37"/>
    </row>
    <row r="207" spans="1:8" ht="14.25" hidden="1" x14ac:dyDescent="0.15">
      <c r="A207" s="218"/>
      <c r="B207" s="220"/>
      <c r="C207" s="311">
        <f t="shared" si="5"/>
        <v>0</v>
      </c>
      <c r="D207" s="311"/>
      <c r="E207" s="312"/>
      <c r="G207" s="36"/>
      <c r="H207" s="37"/>
    </row>
    <row r="208" spans="1:8" ht="14.25" hidden="1" x14ac:dyDescent="0.15">
      <c r="A208" s="218"/>
      <c r="B208" s="220"/>
      <c r="C208" s="311">
        <f t="shared" si="5"/>
        <v>0</v>
      </c>
      <c r="D208" s="311"/>
      <c r="E208" s="312"/>
      <c r="G208" s="36"/>
      <c r="H208" s="37"/>
    </row>
    <row r="209" spans="1:8" ht="14.25" hidden="1" x14ac:dyDescent="0.15">
      <c r="A209" s="218"/>
      <c r="B209" s="220"/>
      <c r="C209" s="311">
        <f t="shared" si="5"/>
        <v>0</v>
      </c>
      <c r="D209" s="311"/>
      <c r="E209" s="312"/>
      <c r="G209" s="36"/>
      <c r="H209" s="37"/>
    </row>
    <row r="210" spans="1:8" ht="14.25" hidden="1" x14ac:dyDescent="0.15">
      <c r="A210" s="218"/>
      <c r="B210" s="220"/>
      <c r="C210" s="311">
        <f t="shared" si="5"/>
        <v>0</v>
      </c>
      <c r="D210" s="311"/>
      <c r="E210" s="312"/>
      <c r="G210" s="36"/>
      <c r="H210" s="37"/>
    </row>
    <row r="211" spans="1:8" ht="14.25" hidden="1" x14ac:dyDescent="0.15">
      <c r="A211" s="218"/>
      <c r="B211" s="220"/>
      <c r="C211" s="311">
        <f t="shared" si="5"/>
        <v>0</v>
      </c>
      <c r="D211" s="311"/>
      <c r="E211" s="312"/>
      <c r="G211" s="36"/>
      <c r="H211" s="37"/>
    </row>
    <row r="212" spans="1:8" ht="14.25" hidden="1" x14ac:dyDescent="0.15">
      <c r="A212" s="218"/>
      <c r="B212" s="220"/>
      <c r="C212" s="311">
        <f t="shared" si="5"/>
        <v>0</v>
      </c>
      <c r="D212" s="311"/>
      <c r="E212" s="312"/>
      <c r="G212" s="36"/>
      <c r="H212" s="37"/>
    </row>
    <row r="213" spans="1:8" ht="14.25" hidden="1" x14ac:dyDescent="0.15">
      <c r="A213" s="218"/>
      <c r="B213" s="220"/>
      <c r="C213" s="311">
        <f t="shared" si="5"/>
        <v>0</v>
      </c>
      <c r="D213" s="311"/>
      <c r="E213" s="312"/>
      <c r="G213" s="36"/>
      <c r="H213" s="37"/>
    </row>
    <row r="214" spans="1:8" ht="14.25" hidden="1" x14ac:dyDescent="0.15">
      <c r="A214" s="218"/>
      <c r="B214" s="220"/>
      <c r="C214" s="311">
        <f t="shared" si="5"/>
        <v>0</v>
      </c>
      <c r="D214" s="311"/>
      <c r="E214" s="312"/>
      <c r="G214" s="36"/>
      <c r="H214" s="37"/>
    </row>
    <row r="215" spans="1:8" ht="14.25" hidden="1" x14ac:dyDescent="0.15">
      <c r="A215" s="218"/>
      <c r="B215" s="219"/>
      <c r="C215" s="311">
        <f t="shared" si="5"/>
        <v>0</v>
      </c>
      <c r="D215" s="311"/>
      <c r="E215" s="312"/>
      <c r="G215" s="36"/>
      <c r="H215" s="37"/>
    </row>
    <row r="216" spans="1:8" ht="14.25" hidden="1" x14ac:dyDescent="0.15">
      <c r="A216" s="215"/>
      <c r="B216" s="216"/>
      <c r="C216" s="311">
        <f t="shared" si="5"/>
        <v>0</v>
      </c>
      <c r="D216" s="311"/>
      <c r="E216" s="312"/>
      <c r="G216" s="36"/>
      <c r="H216" s="37"/>
    </row>
    <row r="217" spans="1:8" ht="14.25" hidden="1" x14ac:dyDescent="0.15">
      <c r="A217" s="217"/>
      <c r="B217" s="216"/>
      <c r="C217" s="311">
        <f t="shared" si="5"/>
        <v>0</v>
      </c>
      <c r="D217" s="311"/>
      <c r="E217" s="312"/>
      <c r="G217" s="36"/>
      <c r="H217" s="37"/>
    </row>
    <row r="218" spans="1:8" ht="14.25" hidden="1" x14ac:dyDescent="0.15">
      <c r="A218" s="217"/>
      <c r="B218" s="219"/>
      <c r="C218" s="311">
        <f t="shared" si="5"/>
        <v>0</v>
      </c>
      <c r="D218" s="311"/>
      <c r="E218" s="312"/>
      <c r="G218" s="36"/>
      <c r="H218" s="37"/>
    </row>
    <row r="219" spans="1:8" ht="14.25" hidden="1" x14ac:dyDescent="0.15">
      <c r="A219" s="217"/>
      <c r="B219" s="219"/>
      <c r="C219" s="311">
        <f t="shared" si="5"/>
        <v>0</v>
      </c>
      <c r="D219" s="311"/>
      <c r="E219" s="312"/>
      <c r="G219" s="36"/>
      <c r="H219" s="37"/>
    </row>
    <row r="220" spans="1:8" ht="14.25" hidden="1" x14ac:dyDescent="0.15">
      <c r="A220" s="217"/>
      <c r="B220" s="219"/>
      <c r="C220" s="311">
        <f t="shared" si="5"/>
        <v>0</v>
      </c>
      <c r="D220" s="311"/>
      <c r="E220" s="312"/>
      <c r="G220" s="36"/>
      <c r="H220" s="37"/>
    </row>
    <row r="221" spans="1:8" ht="14.25" hidden="1" x14ac:dyDescent="0.15">
      <c r="A221" s="217"/>
      <c r="B221" s="219"/>
      <c r="C221" s="311">
        <f t="shared" si="5"/>
        <v>0</v>
      </c>
      <c r="D221" s="311"/>
      <c r="E221" s="312"/>
      <c r="G221" s="36"/>
      <c r="H221" s="37"/>
    </row>
    <row r="222" spans="1:8" ht="14.25" hidden="1" x14ac:dyDescent="0.15">
      <c r="A222" s="217"/>
      <c r="B222" s="219"/>
      <c r="C222" s="311">
        <f t="shared" si="5"/>
        <v>0</v>
      </c>
      <c r="D222" s="311"/>
      <c r="E222" s="312"/>
      <c r="G222" s="36"/>
      <c r="H222" s="37"/>
    </row>
    <row r="223" spans="1:8" ht="14.25" hidden="1" x14ac:dyDescent="0.15">
      <c r="A223" s="217"/>
      <c r="B223" s="219"/>
      <c r="C223" s="311">
        <f t="shared" si="5"/>
        <v>0</v>
      </c>
      <c r="D223" s="311"/>
      <c r="E223" s="312"/>
      <c r="G223" s="36"/>
      <c r="H223" s="37"/>
    </row>
    <row r="224" spans="1:8" ht="14.25" hidden="1" x14ac:dyDescent="0.15">
      <c r="A224" s="117"/>
      <c r="B224" s="220"/>
      <c r="C224" s="311">
        <f t="shared" si="5"/>
        <v>0</v>
      </c>
      <c r="D224" s="311"/>
      <c r="E224" s="312"/>
      <c r="G224" s="36"/>
      <c r="H224" s="37"/>
    </row>
    <row r="225" spans="1:8" ht="14.25" hidden="1" x14ac:dyDescent="0.15">
      <c r="A225" s="117"/>
      <c r="B225" s="220"/>
      <c r="C225" s="311">
        <f t="shared" si="5"/>
        <v>0</v>
      </c>
      <c r="D225" s="311"/>
      <c r="E225" s="312"/>
      <c r="G225" s="36"/>
      <c r="H225" s="37"/>
    </row>
    <row r="226" spans="1:8" ht="14.25" hidden="1" x14ac:dyDescent="0.15">
      <c r="A226" s="117"/>
      <c r="B226" s="220"/>
      <c r="C226" s="311">
        <f t="shared" si="5"/>
        <v>0</v>
      </c>
      <c r="D226" s="311"/>
      <c r="E226" s="312"/>
      <c r="G226" s="36"/>
      <c r="H226" s="37"/>
    </row>
    <row r="227" spans="1:8" ht="14.25" hidden="1" x14ac:dyDescent="0.15">
      <c r="A227" s="117"/>
      <c r="B227" s="220"/>
      <c r="C227" s="311">
        <f t="shared" si="5"/>
        <v>0</v>
      </c>
      <c r="D227" s="311"/>
      <c r="E227" s="312"/>
      <c r="G227" s="36"/>
      <c r="H227" s="37"/>
    </row>
    <row r="228" spans="1:8" ht="14.25" hidden="1" x14ac:dyDescent="0.15">
      <c r="A228" s="117"/>
      <c r="B228" s="220"/>
      <c r="C228" s="311">
        <f t="shared" si="5"/>
        <v>0</v>
      </c>
      <c r="D228" s="311"/>
      <c r="E228" s="312"/>
      <c r="G228" s="36"/>
      <c r="H228" s="37"/>
    </row>
    <row r="229" spans="1:8" ht="14.25" hidden="1" x14ac:dyDescent="0.15">
      <c r="A229" s="117"/>
      <c r="B229" s="220"/>
      <c r="C229" s="311">
        <f t="shared" si="5"/>
        <v>0</v>
      </c>
      <c r="D229" s="311"/>
      <c r="E229" s="312"/>
      <c r="G229" s="36"/>
      <c r="H229" s="37"/>
    </row>
    <row r="230" spans="1:8" ht="14.25" hidden="1" x14ac:dyDescent="0.15">
      <c r="A230" s="117"/>
      <c r="B230" s="220"/>
      <c r="C230" s="311">
        <f t="shared" si="5"/>
        <v>0</v>
      </c>
      <c r="D230" s="311"/>
      <c r="E230" s="312"/>
      <c r="G230" s="36"/>
      <c r="H230" s="37"/>
    </row>
    <row r="231" spans="1:8" ht="14.25" hidden="1" x14ac:dyDescent="0.15">
      <c r="A231" s="117"/>
      <c r="B231" s="220"/>
      <c r="C231" s="311">
        <f t="shared" si="5"/>
        <v>0</v>
      </c>
      <c r="D231" s="311"/>
      <c r="E231" s="312"/>
      <c r="G231" s="36"/>
      <c r="H231" s="37"/>
    </row>
    <row r="232" spans="1:8" ht="14.25" hidden="1" x14ac:dyDescent="0.15">
      <c r="A232" s="117"/>
      <c r="B232" s="220"/>
      <c r="C232" s="311">
        <f t="shared" si="5"/>
        <v>0</v>
      </c>
      <c r="D232" s="311"/>
      <c r="E232" s="312"/>
      <c r="G232" s="36"/>
      <c r="H232" s="37"/>
    </row>
    <row r="233" spans="1:8" ht="14.25" hidden="1" x14ac:dyDescent="0.15">
      <c r="A233" s="117"/>
      <c r="B233" s="220"/>
      <c r="C233" s="311">
        <f t="shared" si="5"/>
        <v>0</v>
      </c>
      <c r="D233" s="311"/>
      <c r="E233" s="312"/>
      <c r="G233" s="36"/>
      <c r="H233" s="37"/>
    </row>
    <row r="234" spans="1:8" ht="14.25" hidden="1" x14ac:dyDescent="0.15">
      <c r="A234" s="218"/>
      <c r="B234" s="220"/>
      <c r="C234" s="311">
        <f t="shared" si="5"/>
        <v>0</v>
      </c>
      <c r="D234" s="311"/>
      <c r="E234" s="312"/>
      <c r="G234" s="36"/>
      <c r="H234" s="37"/>
    </row>
    <row r="235" spans="1:8" ht="14.25" hidden="1" x14ac:dyDescent="0.15">
      <c r="A235" s="218"/>
      <c r="B235" s="220"/>
      <c r="C235" s="311">
        <f t="shared" si="5"/>
        <v>0</v>
      </c>
      <c r="D235" s="311"/>
      <c r="E235" s="312"/>
      <c r="G235" s="36"/>
      <c r="H235" s="37"/>
    </row>
    <row r="236" spans="1:8" ht="14.25" hidden="1" x14ac:dyDescent="0.15">
      <c r="A236" s="218"/>
      <c r="B236" s="220"/>
      <c r="C236" s="311">
        <f t="shared" si="5"/>
        <v>0</v>
      </c>
      <c r="D236" s="311"/>
      <c r="E236" s="312"/>
      <c r="G236" s="36"/>
      <c r="H236" s="37"/>
    </row>
    <row r="237" spans="1:8" ht="14.25" hidden="1" x14ac:dyDescent="0.15">
      <c r="A237" s="218"/>
      <c r="B237" s="220"/>
      <c r="C237" s="311">
        <f t="shared" si="5"/>
        <v>0</v>
      </c>
      <c r="D237" s="311"/>
      <c r="E237" s="312"/>
      <c r="G237" s="36"/>
      <c r="H237" s="37"/>
    </row>
    <row r="238" spans="1:8" ht="14.25" hidden="1" x14ac:dyDescent="0.15">
      <c r="A238" s="218"/>
      <c r="B238" s="220"/>
      <c r="C238" s="311">
        <f t="shared" ref="C238:C301" si="6">+G238+H238</f>
        <v>0</v>
      </c>
      <c r="D238" s="311"/>
      <c r="E238" s="312"/>
      <c r="G238" s="36"/>
      <c r="H238" s="37"/>
    </row>
    <row r="239" spans="1:8" ht="14.25" hidden="1" x14ac:dyDescent="0.15">
      <c r="A239" s="218"/>
      <c r="B239" s="220"/>
      <c r="C239" s="311">
        <f t="shared" si="6"/>
        <v>0</v>
      </c>
      <c r="D239" s="311"/>
      <c r="E239" s="312"/>
      <c r="G239" s="36"/>
      <c r="H239" s="37"/>
    </row>
    <row r="240" spans="1:8" ht="14.25" hidden="1" x14ac:dyDescent="0.15">
      <c r="A240" s="218"/>
      <c r="B240" s="220"/>
      <c r="C240" s="311">
        <f t="shared" si="6"/>
        <v>0</v>
      </c>
      <c r="D240" s="311"/>
      <c r="E240" s="312"/>
      <c r="G240" s="36"/>
      <c r="H240" s="37"/>
    </row>
    <row r="241" spans="1:8" ht="14.25" hidden="1" x14ac:dyDescent="0.15">
      <c r="A241" s="218"/>
      <c r="B241" s="220"/>
      <c r="C241" s="311">
        <f t="shared" si="6"/>
        <v>0</v>
      </c>
      <c r="D241" s="311"/>
      <c r="E241" s="312"/>
      <c r="G241" s="36"/>
      <c r="H241" s="37"/>
    </row>
    <row r="242" spans="1:8" ht="14.25" hidden="1" x14ac:dyDescent="0.15">
      <c r="A242" s="218"/>
      <c r="B242" s="220"/>
      <c r="C242" s="311">
        <f t="shared" si="6"/>
        <v>0</v>
      </c>
      <c r="D242" s="311"/>
      <c r="E242" s="312"/>
      <c r="G242" s="36"/>
      <c r="H242" s="37"/>
    </row>
    <row r="243" spans="1:8" ht="14.25" hidden="1" x14ac:dyDescent="0.15">
      <c r="A243" s="218"/>
      <c r="B243" s="220"/>
      <c r="C243" s="311">
        <f t="shared" si="6"/>
        <v>0</v>
      </c>
      <c r="D243" s="311"/>
      <c r="E243" s="312"/>
      <c r="G243" s="36"/>
      <c r="H243" s="37"/>
    </row>
    <row r="244" spans="1:8" ht="14.25" hidden="1" x14ac:dyDescent="0.15">
      <c r="A244" s="218"/>
      <c r="B244" s="220"/>
      <c r="C244" s="311">
        <f t="shared" si="6"/>
        <v>0</v>
      </c>
      <c r="D244" s="311"/>
      <c r="E244" s="312"/>
      <c r="G244" s="36"/>
      <c r="H244" s="37"/>
    </row>
    <row r="245" spans="1:8" ht="14.25" hidden="1" x14ac:dyDescent="0.15">
      <c r="A245" s="218"/>
      <c r="B245" s="220"/>
      <c r="C245" s="311">
        <f t="shared" si="6"/>
        <v>0</v>
      </c>
      <c r="D245" s="311"/>
      <c r="E245" s="312"/>
      <c r="G245" s="36"/>
      <c r="H245" s="37"/>
    </row>
    <row r="246" spans="1:8" ht="14.25" hidden="1" x14ac:dyDescent="0.15">
      <c r="A246" s="218"/>
      <c r="B246" s="220"/>
      <c r="C246" s="311">
        <f t="shared" si="6"/>
        <v>0</v>
      </c>
      <c r="D246" s="311"/>
      <c r="E246" s="312"/>
      <c r="G246" s="36"/>
      <c r="H246" s="37"/>
    </row>
    <row r="247" spans="1:8" ht="14.25" hidden="1" x14ac:dyDescent="0.15">
      <c r="A247" s="218"/>
      <c r="B247" s="220"/>
      <c r="C247" s="311">
        <f t="shared" si="6"/>
        <v>0</v>
      </c>
      <c r="D247" s="311"/>
      <c r="E247" s="312"/>
      <c r="G247" s="36"/>
      <c r="H247" s="37"/>
    </row>
    <row r="248" spans="1:8" ht="14.25" hidden="1" x14ac:dyDescent="0.15">
      <c r="A248" s="218"/>
      <c r="B248" s="220"/>
      <c r="C248" s="311">
        <f t="shared" si="6"/>
        <v>0</v>
      </c>
      <c r="D248" s="311"/>
      <c r="E248" s="312"/>
      <c r="G248" s="36"/>
      <c r="H248" s="37"/>
    </row>
    <row r="249" spans="1:8" ht="14.25" hidden="1" x14ac:dyDescent="0.15">
      <c r="A249" s="218"/>
      <c r="B249" s="220"/>
      <c r="C249" s="311">
        <f t="shared" si="6"/>
        <v>0</v>
      </c>
      <c r="D249" s="311"/>
      <c r="E249" s="312"/>
      <c r="G249" s="36"/>
      <c r="H249" s="37"/>
    </row>
    <row r="250" spans="1:8" ht="14.25" hidden="1" x14ac:dyDescent="0.15">
      <c r="A250" s="218"/>
      <c r="B250" s="220"/>
      <c r="C250" s="311">
        <f t="shared" si="6"/>
        <v>0</v>
      </c>
      <c r="D250" s="311"/>
      <c r="E250" s="312"/>
      <c r="G250" s="36"/>
      <c r="H250" s="37"/>
    </row>
    <row r="251" spans="1:8" ht="14.25" hidden="1" x14ac:dyDescent="0.15">
      <c r="A251" s="218"/>
      <c r="B251" s="220"/>
      <c r="C251" s="311">
        <f t="shared" si="6"/>
        <v>0</v>
      </c>
      <c r="D251" s="311"/>
      <c r="E251" s="312"/>
      <c r="G251" s="36"/>
      <c r="H251" s="37"/>
    </row>
    <row r="252" spans="1:8" ht="14.25" hidden="1" x14ac:dyDescent="0.15">
      <c r="A252" s="218"/>
      <c r="B252" s="220"/>
      <c r="C252" s="311">
        <f t="shared" si="6"/>
        <v>0</v>
      </c>
      <c r="D252" s="311"/>
      <c r="E252" s="312"/>
      <c r="G252" s="36"/>
      <c r="H252" s="37"/>
    </row>
    <row r="253" spans="1:8" ht="14.25" hidden="1" x14ac:dyDescent="0.15">
      <c r="A253" s="218"/>
      <c r="B253" s="220"/>
      <c r="C253" s="311">
        <f t="shared" si="6"/>
        <v>0</v>
      </c>
      <c r="D253" s="311"/>
      <c r="E253" s="312"/>
      <c r="G253" s="36"/>
      <c r="H253" s="37"/>
    </row>
    <row r="254" spans="1:8" ht="14.25" hidden="1" x14ac:dyDescent="0.15">
      <c r="A254" s="218"/>
      <c r="B254" s="220"/>
      <c r="C254" s="311">
        <f t="shared" si="6"/>
        <v>0</v>
      </c>
      <c r="D254" s="311"/>
      <c r="E254" s="312"/>
      <c r="G254" s="36"/>
      <c r="H254" s="37"/>
    </row>
    <row r="255" spans="1:8" ht="14.25" hidden="1" x14ac:dyDescent="0.15">
      <c r="A255" s="218"/>
      <c r="B255" s="220"/>
      <c r="C255" s="311">
        <f t="shared" si="6"/>
        <v>0</v>
      </c>
      <c r="D255" s="311"/>
      <c r="E255" s="312"/>
      <c r="G255" s="36"/>
      <c r="H255" s="37"/>
    </row>
    <row r="256" spans="1:8" ht="14.25" hidden="1" x14ac:dyDescent="0.15">
      <c r="A256" s="218"/>
      <c r="B256" s="220"/>
      <c r="C256" s="311">
        <f t="shared" si="6"/>
        <v>0</v>
      </c>
      <c r="D256" s="311"/>
      <c r="E256" s="312"/>
      <c r="G256" s="36"/>
      <c r="H256" s="37"/>
    </row>
    <row r="257" spans="1:8" ht="14.25" hidden="1" x14ac:dyDescent="0.15">
      <c r="A257" s="218"/>
      <c r="B257" s="219"/>
      <c r="C257" s="311">
        <f t="shared" si="6"/>
        <v>0</v>
      </c>
      <c r="D257" s="311"/>
      <c r="E257" s="312"/>
      <c r="G257" s="36"/>
      <c r="H257" s="37"/>
    </row>
    <row r="258" spans="1:8" ht="14.25" hidden="1" x14ac:dyDescent="0.15">
      <c r="A258" s="215"/>
      <c r="B258" s="216"/>
      <c r="C258" s="311">
        <f t="shared" si="6"/>
        <v>0</v>
      </c>
      <c r="D258" s="311"/>
      <c r="E258" s="312"/>
      <c r="G258" s="36"/>
      <c r="H258" s="37"/>
    </row>
    <row r="259" spans="1:8" ht="14.25" hidden="1" x14ac:dyDescent="0.15">
      <c r="A259" s="217"/>
      <c r="B259" s="216"/>
      <c r="C259" s="311">
        <f t="shared" si="6"/>
        <v>0</v>
      </c>
      <c r="D259" s="311"/>
      <c r="E259" s="312"/>
      <c r="G259" s="36"/>
      <c r="H259" s="37"/>
    </row>
    <row r="260" spans="1:8" ht="14.25" hidden="1" x14ac:dyDescent="0.15">
      <c r="A260" s="217"/>
      <c r="B260" s="219"/>
      <c r="C260" s="311">
        <f t="shared" si="6"/>
        <v>0</v>
      </c>
      <c r="D260" s="311"/>
      <c r="E260" s="312"/>
      <c r="G260" s="36"/>
      <c r="H260" s="37"/>
    </row>
    <row r="261" spans="1:8" ht="14.25" hidden="1" x14ac:dyDescent="0.15">
      <c r="A261" s="217"/>
      <c r="B261" s="219"/>
      <c r="C261" s="311">
        <f t="shared" si="6"/>
        <v>0</v>
      </c>
      <c r="D261" s="311"/>
      <c r="E261" s="312"/>
      <c r="G261" s="36"/>
      <c r="H261" s="37"/>
    </row>
    <row r="262" spans="1:8" ht="14.25" hidden="1" x14ac:dyDescent="0.15">
      <c r="A262" s="217"/>
      <c r="B262" s="219"/>
      <c r="C262" s="311">
        <f t="shared" si="6"/>
        <v>0</v>
      </c>
      <c r="D262" s="311"/>
      <c r="E262" s="312"/>
      <c r="G262" s="36"/>
      <c r="H262" s="37"/>
    </row>
    <row r="263" spans="1:8" ht="14.25" hidden="1" x14ac:dyDescent="0.15">
      <c r="A263" s="217"/>
      <c r="B263" s="219"/>
      <c r="C263" s="311">
        <f t="shared" si="6"/>
        <v>0</v>
      </c>
      <c r="D263" s="311"/>
      <c r="E263" s="312"/>
      <c r="G263" s="36"/>
      <c r="H263" s="37"/>
    </row>
    <row r="264" spans="1:8" ht="14.25" hidden="1" x14ac:dyDescent="0.15">
      <c r="A264" s="217"/>
      <c r="B264" s="219"/>
      <c r="C264" s="311">
        <f t="shared" si="6"/>
        <v>0</v>
      </c>
      <c r="D264" s="311"/>
      <c r="E264" s="312"/>
      <c r="G264" s="36"/>
      <c r="H264" s="37"/>
    </row>
    <row r="265" spans="1:8" ht="14.25" hidden="1" x14ac:dyDescent="0.15">
      <c r="A265" s="217"/>
      <c r="B265" s="219"/>
      <c r="C265" s="311">
        <f t="shared" si="6"/>
        <v>0</v>
      </c>
      <c r="D265" s="311"/>
      <c r="E265" s="312"/>
      <c r="G265" s="36"/>
      <c r="H265" s="37"/>
    </row>
    <row r="266" spans="1:8" ht="14.25" hidden="1" x14ac:dyDescent="0.15">
      <c r="A266" s="117"/>
      <c r="B266" s="220"/>
      <c r="C266" s="311">
        <f t="shared" si="6"/>
        <v>0</v>
      </c>
      <c r="D266" s="311"/>
      <c r="E266" s="312"/>
      <c r="G266" s="36"/>
      <c r="H266" s="37"/>
    </row>
    <row r="267" spans="1:8" ht="14.25" hidden="1" x14ac:dyDescent="0.15">
      <c r="A267" s="117"/>
      <c r="B267" s="220"/>
      <c r="C267" s="311">
        <f t="shared" si="6"/>
        <v>0</v>
      </c>
      <c r="D267" s="311"/>
      <c r="E267" s="312"/>
      <c r="G267" s="36"/>
      <c r="H267" s="37"/>
    </row>
    <row r="268" spans="1:8" ht="14.25" hidden="1" x14ac:dyDescent="0.15">
      <c r="A268" s="117"/>
      <c r="B268" s="220"/>
      <c r="C268" s="311">
        <f t="shared" si="6"/>
        <v>0</v>
      </c>
      <c r="D268" s="311"/>
      <c r="E268" s="312"/>
      <c r="G268" s="36"/>
      <c r="H268" s="37"/>
    </row>
    <row r="269" spans="1:8" ht="14.25" hidden="1" x14ac:dyDescent="0.15">
      <c r="A269" s="117"/>
      <c r="B269" s="220"/>
      <c r="C269" s="311">
        <f t="shared" si="6"/>
        <v>0</v>
      </c>
      <c r="D269" s="311"/>
      <c r="E269" s="312"/>
      <c r="G269" s="36"/>
      <c r="H269" s="37"/>
    </row>
    <row r="270" spans="1:8" ht="14.25" hidden="1" x14ac:dyDescent="0.15">
      <c r="A270" s="117"/>
      <c r="B270" s="220"/>
      <c r="C270" s="311">
        <f t="shared" si="6"/>
        <v>0</v>
      </c>
      <c r="D270" s="311"/>
      <c r="E270" s="312"/>
      <c r="G270" s="36"/>
      <c r="H270" s="37"/>
    </row>
    <row r="271" spans="1:8" ht="14.25" hidden="1" x14ac:dyDescent="0.15">
      <c r="A271" s="117"/>
      <c r="B271" s="220"/>
      <c r="C271" s="311">
        <f t="shared" si="6"/>
        <v>0</v>
      </c>
      <c r="D271" s="311"/>
      <c r="E271" s="312"/>
      <c r="G271" s="36"/>
      <c r="H271" s="37"/>
    </row>
    <row r="272" spans="1:8" ht="14.25" hidden="1" x14ac:dyDescent="0.15">
      <c r="A272" s="117"/>
      <c r="B272" s="220"/>
      <c r="C272" s="311">
        <f t="shared" si="6"/>
        <v>0</v>
      </c>
      <c r="D272" s="311"/>
      <c r="E272" s="312"/>
      <c r="G272" s="36"/>
      <c r="H272" s="37"/>
    </row>
    <row r="273" spans="1:8" ht="14.25" hidden="1" x14ac:dyDescent="0.15">
      <c r="A273" s="117"/>
      <c r="B273" s="220"/>
      <c r="C273" s="311">
        <f t="shared" si="6"/>
        <v>0</v>
      </c>
      <c r="D273" s="311"/>
      <c r="E273" s="312"/>
      <c r="G273" s="36"/>
      <c r="H273" s="37"/>
    </row>
    <row r="274" spans="1:8" ht="14.25" hidden="1" x14ac:dyDescent="0.15">
      <c r="A274" s="117"/>
      <c r="B274" s="220"/>
      <c r="C274" s="311">
        <f t="shared" si="6"/>
        <v>0</v>
      </c>
      <c r="D274" s="311"/>
      <c r="E274" s="312"/>
      <c r="G274" s="36"/>
      <c r="H274" s="37"/>
    </row>
    <row r="275" spans="1:8" ht="14.25" hidden="1" x14ac:dyDescent="0.15">
      <c r="A275" s="117"/>
      <c r="B275" s="220"/>
      <c r="C275" s="311">
        <f t="shared" si="6"/>
        <v>0</v>
      </c>
      <c r="D275" s="311"/>
      <c r="E275" s="312"/>
      <c r="G275" s="36"/>
      <c r="H275" s="37"/>
    </row>
    <row r="276" spans="1:8" ht="14.25" hidden="1" x14ac:dyDescent="0.15">
      <c r="A276" s="218"/>
      <c r="B276" s="220"/>
      <c r="C276" s="311">
        <f t="shared" si="6"/>
        <v>0</v>
      </c>
      <c r="D276" s="311"/>
      <c r="E276" s="312"/>
      <c r="G276" s="36"/>
      <c r="H276" s="37"/>
    </row>
    <row r="277" spans="1:8" ht="14.25" hidden="1" x14ac:dyDescent="0.15">
      <c r="A277" s="218"/>
      <c r="B277" s="220"/>
      <c r="C277" s="311">
        <f t="shared" si="6"/>
        <v>0</v>
      </c>
      <c r="D277" s="311"/>
      <c r="E277" s="312"/>
      <c r="G277" s="36"/>
      <c r="H277" s="37"/>
    </row>
    <row r="278" spans="1:8" ht="14.25" hidden="1" x14ac:dyDescent="0.15">
      <c r="A278" s="218"/>
      <c r="B278" s="220"/>
      <c r="C278" s="311">
        <f t="shared" si="6"/>
        <v>0</v>
      </c>
      <c r="D278" s="311"/>
      <c r="E278" s="312"/>
      <c r="G278" s="36"/>
      <c r="H278" s="37"/>
    </row>
    <row r="279" spans="1:8" ht="14.25" hidden="1" x14ac:dyDescent="0.15">
      <c r="A279" s="218"/>
      <c r="B279" s="220"/>
      <c r="C279" s="311">
        <f t="shared" si="6"/>
        <v>0</v>
      </c>
      <c r="D279" s="311"/>
      <c r="E279" s="312"/>
      <c r="G279" s="36"/>
      <c r="H279" s="37"/>
    </row>
    <row r="280" spans="1:8" ht="14.25" hidden="1" x14ac:dyDescent="0.15">
      <c r="A280" s="218"/>
      <c r="B280" s="220"/>
      <c r="C280" s="311">
        <f t="shared" si="6"/>
        <v>0</v>
      </c>
      <c r="D280" s="311"/>
      <c r="E280" s="312"/>
      <c r="G280" s="36"/>
      <c r="H280" s="37"/>
    </row>
    <row r="281" spans="1:8" ht="14.25" hidden="1" x14ac:dyDescent="0.15">
      <c r="A281" s="218"/>
      <c r="B281" s="220"/>
      <c r="C281" s="311">
        <f t="shared" si="6"/>
        <v>0</v>
      </c>
      <c r="D281" s="311"/>
      <c r="E281" s="312"/>
      <c r="G281" s="36"/>
      <c r="H281" s="37"/>
    </row>
    <row r="282" spans="1:8" ht="14.25" hidden="1" x14ac:dyDescent="0.15">
      <c r="A282" s="218"/>
      <c r="B282" s="220"/>
      <c r="C282" s="311">
        <f t="shared" si="6"/>
        <v>0</v>
      </c>
      <c r="D282" s="311"/>
      <c r="E282" s="312"/>
      <c r="G282" s="36"/>
      <c r="H282" s="37"/>
    </row>
    <row r="283" spans="1:8" ht="14.25" hidden="1" x14ac:dyDescent="0.15">
      <c r="A283" s="218"/>
      <c r="B283" s="220"/>
      <c r="C283" s="311">
        <f t="shared" si="6"/>
        <v>0</v>
      </c>
      <c r="D283" s="311"/>
      <c r="E283" s="312"/>
      <c r="G283" s="36"/>
      <c r="H283" s="37"/>
    </row>
    <row r="284" spans="1:8" ht="14.25" hidden="1" x14ac:dyDescent="0.15">
      <c r="A284" s="218"/>
      <c r="B284" s="220"/>
      <c r="C284" s="311">
        <f t="shared" si="6"/>
        <v>0</v>
      </c>
      <c r="D284" s="311"/>
      <c r="E284" s="312"/>
      <c r="G284" s="36"/>
      <c r="H284" s="37"/>
    </row>
    <row r="285" spans="1:8" ht="14.25" hidden="1" x14ac:dyDescent="0.15">
      <c r="A285" s="218"/>
      <c r="B285" s="220"/>
      <c r="C285" s="311">
        <f t="shared" si="6"/>
        <v>0</v>
      </c>
      <c r="D285" s="311"/>
      <c r="E285" s="312"/>
      <c r="G285" s="36"/>
      <c r="H285" s="37"/>
    </row>
    <row r="286" spans="1:8" ht="14.25" hidden="1" x14ac:dyDescent="0.15">
      <c r="A286" s="218"/>
      <c r="B286" s="220"/>
      <c r="C286" s="311">
        <f t="shared" si="6"/>
        <v>0</v>
      </c>
      <c r="D286" s="311"/>
      <c r="E286" s="312"/>
      <c r="G286" s="36"/>
      <c r="H286" s="37"/>
    </row>
    <row r="287" spans="1:8" ht="14.25" hidden="1" x14ac:dyDescent="0.15">
      <c r="A287" s="218"/>
      <c r="B287" s="220"/>
      <c r="C287" s="311">
        <f t="shared" si="6"/>
        <v>0</v>
      </c>
      <c r="D287" s="311"/>
      <c r="E287" s="312"/>
      <c r="G287" s="36"/>
      <c r="H287" s="37"/>
    </row>
    <row r="288" spans="1:8" ht="14.25" hidden="1" x14ac:dyDescent="0.15">
      <c r="A288" s="218"/>
      <c r="B288" s="220"/>
      <c r="C288" s="311">
        <f t="shared" si="6"/>
        <v>0</v>
      </c>
      <c r="D288" s="311"/>
      <c r="E288" s="312"/>
      <c r="G288" s="36"/>
      <c r="H288" s="37"/>
    </row>
    <row r="289" spans="1:8" ht="14.25" hidden="1" x14ac:dyDescent="0.15">
      <c r="A289" s="218"/>
      <c r="B289" s="220"/>
      <c r="C289" s="311">
        <f t="shared" si="6"/>
        <v>0</v>
      </c>
      <c r="D289" s="311"/>
      <c r="E289" s="312"/>
      <c r="G289" s="36"/>
      <c r="H289" s="37"/>
    </row>
    <row r="290" spans="1:8" ht="14.25" hidden="1" x14ac:dyDescent="0.15">
      <c r="A290" s="218"/>
      <c r="B290" s="220"/>
      <c r="C290" s="311">
        <f t="shared" si="6"/>
        <v>0</v>
      </c>
      <c r="D290" s="311"/>
      <c r="E290" s="312"/>
      <c r="G290" s="36"/>
      <c r="H290" s="37"/>
    </row>
    <row r="291" spans="1:8" ht="14.25" hidden="1" x14ac:dyDescent="0.15">
      <c r="A291" s="218"/>
      <c r="B291" s="220"/>
      <c r="C291" s="311">
        <f t="shared" si="6"/>
        <v>0</v>
      </c>
      <c r="D291" s="311"/>
      <c r="E291" s="312"/>
      <c r="G291" s="36"/>
      <c r="H291" s="37"/>
    </row>
    <row r="292" spans="1:8" ht="14.25" hidden="1" x14ac:dyDescent="0.15">
      <c r="A292" s="218"/>
      <c r="B292" s="220"/>
      <c r="C292" s="311">
        <f t="shared" si="6"/>
        <v>0</v>
      </c>
      <c r="D292" s="311"/>
      <c r="E292" s="312"/>
      <c r="G292" s="36"/>
      <c r="H292" s="37"/>
    </row>
    <row r="293" spans="1:8" ht="14.25" hidden="1" x14ac:dyDescent="0.15">
      <c r="A293" s="218"/>
      <c r="B293" s="220"/>
      <c r="C293" s="311">
        <f t="shared" si="6"/>
        <v>0</v>
      </c>
      <c r="D293" s="311"/>
      <c r="E293" s="312"/>
      <c r="G293" s="36"/>
      <c r="H293" s="37"/>
    </row>
    <row r="294" spans="1:8" ht="14.25" hidden="1" x14ac:dyDescent="0.15">
      <c r="A294" s="218"/>
      <c r="B294" s="220"/>
      <c r="C294" s="311">
        <f t="shared" si="6"/>
        <v>0</v>
      </c>
      <c r="D294" s="311"/>
      <c r="E294" s="312"/>
      <c r="G294" s="36"/>
      <c r="H294" s="37"/>
    </row>
    <row r="295" spans="1:8" ht="14.25" hidden="1" x14ac:dyDescent="0.15">
      <c r="A295" s="218"/>
      <c r="B295" s="220"/>
      <c r="C295" s="311">
        <f t="shared" si="6"/>
        <v>0</v>
      </c>
      <c r="D295" s="311"/>
      <c r="E295" s="312"/>
      <c r="G295" s="36"/>
      <c r="H295" s="37"/>
    </row>
    <row r="296" spans="1:8" ht="14.25" hidden="1" x14ac:dyDescent="0.15">
      <c r="A296" s="218"/>
      <c r="B296" s="220"/>
      <c r="C296" s="311">
        <f t="shared" si="6"/>
        <v>0</v>
      </c>
      <c r="D296" s="311"/>
      <c r="E296" s="312"/>
      <c r="G296" s="36"/>
      <c r="H296" s="37"/>
    </row>
    <row r="297" spans="1:8" ht="14.25" hidden="1" x14ac:dyDescent="0.15">
      <c r="A297" s="218"/>
      <c r="B297" s="220"/>
      <c r="C297" s="311">
        <f t="shared" si="6"/>
        <v>0</v>
      </c>
      <c r="D297" s="311"/>
      <c r="E297" s="312"/>
      <c r="G297" s="36"/>
      <c r="H297" s="37"/>
    </row>
    <row r="298" spans="1:8" ht="14.25" hidden="1" x14ac:dyDescent="0.15">
      <c r="A298" s="218"/>
      <c r="B298" s="220"/>
      <c r="C298" s="311">
        <f t="shared" si="6"/>
        <v>0</v>
      </c>
      <c r="D298" s="311"/>
      <c r="E298" s="312"/>
      <c r="G298" s="36"/>
      <c r="H298" s="37"/>
    </row>
    <row r="299" spans="1:8" ht="14.25" hidden="1" x14ac:dyDescent="0.15">
      <c r="A299" s="218"/>
      <c r="B299" s="219"/>
      <c r="C299" s="311">
        <f t="shared" si="6"/>
        <v>0</v>
      </c>
      <c r="D299" s="311"/>
      <c r="E299" s="312"/>
      <c r="G299" s="36"/>
      <c r="H299" s="37"/>
    </row>
    <row r="300" spans="1:8" ht="14.25" hidden="1" x14ac:dyDescent="0.15">
      <c r="A300" s="215"/>
      <c r="B300" s="216"/>
      <c r="C300" s="311">
        <f t="shared" si="6"/>
        <v>0</v>
      </c>
      <c r="D300" s="311"/>
      <c r="E300" s="312"/>
      <c r="G300" s="36"/>
      <c r="H300" s="37"/>
    </row>
    <row r="301" spans="1:8" ht="14.25" hidden="1" x14ac:dyDescent="0.15">
      <c r="A301" s="217"/>
      <c r="B301" s="216"/>
      <c r="C301" s="311">
        <f t="shared" si="6"/>
        <v>0</v>
      </c>
      <c r="D301" s="311"/>
      <c r="E301" s="312"/>
      <c r="G301" s="36"/>
      <c r="H301" s="37"/>
    </row>
    <row r="302" spans="1:8" ht="14.25" hidden="1" x14ac:dyDescent="0.15">
      <c r="A302" s="217"/>
      <c r="B302" s="219"/>
      <c r="C302" s="311">
        <f t="shared" ref="C302:C341" si="7">+G302+H302</f>
        <v>0</v>
      </c>
      <c r="D302" s="311"/>
      <c r="E302" s="312"/>
      <c r="G302" s="36"/>
      <c r="H302" s="37"/>
    </row>
    <row r="303" spans="1:8" ht="14.25" hidden="1" x14ac:dyDescent="0.15">
      <c r="A303" s="217"/>
      <c r="B303" s="219"/>
      <c r="C303" s="311">
        <f t="shared" si="7"/>
        <v>0</v>
      </c>
      <c r="D303" s="311"/>
      <c r="E303" s="312"/>
      <c r="G303" s="36"/>
      <c r="H303" s="37"/>
    </row>
    <row r="304" spans="1:8" ht="14.25" hidden="1" x14ac:dyDescent="0.15">
      <c r="A304" s="217"/>
      <c r="B304" s="219"/>
      <c r="C304" s="311">
        <f t="shared" si="7"/>
        <v>0</v>
      </c>
      <c r="D304" s="311"/>
      <c r="E304" s="312"/>
      <c r="G304" s="36"/>
      <c r="H304" s="37"/>
    </row>
    <row r="305" spans="1:8" ht="14.25" hidden="1" x14ac:dyDescent="0.15">
      <c r="A305" s="217"/>
      <c r="B305" s="219"/>
      <c r="C305" s="311">
        <f t="shared" si="7"/>
        <v>0</v>
      </c>
      <c r="D305" s="311"/>
      <c r="E305" s="312"/>
      <c r="G305" s="36"/>
      <c r="H305" s="37"/>
    </row>
    <row r="306" spans="1:8" ht="14.25" hidden="1" x14ac:dyDescent="0.15">
      <c r="A306" s="217"/>
      <c r="B306" s="219"/>
      <c r="C306" s="311">
        <f t="shared" si="7"/>
        <v>0</v>
      </c>
      <c r="D306" s="311"/>
      <c r="E306" s="312"/>
      <c r="G306" s="36"/>
      <c r="H306" s="37"/>
    </row>
    <row r="307" spans="1:8" ht="14.25" hidden="1" x14ac:dyDescent="0.15">
      <c r="A307" s="217"/>
      <c r="B307" s="219"/>
      <c r="C307" s="311">
        <f t="shared" si="7"/>
        <v>0</v>
      </c>
      <c r="D307" s="311"/>
      <c r="E307" s="312"/>
      <c r="G307" s="36"/>
      <c r="H307" s="37"/>
    </row>
    <row r="308" spans="1:8" ht="14.25" hidden="1" x14ac:dyDescent="0.15">
      <c r="A308" s="117"/>
      <c r="B308" s="220"/>
      <c r="C308" s="311">
        <f t="shared" si="7"/>
        <v>0</v>
      </c>
      <c r="D308" s="311"/>
      <c r="E308" s="312"/>
      <c r="G308" s="36"/>
      <c r="H308" s="37"/>
    </row>
    <row r="309" spans="1:8" ht="14.25" hidden="1" x14ac:dyDescent="0.15">
      <c r="A309" s="117"/>
      <c r="B309" s="220"/>
      <c r="C309" s="311">
        <f t="shared" si="7"/>
        <v>0</v>
      </c>
      <c r="D309" s="311"/>
      <c r="E309" s="312"/>
      <c r="G309" s="36"/>
      <c r="H309" s="37"/>
    </row>
    <row r="310" spans="1:8" ht="14.25" hidden="1" x14ac:dyDescent="0.15">
      <c r="A310" s="117"/>
      <c r="B310" s="220"/>
      <c r="C310" s="311">
        <f t="shared" si="7"/>
        <v>0</v>
      </c>
      <c r="D310" s="311"/>
      <c r="E310" s="312"/>
      <c r="G310" s="36"/>
      <c r="H310" s="37"/>
    </row>
    <row r="311" spans="1:8" ht="14.25" hidden="1" x14ac:dyDescent="0.15">
      <c r="A311" s="117"/>
      <c r="B311" s="220"/>
      <c r="C311" s="311">
        <f t="shared" si="7"/>
        <v>0</v>
      </c>
      <c r="D311" s="311"/>
      <c r="E311" s="312"/>
      <c r="G311" s="36"/>
      <c r="H311" s="37"/>
    </row>
    <row r="312" spans="1:8" ht="14.25" hidden="1" x14ac:dyDescent="0.15">
      <c r="A312" s="117"/>
      <c r="B312" s="220"/>
      <c r="C312" s="311">
        <f t="shared" si="7"/>
        <v>0</v>
      </c>
      <c r="D312" s="311"/>
      <c r="E312" s="312"/>
      <c r="G312" s="36"/>
      <c r="H312" s="37"/>
    </row>
    <row r="313" spans="1:8" ht="14.25" hidden="1" x14ac:dyDescent="0.15">
      <c r="A313" s="117"/>
      <c r="B313" s="220"/>
      <c r="C313" s="311">
        <f t="shared" si="7"/>
        <v>0</v>
      </c>
      <c r="D313" s="311"/>
      <c r="E313" s="312"/>
      <c r="G313" s="36"/>
      <c r="H313" s="37"/>
    </row>
    <row r="314" spans="1:8" ht="14.25" hidden="1" x14ac:dyDescent="0.15">
      <c r="A314" s="117"/>
      <c r="B314" s="220"/>
      <c r="C314" s="311">
        <f t="shared" si="7"/>
        <v>0</v>
      </c>
      <c r="D314" s="311"/>
      <c r="E314" s="312"/>
      <c r="G314" s="36"/>
      <c r="H314" s="37"/>
    </row>
    <row r="315" spans="1:8" ht="14.25" hidden="1" x14ac:dyDescent="0.15">
      <c r="A315" s="117"/>
      <c r="B315" s="220"/>
      <c r="C315" s="311">
        <f t="shared" si="7"/>
        <v>0</v>
      </c>
      <c r="D315" s="311"/>
      <c r="E315" s="312"/>
      <c r="G315" s="36"/>
      <c r="H315" s="37"/>
    </row>
    <row r="316" spans="1:8" ht="14.25" hidden="1" x14ac:dyDescent="0.15">
      <c r="A316" s="117"/>
      <c r="B316" s="220"/>
      <c r="C316" s="311">
        <f t="shared" si="7"/>
        <v>0</v>
      </c>
      <c r="D316" s="311"/>
      <c r="E316" s="312"/>
      <c r="G316" s="36"/>
      <c r="H316" s="37"/>
    </row>
    <row r="317" spans="1:8" ht="14.25" hidden="1" x14ac:dyDescent="0.15">
      <c r="A317" s="117"/>
      <c r="B317" s="220"/>
      <c r="C317" s="311">
        <f t="shared" si="7"/>
        <v>0</v>
      </c>
      <c r="D317" s="311"/>
      <c r="E317" s="312"/>
      <c r="G317" s="36"/>
      <c r="H317" s="37"/>
    </row>
    <row r="318" spans="1:8" ht="14.25" hidden="1" x14ac:dyDescent="0.15">
      <c r="A318" s="218"/>
      <c r="B318" s="220"/>
      <c r="C318" s="311">
        <f t="shared" si="7"/>
        <v>0</v>
      </c>
      <c r="D318" s="311"/>
      <c r="E318" s="312"/>
      <c r="G318" s="36"/>
      <c r="H318" s="37"/>
    </row>
    <row r="319" spans="1:8" ht="14.25" hidden="1" x14ac:dyDescent="0.15">
      <c r="A319" s="218"/>
      <c r="B319" s="220"/>
      <c r="C319" s="311">
        <f t="shared" si="7"/>
        <v>0</v>
      </c>
      <c r="D319" s="311"/>
      <c r="E319" s="312"/>
      <c r="G319" s="36"/>
      <c r="H319" s="37"/>
    </row>
    <row r="320" spans="1:8" ht="14.25" hidden="1" x14ac:dyDescent="0.15">
      <c r="A320" s="218"/>
      <c r="B320" s="220"/>
      <c r="C320" s="311">
        <f t="shared" si="7"/>
        <v>0</v>
      </c>
      <c r="D320" s="311"/>
      <c r="E320" s="312"/>
      <c r="G320" s="36"/>
      <c r="H320" s="37"/>
    </row>
    <row r="321" spans="1:8" ht="14.25" hidden="1" x14ac:dyDescent="0.15">
      <c r="A321" s="218"/>
      <c r="B321" s="220"/>
      <c r="C321" s="311">
        <f t="shared" si="7"/>
        <v>0</v>
      </c>
      <c r="D321" s="311"/>
      <c r="E321" s="312"/>
      <c r="G321" s="36"/>
      <c r="H321" s="37"/>
    </row>
    <row r="322" spans="1:8" ht="14.25" hidden="1" x14ac:dyDescent="0.15">
      <c r="A322" s="218"/>
      <c r="B322" s="220"/>
      <c r="C322" s="311">
        <f t="shared" si="7"/>
        <v>0</v>
      </c>
      <c r="D322" s="311"/>
      <c r="E322" s="312"/>
      <c r="G322" s="36"/>
      <c r="H322" s="37"/>
    </row>
    <row r="323" spans="1:8" ht="14.25" hidden="1" x14ac:dyDescent="0.15">
      <c r="A323" s="218"/>
      <c r="B323" s="220"/>
      <c r="C323" s="311">
        <f t="shared" si="7"/>
        <v>0</v>
      </c>
      <c r="D323" s="311"/>
      <c r="E323" s="312"/>
      <c r="G323" s="36"/>
      <c r="H323" s="37"/>
    </row>
    <row r="324" spans="1:8" ht="14.25" hidden="1" x14ac:dyDescent="0.15">
      <c r="A324" s="218"/>
      <c r="B324" s="220"/>
      <c r="C324" s="311">
        <f t="shared" si="7"/>
        <v>0</v>
      </c>
      <c r="D324" s="311"/>
      <c r="E324" s="312"/>
      <c r="G324" s="36"/>
      <c r="H324" s="37"/>
    </row>
    <row r="325" spans="1:8" ht="14.25" hidden="1" x14ac:dyDescent="0.15">
      <c r="A325" s="218"/>
      <c r="B325" s="220"/>
      <c r="C325" s="311">
        <f t="shared" si="7"/>
        <v>0</v>
      </c>
      <c r="D325" s="311"/>
      <c r="E325" s="312"/>
      <c r="G325" s="36"/>
      <c r="H325" s="37"/>
    </row>
    <row r="326" spans="1:8" ht="14.25" hidden="1" x14ac:dyDescent="0.15">
      <c r="A326" s="218"/>
      <c r="B326" s="220"/>
      <c r="C326" s="311">
        <f t="shared" si="7"/>
        <v>0</v>
      </c>
      <c r="D326" s="311"/>
      <c r="E326" s="312"/>
      <c r="G326" s="36"/>
      <c r="H326" s="37"/>
    </row>
    <row r="327" spans="1:8" ht="14.25" hidden="1" x14ac:dyDescent="0.15">
      <c r="A327" s="218"/>
      <c r="B327" s="220"/>
      <c r="C327" s="311">
        <f t="shared" si="7"/>
        <v>0</v>
      </c>
      <c r="D327" s="311"/>
      <c r="E327" s="312"/>
      <c r="G327" s="36"/>
      <c r="H327" s="37"/>
    </row>
    <row r="328" spans="1:8" ht="14.25" hidden="1" x14ac:dyDescent="0.15">
      <c r="A328" s="218"/>
      <c r="B328" s="220"/>
      <c r="C328" s="311">
        <f t="shared" si="7"/>
        <v>0</v>
      </c>
      <c r="D328" s="311"/>
      <c r="E328" s="312"/>
      <c r="G328" s="36"/>
      <c r="H328" s="37"/>
    </row>
    <row r="329" spans="1:8" ht="14.25" hidden="1" x14ac:dyDescent="0.15">
      <c r="A329" s="218"/>
      <c r="B329" s="220"/>
      <c r="C329" s="311">
        <f t="shared" si="7"/>
        <v>0</v>
      </c>
      <c r="D329" s="311"/>
      <c r="E329" s="312"/>
      <c r="G329" s="36"/>
      <c r="H329" s="37"/>
    </row>
    <row r="330" spans="1:8" ht="14.25" hidden="1" x14ac:dyDescent="0.15">
      <c r="A330" s="218"/>
      <c r="B330" s="220"/>
      <c r="C330" s="311">
        <f t="shared" si="7"/>
        <v>0</v>
      </c>
      <c r="D330" s="311"/>
      <c r="E330" s="312"/>
      <c r="G330" s="36"/>
      <c r="H330" s="37"/>
    </row>
    <row r="331" spans="1:8" ht="14.25" hidden="1" x14ac:dyDescent="0.15">
      <c r="A331" s="218"/>
      <c r="B331" s="220"/>
      <c r="C331" s="311">
        <f t="shared" si="7"/>
        <v>0</v>
      </c>
      <c r="D331" s="311"/>
      <c r="E331" s="312"/>
      <c r="G331" s="36"/>
      <c r="H331" s="37"/>
    </row>
    <row r="332" spans="1:8" ht="14.25" hidden="1" x14ac:dyDescent="0.15">
      <c r="A332" s="218"/>
      <c r="B332" s="220"/>
      <c r="C332" s="311">
        <f t="shared" si="7"/>
        <v>0</v>
      </c>
      <c r="D332" s="311"/>
      <c r="E332" s="312"/>
      <c r="G332" s="36"/>
      <c r="H332" s="37"/>
    </row>
    <row r="333" spans="1:8" ht="14.25" hidden="1" x14ac:dyDescent="0.15">
      <c r="A333" s="218"/>
      <c r="B333" s="220"/>
      <c r="C333" s="311">
        <f t="shared" si="7"/>
        <v>0</v>
      </c>
      <c r="D333" s="311"/>
      <c r="E333" s="312"/>
      <c r="G333" s="36"/>
      <c r="H333" s="37"/>
    </row>
    <row r="334" spans="1:8" ht="14.25" hidden="1" x14ac:dyDescent="0.15">
      <c r="A334" s="218"/>
      <c r="B334" s="220"/>
      <c r="C334" s="311">
        <f t="shared" si="7"/>
        <v>0</v>
      </c>
      <c r="D334" s="311"/>
      <c r="E334" s="312"/>
      <c r="G334" s="36"/>
      <c r="H334" s="37"/>
    </row>
    <row r="335" spans="1:8" ht="14.25" hidden="1" x14ac:dyDescent="0.15">
      <c r="A335" s="218"/>
      <c r="B335" s="220"/>
      <c r="C335" s="311">
        <f t="shared" si="7"/>
        <v>0</v>
      </c>
      <c r="D335" s="311"/>
      <c r="E335" s="312"/>
      <c r="G335" s="36"/>
      <c r="H335" s="37"/>
    </row>
    <row r="336" spans="1:8" ht="14.25" hidden="1" x14ac:dyDescent="0.15">
      <c r="A336" s="218"/>
      <c r="B336" s="220"/>
      <c r="C336" s="311">
        <f t="shared" si="7"/>
        <v>0</v>
      </c>
      <c r="D336" s="311"/>
      <c r="E336" s="312"/>
      <c r="G336" s="36"/>
      <c r="H336" s="37"/>
    </row>
    <row r="337" spans="1:8" ht="14.25" hidden="1" x14ac:dyDescent="0.15">
      <c r="A337" s="218"/>
      <c r="B337" s="220"/>
      <c r="C337" s="311">
        <f t="shared" si="7"/>
        <v>0</v>
      </c>
      <c r="D337" s="311"/>
      <c r="E337" s="312"/>
      <c r="G337" s="36"/>
      <c r="H337" s="37"/>
    </row>
    <row r="338" spans="1:8" ht="14.25" hidden="1" x14ac:dyDescent="0.15">
      <c r="A338" s="218"/>
      <c r="B338" s="220"/>
      <c r="C338" s="311">
        <f t="shared" si="7"/>
        <v>0</v>
      </c>
      <c r="D338" s="311"/>
      <c r="E338" s="312"/>
      <c r="G338" s="36"/>
      <c r="H338" s="37"/>
    </row>
    <row r="339" spans="1:8" ht="14.25" hidden="1" x14ac:dyDescent="0.15">
      <c r="A339" s="218"/>
      <c r="B339" s="220"/>
      <c r="C339" s="311">
        <f t="shared" si="7"/>
        <v>0</v>
      </c>
      <c r="D339" s="311"/>
      <c r="E339" s="312"/>
      <c r="G339" s="36"/>
      <c r="H339" s="37"/>
    </row>
    <row r="340" spans="1:8" ht="14.25" hidden="1" x14ac:dyDescent="0.15">
      <c r="A340" s="218"/>
      <c r="B340" s="220"/>
      <c r="C340" s="311">
        <f t="shared" si="7"/>
        <v>0</v>
      </c>
      <c r="D340" s="311"/>
      <c r="E340" s="312"/>
      <c r="G340" s="36"/>
      <c r="H340" s="37"/>
    </row>
    <row r="341" spans="1:8" ht="14.25" hidden="1" x14ac:dyDescent="0.15">
      <c r="A341" s="218"/>
      <c r="B341" s="219"/>
      <c r="C341" s="311">
        <f t="shared" si="7"/>
        <v>0</v>
      </c>
      <c r="D341" s="311"/>
      <c r="E341" s="312"/>
      <c r="G341" s="36"/>
      <c r="H341" s="37"/>
    </row>
    <row r="342" spans="1:8" ht="14.25" hidden="1" x14ac:dyDescent="0.15">
      <c r="A342" s="215"/>
      <c r="B342" s="216"/>
      <c r="C342" s="311">
        <f t="shared" ref="C342:C405" si="8">+G342+H342</f>
        <v>0</v>
      </c>
      <c r="D342" s="311"/>
      <c r="E342" s="312"/>
      <c r="G342" s="36"/>
      <c r="H342" s="37"/>
    </row>
    <row r="343" spans="1:8" ht="14.25" hidden="1" x14ac:dyDescent="0.15">
      <c r="A343" s="217"/>
      <c r="B343" s="216"/>
      <c r="C343" s="311">
        <f t="shared" si="8"/>
        <v>0</v>
      </c>
      <c r="D343" s="311"/>
      <c r="E343" s="312"/>
      <c r="G343" s="36"/>
      <c r="H343" s="37"/>
    </row>
    <row r="344" spans="1:8" ht="14.25" hidden="1" x14ac:dyDescent="0.15">
      <c r="A344" s="217"/>
      <c r="B344" s="219"/>
      <c r="C344" s="311">
        <f t="shared" si="8"/>
        <v>0</v>
      </c>
      <c r="D344" s="311"/>
      <c r="E344" s="312"/>
      <c r="G344" s="36"/>
      <c r="H344" s="37"/>
    </row>
    <row r="345" spans="1:8" ht="14.25" hidden="1" x14ac:dyDescent="0.15">
      <c r="A345" s="217"/>
      <c r="B345" s="219"/>
      <c r="C345" s="311">
        <f t="shared" si="8"/>
        <v>0</v>
      </c>
      <c r="D345" s="311"/>
      <c r="E345" s="312"/>
      <c r="G345" s="36"/>
      <c r="H345" s="37"/>
    </row>
    <row r="346" spans="1:8" ht="14.25" hidden="1" x14ac:dyDescent="0.15">
      <c r="A346" s="217"/>
      <c r="B346" s="219"/>
      <c r="C346" s="311">
        <f t="shared" si="8"/>
        <v>0</v>
      </c>
      <c r="D346" s="311"/>
      <c r="E346" s="312"/>
      <c r="G346" s="36"/>
      <c r="H346" s="37"/>
    </row>
    <row r="347" spans="1:8" ht="14.25" hidden="1" x14ac:dyDescent="0.15">
      <c r="A347" s="217"/>
      <c r="B347" s="219"/>
      <c r="C347" s="311">
        <f t="shared" si="8"/>
        <v>0</v>
      </c>
      <c r="D347" s="311"/>
      <c r="E347" s="312"/>
      <c r="G347" s="36"/>
      <c r="H347" s="37"/>
    </row>
    <row r="348" spans="1:8" ht="14.25" hidden="1" x14ac:dyDescent="0.15">
      <c r="A348" s="217"/>
      <c r="B348" s="219"/>
      <c r="C348" s="311">
        <f t="shared" si="8"/>
        <v>0</v>
      </c>
      <c r="D348" s="311"/>
      <c r="E348" s="312"/>
      <c r="G348" s="36"/>
      <c r="H348" s="37"/>
    </row>
    <row r="349" spans="1:8" ht="14.25" hidden="1" x14ac:dyDescent="0.15">
      <c r="A349" s="217"/>
      <c r="B349" s="219"/>
      <c r="C349" s="311">
        <f t="shared" si="8"/>
        <v>0</v>
      </c>
      <c r="D349" s="311"/>
      <c r="E349" s="312"/>
      <c r="G349" s="36"/>
      <c r="H349" s="37"/>
    </row>
    <row r="350" spans="1:8" ht="14.25" hidden="1" x14ac:dyDescent="0.15">
      <c r="A350" s="117"/>
      <c r="B350" s="220"/>
      <c r="C350" s="311">
        <f t="shared" si="8"/>
        <v>0</v>
      </c>
      <c r="D350" s="311"/>
      <c r="E350" s="312"/>
      <c r="G350" s="36"/>
      <c r="H350" s="37"/>
    </row>
    <row r="351" spans="1:8" ht="14.25" hidden="1" x14ac:dyDescent="0.15">
      <c r="A351" s="117"/>
      <c r="B351" s="220"/>
      <c r="C351" s="311">
        <f t="shared" si="8"/>
        <v>0</v>
      </c>
      <c r="D351" s="311"/>
      <c r="E351" s="312"/>
      <c r="G351" s="36"/>
      <c r="H351" s="37"/>
    </row>
    <row r="352" spans="1:8" ht="14.25" hidden="1" x14ac:dyDescent="0.15">
      <c r="A352" s="117"/>
      <c r="B352" s="220"/>
      <c r="C352" s="311">
        <f t="shared" si="8"/>
        <v>0</v>
      </c>
      <c r="D352" s="311"/>
      <c r="E352" s="312"/>
      <c r="G352" s="36"/>
      <c r="H352" s="37"/>
    </row>
    <row r="353" spans="1:8" ht="14.25" hidden="1" x14ac:dyDescent="0.15">
      <c r="A353" s="117"/>
      <c r="B353" s="220"/>
      <c r="C353" s="311">
        <f t="shared" si="8"/>
        <v>0</v>
      </c>
      <c r="D353" s="311"/>
      <c r="E353" s="312"/>
      <c r="G353" s="36"/>
      <c r="H353" s="37"/>
    </row>
    <row r="354" spans="1:8" ht="14.25" hidden="1" x14ac:dyDescent="0.15">
      <c r="A354" s="117"/>
      <c r="B354" s="220"/>
      <c r="C354" s="311">
        <f t="shared" si="8"/>
        <v>0</v>
      </c>
      <c r="D354" s="311"/>
      <c r="E354" s="312"/>
      <c r="G354" s="36"/>
      <c r="H354" s="37"/>
    </row>
    <row r="355" spans="1:8" ht="14.25" hidden="1" x14ac:dyDescent="0.15">
      <c r="A355" s="117"/>
      <c r="B355" s="220"/>
      <c r="C355" s="311">
        <f t="shared" si="8"/>
        <v>0</v>
      </c>
      <c r="D355" s="311"/>
      <c r="E355" s="312"/>
      <c r="G355" s="36"/>
      <c r="H355" s="37"/>
    </row>
    <row r="356" spans="1:8" ht="14.25" hidden="1" x14ac:dyDescent="0.15">
      <c r="A356" s="117"/>
      <c r="B356" s="220"/>
      <c r="C356" s="311">
        <f t="shared" si="8"/>
        <v>0</v>
      </c>
      <c r="D356" s="311"/>
      <c r="E356" s="312"/>
      <c r="G356" s="36"/>
      <c r="H356" s="37"/>
    </row>
    <row r="357" spans="1:8" ht="14.25" hidden="1" x14ac:dyDescent="0.15">
      <c r="A357" s="117"/>
      <c r="B357" s="220"/>
      <c r="C357" s="311">
        <f t="shared" si="8"/>
        <v>0</v>
      </c>
      <c r="D357" s="311"/>
      <c r="E357" s="312"/>
      <c r="G357" s="36"/>
      <c r="H357" s="37"/>
    </row>
    <row r="358" spans="1:8" ht="14.25" hidden="1" x14ac:dyDescent="0.15">
      <c r="A358" s="117"/>
      <c r="B358" s="220"/>
      <c r="C358" s="311">
        <f t="shared" si="8"/>
        <v>0</v>
      </c>
      <c r="D358" s="311"/>
      <c r="E358" s="312"/>
      <c r="G358" s="36"/>
      <c r="H358" s="37"/>
    </row>
    <row r="359" spans="1:8" ht="14.25" hidden="1" x14ac:dyDescent="0.15">
      <c r="A359" s="117"/>
      <c r="B359" s="220"/>
      <c r="C359" s="311">
        <f t="shared" si="8"/>
        <v>0</v>
      </c>
      <c r="D359" s="311"/>
      <c r="E359" s="312"/>
      <c r="G359" s="36"/>
      <c r="H359" s="37"/>
    </row>
    <row r="360" spans="1:8" ht="14.25" hidden="1" x14ac:dyDescent="0.15">
      <c r="A360" s="218"/>
      <c r="B360" s="220"/>
      <c r="C360" s="311">
        <f t="shared" si="8"/>
        <v>0</v>
      </c>
      <c r="D360" s="311"/>
      <c r="E360" s="312"/>
      <c r="G360" s="36"/>
      <c r="H360" s="37"/>
    </row>
    <row r="361" spans="1:8" ht="14.25" hidden="1" x14ac:dyDescent="0.15">
      <c r="A361" s="218"/>
      <c r="B361" s="220"/>
      <c r="C361" s="311">
        <f t="shared" si="8"/>
        <v>0</v>
      </c>
      <c r="D361" s="311"/>
      <c r="E361" s="312"/>
      <c r="G361" s="36"/>
      <c r="H361" s="37"/>
    </row>
    <row r="362" spans="1:8" ht="14.25" hidden="1" x14ac:dyDescent="0.15">
      <c r="A362" s="218"/>
      <c r="B362" s="220"/>
      <c r="C362" s="311">
        <f t="shared" si="8"/>
        <v>0</v>
      </c>
      <c r="D362" s="311"/>
      <c r="E362" s="312"/>
      <c r="G362" s="36"/>
      <c r="H362" s="37"/>
    </row>
    <row r="363" spans="1:8" ht="14.25" hidden="1" x14ac:dyDescent="0.15">
      <c r="A363" s="218"/>
      <c r="B363" s="220"/>
      <c r="C363" s="311">
        <f t="shared" si="8"/>
        <v>0</v>
      </c>
      <c r="D363" s="311"/>
      <c r="E363" s="312"/>
      <c r="G363" s="36"/>
      <c r="H363" s="37"/>
    </row>
    <row r="364" spans="1:8" ht="14.25" hidden="1" x14ac:dyDescent="0.15">
      <c r="A364" s="218"/>
      <c r="B364" s="220"/>
      <c r="C364" s="311">
        <f t="shared" si="8"/>
        <v>0</v>
      </c>
      <c r="D364" s="311"/>
      <c r="E364" s="312"/>
      <c r="G364" s="36"/>
      <c r="H364" s="37"/>
    </row>
    <row r="365" spans="1:8" ht="14.25" hidden="1" x14ac:dyDescent="0.15">
      <c r="A365" s="218"/>
      <c r="B365" s="220"/>
      <c r="C365" s="311">
        <f t="shared" si="8"/>
        <v>0</v>
      </c>
      <c r="D365" s="311"/>
      <c r="E365" s="312"/>
      <c r="G365" s="36"/>
      <c r="H365" s="37"/>
    </row>
    <row r="366" spans="1:8" ht="14.25" hidden="1" x14ac:dyDescent="0.15">
      <c r="A366" s="218"/>
      <c r="B366" s="220"/>
      <c r="C366" s="311">
        <f t="shared" si="8"/>
        <v>0</v>
      </c>
      <c r="D366" s="311"/>
      <c r="E366" s="312"/>
      <c r="G366" s="36"/>
      <c r="H366" s="37"/>
    </row>
    <row r="367" spans="1:8" ht="14.25" hidden="1" x14ac:dyDescent="0.15">
      <c r="A367" s="218"/>
      <c r="B367" s="220"/>
      <c r="C367" s="311">
        <f t="shared" si="8"/>
        <v>0</v>
      </c>
      <c r="D367" s="311"/>
      <c r="E367" s="312"/>
      <c r="G367" s="36"/>
      <c r="H367" s="37"/>
    </row>
    <row r="368" spans="1:8" ht="14.25" hidden="1" x14ac:dyDescent="0.15">
      <c r="A368" s="218"/>
      <c r="B368" s="220"/>
      <c r="C368" s="311">
        <f t="shared" si="8"/>
        <v>0</v>
      </c>
      <c r="D368" s="311"/>
      <c r="E368" s="312"/>
      <c r="G368" s="36"/>
      <c r="H368" s="37"/>
    </row>
    <row r="369" spans="1:8" ht="14.25" hidden="1" x14ac:dyDescent="0.15">
      <c r="A369" s="218"/>
      <c r="B369" s="220"/>
      <c r="C369" s="311">
        <f t="shared" si="8"/>
        <v>0</v>
      </c>
      <c r="D369" s="311"/>
      <c r="E369" s="312"/>
      <c r="G369" s="36"/>
      <c r="H369" s="37"/>
    </row>
    <row r="370" spans="1:8" ht="14.25" hidden="1" x14ac:dyDescent="0.15">
      <c r="A370" s="218"/>
      <c r="B370" s="220"/>
      <c r="C370" s="311">
        <f t="shared" si="8"/>
        <v>0</v>
      </c>
      <c r="D370" s="311"/>
      <c r="E370" s="312"/>
      <c r="G370" s="36"/>
      <c r="H370" s="37"/>
    </row>
    <row r="371" spans="1:8" ht="14.25" hidden="1" x14ac:dyDescent="0.15">
      <c r="A371" s="218"/>
      <c r="B371" s="220"/>
      <c r="C371" s="311">
        <f t="shared" si="8"/>
        <v>0</v>
      </c>
      <c r="D371" s="311"/>
      <c r="E371" s="312"/>
      <c r="G371" s="36"/>
      <c r="H371" s="37"/>
    </row>
    <row r="372" spans="1:8" ht="14.25" hidden="1" x14ac:dyDescent="0.15">
      <c r="A372" s="218"/>
      <c r="B372" s="220"/>
      <c r="C372" s="311">
        <f t="shared" si="8"/>
        <v>0</v>
      </c>
      <c r="D372" s="311"/>
      <c r="E372" s="312"/>
      <c r="G372" s="36"/>
      <c r="H372" s="37"/>
    </row>
    <row r="373" spans="1:8" ht="14.25" hidden="1" x14ac:dyDescent="0.15">
      <c r="A373" s="218"/>
      <c r="B373" s="220"/>
      <c r="C373" s="311">
        <f t="shared" si="8"/>
        <v>0</v>
      </c>
      <c r="D373" s="311"/>
      <c r="E373" s="312"/>
      <c r="G373" s="36"/>
      <c r="H373" s="37"/>
    </row>
    <row r="374" spans="1:8" ht="14.25" hidden="1" x14ac:dyDescent="0.15">
      <c r="A374" s="218"/>
      <c r="B374" s="220"/>
      <c r="C374" s="311">
        <f t="shared" si="8"/>
        <v>0</v>
      </c>
      <c r="D374" s="311"/>
      <c r="E374" s="312"/>
      <c r="G374" s="36"/>
      <c r="H374" s="37"/>
    </row>
    <row r="375" spans="1:8" ht="14.25" hidden="1" x14ac:dyDescent="0.15">
      <c r="A375" s="218"/>
      <c r="B375" s="220"/>
      <c r="C375" s="311">
        <f t="shared" si="8"/>
        <v>0</v>
      </c>
      <c r="D375" s="311"/>
      <c r="E375" s="312"/>
      <c r="G375" s="36"/>
      <c r="H375" s="37"/>
    </row>
    <row r="376" spans="1:8" ht="14.25" hidden="1" x14ac:dyDescent="0.15">
      <c r="A376" s="218"/>
      <c r="B376" s="220"/>
      <c r="C376" s="311">
        <f t="shared" si="8"/>
        <v>0</v>
      </c>
      <c r="D376" s="311"/>
      <c r="E376" s="312"/>
      <c r="G376" s="36"/>
      <c r="H376" s="37"/>
    </row>
    <row r="377" spans="1:8" ht="14.25" hidden="1" x14ac:dyDescent="0.15">
      <c r="A377" s="218"/>
      <c r="B377" s="220"/>
      <c r="C377" s="311">
        <f t="shared" si="8"/>
        <v>0</v>
      </c>
      <c r="D377" s="311"/>
      <c r="E377" s="312"/>
      <c r="G377" s="36"/>
      <c r="H377" s="37"/>
    </row>
    <row r="378" spans="1:8" ht="14.25" hidden="1" x14ac:dyDescent="0.15">
      <c r="A378" s="218"/>
      <c r="B378" s="220"/>
      <c r="C378" s="311">
        <f t="shared" si="8"/>
        <v>0</v>
      </c>
      <c r="D378" s="311"/>
      <c r="E378" s="312"/>
      <c r="G378" s="36"/>
      <c r="H378" s="37"/>
    </row>
    <row r="379" spans="1:8" ht="14.25" hidden="1" x14ac:dyDescent="0.15">
      <c r="A379" s="218"/>
      <c r="B379" s="220"/>
      <c r="C379" s="311">
        <f t="shared" si="8"/>
        <v>0</v>
      </c>
      <c r="D379" s="311"/>
      <c r="E379" s="312"/>
      <c r="G379" s="36"/>
      <c r="H379" s="37"/>
    </row>
    <row r="380" spans="1:8" ht="14.25" hidden="1" x14ac:dyDescent="0.15">
      <c r="A380" s="218"/>
      <c r="B380" s="220"/>
      <c r="C380" s="311">
        <f t="shared" si="8"/>
        <v>0</v>
      </c>
      <c r="D380" s="311"/>
      <c r="E380" s="312"/>
      <c r="G380" s="36"/>
      <c r="H380" s="37"/>
    </row>
    <row r="381" spans="1:8" ht="14.25" hidden="1" x14ac:dyDescent="0.15">
      <c r="A381" s="218"/>
      <c r="B381" s="220"/>
      <c r="C381" s="311">
        <f t="shared" si="8"/>
        <v>0</v>
      </c>
      <c r="D381" s="311"/>
      <c r="E381" s="312"/>
      <c r="G381" s="36"/>
      <c r="H381" s="37"/>
    </row>
    <row r="382" spans="1:8" ht="14.25" hidden="1" x14ac:dyDescent="0.15">
      <c r="A382" s="218"/>
      <c r="B382" s="220"/>
      <c r="C382" s="311">
        <f t="shared" si="8"/>
        <v>0</v>
      </c>
      <c r="D382" s="311"/>
      <c r="E382" s="312"/>
      <c r="G382" s="36"/>
      <c r="H382" s="37"/>
    </row>
    <row r="383" spans="1:8" ht="14.25" hidden="1" x14ac:dyDescent="0.15">
      <c r="A383" s="218"/>
      <c r="B383" s="219"/>
      <c r="C383" s="311">
        <f t="shared" si="8"/>
        <v>0</v>
      </c>
      <c r="D383" s="311"/>
      <c r="E383" s="312"/>
      <c r="G383" s="36"/>
      <c r="H383" s="37"/>
    </row>
    <row r="384" spans="1:8" ht="14.25" hidden="1" x14ac:dyDescent="0.15">
      <c r="A384" s="215"/>
      <c r="B384" s="216"/>
      <c r="C384" s="311">
        <f t="shared" si="8"/>
        <v>0</v>
      </c>
      <c r="D384" s="311"/>
      <c r="E384" s="312"/>
      <c r="G384" s="36"/>
      <c r="H384" s="37"/>
    </row>
    <row r="385" spans="1:8" ht="14.25" hidden="1" x14ac:dyDescent="0.15">
      <c r="A385" s="217"/>
      <c r="B385" s="216"/>
      <c r="C385" s="311">
        <f t="shared" si="8"/>
        <v>0</v>
      </c>
      <c r="D385" s="311"/>
      <c r="E385" s="312"/>
      <c r="G385" s="36"/>
      <c r="H385" s="37"/>
    </row>
    <row r="386" spans="1:8" ht="14.25" hidden="1" x14ac:dyDescent="0.15">
      <c r="A386" s="217"/>
      <c r="B386" s="219"/>
      <c r="C386" s="311">
        <f t="shared" si="8"/>
        <v>0</v>
      </c>
      <c r="D386" s="311"/>
      <c r="E386" s="312"/>
      <c r="G386" s="36"/>
      <c r="H386" s="37"/>
    </row>
    <row r="387" spans="1:8" ht="14.25" hidden="1" x14ac:dyDescent="0.15">
      <c r="A387" s="217"/>
      <c r="B387" s="219"/>
      <c r="C387" s="311">
        <f t="shared" si="8"/>
        <v>0</v>
      </c>
      <c r="D387" s="311"/>
      <c r="E387" s="312"/>
      <c r="G387" s="36"/>
      <c r="H387" s="37"/>
    </row>
    <row r="388" spans="1:8" ht="14.25" hidden="1" x14ac:dyDescent="0.15">
      <c r="A388" s="217"/>
      <c r="B388" s="219"/>
      <c r="C388" s="311">
        <f t="shared" si="8"/>
        <v>0</v>
      </c>
      <c r="D388" s="311"/>
      <c r="E388" s="312"/>
      <c r="G388" s="36"/>
      <c r="H388" s="37"/>
    </row>
    <row r="389" spans="1:8" ht="14.25" hidden="1" x14ac:dyDescent="0.15">
      <c r="A389" s="217"/>
      <c r="B389" s="219"/>
      <c r="C389" s="311">
        <f t="shared" si="8"/>
        <v>0</v>
      </c>
      <c r="D389" s="311"/>
      <c r="E389" s="312"/>
      <c r="G389" s="36"/>
      <c r="H389" s="37"/>
    </row>
    <row r="390" spans="1:8" ht="14.25" hidden="1" x14ac:dyDescent="0.15">
      <c r="A390" s="217"/>
      <c r="B390" s="219"/>
      <c r="C390" s="311">
        <f t="shared" si="8"/>
        <v>0</v>
      </c>
      <c r="D390" s="311"/>
      <c r="E390" s="312"/>
      <c r="G390" s="36"/>
      <c r="H390" s="37"/>
    </row>
    <row r="391" spans="1:8" ht="14.25" hidden="1" x14ac:dyDescent="0.15">
      <c r="A391" s="217"/>
      <c r="B391" s="219"/>
      <c r="C391" s="311">
        <f t="shared" si="8"/>
        <v>0</v>
      </c>
      <c r="D391" s="311"/>
      <c r="E391" s="312"/>
      <c r="G391" s="36"/>
      <c r="H391" s="37"/>
    </row>
    <row r="392" spans="1:8" ht="14.25" hidden="1" x14ac:dyDescent="0.15">
      <c r="A392" s="117"/>
      <c r="B392" s="220"/>
      <c r="C392" s="311">
        <f t="shared" si="8"/>
        <v>0</v>
      </c>
      <c r="D392" s="311"/>
      <c r="E392" s="312"/>
      <c r="G392" s="36"/>
      <c r="H392" s="37"/>
    </row>
    <row r="393" spans="1:8" ht="14.25" hidden="1" x14ac:dyDescent="0.15">
      <c r="A393" s="117"/>
      <c r="B393" s="220"/>
      <c r="C393" s="311">
        <f t="shared" si="8"/>
        <v>0</v>
      </c>
      <c r="D393" s="311"/>
      <c r="E393" s="312"/>
      <c r="G393" s="36"/>
      <c r="H393" s="37"/>
    </row>
    <row r="394" spans="1:8" ht="14.25" hidden="1" x14ac:dyDescent="0.15">
      <c r="A394" s="117"/>
      <c r="B394" s="220"/>
      <c r="C394" s="311">
        <f t="shared" si="8"/>
        <v>0</v>
      </c>
      <c r="D394" s="311"/>
      <c r="E394" s="312"/>
      <c r="G394" s="36"/>
      <c r="H394" s="37"/>
    </row>
    <row r="395" spans="1:8" ht="14.25" hidden="1" x14ac:dyDescent="0.15">
      <c r="A395" s="117"/>
      <c r="B395" s="220"/>
      <c r="C395" s="311">
        <f t="shared" si="8"/>
        <v>0</v>
      </c>
      <c r="D395" s="311"/>
      <c r="E395" s="312"/>
      <c r="G395" s="36"/>
      <c r="H395" s="37"/>
    </row>
    <row r="396" spans="1:8" ht="14.25" hidden="1" x14ac:dyDescent="0.15">
      <c r="A396" s="117"/>
      <c r="B396" s="220"/>
      <c r="C396" s="311">
        <f t="shared" si="8"/>
        <v>0</v>
      </c>
      <c r="D396" s="311"/>
      <c r="E396" s="312"/>
      <c r="G396" s="36"/>
      <c r="H396" s="37"/>
    </row>
    <row r="397" spans="1:8" ht="14.25" hidden="1" x14ac:dyDescent="0.15">
      <c r="A397" s="117"/>
      <c r="B397" s="220"/>
      <c r="C397" s="311">
        <f t="shared" si="8"/>
        <v>0</v>
      </c>
      <c r="D397" s="311"/>
      <c r="E397" s="312"/>
      <c r="G397" s="36"/>
      <c r="H397" s="37"/>
    </row>
    <row r="398" spans="1:8" ht="14.25" hidden="1" x14ac:dyDescent="0.15">
      <c r="A398" s="117"/>
      <c r="B398" s="220"/>
      <c r="C398" s="311">
        <f t="shared" si="8"/>
        <v>0</v>
      </c>
      <c r="D398" s="311"/>
      <c r="E398" s="312"/>
      <c r="G398" s="36"/>
      <c r="H398" s="37"/>
    </row>
    <row r="399" spans="1:8" ht="14.25" hidden="1" x14ac:dyDescent="0.15">
      <c r="A399" s="117"/>
      <c r="B399" s="220"/>
      <c r="C399" s="311">
        <f t="shared" si="8"/>
        <v>0</v>
      </c>
      <c r="D399" s="311"/>
      <c r="E399" s="312"/>
      <c r="G399" s="36"/>
      <c r="H399" s="37"/>
    </row>
    <row r="400" spans="1:8" ht="14.25" hidden="1" x14ac:dyDescent="0.15">
      <c r="A400" s="117"/>
      <c r="B400" s="220"/>
      <c r="C400" s="311">
        <f t="shared" si="8"/>
        <v>0</v>
      </c>
      <c r="D400" s="311"/>
      <c r="E400" s="312"/>
      <c r="G400" s="36"/>
      <c r="H400" s="37"/>
    </row>
    <row r="401" spans="1:8" ht="14.25" hidden="1" x14ac:dyDescent="0.15">
      <c r="A401" s="117"/>
      <c r="B401" s="220"/>
      <c r="C401" s="311">
        <f t="shared" si="8"/>
        <v>0</v>
      </c>
      <c r="D401" s="311"/>
      <c r="E401" s="312"/>
      <c r="G401" s="36"/>
      <c r="H401" s="37"/>
    </row>
    <row r="402" spans="1:8" ht="14.25" hidden="1" x14ac:dyDescent="0.15">
      <c r="A402" s="218"/>
      <c r="B402" s="220"/>
      <c r="C402" s="311">
        <f t="shared" si="8"/>
        <v>0</v>
      </c>
      <c r="D402" s="311"/>
      <c r="E402" s="312"/>
      <c r="G402" s="36"/>
      <c r="H402" s="37"/>
    </row>
    <row r="403" spans="1:8" ht="14.25" hidden="1" x14ac:dyDescent="0.15">
      <c r="A403" s="218"/>
      <c r="B403" s="220"/>
      <c r="C403" s="311">
        <f t="shared" si="8"/>
        <v>0</v>
      </c>
      <c r="D403" s="311"/>
      <c r="E403" s="312"/>
      <c r="G403" s="36"/>
      <c r="H403" s="37"/>
    </row>
    <row r="404" spans="1:8" ht="14.25" hidden="1" x14ac:dyDescent="0.15">
      <c r="A404" s="218"/>
      <c r="B404" s="220"/>
      <c r="C404" s="311">
        <f t="shared" si="8"/>
        <v>0</v>
      </c>
      <c r="D404" s="311"/>
      <c r="E404" s="312"/>
      <c r="G404" s="36"/>
      <c r="H404" s="37"/>
    </row>
    <row r="405" spans="1:8" ht="14.25" hidden="1" x14ac:dyDescent="0.15">
      <c r="A405" s="218"/>
      <c r="B405" s="220"/>
      <c r="C405" s="311">
        <f t="shared" si="8"/>
        <v>0</v>
      </c>
      <c r="D405" s="311"/>
      <c r="E405" s="312"/>
      <c r="G405" s="36"/>
      <c r="H405" s="37"/>
    </row>
    <row r="406" spans="1:8" ht="14.25" hidden="1" x14ac:dyDescent="0.15">
      <c r="A406" s="218"/>
      <c r="B406" s="220"/>
      <c r="C406" s="311">
        <f t="shared" ref="C406:C426" si="9">+G406+H406</f>
        <v>0</v>
      </c>
      <c r="D406" s="311"/>
      <c r="E406" s="312"/>
      <c r="G406" s="36"/>
      <c r="H406" s="37"/>
    </row>
    <row r="407" spans="1:8" ht="14.25" hidden="1" x14ac:dyDescent="0.15">
      <c r="A407" s="218"/>
      <c r="B407" s="220"/>
      <c r="C407" s="311">
        <f t="shared" si="9"/>
        <v>0</v>
      </c>
      <c r="D407" s="311"/>
      <c r="E407" s="312"/>
      <c r="G407" s="36"/>
      <c r="H407" s="37"/>
    </row>
    <row r="408" spans="1:8" ht="14.25" hidden="1" x14ac:dyDescent="0.15">
      <c r="A408" s="218"/>
      <c r="B408" s="220"/>
      <c r="C408" s="311">
        <f t="shared" si="9"/>
        <v>0</v>
      </c>
      <c r="D408" s="311"/>
      <c r="E408" s="312"/>
      <c r="G408" s="36"/>
      <c r="H408" s="37"/>
    </row>
    <row r="409" spans="1:8" ht="14.25" hidden="1" x14ac:dyDescent="0.15">
      <c r="A409" s="218"/>
      <c r="B409" s="220"/>
      <c r="C409" s="311">
        <f t="shared" si="9"/>
        <v>0</v>
      </c>
      <c r="D409" s="311"/>
      <c r="E409" s="312"/>
      <c r="G409" s="36"/>
      <c r="H409" s="37"/>
    </row>
    <row r="410" spans="1:8" ht="14.25" hidden="1" x14ac:dyDescent="0.15">
      <c r="A410" s="218"/>
      <c r="B410" s="220"/>
      <c r="C410" s="311">
        <f t="shared" si="9"/>
        <v>0</v>
      </c>
      <c r="D410" s="311"/>
      <c r="E410" s="312"/>
      <c r="G410" s="36"/>
      <c r="H410" s="37"/>
    </row>
    <row r="411" spans="1:8" ht="14.25" hidden="1" x14ac:dyDescent="0.15">
      <c r="A411" s="218"/>
      <c r="B411" s="220"/>
      <c r="C411" s="311">
        <f t="shared" si="9"/>
        <v>0</v>
      </c>
      <c r="D411" s="311"/>
      <c r="E411" s="312"/>
      <c r="G411" s="36"/>
      <c r="H411" s="37"/>
    </row>
    <row r="412" spans="1:8" ht="14.25" hidden="1" x14ac:dyDescent="0.15">
      <c r="A412" s="218"/>
      <c r="B412" s="220"/>
      <c r="C412" s="311">
        <f t="shared" si="9"/>
        <v>0</v>
      </c>
      <c r="D412" s="311"/>
      <c r="E412" s="312"/>
      <c r="G412" s="36"/>
      <c r="H412" s="37"/>
    </row>
    <row r="413" spans="1:8" ht="14.25" hidden="1" x14ac:dyDescent="0.15">
      <c r="A413" s="218"/>
      <c r="B413" s="220"/>
      <c r="C413" s="311">
        <f t="shared" si="9"/>
        <v>0</v>
      </c>
      <c r="D413" s="311"/>
      <c r="E413" s="312"/>
      <c r="G413" s="36"/>
      <c r="H413" s="37"/>
    </row>
    <row r="414" spans="1:8" ht="14.25" hidden="1" x14ac:dyDescent="0.15">
      <c r="A414" s="218"/>
      <c r="B414" s="220"/>
      <c r="C414" s="311">
        <f t="shared" si="9"/>
        <v>0</v>
      </c>
      <c r="D414" s="311"/>
      <c r="E414" s="312"/>
      <c r="G414" s="36"/>
      <c r="H414" s="37"/>
    </row>
    <row r="415" spans="1:8" ht="14.25" hidden="1" x14ac:dyDescent="0.15">
      <c r="A415" s="218"/>
      <c r="B415" s="220"/>
      <c r="C415" s="311">
        <f t="shared" si="9"/>
        <v>0</v>
      </c>
      <c r="D415" s="311"/>
      <c r="E415" s="312"/>
      <c r="G415" s="36"/>
      <c r="H415" s="37"/>
    </row>
    <row r="416" spans="1:8" ht="14.25" hidden="1" x14ac:dyDescent="0.15">
      <c r="A416" s="218"/>
      <c r="B416" s="220"/>
      <c r="C416" s="311">
        <f t="shared" si="9"/>
        <v>0</v>
      </c>
      <c r="D416" s="311"/>
      <c r="E416" s="312"/>
      <c r="G416" s="36"/>
      <c r="H416" s="37"/>
    </row>
    <row r="417" spans="1:8" ht="14.25" hidden="1" x14ac:dyDescent="0.15">
      <c r="A417" s="218"/>
      <c r="B417" s="220"/>
      <c r="C417" s="311">
        <f t="shared" si="9"/>
        <v>0</v>
      </c>
      <c r="D417" s="311"/>
      <c r="E417" s="312"/>
      <c r="G417" s="36"/>
      <c r="H417" s="37"/>
    </row>
    <row r="418" spans="1:8" ht="14.25" hidden="1" x14ac:dyDescent="0.15">
      <c r="A418" s="218"/>
      <c r="B418" s="220"/>
      <c r="C418" s="311">
        <f t="shared" si="9"/>
        <v>0</v>
      </c>
      <c r="D418" s="311"/>
      <c r="E418" s="312"/>
      <c r="G418" s="36"/>
      <c r="H418" s="37"/>
    </row>
    <row r="419" spans="1:8" ht="14.25" hidden="1" x14ac:dyDescent="0.15">
      <c r="A419" s="218"/>
      <c r="B419" s="220"/>
      <c r="C419" s="311">
        <f t="shared" si="9"/>
        <v>0</v>
      </c>
      <c r="D419" s="311"/>
      <c r="E419" s="312"/>
      <c r="G419" s="36"/>
      <c r="H419" s="37"/>
    </row>
    <row r="420" spans="1:8" ht="14.25" hidden="1" x14ac:dyDescent="0.15">
      <c r="A420" s="218"/>
      <c r="B420" s="220"/>
      <c r="C420" s="311">
        <f t="shared" si="9"/>
        <v>0</v>
      </c>
      <c r="D420" s="311"/>
      <c r="E420" s="312"/>
      <c r="G420" s="36"/>
      <c r="H420" s="37"/>
    </row>
    <row r="421" spans="1:8" ht="14.25" hidden="1" x14ac:dyDescent="0.15">
      <c r="A421" s="218"/>
      <c r="B421" s="220"/>
      <c r="C421" s="311">
        <f t="shared" si="9"/>
        <v>0</v>
      </c>
      <c r="D421" s="311"/>
      <c r="E421" s="312"/>
      <c r="G421" s="36"/>
      <c r="H421" s="37"/>
    </row>
    <row r="422" spans="1:8" ht="14.25" hidden="1" x14ac:dyDescent="0.15">
      <c r="A422" s="218"/>
      <c r="B422" s="220"/>
      <c r="C422" s="311">
        <f t="shared" si="9"/>
        <v>0</v>
      </c>
      <c r="D422" s="311"/>
      <c r="E422" s="312"/>
      <c r="G422" s="36"/>
      <c r="H422" s="37"/>
    </row>
    <row r="423" spans="1:8" ht="14.25" hidden="1" x14ac:dyDescent="0.15">
      <c r="A423" s="218"/>
      <c r="B423" s="220"/>
      <c r="C423" s="311">
        <f t="shared" si="9"/>
        <v>0</v>
      </c>
      <c r="D423" s="311"/>
      <c r="E423" s="312"/>
      <c r="G423" s="36"/>
      <c r="H423" s="37"/>
    </row>
    <row r="424" spans="1:8" ht="14.25" x14ac:dyDescent="0.15">
      <c r="A424" s="218"/>
      <c r="B424" s="220"/>
      <c r="C424" s="311">
        <f t="shared" si="9"/>
        <v>0</v>
      </c>
      <c r="D424" s="311"/>
      <c r="E424" s="312"/>
      <c r="G424" s="36"/>
      <c r="H424" s="37"/>
    </row>
    <row r="425" spans="1:8" ht="14.25" x14ac:dyDescent="0.15">
      <c r="A425" s="218"/>
      <c r="B425" s="219"/>
      <c r="C425" s="311">
        <f t="shared" si="9"/>
        <v>0</v>
      </c>
      <c r="D425" s="311"/>
      <c r="E425" s="312"/>
      <c r="G425" s="36"/>
      <c r="H425" s="37"/>
    </row>
    <row r="426" spans="1:8" ht="14.25" x14ac:dyDescent="0.15">
      <c r="A426" s="215"/>
      <c r="B426" s="216"/>
      <c r="C426" s="311">
        <f t="shared" si="9"/>
        <v>0</v>
      </c>
      <c r="D426" s="311"/>
      <c r="E426" s="312"/>
      <c r="G426" s="36"/>
      <c r="H426" s="37"/>
    </row>
    <row r="427" spans="1:8" ht="14.25" x14ac:dyDescent="0.15">
      <c r="A427" s="212" t="s">
        <v>18</v>
      </c>
      <c r="B427" s="211">
        <f>SUM(B5:B425)</f>
        <v>22511000</v>
      </c>
      <c r="C427" s="283">
        <f>SUM(C5:C425)</f>
        <v>0</v>
      </c>
      <c r="D427" s="284"/>
      <c r="E427" s="285"/>
      <c r="G427" s="22">
        <f>SUM(G5:G106)</f>
        <v>0</v>
      </c>
      <c r="H427" s="23">
        <f>SUM(H5:H106)</f>
        <v>0</v>
      </c>
    </row>
    <row r="428" spans="1:8" ht="14.25" x14ac:dyDescent="0.15">
      <c r="A428" s="212"/>
      <c r="B428" s="211"/>
      <c r="C428" s="283"/>
      <c r="D428" s="284"/>
      <c r="E428" s="285"/>
      <c r="G428" s="22"/>
      <c r="H428" s="23"/>
    </row>
    <row r="429" spans="1:8" ht="14.25" x14ac:dyDescent="0.15">
      <c r="A429" s="212" t="s">
        <v>19</v>
      </c>
      <c r="B429" s="211">
        <f>+B427*F429</f>
        <v>1800880</v>
      </c>
      <c r="C429" s="283">
        <f>+G429+H429</f>
        <v>0</v>
      </c>
      <c r="D429" s="284"/>
      <c r="E429" s="285"/>
      <c r="F429" s="26">
        <v>0.08</v>
      </c>
      <c r="G429" s="22">
        <f>+G427*F429</f>
        <v>0</v>
      </c>
      <c r="H429" s="23">
        <f>+H427*F429</f>
        <v>0</v>
      </c>
    </row>
    <row r="430" spans="1:8" ht="14.25" x14ac:dyDescent="0.15">
      <c r="A430" s="212"/>
      <c r="B430" s="211"/>
      <c r="C430" s="283"/>
      <c r="D430" s="284"/>
      <c r="E430" s="285"/>
      <c r="G430" s="22"/>
      <c r="H430" s="23"/>
    </row>
    <row r="431" spans="1:8" ht="14.25" x14ac:dyDescent="0.15">
      <c r="A431" s="212" t="s">
        <v>20</v>
      </c>
      <c r="B431" s="211">
        <f>+B427+B429</f>
        <v>24311880</v>
      </c>
      <c r="C431" s="283">
        <f>+G431+H431</f>
        <v>0</v>
      </c>
      <c r="D431" s="284"/>
      <c r="E431" s="285"/>
      <c r="G431" s="22">
        <f>+G427+G429</f>
        <v>0</v>
      </c>
      <c r="H431" s="23">
        <f>+H427+H429</f>
        <v>0</v>
      </c>
    </row>
    <row r="432" spans="1:8" ht="15" thickBot="1" x14ac:dyDescent="0.2">
      <c r="A432" s="222"/>
      <c r="B432" s="223"/>
      <c r="C432" s="337"/>
      <c r="D432" s="338"/>
      <c r="E432" s="339"/>
      <c r="G432" s="28"/>
      <c r="H432" s="29"/>
    </row>
  </sheetData>
  <mergeCells count="430">
    <mergeCell ref="C426:E426"/>
    <mergeCell ref="C425:E425"/>
    <mergeCell ref="C403:E403"/>
    <mergeCell ref="C404:E404"/>
    <mergeCell ref="C405:E405"/>
    <mergeCell ref="C406:E406"/>
    <mergeCell ref="C422:E422"/>
    <mergeCell ref="C423:E423"/>
    <mergeCell ref="C424:E424"/>
    <mergeCell ref="C419:E419"/>
    <mergeCell ref="C420:E420"/>
    <mergeCell ref="C421:E421"/>
    <mergeCell ref="C418:E418"/>
    <mergeCell ref="C413:E413"/>
    <mergeCell ref="C414:E414"/>
    <mergeCell ref="C415:E415"/>
    <mergeCell ref="C410:E410"/>
    <mergeCell ref="C411:E411"/>
    <mergeCell ref="C412:E412"/>
    <mergeCell ref="C416:E416"/>
    <mergeCell ref="C417:E417"/>
    <mergeCell ref="C400:E400"/>
    <mergeCell ref="C401:E401"/>
    <mergeCell ref="C402:E402"/>
    <mergeCell ref="C409:E409"/>
    <mergeCell ref="C395:E395"/>
    <mergeCell ref="C396:E396"/>
    <mergeCell ref="C397:E397"/>
    <mergeCell ref="C398:E398"/>
    <mergeCell ref="C399:E399"/>
    <mergeCell ref="C407:E407"/>
    <mergeCell ref="C408:E408"/>
    <mergeCell ref="C390:E390"/>
    <mergeCell ref="C391:E391"/>
    <mergeCell ref="C392:E392"/>
    <mergeCell ref="C393:E393"/>
    <mergeCell ref="C394:E394"/>
    <mergeCell ref="C387:E387"/>
    <mergeCell ref="C388:E388"/>
    <mergeCell ref="C389:E389"/>
    <mergeCell ref="C384:E384"/>
    <mergeCell ref="C385:E385"/>
    <mergeCell ref="C386:E386"/>
    <mergeCell ref="C344:E344"/>
    <mergeCell ref="C343:E343"/>
    <mergeCell ref="C349:E349"/>
    <mergeCell ref="C348:E348"/>
    <mergeCell ref="C347:E347"/>
    <mergeCell ref="C346:E346"/>
    <mergeCell ref="C354:E354"/>
    <mergeCell ref="C353:E353"/>
    <mergeCell ref="C352:E352"/>
    <mergeCell ref="C351:E351"/>
    <mergeCell ref="C350:E350"/>
    <mergeCell ref="C356:E356"/>
    <mergeCell ref="C355:E355"/>
    <mergeCell ref="C362:E362"/>
    <mergeCell ref="C361:E361"/>
    <mergeCell ref="C360:E360"/>
    <mergeCell ref="C365:E365"/>
    <mergeCell ref="C364:E364"/>
    <mergeCell ref="C363:E363"/>
    <mergeCell ref="C345:E345"/>
    <mergeCell ref="C383:E383"/>
    <mergeCell ref="C382:E382"/>
    <mergeCell ref="C381:E381"/>
    <mergeCell ref="C340:E340"/>
    <mergeCell ref="C341:E341"/>
    <mergeCell ref="C342:E342"/>
    <mergeCell ref="C377:E377"/>
    <mergeCell ref="C376:E376"/>
    <mergeCell ref="C375:E375"/>
    <mergeCell ref="C380:E380"/>
    <mergeCell ref="C379:E379"/>
    <mergeCell ref="C368:E368"/>
    <mergeCell ref="C367:E367"/>
    <mergeCell ref="C366:E366"/>
    <mergeCell ref="C378:E378"/>
    <mergeCell ref="C371:E371"/>
    <mergeCell ref="C370:E370"/>
    <mergeCell ref="C369:E369"/>
    <mergeCell ref="C374:E374"/>
    <mergeCell ref="C373:E373"/>
    <mergeCell ref="C372:E372"/>
    <mergeCell ref="C359:E359"/>
    <mergeCell ref="C358:E358"/>
    <mergeCell ref="C357:E357"/>
    <mergeCell ref="C337:E337"/>
    <mergeCell ref="C338:E338"/>
    <mergeCell ref="C339:E339"/>
    <mergeCell ref="C334:E334"/>
    <mergeCell ref="C335:E335"/>
    <mergeCell ref="C336:E336"/>
    <mergeCell ref="C331:E331"/>
    <mergeCell ref="C332:E332"/>
    <mergeCell ref="C333:E333"/>
    <mergeCell ref="C328:E328"/>
    <mergeCell ref="C329:E329"/>
    <mergeCell ref="C330:E330"/>
    <mergeCell ref="C325:E325"/>
    <mergeCell ref="C326:E326"/>
    <mergeCell ref="C327:E327"/>
    <mergeCell ref="C322:E322"/>
    <mergeCell ref="C323:E323"/>
    <mergeCell ref="C324:E324"/>
    <mergeCell ref="C319:E319"/>
    <mergeCell ref="C320:E320"/>
    <mergeCell ref="C321:E321"/>
    <mergeCell ref="C314:E314"/>
    <mergeCell ref="C315:E315"/>
    <mergeCell ref="C316:E316"/>
    <mergeCell ref="C317:E317"/>
    <mergeCell ref="C318:E318"/>
    <mergeCell ref="C309:E309"/>
    <mergeCell ref="C310:E310"/>
    <mergeCell ref="C311:E311"/>
    <mergeCell ref="C312:E312"/>
    <mergeCell ref="C313:E313"/>
    <mergeCell ref="C305:E305"/>
    <mergeCell ref="C306:E306"/>
    <mergeCell ref="C307:E307"/>
    <mergeCell ref="C308:E308"/>
    <mergeCell ref="C302:E302"/>
    <mergeCell ref="C303:E303"/>
    <mergeCell ref="C304:E304"/>
    <mergeCell ref="C299:E299"/>
    <mergeCell ref="C300:E300"/>
    <mergeCell ref="C301:E301"/>
    <mergeCell ref="C296:E296"/>
    <mergeCell ref="C297:E297"/>
    <mergeCell ref="C298:E298"/>
    <mergeCell ref="C293:E293"/>
    <mergeCell ref="C294:E294"/>
    <mergeCell ref="C295:E295"/>
    <mergeCell ref="C290:E290"/>
    <mergeCell ref="C291:E291"/>
    <mergeCell ref="C292:E292"/>
    <mergeCell ref="C287:E287"/>
    <mergeCell ref="C288:E288"/>
    <mergeCell ref="C289:E289"/>
    <mergeCell ref="C284:E284"/>
    <mergeCell ref="C285:E285"/>
    <mergeCell ref="C286:E286"/>
    <mergeCell ref="C281:E281"/>
    <mergeCell ref="C282:E282"/>
    <mergeCell ref="C283:E283"/>
    <mergeCell ref="C278:E278"/>
    <mergeCell ref="C279:E279"/>
    <mergeCell ref="C280:E280"/>
    <mergeCell ref="C274:E274"/>
    <mergeCell ref="C275:E275"/>
    <mergeCell ref="C276:E276"/>
    <mergeCell ref="C277:E277"/>
    <mergeCell ref="C269:E269"/>
    <mergeCell ref="C270:E270"/>
    <mergeCell ref="C271:E271"/>
    <mergeCell ref="C272:E272"/>
    <mergeCell ref="C273:E273"/>
    <mergeCell ref="C264:E264"/>
    <mergeCell ref="C265:E265"/>
    <mergeCell ref="C266:E266"/>
    <mergeCell ref="C267:E267"/>
    <mergeCell ref="C268:E268"/>
    <mergeCell ref="C261:E261"/>
    <mergeCell ref="C262:E262"/>
    <mergeCell ref="C263:E263"/>
    <mergeCell ref="C258:E258"/>
    <mergeCell ref="C259:E259"/>
    <mergeCell ref="C260:E260"/>
    <mergeCell ref="C255:E255"/>
    <mergeCell ref="C256:E256"/>
    <mergeCell ref="C257:E257"/>
    <mergeCell ref="C252:E252"/>
    <mergeCell ref="C253:E253"/>
    <mergeCell ref="C254:E254"/>
    <mergeCell ref="C249:E249"/>
    <mergeCell ref="C250:E250"/>
    <mergeCell ref="C251:E251"/>
    <mergeCell ref="C246:E246"/>
    <mergeCell ref="C247:E247"/>
    <mergeCell ref="C248:E248"/>
    <mergeCell ref="C243:E243"/>
    <mergeCell ref="C244:E244"/>
    <mergeCell ref="C245:E245"/>
    <mergeCell ref="C240:E240"/>
    <mergeCell ref="C241:E241"/>
    <mergeCell ref="C242:E242"/>
    <mergeCell ref="C237:E237"/>
    <mergeCell ref="C238:E238"/>
    <mergeCell ref="C239:E239"/>
    <mergeCell ref="C234:E234"/>
    <mergeCell ref="C235:E235"/>
    <mergeCell ref="C236:E236"/>
    <mergeCell ref="C229:E229"/>
    <mergeCell ref="C230:E230"/>
    <mergeCell ref="C231:E231"/>
    <mergeCell ref="C232:E232"/>
    <mergeCell ref="C233:E233"/>
    <mergeCell ref="C224:E224"/>
    <mergeCell ref="C225:E225"/>
    <mergeCell ref="C226:E226"/>
    <mergeCell ref="C227:E227"/>
    <mergeCell ref="C228:E228"/>
    <mergeCell ref="C220:E220"/>
    <mergeCell ref="C221:E221"/>
    <mergeCell ref="C222:E222"/>
    <mergeCell ref="C223:E223"/>
    <mergeCell ref="C217:E217"/>
    <mergeCell ref="C218:E218"/>
    <mergeCell ref="C219:E219"/>
    <mergeCell ref="C214:E214"/>
    <mergeCell ref="C215:E215"/>
    <mergeCell ref="C216:E216"/>
    <mergeCell ref="C211:E211"/>
    <mergeCell ref="C212:E212"/>
    <mergeCell ref="C213:E213"/>
    <mergeCell ref="C208:E208"/>
    <mergeCell ref="C209:E209"/>
    <mergeCell ref="C210:E210"/>
    <mergeCell ref="C205:E205"/>
    <mergeCell ref="C206:E206"/>
    <mergeCell ref="C207:E207"/>
    <mergeCell ref="C202:E202"/>
    <mergeCell ref="C203:E203"/>
    <mergeCell ref="C204:E204"/>
    <mergeCell ref="C199:E199"/>
    <mergeCell ref="C200:E200"/>
    <mergeCell ref="C201:E201"/>
    <mergeCell ref="C196:E196"/>
    <mergeCell ref="C197:E197"/>
    <mergeCell ref="C198:E198"/>
    <mergeCell ref="C193:E193"/>
    <mergeCell ref="C194:E194"/>
    <mergeCell ref="C195:E195"/>
    <mergeCell ref="C188:E188"/>
    <mergeCell ref="C189:E189"/>
    <mergeCell ref="C190:E190"/>
    <mergeCell ref="C191:E191"/>
    <mergeCell ref="C192:E192"/>
    <mergeCell ref="C183:E183"/>
    <mergeCell ref="C184:E184"/>
    <mergeCell ref="C185:E185"/>
    <mergeCell ref="C186:E186"/>
    <mergeCell ref="C187:E187"/>
    <mergeCell ref="C179:E179"/>
    <mergeCell ref="C180:E180"/>
    <mergeCell ref="C181:E181"/>
    <mergeCell ref="C182:E182"/>
    <mergeCell ref="C176:E176"/>
    <mergeCell ref="C177:E177"/>
    <mergeCell ref="C178:E178"/>
    <mergeCell ref="C173:E173"/>
    <mergeCell ref="C174:E174"/>
    <mergeCell ref="C175:E175"/>
    <mergeCell ref="C170:E170"/>
    <mergeCell ref="C171:E171"/>
    <mergeCell ref="C172:E172"/>
    <mergeCell ref="C167:E167"/>
    <mergeCell ref="C168:E168"/>
    <mergeCell ref="C169:E169"/>
    <mergeCell ref="C164:E164"/>
    <mergeCell ref="C165:E165"/>
    <mergeCell ref="C166:E166"/>
    <mergeCell ref="C161:E161"/>
    <mergeCell ref="C162:E162"/>
    <mergeCell ref="C163:E163"/>
    <mergeCell ref="C158:E158"/>
    <mergeCell ref="C159:E159"/>
    <mergeCell ref="C160:E160"/>
    <mergeCell ref="C155:E155"/>
    <mergeCell ref="C156:E156"/>
    <mergeCell ref="C157:E157"/>
    <mergeCell ref="C152:E152"/>
    <mergeCell ref="C153:E153"/>
    <mergeCell ref="C154:E154"/>
    <mergeCell ref="C148:E148"/>
    <mergeCell ref="C149:E149"/>
    <mergeCell ref="C150:E150"/>
    <mergeCell ref="C151:E151"/>
    <mergeCell ref="C143:E143"/>
    <mergeCell ref="C144:E144"/>
    <mergeCell ref="C145:E145"/>
    <mergeCell ref="C146:E146"/>
    <mergeCell ref="C147:E147"/>
    <mergeCell ref="C138:E138"/>
    <mergeCell ref="C139:E139"/>
    <mergeCell ref="C140:E140"/>
    <mergeCell ref="C141:E141"/>
    <mergeCell ref="C142:E142"/>
    <mergeCell ref="C135:E135"/>
    <mergeCell ref="C136:E136"/>
    <mergeCell ref="C137:E137"/>
    <mergeCell ref="C132:E132"/>
    <mergeCell ref="C133:E133"/>
    <mergeCell ref="C134:E134"/>
    <mergeCell ref="C129:E129"/>
    <mergeCell ref="C130:E130"/>
    <mergeCell ref="C131:E131"/>
    <mergeCell ref="C126:E126"/>
    <mergeCell ref="C127:E127"/>
    <mergeCell ref="C128:E128"/>
    <mergeCell ref="C123:E123"/>
    <mergeCell ref="C124:E124"/>
    <mergeCell ref="C125:E125"/>
    <mergeCell ref="C120:E120"/>
    <mergeCell ref="C121:E121"/>
    <mergeCell ref="C122:E122"/>
    <mergeCell ref="C117:E117"/>
    <mergeCell ref="C118:E118"/>
    <mergeCell ref="C119:E119"/>
    <mergeCell ref="C114:E114"/>
    <mergeCell ref="C115:E115"/>
    <mergeCell ref="C116:E116"/>
    <mergeCell ref="C111:E111"/>
    <mergeCell ref="C112:E112"/>
    <mergeCell ref="C113:E113"/>
    <mergeCell ref="C108:E108"/>
    <mergeCell ref="C109:E109"/>
    <mergeCell ref="C110:E110"/>
    <mergeCell ref="C82:E82"/>
    <mergeCell ref="C83:E83"/>
    <mergeCell ref="C84:E84"/>
    <mergeCell ref="C85:E85"/>
    <mergeCell ref="C86:E86"/>
    <mergeCell ref="C87:E87"/>
    <mergeCell ref="C88:E88"/>
    <mergeCell ref="C107:E107"/>
    <mergeCell ref="C98:E98"/>
    <mergeCell ref="C99:E99"/>
    <mergeCell ref="C100:E100"/>
    <mergeCell ref="C97:E97"/>
    <mergeCell ref="C101:E101"/>
    <mergeCell ref="C96:E96"/>
    <mergeCell ref="C92:E92"/>
    <mergeCell ref="C93:E93"/>
    <mergeCell ref="C73:E73"/>
    <mergeCell ref="C74:E74"/>
    <mergeCell ref="C75:E75"/>
    <mergeCell ref="C76:E76"/>
    <mergeCell ref="C77:E77"/>
    <mergeCell ref="C78:E78"/>
    <mergeCell ref="C79:E79"/>
    <mergeCell ref="C80:E80"/>
    <mergeCell ref="C81:E81"/>
    <mergeCell ref="C66:E66"/>
    <mergeCell ref="C67:E67"/>
    <mergeCell ref="C68:E68"/>
    <mergeCell ref="C69:E69"/>
    <mergeCell ref="C70:E70"/>
    <mergeCell ref="C53:E53"/>
    <mergeCell ref="C54:E54"/>
    <mergeCell ref="C55:E55"/>
    <mergeCell ref="C56:E56"/>
    <mergeCell ref="C57:E57"/>
    <mergeCell ref="C58:E58"/>
    <mergeCell ref="C59:E59"/>
    <mergeCell ref="C60:E60"/>
    <mergeCell ref="C61:E61"/>
    <mergeCell ref="C71:E71"/>
    <mergeCell ref="C72:E72"/>
    <mergeCell ref="C28:E28"/>
    <mergeCell ref="C38:E38"/>
    <mergeCell ref="C39:E39"/>
    <mergeCell ref="C41:E41"/>
    <mergeCell ref="C42:E42"/>
    <mergeCell ref="C43:E43"/>
    <mergeCell ref="C44:E44"/>
    <mergeCell ref="C45:E45"/>
    <mergeCell ref="C46:E46"/>
    <mergeCell ref="C29:E29"/>
    <mergeCell ref="C30:E30"/>
    <mergeCell ref="C31:E31"/>
    <mergeCell ref="C32:E32"/>
    <mergeCell ref="C33:E33"/>
    <mergeCell ref="C34:E34"/>
    <mergeCell ref="C35:E35"/>
    <mergeCell ref="C36:E36"/>
    <mergeCell ref="C37:E37"/>
    <mergeCell ref="C62:E62"/>
    <mergeCell ref="C63:E63"/>
    <mergeCell ref="C64:E64"/>
    <mergeCell ref="C65:E65"/>
    <mergeCell ref="C49:E49"/>
    <mergeCell ref="C50:E50"/>
    <mergeCell ref="C51:E51"/>
    <mergeCell ref="C10:E10"/>
    <mergeCell ref="C47:E47"/>
    <mergeCell ref="C48:E48"/>
    <mergeCell ref="C11:E11"/>
    <mergeCell ref="C12:E12"/>
    <mergeCell ref="C13:E13"/>
    <mergeCell ref="C14:E14"/>
    <mergeCell ref="C15:E15"/>
    <mergeCell ref="C16:E16"/>
    <mergeCell ref="C17:E17"/>
    <mergeCell ref="C18:E18"/>
    <mergeCell ref="C19:E19"/>
    <mergeCell ref="C20:E20"/>
    <mergeCell ref="C21:E21"/>
    <mergeCell ref="C22:E22"/>
    <mergeCell ref="C23:E23"/>
    <mergeCell ref="C24:E24"/>
    <mergeCell ref="C25:E25"/>
    <mergeCell ref="C26:E26"/>
    <mergeCell ref="C27:E27"/>
    <mergeCell ref="C40:E40"/>
    <mergeCell ref="C9:E9"/>
    <mergeCell ref="C6:E6"/>
    <mergeCell ref="C7:E7"/>
    <mergeCell ref="C4:E4"/>
    <mergeCell ref="C5:E5"/>
    <mergeCell ref="C8:E8"/>
    <mergeCell ref="C432:E432"/>
    <mergeCell ref="C3:E3"/>
    <mergeCell ref="C430:E430"/>
    <mergeCell ref="C431:E431"/>
    <mergeCell ref="C428:E428"/>
    <mergeCell ref="C429:E429"/>
    <mergeCell ref="C106:E106"/>
    <mergeCell ref="C427:E427"/>
    <mergeCell ref="C104:E104"/>
    <mergeCell ref="C105:E105"/>
    <mergeCell ref="C102:E102"/>
    <mergeCell ref="C103:E103"/>
    <mergeCell ref="C90:E90"/>
    <mergeCell ref="C91:E91"/>
    <mergeCell ref="C52:E52"/>
    <mergeCell ref="C89:E89"/>
    <mergeCell ref="C94:E94"/>
    <mergeCell ref="C95:E95"/>
  </mergeCells>
  <phoneticPr fontId="2"/>
  <pageMargins left="0.78700000000000003" right="0.78700000000000003" top="0.98399999999999999" bottom="0.98399999999999999" header="0.51200000000000001" footer="0.51200000000000001"/>
  <pageSetup paperSize="9" scale="57"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K57"/>
  <sheetViews>
    <sheetView view="pageBreakPreview" zoomScale="85" zoomScaleNormal="100" zoomScaleSheetLayoutView="85" workbookViewId="0">
      <selection activeCell="F22" sqref="F22:J22"/>
    </sheetView>
  </sheetViews>
  <sheetFormatPr defaultRowHeight="13.5" x14ac:dyDescent="0.15"/>
  <cols>
    <col min="1" max="1" width="2.375" style="57" customWidth="1"/>
    <col min="2" max="2" width="9" style="57"/>
    <col min="3" max="3" width="4.125" style="57" customWidth="1"/>
    <col min="4" max="4" width="9" style="57"/>
    <col min="5" max="5" width="2.375" style="57" customWidth="1"/>
    <col min="6" max="6" width="10.25" style="57" bestFit="1" customWidth="1"/>
    <col min="7" max="7" width="9.25" style="57" bestFit="1" customWidth="1"/>
    <col min="8" max="9" width="10.25" style="57" bestFit="1" customWidth="1"/>
    <col min="10" max="16384" width="9" style="57"/>
  </cols>
  <sheetData>
    <row r="1" spans="2:11" ht="13.5" customHeight="1" x14ac:dyDescent="0.15">
      <c r="B1" s="70"/>
      <c r="C1" s="71"/>
      <c r="D1" s="71"/>
      <c r="E1" s="71"/>
      <c r="F1" s="342" t="s">
        <v>91</v>
      </c>
      <c r="G1" s="342"/>
      <c r="H1" s="342"/>
      <c r="I1" s="71"/>
      <c r="J1" s="71"/>
      <c r="K1" s="72"/>
    </row>
    <row r="2" spans="2:11" ht="13.5" customHeight="1" x14ac:dyDescent="0.15">
      <c r="B2" s="73"/>
      <c r="C2" s="74"/>
      <c r="D2" s="74"/>
      <c r="E2" s="74"/>
      <c r="F2" s="343"/>
      <c r="G2" s="343"/>
      <c r="H2" s="343"/>
      <c r="I2" s="74"/>
      <c r="J2" s="344">
        <f ca="1">NOW()</f>
        <v>43700.530487384262</v>
      </c>
      <c r="K2" s="345"/>
    </row>
    <row r="3" spans="2:11" x14ac:dyDescent="0.15">
      <c r="B3" s="53" t="s">
        <v>62</v>
      </c>
      <c r="C3" s="54"/>
      <c r="D3" s="54"/>
      <c r="E3" s="54"/>
      <c r="F3" s="54"/>
      <c r="G3" s="55"/>
      <c r="H3" s="53" t="s">
        <v>64</v>
      </c>
      <c r="I3" s="54"/>
      <c r="J3" s="54"/>
      <c r="K3" s="55"/>
    </row>
    <row r="4" spans="2:11" x14ac:dyDescent="0.15">
      <c r="B4" s="56"/>
      <c r="D4" s="347" t="str">
        <f>入力表!J4</f>
        <v>本社　建築プロジェクト担当</v>
      </c>
      <c r="E4" s="347"/>
      <c r="F4" s="347"/>
      <c r="G4" s="348"/>
      <c r="H4" s="56"/>
      <c r="I4" s="57" t="s">
        <v>77</v>
      </c>
      <c r="K4" s="58"/>
    </row>
    <row r="5" spans="2:11" x14ac:dyDescent="0.15">
      <c r="B5" s="56"/>
      <c r="F5" s="105" t="str">
        <f>VLOOKUP("*"&amp;D4&amp;"*",バックデータ!A6:B25,2,0)</f>
        <v>水田係長</v>
      </c>
      <c r="G5" s="58" t="s">
        <v>63</v>
      </c>
      <c r="H5" s="56"/>
      <c r="J5" s="57" t="str">
        <f>入力表!B3</f>
        <v>由肥明子</v>
      </c>
      <c r="K5" s="58"/>
    </row>
    <row r="6" spans="2:11" x14ac:dyDescent="0.15">
      <c r="B6" s="59"/>
      <c r="C6" s="60"/>
      <c r="D6" s="60"/>
      <c r="E6" s="60"/>
      <c r="F6" s="60"/>
      <c r="G6" s="61"/>
      <c r="H6" s="59"/>
      <c r="I6" s="60"/>
      <c r="J6" s="60"/>
      <c r="K6" s="61"/>
    </row>
    <row r="7" spans="2:11" x14ac:dyDescent="0.15">
      <c r="B7" s="56"/>
      <c r="K7" s="58"/>
    </row>
    <row r="8" spans="2:11" x14ac:dyDescent="0.15">
      <c r="B8" s="56"/>
      <c r="C8" s="57" t="s">
        <v>65</v>
      </c>
      <c r="K8" s="58"/>
    </row>
    <row r="9" spans="2:11" x14ac:dyDescent="0.15">
      <c r="B9" s="56"/>
      <c r="C9" s="57" t="s">
        <v>92</v>
      </c>
      <c r="K9" s="58"/>
    </row>
    <row r="10" spans="2:11" x14ac:dyDescent="0.15">
      <c r="B10" s="56"/>
      <c r="K10" s="58"/>
    </row>
    <row r="11" spans="2:11" x14ac:dyDescent="0.15">
      <c r="B11" s="56"/>
      <c r="K11" s="58"/>
    </row>
    <row r="12" spans="2:11" x14ac:dyDescent="0.15">
      <c r="B12" s="56"/>
      <c r="K12" s="58"/>
    </row>
    <row r="13" spans="2:11" x14ac:dyDescent="0.15">
      <c r="B13" s="56"/>
      <c r="C13" s="57">
        <v>1</v>
      </c>
      <c r="D13" s="57" t="s">
        <v>23</v>
      </c>
      <c r="E13" s="57" t="s">
        <v>60</v>
      </c>
      <c r="F13" s="351" t="str">
        <f>+入力表!B6</f>
        <v>1･3号線各駅可動式ホーム柵設置に伴う建築工事設計業務委託</v>
      </c>
      <c r="G13" s="351"/>
      <c r="H13" s="351"/>
      <c r="I13" s="351"/>
      <c r="J13" s="351"/>
      <c r="K13" s="58"/>
    </row>
    <row r="14" spans="2:11" x14ac:dyDescent="0.15">
      <c r="B14" s="56"/>
      <c r="K14" s="58"/>
    </row>
    <row r="15" spans="2:11" x14ac:dyDescent="0.15">
      <c r="B15" s="56"/>
      <c r="C15" s="57">
        <v>2</v>
      </c>
      <c r="D15" s="57" t="s">
        <v>56</v>
      </c>
      <c r="E15" s="57" t="s">
        <v>60</v>
      </c>
      <c r="F15" s="346" t="str">
        <f>+入力表!B10</f>
        <v>全日本コンサルタント株式会社</v>
      </c>
      <c r="G15" s="346"/>
      <c r="H15" s="346"/>
      <c r="I15" s="346"/>
      <c r="J15" s="346"/>
      <c r="K15" s="58"/>
    </row>
    <row r="16" spans="2:11" x14ac:dyDescent="0.15">
      <c r="B16" s="56"/>
      <c r="D16" s="62" t="s">
        <v>74</v>
      </c>
      <c r="F16" s="346" t="str">
        <f>+入力表!B11</f>
        <v>06-6646-0030</v>
      </c>
      <c r="G16" s="346"/>
      <c r="H16" s="346"/>
      <c r="I16" s="346"/>
      <c r="J16" s="346"/>
      <c r="K16" s="58"/>
    </row>
    <row r="17" spans="2:11" x14ac:dyDescent="0.15">
      <c r="B17" s="56"/>
      <c r="F17" s="62"/>
      <c r="G17" s="62"/>
      <c r="H17" s="62"/>
      <c r="I17" s="62"/>
      <c r="J17" s="62"/>
      <c r="K17" s="58"/>
    </row>
    <row r="18" spans="2:11" x14ac:dyDescent="0.15">
      <c r="B18" s="56"/>
      <c r="C18" s="57">
        <v>3</v>
      </c>
      <c r="D18" s="57" t="s">
        <v>0</v>
      </c>
      <c r="E18" s="57" t="s">
        <v>60</v>
      </c>
      <c r="F18" s="346">
        <f>+入力表!B7</f>
        <v>19000217</v>
      </c>
      <c r="G18" s="346"/>
      <c r="H18" s="346"/>
      <c r="I18" s="346"/>
      <c r="J18" s="346"/>
      <c r="K18" s="58"/>
    </row>
    <row r="19" spans="2:11" x14ac:dyDescent="0.15">
      <c r="B19" s="56"/>
      <c r="F19" s="346"/>
      <c r="G19" s="346"/>
      <c r="H19" s="346"/>
      <c r="I19" s="346"/>
      <c r="J19" s="346"/>
      <c r="K19" s="58"/>
    </row>
    <row r="20" spans="2:11" x14ac:dyDescent="0.15">
      <c r="B20" s="56"/>
      <c r="C20" s="57">
        <v>4</v>
      </c>
      <c r="D20" s="57" t="s">
        <v>57</v>
      </c>
      <c r="E20" s="57" t="s">
        <v>60</v>
      </c>
      <c r="F20" s="346">
        <f>+入力表!B5</f>
        <v>1011</v>
      </c>
      <c r="G20" s="346"/>
      <c r="H20" s="346"/>
      <c r="I20" s="346"/>
      <c r="J20" s="346"/>
      <c r="K20" s="58"/>
    </row>
    <row r="21" spans="2:11" x14ac:dyDescent="0.15">
      <c r="B21" s="56"/>
      <c r="F21" s="346"/>
      <c r="G21" s="346"/>
      <c r="H21" s="346"/>
      <c r="I21" s="346"/>
      <c r="J21" s="346"/>
      <c r="K21" s="58"/>
    </row>
    <row r="22" spans="2:11" x14ac:dyDescent="0.15">
      <c r="B22" s="56"/>
      <c r="C22" s="57">
        <v>6</v>
      </c>
      <c r="D22" s="113" t="s">
        <v>107</v>
      </c>
      <c r="E22" s="57" t="s">
        <v>60</v>
      </c>
      <c r="F22" s="355">
        <f>入力表!B9</f>
        <v>43798</v>
      </c>
      <c r="G22" s="355"/>
      <c r="H22" s="355"/>
      <c r="I22" s="355"/>
      <c r="J22" s="355"/>
      <c r="K22" s="58"/>
    </row>
    <row r="23" spans="2:11" x14ac:dyDescent="0.15">
      <c r="B23" s="56"/>
      <c r="F23" s="112"/>
      <c r="G23" s="354"/>
      <c r="H23" s="354"/>
      <c r="I23" s="354"/>
      <c r="J23" s="354"/>
      <c r="K23" s="58"/>
    </row>
    <row r="24" spans="2:11" x14ac:dyDescent="0.15">
      <c r="B24" s="56"/>
      <c r="C24" s="57">
        <v>7</v>
      </c>
      <c r="D24" s="57" t="s">
        <v>58</v>
      </c>
      <c r="E24" s="57" t="s">
        <v>60</v>
      </c>
      <c r="F24" s="356">
        <f>入力表!B12</f>
        <v>17841600</v>
      </c>
      <c r="G24" s="356"/>
      <c r="H24" s="356"/>
      <c r="I24" s="356"/>
      <c r="J24" s="356"/>
      <c r="K24" s="58"/>
    </row>
    <row r="25" spans="2:11" x14ac:dyDescent="0.15">
      <c r="B25" s="56"/>
      <c r="D25" s="63" t="s">
        <v>61</v>
      </c>
      <c r="F25" s="356"/>
      <c r="G25" s="356"/>
      <c r="H25" s="356"/>
      <c r="I25" s="356"/>
      <c r="J25" s="356"/>
      <c r="K25" s="58"/>
    </row>
    <row r="26" spans="2:11" x14ac:dyDescent="0.15">
      <c r="B26" s="56"/>
      <c r="C26" s="57">
        <v>8</v>
      </c>
      <c r="D26" s="57" t="s">
        <v>59</v>
      </c>
      <c r="E26" s="57" t="s">
        <v>60</v>
      </c>
      <c r="F26" s="356">
        <f>+ＦＡＸ!F24-ＦＡＸ!F24/1.08</f>
        <v>1321600.0000000019</v>
      </c>
      <c r="G26" s="356"/>
      <c r="H26" s="356"/>
      <c r="I26" s="356"/>
      <c r="J26" s="356"/>
      <c r="K26" s="58"/>
    </row>
    <row r="27" spans="2:11" x14ac:dyDescent="0.15">
      <c r="B27" s="56"/>
      <c r="D27" s="63" t="s">
        <v>61</v>
      </c>
      <c r="F27" s="356"/>
      <c r="G27" s="356"/>
      <c r="H27" s="356"/>
      <c r="I27" s="356"/>
      <c r="J27" s="356"/>
      <c r="K27" s="58"/>
    </row>
    <row r="28" spans="2:11" x14ac:dyDescent="0.15">
      <c r="B28" s="56"/>
      <c r="D28" s="63"/>
      <c r="F28" s="346"/>
      <c r="G28" s="346"/>
      <c r="H28" s="346"/>
      <c r="I28" s="346"/>
      <c r="J28" s="346"/>
      <c r="K28" s="58"/>
    </row>
    <row r="29" spans="2:11" x14ac:dyDescent="0.15">
      <c r="B29" s="56"/>
      <c r="F29" s="352"/>
      <c r="G29" s="352"/>
      <c r="H29" s="352"/>
      <c r="I29" s="352"/>
      <c r="J29" s="352"/>
      <c r="K29" s="58"/>
    </row>
    <row r="30" spans="2:11" x14ac:dyDescent="0.15">
      <c r="B30" s="56"/>
      <c r="F30" s="346"/>
      <c r="G30" s="346"/>
      <c r="H30" s="346"/>
      <c r="I30" s="346"/>
      <c r="J30" s="346"/>
      <c r="K30" s="58"/>
    </row>
    <row r="31" spans="2:11" x14ac:dyDescent="0.15">
      <c r="B31" s="56"/>
      <c r="D31" s="63"/>
      <c r="F31" s="352"/>
      <c r="G31" s="352"/>
      <c r="H31" s="352"/>
      <c r="I31" s="352"/>
      <c r="J31" s="352"/>
      <c r="K31" s="58"/>
    </row>
    <row r="32" spans="2:11" x14ac:dyDescent="0.15">
      <c r="B32" s="56"/>
      <c r="D32" s="63"/>
      <c r="K32" s="58"/>
    </row>
    <row r="33" spans="2:11" x14ac:dyDescent="0.15">
      <c r="B33" s="56"/>
      <c r="K33" s="58"/>
    </row>
    <row r="34" spans="2:11" x14ac:dyDescent="0.15">
      <c r="B34" s="56"/>
      <c r="K34" s="58"/>
    </row>
    <row r="35" spans="2:11" x14ac:dyDescent="0.15">
      <c r="B35" s="56"/>
      <c r="K35" s="58"/>
    </row>
    <row r="36" spans="2:11" x14ac:dyDescent="0.15">
      <c r="B36" s="56"/>
      <c r="K36" s="58"/>
    </row>
    <row r="37" spans="2:11" x14ac:dyDescent="0.15">
      <c r="B37" s="56"/>
      <c r="K37" s="58"/>
    </row>
    <row r="38" spans="2:11" x14ac:dyDescent="0.15">
      <c r="B38" s="56"/>
      <c r="K38" s="58"/>
    </row>
    <row r="39" spans="2:11" x14ac:dyDescent="0.15">
      <c r="B39" s="64"/>
      <c r="C39" s="65"/>
      <c r="D39" s="65"/>
      <c r="E39" s="65"/>
      <c r="F39" s="65"/>
      <c r="G39" s="353" t="s">
        <v>93</v>
      </c>
      <c r="H39" s="65"/>
      <c r="I39" s="65"/>
      <c r="J39" s="65"/>
      <c r="K39" s="66"/>
    </row>
    <row r="40" spans="2:11" x14ac:dyDescent="0.15">
      <c r="B40" s="56"/>
      <c r="G40" s="353"/>
      <c r="K40" s="58"/>
    </row>
    <row r="41" spans="2:11" x14ac:dyDescent="0.15">
      <c r="B41" s="56"/>
      <c r="K41" s="58"/>
    </row>
    <row r="42" spans="2:11" x14ac:dyDescent="0.15">
      <c r="B42" s="56"/>
      <c r="C42" s="63"/>
      <c r="D42" s="63"/>
      <c r="E42" s="63"/>
      <c r="F42" s="63"/>
      <c r="G42" s="63"/>
      <c r="H42" s="63"/>
      <c r="I42" s="63"/>
      <c r="J42" s="63"/>
      <c r="K42" s="106"/>
    </row>
    <row r="43" spans="2:11" x14ac:dyDescent="0.15">
      <c r="B43" s="56"/>
      <c r="C43" s="63" t="s">
        <v>66</v>
      </c>
      <c r="D43" s="63"/>
      <c r="E43" s="63"/>
      <c r="F43" s="63"/>
      <c r="G43" s="63"/>
      <c r="H43" s="63"/>
      <c r="I43" s="63"/>
      <c r="J43" s="63"/>
      <c r="K43" s="106"/>
    </row>
    <row r="44" spans="2:11" x14ac:dyDescent="0.15">
      <c r="B44" s="56"/>
      <c r="C44" s="63"/>
      <c r="D44" s="63"/>
      <c r="E44" s="63"/>
      <c r="F44" s="63"/>
      <c r="G44" s="63"/>
      <c r="H44" s="63"/>
      <c r="I44" s="63"/>
      <c r="J44" s="63"/>
      <c r="K44" s="106"/>
    </row>
    <row r="45" spans="2:11" x14ac:dyDescent="0.15">
      <c r="B45" s="56"/>
      <c r="C45" s="357"/>
      <c r="D45" s="357"/>
      <c r="E45" s="357"/>
      <c r="F45" s="357"/>
      <c r="G45" s="357"/>
      <c r="H45" s="357"/>
      <c r="I45" s="357"/>
      <c r="J45" s="357"/>
      <c r="K45" s="358"/>
    </row>
    <row r="46" spans="2:11" x14ac:dyDescent="0.15">
      <c r="B46" s="56"/>
      <c r="C46" s="357"/>
      <c r="D46" s="357"/>
      <c r="E46" s="357"/>
      <c r="F46" s="357"/>
      <c r="G46" s="357"/>
      <c r="H46" s="357"/>
      <c r="I46" s="357"/>
      <c r="J46" s="357"/>
      <c r="K46" s="358"/>
    </row>
    <row r="47" spans="2:11" x14ac:dyDescent="0.15">
      <c r="B47" s="56"/>
      <c r="C47" s="107"/>
      <c r="D47" s="107"/>
      <c r="E47" s="107"/>
      <c r="F47" s="107"/>
      <c r="G47" s="107"/>
      <c r="H47" s="107"/>
      <c r="I47" s="107"/>
      <c r="J47" s="107"/>
      <c r="K47" s="108"/>
    </row>
    <row r="48" spans="2:11" x14ac:dyDescent="0.15">
      <c r="B48" s="56"/>
      <c r="C48" s="109"/>
      <c r="D48" s="107"/>
      <c r="E48" s="107"/>
      <c r="F48" s="107"/>
      <c r="G48" s="107"/>
      <c r="H48" s="107"/>
      <c r="I48" s="107"/>
      <c r="J48" s="107"/>
      <c r="K48" s="108"/>
    </row>
    <row r="49" spans="2:11" x14ac:dyDescent="0.15">
      <c r="B49" s="56"/>
      <c r="C49" s="349"/>
      <c r="D49" s="349"/>
      <c r="E49" s="349"/>
      <c r="F49" s="349"/>
      <c r="G49" s="349"/>
      <c r="H49" s="349"/>
      <c r="I49" s="349"/>
      <c r="J49" s="349"/>
      <c r="K49" s="350"/>
    </row>
    <row r="50" spans="2:11" x14ac:dyDescent="0.15">
      <c r="B50" s="56"/>
      <c r="C50" s="349"/>
      <c r="D50" s="349"/>
      <c r="E50" s="349"/>
      <c r="F50" s="349"/>
      <c r="G50" s="349"/>
      <c r="H50" s="349"/>
      <c r="I50" s="349"/>
      <c r="J50" s="349"/>
      <c r="K50" s="350"/>
    </row>
    <row r="51" spans="2:11" x14ac:dyDescent="0.15">
      <c r="B51" s="56"/>
      <c r="C51" s="349"/>
      <c r="D51" s="349"/>
      <c r="E51" s="349"/>
      <c r="F51" s="349"/>
      <c r="G51" s="349"/>
      <c r="H51" s="349"/>
      <c r="I51" s="349"/>
      <c r="J51" s="349"/>
      <c r="K51" s="350"/>
    </row>
    <row r="52" spans="2:11" x14ac:dyDescent="0.15">
      <c r="B52" s="56"/>
      <c r="C52" s="349"/>
      <c r="D52" s="349"/>
      <c r="E52" s="349"/>
      <c r="F52" s="349"/>
      <c r="G52" s="349"/>
      <c r="H52" s="349"/>
      <c r="I52" s="349"/>
      <c r="J52" s="349"/>
      <c r="K52" s="350"/>
    </row>
    <row r="53" spans="2:11" x14ac:dyDescent="0.15">
      <c r="B53" s="56"/>
      <c r="C53" s="349"/>
      <c r="D53" s="349"/>
      <c r="E53" s="349"/>
      <c r="F53" s="349"/>
      <c r="G53" s="349"/>
      <c r="H53" s="349"/>
      <c r="I53" s="349"/>
      <c r="J53" s="349"/>
      <c r="K53" s="350"/>
    </row>
    <row r="54" spans="2:11" x14ac:dyDescent="0.15">
      <c r="B54" s="56"/>
      <c r="C54" s="349"/>
      <c r="D54" s="349"/>
      <c r="E54" s="349"/>
      <c r="F54" s="349"/>
      <c r="G54" s="349"/>
      <c r="H54" s="349"/>
      <c r="I54" s="349"/>
      <c r="J54" s="349"/>
      <c r="K54" s="350"/>
    </row>
    <row r="55" spans="2:11" x14ac:dyDescent="0.15">
      <c r="B55" s="56"/>
      <c r="C55" s="349"/>
      <c r="D55" s="349"/>
      <c r="E55" s="349"/>
      <c r="F55" s="349"/>
      <c r="G55" s="349"/>
      <c r="H55" s="349"/>
      <c r="I55" s="349"/>
      <c r="J55" s="349"/>
      <c r="K55" s="350"/>
    </row>
    <row r="56" spans="2:11" x14ac:dyDescent="0.15">
      <c r="B56" s="56"/>
      <c r="C56" s="349"/>
      <c r="D56" s="349"/>
      <c r="E56" s="349"/>
      <c r="F56" s="349"/>
      <c r="G56" s="349"/>
      <c r="H56" s="349"/>
      <c r="I56" s="349"/>
      <c r="J56" s="349"/>
      <c r="K56" s="350"/>
    </row>
    <row r="57" spans="2:11" x14ac:dyDescent="0.15">
      <c r="B57" s="59"/>
      <c r="C57" s="60"/>
      <c r="D57" s="60"/>
      <c r="E57" s="60"/>
      <c r="F57" s="60"/>
      <c r="G57" s="60"/>
      <c r="H57" s="60"/>
      <c r="I57" s="60"/>
      <c r="J57" s="60"/>
      <c r="K57" s="61"/>
    </row>
  </sheetData>
  <mergeCells count="21">
    <mergeCell ref="C49:K56"/>
    <mergeCell ref="F13:J13"/>
    <mergeCell ref="F15:J15"/>
    <mergeCell ref="F16:J16"/>
    <mergeCell ref="F31:J31"/>
    <mergeCell ref="G39:G40"/>
    <mergeCell ref="F28:J28"/>
    <mergeCell ref="F29:J29"/>
    <mergeCell ref="F30:J30"/>
    <mergeCell ref="F21:J21"/>
    <mergeCell ref="G23:J23"/>
    <mergeCell ref="F22:J22"/>
    <mergeCell ref="F24:J25"/>
    <mergeCell ref="F26:J27"/>
    <mergeCell ref="C45:K46"/>
    <mergeCell ref="F1:H2"/>
    <mergeCell ref="J2:K2"/>
    <mergeCell ref="F18:J18"/>
    <mergeCell ref="F19:J19"/>
    <mergeCell ref="F20:J20"/>
    <mergeCell ref="D4:G4"/>
  </mergeCells>
  <phoneticPr fontId="2"/>
  <pageMargins left="0.78740157480314965" right="0.78740157480314965" top="0.98425196850393704" bottom="0.98425196850393704" header="0.51181102362204722" footer="0.51181102362204722"/>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L447"/>
  <sheetViews>
    <sheetView view="pageBreakPreview" zoomScale="85" zoomScaleNormal="115" zoomScaleSheetLayoutView="85" zoomScalePageLayoutView="90" workbookViewId="0">
      <selection activeCell="F22" sqref="F22:J22"/>
    </sheetView>
  </sheetViews>
  <sheetFormatPr defaultRowHeight="12" x14ac:dyDescent="0.15"/>
  <cols>
    <col min="1" max="1" width="2.5" style="78" customWidth="1"/>
    <col min="2" max="2" width="25.625" style="78" customWidth="1"/>
    <col min="3" max="3" width="15.5" style="78" customWidth="1"/>
    <col min="4" max="5" width="4.75" style="78" bestFit="1" customWidth="1"/>
    <col min="6" max="6" width="15.625" style="78" customWidth="1"/>
    <col min="7" max="7" width="20.375" style="78" customWidth="1"/>
    <col min="8" max="8" width="17.875" style="131" customWidth="1"/>
    <col min="9" max="9" width="18" style="78" customWidth="1"/>
    <col min="10" max="10" width="18.25" style="78" customWidth="1"/>
    <col min="11" max="16384" width="9" style="78"/>
  </cols>
  <sheetData>
    <row r="2" spans="2:12" ht="24" x14ac:dyDescent="0.25">
      <c r="B2" s="98"/>
      <c r="C2" s="98"/>
      <c r="D2" s="98"/>
      <c r="E2" s="98" t="s">
        <v>288</v>
      </c>
      <c r="F2" s="98"/>
      <c r="G2" s="98"/>
    </row>
    <row r="4" spans="2:12" ht="18" customHeight="1" x14ac:dyDescent="0.15">
      <c r="B4" s="79" t="s">
        <v>289</v>
      </c>
      <c r="C4" s="79" t="str">
        <f>+IF(入力表!B6=0,"",入力表!B6)</f>
        <v>1･3号線各駅可動式ホーム柵設置に伴う建築工事設計業務委託</v>
      </c>
      <c r="D4" s="79"/>
      <c r="E4" s="79"/>
      <c r="F4" s="79"/>
    </row>
    <row r="5" spans="2:12" ht="18" customHeight="1" x14ac:dyDescent="0.15">
      <c r="B5" s="79" t="s">
        <v>291</v>
      </c>
      <c r="D5" s="90"/>
      <c r="E5" s="90"/>
      <c r="F5" s="90">
        <f>+IF(査定表!B5=0,"",査定表!B5)</f>
        <v>17841600</v>
      </c>
    </row>
    <row r="6" spans="2:12" ht="18" customHeight="1" x14ac:dyDescent="0.15">
      <c r="B6" s="79" t="s">
        <v>78</v>
      </c>
      <c r="D6" s="90"/>
      <c r="E6" s="90"/>
      <c r="F6" s="90">
        <f>+IF(査定表!F5=0,"",査定表!F5)</f>
        <v>1321600</v>
      </c>
    </row>
    <row r="7" spans="2:12" ht="18" customHeight="1" x14ac:dyDescent="0.15">
      <c r="B7" s="79"/>
      <c r="D7" s="90"/>
      <c r="E7" s="90"/>
      <c r="F7" s="90"/>
    </row>
    <row r="8" spans="2:12" x14ac:dyDescent="0.15">
      <c r="B8" s="78" t="s">
        <v>292</v>
      </c>
    </row>
    <row r="9" spans="2:12" ht="12" customHeight="1" x14ac:dyDescent="0.15">
      <c r="B9" s="92" t="s">
        <v>88</v>
      </c>
      <c r="C9" s="363" t="str">
        <f>B17</f>
        <v>（ア）1号線の部</v>
      </c>
      <c r="D9" s="364"/>
      <c r="E9" s="363" t="str">
        <f>B63</f>
        <v>（イ）3号線の部</v>
      </c>
      <c r="F9" s="364"/>
      <c r="G9" s="100" t="s">
        <v>20</v>
      </c>
      <c r="H9" s="132" t="str">
        <f>B155</f>
        <v/>
      </c>
      <c r="I9" s="99" t="str">
        <f>B196</f>
        <v/>
      </c>
      <c r="J9" s="100" t="s">
        <v>20</v>
      </c>
    </row>
    <row r="10" spans="2:12" x14ac:dyDescent="0.15">
      <c r="B10" s="95" t="s">
        <v>290</v>
      </c>
      <c r="C10" s="361">
        <f>F59</f>
        <v>15300000</v>
      </c>
      <c r="D10" s="362"/>
      <c r="E10" s="359">
        <f>F105</f>
        <v>1220000</v>
      </c>
      <c r="F10" s="360"/>
      <c r="G10" s="247">
        <f>SUM(C10:F10)</f>
        <v>16520000</v>
      </c>
      <c r="H10" s="133">
        <f>F192</f>
        <v>0</v>
      </c>
      <c r="I10" s="96">
        <f>F233</f>
        <v>0</v>
      </c>
      <c r="J10" s="96"/>
    </row>
    <row r="11" spans="2:12" x14ac:dyDescent="0.15">
      <c r="B11" s="95" t="s">
        <v>84</v>
      </c>
      <c r="C11" s="361">
        <f>F60</f>
        <v>1224000</v>
      </c>
      <c r="D11" s="362"/>
      <c r="E11" s="359">
        <f>F106</f>
        <v>97600</v>
      </c>
      <c r="F11" s="360"/>
      <c r="G11" s="247">
        <f>SUM(C11:F11)</f>
        <v>1321600</v>
      </c>
      <c r="H11" s="133">
        <f t="shared" ref="H11:H12" si="0">F193</f>
        <v>0</v>
      </c>
      <c r="I11" s="130">
        <f t="shared" ref="I11:I12" si="1">F234</f>
        <v>0</v>
      </c>
      <c r="J11" s="96"/>
    </row>
    <row r="12" spans="2:12" x14ac:dyDescent="0.15">
      <c r="B12" s="97" t="s">
        <v>293</v>
      </c>
      <c r="C12" s="361">
        <f>F61</f>
        <v>16524000</v>
      </c>
      <c r="D12" s="362"/>
      <c r="E12" s="359">
        <f>F107</f>
        <v>1317600</v>
      </c>
      <c r="F12" s="360"/>
      <c r="G12" s="247">
        <f>SUM(C12:F12)</f>
        <v>17841600</v>
      </c>
      <c r="H12" s="133">
        <f t="shared" si="0"/>
        <v>0</v>
      </c>
      <c r="I12" s="130">
        <f t="shared" si="1"/>
        <v>0</v>
      </c>
      <c r="J12" s="96"/>
    </row>
    <row r="13" spans="2:12" x14ac:dyDescent="0.15">
      <c r="H13" s="134"/>
    </row>
    <row r="14" spans="2:12" x14ac:dyDescent="0.15">
      <c r="B14" s="78" t="s">
        <v>16</v>
      </c>
    </row>
    <row r="15" spans="2:12" x14ac:dyDescent="0.15">
      <c r="B15" s="92" t="s">
        <v>83</v>
      </c>
      <c r="C15" s="93" t="s">
        <v>87</v>
      </c>
      <c r="D15" s="92" t="s">
        <v>81</v>
      </c>
      <c r="E15" s="92" t="s">
        <v>82</v>
      </c>
      <c r="F15" s="92" t="s">
        <v>79</v>
      </c>
      <c r="G15" s="92" t="s">
        <v>80</v>
      </c>
      <c r="J15" s="92" t="s">
        <v>80</v>
      </c>
      <c r="L15" s="114"/>
    </row>
    <row r="16" spans="2:12" x14ac:dyDescent="0.15">
      <c r="B16" s="80"/>
      <c r="C16" s="80"/>
      <c r="D16" s="81"/>
      <c r="E16" s="81"/>
      <c r="F16" s="82"/>
      <c r="G16" s="80"/>
      <c r="J16" s="80"/>
      <c r="L16" s="115"/>
    </row>
    <row r="17" spans="2:12" x14ac:dyDescent="0.15">
      <c r="B17" s="83" t="str">
        <f>+IF(査定表!A9=0,"",査定表!A9)</f>
        <v>（ア）1号線の部</v>
      </c>
      <c r="C17" s="83" t="str">
        <f t="shared" ref="C17" si="2">IF(D17="","","図面・仕様書どおり")</f>
        <v>図面・仕様書どおり</v>
      </c>
      <c r="D17" s="84" t="str">
        <f t="shared" ref="D17" si="3">IF(E17="","","1")</f>
        <v>1</v>
      </c>
      <c r="E17" s="84" t="str">
        <f t="shared" ref="E17" si="4">IF(F17="","","式")</f>
        <v>式</v>
      </c>
      <c r="F17" s="85">
        <f>IF(査定表!E9=0,"",査定表!E9)</f>
        <v>15300000</v>
      </c>
      <c r="G17" s="83" t="str">
        <f t="shared" ref="G17:G58" si="5">IF(C17="","","諸経費共")</f>
        <v>諸経費共</v>
      </c>
      <c r="J17" s="83" t="str">
        <f t="shared" ref="J17:J58" si="6">IF(F17="","","諸経費共")</f>
        <v>諸経費共</v>
      </c>
      <c r="L17" s="115"/>
    </row>
    <row r="18" spans="2:12" hidden="1" x14ac:dyDescent="0.15">
      <c r="B18" s="83" t="str">
        <f>+IF(査定表!A10=0,"",査定表!A10)</f>
        <v/>
      </c>
      <c r="C18" s="83" t="str">
        <f t="shared" ref="C18:C58" si="7">IF(D18="","","図面・仕様書どおり")</f>
        <v/>
      </c>
      <c r="D18" s="84" t="str">
        <f t="shared" ref="D18:D58" si="8">IF(E18="","","1")</f>
        <v/>
      </c>
      <c r="E18" s="84" t="str">
        <f t="shared" ref="E18:E58" si="9">IF(F18="","","式")</f>
        <v/>
      </c>
      <c r="F18" s="85" t="str">
        <f>IF(査定表!E10=0,"",査定表!E10)</f>
        <v/>
      </c>
      <c r="G18" s="83" t="str">
        <f t="shared" si="5"/>
        <v/>
      </c>
      <c r="J18" s="83" t="str">
        <f t="shared" si="6"/>
        <v/>
      </c>
      <c r="L18" s="115"/>
    </row>
    <row r="19" spans="2:12" hidden="1" x14ac:dyDescent="0.15">
      <c r="B19" s="248" t="str">
        <f>+IF(査定表!A11=0,"",査定表!A11)</f>
        <v>江坂駅</v>
      </c>
      <c r="C19" s="83" t="str">
        <f t="shared" si="7"/>
        <v>図面・仕様書どおり</v>
      </c>
      <c r="D19" s="84" t="str">
        <f t="shared" si="8"/>
        <v>1</v>
      </c>
      <c r="E19" s="84" t="str">
        <f t="shared" si="9"/>
        <v>式</v>
      </c>
      <c r="F19" s="85">
        <f>IF(査定表!E11=0,"",査定表!E11)</f>
        <v>740000</v>
      </c>
      <c r="G19" s="83" t="str">
        <f t="shared" si="5"/>
        <v>諸経費共</v>
      </c>
      <c r="J19" s="83" t="str">
        <f t="shared" si="6"/>
        <v>諸経費共</v>
      </c>
      <c r="L19" s="115"/>
    </row>
    <row r="20" spans="2:12" hidden="1" x14ac:dyDescent="0.15">
      <c r="B20" s="83" t="str">
        <f>+IF(査定表!A12=0,"",査定表!A12)</f>
        <v>東三国駅</v>
      </c>
      <c r="C20" s="83" t="str">
        <f t="shared" si="7"/>
        <v>図面・仕様書どおり</v>
      </c>
      <c r="D20" s="84" t="str">
        <f t="shared" si="8"/>
        <v>1</v>
      </c>
      <c r="E20" s="84" t="str">
        <f t="shared" si="9"/>
        <v>式</v>
      </c>
      <c r="F20" s="85">
        <f>IF(査定表!E12=0,"",査定表!E12)</f>
        <v>760000</v>
      </c>
      <c r="G20" s="83" t="str">
        <f t="shared" si="5"/>
        <v>諸経費共</v>
      </c>
      <c r="J20" s="83" t="str">
        <f t="shared" si="6"/>
        <v>諸経費共</v>
      </c>
      <c r="L20" s="115"/>
    </row>
    <row r="21" spans="2:12" hidden="1" x14ac:dyDescent="0.15">
      <c r="B21" s="83" t="str">
        <f>+IF(査定表!A13=0,"",査定表!A13)</f>
        <v>新大阪駅</v>
      </c>
      <c r="C21" s="83" t="str">
        <f t="shared" si="7"/>
        <v>図面・仕様書どおり</v>
      </c>
      <c r="D21" s="84" t="str">
        <f t="shared" si="8"/>
        <v>1</v>
      </c>
      <c r="E21" s="84" t="str">
        <f t="shared" si="9"/>
        <v>式</v>
      </c>
      <c r="F21" s="85">
        <f>IF(査定表!E13=0,"",査定表!E13)</f>
        <v>1030000</v>
      </c>
      <c r="G21" s="83" t="str">
        <f t="shared" si="5"/>
        <v>諸経費共</v>
      </c>
      <c r="J21" s="83" t="str">
        <f t="shared" si="6"/>
        <v>諸経費共</v>
      </c>
      <c r="L21" s="115"/>
    </row>
    <row r="22" spans="2:12" hidden="1" x14ac:dyDescent="0.15">
      <c r="B22" s="83" t="str">
        <f>+IF(査定表!A14=0,"",査定表!A14)</f>
        <v>西中島南方駅</v>
      </c>
      <c r="C22" s="83" t="str">
        <f t="shared" si="7"/>
        <v>図面・仕様書どおり</v>
      </c>
      <c r="D22" s="84" t="str">
        <f t="shared" si="8"/>
        <v>1</v>
      </c>
      <c r="E22" s="84" t="str">
        <f t="shared" si="9"/>
        <v>式</v>
      </c>
      <c r="F22" s="85">
        <f>IF(査定表!E14=0,"",査定表!E14)</f>
        <v>800000</v>
      </c>
      <c r="G22" s="83" t="str">
        <f t="shared" si="5"/>
        <v>諸経費共</v>
      </c>
      <c r="J22" s="83" t="str">
        <f t="shared" si="6"/>
        <v>諸経費共</v>
      </c>
      <c r="L22" s="115"/>
    </row>
    <row r="23" spans="2:12" hidden="1" x14ac:dyDescent="0.15">
      <c r="B23" s="83" t="str">
        <f>+IF(査定表!A15=0,"",査定表!A15)</f>
        <v>中津駅</v>
      </c>
      <c r="C23" s="83" t="str">
        <f t="shared" si="7"/>
        <v>図面・仕様書どおり</v>
      </c>
      <c r="D23" s="84" t="str">
        <f t="shared" si="8"/>
        <v>1</v>
      </c>
      <c r="E23" s="84" t="str">
        <f t="shared" si="9"/>
        <v>式</v>
      </c>
      <c r="F23" s="85">
        <f>IF(査定表!E15=0,"",査定表!E15)</f>
        <v>740000</v>
      </c>
      <c r="G23" s="83" t="str">
        <f t="shared" si="5"/>
        <v>諸経費共</v>
      </c>
      <c r="J23" s="83" t="str">
        <f t="shared" si="6"/>
        <v>諸経費共</v>
      </c>
      <c r="L23" s="115"/>
    </row>
    <row r="24" spans="2:12" hidden="1" x14ac:dyDescent="0.15">
      <c r="B24" s="83" t="str">
        <f>+IF(査定表!A16=0,"",査定表!A16)</f>
        <v>梅田駅</v>
      </c>
      <c r="C24" s="83" t="str">
        <f t="shared" si="7"/>
        <v>図面・仕様書どおり</v>
      </c>
      <c r="D24" s="84" t="str">
        <f t="shared" si="8"/>
        <v>1</v>
      </c>
      <c r="E24" s="84" t="str">
        <f t="shared" si="9"/>
        <v>式</v>
      </c>
      <c r="F24" s="85">
        <f>IF(査定表!E16=0,"",査定表!E16)</f>
        <v>1430000</v>
      </c>
      <c r="G24" s="83" t="str">
        <f t="shared" si="5"/>
        <v>諸経費共</v>
      </c>
      <c r="J24" s="83" t="str">
        <f t="shared" si="6"/>
        <v>諸経費共</v>
      </c>
      <c r="L24" s="115"/>
    </row>
    <row r="25" spans="2:12" hidden="1" x14ac:dyDescent="0.15">
      <c r="B25" s="83" t="str">
        <f>+IF(査定表!A17=0,"",査定表!A17)</f>
        <v>淀屋橋駅</v>
      </c>
      <c r="C25" s="83" t="str">
        <f t="shared" si="7"/>
        <v>図面・仕様書どおり</v>
      </c>
      <c r="D25" s="84" t="str">
        <f t="shared" si="8"/>
        <v>1</v>
      </c>
      <c r="E25" s="84" t="str">
        <f t="shared" si="9"/>
        <v>式</v>
      </c>
      <c r="F25" s="85">
        <f>IF(査定表!E17=0,"",査定表!E17)</f>
        <v>740000</v>
      </c>
      <c r="G25" s="83" t="str">
        <f t="shared" si="5"/>
        <v>諸経費共</v>
      </c>
      <c r="J25" s="83" t="str">
        <f t="shared" si="6"/>
        <v>諸経費共</v>
      </c>
      <c r="L25" s="115"/>
    </row>
    <row r="26" spans="2:12" hidden="1" x14ac:dyDescent="0.15">
      <c r="B26" s="83" t="str">
        <f>+IF(査定表!A18=0,"",査定表!A18)</f>
        <v>R1本町駅</v>
      </c>
      <c r="C26" s="83" t="str">
        <f t="shared" si="7"/>
        <v>図面・仕様書どおり</v>
      </c>
      <c r="D26" s="84" t="str">
        <f t="shared" si="8"/>
        <v>1</v>
      </c>
      <c r="E26" s="84" t="str">
        <f t="shared" si="9"/>
        <v>式</v>
      </c>
      <c r="F26" s="85">
        <f>IF(査定表!E18=0,"",査定表!E18)</f>
        <v>720000</v>
      </c>
      <c r="G26" s="83" t="str">
        <f t="shared" si="5"/>
        <v>諸経費共</v>
      </c>
      <c r="J26" s="83" t="str">
        <f t="shared" si="6"/>
        <v>諸経費共</v>
      </c>
      <c r="L26" s="115"/>
    </row>
    <row r="27" spans="2:12" hidden="1" x14ac:dyDescent="0.15">
      <c r="B27" s="83" t="str">
        <f>+IF(査定表!A19=0,"",査定表!A19)</f>
        <v>R1なんば駅</v>
      </c>
      <c r="C27" s="83" t="str">
        <f t="shared" si="7"/>
        <v>図面・仕様書どおり</v>
      </c>
      <c r="D27" s="84" t="str">
        <f t="shared" si="8"/>
        <v>1</v>
      </c>
      <c r="E27" s="84" t="str">
        <f t="shared" si="9"/>
        <v>式</v>
      </c>
      <c r="F27" s="85">
        <f>IF(査定表!E19=0,"",査定表!E19)</f>
        <v>1180000</v>
      </c>
      <c r="G27" s="83" t="str">
        <f t="shared" si="5"/>
        <v>諸経費共</v>
      </c>
      <c r="J27" s="83" t="str">
        <f t="shared" si="6"/>
        <v>諸経費共</v>
      </c>
      <c r="L27" s="115"/>
    </row>
    <row r="28" spans="2:12" hidden="1" x14ac:dyDescent="0.15">
      <c r="B28" s="83" t="str">
        <f>+IF(査定表!A20=0,"",査定表!A20)</f>
        <v>R1大国町駅</v>
      </c>
      <c r="C28" s="83" t="str">
        <f t="shared" si="7"/>
        <v>図面・仕様書どおり</v>
      </c>
      <c r="D28" s="84" t="str">
        <f t="shared" si="8"/>
        <v>1</v>
      </c>
      <c r="E28" s="84" t="str">
        <f t="shared" si="9"/>
        <v>式</v>
      </c>
      <c r="F28" s="85">
        <f>IF(査定表!E20=0,"",査定表!E20)</f>
        <v>460000</v>
      </c>
      <c r="G28" s="83" t="str">
        <f t="shared" si="5"/>
        <v>諸経費共</v>
      </c>
      <c r="J28" s="83" t="str">
        <f t="shared" si="6"/>
        <v>諸経費共</v>
      </c>
      <c r="L28" s="115"/>
    </row>
    <row r="29" spans="2:12" hidden="1" x14ac:dyDescent="0.15">
      <c r="B29" s="83" t="str">
        <f>+IF(査定表!A21=0,"",査定表!A21)</f>
        <v>動物園前駅</v>
      </c>
      <c r="C29" s="83" t="str">
        <f t="shared" si="7"/>
        <v>図面・仕様書どおり</v>
      </c>
      <c r="D29" s="84" t="str">
        <f t="shared" si="8"/>
        <v>1</v>
      </c>
      <c r="E29" s="84" t="str">
        <f t="shared" si="9"/>
        <v>式</v>
      </c>
      <c r="F29" s="85">
        <f>IF(査定表!E21=0,"",査定表!E21)</f>
        <v>810000</v>
      </c>
      <c r="G29" s="83" t="str">
        <f t="shared" si="5"/>
        <v>諸経費共</v>
      </c>
      <c r="J29" s="83" t="str">
        <f t="shared" si="6"/>
        <v>諸経費共</v>
      </c>
      <c r="L29" s="115"/>
    </row>
    <row r="30" spans="2:12" hidden="1" x14ac:dyDescent="0.15">
      <c r="B30" s="83" t="str">
        <f>+IF(査定表!A22=0,"",査定表!A22)</f>
        <v>昭和町駅</v>
      </c>
      <c r="C30" s="83" t="str">
        <f t="shared" si="7"/>
        <v>図面・仕様書どおり</v>
      </c>
      <c r="D30" s="84" t="str">
        <f t="shared" si="8"/>
        <v>1</v>
      </c>
      <c r="E30" s="84" t="str">
        <f t="shared" si="9"/>
        <v>式</v>
      </c>
      <c r="F30" s="85">
        <f>IF(査定表!E22=0,"",査定表!E22)</f>
        <v>760000</v>
      </c>
      <c r="G30" s="83" t="str">
        <f t="shared" si="5"/>
        <v>諸経費共</v>
      </c>
      <c r="J30" s="83" t="str">
        <f t="shared" si="6"/>
        <v>諸経費共</v>
      </c>
      <c r="L30" s="115"/>
    </row>
    <row r="31" spans="2:12" hidden="1" x14ac:dyDescent="0.15">
      <c r="B31" s="83" t="str">
        <f>+IF(査定表!A23=0,"",査定表!A23)</f>
        <v>西田辺駅</v>
      </c>
      <c r="C31" s="83" t="str">
        <f t="shared" si="7"/>
        <v>図面・仕様書どおり</v>
      </c>
      <c r="D31" s="84" t="str">
        <f t="shared" si="8"/>
        <v>1</v>
      </c>
      <c r="E31" s="84" t="str">
        <f t="shared" si="9"/>
        <v>式</v>
      </c>
      <c r="F31" s="85">
        <f>IF(査定表!E23=0,"",査定表!E23)</f>
        <v>730000</v>
      </c>
      <c r="G31" s="83" t="str">
        <f t="shared" si="5"/>
        <v>諸経費共</v>
      </c>
      <c r="J31" s="83" t="str">
        <f t="shared" si="6"/>
        <v>諸経費共</v>
      </c>
      <c r="L31" s="115"/>
    </row>
    <row r="32" spans="2:12" hidden="1" x14ac:dyDescent="0.15">
      <c r="B32" s="83" t="str">
        <f>+IF(査定表!A24=0,"",査定表!A24)</f>
        <v>長居駅</v>
      </c>
      <c r="C32" s="83" t="str">
        <f t="shared" si="7"/>
        <v>図面・仕様書どおり</v>
      </c>
      <c r="D32" s="84" t="str">
        <f t="shared" si="8"/>
        <v>1</v>
      </c>
      <c r="E32" s="84" t="str">
        <f t="shared" si="9"/>
        <v>式</v>
      </c>
      <c r="F32" s="85">
        <f>IF(査定表!E24=0,"",査定表!E24)</f>
        <v>1080000</v>
      </c>
      <c r="G32" s="83" t="str">
        <f t="shared" si="5"/>
        <v>諸経費共</v>
      </c>
      <c r="J32" s="83" t="str">
        <f t="shared" si="6"/>
        <v>諸経費共</v>
      </c>
      <c r="L32" s="115"/>
    </row>
    <row r="33" spans="2:12" hidden="1" x14ac:dyDescent="0.15">
      <c r="B33" s="83" t="str">
        <f>+IF(査定表!A25=0,"",査定表!A25)</f>
        <v>あびこ駅</v>
      </c>
      <c r="C33" s="83" t="str">
        <f t="shared" si="7"/>
        <v>図面・仕様書どおり</v>
      </c>
      <c r="D33" s="84" t="str">
        <f t="shared" si="8"/>
        <v>1</v>
      </c>
      <c r="E33" s="84" t="str">
        <f t="shared" si="9"/>
        <v>式</v>
      </c>
      <c r="F33" s="85">
        <f>IF(査定表!E25=0,"",査定表!E25)</f>
        <v>980000</v>
      </c>
      <c r="G33" s="83" t="str">
        <f t="shared" si="5"/>
        <v>諸経費共</v>
      </c>
      <c r="J33" s="83" t="str">
        <f t="shared" si="6"/>
        <v>諸経費共</v>
      </c>
      <c r="L33" s="115"/>
    </row>
    <row r="34" spans="2:12" hidden="1" x14ac:dyDescent="0.15">
      <c r="B34" s="83" t="str">
        <f>+IF(査定表!A26=0,"",査定表!A26)</f>
        <v>北花田駅</v>
      </c>
      <c r="C34" s="83" t="str">
        <f t="shared" si="7"/>
        <v>図面・仕様書どおり</v>
      </c>
      <c r="D34" s="84" t="str">
        <f t="shared" si="8"/>
        <v>1</v>
      </c>
      <c r="E34" s="84" t="str">
        <f t="shared" si="9"/>
        <v>式</v>
      </c>
      <c r="F34" s="85">
        <f>IF(査定表!E26=0,"",査定表!E26)</f>
        <v>770000</v>
      </c>
      <c r="G34" s="83" t="str">
        <f t="shared" si="5"/>
        <v>諸経費共</v>
      </c>
      <c r="J34" s="83" t="str">
        <f t="shared" si="6"/>
        <v>諸経費共</v>
      </c>
      <c r="L34" s="115"/>
    </row>
    <row r="35" spans="2:12" hidden="1" x14ac:dyDescent="0.15">
      <c r="B35" s="83" t="str">
        <f>+IF(査定表!A27=0,"",査定表!A27)</f>
        <v>新金岡駅</v>
      </c>
      <c r="C35" s="83" t="str">
        <f t="shared" si="7"/>
        <v>図面・仕様書どおり</v>
      </c>
      <c r="D35" s="84" t="str">
        <f t="shared" si="8"/>
        <v>1</v>
      </c>
      <c r="E35" s="84" t="str">
        <f t="shared" si="9"/>
        <v>式</v>
      </c>
      <c r="F35" s="85">
        <f>IF(査定表!E27=0,"",査定表!E27)</f>
        <v>790000</v>
      </c>
      <c r="G35" s="83" t="str">
        <f t="shared" si="5"/>
        <v>諸経費共</v>
      </c>
      <c r="J35" s="83" t="str">
        <f t="shared" si="6"/>
        <v>諸経費共</v>
      </c>
      <c r="L35" s="115"/>
    </row>
    <row r="36" spans="2:12" hidden="1" x14ac:dyDescent="0.15">
      <c r="B36" s="83" t="str">
        <f>+IF(査定表!A28=0,"",査定表!A28)</f>
        <v>なかもず駅</v>
      </c>
      <c r="C36" s="83" t="str">
        <f t="shared" si="7"/>
        <v>図面・仕様書どおり</v>
      </c>
      <c r="D36" s="84" t="str">
        <f t="shared" si="8"/>
        <v>1</v>
      </c>
      <c r="E36" s="84" t="str">
        <f t="shared" si="9"/>
        <v>式</v>
      </c>
      <c r="F36" s="85">
        <f>IF(査定表!E28=0,"",査定表!E28)</f>
        <v>780000</v>
      </c>
      <c r="G36" s="83" t="str">
        <f t="shared" si="5"/>
        <v>諸経費共</v>
      </c>
      <c r="J36" s="83" t="str">
        <f t="shared" si="6"/>
        <v>諸経費共</v>
      </c>
      <c r="L36" s="115"/>
    </row>
    <row r="37" spans="2:12" hidden="1" x14ac:dyDescent="0.15">
      <c r="B37" s="83" t="str">
        <f>+IF(査定表!A29=0,"",査定表!A29)</f>
        <v/>
      </c>
      <c r="C37" s="83" t="str">
        <f t="shared" si="7"/>
        <v/>
      </c>
      <c r="D37" s="84" t="str">
        <f t="shared" si="8"/>
        <v/>
      </c>
      <c r="E37" s="84" t="str">
        <f t="shared" si="9"/>
        <v/>
      </c>
      <c r="F37" s="85" t="str">
        <f>IF(査定表!E29=0,"",査定表!E29)</f>
        <v/>
      </c>
      <c r="G37" s="83" t="str">
        <f t="shared" si="5"/>
        <v/>
      </c>
      <c r="J37" s="83" t="str">
        <f t="shared" si="6"/>
        <v/>
      </c>
      <c r="L37" s="115"/>
    </row>
    <row r="38" spans="2:12" hidden="1" x14ac:dyDescent="0.15">
      <c r="B38" s="83" t="str">
        <f>+IF(査定表!A30=0,"",査定表!A30)</f>
        <v/>
      </c>
      <c r="C38" s="83" t="str">
        <f t="shared" si="7"/>
        <v/>
      </c>
      <c r="D38" s="84" t="str">
        <f t="shared" si="8"/>
        <v/>
      </c>
      <c r="E38" s="84" t="str">
        <f t="shared" si="9"/>
        <v/>
      </c>
      <c r="F38" s="85" t="str">
        <f>IF(査定表!E30=0,"",査定表!E30)</f>
        <v/>
      </c>
      <c r="G38" s="83" t="str">
        <f t="shared" si="5"/>
        <v/>
      </c>
      <c r="J38" s="83" t="str">
        <f t="shared" si="6"/>
        <v/>
      </c>
      <c r="L38" s="115"/>
    </row>
    <row r="39" spans="2:12" hidden="1" x14ac:dyDescent="0.15">
      <c r="B39" s="83" t="str">
        <f>+IF(査定表!A31=0,"",査定表!A31)</f>
        <v/>
      </c>
      <c r="C39" s="83" t="str">
        <f t="shared" si="7"/>
        <v/>
      </c>
      <c r="D39" s="84" t="str">
        <f t="shared" si="8"/>
        <v/>
      </c>
      <c r="E39" s="84" t="str">
        <f t="shared" si="9"/>
        <v/>
      </c>
      <c r="F39" s="85" t="str">
        <f>IF(査定表!E31=0,"",査定表!E31)</f>
        <v/>
      </c>
      <c r="G39" s="83" t="str">
        <f t="shared" si="5"/>
        <v/>
      </c>
      <c r="J39" s="83" t="str">
        <f t="shared" si="6"/>
        <v/>
      </c>
      <c r="L39" s="115"/>
    </row>
    <row r="40" spans="2:12" hidden="1" x14ac:dyDescent="0.15">
      <c r="B40" s="83" t="str">
        <f>+IF(査定表!A32=0,"",査定表!A32)</f>
        <v/>
      </c>
      <c r="C40" s="83" t="str">
        <f t="shared" si="7"/>
        <v/>
      </c>
      <c r="D40" s="84" t="str">
        <f t="shared" si="8"/>
        <v/>
      </c>
      <c r="E40" s="84" t="str">
        <f t="shared" si="9"/>
        <v/>
      </c>
      <c r="F40" s="85" t="str">
        <f>IF(査定表!E32=0,"",査定表!E32)</f>
        <v/>
      </c>
      <c r="G40" s="83" t="str">
        <f t="shared" si="5"/>
        <v/>
      </c>
      <c r="J40" s="83" t="str">
        <f t="shared" si="6"/>
        <v/>
      </c>
      <c r="L40" s="115"/>
    </row>
    <row r="41" spans="2:12" hidden="1" x14ac:dyDescent="0.15">
      <c r="B41" s="83" t="str">
        <f>+IF(査定表!A33=0,"",査定表!A33)</f>
        <v/>
      </c>
      <c r="C41" s="83" t="str">
        <f t="shared" si="7"/>
        <v/>
      </c>
      <c r="D41" s="84" t="str">
        <f t="shared" si="8"/>
        <v/>
      </c>
      <c r="E41" s="84" t="str">
        <f t="shared" si="9"/>
        <v/>
      </c>
      <c r="F41" s="85" t="str">
        <f>IF(査定表!E33=0,"",査定表!E33)</f>
        <v/>
      </c>
      <c r="G41" s="83" t="str">
        <f t="shared" si="5"/>
        <v/>
      </c>
      <c r="J41" s="83" t="str">
        <f t="shared" si="6"/>
        <v/>
      </c>
      <c r="L41" s="115"/>
    </row>
    <row r="42" spans="2:12" hidden="1" x14ac:dyDescent="0.15">
      <c r="B42" s="83" t="str">
        <f>+IF(査定表!A34=0,"",査定表!A34)</f>
        <v/>
      </c>
      <c r="C42" s="83" t="str">
        <f t="shared" si="7"/>
        <v/>
      </c>
      <c r="D42" s="84" t="str">
        <f t="shared" si="8"/>
        <v/>
      </c>
      <c r="E42" s="84" t="str">
        <f t="shared" si="9"/>
        <v/>
      </c>
      <c r="F42" s="85" t="str">
        <f>IF(査定表!E34=0,"",査定表!E34)</f>
        <v/>
      </c>
      <c r="G42" s="83" t="str">
        <f t="shared" si="5"/>
        <v/>
      </c>
      <c r="J42" s="83" t="str">
        <f t="shared" si="6"/>
        <v/>
      </c>
      <c r="L42" s="115"/>
    </row>
    <row r="43" spans="2:12" hidden="1" x14ac:dyDescent="0.15">
      <c r="B43" s="83" t="str">
        <f>+IF(査定表!A35=0,"",査定表!A35)</f>
        <v/>
      </c>
      <c r="C43" s="83" t="str">
        <f t="shared" si="7"/>
        <v/>
      </c>
      <c r="D43" s="84" t="str">
        <f t="shared" si="8"/>
        <v/>
      </c>
      <c r="E43" s="84" t="str">
        <f t="shared" si="9"/>
        <v/>
      </c>
      <c r="F43" s="85" t="str">
        <f>IF(査定表!E35=0,"",査定表!E35)</f>
        <v/>
      </c>
      <c r="G43" s="83" t="str">
        <f t="shared" si="5"/>
        <v/>
      </c>
      <c r="J43" s="83" t="str">
        <f t="shared" si="6"/>
        <v/>
      </c>
      <c r="L43" s="115"/>
    </row>
    <row r="44" spans="2:12" hidden="1" x14ac:dyDescent="0.15">
      <c r="B44" s="83" t="str">
        <f>+IF(査定表!A36=0,"",査定表!A36)</f>
        <v/>
      </c>
      <c r="C44" s="83" t="str">
        <f t="shared" si="7"/>
        <v/>
      </c>
      <c r="D44" s="84" t="str">
        <f t="shared" si="8"/>
        <v/>
      </c>
      <c r="E44" s="84" t="str">
        <f t="shared" si="9"/>
        <v/>
      </c>
      <c r="F44" s="85" t="str">
        <f>IF(査定表!E36=0,"",査定表!E36)</f>
        <v/>
      </c>
      <c r="G44" s="83" t="str">
        <f t="shared" si="5"/>
        <v/>
      </c>
      <c r="J44" s="83" t="str">
        <f t="shared" si="6"/>
        <v/>
      </c>
      <c r="L44" s="115"/>
    </row>
    <row r="45" spans="2:12" hidden="1" x14ac:dyDescent="0.15">
      <c r="B45" s="83" t="str">
        <f>+IF(査定表!A37=0,"",査定表!A37)</f>
        <v/>
      </c>
      <c r="C45" s="83" t="str">
        <f t="shared" si="7"/>
        <v/>
      </c>
      <c r="D45" s="84" t="str">
        <f t="shared" si="8"/>
        <v/>
      </c>
      <c r="E45" s="84" t="str">
        <f t="shared" si="9"/>
        <v/>
      </c>
      <c r="F45" s="85" t="str">
        <f>IF(査定表!E37=0,"",査定表!E37)</f>
        <v/>
      </c>
      <c r="G45" s="83" t="str">
        <f t="shared" si="5"/>
        <v/>
      </c>
      <c r="J45" s="83" t="str">
        <f t="shared" si="6"/>
        <v/>
      </c>
      <c r="L45" s="115"/>
    </row>
    <row r="46" spans="2:12" hidden="1" x14ac:dyDescent="0.15">
      <c r="B46" s="83" t="str">
        <f>+IF(査定表!A38=0,"",査定表!A38)</f>
        <v/>
      </c>
      <c r="C46" s="83" t="str">
        <f t="shared" si="7"/>
        <v/>
      </c>
      <c r="D46" s="84" t="str">
        <f t="shared" si="8"/>
        <v/>
      </c>
      <c r="E46" s="84" t="str">
        <f t="shared" si="9"/>
        <v/>
      </c>
      <c r="F46" s="85" t="str">
        <f>IF(査定表!E38=0,"",査定表!E38)</f>
        <v/>
      </c>
      <c r="G46" s="83" t="str">
        <f t="shared" si="5"/>
        <v/>
      </c>
      <c r="J46" s="83" t="str">
        <f t="shared" si="6"/>
        <v/>
      </c>
      <c r="L46" s="115"/>
    </row>
    <row r="47" spans="2:12" hidden="1" x14ac:dyDescent="0.15">
      <c r="B47" s="83" t="str">
        <f>+IF(査定表!A39=0,"",査定表!A39)</f>
        <v/>
      </c>
      <c r="C47" s="83" t="str">
        <f t="shared" si="7"/>
        <v/>
      </c>
      <c r="D47" s="84" t="str">
        <f t="shared" si="8"/>
        <v/>
      </c>
      <c r="E47" s="84" t="str">
        <f t="shared" si="9"/>
        <v/>
      </c>
      <c r="F47" s="85" t="str">
        <f>IF(査定表!E39=0,"",査定表!E39)</f>
        <v/>
      </c>
      <c r="G47" s="83" t="str">
        <f t="shared" si="5"/>
        <v/>
      </c>
      <c r="J47" s="83" t="str">
        <f t="shared" si="6"/>
        <v/>
      </c>
      <c r="L47" s="115"/>
    </row>
    <row r="48" spans="2:12" hidden="1" x14ac:dyDescent="0.15">
      <c r="B48" s="83" t="str">
        <f>+IF(査定表!A40=0,"",査定表!A40)</f>
        <v/>
      </c>
      <c r="C48" s="83" t="str">
        <f t="shared" si="7"/>
        <v/>
      </c>
      <c r="D48" s="84" t="str">
        <f t="shared" si="8"/>
        <v/>
      </c>
      <c r="E48" s="84" t="str">
        <f t="shared" si="9"/>
        <v/>
      </c>
      <c r="F48" s="85" t="str">
        <f>IF(査定表!E40=0,"",査定表!E40)</f>
        <v/>
      </c>
      <c r="G48" s="83" t="str">
        <f t="shared" si="5"/>
        <v/>
      </c>
      <c r="J48" s="83" t="str">
        <f t="shared" si="6"/>
        <v/>
      </c>
      <c r="L48" s="115"/>
    </row>
    <row r="49" spans="2:12" hidden="1" x14ac:dyDescent="0.15">
      <c r="B49" s="83" t="str">
        <f>+IF(査定表!A41=0,"",査定表!A41)</f>
        <v/>
      </c>
      <c r="C49" s="83" t="str">
        <f t="shared" si="7"/>
        <v/>
      </c>
      <c r="D49" s="84" t="str">
        <f t="shared" si="8"/>
        <v/>
      </c>
      <c r="E49" s="84" t="str">
        <f t="shared" si="9"/>
        <v/>
      </c>
      <c r="F49" s="85" t="str">
        <f>IF(査定表!E41=0,"",査定表!E41)</f>
        <v/>
      </c>
      <c r="G49" s="83" t="str">
        <f t="shared" si="5"/>
        <v/>
      </c>
      <c r="J49" s="83" t="str">
        <f t="shared" si="6"/>
        <v/>
      </c>
      <c r="L49" s="115"/>
    </row>
    <row r="50" spans="2:12" hidden="1" x14ac:dyDescent="0.15">
      <c r="B50" s="83" t="str">
        <f>+IF(査定表!A42=0,"",査定表!A42)</f>
        <v/>
      </c>
      <c r="C50" s="83" t="str">
        <f t="shared" si="7"/>
        <v/>
      </c>
      <c r="D50" s="84" t="str">
        <f t="shared" si="8"/>
        <v/>
      </c>
      <c r="E50" s="84" t="str">
        <f t="shared" si="9"/>
        <v/>
      </c>
      <c r="F50" s="85" t="str">
        <f>IF(査定表!E42=0,"",査定表!E42)</f>
        <v/>
      </c>
      <c r="G50" s="83" t="str">
        <f t="shared" si="5"/>
        <v/>
      </c>
      <c r="J50" s="83" t="str">
        <f t="shared" si="6"/>
        <v/>
      </c>
      <c r="L50" s="115"/>
    </row>
    <row r="51" spans="2:12" hidden="1" x14ac:dyDescent="0.15">
      <c r="B51" s="83" t="str">
        <f>+IF(査定表!A43=0,"",査定表!A43)</f>
        <v/>
      </c>
      <c r="C51" s="83" t="str">
        <f t="shared" si="7"/>
        <v/>
      </c>
      <c r="D51" s="84" t="str">
        <f t="shared" si="8"/>
        <v/>
      </c>
      <c r="E51" s="84" t="str">
        <f t="shared" si="9"/>
        <v/>
      </c>
      <c r="F51" s="85" t="str">
        <f>IF(査定表!E43=0,"",査定表!E43)</f>
        <v/>
      </c>
      <c r="G51" s="83" t="str">
        <f t="shared" si="5"/>
        <v/>
      </c>
      <c r="J51" s="83" t="str">
        <f t="shared" si="6"/>
        <v/>
      </c>
      <c r="L51" s="115"/>
    </row>
    <row r="52" spans="2:12" hidden="1" x14ac:dyDescent="0.15">
      <c r="B52" s="83" t="str">
        <f>+IF(査定表!A44=0,"",査定表!A44)</f>
        <v/>
      </c>
      <c r="C52" s="83" t="str">
        <f t="shared" si="7"/>
        <v/>
      </c>
      <c r="D52" s="84" t="str">
        <f t="shared" si="8"/>
        <v/>
      </c>
      <c r="E52" s="84" t="str">
        <f t="shared" si="9"/>
        <v/>
      </c>
      <c r="F52" s="85" t="str">
        <f>IF(査定表!E44=0,"",査定表!E44)</f>
        <v/>
      </c>
      <c r="G52" s="83" t="str">
        <f t="shared" si="5"/>
        <v/>
      </c>
      <c r="J52" s="83" t="str">
        <f t="shared" si="6"/>
        <v/>
      </c>
      <c r="L52" s="115"/>
    </row>
    <row r="53" spans="2:12" hidden="1" x14ac:dyDescent="0.15">
      <c r="B53" s="83" t="str">
        <f>+IF(査定表!A45=0,"",査定表!A45)</f>
        <v/>
      </c>
      <c r="C53" s="83" t="str">
        <f t="shared" si="7"/>
        <v/>
      </c>
      <c r="D53" s="84" t="str">
        <f t="shared" si="8"/>
        <v/>
      </c>
      <c r="E53" s="84" t="str">
        <f t="shared" si="9"/>
        <v/>
      </c>
      <c r="F53" s="85" t="str">
        <f>IF(査定表!E45=0,"",査定表!E45)</f>
        <v/>
      </c>
      <c r="G53" s="83" t="str">
        <f t="shared" si="5"/>
        <v/>
      </c>
      <c r="J53" s="83" t="str">
        <f t="shared" si="6"/>
        <v/>
      </c>
      <c r="L53" s="115"/>
    </row>
    <row r="54" spans="2:12" hidden="1" x14ac:dyDescent="0.15">
      <c r="B54" s="83" t="str">
        <f>+IF(査定表!A46=0,"",査定表!A46)</f>
        <v/>
      </c>
      <c r="C54" s="83" t="str">
        <f t="shared" si="7"/>
        <v/>
      </c>
      <c r="D54" s="84" t="str">
        <f t="shared" si="8"/>
        <v/>
      </c>
      <c r="E54" s="84" t="str">
        <f t="shared" si="9"/>
        <v/>
      </c>
      <c r="F54" s="85" t="str">
        <f>IF(査定表!E46=0,"",査定表!E46)</f>
        <v/>
      </c>
      <c r="G54" s="83" t="str">
        <f t="shared" si="5"/>
        <v/>
      </c>
      <c r="J54" s="83" t="str">
        <f t="shared" si="6"/>
        <v/>
      </c>
      <c r="L54" s="115"/>
    </row>
    <row r="55" spans="2:12" hidden="1" x14ac:dyDescent="0.15">
      <c r="B55" s="83" t="str">
        <f>+IF(査定表!A47=0,"",査定表!A47)</f>
        <v/>
      </c>
      <c r="C55" s="83" t="str">
        <f t="shared" si="7"/>
        <v/>
      </c>
      <c r="D55" s="84" t="str">
        <f t="shared" si="8"/>
        <v/>
      </c>
      <c r="E55" s="84" t="str">
        <f t="shared" si="9"/>
        <v/>
      </c>
      <c r="F55" s="85" t="str">
        <f>IF(査定表!E47=0,"",査定表!E47)</f>
        <v/>
      </c>
      <c r="G55" s="83" t="str">
        <f t="shared" si="5"/>
        <v/>
      </c>
      <c r="J55" s="83" t="str">
        <f t="shared" si="6"/>
        <v/>
      </c>
      <c r="L55" s="115"/>
    </row>
    <row r="56" spans="2:12" hidden="1" x14ac:dyDescent="0.15">
      <c r="B56" s="83" t="str">
        <f>+IF(査定表!A48=0,"",査定表!A48)</f>
        <v/>
      </c>
      <c r="C56" s="83" t="str">
        <f t="shared" si="7"/>
        <v/>
      </c>
      <c r="D56" s="84" t="str">
        <f t="shared" si="8"/>
        <v/>
      </c>
      <c r="E56" s="84" t="str">
        <f t="shared" si="9"/>
        <v/>
      </c>
      <c r="F56" s="85" t="str">
        <f>IF(査定表!E48=0,"",査定表!E48)</f>
        <v/>
      </c>
      <c r="G56" s="83" t="str">
        <f t="shared" si="5"/>
        <v/>
      </c>
      <c r="J56" s="83" t="str">
        <f t="shared" si="6"/>
        <v/>
      </c>
      <c r="L56" s="115"/>
    </row>
    <row r="57" spans="2:12" hidden="1" x14ac:dyDescent="0.15">
      <c r="B57" s="83" t="str">
        <f>+IF(査定表!A49=0,"",査定表!A49)</f>
        <v/>
      </c>
      <c r="C57" s="83" t="str">
        <f t="shared" si="7"/>
        <v/>
      </c>
      <c r="D57" s="84" t="str">
        <f t="shared" si="8"/>
        <v/>
      </c>
      <c r="E57" s="84" t="str">
        <f t="shared" si="9"/>
        <v/>
      </c>
      <c r="F57" s="85" t="str">
        <f>IF(査定表!E49=0,"",査定表!E49)</f>
        <v/>
      </c>
      <c r="G57" s="83" t="str">
        <f t="shared" si="5"/>
        <v/>
      </c>
      <c r="J57" s="83" t="str">
        <f t="shared" si="6"/>
        <v/>
      </c>
      <c r="L57" s="115"/>
    </row>
    <row r="58" spans="2:12" hidden="1" x14ac:dyDescent="0.15">
      <c r="B58" s="83" t="str">
        <f>+IF(査定表!A50=0,"",査定表!A50)</f>
        <v/>
      </c>
      <c r="C58" s="83" t="str">
        <f t="shared" si="7"/>
        <v/>
      </c>
      <c r="D58" s="84" t="str">
        <f t="shared" si="8"/>
        <v/>
      </c>
      <c r="E58" s="84" t="str">
        <f t="shared" si="9"/>
        <v/>
      </c>
      <c r="F58" s="85" t="str">
        <f>IF(査定表!E50=0,"",査定表!E50)</f>
        <v/>
      </c>
      <c r="G58" s="83" t="str">
        <f t="shared" si="5"/>
        <v/>
      </c>
      <c r="J58" s="83" t="str">
        <f t="shared" si="6"/>
        <v/>
      </c>
      <c r="L58" s="115"/>
    </row>
    <row r="59" spans="2:12" hidden="1" x14ac:dyDescent="0.15">
      <c r="B59" s="102" t="s">
        <v>86</v>
      </c>
      <c r="C59" s="83" t="str">
        <f t="shared" ref="C59:C153" si="10">IF(D59="","","図面・仕様書どおり")</f>
        <v/>
      </c>
      <c r="D59" s="84" t="str">
        <f t="shared" ref="D59:D153" si="11">IF(E59="","","1")</f>
        <v/>
      </c>
      <c r="E59" s="84"/>
      <c r="F59" s="86">
        <f>SUM(F18:F58)</f>
        <v>15300000</v>
      </c>
      <c r="G59" s="83"/>
      <c r="J59" s="83"/>
      <c r="L59" s="115"/>
    </row>
    <row r="60" spans="2:12" x14ac:dyDescent="0.15">
      <c r="B60" s="101" t="s">
        <v>84</v>
      </c>
      <c r="C60" s="83"/>
      <c r="D60" s="84" t="str">
        <f t="shared" si="11"/>
        <v>1</v>
      </c>
      <c r="E60" s="84" t="str">
        <f>IF(F60="","","式")</f>
        <v>式</v>
      </c>
      <c r="F60" s="85">
        <f>INT(F59*0.08)</f>
        <v>1224000</v>
      </c>
      <c r="G60" s="83"/>
      <c r="J60" s="83"/>
      <c r="L60" s="115"/>
    </row>
    <row r="61" spans="2:12" x14ac:dyDescent="0.15">
      <c r="B61" s="101" t="s">
        <v>18</v>
      </c>
      <c r="C61" s="83" t="str">
        <f t="shared" si="10"/>
        <v/>
      </c>
      <c r="D61" s="84" t="str">
        <f t="shared" si="11"/>
        <v/>
      </c>
      <c r="E61" s="84"/>
      <c r="F61" s="85">
        <f>+SUM(F59:F60)</f>
        <v>16524000</v>
      </c>
      <c r="G61" s="83"/>
      <c r="J61" s="83"/>
      <c r="L61" s="115"/>
    </row>
    <row r="62" spans="2:12" x14ac:dyDescent="0.15">
      <c r="B62" s="101"/>
      <c r="C62" s="83" t="str">
        <f t="shared" si="10"/>
        <v/>
      </c>
      <c r="D62" s="84" t="str">
        <f t="shared" si="11"/>
        <v/>
      </c>
      <c r="E62" s="84" t="str">
        <f t="shared" ref="E62:E104" si="12">IF(F62="","","式")</f>
        <v/>
      </c>
      <c r="F62" s="85"/>
      <c r="G62" s="83" t="str">
        <f t="shared" ref="G62:G104" si="13">IF(C62="","","諸経費共")</f>
        <v/>
      </c>
      <c r="J62" s="83" t="str">
        <f t="shared" ref="J62:J104" si="14">IF(F62="","","諸経費共")</f>
        <v/>
      </c>
      <c r="L62" s="115"/>
    </row>
    <row r="63" spans="2:12" x14ac:dyDescent="0.15">
      <c r="B63" s="83" t="str">
        <f>+IF(査定表!A51=0,"",査定表!A51)</f>
        <v>（イ）3号線の部</v>
      </c>
      <c r="C63" s="83" t="str">
        <f t="shared" ref="C63" si="15">IF(D63="","","図面・仕様書どおり")</f>
        <v>図面・仕様書どおり</v>
      </c>
      <c r="D63" s="84" t="str">
        <f t="shared" ref="D63" si="16">IF(E63="","","1")</f>
        <v>1</v>
      </c>
      <c r="E63" s="84" t="str">
        <f t="shared" si="12"/>
        <v>式</v>
      </c>
      <c r="F63" s="85">
        <f>IF(査定表!E51=0,"",査定表!E51)</f>
        <v>1220000</v>
      </c>
      <c r="G63" s="83" t="str">
        <f t="shared" si="13"/>
        <v>諸経費共</v>
      </c>
      <c r="J63" s="83" t="str">
        <f t="shared" si="14"/>
        <v>諸経費共</v>
      </c>
      <c r="L63" s="115"/>
    </row>
    <row r="64" spans="2:12" hidden="1" x14ac:dyDescent="0.15">
      <c r="B64" s="83" t="str">
        <f>+IF(査定表!A52=0,"",査定表!A52)</f>
        <v/>
      </c>
      <c r="C64" s="83" t="str">
        <f t="shared" si="10"/>
        <v/>
      </c>
      <c r="D64" s="84" t="str">
        <f t="shared" si="11"/>
        <v/>
      </c>
      <c r="E64" s="84" t="str">
        <f t="shared" si="12"/>
        <v/>
      </c>
      <c r="F64" s="85" t="str">
        <f>IF(査定表!E52=0,"",査定表!E52)</f>
        <v/>
      </c>
      <c r="G64" s="83" t="str">
        <f t="shared" si="13"/>
        <v/>
      </c>
      <c r="J64" s="83" t="str">
        <f t="shared" si="14"/>
        <v/>
      </c>
      <c r="L64" s="115"/>
    </row>
    <row r="65" spans="2:12" hidden="1" x14ac:dyDescent="0.15">
      <c r="B65" s="83" t="str">
        <f>+IF(査定表!A53=0,"",査定表!A53)</f>
        <v>西梅田駅</v>
      </c>
      <c r="C65" s="83" t="str">
        <f t="shared" ref="C65:C104" si="17">IF(D65="","","図面・仕様書どおり")</f>
        <v>図面・仕様書どおり</v>
      </c>
      <c r="D65" s="84" t="str">
        <f t="shared" ref="D65:D104" si="18">IF(E65="","","1")</f>
        <v>1</v>
      </c>
      <c r="E65" s="84" t="str">
        <f t="shared" si="12"/>
        <v>式</v>
      </c>
      <c r="F65" s="85">
        <f>IF(査定表!E53=0,"",査定表!E53)</f>
        <v>760000</v>
      </c>
      <c r="G65" s="83" t="str">
        <f t="shared" si="13"/>
        <v>諸経費共</v>
      </c>
      <c r="J65" s="83" t="str">
        <f t="shared" si="14"/>
        <v>諸経費共</v>
      </c>
      <c r="L65" s="115"/>
    </row>
    <row r="66" spans="2:12" hidden="1" x14ac:dyDescent="0.15">
      <c r="B66" s="83" t="str">
        <f>+IF(査定表!A54=0,"",査定表!A54)</f>
        <v>R3大国町駅</v>
      </c>
      <c r="C66" s="83" t="str">
        <f t="shared" si="17"/>
        <v>図面・仕様書どおり</v>
      </c>
      <c r="D66" s="84" t="str">
        <f t="shared" si="18"/>
        <v>1</v>
      </c>
      <c r="E66" s="84" t="str">
        <f t="shared" si="12"/>
        <v>式</v>
      </c>
      <c r="F66" s="85">
        <f>IF(査定表!E54=0,"",査定表!E54)</f>
        <v>460000</v>
      </c>
      <c r="G66" s="83" t="str">
        <f t="shared" si="13"/>
        <v>諸経費共</v>
      </c>
      <c r="J66" s="83" t="str">
        <f t="shared" si="14"/>
        <v>諸経費共</v>
      </c>
      <c r="L66" s="115"/>
    </row>
    <row r="67" spans="2:12" hidden="1" x14ac:dyDescent="0.15">
      <c r="B67" s="83" t="str">
        <f>+IF(査定表!A55=0,"",査定表!A55)</f>
        <v/>
      </c>
      <c r="C67" s="83" t="str">
        <f t="shared" si="17"/>
        <v/>
      </c>
      <c r="D67" s="84" t="str">
        <f t="shared" si="18"/>
        <v/>
      </c>
      <c r="E67" s="84" t="str">
        <f t="shared" si="12"/>
        <v/>
      </c>
      <c r="F67" s="85" t="str">
        <f>IF(査定表!E55=0,"",査定表!E55)</f>
        <v/>
      </c>
      <c r="G67" s="83" t="str">
        <f t="shared" si="13"/>
        <v/>
      </c>
      <c r="J67" s="83" t="str">
        <f t="shared" si="14"/>
        <v/>
      </c>
      <c r="L67" s="115"/>
    </row>
    <row r="68" spans="2:12" hidden="1" x14ac:dyDescent="0.15">
      <c r="B68" s="83" t="str">
        <f>+IF(査定表!A56=0,"",査定表!A56)</f>
        <v/>
      </c>
      <c r="C68" s="83" t="str">
        <f t="shared" si="17"/>
        <v/>
      </c>
      <c r="D68" s="84" t="str">
        <f t="shared" si="18"/>
        <v/>
      </c>
      <c r="E68" s="84" t="str">
        <f t="shared" si="12"/>
        <v/>
      </c>
      <c r="F68" s="85" t="str">
        <f>IF(査定表!E56=0,"",査定表!E56)</f>
        <v/>
      </c>
      <c r="G68" s="83" t="str">
        <f t="shared" si="13"/>
        <v/>
      </c>
      <c r="J68" s="83" t="str">
        <f t="shared" si="14"/>
        <v/>
      </c>
      <c r="L68" s="115"/>
    </row>
    <row r="69" spans="2:12" hidden="1" x14ac:dyDescent="0.15">
      <c r="B69" s="83" t="str">
        <f>+IF(査定表!A57=0,"",査定表!A57)</f>
        <v/>
      </c>
      <c r="C69" s="83" t="str">
        <f t="shared" si="17"/>
        <v/>
      </c>
      <c r="D69" s="84" t="str">
        <f t="shared" si="18"/>
        <v/>
      </c>
      <c r="E69" s="84" t="str">
        <f t="shared" si="12"/>
        <v/>
      </c>
      <c r="F69" s="85" t="str">
        <f>IF(査定表!E57=0,"",査定表!E57)</f>
        <v/>
      </c>
      <c r="G69" s="83" t="str">
        <f t="shared" si="13"/>
        <v/>
      </c>
      <c r="J69" s="83" t="str">
        <f t="shared" si="14"/>
        <v/>
      </c>
      <c r="L69" s="115"/>
    </row>
    <row r="70" spans="2:12" hidden="1" x14ac:dyDescent="0.15">
      <c r="B70" s="83" t="str">
        <f>+IF(査定表!A58=0,"",査定表!A58)</f>
        <v/>
      </c>
      <c r="C70" s="83" t="str">
        <f t="shared" si="17"/>
        <v/>
      </c>
      <c r="D70" s="84" t="str">
        <f t="shared" si="18"/>
        <v/>
      </c>
      <c r="E70" s="84" t="str">
        <f t="shared" si="12"/>
        <v/>
      </c>
      <c r="F70" s="85" t="str">
        <f>IF(査定表!E58=0,"",査定表!E58)</f>
        <v/>
      </c>
      <c r="G70" s="83" t="str">
        <f t="shared" si="13"/>
        <v/>
      </c>
      <c r="J70" s="83" t="str">
        <f t="shared" si="14"/>
        <v/>
      </c>
      <c r="L70" s="115"/>
    </row>
    <row r="71" spans="2:12" hidden="1" x14ac:dyDescent="0.15">
      <c r="B71" s="83" t="str">
        <f>+IF(査定表!A59=0,"",査定表!A59)</f>
        <v/>
      </c>
      <c r="C71" s="83" t="str">
        <f t="shared" si="17"/>
        <v/>
      </c>
      <c r="D71" s="84" t="str">
        <f t="shared" si="18"/>
        <v/>
      </c>
      <c r="E71" s="84" t="str">
        <f t="shared" si="12"/>
        <v/>
      </c>
      <c r="F71" s="85" t="str">
        <f>IF(査定表!E59=0,"",査定表!E59)</f>
        <v/>
      </c>
      <c r="G71" s="83" t="str">
        <f t="shared" si="13"/>
        <v/>
      </c>
      <c r="J71" s="83" t="str">
        <f t="shared" si="14"/>
        <v/>
      </c>
      <c r="L71" s="115"/>
    </row>
    <row r="72" spans="2:12" hidden="1" x14ac:dyDescent="0.15">
      <c r="B72" s="83" t="str">
        <f>+IF(査定表!A60=0,"",査定表!A60)</f>
        <v/>
      </c>
      <c r="C72" s="83" t="str">
        <f t="shared" si="17"/>
        <v/>
      </c>
      <c r="D72" s="84" t="str">
        <f t="shared" si="18"/>
        <v/>
      </c>
      <c r="E72" s="84" t="str">
        <f t="shared" si="12"/>
        <v/>
      </c>
      <c r="F72" s="85" t="str">
        <f>IF(査定表!E60=0,"",査定表!E60)</f>
        <v/>
      </c>
      <c r="G72" s="83" t="str">
        <f t="shared" si="13"/>
        <v/>
      </c>
      <c r="J72" s="83" t="str">
        <f t="shared" si="14"/>
        <v/>
      </c>
      <c r="L72" s="115"/>
    </row>
    <row r="73" spans="2:12" hidden="1" x14ac:dyDescent="0.15">
      <c r="B73" s="83" t="str">
        <f>+IF(査定表!A61=0,"",査定表!A61)</f>
        <v/>
      </c>
      <c r="C73" s="83" t="str">
        <f t="shared" si="17"/>
        <v/>
      </c>
      <c r="D73" s="84" t="str">
        <f t="shared" si="18"/>
        <v/>
      </c>
      <c r="E73" s="84" t="str">
        <f t="shared" si="12"/>
        <v/>
      </c>
      <c r="F73" s="85" t="str">
        <f>IF(査定表!E61=0,"",査定表!E61)</f>
        <v/>
      </c>
      <c r="G73" s="83" t="str">
        <f t="shared" si="13"/>
        <v/>
      </c>
      <c r="J73" s="83" t="str">
        <f t="shared" si="14"/>
        <v/>
      </c>
      <c r="L73" s="115"/>
    </row>
    <row r="74" spans="2:12" hidden="1" x14ac:dyDescent="0.15">
      <c r="B74" s="83" t="str">
        <f>+IF(査定表!A62=0,"",査定表!A62)</f>
        <v/>
      </c>
      <c r="C74" s="83" t="str">
        <f t="shared" si="17"/>
        <v/>
      </c>
      <c r="D74" s="84" t="str">
        <f t="shared" si="18"/>
        <v/>
      </c>
      <c r="E74" s="84" t="str">
        <f t="shared" si="12"/>
        <v/>
      </c>
      <c r="F74" s="85" t="str">
        <f>IF(査定表!E62=0,"",査定表!E62)</f>
        <v/>
      </c>
      <c r="G74" s="83" t="str">
        <f t="shared" si="13"/>
        <v/>
      </c>
      <c r="J74" s="83" t="str">
        <f t="shared" si="14"/>
        <v/>
      </c>
      <c r="L74" s="115"/>
    </row>
    <row r="75" spans="2:12" hidden="1" x14ac:dyDescent="0.15">
      <c r="B75" s="83" t="str">
        <f>+IF(査定表!A63=0,"",査定表!A63)</f>
        <v/>
      </c>
      <c r="C75" s="83" t="str">
        <f t="shared" si="17"/>
        <v/>
      </c>
      <c r="D75" s="84" t="str">
        <f t="shared" si="18"/>
        <v/>
      </c>
      <c r="E75" s="84" t="str">
        <f t="shared" si="12"/>
        <v/>
      </c>
      <c r="F75" s="85" t="str">
        <f>IF(査定表!E63=0,"",査定表!E63)</f>
        <v/>
      </c>
      <c r="G75" s="83" t="str">
        <f t="shared" si="13"/>
        <v/>
      </c>
      <c r="J75" s="83" t="str">
        <f t="shared" si="14"/>
        <v/>
      </c>
      <c r="L75" s="115"/>
    </row>
    <row r="76" spans="2:12" hidden="1" x14ac:dyDescent="0.15">
      <c r="B76" s="83" t="str">
        <f>+IF(査定表!A64=0,"",査定表!A64)</f>
        <v/>
      </c>
      <c r="C76" s="83" t="str">
        <f t="shared" si="17"/>
        <v/>
      </c>
      <c r="D76" s="84" t="str">
        <f t="shared" si="18"/>
        <v/>
      </c>
      <c r="E76" s="84" t="str">
        <f t="shared" si="12"/>
        <v/>
      </c>
      <c r="F76" s="85" t="str">
        <f>IF(査定表!E64=0,"",査定表!E64)</f>
        <v/>
      </c>
      <c r="G76" s="83" t="str">
        <f t="shared" si="13"/>
        <v/>
      </c>
      <c r="J76" s="83" t="str">
        <f t="shared" si="14"/>
        <v/>
      </c>
      <c r="L76" s="115"/>
    </row>
    <row r="77" spans="2:12" hidden="1" x14ac:dyDescent="0.15">
      <c r="B77" s="83" t="str">
        <f>+IF(査定表!A65=0,"",査定表!A65)</f>
        <v/>
      </c>
      <c r="C77" s="83" t="str">
        <f t="shared" si="17"/>
        <v/>
      </c>
      <c r="D77" s="84" t="str">
        <f t="shared" si="18"/>
        <v/>
      </c>
      <c r="E77" s="84" t="str">
        <f t="shared" si="12"/>
        <v/>
      </c>
      <c r="F77" s="85" t="str">
        <f>IF(査定表!E65=0,"",査定表!E65)</f>
        <v/>
      </c>
      <c r="G77" s="83" t="str">
        <f t="shared" si="13"/>
        <v/>
      </c>
      <c r="J77" s="83" t="str">
        <f t="shared" si="14"/>
        <v/>
      </c>
      <c r="L77" s="115"/>
    </row>
    <row r="78" spans="2:12" hidden="1" x14ac:dyDescent="0.15">
      <c r="B78" s="83" t="str">
        <f>+IF(査定表!A66=0,"",査定表!A66)</f>
        <v/>
      </c>
      <c r="C78" s="83" t="str">
        <f t="shared" si="17"/>
        <v/>
      </c>
      <c r="D78" s="84" t="str">
        <f t="shared" si="18"/>
        <v/>
      </c>
      <c r="E78" s="84" t="str">
        <f t="shared" si="12"/>
        <v/>
      </c>
      <c r="F78" s="85" t="str">
        <f>IF(査定表!E66=0,"",査定表!E66)</f>
        <v/>
      </c>
      <c r="G78" s="83" t="str">
        <f t="shared" si="13"/>
        <v/>
      </c>
      <c r="J78" s="83" t="str">
        <f t="shared" si="14"/>
        <v/>
      </c>
      <c r="L78" s="115"/>
    </row>
    <row r="79" spans="2:12" hidden="1" x14ac:dyDescent="0.15">
      <c r="B79" s="83" t="str">
        <f>+IF(査定表!A67=0,"",査定表!A67)</f>
        <v/>
      </c>
      <c r="C79" s="83" t="str">
        <f t="shared" si="17"/>
        <v/>
      </c>
      <c r="D79" s="84" t="str">
        <f t="shared" si="18"/>
        <v/>
      </c>
      <c r="E79" s="84" t="str">
        <f t="shared" si="12"/>
        <v/>
      </c>
      <c r="F79" s="85" t="str">
        <f>IF(査定表!E67=0,"",査定表!E67)</f>
        <v/>
      </c>
      <c r="G79" s="83" t="str">
        <f t="shared" si="13"/>
        <v/>
      </c>
      <c r="J79" s="83" t="str">
        <f t="shared" si="14"/>
        <v/>
      </c>
      <c r="L79" s="115"/>
    </row>
    <row r="80" spans="2:12" hidden="1" x14ac:dyDescent="0.15">
      <c r="B80" s="83" t="str">
        <f>+IF(査定表!A68=0,"",査定表!A68)</f>
        <v/>
      </c>
      <c r="C80" s="83" t="str">
        <f t="shared" si="17"/>
        <v/>
      </c>
      <c r="D80" s="84" t="str">
        <f t="shared" si="18"/>
        <v/>
      </c>
      <c r="E80" s="84" t="str">
        <f t="shared" si="12"/>
        <v/>
      </c>
      <c r="F80" s="85" t="str">
        <f>IF(査定表!E68=0,"",査定表!E68)</f>
        <v/>
      </c>
      <c r="G80" s="83" t="str">
        <f t="shared" si="13"/>
        <v/>
      </c>
      <c r="J80" s="83" t="str">
        <f t="shared" si="14"/>
        <v/>
      </c>
      <c r="L80" s="115"/>
    </row>
    <row r="81" spans="2:12" hidden="1" x14ac:dyDescent="0.15">
      <c r="B81" s="83" t="str">
        <f>+IF(査定表!A69=0,"",査定表!A69)</f>
        <v/>
      </c>
      <c r="C81" s="83" t="str">
        <f t="shared" si="17"/>
        <v/>
      </c>
      <c r="D81" s="84" t="str">
        <f t="shared" si="18"/>
        <v/>
      </c>
      <c r="E81" s="84" t="str">
        <f t="shared" si="12"/>
        <v/>
      </c>
      <c r="F81" s="85" t="str">
        <f>IF(査定表!E69=0,"",査定表!E69)</f>
        <v/>
      </c>
      <c r="G81" s="83" t="str">
        <f t="shared" si="13"/>
        <v/>
      </c>
      <c r="J81" s="83" t="str">
        <f t="shared" si="14"/>
        <v/>
      </c>
      <c r="L81" s="115"/>
    </row>
    <row r="82" spans="2:12" hidden="1" x14ac:dyDescent="0.15">
      <c r="B82" s="83" t="str">
        <f>+IF(査定表!A70=0,"",査定表!A70)</f>
        <v/>
      </c>
      <c r="C82" s="83" t="str">
        <f t="shared" si="17"/>
        <v/>
      </c>
      <c r="D82" s="84" t="str">
        <f t="shared" si="18"/>
        <v/>
      </c>
      <c r="E82" s="84" t="str">
        <f t="shared" si="12"/>
        <v/>
      </c>
      <c r="F82" s="85" t="str">
        <f>IF(査定表!E70=0,"",査定表!E70)</f>
        <v/>
      </c>
      <c r="G82" s="83" t="str">
        <f t="shared" si="13"/>
        <v/>
      </c>
      <c r="J82" s="83" t="str">
        <f t="shared" si="14"/>
        <v/>
      </c>
      <c r="L82" s="115"/>
    </row>
    <row r="83" spans="2:12" hidden="1" x14ac:dyDescent="0.15">
      <c r="B83" s="83" t="str">
        <f>+IF(査定表!A71=0,"",査定表!A71)</f>
        <v/>
      </c>
      <c r="C83" s="83" t="str">
        <f t="shared" si="17"/>
        <v/>
      </c>
      <c r="D83" s="84" t="str">
        <f t="shared" si="18"/>
        <v/>
      </c>
      <c r="E83" s="84" t="str">
        <f t="shared" si="12"/>
        <v/>
      </c>
      <c r="F83" s="85" t="str">
        <f>IF(査定表!E71=0,"",査定表!E71)</f>
        <v/>
      </c>
      <c r="G83" s="83" t="str">
        <f t="shared" si="13"/>
        <v/>
      </c>
      <c r="J83" s="83" t="str">
        <f t="shared" si="14"/>
        <v/>
      </c>
      <c r="L83" s="115"/>
    </row>
    <row r="84" spans="2:12" hidden="1" x14ac:dyDescent="0.15">
      <c r="B84" s="83" t="str">
        <f>+IF(査定表!A72=0,"",査定表!A72)</f>
        <v/>
      </c>
      <c r="C84" s="83" t="str">
        <f t="shared" si="17"/>
        <v/>
      </c>
      <c r="D84" s="84" t="str">
        <f t="shared" si="18"/>
        <v/>
      </c>
      <c r="E84" s="84" t="str">
        <f t="shared" si="12"/>
        <v/>
      </c>
      <c r="F84" s="85" t="str">
        <f>IF(査定表!E72=0,"",査定表!E72)</f>
        <v/>
      </c>
      <c r="G84" s="83" t="str">
        <f t="shared" si="13"/>
        <v/>
      </c>
      <c r="J84" s="83" t="str">
        <f t="shared" si="14"/>
        <v/>
      </c>
      <c r="L84" s="115"/>
    </row>
    <row r="85" spans="2:12" hidden="1" x14ac:dyDescent="0.15">
      <c r="B85" s="83" t="str">
        <f>+IF(査定表!A73=0,"",査定表!A73)</f>
        <v/>
      </c>
      <c r="C85" s="83" t="str">
        <f t="shared" si="17"/>
        <v/>
      </c>
      <c r="D85" s="84" t="str">
        <f t="shared" si="18"/>
        <v/>
      </c>
      <c r="E85" s="84" t="str">
        <f t="shared" si="12"/>
        <v/>
      </c>
      <c r="F85" s="85" t="str">
        <f>IF(査定表!E73=0,"",査定表!E73)</f>
        <v/>
      </c>
      <c r="G85" s="83" t="str">
        <f t="shared" si="13"/>
        <v/>
      </c>
      <c r="J85" s="83" t="str">
        <f t="shared" si="14"/>
        <v/>
      </c>
      <c r="L85" s="115"/>
    </row>
    <row r="86" spans="2:12" hidden="1" x14ac:dyDescent="0.15">
      <c r="B86" s="83" t="str">
        <f>+IF(査定表!A74=0,"",査定表!A74)</f>
        <v/>
      </c>
      <c r="C86" s="83" t="str">
        <f t="shared" si="17"/>
        <v/>
      </c>
      <c r="D86" s="84" t="str">
        <f t="shared" si="18"/>
        <v/>
      </c>
      <c r="E86" s="84" t="str">
        <f t="shared" si="12"/>
        <v/>
      </c>
      <c r="F86" s="85" t="str">
        <f>IF(査定表!E74=0,"",査定表!E74)</f>
        <v/>
      </c>
      <c r="G86" s="83" t="str">
        <f t="shared" si="13"/>
        <v/>
      </c>
      <c r="J86" s="83" t="str">
        <f t="shared" si="14"/>
        <v/>
      </c>
      <c r="L86" s="115"/>
    </row>
    <row r="87" spans="2:12" hidden="1" x14ac:dyDescent="0.15">
      <c r="B87" s="83" t="str">
        <f>+IF(査定表!A75=0,"",査定表!A75)</f>
        <v/>
      </c>
      <c r="C87" s="83" t="str">
        <f t="shared" si="17"/>
        <v/>
      </c>
      <c r="D87" s="84" t="str">
        <f t="shared" si="18"/>
        <v/>
      </c>
      <c r="E87" s="84" t="str">
        <f t="shared" si="12"/>
        <v/>
      </c>
      <c r="F87" s="85" t="str">
        <f>IF(査定表!E75=0,"",査定表!E75)</f>
        <v/>
      </c>
      <c r="G87" s="83" t="str">
        <f t="shared" si="13"/>
        <v/>
      </c>
      <c r="J87" s="83" t="str">
        <f t="shared" si="14"/>
        <v/>
      </c>
      <c r="L87" s="115"/>
    </row>
    <row r="88" spans="2:12" hidden="1" x14ac:dyDescent="0.15">
      <c r="B88" s="83" t="str">
        <f>+IF(査定表!A76=0,"",査定表!A76)</f>
        <v/>
      </c>
      <c r="C88" s="83" t="str">
        <f t="shared" si="17"/>
        <v/>
      </c>
      <c r="D88" s="84" t="str">
        <f t="shared" si="18"/>
        <v/>
      </c>
      <c r="E88" s="84" t="str">
        <f t="shared" si="12"/>
        <v/>
      </c>
      <c r="F88" s="85" t="str">
        <f>IF(査定表!E76=0,"",査定表!E76)</f>
        <v/>
      </c>
      <c r="G88" s="83" t="str">
        <f t="shared" si="13"/>
        <v/>
      </c>
      <c r="J88" s="83" t="str">
        <f t="shared" si="14"/>
        <v/>
      </c>
      <c r="L88" s="115"/>
    </row>
    <row r="89" spans="2:12" hidden="1" x14ac:dyDescent="0.15">
      <c r="B89" s="83" t="str">
        <f>+IF(査定表!A77=0,"",査定表!A77)</f>
        <v/>
      </c>
      <c r="C89" s="83" t="str">
        <f t="shared" si="17"/>
        <v/>
      </c>
      <c r="D89" s="84" t="str">
        <f t="shared" si="18"/>
        <v/>
      </c>
      <c r="E89" s="84" t="str">
        <f t="shared" si="12"/>
        <v/>
      </c>
      <c r="F89" s="85" t="str">
        <f>IF(査定表!E77=0,"",査定表!E77)</f>
        <v/>
      </c>
      <c r="G89" s="83" t="str">
        <f t="shared" si="13"/>
        <v/>
      </c>
      <c r="J89" s="83" t="str">
        <f t="shared" si="14"/>
        <v/>
      </c>
      <c r="L89" s="115"/>
    </row>
    <row r="90" spans="2:12" hidden="1" x14ac:dyDescent="0.15">
      <c r="B90" s="83" t="str">
        <f>+IF(査定表!A78=0,"",査定表!A78)</f>
        <v/>
      </c>
      <c r="C90" s="83" t="str">
        <f t="shared" si="17"/>
        <v/>
      </c>
      <c r="D90" s="84" t="str">
        <f t="shared" si="18"/>
        <v/>
      </c>
      <c r="E90" s="84" t="str">
        <f t="shared" si="12"/>
        <v/>
      </c>
      <c r="F90" s="85" t="str">
        <f>IF(査定表!E78=0,"",査定表!E78)</f>
        <v/>
      </c>
      <c r="G90" s="83" t="str">
        <f t="shared" si="13"/>
        <v/>
      </c>
      <c r="J90" s="83" t="str">
        <f t="shared" si="14"/>
        <v/>
      </c>
      <c r="L90" s="115"/>
    </row>
    <row r="91" spans="2:12" hidden="1" x14ac:dyDescent="0.15">
      <c r="B91" s="83" t="str">
        <f>+IF(査定表!A79=0,"",査定表!A79)</f>
        <v/>
      </c>
      <c r="C91" s="83" t="str">
        <f t="shared" si="17"/>
        <v/>
      </c>
      <c r="D91" s="84" t="str">
        <f t="shared" si="18"/>
        <v/>
      </c>
      <c r="E91" s="84" t="str">
        <f t="shared" si="12"/>
        <v/>
      </c>
      <c r="F91" s="85" t="str">
        <f>IF(査定表!E79=0,"",査定表!E79)</f>
        <v/>
      </c>
      <c r="G91" s="83" t="str">
        <f t="shared" si="13"/>
        <v/>
      </c>
      <c r="J91" s="83" t="str">
        <f t="shared" si="14"/>
        <v/>
      </c>
      <c r="L91" s="115"/>
    </row>
    <row r="92" spans="2:12" hidden="1" x14ac:dyDescent="0.15">
      <c r="B92" s="83" t="str">
        <f>+IF(査定表!A80=0,"",査定表!A80)</f>
        <v/>
      </c>
      <c r="C92" s="83" t="str">
        <f t="shared" si="17"/>
        <v/>
      </c>
      <c r="D92" s="84" t="str">
        <f t="shared" si="18"/>
        <v/>
      </c>
      <c r="E92" s="84" t="str">
        <f t="shared" si="12"/>
        <v/>
      </c>
      <c r="F92" s="85" t="str">
        <f>IF(査定表!E80=0,"",査定表!E80)</f>
        <v/>
      </c>
      <c r="G92" s="83" t="str">
        <f t="shared" si="13"/>
        <v/>
      </c>
      <c r="J92" s="83" t="str">
        <f t="shared" si="14"/>
        <v/>
      </c>
      <c r="L92" s="115"/>
    </row>
    <row r="93" spans="2:12" hidden="1" x14ac:dyDescent="0.15">
      <c r="B93" s="83" t="str">
        <f>+IF(査定表!A81=0,"",査定表!A81)</f>
        <v/>
      </c>
      <c r="C93" s="83" t="str">
        <f t="shared" si="17"/>
        <v/>
      </c>
      <c r="D93" s="84" t="str">
        <f t="shared" si="18"/>
        <v/>
      </c>
      <c r="E93" s="84" t="str">
        <f t="shared" si="12"/>
        <v/>
      </c>
      <c r="F93" s="85" t="str">
        <f>IF(査定表!E81=0,"",査定表!E81)</f>
        <v/>
      </c>
      <c r="G93" s="83" t="str">
        <f t="shared" si="13"/>
        <v/>
      </c>
      <c r="J93" s="83" t="str">
        <f t="shared" si="14"/>
        <v/>
      </c>
      <c r="L93" s="115"/>
    </row>
    <row r="94" spans="2:12" hidden="1" x14ac:dyDescent="0.15">
      <c r="B94" s="83" t="str">
        <f>+IF(査定表!A82=0,"",査定表!A82)</f>
        <v/>
      </c>
      <c r="C94" s="83" t="str">
        <f t="shared" si="17"/>
        <v/>
      </c>
      <c r="D94" s="84" t="str">
        <f t="shared" si="18"/>
        <v/>
      </c>
      <c r="E94" s="84" t="str">
        <f t="shared" si="12"/>
        <v/>
      </c>
      <c r="F94" s="85" t="str">
        <f>IF(査定表!E82=0,"",査定表!E82)</f>
        <v/>
      </c>
      <c r="G94" s="83" t="str">
        <f t="shared" si="13"/>
        <v/>
      </c>
      <c r="J94" s="83" t="str">
        <f t="shared" si="14"/>
        <v/>
      </c>
      <c r="L94" s="115"/>
    </row>
    <row r="95" spans="2:12" hidden="1" x14ac:dyDescent="0.15">
      <c r="B95" s="83" t="str">
        <f>+IF(査定表!A83=0,"",査定表!A83)</f>
        <v/>
      </c>
      <c r="C95" s="83" t="str">
        <f t="shared" si="17"/>
        <v/>
      </c>
      <c r="D95" s="84" t="str">
        <f t="shared" si="18"/>
        <v/>
      </c>
      <c r="E95" s="84" t="str">
        <f t="shared" si="12"/>
        <v/>
      </c>
      <c r="F95" s="85" t="str">
        <f>IF(査定表!E83=0,"",査定表!E83)</f>
        <v/>
      </c>
      <c r="G95" s="83" t="str">
        <f t="shared" si="13"/>
        <v/>
      </c>
      <c r="J95" s="83" t="str">
        <f t="shared" si="14"/>
        <v/>
      </c>
      <c r="L95" s="115"/>
    </row>
    <row r="96" spans="2:12" hidden="1" x14ac:dyDescent="0.15">
      <c r="B96" s="83" t="str">
        <f>+IF(査定表!A84=0,"",査定表!A84)</f>
        <v/>
      </c>
      <c r="C96" s="83" t="str">
        <f t="shared" si="17"/>
        <v/>
      </c>
      <c r="D96" s="84" t="str">
        <f t="shared" si="18"/>
        <v/>
      </c>
      <c r="E96" s="84" t="str">
        <f t="shared" si="12"/>
        <v/>
      </c>
      <c r="F96" s="85" t="str">
        <f>IF(査定表!E84=0,"",査定表!E84)</f>
        <v/>
      </c>
      <c r="G96" s="83" t="str">
        <f t="shared" si="13"/>
        <v/>
      </c>
      <c r="J96" s="83" t="str">
        <f t="shared" si="14"/>
        <v/>
      </c>
      <c r="L96" s="115"/>
    </row>
    <row r="97" spans="2:12" hidden="1" x14ac:dyDescent="0.15">
      <c r="B97" s="83" t="str">
        <f>+IF(査定表!A85=0,"",査定表!A85)</f>
        <v/>
      </c>
      <c r="C97" s="83" t="str">
        <f t="shared" si="17"/>
        <v/>
      </c>
      <c r="D97" s="84" t="str">
        <f t="shared" si="18"/>
        <v/>
      </c>
      <c r="E97" s="84" t="str">
        <f t="shared" si="12"/>
        <v/>
      </c>
      <c r="F97" s="85" t="str">
        <f>IF(査定表!E85=0,"",査定表!E85)</f>
        <v/>
      </c>
      <c r="G97" s="83" t="str">
        <f t="shared" si="13"/>
        <v/>
      </c>
      <c r="J97" s="83" t="str">
        <f t="shared" si="14"/>
        <v/>
      </c>
      <c r="L97" s="115"/>
    </row>
    <row r="98" spans="2:12" hidden="1" x14ac:dyDescent="0.15">
      <c r="B98" s="83" t="str">
        <f>+IF(査定表!A86=0,"",査定表!A86)</f>
        <v/>
      </c>
      <c r="C98" s="83" t="str">
        <f t="shared" si="17"/>
        <v/>
      </c>
      <c r="D98" s="84" t="str">
        <f t="shared" si="18"/>
        <v/>
      </c>
      <c r="E98" s="84" t="str">
        <f t="shared" si="12"/>
        <v/>
      </c>
      <c r="F98" s="85" t="str">
        <f>IF(査定表!E86=0,"",査定表!E86)</f>
        <v/>
      </c>
      <c r="G98" s="83" t="str">
        <f t="shared" si="13"/>
        <v/>
      </c>
      <c r="J98" s="83" t="str">
        <f t="shared" si="14"/>
        <v/>
      </c>
      <c r="L98" s="115"/>
    </row>
    <row r="99" spans="2:12" hidden="1" x14ac:dyDescent="0.15">
      <c r="B99" s="83" t="str">
        <f>+IF(査定表!A87=0,"",査定表!A87)</f>
        <v/>
      </c>
      <c r="C99" s="83" t="str">
        <f t="shared" si="17"/>
        <v/>
      </c>
      <c r="D99" s="84" t="str">
        <f t="shared" si="18"/>
        <v/>
      </c>
      <c r="E99" s="84" t="str">
        <f t="shared" si="12"/>
        <v/>
      </c>
      <c r="F99" s="85" t="str">
        <f>IF(査定表!E87=0,"",査定表!E87)</f>
        <v/>
      </c>
      <c r="G99" s="83" t="str">
        <f t="shared" si="13"/>
        <v/>
      </c>
      <c r="J99" s="83" t="str">
        <f t="shared" si="14"/>
        <v/>
      </c>
      <c r="L99" s="115"/>
    </row>
    <row r="100" spans="2:12" hidden="1" x14ac:dyDescent="0.15">
      <c r="B100" s="83" t="str">
        <f>+IF(査定表!A88=0,"",査定表!A88)</f>
        <v/>
      </c>
      <c r="C100" s="83" t="str">
        <f t="shared" si="17"/>
        <v/>
      </c>
      <c r="D100" s="84" t="str">
        <f t="shared" si="18"/>
        <v/>
      </c>
      <c r="E100" s="84" t="str">
        <f t="shared" si="12"/>
        <v/>
      </c>
      <c r="F100" s="85" t="str">
        <f>IF(査定表!E88=0,"",査定表!E88)</f>
        <v/>
      </c>
      <c r="G100" s="83" t="str">
        <f t="shared" si="13"/>
        <v/>
      </c>
      <c r="J100" s="83" t="str">
        <f t="shared" si="14"/>
        <v/>
      </c>
      <c r="L100" s="115"/>
    </row>
    <row r="101" spans="2:12" hidden="1" x14ac:dyDescent="0.15">
      <c r="B101" s="83" t="str">
        <f>+IF(査定表!A89=0,"",査定表!A89)</f>
        <v/>
      </c>
      <c r="C101" s="83" t="str">
        <f t="shared" si="17"/>
        <v/>
      </c>
      <c r="D101" s="84" t="str">
        <f t="shared" si="18"/>
        <v/>
      </c>
      <c r="E101" s="84" t="str">
        <f t="shared" si="12"/>
        <v/>
      </c>
      <c r="F101" s="85" t="str">
        <f>IF(査定表!E89=0,"",査定表!E89)</f>
        <v/>
      </c>
      <c r="G101" s="83" t="str">
        <f t="shared" si="13"/>
        <v/>
      </c>
      <c r="J101" s="83" t="str">
        <f t="shared" si="14"/>
        <v/>
      </c>
      <c r="L101" s="115"/>
    </row>
    <row r="102" spans="2:12" hidden="1" x14ac:dyDescent="0.15">
      <c r="B102" s="83" t="str">
        <f>+IF(査定表!A90=0,"",査定表!A90)</f>
        <v/>
      </c>
      <c r="C102" s="83" t="str">
        <f t="shared" si="17"/>
        <v/>
      </c>
      <c r="D102" s="84" t="str">
        <f t="shared" si="18"/>
        <v/>
      </c>
      <c r="E102" s="84" t="str">
        <f t="shared" si="12"/>
        <v/>
      </c>
      <c r="F102" s="85" t="str">
        <f>IF(査定表!E90=0,"",査定表!E90)</f>
        <v/>
      </c>
      <c r="G102" s="83" t="str">
        <f t="shared" si="13"/>
        <v/>
      </c>
      <c r="J102" s="83" t="str">
        <f t="shared" si="14"/>
        <v/>
      </c>
      <c r="L102" s="115"/>
    </row>
    <row r="103" spans="2:12" hidden="1" x14ac:dyDescent="0.15">
      <c r="B103" s="83" t="str">
        <f>+IF(査定表!A91=0,"",査定表!A91)</f>
        <v/>
      </c>
      <c r="C103" s="83" t="str">
        <f t="shared" si="17"/>
        <v/>
      </c>
      <c r="D103" s="84" t="str">
        <f t="shared" si="18"/>
        <v/>
      </c>
      <c r="E103" s="84" t="str">
        <f t="shared" si="12"/>
        <v/>
      </c>
      <c r="F103" s="85" t="str">
        <f>IF(査定表!E91=0,"",査定表!E91)</f>
        <v/>
      </c>
      <c r="G103" s="83" t="str">
        <f t="shared" si="13"/>
        <v/>
      </c>
      <c r="J103" s="83" t="str">
        <f t="shared" si="14"/>
        <v/>
      </c>
      <c r="L103" s="115"/>
    </row>
    <row r="104" spans="2:12" hidden="1" x14ac:dyDescent="0.15">
      <c r="B104" s="83" t="str">
        <f>+IF(査定表!A92=0,"",査定表!A92)</f>
        <v/>
      </c>
      <c r="C104" s="83" t="str">
        <f t="shared" si="17"/>
        <v/>
      </c>
      <c r="D104" s="84" t="str">
        <f t="shared" si="18"/>
        <v/>
      </c>
      <c r="E104" s="84" t="str">
        <f t="shared" si="12"/>
        <v/>
      </c>
      <c r="F104" s="85" t="str">
        <f>IF(査定表!E92=0,"",査定表!E92)</f>
        <v/>
      </c>
      <c r="G104" s="83" t="str">
        <f t="shared" si="13"/>
        <v/>
      </c>
      <c r="J104" s="83" t="str">
        <f t="shared" si="14"/>
        <v/>
      </c>
      <c r="L104" s="115"/>
    </row>
    <row r="105" spans="2:12" hidden="1" x14ac:dyDescent="0.15">
      <c r="B105" s="102" t="s">
        <v>86</v>
      </c>
      <c r="C105" s="83" t="str">
        <f t="shared" si="10"/>
        <v/>
      </c>
      <c r="D105" s="84" t="str">
        <f t="shared" si="11"/>
        <v/>
      </c>
      <c r="E105" s="84"/>
      <c r="F105" s="86">
        <f>SUM(F64:F104)</f>
        <v>1220000</v>
      </c>
      <c r="G105" s="83"/>
      <c r="J105" s="83"/>
      <c r="L105" s="115"/>
    </row>
    <row r="106" spans="2:12" x14ac:dyDescent="0.15">
      <c r="B106" s="101" t="s">
        <v>84</v>
      </c>
      <c r="C106" s="83"/>
      <c r="D106" s="84" t="str">
        <f t="shared" si="11"/>
        <v>1</v>
      </c>
      <c r="E106" s="84" t="str">
        <f>IF(F106="","","式")</f>
        <v>式</v>
      </c>
      <c r="F106" s="85">
        <f>INT(F105*0.08)</f>
        <v>97600</v>
      </c>
      <c r="G106" s="83"/>
      <c r="J106" s="83"/>
      <c r="L106" s="115"/>
    </row>
    <row r="107" spans="2:12" x14ac:dyDescent="0.15">
      <c r="B107" s="101" t="s">
        <v>18</v>
      </c>
      <c r="C107" s="83" t="str">
        <f t="shared" si="10"/>
        <v/>
      </c>
      <c r="D107" s="84" t="str">
        <f t="shared" si="11"/>
        <v/>
      </c>
      <c r="E107" s="84"/>
      <c r="F107" s="85">
        <f>+SUM(F105:F106)</f>
        <v>1317600</v>
      </c>
      <c r="G107" s="83"/>
      <c r="J107" s="83"/>
      <c r="L107" s="115"/>
    </row>
    <row r="108" spans="2:12" hidden="1" x14ac:dyDescent="0.15">
      <c r="B108" s="101"/>
      <c r="C108" s="83"/>
      <c r="D108" s="84"/>
      <c r="E108" s="84"/>
      <c r="F108" s="85"/>
      <c r="G108" s="83"/>
      <c r="J108" s="83"/>
      <c r="L108" s="115"/>
    </row>
    <row r="109" spans="2:12" hidden="1" x14ac:dyDescent="0.15">
      <c r="B109" s="83" t="str">
        <f>+IF(査定表!A93=0,"",査定表!A93)</f>
        <v/>
      </c>
      <c r="C109" s="83" t="str">
        <f t="shared" ref="C109" si="19">IF(D109="","","図面・仕様書どおり")</f>
        <v/>
      </c>
      <c r="D109" s="84" t="str">
        <f t="shared" ref="D109" si="20">IF(E109="","","1")</f>
        <v/>
      </c>
      <c r="E109" s="84" t="str">
        <f>IF(F109="","","式")</f>
        <v/>
      </c>
      <c r="F109" s="85" t="str">
        <f>IF(査定表!E93=0,"",査定表!E93)</f>
        <v/>
      </c>
      <c r="G109" s="83" t="str">
        <f t="shared" ref="G109:G150" si="21">IF(C109="","","諸経費共")</f>
        <v/>
      </c>
      <c r="J109" s="83" t="str">
        <f t="shared" ref="J109:J150" si="22">IF(F109="","","諸経費共")</f>
        <v/>
      </c>
      <c r="L109" s="115"/>
    </row>
    <row r="110" spans="2:12" hidden="1" x14ac:dyDescent="0.15">
      <c r="B110" s="83" t="str">
        <f>+IF(査定表!A94=0,"",査定表!A94)</f>
        <v/>
      </c>
      <c r="C110" s="83" t="str">
        <f t="shared" ref="C110" si="23">IF(D110="","","図面・仕様書どおり")</f>
        <v/>
      </c>
      <c r="D110" s="84" t="str">
        <f t="shared" ref="D110" si="24">IF(E110="","","1")</f>
        <v/>
      </c>
      <c r="E110" s="84" t="str">
        <f>IF(F110="","","式")</f>
        <v/>
      </c>
      <c r="F110" s="85" t="str">
        <f>IF(査定表!E94=0,"",査定表!E94)</f>
        <v/>
      </c>
      <c r="G110" s="83" t="str">
        <f t="shared" si="21"/>
        <v/>
      </c>
      <c r="J110" s="83" t="str">
        <f t="shared" si="22"/>
        <v/>
      </c>
      <c r="L110" s="115"/>
    </row>
    <row r="111" spans="2:12" hidden="1" x14ac:dyDescent="0.15">
      <c r="B111" s="83" t="str">
        <f>+IF(査定表!A95=0,"",査定表!A95)</f>
        <v/>
      </c>
      <c r="C111" s="83" t="str">
        <f t="shared" ref="C111:C150" si="25">IF(D111="","","図面・仕様書どおり")</f>
        <v/>
      </c>
      <c r="D111" s="84" t="str">
        <f t="shared" ref="D111:D150" si="26">IF(E111="","","1")</f>
        <v/>
      </c>
      <c r="E111" s="84" t="str">
        <f t="shared" ref="E111:E150" si="27">IF(F111="","","式")</f>
        <v/>
      </c>
      <c r="F111" s="85" t="str">
        <f>IF(査定表!E95=0,"",査定表!E95)</f>
        <v/>
      </c>
      <c r="G111" s="83" t="str">
        <f t="shared" si="21"/>
        <v/>
      </c>
      <c r="J111" s="83" t="str">
        <f t="shared" si="22"/>
        <v/>
      </c>
      <c r="L111" s="115"/>
    </row>
    <row r="112" spans="2:12" hidden="1" x14ac:dyDescent="0.15">
      <c r="B112" s="83" t="str">
        <f>+IF(査定表!A96=0,"",査定表!A96)</f>
        <v/>
      </c>
      <c r="C112" s="83" t="str">
        <f t="shared" si="25"/>
        <v/>
      </c>
      <c r="D112" s="84" t="str">
        <f t="shared" si="26"/>
        <v/>
      </c>
      <c r="E112" s="84" t="str">
        <f t="shared" si="27"/>
        <v/>
      </c>
      <c r="F112" s="85" t="str">
        <f>IF(査定表!E96=0,"",査定表!E96)</f>
        <v/>
      </c>
      <c r="G112" s="83" t="str">
        <f t="shared" si="21"/>
        <v/>
      </c>
      <c r="J112" s="83" t="str">
        <f t="shared" si="22"/>
        <v/>
      </c>
      <c r="L112" s="115"/>
    </row>
    <row r="113" spans="2:12" hidden="1" x14ac:dyDescent="0.15">
      <c r="B113" s="83" t="str">
        <f>+IF(査定表!A97=0,"",査定表!A97)</f>
        <v/>
      </c>
      <c r="C113" s="83" t="str">
        <f t="shared" si="25"/>
        <v/>
      </c>
      <c r="D113" s="84" t="str">
        <f t="shared" si="26"/>
        <v/>
      </c>
      <c r="E113" s="84" t="str">
        <f t="shared" si="27"/>
        <v/>
      </c>
      <c r="F113" s="85" t="str">
        <f>IF(査定表!E97=0,"",査定表!E97)</f>
        <v/>
      </c>
      <c r="G113" s="83" t="str">
        <f t="shared" si="21"/>
        <v/>
      </c>
      <c r="J113" s="83" t="str">
        <f t="shared" si="22"/>
        <v/>
      </c>
      <c r="L113" s="115"/>
    </row>
    <row r="114" spans="2:12" hidden="1" x14ac:dyDescent="0.15">
      <c r="B114" s="83" t="str">
        <f>+IF(査定表!A98=0,"",査定表!A98)</f>
        <v/>
      </c>
      <c r="C114" s="83" t="str">
        <f t="shared" si="25"/>
        <v/>
      </c>
      <c r="D114" s="84" t="str">
        <f t="shared" si="26"/>
        <v/>
      </c>
      <c r="E114" s="84" t="str">
        <f t="shared" si="27"/>
        <v/>
      </c>
      <c r="F114" s="85" t="str">
        <f>IF(査定表!E98=0,"",査定表!E98)</f>
        <v/>
      </c>
      <c r="G114" s="83" t="str">
        <f t="shared" si="21"/>
        <v/>
      </c>
      <c r="J114" s="83" t="str">
        <f t="shared" si="22"/>
        <v/>
      </c>
      <c r="L114" s="115"/>
    </row>
    <row r="115" spans="2:12" hidden="1" x14ac:dyDescent="0.15">
      <c r="B115" s="83" t="str">
        <f>+IF(査定表!A99=0,"",査定表!A99)</f>
        <v/>
      </c>
      <c r="C115" s="83" t="str">
        <f t="shared" si="25"/>
        <v/>
      </c>
      <c r="D115" s="84" t="str">
        <f t="shared" si="26"/>
        <v/>
      </c>
      <c r="E115" s="84" t="str">
        <f t="shared" si="27"/>
        <v/>
      </c>
      <c r="F115" s="85" t="str">
        <f>IF(査定表!E99=0,"",査定表!E99)</f>
        <v/>
      </c>
      <c r="G115" s="83" t="str">
        <f t="shared" si="21"/>
        <v/>
      </c>
      <c r="J115" s="83" t="str">
        <f t="shared" si="22"/>
        <v/>
      </c>
      <c r="L115" s="115"/>
    </row>
    <row r="116" spans="2:12" hidden="1" x14ac:dyDescent="0.15">
      <c r="B116" s="83" t="str">
        <f>+IF(査定表!A100=0,"",査定表!A100)</f>
        <v/>
      </c>
      <c r="C116" s="83" t="str">
        <f t="shared" si="25"/>
        <v/>
      </c>
      <c r="D116" s="84" t="str">
        <f t="shared" si="26"/>
        <v/>
      </c>
      <c r="E116" s="84" t="str">
        <f t="shared" si="27"/>
        <v/>
      </c>
      <c r="F116" s="85" t="str">
        <f>IF(査定表!E100=0,"",査定表!E100)</f>
        <v/>
      </c>
      <c r="G116" s="83" t="str">
        <f t="shared" si="21"/>
        <v/>
      </c>
      <c r="J116" s="83" t="str">
        <f t="shared" si="22"/>
        <v/>
      </c>
      <c r="L116" s="115"/>
    </row>
    <row r="117" spans="2:12" hidden="1" x14ac:dyDescent="0.15">
      <c r="B117" s="83" t="str">
        <f>+IF(査定表!A101=0,"",査定表!A101)</f>
        <v/>
      </c>
      <c r="C117" s="83" t="str">
        <f t="shared" si="25"/>
        <v/>
      </c>
      <c r="D117" s="84" t="str">
        <f t="shared" si="26"/>
        <v/>
      </c>
      <c r="E117" s="84" t="str">
        <f t="shared" si="27"/>
        <v/>
      </c>
      <c r="F117" s="85" t="str">
        <f>IF(査定表!E101=0,"",査定表!E101)</f>
        <v/>
      </c>
      <c r="G117" s="83" t="str">
        <f t="shared" si="21"/>
        <v/>
      </c>
      <c r="J117" s="83" t="str">
        <f t="shared" si="22"/>
        <v/>
      </c>
      <c r="L117" s="115"/>
    </row>
    <row r="118" spans="2:12" hidden="1" x14ac:dyDescent="0.15">
      <c r="B118" s="83" t="str">
        <f>+IF(査定表!A102=0,"",査定表!A102)</f>
        <v/>
      </c>
      <c r="C118" s="83" t="str">
        <f t="shared" si="25"/>
        <v/>
      </c>
      <c r="D118" s="84" t="str">
        <f t="shared" si="26"/>
        <v/>
      </c>
      <c r="E118" s="84" t="str">
        <f t="shared" si="27"/>
        <v/>
      </c>
      <c r="F118" s="85" t="str">
        <f>IF(査定表!E102=0,"",査定表!E102)</f>
        <v/>
      </c>
      <c r="G118" s="83" t="str">
        <f t="shared" si="21"/>
        <v/>
      </c>
      <c r="J118" s="83" t="str">
        <f t="shared" si="22"/>
        <v/>
      </c>
      <c r="L118" s="115"/>
    </row>
    <row r="119" spans="2:12" hidden="1" x14ac:dyDescent="0.15">
      <c r="B119" s="83" t="str">
        <f>+IF(査定表!A103=0,"",査定表!A103)</f>
        <v/>
      </c>
      <c r="C119" s="83" t="str">
        <f t="shared" si="25"/>
        <v/>
      </c>
      <c r="D119" s="84" t="str">
        <f t="shared" si="26"/>
        <v/>
      </c>
      <c r="E119" s="84" t="str">
        <f t="shared" si="27"/>
        <v/>
      </c>
      <c r="F119" s="85" t="str">
        <f>IF(査定表!E103=0,"",査定表!E103)</f>
        <v/>
      </c>
      <c r="G119" s="83" t="str">
        <f t="shared" si="21"/>
        <v/>
      </c>
      <c r="J119" s="83" t="str">
        <f t="shared" si="22"/>
        <v/>
      </c>
      <c r="L119" s="115"/>
    </row>
    <row r="120" spans="2:12" hidden="1" x14ac:dyDescent="0.15">
      <c r="B120" s="83" t="str">
        <f>+IF(査定表!A104=0,"",査定表!A104)</f>
        <v/>
      </c>
      <c r="C120" s="83" t="str">
        <f t="shared" si="25"/>
        <v/>
      </c>
      <c r="D120" s="84" t="str">
        <f t="shared" si="26"/>
        <v/>
      </c>
      <c r="E120" s="84" t="str">
        <f t="shared" si="27"/>
        <v/>
      </c>
      <c r="F120" s="85" t="str">
        <f>IF(査定表!E104=0,"",査定表!E104)</f>
        <v/>
      </c>
      <c r="G120" s="83" t="str">
        <f t="shared" si="21"/>
        <v/>
      </c>
      <c r="J120" s="83" t="str">
        <f t="shared" si="22"/>
        <v/>
      </c>
      <c r="L120" s="115"/>
    </row>
    <row r="121" spans="2:12" hidden="1" x14ac:dyDescent="0.15">
      <c r="B121" s="83" t="str">
        <f>+IF(査定表!A105=0,"",査定表!A105)</f>
        <v/>
      </c>
      <c r="C121" s="83" t="str">
        <f t="shared" si="25"/>
        <v/>
      </c>
      <c r="D121" s="84" t="str">
        <f t="shared" si="26"/>
        <v/>
      </c>
      <c r="E121" s="84" t="str">
        <f t="shared" si="27"/>
        <v/>
      </c>
      <c r="F121" s="85" t="str">
        <f>IF(査定表!E105=0,"",査定表!E105)</f>
        <v/>
      </c>
      <c r="G121" s="83" t="str">
        <f t="shared" si="21"/>
        <v/>
      </c>
      <c r="J121" s="83" t="str">
        <f t="shared" si="22"/>
        <v/>
      </c>
      <c r="L121" s="115"/>
    </row>
    <row r="122" spans="2:12" hidden="1" x14ac:dyDescent="0.15">
      <c r="B122" s="83" t="str">
        <f>+IF(査定表!A106=0,"",査定表!A106)</f>
        <v/>
      </c>
      <c r="C122" s="83" t="str">
        <f t="shared" si="25"/>
        <v/>
      </c>
      <c r="D122" s="84" t="str">
        <f t="shared" si="26"/>
        <v/>
      </c>
      <c r="E122" s="84" t="str">
        <f t="shared" si="27"/>
        <v/>
      </c>
      <c r="F122" s="85" t="str">
        <f>IF(査定表!E106=0,"",査定表!E106)</f>
        <v/>
      </c>
      <c r="G122" s="83" t="str">
        <f t="shared" si="21"/>
        <v/>
      </c>
      <c r="J122" s="83" t="str">
        <f t="shared" si="22"/>
        <v/>
      </c>
      <c r="L122" s="115"/>
    </row>
    <row r="123" spans="2:12" hidden="1" x14ac:dyDescent="0.15">
      <c r="B123" s="83" t="str">
        <f>+IF(査定表!A107=0,"",査定表!A107)</f>
        <v/>
      </c>
      <c r="C123" s="83" t="str">
        <f t="shared" si="25"/>
        <v/>
      </c>
      <c r="D123" s="84" t="str">
        <f t="shared" si="26"/>
        <v/>
      </c>
      <c r="E123" s="84" t="str">
        <f t="shared" si="27"/>
        <v/>
      </c>
      <c r="F123" s="85" t="str">
        <f>IF(査定表!E107=0,"",査定表!E107)</f>
        <v/>
      </c>
      <c r="G123" s="83" t="str">
        <f t="shared" si="21"/>
        <v/>
      </c>
      <c r="J123" s="83" t="str">
        <f t="shared" si="22"/>
        <v/>
      </c>
      <c r="L123" s="115"/>
    </row>
    <row r="124" spans="2:12" hidden="1" x14ac:dyDescent="0.15">
      <c r="B124" s="83" t="str">
        <f>+IF(査定表!A108=0,"",査定表!A108)</f>
        <v/>
      </c>
      <c r="C124" s="83" t="str">
        <f t="shared" si="25"/>
        <v/>
      </c>
      <c r="D124" s="84" t="str">
        <f t="shared" si="26"/>
        <v/>
      </c>
      <c r="E124" s="84" t="str">
        <f t="shared" si="27"/>
        <v/>
      </c>
      <c r="F124" s="85" t="str">
        <f>IF(査定表!E108=0,"",査定表!E108)</f>
        <v/>
      </c>
      <c r="G124" s="83" t="str">
        <f t="shared" si="21"/>
        <v/>
      </c>
      <c r="J124" s="83" t="str">
        <f t="shared" si="22"/>
        <v/>
      </c>
      <c r="L124" s="115"/>
    </row>
    <row r="125" spans="2:12" hidden="1" x14ac:dyDescent="0.15">
      <c r="B125" s="83" t="str">
        <f>+IF(査定表!A109=0,"",査定表!A109)</f>
        <v/>
      </c>
      <c r="C125" s="83" t="str">
        <f t="shared" si="25"/>
        <v/>
      </c>
      <c r="D125" s="84" t="str">
        <f t="shared" si="26"/>
        <v/>
      </c>
      <c r="E125" s="84" t="str">
        <f t="shared" si="27"/>
        <v/>
      </c>
      <c r="F125" s="85" t="str">
        <f>IF(査定表!E109=0,"",査定表!E109)</f>
        <v/>
      </c>
      <c r="G125" s="83" t="str">
        <f t="shared" si="21"/>
        <v/>
      </c>
      <c r="J125" s="83" t="str">
        <f t="shared" si="22"/>
        <v/>
      </c>
      <c r="L125" s="115"/>
    </row>
    <row r="126" spans="2:12" hidden="1" x14ac:dyDescent="0.15">
      <c r="B126" s="83" t="str">
        <f>+IF(査定表!A110=0,"",査定表!A110)</f>
        <v/>
      </c>
      <c r="C126" s="83" t="str">
        <f t="shared" si="25"/>
        <v/>
      </c>
      <c r="D126" s="84" t="str">
        <f t="shared" si="26"/>
        <v/>
      </c>
      <c r="E126" s="84" t="str">
        <f t="shared" si="27"/>
        <v/>
      </c>
      <c r="F126" s="85" t="str">
        <f>IF(査定表!E110=0,"",査定表!E110)</f>
        <v/>
      </c>
      <c r="G126" s="83" t="str">
        <f t="shared" si="21"/>
        <v/>
      </c>
      <c r="J126" s="83" t="str">
        <f t="shared" si="22"/>
        <v/>
      </c>
      <c r="L126" s="115"/>
    </row>
    <row r="127" spans="2:12" hidden="1" x14ac:dyDescent="0.15">
      <c r="B127" s="83" t="str">
        <f>+IF(査定表!A111=0,"",査定表!A111)</f>
        <v/>
      </c>
      <c r="C127" s="83" t="str">
        <f t="shared" si="25"/>
        <v/>
      </c>
      <c r="D127" s="84" t="str">
        <f t="shared" si="26"/>
        <v/>
      </c>
      <c r="E127" s="84" t="str">
        <f t="shared" si="27"/>
        <v/>
      </c>
      <c r="F127" s="85" t="str">
        <f>IF(査定表!E111=0,"",査定表!E111)</f>
        <v/>
      </c>
      <c r="G127" s="83" t="str">
        <f t="shared" si="21"/>
        <v/>
      </c>
      <c r="J127" s="83" t="str">
        <f t="shared" si="22"/>
        <v/>
      </c>
      <c r="L127" s="115"/>
    </row>
    <row r="128" spans="2:12" hidden="1" x14ac:dyDescent="0.15">
      <c r="B128" s="83" t="str">
        <f>+IF(査定表!A112=0,"",査定表!A112)</f>
        <v/>
      </c>
      <c r="C128" s="83" t="str">
        <f t="shared" si="25"/>
        <v/>
      </c>
      <c r="D128" s="84" t="str">
        <f t="shared" si="26"/>
        <v/>
      </c>
      <c r="E128" s="84" t="str">
        <f t="shared" si="27"/>
        <v/>
      </c>
      <c r="F128" s="85" t="str">
        <f>IF(査定表!E112=0,"",査定表!E112)</f>
        <v/>
      </c>
      <c r="G128" s="83" t="str">
        <f t="shared" si="21"/>
        <v/>
      </c>
      <c r="J128" s="83" t="str">
        <f t="shared" si="22"/>
        <v/>
      </c>
      <c r="L128" s="115"/>
    </row>
    <row r="129" spans="2:12" hidden="1" x14ac:dyDescent="0.15">
      <c r="B129" s="83" t="str">
        <f>+IF(査定表!A113=0,"",査定表!A113)</f>
        <v/>
      </c>
      <c r="C129" s="83" t="str">
        <f t="shared" si="25"/>
        <v/>
      </c>
      <c r="D129" s="84" t="str">
        <f t="shared" si="26"/>
        <v/>
      </c>
      <c r="E129" s="84" t="str">
        <f t="shared" si="27"/>
        <v/>
      </c>
      <c r="F129" s="85" t="str">
        <f>IF(査定表!E113=0,"",査定表!E113)</f>
        <v/>
      </c>
      <c r="G129" s="83" t="str">
        <f t="shared" si="21"/>
        <v/>
      </c>
      <c r="J129" s="83" t="str">
        <f t="shared" si="22"/>
        <v/>
      </c>
      <c r="L129" s="115"/>
    </row>
    <row r="130" spans="2:12" hidden="1" x14ac:dyDescent="0.15">
      <c r="B130" s="83" t="str">
        <f>+IF(査定表!A114=0,"",査定表!A114)</f>
        <v/>
      </c>
      <c r="C130" s="83" t="str">
        <f t="shared" si="25"/>
        <v/>
      </c>
      <c r="D130" s="84" t="str">
        <f t="shared" si="26"/>
        <v/>
      </c>
      <c r="E130" s="84" t="str">
        <f t="shared" si="27"/>
        <v/>
      </c>
      <c r="F130" s="85" t="str">
        <f>IF(査定表!E114=0,"",査定表!E114)</f>
        <v/>
      </c>
      <c r="G130" s="83" t="str">
        <f t="shared" si="21"/>
        <v/>
      </c>
      <c r="J130" s="83" t="str">
        <f t="shared" si="22"/>
        <v/>
      </c>
      <c r="L130" s="115"/>
    </row>
    <row r="131" spans="2:12" hidden="1" x14ac:dyDescent="0.15">
      <c r="B131" s="83" t="str">
        <f>+IF(査定表!A115=0,"",査定表!A115)</f>
        <v/>
      </c>
      <c r="C131" s="83" t="str">
        <f t="shared" si="25"/>
        <v/>
      </c>
      <c r="D131" s="84" t="str">
        <f t="shared" si="26"/>
        <v/>
      </c>
      <c r="E131" s="84" t="str">
        <f t="shared" si="27"/>
        <v/>
      </c>
      <c r="F131" s="85" t="str">
        <f>IF(査定表!E115=0,"",査定表!E115)</f>
        <v/>
      </c>
      <c r="G131" s="83" t="str">
        <f t="shared" si="21"/>
        <v/>
      </c>
      <c r="J131" s="83" t="str">
        <f t="shared" si="22"/>
        <v/>
      </c>
      <c r="L131" s="115"/>
    </row>
    <row r="132" spans="2:12" hidden="1" x14ac:dyDescent="0.15">
      <c r="B132" s="83" t="str">
        <f>+IF(査定表!A116=0,"",査定表!A116)</f>
        <v/>
      </c>
      <c r="C132" s="83" t="str">
        <f t="shared" si="25"/>
        <v/>
      </c>
      <c r="D132" s="84" t="str">
        <f t="shared" si="26"/>
        <v/>
      </c>
      <c r="E132" s="84" t="str">
        <f t="shared" si="27"/>
        <v/>
      </c>
      <c r="F132" s="85" t="str">
        <f>IF(査定表!E116=0,"",査定表!E116)</f>
        <v/>
      </c>
      <c r="G132" s="83" t="str">
        <f t="shared" si="21"/>
        <v/>
      </c>
      <c r="J132" s="83" t="str">
        <f t="shared" si="22"/>
        <v/>
      </c>
      <c r="L132" s="115"/>
    </row>
    <row r="133" spans="2:12" hidden="1" x14ac:dyDescent="0.15">
      <c r="B133" s="83" t="str">
        <f>+IF(査定表!A117=0,"",査定表!A117)</f>
        <v/>
      </c>
      <c r="C133" s="83" t="str">
        <f t="shared" si="25"/>
        <v/>
      </c>
      <c r="D133" s="84" t="str">
        <f t="shared" si="26"/>
        <v/>
      </c>
      <c r="E133" s="84" t="str">
        <f t="shared" si="27"/>
        <v/>
      </c>
      <c r="F133" s="85" t="str">
        <f>IF(査定表!E117=0,"",査定表!E117)</f>
        <v/>
      </c>
      <c r="G133" s="83" t="str">
        <f t="shared" si="21"/>
        <v/>
      </c>
      <c r="J133" s="83" t="str">
        <f t="shared" si="22"/>
        <v/>
      </c>
      <c r="L133" s="115"/>
    </row>
    <row r="134" spans="2:12" hidden="1" x14ac:dyDescent="0.15">
      <c r="B134" s="83" t="str">
        <f>+IF(査定表!A118=0,"",査定表!A118)</f>
        <v/>
      </c>
      <c r="C134" s="83" t="str">
        <f t="shared" si="25"/>
        <v/>
      </c>
      <c r="D134" s="84" t="str">
        <f t="shared" si="26"/>
        <v/>
      </c>
      <c r="E134" s="84" t="str">
        <f t="shared" si="27"/>
        <v/>
      </c>
      <c r="F134" s="85" t="str">
        <f>IF(査定表!E118=0,"",査定表!E118)</f>
        <v/>
      </c>
      <c r="G134" s="83" t="str">
        <f t="shared" si="21"/>
        <v/>
      </c>
      <c r="J134" s="83" t="str">
        <f t="shared" si="22"/>
        <v/>
      </c>
      <c r="L134" s="115"/>
    </row>
    <row r="135" spans="2:12" hidden="1" x14ac:dyDescent="0.15">
      <c r="B135" s="83" t="str">
        <f>+IF(査定表!A119=0,"",査定表!A119)</f>
        <v/>
      </c>
      <c r="C135" s="83" t="str">
        <f t="shared" si="25"/>
        <v/>
      </c>
      <c r="D135" s="84" t="str">
        <f t="shared" si="26"/>
        <v/>
      </c>
      <c r="E135" s="84" t="str">
        <f t="shared" si="27"/>
        <v/>
      </c>
      <c r="F135" s="85" t="str">
        <f>IF(査定表!E119=0,"",査定表!E119)</f>
        <v/>
      </c>
      <c r="G135" s="83" t="str">
        <f t="shared" si="21"/>
        <v/>
      </c>
      <c r="J135" s="83" t="str">
        <f t="shared" si="22"/>
        <v/>
      </c>
      <c r="L135" s="115"/>
    </row>
    <row r="136" spans="2:12" hidden="1" x14ac:dyDescent="0.15">
      <c r="B136" s="83" t="str">
        <f>+IF(査定表!A120=0,"",査定表!A120)</f>
        <v/>
      </c>
      <c r="C136" s="83" t="str">
        <f t="shared" si="25"/>
        <v/>
      </c>
      <c r="D136" s="84" t="str">
        <f t="shared" si="26"/>
        <v/>
      </c>
      <c r="E136" s="84" t="str">
        <f t="shared" si="27"/>
        <v/>
      </c>
      <c r="F136" s="85" t="str">
        <f>IF(査定表!E120=0,"",査定表!E120)</f>
        <v/>
      </c>
      <c r="G136" s="83" t="str">
        <f t="shared" si="21"/>
        <v/>
      </c>
      <c r="J136" s="83" t="str">
        <f t="shared" si="22"/>
        <v/>
      </c>
      <c r="L136" s="115"/>
    </row>
    <row r="137" spans="2:12" hidden="1" x14ac:dyDescent="0.15">
      <c r="B137" s="83" t="str">
        <f>+IF(査定表!A121=0,"",査定表!A121)</f>
        <v/>
      </c>
      <c r="C137" s="83" t="str">
        <f t="shared" si="25"/>
        <v/>
      </c>
      <c r="D137" s="84" t="str">
        <f t="shared" si="26"/>
        <v/>
      </c>
      <c r="E137" s="84" t="str">
        <f t="shared" si="27"/>
        <v/>
      </c>
      <c r="F137" s="85" t="str">
        <f>IF(査定表!E121=0,"",査定表!E121)</f>
        <v/>
      </c>
      <c r="G137" s="83" t="str">
        <f t="shared" si="21"/>
        <v/>
      </c>
      <c r="J137" s="83" t="str">
        <f t="shared" si="22"/>
        <v/>
      </c>
      <c r="L137" s="115"/>
    </row>
    <row r="138" spans="2:12" hidden="1" x14ac:dyDescent="0.15">
      <c r="B138" s="83" t="str">
        <f>+IF(査定表!A122=0,"",査定表!A122)</f>
        <v/>
      </c>
      <c r="C138" s="83" t="str">
        <f t="shared" si="25"/>
        <v/>
      </c>
      <c r="D138" s="84" t="str">
        <f t="shared" si="26"/>
        <v/>
      </c>
      <c r="E138" s="84" t="str">
        <f t="shared" si="27"/>
        <v/>
      </c>
      <c r="F138" s="85" t="str">
        <f>IF(査定表!E122=0,"",査定表!E122)</f>
        <v/>
      </c>
      <c r="G138" s="83" t="str">
        <f t="shared" si="21"/>
        <v/>
      </c>
      <c r="J138" s="83" t="str">
        <f t="shared" si="22"/>
        <v/>
      </c>
      <c r="L138" s="115"/>
    </row>
    <row r="139" spans="2:12" hidden="1" x14ac:dyDescent="0.15">
      <c r="B139" s="83" t="str">
        <f>+IF(査定表!A123=0,"",査定表!A123)</f>
        <v/>
      </c>
      <c r="C139" s="83" t="str">
        <f t="shared" si="25"/>
        <v/>
      </c>
      <c r="D139" s="84" t="str">
        <f t="shared" si="26"/>
        <v/>
      </c>
      <c r="E139" s="84" t="str">
        <f t="shared" si="27"/>
        <v/>
      </c>
      <c r="F139" s="85" t="str">
        <f>IF(査定表!E123=0,"",査定表!E123)</f>
        <v/>
      </c>
      <c r="G139" s="83" t="str">
        <f t="shared" si="21"/>
        <v/>
      </c>
      <c r="J139" s="83" t="str">
        <f t="shared" si="22"/>
        <v/>
      </c>
      <c r="L139" s="115"/>
    </row>
    <row r="140" spans="2:12" hidden="1" x14ac:dyDescent="0.15">
      <c r="B140" s="83" t="str">
        <f>+IF(査定表!A124=0,"",査定表!A124)</f>
        <v/>
      </c>
      <c r="C140" s="83" t="str">
        <f t="shared" si="25"/>
        <v/>
      </c>
      <c r="D140" s="84" t="str">
        <f t="shared" si="26"/>
        <v/>
      </c>
      <c r="E140" s="84" t="str">
        <f t="shared" si="27"/>
        <v/>
      </c>
      <c r="F140" s="85" t="str">
        <f>IF(査定表!E124=0,"",査定表!E124)</f>
        <v/>
      </c>
      <c r="G140" s="83" t="str">
        <f t="shared" si="21"/>
        <v/>
      </c>
      <c r="J140" s="83" t="str">
        <f t="shared" si="22"/>
        <v/>
      </c>
      <c r="L140" s="115"/>
    </row>
    <row r="141" spans="2:12" hidden="1" x14ac:dyDescent="0.15">
      <c r="B141" s="83" t="str">
        <f>+IF(査定表!A125=0,"",査定表!A125)</f>
        <v/>
      </c>
      <c r="C141" s="83" t="str">
        <f t="shared" si="25"/>
        <v/>
      </c>
      <c r="D141" s="84" t="str">
        <f t="shared" si="26"/>
        <v/>
      </c>
      <c r="E141" s="84" t="str">
        <f t="shared" si="27"/>
        <v/>
      </c>
      <c r="F141" s="85" t="str">
        <f>IF(査定表!E125=0,"",査定表!E125)</f>
        <v/>
      </c>
      <c r="G141" s="83" t="str">
        <f t="shared" si="21"/>
        <v/>
      </c>
      <c r="J141" s="83" t="str">
        <f t="shared" si="22"/>
        <v/>
      </c>
      <c r="L141" s="115"/>
    </row>
    <row r="142" spans="2:12" hidden="1" x14ac:dyDescent="0.15">
      <c r="B142" s="83" t="str">
        <f>+IF(査定表!A126=0,"",査定表!A126)</f>
        <v/>
      </c>
      <c r="C142" s="83" t="str">
        <f t="shared" si="25"/>
        <v/>
      </c>
      <c r="D142" s="84" t="str">
        <f t="shared" si="26"/>
        <v/>
      </c>
      <c r="E142" s="84" t="str">
        <f t="shared" si="27"/>
        <v/>
      </c>
      <c r="F142" s="85" t="str">
        <f>IF(査定表!E126=0,"",査定表!E126)</f>
        <v/>
      </c>
      <c r="G142" s="83" t="str">
        <f t="shared" si="21"/>
        <v/>
      </c>
      <c r="J142" s="83" t="str">
        <f t="shared" si="22"/>
        <v/>
      </c>
      <c r="L142" s="115"/>
    </row>
    <row r="143" spans="2:12" hidden="1" x14ac:dyDescent="0.15">
      <c r="B143" s="83" t="str">
        <f>+IF(査定表!A127=0,"",査定表!A127)</f>
        <v/>
      </c>
      <c r="C143" s="83" t="str">
        <f t="shared" si="25"/>
        <v/>
      </c>
      <c r="D143" s="84" t="str">
        <f t="shared" si="26"/>
        <v/>
      </c>
      <c r="E143" s="84" t="str">
        <f t="shared" si="27"/>
        <v/>
      </c>
      <c r="F143" s="85" t="str">
        <f>IF(査定表!E127=0,"",査定表!E127)</f>
        <v/>
      </c>
      <c r="G143" s="83" t="str">
        <f t="shared" si="21"/>
        <v/>
      </c>
      <c r="J143" s="83" t="str">
        <f t="shared" si="22"/>
        <v/>
      </c>
      <c r="L143" s="115"/>
    </row>
    <row r="144" spans="2:12" hidden="1" x14ac:dyDescent="0.15">
      <c r="B144" s="83" t="str">
        <f>+IF(査定表!A128=0,"",査定表!A128)</f>
        <v/>
      </c>
      <c r="C144" s="83" t="str">
        <f t="shared" si="25"/>
        <v/>
      </c>
      <c r="D144" s="84" t="str">
        <f t="shared" si="26"/>
        <v/>
      </c>
      <c r="E144" s="84" t="str">
        <f t="shared" si="27"/>
        <v/>
      </c>
      <c r="F144" s="85" t="str">
        <f>IF(査定表!E128=0,"",査定表!E128)</f>
        <v/>
      </c>
      <c r="G144" s="83" t="str">
        <f t="shared" si="21"/>
        <v/>
      </c>
      <c r="J144" s="83" t="str">
        <f t="shared" si="22"/>
        <v/>
      </c>
      <c r="L144" s="115"/>
    </row>
    <row r="145" spans="2:12" hidden="1" x14ac:dyDescent="0.15">
      <c r="B145" s="83" t="str">
        <f>+IF(査定表!A129=0,"",査定表!A129)</f>
        <v/>
      </c>
      <c r="C145" s="83" t="str">
        <f t="shared" si="25"/>
        <v/>
      </c>
      <c r="D145" s="84" t="str">
        <f t="shared" si="26"/>
        <v/>
      </c>
      <c r="E145" s="84" t="str">
        <f t="shared" si="27"/>
        <v/>
      </c>
      <c r="F145" s="85" t="str">
        <f>IF(査定表!E129=0,"",査定表!E129)</f>
        <v/>
      </c>
      <c r="G145" s="83" t="str">
        <f t="shared" si="21"/>
        <v/>
      </c>
      <c r="J145" s="83" t="str">
        <f t="shared" si="22"/>
        <v/>
      </c>
      <c r="L145" s="115"/>
    </row>
    <row r="146" spans="2:12" hidden="1" x14ac:dyDescent="0.15">
      <c r="B146" s="83" t="str">
        <f>+IF(査定表!A130=0,"",査定表!A130)</f>
        <v/>
      </c>
      <c r="C146" s="83" t="str">
        <f t="shared" si="25"/>
        <v/>
      </c>
      <c r="D146" s="84" t="str">
        <f t="shared" si="26"/>
        <v/>
      </c>
      <c r="E146" s="84" t="str">
        <f t="shared" si="27"/>
        <v/>
      </c>
      <c r="F146" s="85" t="str">
        <f>IF(査定表!E130=0,"",査定表!E130)</f>
        <v/>
      </c>
      <c r="G146" s="83" t="str">
        <f t="shared" si="21"/>
        <v/>
      </c>
      <c r="J146" s="83" t="str">
        <f t="shared" si="22"/>
        <v/>
      </c>
      <c r="L146" s="115"/>
    </row>
    <row r="147" spans="2:12" hidden="1" x14ac:dyDescent="0.15">
      <c r="B147" s="83" t="str">
        <f>+IF(査定表!A131=0,"",査定表!A131)</f>
        <v/>
      </c>
      <c r="C147" s="83" t="str">
        <f t="shared" si="25"/>
        <v/>
      </c>
      <c r="D147" s="84" t="str">
        <f t="shared" si="26"/>
        <v/>
      </c>
      <c r="E147" s="84" t="str">
        <f t="shared" si="27"/>
        <v/>
      </c>
      <c r="F147" s="85" t="str">
        <f>IF(査定表!E131=0,"",査定表!E131)</f>
        <v/>
      </c>
      <c r="G147" s="83" t="str">
        <f t="shared" si="21"/>
        <v/>
      </c>
      <c r="J147" s="83" t="str">
        <f t="shared" si="22"/>
        <v/>
      </c>
      <c r="L147" s="115"/>
    </row>
    <row r="148" spans="2:12" hidden="1" x14ac:dyDescent="0.15">
      <c r="B148" s="83" t="str">
        <f>+IF(査定表!A132=0,"",査定表!A132)</f>
        <v/>
      </c>
      <c r="C148" s="83" t="str">
        <f t="shared" si="25"/>
        <v/>
      </c>
      <c r="D148" s="84" t="str">
        <f t="shared" si="26"/>
        <v/>
      </c>
      <c r="E148" s="84" t="str">
        <f t="shared" si="27"/>
        <v/>
      </c>
      <c r="F148" s="85" t="str">
        <f>IF(査定表!E132=0,"",査定表!E132)</f>
        <v/>
      </c>
      <c r="G148" s="83" t="str">
        <f t="shared" si="21"/>
        <v/>
      </c>
      <c r="J148" s="83" t="str">
        <f t="shared" si="22"/>
        <v/>
      </c>
      <c r="L148" s="115"/>
    </row>
    <row r="149" spans="2:12" hidden="1" x14ac:dyDescent="0.15">
      <c r="B149" s="83" t="str">
        <f>+IF(査定表!A133=0,"",査定表!A133)</f>
        <v/>
      </c>
      <c r="C149" s="83" t="str">
        <f t="shared" si="25"/>
        <v/>
      </c>
      <c r="D149" s="84" t="str">
        <f t="shared" si="26"/>
        <v/>
      </c>
      <c r="E149" s="84" t="str">
        <f t="shared" si="27"/>
        <v/>
      </c>
      <c r="F149" s="85" t="str">
        <f>IF(査定表!E133=0,"",査定表!E133)</f>
        <v/>
      </c>
      <c r="G149" s="83" t="str">
        <f t="shared" si="21"/>
        <v/>
      </c>
      <c r="J149" s="83" t="str">
        <f t="shared" si="22"/>
        <v/>
      </c>
      <c r="L149" s="115"/>
    </row>
    <row r="150" spans="2:12" hidden="1" x14ac:dyDescent="0.15">
      <c r="B150" s="83" t="str">
        <f>+IF(査定表!A134=0,"",査定表!A134)</f>
        <v/>
      </c>
      <c r="C150" s="83" t="str">
        <f t="shared" si="25"/>
        <v/>
      </c>
      <c r="D150" s="84" t="str">
        <f t="shared" si="26"/>
        <v/>
      </c>
      <c r="E150" s="84" t="str">
        <f t="shared" si="27"/>
        <v/>
      </c>
      <c r="F150" s="85" t="str">
        <f>IF(査定表!E134=0,"",査定表!E134)</f>
        <v/>
      </c>
      <c r="G150" s="83" t="str">
        <f t="shared" si="21"/>
        <v/>
      </c>
      <c r="J150" s="83" t="str">
        <f t="shared" si="22"/>
        <v/>
      </c>
      <c r="L150" s="115"/>
    </row>
    <row r="151" spans="2:12" hidden="1" x14ac:dyDescent="0.15">
      <c r="B151" s="102" t="s">
        <v>86</v>
      </c>
      <c r="C151" s="83" t="str">
        <f t="shared" si="10"/>
        <v/>
      </c>
      <c r="D151" s="84" t="str">
        <f t="shared" si="11"/>
        <v/>
      </c>
      <c r="E151" s="84"/>
      <c r="F151" s="86">
        <f>SUM(F110:F150)</f>
        <v>0</v>
      </c>
      <c r="G151" s="83"/>
      <c r="J151" s="83"/>
      <c r="L151" s="115"/>
    </row>
    <row r="152" spans="2:12" hidden="1" x14ac:dyDescent="0.15">
      <c r="B152" s="101" t="s">
        <v>84</v>
      </c>
      <c r="C152" s="83"/>
      <c r="D152" s="84" t="str">
        <f t="shared" si="11"/>
        <v>1</v>
      </c>
      <c r="E152" s="84" t="str">
        <f>IF(F152="","","式")</f>
        <v>式</v>
      </c>
      <c r="F152" s="85">
        <f>INT(F151*0.08)</f>
        <v>0</v>
      </c>
      <c r="G152" s="83"/>
      <c r="J152" s="83"/>
      <c r="L152" s="115"/>
    </row>
    <row r="153" spans="2:12" hidden="1" x14ac:dyDescent="0.15">
      <c r="B153" s="101" t="s">
        <v>18</v>
      </c>
      <c r="C153" s="83" t="str">
        <f t="shared" si="10"/>
        <v/>
      </c>
      <c r="D153" s="84" t="str">
        <f t="shared" si="11"/>
        <v/>
      </c>
      <c r="E153" s="84"/>
      <c r="F153" s="85">
        <f>+SUM(F151:F152)</f>
        <v>0</v>
      </c>
      <c r="G153" s="83"/>
      <c r="J153" s="83"/>
      <c r="L153" s="115"/>
    </row>
    <row r="154" spans="2:12" hidden="1" x14ac:dyDescent="0.15">
      <c r="B154" s="101"/>
      <c r="C154" s="83"/>
      <c r="D154" s="84"/>
      <c r="E154" s="84"/>
      <c r="F154" s="85"/>
      <c r="G154" s="83"/>
      <c r="J154" s="83"/>
      <c r="L154" s="115"/>
    </row>
    <row r="155" spans="2:12" hidden="1" x14ac:dyDescent="0.15">
      <c r="B155" s="83" t="str">
        <f>+IF(査定表!A135=0,"",査定表!A135)</f>
        <v/>
      </c>
      <c r="C155" s="83" t="str">
        <f t="shared" ref="C155" si="28">IF(D155="","","図面・仕様書どおり")</f>
        <v/>
      </c>
      <c r="D155" s="84" t="str">
        <f t="shared" ref="D155" si="29">IF(E155="","","1")</f>
        <v/>
      </c>
      <c r="E155" s="84" t="str">
        <f>IF(F155="","","式")</f>
        <v/>
      </c>
      <c r="F155" s="85" t="str">
        <f>IF(査定表!E135=0,"",査定表!E135)</f>
        <v/>
      </c>
      <c r="G155" s="83" t="str">
        <f t="shared" ref="G155:G191" si="30">IF(C155="","","諸経費共")</f>
        <v/>
      </c>
      <c r="J155" s="83" t="str">
        <f t="shared" ref="J155:J191" si="31">IF(F155="","","諸経費共")</f>
        <v/>
      </c>
      <c r="L155" s="115"/>
    </row>
    <row r="156" spans="2:12" hidden="1" x14ac:dyDescent="0.15">
      <c r="B156" s="83" t="str">
        <f>+IF(査定表!A136=0,"",査定表!A136)</f>
        <v/>
      </c>
      <c r="C156" s="83" t="str">
        <f t="shared" ref="C156:C191" si="32">IF(D156="","","図面・仕様書どおり")</f>
        <v/>
      </c>
      <c r="D156" s="84" t="str">
        <f t="shared" ref="D156:D191" si="33">IF(E156="","","1")</f>
        <v/>
      </c>
      <c r="E156" s="84" t="str">
        <f t="shared" ref="E156:E191" si="34">IF(F156="","","式")</f>
        <v/>
      </c>
      <c r="F156" s="85" t="str">
        <f>IF(査定表!E136=0,"",査定表!E136)</f>
        <v/>
      </c>
      <c r="G156" s="83" t="str">
        <f t="shared" si="30"/>
        <v/>
      </c>
      <c r="J156" s="83" t="str">
        <f t="shared" si="31"/>
        <v/>
      </c>
      <c r="L156" s="115"/>
    </row>
    <row r="157" spans="2:12" hidden="1" x14ac:dyDescent="0.15">
      <c r="B157" s="83" t="str">
        <f>+IF(査定表!A137=0,"",査定表!A137)</f>
        <v/>
      </c>
      <c r="C157" s="83" t="str">
        <f t="shared" si="32"/>
        <v/>
      </c>
      <c r="D157" s="84" t="str">
        <f t="shared" si="33"/>
        <v/>
      </c>
      <c r="E157" s="84" t="str">
        <f t="shared" si="34"/>
        <v/>
      </c>
      <c r="F157" s="85" t="str">
        <f>IF(査定表!E137=0,"",査定表!E137)</f>
        <v/>
      </c>
      <c r="G157" s="83" t="str">
        <f t="shared" si="30"/>
        <v/>
      </c>
      <c r="J157" s="83" t="str">
        <f t="shared" si="31"/>
        <v/>
      </c>
      <c r="L157" s="115"/>
    </row>
    <row r="158" spans="2:12" hidden="1" x14ac:dyDescent="0.15">
      <c r="B158" s="83" t="str">
        <f>+IF(査定表!A138=0,"",査定表!A138)</f>
        <v/>
      </c>
      <c r="C158" s="83" t="str">
        <f t="shared" si="32"/>
        <v/>
      </c>
      <c r="D158" s="84" t="str">
        <f t="shared" si="33"/>
        <v/>
      </c>
      <c r="E158" s="84" t="str">
        <f t="shared" si="34"/>
        <v/>
      </c>
      <c r="F158" s="85" t="str">
        <f>IF(査定表!E138=0,"",査定表!E138)</f>
        <v/>
      </c>
      <c r="G158" s="83" t="str">
        <f t="shared" si="30"/>
        <v/>
      </c>
      <c r="J158" s="83" t="str">
        <f t="shared" si="31"/>
        <v/>
      </c>
      <c r="L158" s="115"/>
    </row>
    <row r="159" spans="2:12" hidden="1" x14ac:dyDescent="0.15">
      <c r="B159" s="83" t="str">
        <f>+IF(査定表!A139=0,"",査定表!A139)</f>
        <v/>
      </c>
      <c r="C159" s="83" t="str">
        <f t="shared" si="32"/>
        <v/>
      </c>
      <c r="D159" s="84" t="str">
        <f t="shared" si="33"/>
        <v/>
      </c>
      <c r="E159" s="84" t="str">
        <f t="shared" si="34"/>
        <v/>
      </c>
      <c r="F159" s="85" t="str">
        <f>IF(査定表!E139=0,"",査定表!E139)</f>
        <v/>
      </c>
      <c r="G159" s="83" t="str">
        <f t="shared" si="30"/>
        <v/>
      </c>
      <c r="J159" s="83" t="str">
        <f t="shared" si="31"/>
        <v/>
      </c>
      <c r="L159" s="115"/>
    </row>
    <row r="160" spans="2:12" hidden="1" x14ac:dyDescent="0.15">
      <c r="B160" s="83" t="str">
        <f>+IF(査定表!A140=0,"",査定表!A140)</f>
        <v/>
      </c>
      <c r="C160" s="83" t="str">
        <f t="shared" si="32"/>
        <v/>
      </c>
      <c r="D160" s="84" t="str">
        <f t="shared" si="33"/>
        <v/>
      </c>
      <c r="E160" s="84" t="str">
        <f t="shared" si="34"/>
        <v/>
      </c>
      <c r="F160" s="85" t="str">
        <f>IF(査定表!E140=0,"",査定表!E140)</f>
        <v/>
      </c>
      <c r="G160" s="83" t="str">
        <f t="shared" si="30"/>
        <v/>
      </c>
      <c r="J160" s="83" t="str">
        <f t="shared" si="31"/>
        <v/>
      </c>
      <c r="L160" s="115"/>
    </row>
    <row r="161" spans="2:12" hidden="1" x14ac:dyDescent="0.15">
      <c r="B161" s="83" t="str">
        <f>+IF(査定表!A141=0,"",査定表!A141)</f>
        <v/>
      </c>
      <c r="C161" s="83" t="str">
        <f t="shared" si="32"/>
        <v/>
      </c>
      <c r="D161" s="84" t="str">
        <f t="shared" si="33"/>
        <v/>
      </c>
      <c r="E161" s="84" t="str">
        <f t="shared" si="34"/>
        <v/>
      </c>
      <c r="F161" s="85" t="str">
        <f>IF(査定表!E141=0,"",査定表!E141)</f>
        <v/>
      </c>
      <c r="G161" s="83" t="str">
        <f t="shared" si="30"/>
        <v/>
      </c>
      <c r="J161" s="83" t="str">
        <f t="shared" si="31"/>
        <v/>
      </c>
      <c r="L161" s="115"/>
    </row>
    <row r="162" spans="2:12" hidden="1" x14ac:dyDescent="0.15">
      <c r="B162" s="83" t="str">
        <f>+IF(査定表!A142=0,"",査定表!A142)</f>
        <v/>
      </c>
      <c r="C162" s="83" t="str">
        <f t="shared" si="32"/>
        <v/>
      </c>
      <c r="D162" s="84" t="str">
        <f t="shared" si="33"/>
        <v/>
      </c>
      <c r="E162" s="84" t="str">
        <f t="shared" si="34"/>
        <v/>
      </c>
      <c r="F162" s="85" t="str">
        <f>IF(査定表!E142=0,"",査定表!E142)</f>
        <v/>
      </c>
      <c r="G162" s="83" t="str">
        <f t="shared" si="30"/>
        <v/>
      </c>
      <c r="J162" s="83" t="str">
        <f t="shared" si="31"/>
        <v/>
      </c>
      <c r="L162" s="115"/>
    </row>
    <row r="163" spans="2:12" hidden="1" x14ac:dyDescent="0.15">
      <c r="B163" s="83" t="str">
        <f>+IF(査定表!A143=0,"",査定表!A143)</f>
        <v/>
      </c>
      <c r="C163" s="83" t="str">
        <f t="shared" si="32"/>
        <v/>
      </c>
      <c r="D163" s="84" t="str">
        <f t="shared" si="33"/>
        <v/>
      </c>
      <c r="E163" s="84" t="str">
        <f t="shared" si="34"/>
        <v/>
      </c>
      <c r="F163" s="85" t="str">
        <f>IF(査定表!E143=0,"",査定表!E143)</f>
        <v/>
      </c>
      <c r="G163" s="83" t="str">
        <f t="shared" si="30"/>
        <v/>
      </c>
      <c r="J163" s="83" t="str">
        <f t="shared" si="31"/>
        <v/>
      </c>
      <c r="L163" s="115"/>
    </row>
    <row r="164" spans="2:12" hidden="1" x14ac:dyDescent="0.15">
      <c r="B164" s="83" t="str">
        <f>+IF(査定表!A144=0,"",査定表!A144)</f>
        <v/>
      </c>
      <c r="C164" s="83" t="str">
        <f t="shared" si="32"/>
        <v/>
      </c>
      <c r="D164" s="84" t="str">
        <f t="shared" si="33"/>
        <v/>
      </c>
      <c r="E164" s="84" t="str">
        <f t="shared" si="34"/>
        <v/>
      </c>
      <c r="F164" s="85" t="str">
        <f>IF(査定表!E144=0,"",査定表!E144)</f>
        <v/>
      </c>
      <c r="G164" s="83" t="str">
        <f t="shared" si="30"/>
        <v/>
      </c>
      <c r="J164" s="83" t="str">
        <f t="shared" si="31"/>
        <v/>
      </c>
      <c r="L164" s="115"/>
    </row>
    <row r="165" spans="2:12" hidden="1" x14ac:dyDescent="0.15">
      <c r="B165" s="83" t="str">
        <f>+IF(査定表!A145=0,"",査定表!A145)</f>
        <v/>
      </c>
      <c r="C165" s="83" t="str">
        <f t="shared" si="32"/>
        <v/>
      </c>
      <c r="D165" s="84" t="str">
        <f t="shared" si="33"/>
        <v/>
      </c>
      <c r="E165" s="84" t="str">
        <f t="shared" si="34"/>
        <v/>
      </c>
      <c r="F165" s="85" t="str">
        <f>IF(査定表!E145=0,"",査定表!E145)</f>
        <v/>
      </c>
      <c r="G165" s="83" t="str">
        <f t="shared" si="30"/>
        <v/>
      </c>
      <c r="J165" s="83" t="str">
        <f t="shared" si="31"/>
        <v/>
      </c>
      <c r="L165" s="115"/>
    </row>
    <row r="166" spans="2:12" hidden="1" x14ac:dyDescent="0.15">
      <c r="B166" s="83" t="str">
        <f>+IF(査定表!A146=0,"",査定表!A146)</f>
        <v/>
      </c>
      <c r="C166" s="83" t="str">
        <f t="shared" si="32"/>
        <v/>
      </c>
      <c r="D166" s="84" t="str">
        <f t="shared" si="33"/>
        <v/>
      </c>
      <c r="E166" s="84" t="str">
        <f t="shared" si="34"/>
        <v/>
      </c>
      <c r="F166" s="85" t="str">
        <f>IF(査定表!E146=0,"",査定表!E146)</f>
        <v/>
      </c>
      <c r="G166" s="83" t="str">
        <f t="shared" si="30"/>
        <v/>
      </c>
      <c r="J166" s="83" t="str">
        <f t="shared" si="31"/>
        <v/>
      </c>
      <c r="L166" s="115"/>
    </row>
    <row r="167" spans="2:12" hidden="1" x14ac:dyDescent="0.15">
      <c r="B167" s="83" t="str">
        <f>+IF(査定表!A147=0,"",査定表!A147)</f>
        <v/>
      </c>
      <c r="C167" s="83" t="str">
        <f t="shared" si="32"/>
        <v/>
      </c>
      <c r="D167" s="84" t="str">
        <f t="shared" si="33"/>
        <v/>
      </c>
      <c r="E167" s="84" t="str">
        <f t="shared" si="34"/>
        <v/>
      </c>
      <c r="F167" s="85" t="str">
        <f>IF(査定表!E147=0,"",査定表!E147)</f>
        <v/>
      </c>
      <c r="G167" s="83" t="str">
        <f t="shared" si="30"/>
        <v/>
      </c>
      <c r="J167" s="83" t="str">
        <f t="shared" si="31"/>
        <v/>
      </c>
      <c r="L167" s="115"/>
    </row>
    <row r="168" spans="2:12" hidden="1" x14ac:dyDescent="0.15">
      <c r="B168" s="83" t="str">
        <f>+IF(査定表!A148=0,"",査定表!A148)</f>
        <v/>
      </c>
      <c r="C168" s="83" t="str">
        <f t="shared" si="32"/>
        <v/>
      </c>
      <c r="D168" s="84" t="str">
        <f t="shared" si="33"/>
        <v/>
      </c>
      <c r="E168" s="84" t="str">
        <f t="shared" si="34"/>
        <v/>
      </c>
      <c r="F168" s="85" t="str">
        <f>IF(査定表!E148=0,"",査定表!E148)</f>
        <v/>
      </c>
      <c r="G168" s="83" t="str">
        <f t="shared" si="30"/>
        <v/>
      </c>
      <c r="J168" s="83" t="str">
        <f t="shared" si="31"/>
        <v/>
      </c>
      <c r="L168" s="115"/>
    </row>
    <row r="169" spans="2:12" hidden="1" x14ac:dyDescent="0.15">
      <c r="B169" s="83" t="str">
        <f>+IF(査定表!A149=0,"",査定表!A149)</f>
        <v/>
      </c>
      <c r="C169" s="83" t="str">
        <f t="shared" si="32"/>
        <v/>
      </c>
      <c r="D169" s="84" t="str">
        <f t="shared" si="33"/>
        <v/>
      </c>
      <c r="E169" s="84" t="str">
        <f t="shared" si="34"/>
        <v/>
      </c>
      <c r="F169" s="85" t="str">
        <f>IF(査定表!E149=0,"",査定表!E149)</f>
        <v/>
      </c>
      <c r="G169" s="83" t="str">
        <f t="shared" si="30"/>
        <v/>
      </c>
      <c r="J169" s="83" t="str">
        <f t="shared" si="31"/>
        <v/>
      </c>
      <c r="L169" s="115"/>
    </row>
    <row r="170" spans="2:12" hidden="1" x14ac:dyDescent="0.15">
      <c r="B170" s="83" t="str">
        <f>+IF(査定表!A150=0,"",査定表!A150)</f>
        <v/>
      </c>
      <c r="C170" s="83" t="str">
        <f t="shared" si="32"/>
        <v/>
      </c>
      <c r="D170" s="84" t="str">
        <f t="shared" si="33"/>
        <v/>
      </c>
      <c r="E170" s="84" t="str">
        <f t="shared" si="34"/>
        <v/>
      </c>
      <c r="F170" s="85" t="str">
        <f>IF(査定表!E150=0,"",査定表!E150)</f>
        <v/>
      </c>
      <c r="G170" s="83" t="str">
        <f t="shared" si="30"/>
        <v/>
      </c>
      <c r="J170" s="83" t="str">
        <f t="shared" si="31"/>
        <v/>
      </c>
      <c r="L170" s="115"/>
    </row>
    <row r="171" spans="2:12" hidden="1" x14ac:dyDescent="0.15">
      <c r="B171" s="83" t="str">
        <f>+IF(査定表!A151=0,"",査定表!A151)</f>
        <v/>
      </c>
      <c r="C171" s="83" t="str">
        <f t="shared" si="32"/>
        <v/>
      </c>
      <c r="D171" s="84" t="str">
        <f t="shared" si="33"/>
        <v/>
      </c>
      <c r="E171" s="84" t="str">
        <f t="shared" si="34"/>
        <v/>
      </c>
      <c r="F171" s="85" t="str">
        <f>IF(査定表!E151=0,"",査定表!E151)</f>
        <v/>
      </c>
      <c r="G171" s="83" t="str">
        <f t="shared" si="30"/>
        <v/>
      </c>
      <c r="J171" s="83" t="str">
        <f t="shared" si="31"/>
        <v/>
      </c>
      <c r="L171" s="115"/>
    </row>
    <row r="172" spans="2:12" hidden="1" x14ac:dyDescent="0.15">
      <c r="B172" s="83" t="str">
        <f>+IF(査定表!A152=0,"",査定表!A152)</f>
        <v/>
      </c>
      <c r="C172" s="83" t="str">
        <f t="shared" si="32"/>
        <v/>
      </c>
      <c r="D172" s="84" t="str">
        <f t="shared" si="33"/>
        <v/>
      </c>
      <c r="E172" s="84" t="str">
        <f t="shared" si="34"/>
        <v/>
      </c>
      <c r="F172" s="85" t="str">
        <f>IF(査定表!E152=0,"",査定表!E152)</f>
        <v/>
      </c>
      <c r="G172" s="83" t="str">
        <f t="shared" si="30"/>
        <v/>
      </c>
      <c r="J172" s="83" t="str">
        <f t="shared" si="31"/>
        <v/>
      </c>
      <c r="L172" s="115"/>
    </row>
    <row r="173" spans="2:12" hidden="1" x14ac:dyDescent="0.15">
      <c r="B173" s="83" t="str">
        <f>+IF(査定表!A153=0,"",査定表!A153)</f>
        <v/>
      </c>
      <c r="C173" s="83" t="str">
        <f t="shared" si="32"/>
        <v/>
      </c>
      <c r="D173" s="84" t="str">
        <f t="shared" si="33"/>
        <v/>
      </c>
      <c r="E173" s="84" t="str">
        <f t="shared" si="34"/>
        <v/>
      </c>
      <c r="F173" s="85" t="str">
        <f>IF(査定表!E153=0,"",査定表!E153)</f>
        <v/>
      </c>
      <c r="G173" s="83" t="str">
        <f t="shared" si="30"/>
        <v/>
      </c>
      <c r="J173" s="83" t="str">
        <f t="shared" si="31"/>
        <v/>
      </c>
      <c r="L173" s="115"/>
    </row>
    <row r="174" spans="2:12" hidden="1" x14ac:dyDescent="0.15">
      <c r="B174" s="83" t="str">
        <f>+IF(査定表!A154=0,"",査定表!A154)</f>
        <v/>
      </c>
      <c r="C174" s="83" t="str">
        <f t="shared" si="32"/>
        <v/>
      </c>
      <c r="D174" s="84" t="str">
        <f t="shared" si="33"/>
        <v/>
      </c>
      <c r="E174" s="84" t="str">
        <f t="shared" si="34"/>
        <v/>
      </c>
      <c r="F174" s="85" t="str">
        <f>IF(査定表!E154=0,"",査定表!E154)</f>
        <v/>
      </c>
      <c r="G174" s="83" t="str">
        <f t="shared" si="30"/>
        <v/>
      </c>
      <c r="J174" s="83" t="str">
        <f t="shared" si="31"/>
        <v/>
      </c>
      <c r="L174" s="115"/>
    </row>
    <row r="175" spans="2:12" hidden="1" x14ac:dyDescent="0.15">
      <c r="B175" s="83" t="str">
        <f>+IF(査定表!A155=0,"",査定表!A155)</f>
        <v/>
      </c>
      <c r="C175" s="83" t="str">
        <f t="shared" si="32"/>
        <v/>
      </c>
      <c r="D175" s="84" t="str">
        <f t="shared" si="33"/>
        <v/>
      </c>
      <c r="E175" s="84" t="str">
        <f t="shared" si="34"/>
        <v/>
      </c>
      <c r="F175" s="85" t="str">
        <f>IF(査定表!E155=0,"",査定表!E155)</f>
        <v/>
      </c>
      <c r="G175" s="83" t="str">
        <f t="shared" si="30"/>
        <v/>
      </c>
      <c r="J175" s="83" t="str">
        <f t="shared" si="31"/>
        <v/>
      </c>
      <c r="L175" s="115"/>
    </row>
    <row r="176" spans="2:12" hidden="1" x14ac:dyDescent="0.15">
      <c r="B176" s="83" t="str">
        <f>+IF(査定表!A156=0,"",査定表!A156)</f>
        <v/>
      </c>
      <c r="C176" s="83" t="str">
        <f t="shared" si="32"/>
        <v/>
      </c>
      <c r="D176" s="84" t="str">
        <f t="shared" si="33"/>
        <v/>
      </c>
      <c r="E176" s="84" t="str">
        <f t="shared" si="34"/>
        <v/>
      </c>
      <c r="F176" s="85" t="str">
        <f>IF(査定表!E156=0,"",査定表!E156)</f>
        <v/>
      </c>
      <c r="G176" s="83" t="str">
        <f t="shared" si="30"/>
        <v/>
      </c>
      <c r="J176" s="83" t="str">
        <f t="shared" si="31"/>
        <v/>
      </c>
      <c r="L176" s="115"/>
    </row>
    <row r="177" spans="2:12" hidden="1" x14ac:dyDescent="0.15">
      <c r="B177" s="83" t="str">
        <f>+IF(査定表!A157=0,"",査定表!A157)</f>
        <v/>
      </c>
      <c r="C177" s="83" t="str">
        <f t="shared" si="32"/>
        <v/>
      </c>
      <c r="D177" s="84" t="str">
        <f t="shared" si="33"/>
        <v/>
      </c>
      <c r="E177" s="84" t="str">
        <f t="shared" si="34"/>
        <v/>
      </c>
      <c r="F177" s="85" t="str">
        <f>IF(査定表!E157=0,"",査定表!E157)</f>
        <v/>
      </c>
      <c r="G177" s="83" t="str">
        <f t="shared" si="30"/>
        <v/>
      </c>
      <c r="J177" s="83" t="str">
        <f t="shared" si="31"/>
        <v/>
      </c>
      <c r="L177" s="115"/>
    </row>
    <row r="178" spans="2:12" hidden="1" x14ac:dyDescent="0.15">
      <c r="B178" s="83" t="str">
        <f>+IF(査定表!A158=0,"",査定表!A158)</f>
        <v/>
      </c>
      <c r="C178" s="83" t="str">
        <f t="shared" si="32"/>
        <v/>
      </c>
      <c r="D178" s="84" t="str">
        <f t="shared" si="33"/>
        <v/>
      </c>
      <c r="E178" s="84" t="str">
        <f t="shared" si="34"/>
        <v/>
      </c>
      <c r="F178" s="85" t="str">
        <f>IF(査定表!E158=0,"",査定表!E158)</f>
        <v/>
      </c>
      <c r="G178" s="83" t="str">
        <f t="shared" si="30"/>
        <v/>
      </c>
      <c r="J178" s="83" t="str">
        <f t="shared" si="31"/>
        <v/>
      </c>
      <c r="L178" s="115"/>
    </row>
    <row r="179" spans="2:12" hidden="1" x14ac:dyDescent="0.15">
      <c r="B179" s="83" t="str">
        <f>+IF(査定表!A159=0,"",査定表!A159)</f>
        <v/>
      </c>
      <c r="C179" s="83" t="str">
        <f t="shared" si="32"/>
        <v/>
      </c>
      <c r="D179" s="84" t="str">
        <f t="shared" si="33"/>
        <v/>
      </c>
      <c r="E179" s="84" t="str">
        <f t="shared" si="34"/>
        <v/>
      </c>
      <c r="F179" s="85" t="str">
        <f>IF(査定表!E159=0,"",査定表!E159)</f>
        <v/>
      </c>
      <c r="G179" s="83" t="str">
        <f t="shared" si="30"/>
        <v/>
      </c>
      <c r="J179" s="83" t="str">
        <f t="shared" si="31"/>
        <v/>
      </c>
      <c r="L179" s="115"/>
    </row>
    <row r="180" spans="2:12" hidden="1" x14ac:dyDescent="0.15">
      <c r="B180" s="83" t="str">
        <f>+IF(査定表!A160=0,"",査定表!A160)</f>
        <v/>
      </c>
      <c r="C180" s="83" t="str">
        <f t="shared" si="32"/>
        <v/>
      </c>
      <c r="D180" s="84" t="str">
        <f t="shared" si="33"/>
        <v/>
      </c>
      <c r="E180" s="84" t="str">
        <f t="shared" si="34"/>
        <v/>
      </c>
      <c r="F180" s="85" t="str">
        <f>IF(査定表!E160=0,"",査定表!E160)</f>
        <v/>
      </c>
      <c r="G180" s="83" t="str">
        <f t="shared" si="30"/>
        <v/>
      </c>
      <c r="J180" s="83" t="str">
        <f t="shared" si="31"/>
        <v/>
      </c>
      <c r="L180" s="115"/>
    </row>
    <row r="181" spans="2:12" hidden="1" x14ac:dyDescent="0.15">
      <c r="B181" s="83" t="str">
        <f>+IF(査定表!A161=0,"",査定表!A161)</f>
        <v/>
      </c>
      <c r="C181" s="83" t="str">
        <f t="shared" si="32"/>
        <v/>
      </c>
      <c r="D181" s="84" t="str">
        <f t="shared" si="33"/>
        <v/>
      </c>
      <c r="E181" s="84" t="str">
        <f t="shared" si="34"/>
        <v/>
      </c>
      <c r="F181" s="85" t="str">
        <f>IF(査定表!E161=0,"",査定表!E161)</f>
        <v/>
      </c>
      <c r="G181" s="83" t="str">
        <f t="shared" si="30"/>
        <v/>
      </c>
      <c r="J181" s="83" t="str">
        <f t="shared" si="31"/>
        <v/>
      </c>
      <c r="L181" s="115"/>
    </row>
    <row r="182" spans="2:12" hidden="1" x14ac:dyDescent="0.15">
      <c r="B182" s="83" t="str">
        <f>+IF(査定表!A162=0,"",査定表!A162)</f>
        <v/>
      </c>
      <c r="C182" s="83" t="str">
        <f t="shared" si="32"/>
        <v/>
      </c>
      <c r="D182" s="84" t="str">
        <f t="shared" si="33"/>
        <v/>
      </c>
      <c r="E182" s="84" t="str">
        <f t="shared" si="34"/>
        <v/>
      </c>
      <c r="F182" s="85" t="str">
        <f>IF(査定表!E162=0,"",査定表!E162)</f>
        <v/>
      </c>
      <c r="G182" s="83" t="str">
        <f t="shared" si="30"/>
        <v/>
      </c>
      <c r="J182" s="83" t="str">
        <f t="shared" si="31"/>
        <v/>
      </c>
      <c r="L182" s="115"/>
    </row>
    <row r="183" spans="2:12" hidden="1" x14ac:dyDescent="0.15">
      <c r="B183" s="83" t="str">
        <f>+IF(査定表!A163=0,"",査定表!A163)</f>
        <v/>
      </c>
      <c r="C183" s="83" t="str">
        <f t="shared" si="32"/>
        <v/>
      </c>
      <c r="D183" s="84" t="str">
        <f t="shared" si="33"/>
        <v/>
      </c>
      <c r="E183" s="84" t="str">
        <f t="shared" si="34"/>
        <v/>
      </c>
      <c r="F183" s="85" t="str">
        <f>IF(査定表!E163=0,"",査定表!E163)</f>
        <v/>
      </c>
      <c r="G183" s="83" t="str">
        <f t="shared" si="30"/>
        <v/>
      </c>
      <c r="J183" s="83" t="str">
        <f t="shared" si="31"/>
        <v/>
      </c>
      <c r="L183" s="115"/>
    </row>
    <row r="184" spans="2:12" hidden="1" x14ac:dyDescent="0.15">
      <c r="B184" s="83" t="str">
        <f>+IF(査定表!A164=0,"",査定表!A164)</f>
        <v/>
      </c>
      <c r="C184" s="83" t="str">
        <f t="shared" si="32"/>
        <v/>
      </c>
      <c r="D184" s="84" t="str">
        <f t="shared" si="33"/>
        <v/>
      </c>
      <c r="E184" s="84" t="str">
        <f t="shared" si="34"/>
        <v/>
      </c>
      <c r="F184" s="85" t="str">
        <f>IF(査定表!E164=0,"",査定表!E164)</f>
        <v/>
      </c>
      <c r="G184" s="83" t="str">
        <f t="shared" si="30"/>
        <v/>
      </c>
      <c r="J184" s="83" t="str">
        <f t="shared" si="31"/>
        <v/>
      </c>
      <c r="L184" s="115"/>
    </row>
    <row r="185" spans="2:12" hidden="1" x14ac:dyDescent="0.15">
      <c r="B185" s="83" t="str">
        <f>+IF(査定表!A165=0,"",査定表!A165)</f>
        <v/>
      </c>
      <c r="C185" s="83" t="str">
        <f t="shared" si="32"/>
        <v/>
      </c>
      <c r="D185" s="84" t="str">
        <f t="shared" si="33"/>
        <v/>
      </c>
      <c r="E185" s="84" t="str">
        <f t="shared" si="34"/>
        <v/>
      </c>
      <c r="F185" s="85" t="str">
        <f>IF(査定表!E165=0,"",査定表!E165)</f>
        <v/>
      </c>
      <c r="G185" s="83" t="str">
        <f t="shared" si="30"/>
        <v/>
      </c>
      <c r="J185" s="83" t="str">
        <f t="shared" si="31"/>
        <v/>
      </c>
      <c r="L185" s="115"/>
    </row>
    <row r="186" spans="2:12" hidden="1" x14ac:dyDescent="0.15">
      <c r="B186" s="83" t="str">
        <f>+IF(査定表!A166=0,"",査定表!A166)</f>
        <v/>
      </c>
      <c r="C186" s="83" t="str">
        <f t="shared" si="32"/>
        <v/>
      </c>
      <c r="D186" s="84" t="str">
        <f t="shared" si="33"/>
        <v/>
      </c>
      <c r="E186" s="84" t="str">
        <f t="shared" si="34"/>
        <v/>
      </c>
      <c r="F186" s="85" t="str">
        <f>IF(査定表!E166=0,"",査定表!E166)</f>
        <v/>
      </c>
      <c r="G186" s="83" t="str">
        <f t="shared" si="30"/>
        <v/>
      </c>
      <c r="J186" s="83" t="str">
        <f t="shared" si="31"/>
        <v/>
      </c>
      <c r="L186" s="115"/>
    </row>
    <row r="187" spans="2:12" hidden="1" x14ac:dyDescent="0.15">
      <c r="B187" s="83" t="str">
        <f>+IF(査定表!A167=0,"",査定表!A167)</f>
        <v/>
      </c>
      <c r="C187" s="83" t="str">
        <f t="shared" si="32"/>
        <v/>
      </c>
      <c r="D187" s="84" t="str">
        <f t="shared" si="33"/>
        <v/>
      </c>
      <c r="E187" s="84" t="str">
        <f t="shared" si="34"/>
        <v/>
      </c>
      <c r="F187" s="85" t="str">
        <f>IF(査定表!E167=0,"",査定表!E167)</f>
        <v/>
      </c>
      <c r="G187" s="83" t="str">
        <f t="shared" si="30"/>
        <v/>
      </c>
      <c r="J187" s="83" t="str">
        <f t="shared" si="31"/>
        <v/>
      </c>
      <c r="L187" s="115"/>
    </row>
    <row r="188" spans="2:12" hidden="1" x14ac:dyDescent="0.15">
      <c r="B188" s="83" t="str">
        <f>+IF(査定表!A168=0,"",査定表!A168)</f>
        <v/>
      </c>
      <c r="C188" s="83" t="str">
        <f t="shared" si="32"/>
        <v/>
      </c>
      <c r="D188" s="84" t="str">
        <f t="shared" si="33"/>
        <v/>
      </c>
      <c r="E188" s="84" t="str">
        <f t="shared" si="34"/>
        <v/>
      </c>
      <c r="F188" s="85" t="str">
        <f>IF(査定表!E168=0,"",査定表!E168)</f>
        <v/>
      </c>
      <c r="G188" s="83" t="str">
        <f t="shared" si="30"/>
        <v/>
      </c>
      <c r="J188" s="83" t="str">
        <f t="shared" si="31"/>
        <v/>
      </c>
      <c r="L188" s="115"/>
    </row>
    <row r="189" spans="2:12" hidden="1" x14ac:dyDescent="0.15">
      <c r="B189" s="83" t="str">
        <f>+IF(査定表!A169=0,"",査定表!A169)</f>
        <v/>
      </c>
      <c r="C189" s="83" t="str">
        <f t="shared" si="32"/>
        <v/>
      </c>
      <c r="D189" s="84" t="str">
        <f t="shared" si="33"/>
        <v/>
      </c>
      <c r="E189" s="84" t="str">
        <f t="shared" si="34"/>
        <v/>
      </c>
      <c r="F189" s="85" t="str">
        <f>IF(査定表!E169=0,"",査定表!E169)</f>
        <v/>
      </c>
      <c r="G189" s="83" t="str">
        <f t="shared" si="30"/>
        <v/>
      </c>
      <c r="J189" s="83" t="str">
        <f t="shared" si="31"/>
        <v/>
      </c>
      <c r="L189" s="115"/>
    </row>
    <row r="190" spans="2:12" hidden="1" x14ac:dyDescent="0.15">
      <c r="B190" s="83" t="str">
        <f>+IF(査定表!A174=0,"",査定表!A174)</f>
        <v/>
      </c>
      <c r="C190" s="83" t="str">
        <f t="shared" si="32"/>
        <v/>
      </c>
      <c r="D190" s="84" t="str">
        <f t="shared" si="33"/>
        <v/>
      </c>
      <c r="E190" s="84" t="str">
        <f t="shared" si="34"/>
        <v/>
      </c>
      <c r="F190" s="85" t="str">
        <f>IF(査定表!E170=0,"",査定表!E170)</f>
        <v/>
      </c>
      <c r="G190" s="83" t="str">
        <f t="shared" si="30"/>
        <v/>
      </c>
      <c r="J190" s="83" t="str">
        <f t="shared" si="31"/>
        <v/>
      </c>
      <c r="L190" s="115"/>
    </row>
    <row r="191" spans="2:12" hidden="1" x14ac:dyDescent="0.15">
      <c r="B191" s="83" t="str">
        <f>+IF(査定表!A175=0,"",査定表!A175)</f>
        <v/>
      </c>
      <c r="C191" s="83" t="str">
        <f t="shared" si="32"/>
        <v/>
      </c>
      <c r="D191" s="84" t="str">
        <f t="shared" si="33"/>
        <v/>
      </c>
      <c r="E191" s="84" t="str">
        <f t="shared" si="34"/>
        <v/>
      </c>
      <c r="F191" s="85" t="str">
        <f>IF(査定表!E171=0,"",査定表!E171)</f>
        <v/>
      </c>
      <c r="G191" s="83" t="str">
        <f t="shared" si="30"/>
        <v/>
      </c>
      <c r="J191" s="83" t="str">
        <f t="shared" si="31"/>
        <v/>
      </c>
      <c r="L191" s="115"/>
    </row>
    <row r="192" spans="2:12" hidden="1" x14ac:dyDescent="0.15">
      <c r="B192" s="102" t="s">
        <v>86</v>
      </c>
      <c r="C192" s="83" t="str">
        <f t="shared" ref="C192" si="35">IF(D192="","","図面・仕様書どおり")</f>
        <v/>
      </c>
      <c r="D192" s="84" t="str">
        <f t="shared" ref="D192:D194" si="36">IF(E192="","","1")</f>
        <v/>
      </c>
      <c r="E192" s="84"/>
      <c r="F192" s="86">
        <f>SUM(F156:F191)</f>
        <v>0</v>
      </c>
      <c r="G192" s="83"/>
      <c r="J192" s="83"/>
      <c r="L192" s="115"/>
    </row>
    <row r="193" spans="2:12" hidden="1" x14ac:dyDescent="0.15">
      <c r="B193" s="101" t="s">
        <v>84</v>
      </c>
      <c r="C193" s="83"/>
      <c r="D193" s="84" t="str">
        <f t="shared" si="36"/>
        <v>1</v>
      </c>
      <c r="E193" s="84" t="str">
        <f>IF(F193="","","式")</f>
        <v>式</v>
      </c>
      <c r="F193" s="85">
        <f>INT(F192*0.08)</f>
        <v>0</v>
      </c>
      <c r="G193" s="83"/>
      <c r="J193" s="83"/>
      <c r="L193" s="115"/>
    </row>
    <row r="194" spans="2:12" hidden="1" x14ac:dyDescent="0.15">
      <c r="B194" s="101" t="s">
        <v>18</v>
      </c>
      <c r="C194" s="83" t="str">
        <f t="shared" ref="C194" si="37">IF(D194="","","図面・仕様書どおり")</f>
        <v/>
      </c>
      <c r="D194" s="84" t="str">
        <f t="shared" si="36"/>
        <v/>
      </c>
      <c r="E194" s="84"/>
      <c r="F194" s="85">
        <f>+SUM(F192:F193)</f>
        <v>0</v>
      </c>
      <c r="G194" s="83"/>
      <c r="J194" s="83"/>
      <c r="L194" s="115"/>
    </row>
    <row r="195" spans="2:12" hidden="1" x14ac:dyDescent="0.15">
      <c r="B195" s="83"/>
      <c r="C195" s="83"/>
      <c r="D195" s="84"/>
      <c r="E195" s="84"/>
      <c r="F195" s="85"/>
      <c r="G195" s="83"/>
      <c r="J195" s="83"/>
      <c r="L195" s="115"/>
    </row>
    <row r="196" spans="2:12" hidden="1" x14ac:dyDescent="0.15">
      <c r="B196" s="83" t="str">
        <f>+IF(査定表!A177=0,"",査定表!A177)</f>
        <v/>
      </c>
      <c r="C196" s="83" t="str">
        <f t="shared" ref="C196:C233" si="38">IF(D196="","","図面・仕様書どおり")</f>
        <v/>
      </c>
      <c r="D196" s="84" t="str">
        <f t="shared" ref="D196:D235" si="39">IF(E196="","","1")</f>
        <v/>
      </c>
      <c r="E196" s="84" t="str">
        <f>IF(F196="","","式")</f>
        <v/>
      </c>
      <c r="F196" s="85" t="str">
        <f>IF(査定表!E177=0,"",査定表!E177)</f>
        <v/>
      </c>
      <c r="G196" s="83" t="str">
        <f t="shared" ref="G196:G232" si="40">IF(C196="","","諸経費共")</f>
        <v/>
      </c>
      <c r="J196" s="83" t="str">
        <f t="shared" ref="J196:J232" si="41">IF(F196="","","諸経費共")</f>
        <v/>
      </c>
      <c r="L196" s="115"/>
    </row>
    <row r="197" spans="2:12" hidden="1" x14ac:dyDescent="0.15">
      <c r="B197" s="83" t="str">
        <f>+IF(査定表!A178=0,"",査定表!A178)</f>
        <v/>
      </c>
      <c r="C197" s="83" t="str">
        <f t="shared" si="38"/>
        <v/>
      </c>
      <c r="D197" s="84" t="str">
        <f t="shared" si="39"/>
        <v/>
      </c>
      <c r="E197" s="84" t="str">
        <f t="shared" ref="E197:E232" si="42">IF(F197="","","式")</f>
        <v/>
      </c>
      <c r="F197" s="85" t="str">
        <f>IF(査定表!E178=0,"",査定表!E178)</f>
        <v/>
      </c>
      <c r="G197" s="83" t="str">
        <f t="shared" si="40"/>
        <v/>
      </c>
      <c r="J197" s="83" t="str">
        <f t="shared" si="41"/>
        <v/>
      </c>
      <c r="L197" s="115"/>
    </row>
    <row r="198" spans="2:12" hidden="1" x14ac:dyDescent="0.15">
      <c r="B198" s="83" t="str">
        <f>+IF(査定表!A179=0,"",査定表!A179)</f>
        <v/>
      </c>
      <c r="C198" s="83" t="str">
        <f t="shared" si="38"/>
        <v/>
      </c>
      <c r="D198" s="84" t="str">
        <f t="shared" si="39"/>
        <v/>
      </c>
      <c r="E198" s="84" t="str">
        <f t="shared" si="42"/>
        <v/>
      </c>
      <c r="F198" s="85" t="str">
        <f>IF(査定表!E179=0,"",査定表!E179)</f>
        <v/>
      </c>
      <c r="G198" s="83" t="str">
        <f t="shared" si="40"/>
        <v/>
      </c>
      <c r="J198" s="83" t="str">
        <f t="shared" si="41"/>
        <v/>
      </c>
      <c r="L198" s="115"/>
    </row>
    <row r="199" spans="2:12" hidden="1" x14ac:dyDescent="0.15">
      <c r="B199" s="83" t="str">
        <f>+IF(査定表!A180=0,"",査定表!A180)</f>
        <v/>
      </c>
      <c r="C199" s="83" t="str">
        <f t="shared" si="38"/>
        <v/>
      </c>
      <c r="D199" s="84" t="str">
        <f t="shared" si="39"/>
        <v/>
      </c>
      <c r="E199" s="84" t="str">
        <f t="shared" si="42"/>
        <v/>
      </c>
      <c r="F199" s="85" t="str">
        <f>IF(査定表!E180=0,"",査定表!E180)</f>
        <v/>
      </c>
      <c r="G199" s="83" t="str">
        <f t="shared" si="40"/>
        <v/>
      </c>
      <c r="J199" s="83" t="str">
        <f t="shared" si="41"/>
        <v/>
      </c>
      <c r="L199" s="115"/>
    </row>
    <row r="200" spans="2:12" hidden="1" x14ac:dyDescent="0.15">
      <c r="B200" s="83" t="str">
        <f>+IF(査定表!A181=0,"",査定表!A181)</f>
        <v/>
      </c>
      <c r="C200" s="83" t="str">
        <f t="shared" si="38"/>
        <v/>
      </c>
      <c r="D200" s="84" t="str">
        <f t="shared" si="39"/>
        <v/>
      </c>
      <c r="E200" s="84" t="str">
        <f t="shared" si="42"/>
        <v/>
      </c>
      <c r="F200" s="85" t="str">
        <f>IF(査定表!E181=0,"",査定表!E181)</f>
        <v/>
      </c>
      <c r="G200" s="83" t="str">
        <f t="shared" si="40"/>
        <v/>
      </c>
      <c r="J200" s="83" t="str">
        <f t="shared" si="41"/>
        <v/>
      </c>
      <c r="L200" s="115"/>
    </row>
    <row r="201" spans="2:12" hidden="1" x14ac:dyDescent="0.15">
      <c r="B201" s="83" t="str">
        <f>+IF(査定表!A182=0,"",査定表!A182)</f>
        <v/>
      </c>
      <c r="C201" s="83" t="str">
        <f t="shared" si="38"/>
        <v/>
      </c>
      <c r="D201" s="84" t="str">
        <f t="shared" si="39"/>
        <v/>
      </c>
      <c r="E201" s="84" t="str">
        <f t="shared" si="42"/>
        <v/>
      </c>
      <c r="F201" s="85" t="str">
        <f>IF(査定表!E182=0,"",査定表!E182)</f>
        <v/>
      </c>
      <c r="G201" s="83" t="str">
        <f t="shared" si="40"/>
        <v/>
      </c>
      <c r="J201" s="83" t="str">
        <f t="shared" si="41"/>
        <v/>
      </c>
      <c r="L201" s="115"/>
    </row>
    <row r="202" spans="2:12" hidden="1" x14ac:dyDescent="0.15">
      <c r="B202" s="83" t="str">
        <f>+IF(査定表!A183=0,"",査定表!A183)</f>
        <v/>
      </c>
      <c r="C202" s="83" t="str">
        <f t="shared" si="38"/>
        <v/>
      </c>
      <c r="D202" s="84" t="str">
        <f t="shared" si="39"/>
        <v/>
      </c>
      <c r="E202" s="84" t="str">
        <f t="shared" si="42"/>
        <v/>
      </c>
      <c r="F202" s="85" t="str">
        <f>IF(査定表!E183=0,"",査定表!E183)</f>
        <v/>
      </c>
      <c r="G202" s="83" t="str">
        <f t="shared" si="40"/>
        <v/>
      </c>
      <c r="J202" s="83" t="str">
        <f t="shared" si="41"/>
        <v/>
      </c>
      <c r="L202" s="115"/>
    </row>
    <row r="203" spans="2:12" hidden="1" x14ac:dyDescent="0.15">
      <c r="B203" s="83" t="str">
        <f>+IF(査定表!A184=0,"",査定表!A184)</f>
        <v/>
      </c>
      <c r="C203" s="83" t="str">
        <f t="shared" si="38"/>
        <v/>
      </c>
      <c r="D203" s="84" t="str">
        <f t="shared" si="39"/>
        <v/>
      </c>
      <c r="E203" s="84" t="str">
        <f t="shared" si="42"/>
        <v/>
      </c>
      <c r="F203" s="85" t="str">
        <f>IF(査定表!E184=0,"",査定表!E184)</f>
        <v/>
      </c>
      <c r="G203" s="83" t="str">
        <f t="shared" si="40"/>
        <v/>
      </c>
      <c r="J203" s="83" t="str">
        <f t="shared" si="41"/>
        <v/>
      </c>
      <c r="L203" s="115"/>
    </row>
    <row r="204" spans="2:12" hidden="1" x14ac:dyDescent="0.15">
      <c r="B204" s="83" t="str">
        <f>+IF(査定表!A185=0,"",査定表!A185)</f>
        <v/>
      </c>
      <c r="C204" s="83" t="str">
        <f t="shared" si="38"/>
        <v/>
      </c>
      <c r="D204" s="84" t="str">
        <f t="shared" si="39"/>
        <v/>
      </c>
      <c r="E204" s="84" t="str">
        <f t="shared" si="42"/>
        <v/>
      </c>
      <c r="F204" s="85" t="str">
        <f>IF(査定表!E185=0,"",査定表!E185)</f>
        <v/>
      </c>
      <c r="G204" s="83" t="str">
        <f t="shared" si="40"/>
        <v/>
      </c>
      <c r="J204" s="83" t="str">
        <f t="shared" si="41"/>
        <v/>
      </c>
      <c r="L204" s="115"/>
    </row>
    <row r="205" spans="2:12" hidden="1" x14ac:dyDescent="0.15">
      <c r="B205" s="83" t="str">
        <f>+IF(査定表!A186=0,"",査定表!A186)</f>
        <v/>
      </c>
      <c r="C205" s="83" t="str">
        <f t="shared" si="38"/>
        <v/>
      </c>
      <c r="D205" s="84" t="str">
        <f t="shared" si="39"/>
        <v/>
      </c>
      <c r="E205" s="84" t="str">
        <f t="shared" si="42"/>
        <v/>
      </c>
      <c r="F205" s="85" t="str">
        <f>IF(査定表!E186=0,"",査定表!E186)</f>
        <v/>
      </c>
      <c r="G205" s="83" t="str">
        <f t="shared" si="40"/>
        <v/>
      </c>
      <c r="J205" s="83" t="str">
        <f t="shared" si="41"/>
        <v/>
      </c>
      <c r="L205" s="115"/>
    </row>
    <row r="206" spans="2:12" hidden="1" x14ac:dyDescent="0.15">
      <c r="B206" s="83" t="str">
        <f>+IF(査定表!A187=0,"",査定表!A187)</f>
        <v/>
      </c>
      <c r="C206" s="83" t="str">
        <f t="shared" si="38"/>
        <v/>
      </c>
      <c r="D206" s="84" t="str">
        <f t="shared" si="39"/>
        <v/>
      </c>
      <c r="E206" s="84" t="str">
        <f t="shared" si="42"/>
        <v/>
      </c>
      <c r="F206" s="85" t="str">
        <f>IF(査定表!E187=0,"",査定表!E187)</f>
        <v/>
      </c>
      <c r="G206" s="83" t="str">
        <f t="shared" si="40"/>
        <v/>
      </c>
      <c r="J206" s="83" t="str">
        <f t="shared" si="41"/>
        <v/>
      </c>
      <c r="L206" s="115"/>
    </row>
    <row r="207" spans="2:12" hidden="1" x14ac:dyDescent="0.15">
      <c r="B207" s="83" t="str">
        <f>+IF(査定表!A188=0,"",査定表!A188)</f>
        <v/>
      </c>
      <c r="C207" s="83" t="str">
        <f t="shared" si="38"/>
        <v/>
      </c>
      <c r="D207" s="84" t="str">
        <f t="shared" si="39"/>
        <v/>
      </c>
      <c r="E207" s="84" t="str">
        <f t="shared" si="42"/>
        <v/>
      </c>
      <c r="F207" s="85" t="str">
        <f>IF(査定表!E188=0,"",査定表!E188)</f>
        <v/>
      </c>
      <c r="G207" s="83" t="str">
        <f t="shared" si="40"/>
        <v/>
      </c>
      <c r="J207" s="83" t="str">
        <f t="shared" si="41"/>
        <v/>
      </c>
      <c r="L207" s="115"/>
    </row>
    <row r="208" spans="2:12" hidden="1" x14ac:dyDescent="0.15">
      <c r="B208" s="83" t="str">
        <f>+IF(査定表!A189=0,"",査定表!A189)</f>
        <v/>
      </c>
      <c r="C208" s="83" t="str">
        <f t="shared" si="38"/>
        <v/>
      </c>
      <c r="D208" s="84" t="str">
        <f t="shared" si="39"/>
        <v/>
      </c>
      <c r="E208" s="84" t="str">
        <f t="shared" si="42"/>
        <v/>
      </c>
      <c r="F208" s="85" t="str">
        <f>IF(査定表!E189=0,"",査定表!E189)</f>
        <v/>
      </c>
      <c r="G208" s="83" t="str">
        <f t="shared" si="40"/>
        <v/>
      </c>
      <c r="J208" s="83" t="str">
        <f t="shared" si="41"/>
        <v/>
      </c>
      <c r="L208" s="115"/>
    </row>
    <row r="209" spans="2:12" hidden="1" x14ac:dyDescent="0.15">
      <c r="B209" s="83" t="str">
        <f>+IF(査定表!A190=0,"",査定表!A190)</f>
        <v/>
      </c>
      <c r="C209" s="83" t="str">
        <f t="shared" si="38"/>
        <v/>
      </c>
      <c r="D209" s="84" t="str">
        <f t="shared" si="39"/>
        <v/>
      </c>
      <c r="E209" s="84" t="str">
        <f t="shared" si="42"/>
        <v/>
      </c>
      <c r="F209" s="85" t="str">
        <f>IF(査定表!E190=0,"",査定表!E190)</f>
        <v/>
      </c>
      <c r="G209" s="83" t="str">
        <f t="shared" si="40"/>
        <v/>
      </c>
      <c r="J209" s="83" t="str">
        <f t="shared" si="41"/>
        <v/>
      </c>
      <c r="L209" s="115"/>
    </row>
    <row r="210" spans="2:12" hidden="1" x14ac:dyDescent="0.15">
      <c r="B210" s="83" t="str">
        <f>+IF(査定表!A191=0,"",査定表!A191)</f>
        <v/>
      </c>
      <c r="C210" s="83" t="str">
        <f t="shared" si="38"/>
        <v/>
      </c>
      <c r="D210" s="84" t="str">
        <f t="shared" si="39"/>
        <v/>
      </c>
      <c r="E210" s="84" t="str">
        <f t="shared" si="42"/>
        <v/>
      </c>
      <c r="F210" s="85" t="str">
        <f>IF(査定表!E191=0,"",査定表!E191)</f>
        <v/>
      </c>
      <c r="G210" s="83" t="str">
        <f t="shared" si="40"/>
        <v/>
      </c>
      <c r="J210" s="83" t="str">
        <f t="shared" si="41"/>
        <v/>
      </c>
      <c r="L210" s="115"/>
    </row>
    <row r="211" spans="2:12" hidden="1" x14ac:dyDescent="0.15">
      <c r="B211" s="83" t="str">
        <f>+IF(査定表!A192=0,"",査定表!A192)</f>
        <v/>
      </c>
      <c r="C211" s="83" t="str">
        <f t="shared" si="38"/>
        <v/>
      </c>
      <c r="D211" s="84" t="str">
        <f t="shared" si="39"/>
        <v/>
      </c>
      <c r="E211" s="84" t="str">
        <f t="shared" si="42"/>
        <v/>
      </c>
      <c r="F211" s="85" t="str">
        <f>IF(査定表!E192=0,"",査定表!E192)</f>
        <v/>
      </c>
      <c r="G211" s="83" t="str">
        <f t="shared" si="40"/>
        <v/>
      </c>
      <c r="J211" s="83" t="str">
        <f t="shared" si="41"/>
        <v/>
      </c>
      <c r="L211" s="115"/>
    </row>
    <row r="212" spans="2:12" hidden="1" x14ac:dyDescent="0.15">
      <c r="B212" s="83" t="str">
        <f>+IF(査定表!A193=0,"",査定表!A193)</f>
        <v/>
      </c>
      <c r="C212" s="83" t="str">
        <f t="shared" si="38"/>
        <v/>
      </c>
      <c r="D212" s="84" t="str">
        <f t="shared" si="39"/>
        <v/>
      </c>
      <c r="E212" s="84" t="str">
        <f t="shared" si="42"/>
        <v/>
      </c>
      <c r="F212" s="85" t="str">
        <f>IF(査定表!E193=0,"",査定表!E193)</f>
        <v/>
      </c>
      <c r="G212" s="83" t="str">
        <f t="shared" si="40"/>
        <v/>
      </c>
      <c r="J212" s="83" t="str">
        <f t="shared" si="41"/>
        <v/>
      </c>
      <c r="L212" s="115"/>
    </row>
    <row r="213" spans="2:12" hidden="1" x14ac:dyDescent="0.15">
      <c r="B213" s="83" t="str">
        <f>+IF(査定表!A194=0,"",査定表!A194)</f>
        <v/>
      </c>
      <c r="C213" s="83" t="str">
        <f t="shared" si="38"/>
        <v/>
      </c>
      <c r="D213" s="84" t="str">
        <f t="shared" si="39"/>
        <v/>
      </c>
      <c r="E213" s="84" t="str">
        <f t="shared" si="42"/>
        <v/>
      </c>
      <c r="F213" s="85" t="str">
        <f>IF(査定表!E194=0,"",査定表!E194)</f>
        <v/>
      </c>
      <c r="G213" s="83" t="str">
        <f t="shared" si="40"/>
        <v/>
      </c>
      <c r="J213" s="83" t="str">
        <f t="shared" si="41"/>
        <v/>
      </c>
      <c r="L213" s="115"/>
    </row>
    <row r="214" spans="2:12" hidden="1" x14ac:dyDescent="0.15">
      <c r="B214" s="83" t="str">
        <f>+IF(査定表!A195=0,"",査定表!A195)</f>
        <v/>
      </c>
      <c r="C214" s="83" t="str">
        <f t="shared" si="38"/>
        <v/>
      </c>
      <c r="D214" s="84" t="str">
        <f t="shared" si="39"/>
        <v/>
      </c>
      <c r="E214" s="84" t="str">
        <f t="shared" si="42"/>
        <v/>
      </c>
      <c r="F214" s="85" t="str">
        <f>IF(査定表!E195=0,"",査定表!E195)</f>
        <v/>
      </c>
      <c r="G214" s="83" t="str">
        <f t="shared" si="40"/>
        <v/>
      </c>
      <c r="J214" s="83" t="str">
        <f t="shared" si="41"/>
        <v/>
      </c>
      <c r="L214" s="115"/>
    </row>
    <row r="215" spans="2:12" hidden="1" x14ac:dyDescent="0.15">
      <c r="B215" s="83" t="str">
        <f>+IF(査定表!A196=0,"",査定表!A196)</f>
        <v/>
      </c>
      <c r="C215" s="83" t="str">
        <f t="shared" si="38"/>
        <v/>
      </c>
      <c r="D215" s="84" t="str">
        <f t="shared" si="39"/>
        <v/>
      </c>
      <c r="E215" s="84" t="str">
        <f t="shared" si="42"/>
        <v/>
      </c>
      <c r="F215" s="85" t="str">
        <f>IF(査定表!E196=0,"",査定表!E196)</f>
        <v/>
      </c>
      <c r="G215" s="83" t="str">
        <f t="shared" si="40"/>
        <v/>
      </c>
      <c r="J215" s="83" t="str">
        <f t="shared" si="41"/>
        <v/>
      </c>
      <c r="L215" s="115"/>
    </row>
    <row r="216" spans="2:12" hidden="1" x14ac:dyDescent="0.15">
      <c r="B216" s="83" t="str">
        <f>+IF(査定表!A197=0,"",査定表!A197)</f>
        <v/>
      </c>
      <c r="C216" s="83" t="str">
        <f t="shared" si="38"/>
        <v/>
      </c>
      <c r="D216" s="84" t="str">
        <f t="shared" si="39"/>
        <v/>
      </c>
      <c r="E216" s="84" t="str">
        <f t="shared" si="42"/>
        <v/>
      </c>
      <c r="F216" s="85" t="str">
        <f>IF(査定表!E197=0,"",査定表!E197)</f>
        <v/>
      </c>
      <c r="G216" s="83" t="str">
        <f t="shared" si="40"/>
        <v/>
      </c>
      <c r="J216" s="83" t="str">
        <f t="shared" si="41"/>
        <v/>
      </c>
      <c r="L216" s="115"/>
    </row>
    <row r="217" spans="2:12" hidden="1" x14ac:dyDescent="0.15">
      <c r="B217" s="83" t="str">
        <f>+IF(査定表!A198=0,"",査定表!A198)</f>
        <v/>
      </c>
      <c r="C217" s="83" t="str">
        <f t="shared" si="38"/>
        <v/>
      </c>
      <c r="D217" s="84" t="str">
        <f t="shared" si="39"/>
        <v/>
      </c>
      <c r="E217" s="84" t="str">
        <f t="shared" si="42"/>
        <v/>
      </c>
      <c r="F217" s="85" t="str">
        <f>IF(査定表!E198=0,"",査定表!E198)</f>
        <v/>
      </c>
      <c r="G217" s="83" t="str">
        <f t="shared" si="40"/>
        <v/>
      </c>
      <c r="J217" s="83" t="str">
        <f t="shared" si="41"/>
        <v/>
      </c>
      <c r="L217" s="115"/>
    </row>
    <row r="218" spans="2:12" hidden="1" x14ac:dyDescent="0.15">
      <c r="B218" s="83" t="str">
        <f>+IF(査定表!A199=0,"",査定表!A199)</f>
        <v/>
      </c>
      <c r="C218" s="83" t="str">
        <f t="shared" si="38"/>
        <v/>
      </c>
      <c r="D218" s="84" t="str">
        <f t="shared" si="39"/>
        <v/>
      </c>
      <c r="E218" s="84" t="str">
        <f t="shared" si="42"/>
        <v/>
      </c>
      <c r="F218" s="85" t="str">
        <f>IF(査定表!E199=0,"",査定表!E199)</f>
        <v/>
      </c>
      <c r="G218" s="83" t="str">
        <f t="shared" si="40"/>
        <v/>
      </c>
      <c r="J218" s="83" t="str">
        <f t="shared" si="41"/>
        <v/>
      </c>
      <c r="L218" s="115"/>
    </row>
    <row r="219" spans="2:12" hidden="1" x14ac:dyDescent="0.15">
      <c r="B219" s="83" t="str">
        <f>+IF(査定表!A200=0,"",査定表!A200)</f>
        <v/>
      </c>
      <c r="C219" s="83" t="str">
        <f t="shared" si="38"/>
        <v/>
      </c>
      <c r="D219" s="84" t="str">
        <f t="shared" si="39"/>
        <v/>
      </c>
      <c r="E219" s="84" t="str">
        <f t="shared" si="42"/>
        <v/>
      </c>
      <c r="F219" s="85" t="str">
        <f>IF(査定表!E200=0,"",査定表!E200)</f>
        <v/>
      </c>
      <c r="G219" s="83" t="str">
        <f t="shared" si="40"/>
        <v/>
      </c>
      <c r="J219" s="83" t="str">
        <f t="shared" si="41"/>
        <v/>
      </c>
      <c r="L219" s="115"/>
    </row>
    <row r="220" spans="2:12" hidden="1" x14ac:dyDescent="0.15">
      <c r="B220" s="83" t="str">
        <f>+IF(査定表!A201=0,"",査定表!A201)</f>
        <v/>
      </c>
      <c r="C220" s="83" t="str">
        <f t="shared" si="38"/>
        <v/>
      </c>
      <c r="D220" s="84" t="str">
        <f t="shared" si="39"/>
        <v/>
      </c>
      <c r="E220" s="84" t="str">
        <f t="shared" si="42"/>
        <v/>
      </c>
      <c r="F220" s="85" t="str">
        <f>IF(査定表!E201=0,"",査定表!E201)</f>
        <v/>
      </c>
      <c r="G220" s="83" t="str">
        <f t="shared" si="40"/>
        <v/>
      </c>
      <c r="J220" s="83" t="str">
        <f t="shared" si="41"/>
        <v/>
      </c>
      <c r="L220" s="115"/>
    </row>
    <row r="221" spans="2:12" hidden="1" x14ac:dyDescent="0.15">
      <c r="B221" s="83" t="str">
        <f>+IF(査定表!A202=0,"",査定表!A202)</f>
        <v/>
      </c>
      <c r="C221" s="83" t="str">
        <f t="shared" si="38"/>
        <v/>
      </c>
      <c r="D221" s="84" t="str">
        <f t="shared" si="39"/>
        <v/>
      </c>
      <c r="E221" s="84" t="str">
        <f t="shared" si="42"/>
        <v/>
      </c>
      <c r="F221" s="85" t="str">
        <f>IF(査定表!E202=0,"",査定表!E202)</f>
        <v/>
      </c>
      <c r="G221" s="83" t="str">
        <f t="shared" si="40"/>
        <v/>
      </c>
      <c r="J221" s="83" t="str">
        <f t="shared" si="41"/>
        <v/>
      </c>
      <c r="L221" s="115"/>
    </row>
    <row r="222" spans="2:12" hidden="1" x14ac:dyDescent="0.15">
      <c r="B222" s="83" t="str">
        <f>+IF(査定表!A203=0,"",査定表!A203)</f>
        <v/>
      </c>
      <c r="C222" s="83" t="str">
        <f t="shared" si="38"/>
        <v/>
      </c>
      <c r="D222" s="84" t="str">
        <f t="shared" si="39"/>
        <v/>
      </c>
      <c r="E222" s="84" t="str">
        <f t="shared" si="42"/>
        <v/>
      </c>
      <c r="F222" s="85" t="str">
        <f>IF(査定表!E203=0,"",査定表!E203)</f>
        <v/>
      </c>
      <c r="G222" s="83" t="str">
        <f t="shared" si="40"/>
        <v/>
      </c>
      <c r="J222" s="83" t="str">
        <f t="shared" si="41"/>
        <v/>
      </c>
      <c r="L222" s="115"/>
    </row>
    <row r="223" spans="2:12" hidden="1" x14ac:dyDescent="0.15">
      <c r="B223" s="83" t="str">
        <f>+IF(査定表!A204=0,"",査定表!A204)</f>
        <v/>
      </c>
      <c r="C223" s="83" t="str">
        <f t="shared" si="38"/>
        <v/>
      </c>
      <c r="D223" s="84" t="str">
        <f t="shared" si="39"/>
        <v/>
      </c>
      <c r="E223" s="84" t="str">
        <f t="shared" si="42"/>
        <v/>
      </c>
      <c r="F223" s="85" t="str">
        <f>IF(査定表!E204=0,"",査定表!E204)</f>
        <v/>
      </c>
      <c r="G223" s="83" t="str">
        <f t="shared" si="40"/>
        <v/>
      </c>
      <c r="J223" s="83" t="str">
        <f t="shared" si="41"/>
        <v/>
      </c>
      <c r="L223" s="115"/>
    </row>
    <row r="224" spans="2:12" hidden="1" x14ac:dyDescent="0.15">
      <c r="B224" s="83" t="str">
        <f>+IF(査定表!A205=0,"",査定表!A205)</f>
        <v/>
      </c>
      <c r="C224" s="83" t="str">
        <f t="shared" si="38"/>
        <v/>
      </c>
      <c r="D224" s="84" t="str">
        <f t="shared" si="39"/>
        <v/>
      </c>
      <c r="E224" s="84" t="str">
        <f t="shared" si="42"/>
        <v/>
      </c>
      <c r="F224" s="85" t="str">
        <f>IF(査定表!E205=0,"",査定表!E205)</f>
        <v/>
      </c>
      <c r="G224" s="83" t="str">
        <f t="shared" si="40"/>
        <v/>
      </c>
      <c r="J224" s="83" t="str">
        <f t="shared" si="41"/>
        <v/>
      </c>
      <c r="L224" s="115"/>
    </row>
    <row r="225" spans="2:12" hidden="1" x14ac:dyDescent="0.15">
      <c r="B225" s="83" t="str">
        <f>+IF(査定表!A206=0,"",査定表!A206)</f>
        <v/>
      </c>
      <c r="C225" s="83" t="str">
        <f t="shared" si="38"/>
        <v/>
      </c>
      <c r="D225" s="84" t="str">
        <f t="shared" si="39"/>
        <v/>
      </c>
      <c r="E225" s="84" t="str">
        <f t="shared" si="42"/>
        <v/>
      </c>
      <c r="F225" s="85" t="str">
        <f>IF(査定表!E206=0,"",査定表!E206)</f>
        <v/>
      </c>
      <c r="G225" s="83" t="str">
        <f t="shared" si="40"/>
        <v/>
      </c>
      <c r="J225" s="83" t="str">
        <f t="shared" si="41"/>
        <v/>
      </c>
      <c r="L225" s="115"/>
    </row>
    <row r="226" spans="2:12" hidden="1" x14ac:dyDescent="0.15">
      <c r="B226" s="83" t="str">
        <f>+IF(査定表!A207=0,"",査定表!A207)</f>
        <v/>
      </c>
      <c r="C226" s="83" t="str">
        <f t="shared" si="38"/>
        <v/>
      </c>
      <c r="D226" s="84" t="str">
        <f t="shared" si="39"/>
        <v/>
      </c>
      <c r="E226" s="84" t="str">
        <f t="shared" si="42"/>
        <v/>
      </c>
      <c r="F226" s="85" t="str">
        <f>IF(査定表!E207=0,"",査定表!E207)</f>
        <v/>
      </c>
      <c r="G226" s="83" t="str">
        <f t="shared" si="40"/>
        <v/>
      </c>
      <c r="J226" s="83" t="str">
        <f t="shared" si="41"/>
        <v/>
      </c>
      <c r="L226" s="115"/>
    </row>
    <row r="227" spans="2:12" hidden="1" x14ac:dyDescent="0.15">
      <c r="B227" s="83" t="str">
        <f>+IF(査定表!A208=0,"",査定表!A208)</f>
        <v/>
      </c>
      <c r="C227" s="83" t="str">
        <f t="shared" si="38"/>
        <v/>
      </c>
      <c r="D227" s="84" t="str">
        <f t="shared" si="39"/>
        <v/>
      </c>
      <c r="E227" s="84" t="str">
        <f t="shared" si="42"/>
        <v/>
      </c>
      <c r="F227" s="85" t="str">
        <f>IF(査定表!E208=0,"",査定表!E208)</f>
        <v/>
      </c>
      <c r="G227" s="83" t="str">
        <f t="shared" si="40"/>
        <v/>
      </c>
      <c r="J227" s="83" t="str">
        <f t="shared" si="41"/>
        <v/>
      </c>
      <c r="L227" s="115"/>
    </row>
    <row r="228" spans="2:12" hidden="1" x14ac:dyDescent="0.15">
      <c r="B228" s="83" t="str">
        <f>+IF(査定表!A209=0,"",査定表!A209)</f>
        <v/>
      </c>
      <c r="C228" s="83" t="str">
        <f t="shared" si="38"/>
        <v/>
      </c>
      <c r="D228" s="84" t="str">
        <f t="shared" si="39"/>
        <v/>
      </c>
      <c r="E228" s="84" t="str">
        <f t="shared" si="42"/>
        <v/>
      </c>
      <c r="F228" s="85" t="str">
        <f>IF(査定表!E209=0,"",査定表!E209)</f>
        <v/>
      </c>
      <c r="G228" s="83" t="str">
        <f t="shared" si="40"/>
        <v/>
      </c>
      <c r="J228" s="83" t="str">
        <f t="shared" si="41"/>
        <v/>
      </c>
      <c r="L228" s="115"/>
    </row>
    <row r="229" spans="2:12" hidden="1" x14ac:dyDescent="0.15">
      <c r="B229" s="83" t="str">
        <f>+IF(査定表!A210=0,"",査定表!A210)</f>
        <v/>
      </c>
      <c r="C229" s="83" t="str">
        <f t="shared" si="38"/>
        <v/>
      </c>
      <c r="D229" s="84" t="str">
        <f t="shared" si="39"/>
        <v/>
      </c>
      <c r="E229" s="84" t="str">
        <f t="shared" si="42"/>
        <v/>
      </c>
      <c r="F229" s="85" t="str">
        <f>IF(査定表!E210=0,"",査定表!E210)</f>
        <v/>
      </c>
      <c r="G229" s="83" t="str">
        <f t="shared" si="40"/>
        <v/>
      </c>
      <c r="J229" s="83" t="str">
        <f t="shared" si="41"/>
        <v/>
      </c>
      <c r="L229" s="115"/>
    </row>
    <row r="230" spans="2:12" hidden="1" x14ac:dyDescent="0.15">
      <c r="B230" s="83" t="str">
        <f>+IF(査定表!A211=0,"",査定表!A211)</f>
        <v/>
      </c>
      <c r="C230" s="83" t="str">
        <f t="shared" si="38"/>
        <v/>
      </c>
      <c r="D230" s="84" t="str">
        <f t="shared" si="39"/>
        <v/>
      </c>
      <c r="E230" s="84" t="str">
        <f t="shared" si="42"/>
        <v/>
      </c>
      <c r="F230" s="85" t="str">
        <f>IF(査定表!E211=0,"",査定表!E211)</f>
        <v/>
      </c>
      <c r="G230" s="83" t="str">
        <f t="shared" si="40"/>
        <v/>
      </c>
      <c r="J230" s="83" t="str">
        <f t="shared" si="41"/>
        <v/>
      </c>
      <c r="L230" s="115"/>
    </row>
    <row r="231" spans="2:12" hidden="1" x14ac:dyDescent="0.15">
      <c r="B231" s="83" t="str">
        <f>+IF(査定表!A216=0,"",査定表!A216)</f>
        <v/>
      </c>
      <c r="C231" s="83" t="str">
        <f t="shared" si="38"/>
        <v/>
      </c>
      <c r="D231" s="84" t="str">
        <f t="shared" si="39"/>
        <v/>
      </c>
      <c r="E231" s="84" t="str">
        <f t="shared" si="42"/>
        <v/>
      </c>
      <c r="F231" s="85" t="str">
        <f>IF(査定表!E212=0,"",査定表!E212)</f>
        <v/>
      </c>
      <c r="G231" s="83" t="str">
        <f t="shared" si="40"/>
        <v/>
      </c>
      <c r="J231" s="83" t="str">
        <f t="shared" si="41"/>
        <v/>
      </c>
      <c r="L231" s="115"/>
    </row>
    <row r="232" spans="2:12" hidden="1" x14ac:dyDescent="0.15">
      <c r="B232" s="83" t="str">
        <f>+IF(査定表!A217=0,"",査定表!A217)</f>
        <v/>
      </c>
      <c r="C232" s="83" t="str">
        <f t="shared" si="38"/>
        <v/>
      </c>
      <c r="D232" s="84" t="str">
        <f t="shared" si="39"/>
        <v/>
      </c>
      <c r="E232" s="84" t="str">
        <f t="shared" si="42"/>
        <v/>
      </c>
      <c r="F232" s="85" t="str">
        <f>IF(査定表!E213=0,"",査定表!E213)</f>
        <v/>
      </c>
      <c r="G232" s="83" t="str">
        <f t="shared" si="40"/>
        <v/>
      </c>
      <c r="J232" s="83" t="str">
        <f t="shared" si="41"/>
        <v/>
      </c>
      <c r="L232" s="115"/>
    </row>
    <row r="233" spans="2:12" hidden="1" x14ac:dyDescent="0.15">
      <c r="B233" s="102" t="s">
        <v>86</v>
      </c>
      <c r="C233" s="83" t="str">
        <f t="shared" si="38"/>
        <v/>
      </c>
      <c r="D233" s="84" t="str">
        <f t="shared" si="39"/>
        <v/>
      </c>
      <c r="E233" s="84"/>
      <c r="F233" s="86">
        <f>SUM(F197:F232)</f>
        <v>0</v>
      </c>
      <c r="G233" s="83"/>
      <c r="J233" s="83"/>
      <c r="L233" s="115"/>
    </row>
    <row r="234" spans="2:12" hidden="1" x14ac:dyDescent="0.15">
      <c r="B234" s="101" t="s">
        <v>84</v>
      </c>
      <c r="C234" s="83"/>
      <c r="D234" s="84" t="str">
        <f t="shared" si="39"/>
        <v>1</v>
      </c>
      <c r="E234" s="84" t="str">
        <f>IF(F234="","","式")</f>
        <v>式</v>
      </c>
      <c r="F234" s="85">
        <f>INT(F233*0.08)</f>
        <v>0</v>
      </c>
      <c r="G234" s="83"/>
      <c r="J234" s="83"/>
      <c r="L234" s="115"/>
    </row>
    <row r="235" spans="2:12" hidden="1" x14ac:dyDescent="0.15">
      <c r="B235" s="101" t="s">
        <v>18</v>
      </c>
      <c r="C235" s="83" t="str">
        <f t="shared" ref="C235" si="43">IF(D235="","","図面・仕様書どおり")</f>
        <v/>
      </c>
      <c r="D235" s="84" t="str">
        <f t="shared" si="39"/>
        <v/>
      </c>
      <c r="E235" s="84"/>
      <c r="F235" s="85">
        <f>+SUM(F233:F234)</f>
        <v>0</v>
      </c>
      <c r="G235" s="83"/>
      <c r="J235" s="83"/>
      <c r="L235" s="115"/>
    </row>
    <row r="236" spans="2:12" hidden="1" x14ac:dyDescent="0.15">
      <c r="B236" s="101"/>
      <c r="C236" s="83"/>
      <c r="D236" s="84"/>
      <c r="E236" s="84"/>
      <c r="F236" s="85"/>
      <c r="G236" s="83"/>
      <c r="J236" s="83"/>
      <c r="L236" s="115"/>
    </row>
    <row r="237" spans="2:12" hidden="1" x14ac:dyDescent="0.15">
      <c r="B237" s="83" t="str">
        <f>+IF(査定表!A219=0,"",査定表!A219)</f>
        <v/>
      </c>
      <c r="C237" s="83" t="str">
        <f t="shared" ref="C237:C274" si="44">IF(D237="","","図面・仕様書どおり")</f>
        <v/>
      </c>
      <c r="D237" s="84" t="str">
        <f t="shared" ref="D237:D276" si="45">IF(E237="","","1")</f>
        <v/>
      </c>
      <c r="E237" s="84" t="str">
        <f>IF(F237="","","式")</f>
        <v/>
      </c>
      <c r="F237" s="85" t="str">
        <f>IF(査定表!E219=0,"",査定表!E219)</f>
        <v/>
      </c>
      <c r="G237" s="83" t="str">
        <f t="shared" ref="G237:G273" si="46">IF(C237="","","諸経費共")</f>
        <v/>
      </c>
      <c r="J237" s="83" t="str">
        <f t="shared" ref="J237:J273" si="47">IF(F237="","","諸経費共")</f>
        <v/>
      </c>
      <c r="L237" s="115"/>
    </row>
    <row r="238" spans="2:12" hidden="1" x14ac:dyDescent="0.15">
      <c r="B238" s="83" t="str">
        <f>+IF(査定表!A220=0,"",査定表!A220)</f>
        <v/>
      </c>
      <c r="C238" s="83" t="str">
        <f t="shared" si="44"/>
        <v/>
      </c>
      <c r="D238" s="84" t="str">
        <f t="shared" si="45"/>
        <v/>
      </c>
      <c r="E238" s="84" t="str">
        <f t="shared" ref="E238:E273" si="48">IF(F238="","","式")</f>
        <v/>
      </c>
      <c r="F238" s="85" t="str">
        <f>IF(査定表!E220=0,"",査定表!E220)</f>
        <v/>
      </c>
      <c r="G238" s="83" t="str">
        <f t="shared" si="46"/>
        <v/>
      </c>
      <c r="J238" s="83" t="str">
        <f t="shared" si="47"/>
        <v/>
      </c>
      <c r="L238" s="115"/>
    </row>
    <row r="239" spans="2:12" hidden="1" x14ac:dyDescent="0.15">
      <c r="B239" s="83" t="str">
        <f>+IF(査定表!A221=0,"",査定表!A221)</f>
        <v/>
      </c>
      <c r="C239" s="83" t="str">
        <f t="shared" si="44"/>
        <v/>
      </c>
      <c r="D239" s="84" t="str">
        <f t="shared" si="45"/>
        <v/>
      </c>
      <c r="E239" s="84" t="str">
        <f t="shared" si="48"/>
        <v/>
      </c>
      <c r="F239" s="85" t="str">
        <f>IF(査定表!E221=0,"",査定表!E221)</f>
        <v/>
      </c>
      <c r="G239" s="83" t="str">
        <f t="shared" si="46"/>
        <v/>
      </c>
      <c r="J239" s="83" t="str">
        <f t="shared" si="47"/>
        <v/>
      </c>
      <c r="L239" s="115"/>
    </row>
    <row r="240" spans="2:12" hidden="1" x14ac:dyDescent="0.15">
      <c r="B240" s="83" t="str">
        <f>+IF(査定表!A222=0,"",査定表!A222)</f>
        <v/>
      </c>
      <c r="C240" s="83" t="str">
        <f t="shared" si="44"/>
        <v/>
      </c>
      <c r="D240" s="84" t="str">
        <f t="shared" si="45"/>
        <v/>
      </c>
      <c r="E240" s="84" t="str">
        <f t="shared" si="48"/>
        <v/>
      </c>
      <c r="F240" s="85" t="str">
        <f>IF(査定表!E222=0,"",査定表!E222)</f>
        <v/>
      </c>
      <c r="G240" s="83" t="str">
        <f t="shared" si="46"/>
        <v/>
      </c>
      <c r="J240" s="83" t="str">
        <f t="shared" si="47"/>
        <v/>
      </c>
      <c r="L240" s="115"/>
    </row>
    <row r="241" spans="2:12" hidden="1" x14ac:dyDescent="0.15">
      <c r="B241" s="83" t="str">
        <f>+IF(査定表!A223=0,"",査定表!A223)</f>
        <v/>
      </c>
      <c r="C241" s="83" t="str">
        <f t="shared" si="44"/>
        <v/>
      </c>
      <c r="D241" s="84" t="str">
        <f t="shared" si="45"/>
        <v/>
      </c>
      <c r="E241" s="84" t="str">
        <f t="shared" si="48"/>
        <v/>
      </c>
      <c r="F241" s="85" t="str">
        <f>IF(査定表!E223=0,"",査定表!E223)</f>
        <v/>
      </c>
      <c r="G241" s="83" t="str">
        <f t="shared" si="46"/>
        <v/>
      </c>
      <c r="J241" s="83" t="str">
        <f t="shared" si="47"/>
        <v/>
      </c>
      <c r="L241" s="115"/>
    </row>
    <row r="242" spans="2:12" hidden="1" x14ac:dyDescent="0.15">
      <c r="B242" s="83" t="str">
        <f>+IF(査定表!A224=0,"",査定表!A224)</f>
        <v/>
      </c>
      <c r="C242" s="83" t="str">
        <f t="shared" si="44"/>
        <v/>
      </c>
      <c r="D242" s="84" t="str">
        <f t="shared" si="45"/>
        <v/>
      </c>
      <c r="E242" s="84" t="str">
        <f t="shared" si="48"/>
        <v/>
      </c>
      <c r="F242" s="85" t="str">
        <f>IF(査定表!E224=0,"",査定表!E224)</f>
        <v/>
      </c>
      <c r="G242" s="83" t="str">
        <f t="shared" si="46"/>
        <v/>
      </c>
      <c r="J242" s="83" t="str">
        <f t="shared" si="47"/>
        <v/>
      </c>
      <c r="L242" s="115"/>
    </row>
    <row r="243" spans="2:12" hidden="1" x14ac:dyDescent="0.15">
      <c r="B243" s="83" t="str">
        <f>+IF(査定表!A225=0,"",査定表!A225)</f>
        <v/>
      </c>
      <c r="C243" s="83" t="str">
        <f t="shared" si="44"/>
        <v/>
      </c>
      <c r="D243" s="84" t="str">
        <f t="shared" si="45"/>
        <v/>
      </c>
      <c r="E243" s="84" t="str">
        <f t="shared" si="48"/>
        <v/>
      </c>
      <c r="F243" s="85" t="str">
        <f>IF(査定表!E225=0,"",査定表!E225)</f>
        <v/>
      </c>
      <c r="G243" s="83" t="str">
        <f t="shared" si="46"/>
        <v/>
      </c>
      <c r="J243" s="83" t="str">
        <f t="shared" si="47"/>
        <v/>
      </c>
      <c r="L243" s="115"/>
    </row>
    <row r="244" spans="2:12" hidden="1" x14ac:dyDescent="0.15">
      <c r="B244" s="83" t="str">
        <f>+IF(査定表!A226=0,"",査定表!A226)</f>
        <v/>
      </c>
      <c r="C244" s="83" t="str">
        <f t="shared" si="44"/>
        <v/>
      </c>
      <c r="D244" s="84" t="str">
        <f t="shared" si="45"/>
        <v/>
      </c>
      <c r="E244" s="84" t="str">
        <f t="shared" si="48"/>
        <v/>
      </c>
      <c r="F244" s="85" t="str">
        <f>IF(査定表!E226=0,"",査定表!E226)</f>
        <v/>
      </c>
      <c r="G244" s="83" t="str">
        <f t="shared" si="46"/>
        <v/>
      </c>
      <c r="J244" s="83" t="str">
        <f t="shared" si="47"/>
        <v/>
      </c>
      <c r="L244" s="115"/>
    </row>
    <row r="245" spans="2:12" hidden="1" x14ac:dyDescent="0.15">
      <c r="B245" s="83" t="str">
        <f>+IF(査定表!A227=0,"",査定表!A227)</f>
        <v/>
      </c>
      <c r="C245" s="83" t="str">
        <f t="shared" si="44"/>
        <v/>
      </c>
      <c r="D245" s="84" t="str">
        <f t="shared" si="45"/>
        <v/>
      </c>
      <c r="E245" s="84" t="str">
        <f t="shared" si="48"/>
        <v/>
      </c>
      <c r="F245" s="85" t="str">
        <f>IF(査定表!E227=0,"",査定表!E227)</f>
        <v/>
      </c>
      <c r="G245" s="83" t="str">
        <f t="shared" si="46"/>
        <v/>
      </c>
      <c r="J245" s="83" t="str">
        <f t="shared" si="47"/>
        <v/>
      </c>
      <c r="L245" s="115"/>
    </row>
    <row r="246" spans="2:12" hidden="1" x14ac:dyDescent="0.15">
      <c r="B246" s="83" t="str">
        <f>+IF(査定表!A228=0,"",査定表!A228)</f>
        <v/>
      </c>
      <c r="C246" s="83" t="str">
        <f t="shared" si="44"/>
        <v/>
      </c>
      <c r="D246" s="84" t="str">
        <f t="shared" si="45"/>
        <v/>
      </c>
      <c r="E246" s="84" t="str">
        <f t="shared" si="48"/>
        <v/>
      </c>
      <c r="F246" s="85" t="str">
        <f>IF(査定表!E228=0,"",査定表!E228)</f>
        <v/>
      </c>
      <c r="G246" s="83" t="str">
        <f t="shared" si="46"/>
        <v/>
      </c>
      <c r="J246" s="83" t="str">
        <f t="shared" si="47"/>
        <v/>
      </c>
      <c r="L246" s="115"/>
    </row>
    <row r="247" spans="2:12" hidden="1" x14ac:dyDescent="0.15">
      <c r="B247" s="83" t="str">
        <f>+IF(査定表!A229=0,"",査定表!A229)</f>
        <v/>
      </c>
      <c r="C247" s="83" t="str">
        <f t="shared" si="44"/>
        <v/>
      </c>
      <c r="D247" s="84" t="str">
        <f t="shared" si="45"/>
        <v/>
      </c>
      <c r="E247" s="84" t="str">
        <f t="shared" si="48"/>
        <v/>
      </c>
      <c r="F247" s="85" t="str">
        <f>IF(査定表!E229=0,"",査定表!E229)</f>
        <v/>
      </c>
      <c r="G247" s="83" t="str">
        <f t="shared" si="46"/>
        <v/>
      </c>
      <c r="J247" s="83" t="str">
        <f t="shared" si="47"/>
        <v/>
      </c>
      <c r="L247" s="115"/>
    </row>
    <row r="248" spans="2:12" hidden="1" x14ac:dyDescent="0.15">
      <c r="B248" s="83" t="str">
        <f>+IF(査定表!A230=0,"",査定表!A230)</f>
        <v/>
      </c>
      <c r="C248" s="83" t="str">
        <f t="shared" si="44"/>
        <v/>
      </c>
      <c r="D248" s="84" t="str">
        <f t="shared" si="45"/>
        <v/>
      </c>
      <c r="E248" s="84" t="str">
        <f t="shared" si="48"/>
        <v/>
      </c>
      <c r="F248" s="85" t="str">
        <f>IF(査定表!E230=0,"",査定表!E230)</f>
        <v/>
      </c>
      <c r="G248" s="83" t="str">
        <f t="shared" si="46"/>
        <v/>
      </c>
      <c r="J248" s="83" t="str">
        <f t="shared" si="47"/>
        <v/>
      </c>
      <c r="L248" s="115"/>
    </row>
    <row r="249" spans="2:12" hidden="1" x14ac:dyDescent="0.15">
      <c r="B249" s="83" t="str">
        <f>+IF(査定表!A231=0,"",査定表!A231)</f>
        <v/>
      </c>
      <c r="C249" s="83" t="str">
        <f t="shared" si="44"/>
        <v/>
      </c>
      <c r="D249" s="84" t="str">
        <f t="shared" si="45"/>
        <v/>
      </c>
      <c r="E249" s="84" t="str">
        <f t="shared" si="48"/>
        <v/>
      </c>
      <c r="F249" s="85" t="str">
        <f>IF(査定表!E231=0,"",査定表!E231)</f>
        <v/>
      </c>
      <c r="G249" s="83" t="str">
        <f t="shared" si="46"/>
        <v/>
      </c>
      <c r="J249" s="83" t="str">
        <f t="shared" si="47"/>
        <v/>
      </c>
      <c r="L249" s="115"/>
    </row>
    <row r="250" spans="2:12" hidden="1" x14ac:dyDescent="0.15">
      <c r="B250" s="83" t="str">
        <f>+IF(査定表!A232=0,"",査定表!A232)</f>
        <v/>
      </c>
      <c r="C250" s="83" t="str">
        <f t="shared" si="44"/>
        <v/>
      </c>
      <c r="D250" s="84" t="str">
        <f t="shared" si="45"/>
        <v/>
      </c>
      <c r="E250" s="84" t="str">
        <f t="shared" si="48"/>
        <v/>
      </c>
      <c r="F250" s="85" t="str">
        <f>IF(査定表!E232=0,"",査定表!E232)</f>
        <v/>
      </c>
      <c r="G250" s="83" t="str">
        <f t="shared" si="46"/>
        <v/>
      </c>
      <c r="J250" s="83" t="str">
        <f t="shared" si="47"/>
        <v/>
      </c>
      <c r="L250" s="115"/>
    </row>
    <row r="251" spans="2:12" hidden="1" x14ac:dyDescent="0.15">
      <c r="B251" s="83" t="str">
        <f>+IF(査定表!A233=0,"",査定表!A233)</f>
        <v/>
      </c>
      <c r="C251" s="83" t="str">
        <f t="shared" si="44"/>
        <v/>
      </c>
      <c r="D251" s="84" t="str">
        <f t="shared" si="45"/>
        <v/>
      </c>
      <c r="E251" s="84" t="str">
        <f t="shared" si="48"/>
        <v/>
      </c>
      <c r="F251" s="85" t="str">
        <f>IF(査定表!E233=0,"",査定表!E233)</f>
        <v/>
      </c>
      <c r="G251" s="83" t="str">
        <f t="shared" si="46"/>
        <v/>
      </c>
      <c r="J251" s="83" t="str">
        <f t="shared" si="47"/>
        <v/>
      </c>
      <c r="L251" s="115"/>
    </row>
    <row r="252" spans="2:12" hidden="1" x14ac:dyDescent="0.15">
      <c r="B252" s="83" t="str">
        <f>+IF(査定表!A234=0,"",査定表!A234)</f>
        <v/>
      </c>
      <c r="C252" s="83" t="str">
        <f t="shared" si="44"/>
        <v/>
      </c>
      <c r="D252" s="84" t="str">
        <f t="shared" si="45"/>
        <v/>
      </c>
      <c r="E252" s="84" t="str">
        <f t="shared" si="48"/>
        <v/>
      </c>
      <c r="F252" s="85" t="str">
        <f>IF(査定表!E234=0,"",査定表!E234)</f>
        <v/>
      </c>
      <c r="G252" s="83" t="str">
        <f t="shared" si="46"/>
        <v/>
      </c>
      <c r="J252" s="83" t="str">
        <f t="shared" si="47"/>
        <v/>
      </c>
      <c r="L252" s="115"/>
    </row>
    <row r="253" spans="2:12" hidden="1" x14ac:dyDescent="0.15">
      <c r="B253" s="83" t="str">
        <f>+IF(査定表!A235=0,"",査定表!A235)</f>
        <v/>
      </c>
      <c r="C253" s="83" t="str">
        <f t="shared" si="44"/>
        <v/>
      </c>
      <c r="D253" s="84" t="str">
        <f t="shared" si="45"/>
        <v/>
      </c>
      <c r="E253" s="84" t="str">
        <f t="shared" si="48"/>
        <v/>
      </c>
      <c r="F253" s="85" t="str">
        <f>IF(査定表!E235=0,"",査定表!E235)</f>
        <v/>
      </c>
      <c r="G253" s="83" t="str">
        <f t="shared" si="46"/>
        <v/>
      </c>
      <c r="J253" s="83" t="str">
        <f t="shared" si="47"/>
        <v/>
      </c>
      <c r="L253" s="115"/>
    </row>
    <row r="254" spans="2:12" hidden="1" x14ac:dyDescent="0.15">
      <c r="B254" s="83" t="str">
        <f>+IF(査定表!A236=0,"",査定表!A236)</f>
        <v/>
      </c>
      <c r="C254" s="83" t="str">
        <f t="shared" si="44"/>
        <v/>
      </c>
      <c r="D254" s="84" t="str">
        <f t="shared" si="45"/>
        <v/>
      </c>
      <c r="E254" s="84" t="str">
        <f t="shared" si="48"/>
        <v/>
      </c>
      <c r="F254" s="85" t="str">
        <f>IF(査定表!E236=0,"",査定表!E236)</f>
        <v/>
      </c>
      <c r="G254" s="83" t="str">
        <f t="shared" si="46"/>
        <v/>
      </c>
      <c r="J254" s="83" t="str">
        <f t="shared" si="47"/>
        <v/>
      </c>
      <c r="L254" s="115"/>
    </row>
    <row r="255" spans="2:12" hidden="1" x14ac:dyDescent="0.15">
      <c r="B255" s="83" t="str">
        <f>+IF(査定表!A237=0,"",査定表!A237)</f>
        <v/>
      </c>
      <c r="C255" s="83" t="str">
        <f t="shared" si="44"/>
        <v/>
      </c>
      <c r="D255" s="84" t="str">
        <f t="shared" si="45"/>
        <v/>
      </c>
      <c r="E255" s="84" t="str">
        <f t="shared" si="48"/>
        <v/>
      </c>
      <c r="F255" s="85" t="str">
        <f>IF(査定表!E237=0,"",査定表!E237)</f>
        <v/>
      </c>
      <c r="G255" s="83" t="str">
        <f t="shared" si="46"/>
        <v/>
      </c>
      <c r="J255" s="83" t="str">
        <f t="shared" si="47"/>
        <v/>
      </c>
      <c r="L255" s="115"/>
    </row>
    <row r="256" spans="2:12" hidden="1" x14ac:dyDescent="0.15">
      <c r="B256" s="83" t="str">
        <f>+IF(査定表!A238=0,"",査定表!A238)</f>
        <v/>
      </c>
      <c r="C256" s="83" t="str">
        <f t="shared" si="44"/>
        <v/>
      </c>
      <c r="D256" s="84" t="str">
        <f t="shared" si="45"/>
        <v/>
      </c>
      <c r="E256" s="84" t="str">
        <f t="shared" si="48"/>
        <v/>
      </c>
      <c r="F256" s="85" t="str">
        <f>IF(査定表!E238=0,"",査定表!E238)</f>
        <v/>
      </c>
      <c r="G256" s="83" t="str">
        <f t="shared" si="46"/>
        <v/>
      </c>
      <c r="J256" s="83" t="str">
        <f t="shared" si="47"/>
        <v/>
      </c>
      <c r="L256" s="115"/>
    </row>
    <row r="257" spans="2:12" hidden="1" x14ac:dyDescent="0.15">
      <c r="B257" s="83" t="str">
        <f>+IF(査定表!A239=0,"",査定表!A239)</f>
        <v/>
      </c>
      <c r="C257" s="83" t="str">
        <f t="shared" si="44"/>
        <v/>
      </c>
      <c r="D257" s="84" t="str">
        <f t="shared" si="45"/>
        <v/>
      </c>
      <c r="E257" s="84" t="str">
        <f t="shared" si="48"/>
        <v/>
      </c>
      <c r="F257" s="85" t="str">
        <f>IF(査定表!E239=0,"",査定表!E239)</f>
        <v/>
      </c>
      <c r="G257" s="83" t="str">
        <f t="shared" si="46"/>
        <v/>
      </c>
      <c r="J257" s="83" t="str">
        <f t="shared" si="47"/>
        <v/>
      </c>
      <c r="L257" s="115"/>
    </row>
    <row r="258" spans="2:12" hidden="1" x14ac:dyDescent="0.15">
      <c r="B258" s="83" t="str">
        <f>+IF(査定表!A240=0,"",査定表!A240)</f>
        <v/>
      </c>
      <c r="C258" s="83" t="str">
        <f t="shared" si="44"/>
        <v/>
      </c>
      <c r="D258" s="84" t="str">
        <f t="shared" si="45"/>
        <v/>
      </c>
      <c r="E258" s="84" t="str">
        <f t="shared" si="48"/>
        <v/>
      </c>
      <c r="F258" s="85" t="str">
        <f>IF(査定表!E240=0,"",査定表!E240)</f>
        <v/>
      </c>
      <c r="G258" s="83" t="str">
        <f t="shared" si="46"/>
        <v/>
      </c>
      <c r="J258" s="83" t="str">
        <f t="shared" si="47"/>
        <v/>
      </c>
      <c r="L258" s="115"/>
    </row>
    <row r="259" spans="2:12" hidden="1" x14ac:dyDescent="0.15">
      <c r="B259" s="83" t="str">
        <f>+IF(査定表!A241=0,"",査定表!A241)</f>
        <v/>
      </c>
      <c r="C259" s="83" t="str">
        <f t="shared" si="44"/>
        <v/>
      </c>
      <c r="D259" s="84" t="str">
        <f t="shared" si="45"/>
        <v/>
      </c>
      <c r="E259" s="84" t="str">
        <f t="shared" si="48"/>
        <v/>
      </c>
      <c r="F259" s="85" t="str">
        <f>IF(査定表!E241=0,"",査定表!E241)</f>
        <v/>
      </c>
      <c r="G259" s="83" t="str">
        <f t="shared" si="46"/>
        <v/>
      </c>
      <c r="J259" s="83" t="str">
        <f t="shared" si="47"/>
        <v/>
      </c>
      <c r="L259" s="115"/>
    </row>
    <row r="260" spans="2:12" hidden="1" x14ac:dyDescent="0.15">
      <c r="B260" s="83" t="str">
        <f>+IF(査定表!A242=0,"",査定表!A242)</f>
        <v/>
      </c>
      <c r="C260" s="83" t="str">
        <f t="shared" si="44"/>
        <v/>
      </c>
      <c r="D260" s="84" t="str">
        <f t="shared" si="45"/>
        <v/>
      </c>
      <c r="E260" s="84" t="str">
        <f t="shared" si="48"/>
        <v/>
      </c>
      <c r="F260" s="85" t="str">
        <f>IF(査定表!E242=0,"",査定表!E242)</f>
        <v/>
      </c>
      <c r="G260" s="83" t="str">
        <f t="shared" si="46"/>
        <v/>
      </c>
      <c r="J260" s="83" t="str">
        <f t="shared" si="47"/>
        <v/>
      </c>
      <c r="L260" s="115"/>
    </row>
    <row r="261" spans="2:12" hidden="1" x14ac:dyDescent="0.15">
      <c r="B261" s="83" t="str">
        <f>+IF(査定表!A243=0,"",査定表!A243)</f>
        <v/>
      </c>
      <c r="C261" s="83" t="str">
        <f t="shared" si="44"/>
        <v/>
      </c>
      <c r="D261" s="84" t="str">
        <f t="shared" si="45"/>
        <v/>
      </c>
      <c r="E261" s="84" t="str">
        <f t="shared" si="48"/>
        <v/>
      </c>
      <c r="F261" s="85" t="str">
        <f>IF(査定表!E243=0,"",査定表!E243)</f>
        <v/>
      </c>
      <c r="G261" s="83" t="str">
        <f t="shared" si="46"/>
        <v/>
      </c>
      <c r="J261" s="83" t="str">
        <f t="shared" si="47"/>
        <v/>
      </c>
      <c r="L261" s="115"/>
    </row>
    <row r="262" spans="2:12" hidden="1" x14ac:dyDescent="0.15">
      <c r="B262" s="83" t="str">
        <f>+IF(査定表!A244=0,"",査定表!A244)</f>
        <v/>
      </c>
      <c r="C262" s="83" t="str">
        <f t="shared" si="44"/>
        <v/>
      </c>
      <c r="D262" s="84" t="str">
        <f t="shared" si="45"/>
        <v/>
      </c>
      <c r="E262" s="84" t="str">
        <f t="shared" si="48"/>
        <v/>
      </c>
      <c r="F262" s="85" t="str">
        <f>IF(査定表!E244=0,"",査定表!E244)</f>
        <v/>
      </c>
      <c r="G262" s="83" t="str">
        <f t="shared" si="46"/>
        <v/>
      </c>
      <c r="J262" s="83" t="str">
        <f t="shared" si="47"/>
        <v/>
      </c>
      <c r="L262" s="115"/>
    </row>
    <row r="263" spans="2:12" hidden="1" x14ac:dyDescent="0.15">
      <c r="B263" s="83" t="str">
        <f>+IF(査定表!A245=0,"",査定表!A245)</f>
        <v/>
      </c>
      <c r="C263" s="83" t="str">
        <f t="shared" si="44"/>
        <v/>
      </c>
      <c r="D263" s="84" t="str">
        <f t="shared" si="45"/>
        <v/>
      </c>
      <c r="E263" s="84" t="str">
        <f t="shared" si="48"/>
        <v/>
      </c>
      <c r="F263" s="85" t="str">
        <f>IF(査定表!E245=0,"",査定表!E245)</f>
        <v/>
      </c>
      <c r="G263" s="83" t="str">
        <f t="shared" si="46"/>
        <v/>
      </c>
      <c r="J263" s="83" t="str">
        <f t="shared" si="47"/>
        <v/>
      </c>
      <c r="L263" s="115"/>
    </row>
    <row r="264" spans="2:12" hidden="1" x14ac:dyDescent="0.15">
      <c r="B264" s="83" t="str">
        <f>+IF(査定表!A246=0,"",査定表!A246)</f>
        <v/>
      </c>
      <c r="C264" s="83" t="str">
        <f t="shared" si="44"/>
        <v/>
      </c>
      <c r="D264" s="84" t="str">
        <f t="shared" si="45"/>
        <v/>
      </c>
      <c r="E264" s="84" t="str">
        <f t="shared" si="48"/>
        <v/>
      </c>
      <c r="F264" s="85" t="str">
        <f>IF(査定表!E246=0,"",査定表!E246)</f>
        <v/>
      </c>
      <c r="G264" s="83" t="str">
        <f t="shared" si="46"/>
        <v/>
      </c>
      <c r="J264" s="83" t="str">
        <f t="shared" si="47"/>
        <v/>
      </c>
      <c r="L264" s="115"/>
    </row>
    <row r="265" spans="2:12" hidden="1" x14ac:dyDescent="0.15">
      <c r="B265" s="83" t="str">
        <f>+IF(査定表!A247=0,"",査定表!A247)</f>
        <v/>
      </c>
      <c r="C265" s="83" t="str">
        <f t="shared" si="44"/>
        <v/>
      </c>
      <c r="D265" s="84" t="str">
        <f t="shared" si="45"/>
        <v/>
      </c>
      <c r="E265" s="84" t="str">
        <f t="shared" si="48"/>
        <v/>
      </c>
      <c r="F265" s="85" t="str">
        <f>IF(査定表!E247=0,"",査定表!E247)</f>
        <v/>
      </c>
      <c r="G265" s="83" t="str">
        <f t="shared" si="46"/>
        <v/>
      </c>
      <c r="J265" s="83" t="str">
        <f t="shared" si="47"/>
        <v/>
      </c>
      <c r="L265" s="115"/>
    </row>
    <row r="266" spans="2:12" hidden="1" x14ac:dyDescent="0.15">
      <c r="B266" s="83" t="str">
        <f>+IF(査定表!A248=0,"",査定表!A248)</f>
        <v/>
      </c>
      <c r="C266" s="83" t="str">
        <f t="shared" si="44"/>
        <v/>
      </c>
      <c r="D266" s="84" t="str">
        <f t="shared" si="45"/>
        <v/>
      </c>
      <c r="E266" s="84" t="str">
        <f t="shared" si="48"/>
        <v/>
      </c>
      <c r="F266" s="85" t="str">
        <f>IF(査定表!E248=0,"",査定表!E248)</f>
        <v/>
      </c>
      <c r="G266" s="83" t="str">
        <f t="shared" si="46"/>
        <v/>
      </c>
      <c r="J266" s="83" t="str">
        <f t="shared" si="47"/>
        <v/>
      </c>
      <c r="L266" s="115"/>
    </row>
    <row r="267" spans="2:12" hidden="1" x14ac:dyDescent="0.15">
      <c r="B267" s="83" t="str">
        <f>+IF(査定表!A249=0,"",査定表!A249)</f>
        <v/>
      </c>
      <c r="C267" s="83" t="str">
        <f t="shared" si="44"/>
        <v/>
      </c>
      <c r="D267" s="84" t="str">
        <f t="shared" si="45"/>
        <v/>
      </c>
      <c r="E267" s="84" t="str">
        <f t="shared" si="48"/>
        <v/>
      </c>
      <c r="F267" s="85" t="str">
        <f>IF(査定表!E249=0,"",査定表!E249)</f>
        <v/>
      </c>
      <c r="G267" s="83" t="str">
        <f t="shared" si="46"/>
        <v/>
      </c>
      <c r="J267" s="83" t="str">
        <f t="shared" si="47"/>
        <v/>
      </c>
      <c r="L267" s="115"/>
    </row>
    <row r="268" spans="2:12" hidden="1" x14ac:dyDescent="0.15">
      <c r="B268" s="83" t="str">
        <f>+IF(査定表!A250=0,"",査定表!A250)</f>
        <v/>
      </c>
      <c r="C268" s="83" t="str">
        <f t="shared" si="44"/>
        <v/>
      </c>
      <c r="D268" s="84" t="str">
        <f t="shared" si="45"/>
        <v/>
      </c>
      <c r="E268" s="84" t="str">
        <f t="shared" si="48"/>
        <v/>
      </c>
      <c r="F268" s="85" t="str">
        <f>IF(査定表!E250=0,"",査定表!E250)</f>
        <v/>
      </c>
      <c r="G268" s="83" t="str">
        <f t="shared" si="46"/>
        <v/>
      </c>
      <c r="J268" s="83" t="str">
        <f t="shared" si="47"/>
        <v/>
      </c>
      <c r="L268" s="115"/>
    </row>
    <row r="269" spans="2:12" hidden="1" x14ac:dyDescent="0.15">
      <c r="B269" s="83" t="str">
        <f>+IF(査定表!A251=0,"",査定表!A251)</f>
        <v/>
      </c>
      <c r="C269" s="83" t="str">
        <f t="shared" si="44"/>
        <v/>
      </c>
      <c r="D269" s="84" t="str">
        <f t="shared" si="45"/>
        <v/>
      </c>
      <c r="E269" s="84" t="str">
        <f t="shared" si="48"/>
        <v/>
      </c>
      <c r="F269" s="85" t="str">
        <f>IF(査定表!E251=0,"",査定表!E251)</f>
        <v/>
      </c>
      <c r="G269" s="83" t="str">
        <f t="shared" si="46"/>
        <v/>
      </c>
      <c r="J269" s="83" t="str">
        <f t="shared" si="47"/>
        <v/>
      </c>
      <c r="L269" s="115"/>
    </row>
    <row r="270" spans="2:12" hidden="1" x14ac:dyDescent="0.15">
      <c r="B270" s="83" t="str">
        <f>+IF(査定表!A252=0,"",査定表!A252)</f>
        <v/>
      </c>
      <c r="C270" s="83" t="str">
        <f t="shared" si="44"/>
        <v/>
      </c>
      <c r="D270" s="84" t="str">
        <f t="shared" si="45"/>
        <v/>
      </c>
      <c r="E270" s="84" t="str">
        <f t="shared" si="48"/>
        <v/>
      </c>
      <c r="F270" s="85" t="str">
        <f>IF(査定表!E252=0,"",査定表!E252)</f>
        <v/>
      </c>
      <c r="G270" s="83" t="str">
        <f t="shared" si="46"/>
        <v/>
      </c>
      <c r="J270" s="83" t="str">
        <f t="shared" si="47"/>
        <v/>
      </c>
      <c r="L270" s="115"/>
    </row>
    <row r="271" spans="2:12" hidden="1" x14ac:dyDescent="0.15">
      <c r="B271" s="83" t="str">
        <f>+IF(査定表!A253=0,"",査定表!A253)</f>
        <v/>
      </c>
      <c r="C271" s="83" t="str">
        <f t="shared" si="44"/>
        <v/>
      </c>
      <c r="D271" s="84" t="str">
        <f t="shared" si="45"/>
        <v/>
      </c>
      <c r="E271" s="84" t="str">
        <f t="shared" si="48"/>
        <v/>
      </c>
      <c r="F271" s="85" t="str">
        <f>IF(査定表!E253=0,"",査定表!E253)</f>
        <v/>
      </c>
      <c r="G271" s="83" t="str">
        <f t="shared" si="46"/>
        <v/>
      </c>
      <c r="J271" s="83" t="str">
        <f t="shared" si="47"/>
        <v/>
      </c>
      <c r="L271" s="115"/>
    </row>
    <row r="272" spans="2:12" hidden="1" x14ac:dyDescent="0.15">
      <c r="B272" s="83" t="str">
        <f>+IF(査定表!A258=0,"",査定表!A258)</f>
        <v/>
      </c>
      <c r="C272" s="83" t="str">
        <f t="shared" si="44"/>
        <v/>
      </c>
      <c r="D272" s="84" t="str">
        <f t="shared" si="45"/>
        <v/>
      </c>
      <c r="E272" s="84" t="str">
        <f t="shared" si="48"/>
        <v/>
      </c>
      <c r="F272" s="85" t="str">
        <f>IF(査定表!E254=0,"",査定表!E254)</f>
        <v/>
      </c>
      <c r="G272" s="83" t="str">
        <f t="shared" si="46"/>
        <v/>
      </c>
      <c r="J272" s="83" t="str">
        <f t="shared" si="47"/>
        <v/>
      </c>
      <c r="L272" s="115"/>
    </row>
    <row r="273" spans="2:12" hidden="1" x14ac:dyDescent="0.15">
      <c r="B273" s="83" t="str">
        <f>+IF(査定表!A259=0,"",査定表!A259)</f>
        <v/>
      </c>
      <c r="C273" s="83" t="str">
        <f t="shared" si="44"/>
        <v/>
      </c>
      <c r="D273" s="84" t="str">
        <f t="shared" si="45"/>
        <v/>
      </c>
      <c r="E273" s="84" t="str">
        <f t="shared" si="48"/>
        <v/>
      </c>
      <c r="F273" s="85" t="str">
        <f>IF(査定表!E255=0,"",査定表!E255)</f>
        <v/>
      </c>
      <c r="G273" s="83" t="str">
        <f t="shared" si="46"/>
        <v/>
      </c>
      <c r="J273" s="83" t="str">
        <f t="shared" si="47"/>
        <v/>
      </c>
      <c r="L273" s="115"/>
    </row>
    <row r="274" spans="2:12" hidden="1" x14ac:dyDescent="0.15">
      <c r="B274" s="102" t="s">
        <v>86</v>
      </c>
      <c r="C274" s="83" t="str">
        <f t="shared" si="44"/>
        <v/>
      </c>
      <c r="D274" s="84" t="str">
        <f t="shared" si="45"/>
        <v/>
      </c>
      <c r="E274" s="84"/>
      <c r="F274" s="86">
        <f>SUM(F238:F273)</f>
        <v>0</v>
      </c>
      <c r="G274" s="83"/>
      <c r="J274" s="83"/>
      <c r="L274" s="115"/>
    </row>
    <row r="275" spans="2:12" hidden="1" x14ac:dyDescent="0.15">
      <c r="B275" s="101" t="s">
        <v>84</v>
      </c>
      <c r="C275" s="83"/>
      <c r="D275" s="84" t="str">
        <f t="shared" si="45"/>
        <v>1</v>
      </c>
      <c r="E275" s="84" t="str">
        <f>IF(F275="","","式")</f>
        <v>式</v>
      </c>
      <c r="F275" s="85">
        <f>INT(F274*0.08)</f>
        <v>0</v>
      </c>
      <c r="G275" s="83"/>
      <c r="J275" s="83"/>
      <c r="L275" s="115"/>
    </row>
    <row r="276" spans="2:12" hidden="1" x14ac:dyDescent="0.15">
      <c r="B276" s="101" t="s">
        <v>18</v>
      </c>
      <c r="C276" s="83" t="str">
        <f t="shared" ref="C276" si="49">IF(D276="","","図面・仕様書どおり")</f>
        <v/>
      </c>
      <c r="D276" s="84" t="str">
        <f t="shared" si="45"/>
        <v/>
      </c>
      <c r="E276" s="84"/>
      <c r="F276" s="85">
        <f>+SUM(F274:F275)</f>
        <v>0</v>
      </c>
      <c r="G276" s="83"/>
      <c r="J276" s="83"/>
      <c r="L276" s="115"/>
    </row>
    <row r="277" spans="2:12" hidden="1" x14ac:dyDescent="0.15">
      <c r="B277" s="101"/>
      <c r="C277" s="83"/>
      <c r="D277" s="84"/>
      <c r="E277" s="84"/>
      <c r="F277" s="85"/>
      <c r="G277" s="83"/>
      <c r="J277" s="83"/>
      <c r="L277" s="115"/>
    </row>
    <row r="278" spans="2:12" hidden="1" x14ac:dyDescent="0.15">
      <c r="B278" s="83" t="str">
        <f>+IF(査定表!A261=0,"",査定表!A261)</f>
        <v/>
      </c>
      <c r="C278" s="83" t="str">
        <f t="shared" ref="C278:C315" si="50">IF(D278="","","図面・仕様書どおり")</f>
        <v/>
      </c>
      <c r="D278" s="84" t="str">
        <f t="shared" ref="D278:D317" si="51">IF(E278="","","1")</f>
        <v/>
      </c>
      <c r="E278" s="84" t="str">
        <f>IF(F278="","","式")</f>
        <v/>
      </c>
      <c r="F278" s="85" t="str">
        <f>IF(査定表!E261=0,"",査定表!E261)</f>
        <v/>
      </c>
      <c r="G278" s="83" t="str">
        <f t="shared" ref="G278:G314" si="52">IF(C278="","","諸経費共")</f>
        <v/>
      </c>
      <c r="J278" s="83" t="str">
        <f t="shared" ref="J278:J314" si="53">IF(F278="","","諸経費共")</f>
        <v/>
      </c>
      <c r="L278" s="115"/>
    </row>
    <row r="279" spans="2:12" hidden="1" x14ac:dyDescent="0.15">
      <c r="B279" s="83" t="str">
        <f>+IF(査定表!A262=0,"",査定表!A262)</f>
        <v/>
      </c>
      <c r="C279" s="83" t="str">
        <f t="shared" si="50"/>
        <v/>
      </c>
      <c r="D279" s="84" t="str">
        <f t="shared" si="51"/>
        <v/>
      </c>
      <c r="E279" s="84" t="str">
        <f t="shared" ref="E279:E314" si="54">IF(F279="","","式")</f>
        <v/>
      </c>
      <c r="F279" s="85" t="str">
        <f>IF(査定表!E262=0,"",査定表!E262)</f>
        <v/>
      </c>
      <c r="G279" s="83" t="str">
        <f t="shared" si="52"/>
        <v/>
      </c>
      <c r="J279" s="83" t="str">
        <f t="shared" si="53"/>
        <v/>
      </c>
      <c r="L279" s="115"/>
    </row>
    <row r="280" spans="2:12" hidden="1" x14ac:dyDescent="0.15">
      <c r="B280" s="83" t="str">
        <f>+IF(査定表!A263=0,"",査定表!A263)</f>
        <v/>
      </c>
      <c r="C280" s="83" t="str">
        <f t="shared" si="50"/>
        <v/>
      </c>
      <c r="D280" s="84" t="str">
        <f t="shared" si="51"/>
        <v/>
      </c>
      <c r="E280" s="84" t="str">
        <f t="shared" si="54"/>
        <v/>
      </c>
      <c r="F280" s="85" t="str">
        <f>IF(査定表!E263=0,"",査定表!E263)</f>
        <v/>
      </c>
      <c r="G280" s="83" t="str">
        <f t="shared" si="52"/>
        <v/>
      </c>
      <c r="J280" s="83" t="str">
        <f t="shared" si="53"/>
        <v/>
      </c>
      <c r="L280" s="115"/>
    </row>
    <row r="281" spans="2:12" hidden="1" x14ac:dyDescent="0.15">
      <c r="B281" s="83" t="str">
        <f>+IF(査定表!A264=0,"",査定表!A264)</f>
        <v/>
      </c>
      <c r="C281" s="83" t="str">
        <f t="shared" si="50"/>
        <v/>
      </c>
      <c r="D281" s="84" t="str">
        <f t="shared" si="51"/>
        <v/>
      </c>
      <c r="E281" s="84" t="str">
        <f t="shared" si="54"/>
        <v/>
      </c>
      <c r="F281" s="85" t="str">
        <f>IF(査定表!E264=0,"",査定表!E264)</f>
        <v/>
      </c>
      <c r="G281" s="83" t="str">
        <f t="shared" si="52"/>
        <v/>
      </c>
      <c r="J281" s="83" t="str">
        <f t="shared" si="53"/>
        <v/>
      </c>
      <c r="L281" s="115"/>
    </row>
    <row r="282" spans="2:12" hidden="1" x14ac:dyDescent="0.15">
      <c r="B282" s="83" t="str">
        <f>+IF(査定表!A265=0,"",査定表!A265)</f>
        <v/>
      </c>
      <c r="C282" s="83" t="str">
        <f t="shared" si="50"/>
        <v/>
      </c>
      <c r="D282" s="84" t="str">
        <f t="shared" si="51"/>
        <v/>
      </c>
      <c r="E282" s="84" t="str">
        <f t="shared" si="54"/>
        <v/>
      </c>
      <c r="F282" s="85" t="str">
        <f>IF(査定表!E265=0,"",査定表!E265)</f>
        <v/>
      </c>
      <c r="G282" s="83" t="str">
        <f t="shared" si="52"/>
        <v/>
      </c>
      <c r="J282" s="83" t="str">
        <f t="shared" si="53"/>
        <v/>
      </c>
      <c r="L282" s="115"/>
    </row>
    <row r="283" spans="2:12" hidden="1" x14ac:dyDescent="0.15">
      <c r="B283" s="83" t="str">
        <f>+IF(査定表!A266=0,"",査定表!A266)</f>
        <v/>
      </c>
      <c r="C283" s="83" t="str">
        <f t="shared" si="50"/>
        <v/>
      </c>
      <c r="D283" s="84" t="str">
        <f t="shared" si="51"/>
        <v/>
      </c>
      <c r="E283" s="84" t="str">
        <f t="shared" si="54"/>
        <v/>
      </c>
      <c r="F283" s="85" t="str">
        <f>IF(査定表!E266=0,"",査定表!E266)</f>
        <v/>
      </c>
      <c r="G283" s="83" t="str">
        <f t="shared" si="52"/>
        <v/>
      </c>
      <c r="J283" s="83" t="str">
        <f t="shared" si="53"/>
        <v/>
      </c>
      <c r="L283" s="115"/>
    </row>
    <row r="284" spans="2:12" hidden="1" x14ac:dyDescent="0.15">
      <c r="B284" s="83" t="str">
        <f>+IF(査定表!A267=0,"",査定表!A267)</f>
        <v/>
      </c>
      <c r="C284" s="83" t="str">
        <f t="shared" si="50"/>
        <v/>
      </c>
      <c r="D284" s="84" t="str">
        <f t="shared" si="51"/>
        <v/>
      </c>
      <c r="E284" s="84" t="str">
        <f t="shared" si="54"/>
        <v/>
      </c>
      <c r="F284" s="85" t="str">
        <f>IF(査定表!E267=0,"",査定表!E267)</f>
        <v/>
      </c>
      <c r="G284" s="83" t="str">
        <f t="shared" si="52"/>
        <v/>
      </c>
      <c r="J284" s="83" t="str">
        <f t="shared" si="53"/>
        <v/>
      </c>
      <c r="L284" s="115"/>
    </row>
    <row r="285" spans="2:12" hidden="1" x14ac:dyDescent="0.15">
      <c r="B285" s="83" t="str">
        <f>+IF(査定表!A268=0,"",査定表!A268)</f>
        <v/>
      </c>
      <c r="C285" s="83" t="str">
        <f t="shared" si="50"/>
        <v/>
      </c>
      <c r="D285" s="84" t="str">
        <f t="shared" si="51"/>
        <v/>
      </c>
      <c r="E285" s="84" t="str">
        <f t="shared" si="54"/>
        <v/>
      </c>
      <c r="F285" s="85" t="str">
        <f>IF(査定表!E268=0,"",査定表!E268)</f>
        <v/>
      </c>
      <c r="G285" s="83" t="str">
        <f t="shared" si="52"/>
        <v/>
      </c>
      <c r="J285" s="83" t="str">
        <f t="shared" si="53"/>
        <v/>
      </c>
      <c r="L285" s="115"/>
    </row>
    <row r="286" spans="2:12" hidden="1" x14ac:dyDescent="0.15">
      <c r="B286" s="83" t="str">
        <f>+IF(査定表!A269=0,"",査定表!A269)</f>
        <v/>
      </c>
      <c r="C286" s="83" t="str">
        <f t="shared" si="50"/>
        <v/>
      </c>
      <c r="D286" s="84" t="str">
        <f t="shared" si="51"/>
        <v/>
      </c>
      <c r="E286" s="84" t="str">
        <f t="shared" si="54"/>
        <v/>
      </c>
      <c r="F286" s="85" t="str">
        <f>IF(査定表!E269=0,"",査定表!E269)</f>
        <v/>
      </c>
      <c r="G286" s="83" t="str">
        <f t="shared" si="52"/>
        <v/>
      </c>
      <c r="J286" s="83" t="str">
        <f t="shared" si="53"/>
        <v/>
      </c>
      <c r="L286" s="115"/>
    </row>
    <row r="287" spans="2:12" hidden="1" x14ac:dyDescent="0.15">
      <c r="B287" s="83" t="str">
        <f>+IF(査定表!A270=0,"",査定表!A270)</f>
        <v/>
      </c>
      <c r="C287" s="83" t="str">
        <f t="shared" si="50"/>
        <v/>
      </c>
      <c r="D287" s="84" t="str">
        <f t="shared" si="51"/>
        <v/>
      </c>
      <c r="E287" s="84" t="str">
        <f t="shared" si="54"/>
        <v/>
      </c>
      <c r="F287" s="85" t="str">
        <f>IF(査定表!E270=0,"",査定表!E270)</f>
        <v/>
      </c>
      <c r="G287" s="83" t="str">
        <f t="shared" si="52"/>
        <v/>
      </c>
      <c r="J287" s="83" t="str">
        <f t="shared" si="53"/>
        <v/>
      </c>
      <c r="L287" s="115"/>
    </row>
    <row r="288" spans="2:12" hidden="1" x14ac:dyDescent="0.15">
      <c r="B288" s="83" t="str">
        <f>+IF(査定表!A271=0,"",査定表!A271)</f>
        <v/>
      </c>
      <c r="C288" s="83" t="str">
        <f t="shared" si="50"/>
        <v/>
      </c>
      <c r="D288" s="84" t="str">
        <f t="shared" si="51"/>
        <v/>
      </c>
      <c r="E288" s="84" t="str">
        <f t="shared" si="54"/>
        <v/>
      </c>
      <c r="F288" s="85" t="str">
        <f>IF(査定表!E271=0,"",査定表!E271)</f>
        <v/>
      </c>
      <c r="G288" s="83" t="str">
        <f t="shared" si="52"/>
        <v/>
      </c>
      <c r="J288" s="83" t="str">
        <f t="shared" si="53"/>
        <v/>
      </c>
      <c r="L288" s="115"/>
    </row>
    <row r="289" spans="2:12" hidden="1" x14ac:dyDescent="0.15">
      <c r="B289" s="83" t="str">
        <f>+IF(査定表!A272=0,"",査定表!A272)</f>
        <v/>
      </c>
      <c r="C289" s="83" t="str">
        <f t="shared" si="50"/>
        <v/>
      </c>
      <c r="D289" s="84" t="str">
        <f t="shared" si="51"/>
        <v/>
      </c>
      <c r="E289" s="84" t="str">
        <f t="shared" si="54"/>
        <v/>
      </c>
      <c r="F289" s="85" t="str">
        <f>IF(査定表!E272=0,"",査定表!E272)</f>
        <v/>
      </c>
      <c r="G289" s="83" t="str">
        <f t="shared" si="52"/>
        <v/>
      </c>
      <c r="J289" s="83" t="str">
        <f t="shared" si="53"/>
        <v/>
      </c>
      <c r="L289" s="115"/>
    </row>
    <row r="290" spans="2:12" hidden="1" x14ac:dyDescent="0.15">
      <c r="B290" s="83" t="str">
        <f>+IF(査定表!A273=0,"",査定表!A273)</f>
        <v/>
      </c>
      <c r="C290" s="83" t="str">
        <f t="shared" si="50"/>
        <v/>
      </c>
      <c r="D290" s="84" t="str">
        <f t="shared" si="51"/>
        <v/>
      </c>
      <c r="E290" s="84" t="str">
        <f t="shared" si="54"/>
        <v/>
      </c>
      <c r="F290" s="85" t="str">
        <f>IF(査定表!E273=0,"",査定表!E273)</f>
        <v/>
      </c>
      <c r="G290" s="83" t="str">
        <f t="shared" si="52"/>
        <v/>
      </c>
      <c r="J290" s="83" t="str">
        <f t="shared" si="53"/>
        <v/>
      </c>
      <c r="L290" s="115"/>
    </row>
    <row r="291" spans="2:12" hidden="1" x14ac:dyDescent="0.15">
      <c r="B291" s="83" t="str">
        <f>+IF(査定表!A274=0,"",査定表!A274)</f>
        <v/>
      </c>
      <c r="C291" s="83" t="str">
        <f t="shared" si="50"/>
        <v/>
      </c>
      <c r="D291" s="84" t="str">
        <f t="shared" si="51"/>
        <v/>
      </c>
      <c r="E291" s="84" t="str">
        <f t="shared" si="54"/>
        <v/>
      </c>
      <c r="F291" s="85" t="str">
        <f>IF(査定表!E274=0,"",査定表!E274)</f>
        <v/>
      </c>
      <c r="G291" s="83" t="str">
        <f t="shared" si="52"/>
        <v/>
      </c>
      <c r="J291" s="83" t="str">
        <f t="shared" si="53"/>
        <v/>
      </c>
      <c r="L291" s="115"/>
    </row>
    <row r="292" spans="2:12" hidden="1" x14ac:dyDescent="0.15">
      <c r="B292" s="83" t="str">
        <f>+IF(査定表!A275=0,"",査定表!A275)</f>
        <v/>
      </c>
      <c r="C292" s="83" t="str">
        <f t="shared" si="50"/>
        <v/>
      </c>
      <c r="D292" s="84" t="str">
        <f t="shared" si="51"/>
        <v/>
      </c>
      <c r="E292" s="84" t="str">
        <f t="shared" si="54"/>
        <v/>
      </c>
      <c r="F292" s="85" t="str">
        <f>IF(査定表!E275=0,"",査定表!E275)</f>
        <v/>
      </c>
      <c r="G292" s="83" t="str">
        <f t="shared" si="52"/>
        <v/>
      </c>
      <c r="J292" s="83" t="str">
        <f t="shared" si="53"/>
        <v/>
      </c>
      <c r="L292" s="115"/>
    </row>
    <row r="293" spans="2:12" hidden="1" x14ac:dyDescent="0.15">
      <c r="B293" s="83" t="str">
        <f>+IF(査定表!A276=0,"",査定表!A276)</f>
        <v/>
      </c>
      <c r="C293" s="83" t="str">
        <f t="shared" si="50"/>
        <v/>
      </c>
      <c r="D293" s="84" t="str">
        <f t="shared" si="51"/>
        <v/>
      </c>
      <c r="E293" s="84" t="str">
        <f t="shared" si="54"/>
        <v/>
      </c>
      <c r="F293" s="85" t="str">
        <f>IF(査定表!E276=0,"",査定表!E276)</f>
        <v/>
      </c>
      <c r="G293" s="83" t="str">
        <f t="shared" si="52"/>
        <v/>
      </c>
      <c r="J293" s="83" t="str">
        <f t="shared" si="53"/>
        <v/>
      </c>
      <c r="L293" s="115"/>
    </row>
    <row r="294" spans="2:12" hidden="1" x14ac:dyDescent="0.15">
      <c r="B294" s="83" t="str">
        <f>+IF(査定表!A277=0,"",査定表!A277)</f>
        <v/>
      </c>
      <c r="C294" s="83" t="str">
        <f t="shared" si="50"/>
        <v/>
      </c>
      <c r="D294" s="84" t="str">
        <f t="shared" si="51"/>
        <v/>
      </c>
      <c r="E294" s="84" t="str">
        <f t="shared" si="54"/>
        <v/>
      </c>
      <c r="F294" s="85" t="str">
        <f>IF(査定表!E277=0,"",査定表!E277)</f>
        <v/>
      </c>
      <c r="G294" s="83" t="str">
        <f t="shared" si="52"/>
        <v/>
      </c>
      <c r="J294" s="83" t="str">
        <f t="shared" si="53"/>
        <v/>
      </c>
      <c r="L294" s="115"/>
    </row>
    <row r="295" spans="2:12" hidden="1" x14ac:dyDescent="0.15">
      <c r="B295" s="83" t="str">
        <f>+IF(査定表!A278=0,"",査定表!A278)</f>
        <v/>
      </c>
      <c r="C295" s="83" t="str">
        <f t="shared" si="50"/>
        <v/>
      </c>
      <c r="D295" s="84" t="str">
        <f t="shared" si="51"/>
        <v/>
      </c>
      <c r="E295" s="84" t="str">
        <f t="shared" si="54"/>
        <v/>
      </c>
      <c r="F295" s="85" t="str">
        <f>IF(査定表!E278=0,"",査定表!E278)</f>
        <v/>
      </c>
      <c r="G295" s="83" t="str">
        <f t="shared" si="52"/>
        <v/>
      </c>
      <c r="J295" s="83" t="str">
        <f t="shared" si="53"/>
        <v/>
      </c>
      <c r="L295" s="115"/>
    </row>
    <row r="296" spans="2:12" hidden="1" x14ac:dyDescent="0.15">
      <c r="B296" s="83" t="str">
        <f>+IF(査定表!A279=0,"",査定表!A279)</f>
        <v/>
      </c>
      <c r="C296" s="83" t="str">
        <f t="shared" si="50"/>
        <v/>
      </c>
      <c r="D296" s="84" t="str">
        <f t="shared" si="51"/>
        <v/>
      </c>
      <c r="E296" s="84" t="str">
        <f t="shared" si="54"/>
        <v/>
      </c>
      <c r="F296" s="85" t="str">
        <f>IF(査定表!E279=0,"",査定表!E279)</f>
        <v/>
      </c>
      <c r="G296" s="83" t="str">
        <f t="shared" si="52"/>
        <v/>
      </c>
      <c r="J296" s="83" t="str">
        <f t="shared" si="53"/>
        <v/>
      </c>
      <c r="L296" s="115"/>
    </row>
    <row r="297" spans="2:12" hidden="1" x14ac:dyDescent="0.15">
      <c r="B297" s="83" t="str">
        <f>+IF(査定表!A280=0,"",査定表!A280)</f>
        <v/>
      </c>
      <c r="C297" s="83" t="str">
        <f t="shared" si="50"/>
        <v/>
      </c>
      <c r="D297" s="84" t="str">
        <f t="shared" si="51"/>
        <v/>
      </c>
      <c r="E297" s="84" t="str">
        <f t="shared" si="54"/>
        <v/>
      </c>
      <c r="F297" s="85" t="str">
        <f>IF(査定表!E280=0,"",査定表!E280)</f>
        <v/>
      </c>
      <c r="G297" s="83" t="str">
        <f t="shared" si="52"/>
        <v/>
      </c>
      <c r="J297" s="83" t="str">
        <f t="shared" si="53"/>
        <v/>
      </c>
      <c r="L297" s="115"/>
    </row>
    <row r="298" spans="2:12" hidden="1" x14ac:dyDescent="0.15">
      <c r="B298" s="83" t="str">
        <f>+IF(査定表!A281=0,"",査定表!A281)</f>
        <v/>
      </c>
      <c r="C298" s="83" t="str">
        <f t="shared" si="50"/>
        <v/>
      </c>
      <c r="D298" s="84" t="str">
        <f t="shared" si="51"/>
        <v/>
      </c>
      <c r="E298" s="84" t="str">
        <f t="shared" si="54"/>
        <v/>
      </c>
      <c r="F298" s="85" t="str">
        <f>IF(査定表!E281=0,"",査定表!E281)</f>
        <v/>
      </c>
      <c r="G298" s="83" t="str">
        <f t="shared" si="52"/>
        <v/>
      </c>
      <c r="J298" s="83" t="str">
        <f t="shared" si="53"/>
        <v/>
      </c>
      <c r="L298" s="115"/>
    </row>
    <row r="299" spans="2:12" hidden="1" x14ac:dyDescent="0.15">
      <c r="B299" s="83" t="str">
        <f>+IF(査定表!A282=0,"",査定表!A282)</f>
        <v/>
      </c>
      <c r="C299" s="83" t="str">
        <f t="shared" si="50"/>
        <v/>
      </c>
      <c r="D299" s="84" t="str">
        <f t="shared" si="51"/>
        <v/>
      </c>
      <c r="E299" s="84" t="str">
        <f t="shared" si="54"/>
        <v/>
      </c>
      <c r="F299" s="85" t="str">
        <f>IF(査定表!E282=0,"",査定表!E282)</f>
        <v/>
      </c>
      <c r="G299" s="83" t="str">
        <f t="shared" si="52"/>
        <v/>
      </c>
      <c r="J299" s="83" t="str">
        <f t="shared" si="53"/>
        <v/>
      </c>
      <c r="L299" s="115"/>
    </row>
    <row r="300" spans="2:12" hidden="1" x14ac:dyDescent="0.15">
      <c r="B300" s="83" t="str">
        <f>+IF(査定表!A283=0,"",査定表!A283)</f>
        <v/>
      </c>
      <c r="C300" s="83" t="str">
        <f t="shared" si="50"/>
        <v/>
      </c>
      <c r="D300" s="84" t="str">
        <f t="shared" si="51"/>
        <v/>
      </c>
      <c r="E300" s="84" t="str">
        <f t="shared" si="54"/>
        <v/>
      </c>
      <c r="F300" s="85" t="str">
        <f>IF(査定表!E283=0,"",査定表!E283)</f>
        <v/>
      </c>
      <c r="G300" s="83" t="str">
        <f t="shared" si="52"/>
        <v/>
      </c>
      <c r="J300" s="83" t="str">
        <f t="shared" si="53"/>
        <v/>
      </c>
      <c r="L300" s="115"/>
    </row>
    <row r="301" spans="2:12" hidden="1" x14ac:dyDescent="0.15">
      <c r="B301" s="83" t="str">
        <f>+IF(査定表!A284=0,"",査定表!A284)</f>
        <v/>
      </c>
      <c r="C301" s="83" t="str">
        <f t="shared" si="50"/>
        <v/>
      </c>
      <c r="D301" s="84" t="str">
        <f t="shared" si="51"/>
        <v/>
      </c>
      <c r="E301" s="84" t="str">
        <f t="shared" si="54"/>
        <v/>
      </c>
      <c r="F301" s="85" t="str">
        <f>IF(査定表!E284=0,"",査定表!E284)</f>
        <v/>
      </c>
      <c r="G301" s="83" t="str">
        <f t="shared" si="52"/>
        <v/>
      </c>
      <c r="J301" s="83" t="str">
        <f t="shared" si="53"/>
        <v/>
      </c>
      <c r="L301" s="115"/>
    </row>
    <row r="302" spans="2:12" hidden="1" x14ac:dyDescent="0.15">
      <c r="B302" s="83" t="str">
        <f>+IF(査定表!A285=0,"",査定表!A285)</f>
        <v/>
      </c>
      <c r="C302" s="83" t="str">
        <f t="shared" si="50"/>
        <v/>
      </c>
      <c r="D302" s="84" t="str">
        <f t="shared" si="51"/>
        <v/>
      </c>
      <c r="E302" s="84" t="str">
        <f t="shared" si="54"/>
        <v/>
      </c>
      <c r="F302" s="85" t="str">
        <f>IF(査定表!E285=0,"",査定表!E285)</f>
        <v/>
      </c>
      <c r="G302" s="83" t="str">
        <f t="shared" si="52"/>
        <v/>
      </c>
      <c r="J302" s="83" t="str">
        <f t="shared" si="53"/>
        <v/>
      </c>
      <c r="L302" s="115"/>
    </row>
    <row r="303" spans="2:12" hidden="1" x14ac:dyDescent="0.15">
      <c r="B303" s="83" t="str">
        <f>+IF(査定表!A286=0,"",査定表!A286)</f>
        <v/>
      </c>
      <c r="C303" s="83" t="str">
        <f t="shared" si="50"/>
        <v/>
      </c>
      <c r="D303" s="84" t="str">
        <f t="shared" si="51"/>
        <v/>
      </c>
      <c r="E303" s="84" t="str">
        <f t="shared" si="54"/>
        <v/>
      </c>
      <c r="F303" s="85" t="str">
        <f>IF(査定表!E286=0,"",査定表!E286)</f>
        <v/>
      </c>
      <c r="G303" s="83" t="str">
        <f t="shared" si="52"/>
        <v/>
      </c>
      <c r="J303" s="83" t="str">
        <f t="shared" si="53"/>
        <v/>
      </c>
      <c r="L303" s="115"/>
    </row>
    <row r="304" spans="2:12" hidden="1" x14ac:dyDescent="0.15">
      <c r="B304" s="83" t="str">
        <f>+IF(査定表!A287=0,"",査定表!A287)</f>
        <v/>
      </c>
      <c r="C304" s="83" t="str">
        <f t="shared" si="50"/>
        <v/>
      </c>
      <c r="D304" s="84" t="str">
        <f t="shared" si="51"/>
        <v/>
      </c>
      <c r="E304" s="84" t="str">
        <f t="shared" si="54"/>
        <v/>
      </c>
      <c r="F304" s="85" t="str">
        <f>IF(査定表!E287=0,"",査定表!E287)</f>
        <v/>
      </c>
      <c r="G304" s="83" t="str">
        <f t="shared" si="52"/>
        <v/>
      </c>
      <c r="J304" s="83" t="str">
        <f t="shared" si="53"/>
        <v/>
      </c>
      <c r="L304" s="115"/>
    </row>
    <row r="305" spans="2:12" hidden="1" x14ac:dyDescent="0.15">
      <c r="B305" s="83" t="str">
        <f>+IF(査定表!A288=0,"",査定表!A288)</f>
        <v/>
      </c>
      <c r="C305" s="83" t="str">
        <f t="shared" si="50"/>
        <v/>
      </c>
      <c r="D305" s="84" t="str">
        <f t="shared" si="51"/>
        <v/>
      </c>
      <c r="E305" s="84" t="str">
        <f t="shared" si="54"/>
        <v/>
      </c>
      <c r="F305" s="85" t="str">
        <f>IF(査定表!E288=0,"",査定表!E288)</f>
        <v/>
      </c>
      <c r="G305" s="83" t="str">
        <f t="shared" si="52"/>
        <v/>
      </c>
      <c r="J305" s="83" t="str">
        <f t="shared" si="53"/>
        <v/>
      </c>
      <c r="L305" s="115"/>
    </row>
    <row r="306" spans="2:12" hidden="1" x14ac:dyDescent="0.15">
      <c r="B306" s="83" t="str">
        <f>+IF(査定表!A289=0,"",査定表!A289)</f>
        <v/>
      </c>
      <c r="C306" s="83" t="str">
        <f t="shared" si="50"/>
        <v/>
      </c>
      <c r="D306" s="84" t="str">
        <f t="shared" si="51"/>
        <v/>
      </c>
      <c r="E306" s="84" t="str">
        <f t="shared" si="54"/>
        <v/>
      </c>
      <c r="F306" s="85" t="str">
        <f>IF(査定表!E289=0,"",査定表!E289)</f>
        <v/>
      </c>
      <c r="G306" s="83" t="str">
        <f t="shared" si="52"/>
        <v/>
      </c>
      <c r="J306" s="83" t="str">
        <f t="shared" si="53"/>
        <v/>
      </c>
      <c r="L306" s="115"/>
    </row>
    <row r="307" spans="2:12" hidden="1" x14ac:dyDescent="0.15">
      <c r="B307" s="83" t="str">
        <f>+IF(査定表!A290=0,"",査定表!A290)</f>
        <v/>
      </c>
      <c r="C307" s="83" t="str">
        <f t="shared" si="50"/>
        <v/>
      </c>
      <c r="D307" s="84" t="str">
        <f t="shared" si="51"/>
        <v/>
      </c>
      <c r="E307" s="84" t="str">
        <f t="shared" si="54"/>
        <v/>
      </c>
      <c r="F307" s="85" t="str">
        <f>IF(査定表!E290=0,"",査定表!E290)</f>
        <v/>
      </c>
      <c r="G307" s="83" t="str">
        <f t="shared" si="52"/>
        <v/>
      </c>
      <c r="J307" s="83" t="str">
        <f t="shared" si="53"/>
        <v/>
      </c>
      <c r="L307" s="115"/>
    </row>
    <row r="308" spans="2:12" hidden="1" x14ac:dyDescent="0.15">
      <c r="B308" s="83" t="str">
        <f>+IF(査定表!A291=0,"",査定表!A291)</f>
        <v/>
      </c>
      <c r="C308" s="83" t="str">
        <f t="shared" si="50"/>
        <v/>
      </c>
      <c r="D308" s="84" t="str">
        <f t="shared" si="51"/>
        <v/>
      </c>
      <c r="E308" s="84" t="str">
        <f t="shared" si="54"/>
        <v/>
      </c>
      <c r="F308" s="85" t="str">
        <f>IF(査定表!E291=0,"",査定表!E291)</f>
        <v/>
      </c>
      <c r="G308" s="83" t="str">
        <f t="shared" si="52"/>
        <v/>
      </c>
      <c r="J308" s="83" t="str">
        <f t="shared" si="53"/>
        <v/>
      </c>
      <c r="L308" s="115"/>
    </row>
    <row r="309" spans="2:12" hidden="1" x14ac:dyDescent="0.15">
      <c r="B309" s="83" t="str">
        <f>+IF(査定表!A292=0,"",査定表!A292)</f>
        <v/>
      </c>
      <c r="C309" s="83" t="str">
        <f t="shared" si="50"/>
        <v/>
      </c>
      <c r="D309" s="84" t="str">
        <f t="shared" si="51"/>
        <v/>
      </c>
      <c r="E309" s="84" t="str">
        <f t="shared" si="54"/>
        <v/>
      </c>
      <c r="F309" s="85" t="str">
        <f>IF(査定表!E292=0,"",査定表!E292)</f>
        <v/>
      </c>
      <c r="G309" s="83" t="str">
        <f t="shared" si="52"/>
        <v/>
      </c>
      <c r="J309" s="83" t="str">
        <f t="shared" si="53"/>
        <v/>
      </c>
      <c r="L309" s="115"/>
    </row>
    <row r="310" spans="2:12" hidden="1" x14ac:dyDescent="0.15">
      <c r="B310" s="83" t="str">
        <f>+IF(査定表!A293=0,"",査定表!A293)</f>
        <v/>
      </c>
      <c r="C310" s="83" t="str">
        <f t="shared" si="50"/>
        <v/>
      </c>
      <c r="D310" s="84" t="str">
        <f t="shared" si="51"/>
        <v/>
      </c>
      <c r="E310" s="84" t="str">
        <f t="shared" si="54"/>
        <v/>
      </c>
      <c r="F310" s="85" t="str">
        <f>IF(査定表!E293=0,"",査定表!E293)</f>
        <v/>
      </c>
      <c r="G310" s="83" t="str">
        <f t="shared" si="52"/>
        <v/>
      </c>
      <c r="J310" s="83" t="str">
        <f t="shared" si="53"/>
        <v/>
      </c>
      <c r="L310" s="115"/>
    </row>
    <row r="311" spans="2:12" hidden="1" x14ac:dyDescent="0.15">
      <c r="B311" s="83" t="str">
        <f>+IF(査定表!A294=0,"",査定表!A294)</f>
        <v/>
      </c>
      <c r="C311" s="83" t="str">
        <f t="shared" si="50"/>
        <v/>
      </c>
      <c r="D311" s="84" t="str">
        <f t="shared" si="51"/>
        <v/>
      </c>
      <c r="E311" s="84" t="str">
        <f t="shared" si="54"/>
        <v/>
      </c>
      <c r="F311" s="85" t="str">
        <f>IF(査定表!E294=0,"",査定表!E294)</f>
        <v/>
      </c>
      <c r="G311" s="83" t="str">
        <f t="shared" si="52"/>
        <v/>
      </c>
      <c r="J311" s="83" t="str">
        <f t="shared" si="53"/>
        <v/>
      </c>
      <c r="L311" s="115"/>
    </row>
    <row r="312" spans="2:12" hidden="1" x14ac:dyDescent="0.15">
      <c r="B312" s="83" t="str">
        <f>+IF(査定表!A295=0,"",査定表!A295)</f>
        <v/>
      </c>
      <c r="C312" s="83" t="str">
        <f t="shared" si="50"/>
        <v/>
      </c>
      <c r="D312" s="84" t="str">
        <f t="shared" si="51"/>
        <v/>
      </c>
      <c r="E312" s="84" t="str">
        <f t="shared" si="54"/>
        <v/>
      </c>
      <c r="F312" s="85" t="str">
        <f>IF(査定表!E295=0,"",査定表!E295)</f>
        <v/>
      </c>
      <c r="G312" s="83" t="str">
        <f t="shared" si="52"/>
        <v/>
      </c>
      <c r="J312" s="83" t="str">
        <f t="shared" si="53"/>
        <v/>
      </c>
      <c r="L312" s="115"/>
    </row>
    <row r="313" spans="2:12" hidden="1" x14ac:dyDescent="0.15">
      <c r="B313" s="83" t="str">
        <f>+IF(査定表!A300=0,"",査定表!A300)</f>
        <v/>
      </c>
      <c r="C313" s="83" t="str">
        <f t="shared" si="50"/>
        <v/>
      </c>
      <c r="D313" s="84" t="str">
        <f t="shared" si="51"/>
        <v/>
      </c>
      <c r="E313" s="84" t="str">
        <f t="shared" si="54"/>
        <v/>
      </c>
      <c r="F313" s="85" t="str">
        <f>IF(査定表!E296=0,"",査定表!E296)</f>
        <v/>
      </c>
      <c r="G313" s="83" t="str">
        <f t="shared" si="52"/>
        <v/>
      </c>
      <c r="J313" s="83" t="str">
        <f t="shared" si="53"/>
        <v/>
      </c>
      <c r="L313" s="115"/>
    </row>
    <row r="314" spans="2:12" hidden="1" x14ac:dyDescent="0.15">
      <c r="B314" s="83" t="str">
        <f>+IF(査定表!A301=0,"",査定表!A301)</f>
        <v/>
      </c>
      <c r="C314" s="83" t="str">
        <f t="shared" si="50"/>
        <v/>
      </c>
      <c r="D314" s="84" t="str">
        <f t="shared" si="51"/>
        <v/>
      </c>
      <c r="E314" s="84" t="str">
        <f t="shared" si="54"/>
        <v/>
      </c>
      <c r="F314" s="85" t="str">
        <f>IF(査定表!E297=0,"",査定表!E297)</f>
        <v/>
      </c>
      <c r="G314" s="83" t="str">
        <f t="shared" si="52"/>
        <v/>
      </c>
      <c r="J314" s="83" t="str">
        <f t="shared" si="53"/>
        <v/>
      </c>
      <c r="L314" s="115"/>
    </row>
    <row r="315" spans="2:12" hidden="1" x14ac:dyDescent="0.15">
      <c r="B315" s="102" t="s">
        <v>86</v>
      </c>
      <c r="C315" s="83" t="str">
        <f t="shared" si="50"/>
        <v/>
      </c>
      <c r="D315" s="84" t="str">
        <f t="shared" si="51"/>
        <v/>
      </c>
      <c r="E315" s="84"/>
      <c r="F315" s="86">
        <f>SUM(F279:F314)</f>
        <v>0</v>
      </c>
      <c r="G315" s="83"/>
      <c r="J315" s="83"/>
      <c r="L315" s="115"/>
    </row>
    <row r="316" spans="2:12" hidden="1" x14ac:dyDescent="0.15">
      <c r="B316" s="101" t="s">
        <v>84</v>
      </c>
      <c r="C316" s="83"/>
      <c r="D316" s="84" t="str">
        <f t="shared" si="51"/>
        <v>1</v>
      </c>
      <c r="E316" s="84" t="str">
        <f>IF(F316="","","式")</f>
        <v>式</v>
      </c>
      <c r="F316" s="85">
        <f>INT(F315*0.08)</f>
        <v>0</v>
      </c>
      <c r="G316" s="83"/>
      <c r="J316" s="83"/>
      <c r="L316" s="115"/>
    </row>
    <row r="317" spans="2:12" hidden="1" x14ac:dyDescent="0.15">
      <c r="B317" s="101" t="s">
        <v>18</v>
      </c>
      <c r="C317" s="83" t="str">
        <f t="shared" ref="C317" si="55">IF(D317="","","図面・仕様書どおり")</f>
        <v/>
      </c>
      <c r="D317" s="84" t="str">
        <f t="shared" si="51"/>
        <v/>
      </c>
      <c r="E317" s="84"/>
      <c r="F317" s="85">
        <f>+SUM(F315:F316)</f>
        <v>0</v>
      </c>
      <c r="G317" s="83"/>
      <c r="J317" s="83"/>
      <c r="L317" s="115"/>
    </row>
    <row r="318" spans="2:12" hidden="1" x14ac:dyDescent="0.15">
      <c r="B318" s="101"/>
      <c r="C318" s="83"/>
      <c r="D318" s="84"/>
      <c r="E318" s="84"/>
      <c r="F318" s="85"/>
      <c r="G318" s="83"/>
      <c r="J318" s="83"/>
      <c r="L318" s="115"/>
    </row>
    <row r="319" spans="2:12" hidden="1" x14ac:dyDescent="0.15">
      <c r="B319" s="101"/>
      <c r="C319" s="83"/>
      <c r="D319" s="84"/>
      <c r="E319" s="84"/>
      <c r="F319" s="85"/>
      <c r="G319" s="83"/>
      <c r="J319" s="83"/>
      <c r="L319" s="115"/>
    </row>
    <row r="320" spans="2:12" hidden="1" x14ac:dyDescent="0.15">
      <c r="B320" s="83" t="str">
        <f>+IF(査定表!A303=0,"",査定表!A303)</f>
        <v/>
      </c>
      <c r="C320" s="83" t="str">
        <f t="shared" ref="C320:C357" si="56">IF(D320="","","図面・仕様書どおり")</f>
        <v/>
      </c>
      <c r="D320" s="84" t="str">
        <f t="shared" ref="D320:D359" si="57">IF(E320="","","1")</f>
        <v/>
      </c>
      <c r="E320" s="84" t="str">
        <f>IF(F320="","","式")</f>
        <v/>
      </c>
      <c r="F320" s="85" t="str">
        <f>IF(査定表!E303=0,"",査定表!E303)</f>
        <v/>
      </c>
      <c r="G320" s="83" t="str">
        <f t="shared" ref="G320:G356" si="58">IF(C320="","","諸経費共")</f>
        <v/>
      </c>
      <c r="J320" s="83" t="str">
        <f t="shared" ref="J320:J356" si="59">IF(F320="","","諸経費共")</f>
        <v/>
      </c>
      <c r="L320" s="115"/>
    </row>
    <row r="321" spans="2:12" hidden="1" x14ac:dyDescent="0.15">
      <c r="B321" s="83" t="str">
        <f>+IF(査定表!A304=0,"",査定表!A304)</f>
        <v/>
      </c>
      <c r="C321" s="83" t="str">
        <f t="shared" si="56"/>
        <v/>
      </c>
      <c r="D321" s="84" t="str">
        <f t="shared" si="57"/>
        <v/>
      </c>
      <c r="E321" s="84" t="str">
        <f t="shared" ref="E321:E356" si="60">IF(F321="","","式")</f>
        <v/>
      </c>
      <c r="F321" s="85" t="str">
        <f>IF(査定表!E304=0,"",査定表!E304)</f>
        <v/>
      </c>
      <c r="G321" s="83" t="str">
        <f t="shared" si="58"/>
        <v/>
      </c>
      <c r="J321" s="83" t="str">
        <f t="shared" si="59"/>
        <v/>
      </c>
      <c r="L321" s="115"/>
    </row>
    <row r="322" spans="2:12" hidden="1" x14ac:dyDescent="0.15">
      <c r="B322" s="83" t="str">
        <f>+IF(査定表!A305=0,"",査定表!A305)</f>
        <v/>
      </c>
      <c r="C322" s="83" t="str">
        <f t="shared" si="56"/>
        <v/>
      </c>
      <c r="D322" s="84" t="str">
        <f t="shared" si="57"/>
        <v/>
      </c>
      <c r="E322" s="84" t="str">
        <f t="shared" si="60"/>
        <v/>
      </c>
      <c r="F322" s="85" t="str">
        <f>IF(査定表!E305=0,"",査定表!E305)</f>
        <v/>
      </c>
      <c r="G322" s="83" t="str">
        <f t="shared" si="58"/>
        <v/>
      </c>
      <c r="J322" s="83" t="str">
        <f t="shared" si="59"/>
        <v/>
      </c>
      <c r="L322" s="115"/>
    </row>
    <row r="323" spans="2:12" hidden="1" x14ac:dyDescent="0.15">
      <c r="B323" s="83" t="str">
        <f>+IF(査定表!A306=0,"",査定表!A306)</f>
        <v/>
      </c>
      <c r="C323" s="83" t="str">
        <f t="shared" si="56"/>
        <v/>
      </c>
      <c r="D323" s="84" t="str">
        <f t="shared" si="57"/>
        <v/>
      </c>
      <c r="E323" s="84" t="str">
        <f t="shared" si="60"/>
        <v/>
      </c>
      <c r="F323" s="85" t="str">
        <f>IF(査定表!E306=0,"",査定表!E306)</f>
        <v/>
      </c>
      <c r="G323" s="83" t="str">
        <f t="shared" si="58"/>
        <v/>
      </c>
      <c r="J323" s="83" t="str">
        <f t="shared" si="59"/>
        <v/>
      </c>
      <c r="L323" s="115"/>
    </row>
    <row r="324" spans="2:12" hidden="1" x14ac:dyDescent="0.15">
      <c r="B324" s="83" t="str">
        <f>+IF(査定表!A307=0,"",査定表!A307)</f>
        <v/>
      </c>
      <c r="C324" s="83" t="str">
        <f t="shared" si="56"/>
        <v/>
      </c>
      <c r="D324" s="84" t="str">
        <f t="shared" si="57"/>
        <v/>
      </c>
      <c r="E324" s="84" t="str">
        <f t="shared" si="60"/>
        <v/>
      </c>
      <c r="F324" s="85" t="str">
        <f>IF(査定表!E307=0,"",査定表!E307)</f>
        <v/>
      </c>
      <c r="G324" s="83" t="str">
        <f t="shared" si="58"/>
        <v/>
      </c>
      <c r="J324" s="83" t="str">
        <f t="shared" si="59"/>
        <v/>
      </c>
      <c r="L324" s="115"/>
    </row>
    <row r="325" spans="2:12" hidden="1" x14ac:dyDescent="0.15">
      <c r="B325" s="83" t="str">
        <f>+IF(査定表!A308=0,"",査定表!A308)</f>
        <v/>
      </c>
      <c r="C325" s="83" t="str">
        <f t="shared" si="56"/>
        <v/>
      </c>
      <c r="D325" s="84" t="str">
        <f t="shared" si="57"/>
        <v/>
      </c>
      <c r="E325" s="84" t="str">
        <f t="shared" si="60"/>
        <v/>
      </c>
      <c r="F325" s="85" t="str">
        <f>IF(査定表!E308=0,"",査定表!E308)</f>
        <v/>
      </c>
      <c r="G325" s="83" t="str">
        <f t="shared" si="58"/>
        <v/>
      </c>
      <c r="J325" s="83" t="str">
        <f t="shared" si="59"/>
        <v/>
      </c>
      <c r="L325" s="115"/>
    </row>
    <row r="326" spans="2:12" hidden="1" x14ac:dyDescent="0.15">
      <c r="B326" s="83" t="str">
        <f>+IF(査定表!A309=0,"",査定表!A309)</f>
        <v/>
      </c>
      <c r="C326" s="83" t="str">
        <f t="shared" si="56"/>
        <v/>
      </c>
      <c r="D326" s="84" t="str">
        <f t="shared" si="57"/>
        <v/>
      </c>
      <c r="E326" s="84" t="str">
        <f t="shared" si="60"/>
        <v/>
      </c>
      <c r="F326" s="85" t="str">
        <f>IF(査定表!E309=0,"",査定表!E309)</f>
        <v/>
      </c>
      <c r="G326" s="83" t="str">
        <f t="shared" si="58"/>
        <v/>
      </c>
      <c r="J326" s="83" t="str">
        <f t="shared" si="59"/>
        <v/>
      </c>
      <c r="L326" s="115"/>
    </row>
    <row r="327" spans="2:12" hidden="1" x14ac:dyDescent="0.15">
      <c r="B327" s="83" t="str">
        <f>+IF(査定表!A310=0,"",査定表!A310)</f>
        <v/>
      </c>
      <c r="C327" s="83" t="str">
        <f t="shared" si="56"/>
        <v/>
      </c>
      <c r="D327" s="84" t="str">
        <f t="shared" si="57"/>
        <v/>
      </c>
      <c r="E327" s="84" t="str">
        <f t="shared" si="60"/>
        <v/>
      </c>
      <c r="F327" s="85" t="str">
        <f>IF(査定表!E310=0,"",査定表!E310)</f>
        <v/>
      </c>
      <c r="G327" s="83" t="str">
        <f t="shared" si="58"/>
        <v/>
      </c>
      <c r="J327" s="83" t="str">
        <f t="shared" si="59"/>
        <v/>
      </c>
      <c r="L327" s="115"/>
    </row>
    <row r="328" spans="2:12" hidden="1" x14ac:dyDescent="0.15">
      <c r="B328" s="83" t="str">
        <f>+IF(査定表!A311=0,"",査定表!A311)</f>
        <v/>
      </c>
      <c r="C328" s="83" t="str">
        <f t="shared" si="56"/>
        <v/>
      </c>
      <c r="D328" s="84" t="str">
        <f t="shared" si="57"/>
        <v/>
      </c>
      <c r="E328" s="84" t="str">
        <f t="shared" si="60"/>
        <v/>
      </c>
      <c r="F328" s="85" t="str">
        <f>IF(査定表!E311=0,"",査定表!E311)</f>
        <v/>
      </c>
      <c r="G328" s="83" t="str">
        <f t="shared" si="58"/>
        <v/>
      </c>
      <c r="J328" s="83" t="str">
        <f t="shared" si="59"/>
        <v/>
      </c>
      <c r="L328" s="115"/>
    </row>
    <row r="329" spans="2:12" hidden="1" x14ac:dyDescent="0.15">
      <c r="B329" s="83" t="str">
        <f>+IF(査定表!A312=0,"",査定表!A312)</f>
        <v/>
      </c>
      <c r="C329" s="83" t="str">
        <f t="shared" si="56"/>
        <v/>
      </c>
      <c r="D329" s="84" t="str">
        <f t="shared" si="57"/>
        <v/>
      </c>
      <c r="E329" s="84" t="str">
        <f t="shared" si="60"/>
        <v/>
      </c>
      <c r="F329" s="85" t="str">
        <f>IF(査定表!E312=0,"",査定表!E312)</f>
        <v/>
      </c>
      <c r="G329" s="83" t="str">
        <f t="shared" si="58"/>
        <v/>
      </c>
      <c r="J329" s="83" t="str">
        <f t="shared" si="59"/>
        <v/>
      </c>
      <c r="L329" s="115"/>
    </row>
    <row r="330" spans="2:12" hidden="1" x14ac:dyDescent="0.15">
      <c r="B330" s="83" t="str">
        <f>+IF(査定表!A313=0,"",査定表!A313)</f>
        <v/>
      </c>
      <c r="C330" s="83" t="str">
        <f t="shared" si="56"/>
        <v/>
      </c>
      <c r="D330" s="84" t="str">
        <f t="shared" si="57"/>
        <v/>
      </c>
      <c r="E330" s="84" t="str">
        <f t="shared" si="60"/>
        <v/>
      </c>
      <c r="F330" s="85" t="str">
        <f>IF(査定表!E313=0,"",査定表!E313)</f>
        <v/>
      </c>
      <c r="G330" s="83" t="str">
        <f t="shared" si="58"/>
        <v/>
      </c>
      <c r="J330" s="83" t="str">
        <f t="shared" si="59"/>
        <v/>
      </c>
      <c r="L330" s="115"/>
    </row>
    <row r="331" spans="2:12" hidden="1" x14ac:dyDescent="0.15">
      <c r="B331" s="83" t="str">
        <f>+IF(査定表!A314=0,"",査定表!A314)</f>
        <v/>
      </c>
      <c r="C331" s="83" t="str">
        <f t="shared" si="56"/>
        <v/>
      </c>
      <c r="D331" s="84" t="str">
        <f t="shared" si="57"/>
        <v/>
      </c>
      <c r="E331" s="84" t="str">
        <f t="shared" si="60"/>
        <v/>
      </c>
      <c r="F331" s="85" t="str">
        <f>IF(査定表!E314=0,"",査定表!E314)</f>
        <v/>
      </c>
      <c r="G331" s="83" t="str">
        <f t="shared" si="58"/>
        <v/>
      </c>
      <c r="J331" s="83" t="str">
        <f t="shared" si="59"/>
        <v/>
      </c>
      <c r="L331" s="115"/>
    </row>
    <row r="332" spans="2:12" hidden="1" x14ac:dyDescent="0.15">
      <c r="B332" s="83" t="str">
        <f>+IF(査定表!A315=0,"",査定表!A315)</f>
        <v/>
      </c>
      <c r="C332" s="83" t="str">
        <f t="shared" si="56"/>
        <v/>
      </c>
      <c r="D332" s="84" t="str">
        <f t="shared" si="57"/>
        <v/>
      </c>
      <c r="E332" s="84" t="str">
        <f t="shared" si="60"/>
        <v/>
      </c>
      <c r="F332" s="85" t="str">
        <f>IF(査定表!E315=0,"",査定表!E315)</f>
        <v/>
      </c>
      <c r="G332" s="83" t="str">
        <f t="shared" si="58"/>
        <v/>
      </c>
      <c r="J332" s="83" t="str">
        <f t="shared" si="59"/>
        <v/>
      </c>
      <c r="L332" s="115"/>
    </row>
    <row r="333" spans="2:12" hidden="1" x14ac:dyDescent="0.15">
      <c r="B333" s="83" t="str">
        <f>+IF(査定表!A316=0,"",査定表!A316)</f>
        <v/>
      </c>
      <c r="C333" s="83" t="str">
        <f t="shared" si="56"/>
        <v/>
      </c>
      <c r="D333" s="84" t="str">
        <f t="shared" si="57"/>
        <v/>
      </c>
      <c r="E333" s="84" t="str">
        <f t="shared" si="60"/>
        <v/>
      </c>
      <c r="F333" s="85" t="str">
        <f>IF(査定表!E316=0,"",査定表!E316)</f>
        <v/>
      </c>
      <c r="G333" s="83" t="str">
        <f t="shared" si="58"/>
        <v/>
      </c>
      <c r="J333" s="83" t="str">
        <f t="shared" si="59"/>
        <v/>
      </c>
      <c r="L333" s="115"/>
    </row>
    <row r="334" spans="2:12" hidden="1" x14ac:dyDescent="0.15">
      <c r="B334" s="83" t="str">
        <f>+IF(査定表!A317=0,"",査定表!A317)</f>
        <v/>
      </c>
      <c r="C334" s="83" t="str">
        <f t="shared" si="56"/>
        <v/>
      </c>
      <c r="D334" s="84" t="str">
        <f t="shared" si="57"/>
        <v/>
      </c>
      <c r="E334" s="84" t="str">
        <f t="shared" si="60"/>
        <v/>
      </c>
      <c r="F334" s="85" t="str">
        <f>IF(査定表!E317=0,"",査定表!E317)</f>
        <v/>
      </c>
      <c r="G334" s="83" t="str">
        <f t="shared" si="58"/>
        <v/>
      </c>
      <c r="J334" s="83" t="str">
        <f t="shared" si="59"/>
        <v/>
      </c>
      <c r="L334" s="115"/>
    </row>
    <row r="335" spans="2:12" hidden="1" x14ac:dyDescent="0.15">
      <c r="B335" s="83" t="str">
        <f>+IF(査定表!A318=0,"",査定表!A318)</f>
        <v/>
      </c>
      <c r="C335" s="83" t="str">
        <f t="shared" si="56"/>
        <v/>
      </c>
      <c r="D335" s="84" t="str">
        <f t="shared" si="57"/>
        <v/>
      </c>
      <c r="E335" s="84" t="str">
        <f t="shared" si="60"/>
        <v/>
      </c>
      <c r="F335" s="85" t="str">
        <f>IF(査定表!E318=0,"",査定表!E318)</f>
        <v/>
      </c>
      <c r="G335" s="83" t="str">
        <f t="shared" si="58"/>
        <v/>
      </c>
      <c r="J335" s="83" t="str">
        <f t="shared" si="59"/>
        <v/>
      </c>
      <c r="L335" s="115"/>
    </row>
    <row r="336" spans="2:12" hidden="1" x14ac:dyDescent="0.15">
      <c r="B336" s="83" t="str">
        <f>+IF(査定表!A319=0,"",査定表!A319)</f>
        <v/>
      </c>
      <c r="C336" s="83" t="str">
        <f t="shared" si="56"/>
        <v/>
      </c>
      <c r="D336" s="84" t="str">
        <f t="shared" si="57"/>
        <v/>
      </c>
      <c r="E336" s="84" t="str">
        <f t="shared" si="60"/>
        <v/>
      </c>
      <c r="F336" s="85" t="str">
        <f>IF(査定表!E319=0,"",査定表!E319)</f>
        <v/>
      </c>
      <c r="G336" s="83" t="str">
        <f t="shared" si="58"/>
        <v/>
      </c>
      <c r="J336" s="83" t="str">
        <f t="shared" si="59"/>
        <v/>
      </c>
      <c r="L336" s="115"/>
    </row>
    <row r="337" spans="2:12" hidden="1" x14ac:dyDescent="0.15">
      <c r="B337" s="83" t="str">
        <f>+IF(査定表!A320=0,"",査定表!A320)</f>
        <v/>
      </c>
      <c r="C337" s="83" t="str">
        <f t="shared" si="56"/>
        <v/>
      </c>
      <c r="D337" s="84" t="str">
        <f t="shared" si="57"/>
        <v/>
      </c>
      <c r="E337" s="84" t="str">
        <f t="shared" si="60"/>
        <v/>
      </c>
      <c r="F337" s="85" t="str">
        <f>IF(査定表!E320=0,"",査定表!E320)</f>
        <v/>
      </c>
      <c r="G337" s="83" t="str">
        <f t="shared" si="58"/>
        <v/>
      </c>
      <c r="J337" s="83" t="str">
        <f t="shared" si="59"/>
        <v/>
      </c>
      <c r="L337" s="115"/>
    </row>
    <row r="338" spans="2:12" hidden="1" x14ac:dyDescent="0.15">
      <c r="B338" s="83" t="str">
        <f>+IF(査定表!A321=0,"",査定表!A321)</f>
        <v/>
      </c>
      <c r="C338" s="83" t="str">
        <f t="shared" si="56"/>
        <v/>
      </c>
      <c r="D338" s="84" t="str">
        <f t="shared" si="57"/>
        <v/>
      </c>
      <c r="E338" s="84" t="str">
        <f t="shared" si="60"/>
        <v/>
      </c>
      <c r="F338" s="85" t="str">
        <f>IF(査定表!E321=0,"",査定表!E321)</f>
        <v/>
      </c>
      <c r="G338" s="83" t="str">
        <f t="shared" si="58"/>
        <v/>
      </c>
      <c r="J338" s="83" t="str">
        <f t="shared" si="59"/>
        <v/>
      </c>
      <c r="L338" s="115"/>
    </row>
    <row r="339" spans="2:12" hidden="1" x14ac:dyDescent="0.15">
      <c r="B339" s="83" t="str">
        <f>+IF(査定表!A322=0,"",査定表!A322)</f>
        <v/>
      </c>
      <c r="C339" s="83" t="str">
        <f t="shared" si="56"/>
        <v/>
      </c>
      <c r="D339" s="84" t="str">
        <f t="shared" si="57"/>
        <v/>
      </c>
      <c r="E339" s="84" t="str">
        <f t="shared" si="60"/>
        <v/>
      </c>
      <c r="F339" s="85" t="str">
        <f>IF(査定表!E322=0,"",査定表!E322)</f>
        <v/>
      </c>
      <c r="G339" s="83" t="str">
        <f t="shared" si="58"/>
        <v/>
      </c>
      <c r="J339" s="83" t="str">
        <f t="shared" si="59"/>
        <v/>
      </c>
      <c r="L339" s="115"/>
    </row>
    <row r="340" spans="2:12" hidden="1" x14ac:dyDescent="0.15">
      <c r="B340" s="83" t="str">
        <f>+IF(査定表!A323=0,"",査定表!A323)</f>
        <v/>
      </c>
      <c r="C340" s="83" t="str">
        <f t="shared" si="56"/>
        <v/>
      </c>
      <c r="D340" s="84" t="str">
        <f t="shared" si="57"/>
        <v/>
      </c>
      <c r="E340" s="84" t="str">
        <f t="shared" si="60"/>
        <v/>
      </c>
      <c r="F340" s="85" t="str">
        <f>IF(査定表!E323=0,"",査定表!E323)</f>
        <v/>
      </c>
      <c r="G340" s="83" t="str">
        <f t="shared" si="58"/>
        <v/>
      </c>
      <c r="J340" s="83" t="str">
        <f t="shared" si="59"/>
        <v/>
      </c>
      <c r="L340" s="115"/>
    </row>
    <row r="341" spans="2:12" hidden="1" x14ac:dyDescent="0.15">
      <c r="B341" s="83" t="str">
        <f>+IF(査定表!A324=0,"",査定表!A324)</f>
        <v/>
      </c>
      <c r="C341" s="83" t="str">
        <f t="shared" si="56"/>
        <v/>
      </c>
      <c r="D341" s="84" t="str">
        <f t="shared" si="57"/>
        <v/>
      </c>
      <c r="E341" s="84" t="str">
        <f t="shared" si="60"/>
        <v/>
      </c>
      <c r="F341" s="85" t="str">
        <f>IF(査定表!E324=0,"",査定表!E324)</f>
        <v/>
      </c>
      <c r="G341" s="83" t="str">
        <f t="shared" si="58"/>
        <v/>
      </c>
      <c r="J341" s="83" t="str">
        <f t="shared" si="59"/>
        <v/>
      </c>
      <c r="L341" s="115"/>
    </row>
    <row r="342" spans="2:12" hidden="1" x14ac:dyDescent="0.15">
      <c r="B342" s="83" t="str">
        <f>+IF(査定表!A325=0,"",査定表!A325)</f>
        <v/>
      </c>
      <c r="C342" s="83" t="str">
        <f t="shared" si="56"/>
        <v/>
      </c>
      <c r="D342" s="84" t="str">
        <f t="shared" si="57"/>
        <v/>
      </c>
      <c r="E342" s="84" t="str">
        <f t="shared" si="60"/>
        <v/>
      </c>
      <c r="F342" s="85" t="str">
        <f>IF(査定表!E325=0,"",査定表!E325)</f>
        <v/>
      </c>
      <c r="G342" s="83" t="str">
        <f t="shared" si="58"/>
        <v/>
      </c>
      <c r="J342" s="83" t="str">
        <f t="shared" si="59"/>
        <v/>
      </c>
      <c r="L342" s="115"/>
    </row>
    <row r="343" spans="2:12" hidden="1" x14ac:dyDescent="0.15">
      <c r="B343" s="83" t="str">
        <f>+IF(査定表!A326=0,"",査定表!A326)</f>
        <v/>
      </c>
      <c r="C343" s="83" t="str">
        <f t="shared" si="56"/>
        <v/>
      </c>
      <c r="D343" s="84" t="str">
        <f t="shared" si="57"/>
        <v/>
      </c>
      <c r="E343" s="84" t="str">
        <f t="shared" si="60"/>
        <v/>
      </c>
      <c r="F343" s="85" t="str">
        <f>IF(査定表!E326=0,"",査定表!E326)</f>
        <v/>
      </c>
      <c r="G343" s="83" t="str">
        <f t="shared" si="58"/>
        <v/>
      </c>
      <c r="J343" s="83" t="str">
        <f t="shared" si="59"/>
        <v/>
      </c>
      <c r="L343" s="115"/>
    </row>
    <row r="344" spans="2:12" hidden="1" x14ac:dyDescent="0.15">
      <c r="B344" s="83" t="str">
        <f>+IF(査定表!A327=0,"",査定表!A327)</f>
        <v/>
      </c>
      <c r="C344" s="83" t="str">
        <f t="shared" si="56"/>
        <v/>
      </c>
      <c r="D344" s="84" t="str">
        <f t="shared" si="57"/>
        <v/>
      </c>
      <c r="E344" s="84" t="str">
        <f t="shared" si="60"/>
        <v/>
      </c>
      <c r="F344" s="85" t="str">
        <f>IF(査定表!E327=0,"",査定表!E327)</f>
        <v/>
      </c>
      <c r="G344" s="83" t="str">
        <f t="shared" si="58"/>
        <v/>
      </c>
      <c r="J344" s="83" t="str">
        <f t="shared" si="59"/>
        <v/>
      </c>
      <c r="L344" s="115"/>
    </row>
    <row r="345" spans="2:12" hidden="1" x14ac:dyDescent="0.15">
      <c r="B345" s="83" t="str">
        <f>+IF(査定表!A328=0,"",査定表!A328)</f>
        <v/>
      </c>
      <c r="C345" s="83" t="str">
        <f t="shared" si="56"/>
        <v/>
      </c>
      <c r="D345" s="84" t="str">
        <f t="shared" si="57"/>
        <v/>
      </c>
      <c r="E345" s="84" t="str">
        <f t="shared" si="60"/>
        <v/>
      </c>
      <c r="F345" s="85" t="str">
        <f>IF(査定表!E328=0,"",査定表!E328)</f>
        <v/>
      </c>
      <c r="G345" s="83" t="str">
        <f t="shared" si="58"/>
        <v/>
      </c>
      <c r="J345" s="83" t="str">
        <f t="shared" si="59"/>
        <v/>
      </c>
      <c r="L345" s="115"/>
    </row>
    <row r="346" spans="2:12" hidden="1" x14ac:dyDescent="0.15">
      <c r="B346" s="83" t="str">
        <f>+IF(査定表!A329=0,"",査定表!A329)</f>
        <v/>
      </c>
      <c r="C346" s="83" t="str">
        <f t="shared" si="56"/>
        <v/>
      </c>
      <c r="D346" s="84" t="str">
        <f t="shared" si="57"/>
        <v/>
      </c>
      <c r="E346" s="84" t="str">
        <f t="shared" si="60"/>
        <v/>
      </c>
      <c r="F346" s="85" t="str">
        <f>IF(査定表!E329=0,"",査定表!E329)</f>
        <v/>
      </c>
      <c r="G346" s="83" t="str">
        <f t="shared" si="58"/>
        <v/>
      </c>
      <c r="J346" s="83" t="str">
        <f t="shared" si="59"/>
        <v/>
      </c>
      <c r="L346" s="115"/>
    </row>
    <row r="347" spans="2:12" hidden="1" x14ac:dyDescent="0.15">
      <c r="B347" s="83" t="str">
        <f>+IF(査定表!A330=0,"",査定表!A330)</f>
        <v/>
      </c>
      <c r="C347" s="83" t="str">
        <f t="shared" si="56"/>
        <v/>
      </c>
      <c r="D347" s="84" t="str">
        <f t="shared" si="57"/>
        <v/>
      </c>
      <c r="E347" s="84" t="str">
        <f t="shared" si="60"/>
        <v/>
      </c>
      <c r="F347" s="85" t="str">
        <f>IF(査定表!E330=0,"",査定表!E330)</f>
        <v/>
      </c>
      <c r="G347" s="83" t="str">
        <f t="shared" si="58"/>
        <v/>
      </c>
      <c r="J347" s="83" t="str">
        <f t="shared" si="59"/>
        <v/>
      </c>
      <c r="L347" s="115"/>
    </row>
    <row r="348" spans="2:12" hidden="1" x14ac:dyDescent="0.15">
      <c r="B348" s="83" t="str">
        <f>+IF(査定表!A331=0,"",査定表!A331)</f>
        <v/>
      </c>
      <c r="C348" s="83" t="str">
        <f t="shared" si="56"/>
        <v/>
      </c>
      <c r="D348" s="84" t="str">
        <f t="shared" si="57"/>
        <v/>
      </c>
      <c r="E348" s="84" t="str">
        <f t="shared" si="60"/>
        <v/>
      </c>
      <c r="F348" s="85" t="str">
        <f>IF(査定表!E331=0,"",査定表!E331)</f>
        <v/>
      </c>
      <c r="G348" s="83" t="str">
        <f t="shared" si="58"/>
        <v/>
      </c>
      <c r="J348" s="83" t="str">
        <f t="shared" si="59"/>
        <v/>
      </c>
      <c r="L348" s="115"/>
    </row>
    <row r="349" spans="2:12" hidden="1" x14ac:dyDescent="0.15">
      <c r="B349" s="83" t="str">
        <f>+IF(査定表!A332=0,"",査定表!A332)</f>
        <v/>
      </c>
      <c r="C349" s="83" t="str">
        <f t="shared" si="56"/>
        <v/>
      </c>
      <c r="D349" s="84" t="str">
        <f t="shared" si="57"/>
        <v/>
      </c>
      <c r="E349" s="84" t="str">
        <f t="shared" si="60"/>
        <v/>
      </c>
      <c r="F349" s="85" t="str">
        <f>IF(査定表!E332=0,"",査定表!E332)</f>
        <v/>
      </c>
      <c r="G349" s="83" t="str">
        <f t="shared" si="58"/>
        <v/>
      </c>
      <c r="J349" s="83" t="str">
        <f t="shared" si="59"/>
        <v/>
      </c>
      <c r="L349" s="115"/>
    </row>
    <row r="350" spans="2:12" hidden="1" x14ac:dyDescent="0.15">
      <c r="B350" s="83" t="str">
        <f>+IF(査定表!A333=0,"",査定表!A333)</f>
        <v/>
      </c>
      <c r="C350" s="83" t="str">
        <f t="shared" si="56"/>
        <v/>
      </c>
      <c r="D350" s="84" t="str">
        <f t="shared" si="57"/>
        <v/>
      </c>
      <c r="E350" s="84" t="str">
        <f t="shared" si="60"/>
        <v/>
      </c>
      <c r="F350" s="85" t="str">
        <f>IF(査定表!E333=0,"",査定表!E333)</f>
        <v/>
      </c>
      <c r="G350" s="83" t="str">
        <f t="shared" si="58"/>
        <v/>
      </c>
      <c r="J350" s="83" t="str">
        <f t="shared" si="59"/>
        <v/>
      </c>
      <c r="L350" s="115"/>
    </row>
    <row r="351" spans="2:12" hidden="1" x14ac:dyDescent="0.15">
      <c r="B351" s="83" t="str">
        <f>+IF(査定表!A334=0,"",査定表!A334)</f>
        <v/>
      </c>
      <c r="C351" s="83" t="str">
        <f t="shared" si="56"/>
        <v/>
      </c>
      <c r="D351" s="84" t="str">
        <f t="shared" si="57"/>
        <v/>
      </c>
      <c r="E351" s="84" t="str">
        <f t="shared" si="60"/>
        <v/>
      </c>
      <c r="F351" s="85" t="str">
        <f>IF(査定表!E334=0,"",査定表!E334)</f>
        <v/>
      </c>
      <c r="G351" s="83" t="str">
        <f t="shared" si="58"/>
        <v/>
      </c>
      <c r="J351" s="83" t="str">
        <f t="shared" si="59"/>
        <v/>
      </c>
      <c r="L351" s="115"/>
    </row>
    <row r="352" spans="2:12" hidden="1" x14ac:dyDescent="0.15">
      <c r="B352" s="83" t="str">
        <f>+IF(査定表!A335=0,"",査定表!A335)</f>
        <v/>
      </c>
      <c r="C352" s="83" t="str">
        <f t="shared" si="56"/>
        <v/>
      </c>
      <c r="D352" s="84" t="str">
        <f t="shared" si="57"/>
        <v/>
      </c>
      <c r="E352" s="84" t="str">
        <f t="shared" si="60"/>
        <v/>
      </c>
      <c r="F352" s="85" t="str">
        <f>IF(査定表!E335=0,"",査定表!E335)</f>
        <v/>
      </c>
      <c r="G352" s="83" t="str">
        <f t="shared" si="58"/>
        <v/>
      </c>
      <c r="J352" s="83" t="str">
        <f t="shared" si="59"/>
        <v/>
      </c>
      <c r="L352" s="115"/>
    </row>
    <row r="353" spans="2:12" hidden="1" x14ac:dyDescent="0.15">
      <c r="B353" s="83" t="str">
        <f>+IF(査定表!A336=0,"",査定表!A336)</f>
        <v/>
      </c>
      <c r="C353" s="83" t="str">
        <f t="shared" si="56"/>
        <v/>
      </c>
      <c r="D353" s="84" t="str">
        <f t="shared" si="57"/>
        <v/>
      </c>
      <c r="E353" s="84" t="str">
        <f t="shared" si="60"/>
        <v/>
      </c>
      <c r="F353" s="85" t="str">
        <f>IF(査定表!E336=0,"",査定表!E336)</f>
        <v/>
      </c>
      <c r="G353" s="83" t="str">
        <f t="shared" si="58"/>
        <v/>
      </c>
      <c r="J353" s="83" t="str">
        <f t="shared" si="59"/>
        <v/>
      </c>
      <c r="L353" s="115"/>
    </row>
    <row r="354" spans="2:12" hidden="1" x14ac:dyDescent="0.15">
      <c r="B354" s="83" t="str">
        <f>+IF(査定表!A337=0,"",査定表!A337)</f>
        <v/>
      </c>
      <c r="C354" s="83" t="str">
        <f t="shared" si="56"/>
        <v/>
      </c>
      <c r="D354" s="84" t="str">
        <f t="shared" si="57"/>
        <v/>
      </c>
      <c r="E354" s="84" t="str">
        <f t="shared" si="60"/>
        <v/>
      </c>
      <c r="F354" s="85" t="str">
        <f>IF(査定表!E337=0,"",査定表!E337)</f>
        <v/>
      </c>
      <c r="G354" s="83" t="str">
        <f t="shared" si="58"/>
        <v/>
      </c>
      <c r="J354" s="83" t="str">
        <f t="shared" si="59"/>
        <v/>
      </c>
      <c r="L354" s="115"/>
    </row>
    <row r="355" spans="2:12" hidden="1" x14ac:dyDescent="0.15">
      <c r="B355" s="83" t="str">
        <f>+IF(査定表!A342=0,"",査定表!A342)</f>
        <v/>
      </c>
      <c r="C355" s="83" t="str">
        <f t="shared" si="56"/>
        <v/>
      </c>
      <c r="D355" s="84" t="str">
        <f t="shared" si="57"/>
        <v/>
      </c>
      <c r="E355" s="84" t="str">
        <f t="shared" si="60"/>
        <v/>
      </c>
      <c r="F355" s="85" t="str">
        <f>IF(査定表!E338=0,"",査定表!E338)</f>
        <v/>
      </c>
      <c r="G355" s="83" t="str">
        <f t="shared" si="58"/>
        <v/>
      </c>
      <c r="J355" s="83" t="str">
        <f t="shared" si="59"/>
        <v/>
      </c>
      <c r="L355" s="115"/>
    </row>
    <row r="356" spans="2:12" hidden="1" x14ac:dyDescent="0.15">
      <c r="B356" s="83" t="str">
        <f>+IF(査定表!A343=0,"",査定表!A343)</f>
        <v/>
      </c>
      <c r="C356" s="83" t="str">
        <f t="shared" si="56"/>
        <v/>
      </c>
      <c r="D356" s="84" t="str">
        <f t="shared" si="57"/>
        <v/>
      </c>
      <c r="E356" s="84" t="str">
        <f t="shared" si="60"/>
        <v/>
      </c>
      <c r="F356" s="85" t="str">
        <f>IF(査定表!E339=0,"",査定表!E339)</f>
        <v/>
      </c>
      <c r="G356" s="83" t="str">
        <f t="shared" si="58"/>
        <v/>
      </c>
      <c r="J356" s="83" t="str">
        <f t="shared" si="59"/>
        <v/>
      </c>
      <c r="L356" s="115"/>
    </row>
    <row r="357" spans="2:12" hidden="1" x14ac:dyDescent="0.15">
      <c r="B357" s="102" t="s">
        <v>86</v>
      </c>
      <c r="C357" s="83" t="str">
        <f t="shared" si="56"/>
        <v/>
      </c>
      <c r="D357" s="84" t="str">
        <f t="shared" si="57"/>
        <v/>
      </c>
      <c r="E357" s="84"/>
      <c r="F357" s="86">
        <f>SUM(F321:F356)</f>
        <v>0</v>
      </c>
      <c r="G357" s="83"/>
      <c r="J357" s="83"/>
      <c r="L357" s="115"/>
    </row>
    <row r="358" spans="2:12" hidden="1" x14ac:dyDescent="0.15">
      <c r="B358" s="101" t="s">
        <v>84</v>
      </c>
      <c r="C358" s="83"/>
      <c r="D358" s="84" t="str">
        <f t="shared" si="57"/>
        <v>1</v>
      </c>
      <c r="E358" s="84" t="str">
        <f>IF(F358="","","式")</f>
        <v>式</v>
      </c>
      <c r="F358" s="85">
        <f>INT(F357*0.08)</f>
        <v>0</v>
      </c>
      <c r="G358" s="83"/>
      <c r="J358" s="83"/>
      <c r="L358" s="115"/>
    </row>
    <row r="359" spans="2:12" hidden="1" x14ac:dyDescent="0.15">
      <c r="B359" s="101" t="s">
        <v>18</v>
      </c>
      <c r="C359" s="83" t="str">
        <f t="shared" ref="C359" si="61">IF(D359="","","図面・仕様書どおり")</f>
        <v/>
      </c>
      <c r="D359" s="84" t="str">
        <f t="shared" si="57"/>
        <v/>
      </c>
      <c r="E359" s="84"/>
      <c r="F359" s="85">
        <f>+SUM(F357:F358)</f>
        <v>0</v>
      </c>
      <c r="G359" s="83"/>
      <c r="J359" s="83"/>
      <c r="L359" s="115"/>
    </row>
    <row r="360" spans="2:12" hidden="1" x14ac:dyDescent="0.15">
      <c r="B360" s="101"/>
      <c r="C360" s="83"/>
      <c r="D360" s="84"/>
      <c r="E360" s="84"/>
      <c r="F360" s="85"/>
      <c r="G360" s="83"/>
      <c r="J360" s="83"/>
      <c r="L360" s="115"/>
    </row>
    <row r="361" spans="2:12" hidden="1" x14ac:dyDescent="0.15">
      <c r="B361" s="101"/>
      <c r="C361" s="83"/>
      <c r="D361" s="84"/>
      <c r="E361" s="84"/>
      <c r="F361" s="85"/>
      <c r="G361" s="83"/>
      <c r="J361" s="83"/>
      <c r="L361" s="115"/>
    </row>
    <row r="362" spans="2:12" hidden="1" x14ac:dyDescent="0.15">
      <c r="B362" s="83" t="str">
        <f>+IF(査定表!A345=0,"",査定表!A345)</f>
        <v/>
      </c>
      <c r="C362" s="83" t="str">
        <f t="shared" ref="C362:C399" si="62">IF(D362="","","図面・仕様書どおり")</f>
        <v/>
      </c>
      <c r="D362" s="84" t="str">
        <f t="shared" ref="D362:D401" si="63">IF(E362="","","1")</f>
        <v/>
      </c>
      <c r="E362" s="84" t="str">
        <f>IF(F362="","","式")</f>
        <v/>
      </c>
      <c r="F362" s="85" t="str">
        <f>IF(査定表!E345=0,"",査定表!E345)</f>
        <v/>
      </c>
      <c r="G362" s="83" t="str">
        <f t="shared" ref="G362:G398" si="64">IF(C362="","","諸経費共")</f>
        <v/>
      </c>
      <c r="J362" s="83" t="str">
        <f t="shared" ref="J362:J398" si="65">IF(F362="","","諸経費共")</f>
        <v/>
      </c>
      <c r="L362" s="115"/>
    </row>
    <row r="363" spans="2:12" hidden="1" x14ac:dyDescent="0.15">
      <c r="B363" s="83" t="str">
        <f>+IF(査定表!A346=0,"",査定表!A346)</f>
        <v/>
      </c>
      <c r="C363" s="83" t="str">
        <f t="shared" si="62"/>
        <v/>
      </c>
      <c r="D363" s="84" t="str">
        <f t="shared" si="63"/>
        <v/>
      </c>
      <c r="E363" s="84" t="str">
        <f t="shared" ref="E363:E398" si="66">IF(F363="","","式")</f>
        <v/>
      </c>
      <c r="F363" s="85" t="str">
        <f>IF(査定表!E346=0,"",査定表!E346)</f>
        <v/>
      </c>
      <c r="G363" s="83" t="str">
        <f t="shared" si="64"/>
        <v/>
      </c>
      <c r="J363" s="83" t="str">
        <f t="shared" si="65"/>
        <v/>
      </c>
      <c r="L363" s="115"/>
    </row>
    <row r="364" spans="2:12" hidden="1" x14ac:dyDescent="0.15">
      <c r="B364" s="83" t="str">
        <f>+IF(査定表!A347=0,"",査定表!A347)</f>
        <v/>
      </c>
      <c r="C364" s="83" t="str">
        <f t="shared" si="62"/>
        <v/>
      </c>
      <c r="D364" s="84" t="str">
        <f t="shared" si="63"/>
        <v/>
      </c>
      <c r="E364" s="84" t="str">
        <f t="shared" si="66"/>
        <v/>
      </c>
      <c r="F364" s="85" t="str">
        <f>IF(査定表!E347=0,"",査定表!E347)</f>
        <v/>
      </c>
      <c r="G364" s="83" t="str">
        <f t="shared" si="64"/>
        <v/>
      </c>
      <c r="J364" s="83" t="str">
        <f t="shared" si="65"/>
        <v/>
      </c>
      <c r="L364" s="115"/>
    </row>
    <row r="365" spans="2:12" hidden="1" x14ac:dyDescent="0.15">
      <c r="B365" s="83" t="str">
        <f>+IF(査定表!A348=0,"",査定表!A348)</f>
        <v/>
      </c>
      <c r="C365" s="83" t="str">
        <f t="shared" si="62"/>
        <v/>
      </c>
      <c r="D365" s="84" t="str">
        <f t="shared" si="63"/>
        <v/>
      </c>
      <c r="E365" s="84" t="str">
        <f t="shared" si="66"/>
        <v/>
      </c>
      <c r="F365" s="85" t="str">
        <f>IF(査定表!E348=0,"",査定表!E348)</f>
        <v/>
      </c>
      <c r="G365" s="83" t="str">
        <f t="shared" si="64"/>
        <v/>
      </c>
      <c r="J365" s="83" t="str">
        <f t="shared" si="65"/>
        <v/>
      </c>
      <c r="L365" s="115"/>
    </row>
    <row r="366" spans="2:12" hidden="1" x14ac:dyDescent="0.15">
      <c r="B366" s="83" t="str">
        <f>+IF(査定表!A349=0,"",査定表!A349)</f>
        <v/>
      </c>
      <c r="C366" s="83" t="str">
        <f t="shared" si="62"/>
        <v/>
      </c>
      <c r="D366" s="84" t="str">
        <f t="shared" si="63"/>
        <v/>
      </c>
      <c r="E366" s="84" t="str">
        <f t="shared" si="66"/>
        <v/>
      </c>
      <c r="F366" s="85" t="str">
        <f>IF(査定表!E349=0,"",査定表!E349)</f>
        <v/>
      </c>
      <c r="G366" s="83" t="str">
        <f t="shared" si="64"/>
        <v/>
      </c>
      <c r="J366" s="83" t="str">
        <f t="shared" si="65"/>
        <v/>
      </c>
      <c r="L366" s="115"/>
    </row>
    <row r="367" spans="2:12" hidden="1" x14ac:dyDescent="0.15">
      <c r="B367" s="83" t="str">
        <f>+IF(査定表!A350=0,"",査定表!A350)</f>
        <v/>
      </c>
      <c r="C367" s="83" t="str">
        <f t="shared" si="62"/>
        <v/>
      </c>
      <c r="D367" s="84" t="str">
        <f t="shared" si="63"/>
        <v/>
      </c>
      <c r="E367" s="84" t="str">
        <f t="shared" si="66"/>
        <v/>
      </c>
      <c r="F367" s="85" t="str">
        <f>IF(査定表!E350=0,"",査定表!E350)</f>
        <v/>
      </c>
      <c r="G367" s="83" t="str">
        <f t="shared" si="64"/>
        <v/>
      </c>
      <c r="J367" s="83" t="str">
        <f t="shared" si="65"/>
        <v/>
      </c>
      <c r="L367" s="115"/>
    </row>
    <row r="368" spans="2:12" hidden="1" x14ac:dyDescent="0.15">
      <c r="B368" s="83" t="str">
        <f>+IF(査定表!A351=0,"",査定表!A351)</f>
        <v/>
      </c>
      <c r="C368" s="83" t="str">
        <f t="shared" si="62"/>
        <v/>
      </c>
      <c r="D368" s="84" t="str">
        <f t="shared" si="63"/>
        <v/>
      </c>
      <c r="E368" s="84" t="str">
        <f t="shared" si="66"/>
        <v/>
      </c>
      <c r="F368" s="85" t="str">
        <f>IF(査定表!E351=0,"",査定表!E351)</f>
        <v/>
      </c>
      <c r="G368" s="83" t="str">
        <f t="shared" si="64"/>
        <v/>
      </c>
      <c r="J368" s="83" t="str">
        <f t="shared" si="65"/>
        <v/>
      </c>
      <c r="L368" s="115"/>
    </row>
    <row r="369" spans="2:12" hidden="1" x14ac:dyDescent="0.15">
      <c r="B369" s="83" t="str">
        <f>+IF(査定表!A352=0,"",査定表!A352)</f>
        <v/>
      </c>
      <c r="C369" s="83" t="str">
        <f t="shared" si="62"/>
        <v/>
      </c>
      <c r="D369" s="84" t="str">
        <f t="shared" si="63"/>
        <v/>
      </c>
      <c r="E369" s="84" t="str">
        <f t="shared" si="66"/>
        <v/>
      </c>
      <c r="F369" s="85" t="str">
        <f>IF(査定表!E352=0,"",査定表!E352)</f>
        <v/>
      </c>
      <c r="G369" s="83" t="str">
        <f t="shared" si="64"/>
        <v/>
      </c>
      <c r="J369" s="83" t="str">
        <f t="shared" si="65"/>
        <v/>
      </c>
      <c r="L369" s="115"/>
    </row>
    <row r="370" spans="2:12" hidden="1" x14ac:dyDescent="0.15">
      <c r="B370" s="83" t="str">
        <f>+IF(査定表!A353=0,"",査定表!A353)</f>
        <v/>
      </c>
      <c r="C370" s="83" t="str">
        <f t="shared" si="62"/>
        <v/>
      </c>
      <c r="D370" s="84" t="str">
        <f t="shared" si="63"/>
        <v/>
      </c>
      <c r="E370" s="84" t="str">
        <f t="shared" si="66"/>
        <v/>
      </c>
      <c r="F370" s="85" t="str">
        <f>IF(査定表!E353=0,"",査定表!E353)</f>
        <v/>
      </c>
      <c r="G370" s="83" t="str">
        <f t="shared" si="64"/>
        <v/>
      </c>
      <c r="J370" s="83" t="str">
        <f t="shared" si="65"/>
        <v/>
      </c>
      <c r="L370" s="115"/>
    </row>
    <row r="371" spans="2:12" hidden="1" x14ac:dyDescent="0.15">
      <c r="B371" s="83" t="str">
        <f>+IF(査定表!A354=0,"",査定表!A354)</f>
        <v/>
      </c>
      <c r="C371" s="83" t="str">
        <f t="shared" si="62"/>
        <v/>
      </c>
      <c r="D371" s="84" t="str">
        <f t="shared" si="63"/>
        <v/>
      </c>
      <c r="E371" s="84" t="str">
        <f t="shared" si="66"/>
        <v/>
      </c>
      <c r="F371" s="85" t="str">
        <f>IF(査定表!E354=0,"",査定表!E354)</f>
        <v/>
      </c>
      <c r="G371" s="83" t="str">
        <f t="shared" si="64"/>
        <v/>
      </c>
      <c r="J371" s="83" t="str">
        <f t="shared" si="65"/>
        <v/>
      </c>
      <c r="L371" s="115"/>
    </row>
    <row r="372" spans="2:12" hidden="1" x14ac:dyDescent="0.15">
      <c r="B372" s="83" t="str">
        <f>+IF(査定表!A355=0,"",査定表!A355)</f>
        <v/>
      </c>
      <c r="C372" s="83" t="str">
        <f t="shared" si="62"/>
        <v/>
      </c>
      <c r="D372" s="84" t="str">
        <f t="shared" si="63"/>
        <v/>
      </c>
      <c r="E372" s="84" t="str">
        <f t="shared" si="66"/>
        <v/>
      </c>
      <c r="F372" s="85" t="str">
        <f>IF(査定表!E355=0,"",査定表!E355)</f>
        <v/>
      </c>
      <c r="G372" s="83" t="str">
        <f t="shared" si="64"/>
        <v/>
      </c>
      <c r="J372" s="83" t="str">
        <f t="shared" si="65"/>
        <v/>
      </c>
      <c r="L372" s="115"/>
    </row>
    <row r="373" spans="2:12" hidden="1" x14ac:dyDescent="0.15">
      <c r="B373" s="83" t="str">
        <f>+IF(査定表!A356=0,"",査定表!A356)</f>
        <v/>
      </c>
      <c r="C373" s="83" t="str">
        <f t="shared" si="62"/>
        <v/>
      </c>
      <c r="D373" s="84" t="str">
        <f t="shared" si="63"/>
        <v/>
      </c>
      <c r="E373" s="84" t="str">
        <f t="shared" si="66"/>
        <v/>
      </c>
      <c r="F373" s="85" t="str">
        <f>IF(査定表!E356=0,"",査定表!E356)</f>
        <v/>
      </c>
      <c r="G373" s="83" t="str">
        <f t="shared" si="64"/>
        <v/>
      </c>
      <c r="J373" s="83" t="str">
        <f t="shared" si="65"/>
        <v/>
      </c>
      <c r="L373" s="115"/>
    </row>
    <row r="374" spans="2:12" hidden="1" x14ac:dyDescent="0.15">
      <c r="B374" s="83" t="str">
        <f>+IF(査定表!A357=0,"",査定表!A357)</f>
        <v/>
      </c>
      <c r="C374" s="83" t="str">
        <f t="shared" si="62"/>
        <v/>
      </c>
      <c r="D374" s="84" t="str">
        <f t="shared" si="63"/>
        <v/>
      </c>
      <c r="E374" s="84" t="str">
        <f t="shared" si="66"/>
        <v/>
      </c>
      <c r="F374" s="85" t="str">
        <f>IF(査定表!E357=0,"",査定表!E357)</f>
        <v/>
      </c>
      <c r="G374" s="83" t="str">
        <f t="shared" si="64"/>
        <v/>
      </c>
      <c r="J374" s="83" t="str">
        <f t="shared" si="65"/>
        <v/>
      </c>
      <c r="L374" s="115"/>
    </row>
    <row r="375" spans="2:12" hidden="1" x14ac:dyDescent="0.15">
      <c r="B375" s="83" t="str">
        <f>+IF(査定表!A358=0,"",査定表!A358)</f>
        <v/>
      </c>
      <c r="C375" s="83" t="str">
        <f t="shared" si="62"/>
        <v/>
      </c>
      <c r="D375" s="84" t="str">
        <f t="shared" si="63"/>
        <v/>
      </c>
      <c r="E375" s="84" t="str">
        <f t="shared" si="66"/>
        <v/>
      </c>
      <c r="F375" s="85" t="str">
        <f>IF(査定表!E358=0,"",査定表!E358)</f>
        <v/>
      </c>
      <c r="G375" s="83" t="str">
        <f t="shared" si="64"/>
        <v/>
      </c>
      <c r="J375" s="83" t="str">
        <f t="shared" si="65"/>
        <v/>
      </c>
      <c r="L375" s="115"/>
    </row>
    <row r="376" spans="2:12" hidden="1" x14ac:dyDescent="0.15">
      <c r="B376" s="83" t="str">
        <f>+IF(査定表!A359=0,"",査定表!A359)</f>
        <v/>
      </c>
      <c r="C376" s="83" t="str">
        <f t="shared" si="62"/>
        <v/>
      </c>
      <c r="D376" s="84" t="str">
        <f t="shared" si="63"/>
        <v/>
      </c>
      <c r="E376" s="84" t="str">
        <f t="shared" si="66"/>
        <v/>
      </c>
      <c r="F376" s="85" t="str">
        <f>IF(査定表!E359=0,"",査定表!E359)</f>
        <v/>
      </c>
      <c r="G376" s="83" t="str">
        <f t="shared" si="64"/>
        <v/>
      </c>
      <c r="J376" s="83" t="str">
        <f t="shared" si="65"/>
        <v/>
      </c>
      <c r="L376" s="115"/>
    </row>
    <row r="377" spans="2:12" hidden="1" x14ac:dyDescent="0.15">
      <c r="B377" s="83" t="str">
        <f>+IF(査定表!A360=0,"",査定表!A360)</f>
        <v/>
      </c>
      <c r="C377" s="83" t="str">
        <f t="shared" si="62"/>
        <v/>
      </c>
      <c r="D377" s="84" t="str">
        <f t="shared" si="63"/>
        <v/>
      </c>
      <c r="E377" s="84" t="str">
        <f t="shared" si="66"/>
        <v/>
      </c>
      <c r="F377" s="85" t="str">
        <f>IF(査定表!E360=0,"",査定表!E360)</f>
        <v/>
      </c>
      <c r="G377" s="83" t="str">
        <f t="shared" si="64"/>
        <v/>
      </c>
      <c r="J377" s="83" t="str">
        <f t="shared" si="65"/>
        <v/>
      </c>
      <c r="L377" s="115"/>
    </row>
    <row r="378" spans="2:12" hidden="1" x14ac:dyDescent="0.15">
      <c r="B378" s="83" t="str">
        <f>+IF(査定表!A361=0,"",査定表!A361)</f>
        <v/>
      </c>
      <c r="C378" s="83" t="str">
        <f t="shared" si="62"/>
        <v/>
      </c>
      <c r="D378" s="84" t="str">
        <f t="shared" si="63"/>
        <v/>
      </c>
      <c r="E378" s="84" t="str">
        <f t="shared" si="66"/>
        <v/>
      </c>
      <c r="F378" s="85" t="str">
        <f>IF(査定表!E361=0,"",査定表!E361)</f>
        <v/>
      </c>
      <c r="G378" s="83" t="str">
        <f t="shared" si="64"/>
        <v/>
      </c>
      <c r="J378" s="83" t="str">
        <f t="shared" si="65"/>
        <v/>
      </c>
      <c r="L378" s="115"/>
    </row>
    <row r="379" spans="2:12" hidden="1" x14ac:dyDescent="0.15">
      <c r="B379" s="83" t="str">
        <f>+IF(査定表!A362=0,"",査定表!A362)</f>
        <v/>
      </c>
      <c r="C379" s="83" t="str">
        <f t="shared" si="62"/>
        <v/>
      </c>
      <c r="D379" s="84" t="str">
        <f t="shared" si="63"/>
        <v/>
      </c>
      <c r="E379" s="84" t="str">
        <f t="shared" si="66"/>
        <v/>
      </c>
      <c r="F379" s="85" t="str">
        <f>IF(査定表!E362=0,"",査定表!E362)</f>
        <v/>
      </c>
      <c r="G379" s="83" t="str">
        <f t="shared" si="64"/>
        <v/>
      </c>
      <c r="J379" s="83" t="str">
        <f t="shared" si="65"/>
        <v/>
      </c>
      <c r="L379" s="115"/>
    </row>
    <row r="380" spans="2:12" hidden="1" x14ac:dyDescent="0.15">
      <c r="B380" s="83" t="str">
        <f>+IF(査定表!A363=0,"",査定表!A363)</f>
        <v/>
      </c>
      <c r="C380" s="83" t="str">
        <f t="shared" si="62"/>
        <v/>
      </c>
      <c r="D380" s="84" t="str">
        <f t="shared" si="63"/>
        <v/>
      </c>
      <c r="E380" s="84" t="str">
        <f t="shared" si="66"/>
        <v/>
      </c>
      <c r="F380" s="85" t="str">
        <f>IF(査定表!E363=0,"",査定表!E363)</f>
        <v/>
      </c>
      <c r="G380" s="83" t="str">
        <f t="shared" si="64"/>
        <v/>
      </c>
      <c r="J380" s="83" t="str">
        <f t="shared" si="65"/>
        <v/>
      </c>
      <c r="L380" s="115"/>
    </row>
    <row r="381" spans="2:12" hidden="1" x14ac:dyDescent="0.15">
      <c r="B381" s="83" t="str">
        <f>+IF(査定表!A364=0,"",査定表!A364)</f>
        <v/>
      </c>
      <c r="C381" s="83" t="str">
        <f t="shared" si="62"/>
        <v/>
      </c>
      <c r="D381" s="84" t="str">
        <f t="shared" si="63"/>
        <v/>
      </c>
      <c r="E381" s="84" t="str">
        <f t="shared" si="66"/>
        <v/>
      </c>
      <c r="F381" s="85" t="str">
        <f>IF(査定表!E364=0,"",査定表!E364)</f>
        <v/>
      </c>
      <c r="G381" s="83" t="str">
        <f t="shared" si="64"/>
        <v/>
      </c>
      <c r="J381" s="83" t="str">
        <f t="shared" si="65"/>
        <v/>
      </c>
      <c r="L381" s="115"/>
    </row>
    <row r="382" spans="2:12" hidden="1" x14ac:dyDescent="0.15">
      <c r="B382" s="83" t="str">
        <f>+IF(査定表!A365=0,"",査定表!A365)</f>
        <v/>
      </c>
      <c r="C382" s="83" t="str">
        <f t="shared" si="62"/>
        <v/>
      </c>
      <c r="D382" s="84" t="str">
        <f t="shared" si="63"/>
        <v/>
      </c>
      <c r="E382" s="84" t="str">
        <f t="shared" si="66"/>
        <v/>
      </c>
      <c r="F382" s="85" t="str">
        <f>IF(査定表!E365=0,"",査定表!E365)</f>
        <v/>
      </c>
      <c r="G382" s="83" t="str">
        <f t="shared" si="64"/>
        <v/>
      </c>
      <c r="J382" s="83" t="str">
        <f t="shared" si="65"/>
        <v/>
      </c>
      <c r="L382" s="115"/>
    </row>
    <row r="383" spans="2:12" hidden="1" x14ac:dyDescent="0.15">
      <c r="B383" s="83" t="str">
        <f>+IF(査定表!A366=0,"",査定表!A366)</f>
        <v/>
      </c>
      <c r="C383" s="83" t="str">
        <f t="shared" si="62"/>
        <v/>
      </c>
      <c r="D383" s="84" t="str">
        <f t="shared" si="63"/>
        <v/>
      </c>
      <c r="E383" s="84" t="str">
        <f t="shared" si="66"/>
        <v/>
      </c>
      <c r="F383" s="85" t="str">
        <f>IF(査定表!E366=0,"",査定表!E366)</f>
        <v/>
      </c>
      <c r="G383" s="83" t="str">
        <f t="shared" si="64"/>
        <v/>
      </c>
      <c r="J383" s="83" t="str">
        <f t="shared" si="65"/>
        <v/>
      </c>
      <c r="L383" s="115"/>
    </row>
    <row r="384" spans="2:12" hidden="1" x14ac:dyDescent="0.15">
      <c r="B384" s="83" t="str">
        <f>+IF(査定表!A367=0,"",査定表!A367)</f>
        <v/>
      </c>
      <c r="C384" s="83" t="str">
        <f t="shared" si="62"/>
        <v/>
      </c>
      <c r="D384" s="84" t="str">
        <f t="shared" si="63"/>
        <v/>
      </c>
      <c r="E384" s="84" t="str">
        <f t="shared" si="66"/>
        <v/>
      </c>
      <c r="F384" s="85" t="str">
        <f>IF(査定表!E367=0,"",査定表!E367)</f>
        <v/>
      </c>
      <c r="G384" s="83" t="str">
        <f t="shared" si="64"/>
        <v/>
      </c>
      <c r="J384" s="83" t="str">
        <f t="shared" si="65"/>
        <v/>
      </c>
      <c r="L384" s="115"/>
    </row>
    <row r="385" spans="2:12" hidden="1" x14ac:dyDescent="0.15">
      <c r="B385" s="83" t="str">
        <f>+IF(査定表!A368=0,"",査定表!A368)</f>
        <v/>
      </c>
      <c r="C385" s="83" t="str">
        <f t="shared" si="62"/>
        <v/>
      </c>
      <c r="D385" s="84" t="str">
        <f t="shared" si="63"/>
        <v/>
      </c>
      <c r="E385" s="84" t="str">
        <f t="shared" si="66"/>
        <v/>
      </c>
      <c r="F385" s="85" t="str">
        <f>IF(査定表!E368=0,"",査定表!E368)</f>
        <v/>
      </c>
      <c r="G385" s="83" t="str">
        <f t="shared" si="64"/>
        <v/>
      </c>
      <c r="J385" s="83" t="str">
        <f t="shared" si="65"/>
        <v/>
      </c>
      <c r="L385" s="115"/>
    </row>
    <row r="386" spans="2:12" hidden="1" x14ac:dyDescent="0.15">
      <c r="B386" s="83" t="str">
        <f>+IF(査定表!A369=0,"",査定表!A369)</f>
        <v/>
      </c>
      <c r="C386" s="83" t="str">
        <f t="shared" si="62"/>
        <v/>
      </c>
      <c r="D386" s="84" t="str">
        <f t="shared" si="63"/>
        <v/>
      </c>
      <c r="E386" s="84" t="str">
        <f t="shared" si="66"/>
        <v/>
      </c>
      <c r="F386" s="85" t="str">
        <f>IF(査定表!E369=0,"",査定表!E369)</f>
        <v/>
      </c>
      <c r="G386" s="83" t="str">
        <f t="shared" si="64"/>
        <v/>
      </c>
      <c r="J386" s="83" t="str">
        <f t="shared" si="65"/>
        <v/>
      </c>
      <c r="L386" s="115"/>
    </row>
    <row r="387" spans="2:12" hidden="1" x14ac:dyDescent="0.15">
      <c r="B387" s="83" t="str">
        <f>+IF(査定表!A370=0,"",査定表!A370)</f>
        <v/>
      </c>
      <c r="C387" s="83" t="str">
        <f t="shared" si="62"/>
        <v/>
      </c>
      <c r="D387" s="84" t="str">
        <f t="shared" si="63"/>
        <v/>
      </c>
      <c r="E387" s="84" t="str">
        <f t="shared" si="66"/>
        <v/>
      </c>
      <c r="F387" s="85" t="str">
        <f>IF(査定表!E370=0,"",査定表!E370)</f>
        <v/>
      </c>
      <c r="G387" s="83" t="str">
        <f t="shared" si="64"/>
        <v/>
      </c>
      <c r="J387" s="83" t="str">
        <f t="shared" si="65"/>
        <v/>
      </c>
      <c r="L387" s="115"/>
    </row>
    <row r="388" spans="2:12" hidden="1" x14ac:dyDescent="0.15">
      <c r="B388" s="83" t="str">
        <f>+IF(査定表!A371=0,"",査定表!A371)</f>
        <v/>
      </c>
      <c r="C388" s="83" t="str">
        <f t="shared" si="62"/>
        <v/>
      </c>
      <c r="D388" s="84" t="str">
        <f t="shared" si="63"/>
        <v/>
      </c>
      <c r="E388" s="84" t="str">
        <f t="shared" si="66"/>
        <v/>
      </c>
      <c r="F388" s="85" t="str">
        <f>IF(査定表!E371=0,"",査定表!E371)</f>
        <v/>
      </c>
      <c r="G388" s="83" t="str">
        <f t="shared" si="64"/>
        <v/>
      </c>
      <c r="J388" s="83" t="str">
        <f t="shared" si="65"/>
        <v/>
      </c>
      <c r="L388" s="115"/>
    </row>
    <row r="389" spans="2:12" hidden="1" x14ac:dyDescent="0.15">
      <c r="B389" s="83" t="str">
        <f>+IF(査定表!A372=0,"",査定表!A372)</f>
        <v/>
      </c>
      <c r="C389" s="83" t="str">
        <f t="shared" si="62"/>
        <v/>
      </c>
      <c r="D389" s="84" t="str">
        <f t="shared" si="63"/>
        <v/>
      </c>
      <c r="E389" s="84" t="str">
        <f t="shared" si="66"/>
        <v/>
      </c>
      <c r="F389" s="85" t="str">
        <f>IF(査定表!E372=0,"",査定表!E372)</f>
        <v/>
      </c>
      <c r="G389" s="83" t="str">
        <f t="shared" si="64"/>
        <v/>
      </c>
      <c r="J389" s="83" t="str">
        <f t="shared" si="65"/>
        <v/>
      </c>
      <c r="L389" s="115"/>
    </row>
    <row r="390" spans="2:12" hidden="1" x14ac:dyDescent="0.15">
      <c r="B390" s="83" t="str">
        <f>+IF(査定表!A373=0,"",査定表!A373)</f>
        <v/>
      </c>
      <c r="C390" s="83" t="str">
        <f t="shared" si="62"/>
        <v/>
      </c>
      <c r="D390" s="84" t="str">
        <f t="shared" si="63"/>
        <v/>
      </c>
      <c r="E390" s="84" t="str">
        <f t="shared" si="66"/>
        <v/>
      </c>
      <c r="F390" s="85" t="str">
        <f>IF(査定表!E373=0,"",査定表!E373)</f>
        <v/>
      </c>
      <c r="G390" s="83" t="str">
        <f t="shared" si="64"/>
        <v/>
      </c>
      <c r="J390" s="83" t="str">
        <f t="shared" si="65"/>
        <v/>
      </c>
      <c r="L390" s="115"/>
    </row>
    <row r="391" spans="2:12" hidden="1" x14ac:dyDescent="0.15">
      <c r="B391" s="83" t="str">
        <f>+IF(査定表!A374=0,"",査定表!A374)</f>
        <v/>
      </c>
      <c r="C391" s="83" t="str">
        <f t="shared" si="62"/>
        <v/>
      </c>
      <c r="D391" s="84" t="str">
        <f t="shared" si="63"/>
        <v/>
      </c>
      <c r="E391" s="84" t="str">
        <f t="shared" si="66"/>
        <v/>
      </c>
      <c r="F391" s="85" t="str">
        <f>IF(査定表!E374=0,"",査定表!E374)</f>
        <v/>
      </c>
      <c r="G391" s="83" t="str">
        <f t="shared" si="64"/>
        <v/>
      </c>
      <c r="J391" s="83" t="str">
        <f t="shared" si="65"/>
        <v/>
      </c>
      <c r="L391" s="115"/>
    </row>
    <row r="392" spans="2:12" hidden="1" x14ac:dyDescent="0.15">
      <c r="B392" s="83" t="str">
        <f>+IF(査定表!A375=0,"",査定表!A375)</f>
        <v/>
      </c>
      <c r="C392" s="83" t="str">
        <f t="shared" si="62"/>
        <v/>
      </c>
      <c r="D392" s="84" t="str">
        <f t="shared" si="63"/>
        <v/>
      </c>
      <c r="E392" s="84" t="str">
        <f t="shared" si="66"/>
        <v/>
      </c>
      <c r="F392" s="85" t="str">
        <f>IF(査定表!E375=0,"",査定表!E375)</f>
        <v/>
      </c>
      <c r="G392" s="83" t="str">
        <f t="shared" si="64"/>
        <v/>
      </c>
      <c r="J392" s="83" t="str">
        <f t="shared" si="65"/>
        <v/>
      </c>
      <c r="L392" s="115"/>
    </row>
    <row r="393" spans="2:12" hidden="1" x14ac:dyDescent="0.15">
      <c r="B393" s="83" t="str">
        <f>+IF(査定表!A376=0,"",査定表!A376)</f>
        <v/>
      </c>
      <c r="C393" s="83" t="str">
        <f t="shared" si="62"/>
        <v/>
      </c>
      <c r="D393" s="84" t="str">
        <f t="shared" si="63"/>
        <v/>
      </c>
      <c r="E393" s="84" t="str">
        <f t="shared" si="66"/>
        <v/>
      </c>
      <c r="F393" s="85" t="str">
        <f>IF(査定表!E376=0,"",査定表!E376)</f>
        <v/>
      </c>
      <c r="G393" s="83" t="str">
        <f t="shared" si="64"/>
        <v/>
      </c>
      <c r="J393" s="83" t="str">
        <f t="shared" si="65"/>
        <v/>
      </c>
      <c r="L393" s="115"/>
    </row>
    <row r="394" spans="2:12" hidden="1" x14ac:dyDescent="0.15">
      <c r="B394" s="83" t="str">
        <f>+IF(査定表!A377=0,"",査定表!A377)</f>
        <v/>
      </c>
      <c r="C394" s="83" t="str">
        <f t="shared" si="62"/>
        <v/>
      </c>
      <c r="D394" s="84" t="str">
        <f t="shared" si="63"/>
        <v/>
      </c>
      <c r="E394" s="84" t="str">
        <f t="shared" si="66"/>
        <v/>
      </c>
      <c r="F394" s="85" t="str">
        <f>IF(査定表!E377=0,"",査定表!E377)</f>
        <v/>
      </c>
      <c r="G394" s="83" t="str">
        <f t="shared" si="64"/>
        <v/>
      </c>
      <c r="J394" s="83" t="str">
        <f t="shared" si="65"/>
        <v/>
      </c>
      <c r="L394" s="115"/>
    </row>
    <row r="395" spans="2:12" hidden="1" x14ac:dyDescent="0.15">
      <c r="B395" s="83" t="str">
        <f>+IF(査定表!A378=0,"",査定表!A378)</f>
        <v/>
      </c>
      <c r="C395" s="83" t="str">
        <f t="shared" si="62"/>
        <v/>
      </c>
      <c r="D395" s="84" t="str">
        <f t="shared" si="63"/>
        <v/>
      </c>
      <c r="E395" s="84" t="str">
        <f t="shared" si="66"/>
        <v/>
      </c>
      <c r="F395" s="85" t="str">
        <f>IF(査定表!E378=0,"",査定表!E378)</f>
        <v/>
      </c>
      <c r="G395" s="83" t="str">
        <f t="shared" si="64"/>
        <v/>
      </c>
      <c r="J395" s="83" t="str">
        <f t="shared" si="65"/>
        <v/>
      </c>
      <c r="L395" s="115"/>
    </row>
    <row r="396" spans="2:12" hidden="1" x14ac:dyDescent="0.15">
      <c r="B396" s="83" t="str">
        <f>+IF(査定表!A379=0,"",査定表!A379)</f>
        <v/>
      </c>
      <c r="C396" s="83" t="str">
        <f t="shared" si="62"/>
        <v/>
      </c>
      <c r="D396" s="84" t="str">
        <f t="shared" si="63"/>
        <v/>
      </c>
      <c r="E396" s="84" t="str">
        <f t="shared" si="66"/>
        <v/>
      </c>
      <c r="F396" s="85" t="str">
        <f>IF(査定表!E379=0,"",査定表!E379)</f>
        <v/>
      </c>
      <c r="G396" s="83" t="str">
        <f t="shared" si="64"/>
        <v/>
      </c>
      <c r="J396" s="83" t="str">
        <f t="shared" si="65"/>
        <v/>
      </c>
      <c r="L396" s="115"/>
    </row>
    <row r="397" spans="2:12" hidden="1" x14ac:dyDescent="0.15">
      <c r="B397" s="83" t="str">
        <f>+IF(査定表!A384=0,"",査定表!A384)</f>
        <v/>
      </c>
      <c r="C397" s="83" t="str">
        <f t="shared" si="62"/>
        <v/>
      </c>
      <c r="D397" s="84" t="str">
        <f t="shared" si="63"/>
        <v/>
      </c>
      <c r="E397" s="84" t="str">
        <f t="shared" si="66"/>
        <v/>
      </c>
      <c r="F397" s="85" t="str">
        <f>IF(査定表!E380=0,"",査定表!E380)</f>
        <v/>
      </c>
      <c r="G397" s="83" t="str">
        <f t="shared" si="64"/>
        <v/>
      </c>
      <c r="J397" s="83" t="str">
        <f t="shared" si="65"/>
        <v/>
      </c>
      <c r="L397" s="115"/>
    </row>
    <row r="398" spans="2:12" hidden="1" x14ac:dyDescent="0.15">
      <c r="B398" s="83" t="str">
        <f>+IF(査定表!A385=0,"",査定表!A385)</f>
        <v/>
      </c>
      <c r="C398" s="83" t="str">
        <f t="shared" si="62"/>
        <v/>
      </c>
      <c r="D398" s="84" t="str">
        <f t="shared" si="63"/>
        <v/>
      </c>
      <c r="E398" s="84" t="str">
        <f t="shared" si="66"/>
        <v/>
      </c>
      <c r="F398" s="85" t="str">
        <f>IF(査定表!E381=0,"",査定表!E381)</f>
        <v/>
      </c>
      <c r="G398" s="83" t="str">
        <f t="shared" si="64"/>
        <v/>
      </c>
      <c r="J398" s="83" t="str">
        <f t="shared" si="65"/>
        <v/>
      </c>
      <c r="L398" s="115"/>
    </row>
    <row r="399" spans="2:12" hidden="1" x14ac:dyDescent="0.15">
      <c r="B399" s="102" t="s">
        <v>86</v>
      </c>
      <c r="C399" s="83" t="str">
        <f t="shared" si="62"/>
        <v/>
      </c>
      <c r="D399" s="84" t="str">
        <f t="shared" si="63"/>
        <v/>
      </c>
      <c r="E399" s="84"/>
      <c r="F399" s="86">
        <f>SUM(F363:F398)</f>
        <v>0</v>
      </c>
      <c r="G399" s="83"/>
      <c r="J399" s="83"/>
      <c r="L399" s="115"/>
    </row>
    <row r="400" spans="2:12" hidden="1" x14ac:dyDescent="0.15">
      <c r="B400" s="101" t="s">
        <v>84</v>
      </c>
      <c r="C400" s="83"/>
      <c r="D400" s="84" t="str">
        <f t="shared" si="63"/>
        <v>1</v>
      </c>
      <c r="E400" s="84" t="str">
        <f>IF(F400="","","式")</f>
        <v>式</v>
      </c>
      <c r="F400" s="85">
        <f>INT(F399*0.08)</f>
        <v>0</v>
      </c>
      <c r="G400" s="83"/>
      <c r="J400" s="83"/>
      <c r="L400" s="115"/>
    </row>
    <row r="401" spans="2:12" hidden="1" x14ac:dyDescent="0.15">
      <c r="B401" s="101" t="s">
        <v>18</v>
      </c>
      <c r="C401" s="83" t="str">
        <f t="shared" ref="C401" si="67">IF(D401="","","図面・仕様書どおり")</f>
        <v/>
      </c>
      <c r="D401" s="84" t="str">
        <f t="shared" si="63"/>
        <v/>
      </c>
      <c r="E401" s="84"/>
      <c r="F401" s="85">
        <f>+SUM(F399:F400)</f>
        <v>0</v>
      </c>
      <c r="G401" s="83"/>
      <c r="J401" s="83"/>
      <c r="L401" s="115"/>
    </row>
    <row r="402" spans="2:12" hidden="1" x14ac:dyDescent="0.15">
      <c r="B402" s="101"/>
      <c r="C402" s="83"/>
      <c r="D402" s="84"/>
      <c r="E402" s="84"/>
      <c r="F402" s="85"/>
      <c r="G402" s="83"/>
      <c r="J402" s="83"/>
      <c r="L402" s="115"/>
    </row>
    <row r="403" spans="2:12" hidden="1" x14ac:dyDescent="0.15">
      <c r="B403" s="101"/>
      <c r="C403" s="83"/>
      <c r="D403" s="84"/>
      <c r="E403" s="84"/>
      <c r="F403" s="85"/>
      <c r="G403" s="83"/>
      <c r="J403" s="83"/>
      <c r="L403" s="115"/>
    </row>
    <row r="404" spans="2:12" hidden="1" x14ac:dyDescent="0.15">
      <c r="B404" s="83" t="str">
        <f>+IF(査定表!A387=0,"",査定表!A387)</f>
        <v/>
      </c>
      <c r="C404" s="83" t="str">
        <f t="shared" ref="C404:C441" si="68">IF(D404="","","図面・仕様書どおり")</f>
        <v/>
      </c>
      <c r="D404" s="84" t="str">
        <f t="shared" ref="D404:D443" si="69">IF(E404="","","1")</f>
        <v/>
      </c>
      <c r="E404" s="84" t="str">
        <f>IF(F404="","","式")</f>
        <v/>
      </c>
      <c r="F404" s="85" t="str">
        <f>IF(査定表!E387=0,"",査定表!E387)</f>
        <v/>
      </c>
      <c r="G404" s="83" t="str">
        <f t="shared" ref="G404:G440" si="70">IF(C404="","","諸経費共")</f>
        <v/>
      </c>
      <c r="J404" s="83" t="str">
        <f t="shared" ref="J404:J440" si="71">IF(F404="","","諸経費共")</f>
        <v/>
      </c>
      <c r="L404" s="115"/>
    </row>
    <row r="405" spans="2:12" hidden="1" x14ac:dyDescent="0.15">
      <c r="B405" s="83" t="str">
        <f>+IF(査定表!A388=0,"",査定表!A388)</f>
        <v/>
      </c>
      <c r="C405" s="83" t="str">
        <f t="shared" si="68"/>
        <v/>
      </c>
      <c r="D405" s="84" t="str">
        <f t="shared" si="69"/>
        <v/>
      </c>
      <c r="E405" s="84" t="str">
        <f t="shared" ref="E405:E440" si="72">IF(F405="","","式")</f>
        <v/>
      </c>
      <c r="F405" s="85" t="str">
        <f>IF(査定表!E388=0,"",査定表!E388)</f>
        <v/>
      </c>
      <c r="G405" s="83" t="str">
        <f t="shared" si="70"/>
        <v/>
      </c>
      <c r="J405" s="83" t="str">
        <f t="shared" si="71"/>
        <v/>
      </c>
      <c r="L405" s="115"/>
    </row>
    <row r="406" spans="2:12" hidden="1" x14ac:dyDescent="0.15">
      <c r="B406" s="83" t="str">
        <f>+IF(査定表!A389=0,"",査定表!A389)</f>
        <v/>
      </c>
      <c r="C406" s="83" t="str">
        <f t="shared" si="68"/>
        <v/>
      </c>
      <c r="D406" s="84" t="str">
        <f t="shared" si="69"/>
        <v/>
      </c>
      <c r="E406" s="84" t="str">
        <f t="shared" si="72"/>
        <v/>
      </c>
      <c r="F406" s="85" t="str">
        <f>IF(査定表!E389=0,"",査定表!E389)</f>
        <v/>
      </c>
      <c r="G406" s="83" t="str">
        <f t="shared" si="70"/>
        <v/>
      </c>
      <c r="J406" s="83" t="str">
        <f t="shared" si="71"/>
        <v/>
      </c>
      <c r="L406" s="115"/>
    </row>
    <row r="407" spans="2:12" hidden="1" x14ac:dyDescent="0.15">
      <c r="B407" s="83" t="str">
        <f>+IF(査定表!A390=0,"",査定表!A390)</f>
        <v/>
      </c>
      <c r="C407" s="83" t="str">
        <f t="shared" si="68"/>
        <v/>
      </c>
      <c r="D407" s="84" t="str">
        <f t="shared" si="69"/>
        <v/>
      </c>
      <c r="E407" s="84" t="str">
        <f t="shared" si="72"/>
        <v/>
      </c>
      <c r="F407" s="85" t="str">
        <f>IF(査定表!E390=0,"",査定表!E390)</f>
        <v/>
      </c>
      <c r="G407" s="83" t="str">
        <f t="shared" si="70"/>
        <v/>
      </c>
      <c r="J407" s="83" t="str">
        <f t="shared" si="71"/>
        <v/>
      </c>
      <c r="L407" s="115"/>
    </row>
    <row r="408" spans="2:12" hidden="1" x14ac:dyDescent="0.15">
      <c r="B408" s="83" t="str">
        <f>+IF(査定表!A391=0,"",査定表!A391)</f>
        <v/>
      </c>
      <c r="C408" s="83" t="str">
        <f t="shared" si="68"/>
        <v/>
      </c>
      <c r="D408" s="84" t="str">
        <f t="shared" si="69"/>
        <v/>
      </c>
      <c r="E408" s="84" t="str">
        <f t="shared" si="72"/>
        <v/>
      </c>
      <c r="F408" s="85" t="str">
        <f>IF(査定表!E391=0,"",査定表!E391)</f>
        <v/>
      </c>
      <c r="G408" s="83" t="str">
        <f t="shared" si="70"/>
        <v/>
      </c>
      <c r="J408" s="83" t="str">
        <f t="shared" si="71"/>
        <v/>
      </c>
      <c r="L408" s="115"/>
    </row>
    <row r="409" spans="2:12" hidden="1" x14ac:dyDescent="0.15">
      <c r="B409" s="83" t="str">
        <f>+IF(査定表!A392=0,"",査定表!A392)</f>
        <v/>
      </c>
      <c r="C409" s="83" t="str">
        <f t="shared" si="68"/>
        <v/>
      </c>
      <c r="D409" s="84" t="str">
        <f t="shared" si="69"/>
        <v/>
      </c>
      <c r="E409" s="84" t="str">
        <f t="shared" si="72"/>
        <v/>
      </c>
      <c r="F409" s="85" t="str">
        <f>IF(査定表!E392=0,"",査定表!E392)</f>
        <v/>
      </c>
      <c r="G409" s="83" t="str">
        <f t="shared" si="70"/>
        <v/>
      </c>
      <c r="J409" s="83" t="str">
        <f t="shared" si="71"/>
        <v/>
      </c>
      <c r="L409" s="115"/>
    </row>
    <row r="410" spans="2:12" hidden="1" x14ac:dyDescent="0.15">
      <c r="B410" s="83" t="str">
        <f>+IF(査定表!A393=0,"",査定表!A393)</f>
        <v/>
      </c>
      <c r="C410" s="83" t="str">
        <f t="shared" si="68"/>
        <v/>
      </c>
      <c r="D410" s="84" t="str">
        <f t="shared" si="69"/>
        <v/>
      </c>
      <c r="E410" s="84" t="str">
        <f t="shared" si="72"/>
        <v/>
      </c>
      <c r="F410" s="85" t="str">
        <f>IF(査定表!E393=0,"",査定表!E393)</f>
        <v/>
      </c>
      <c r="G410" s="83" t="str">
        <f t="shared" si="70"/>
        <v/>
      </c>
      <c r="J410" s="83" t="str">
        <f t="shared" si="71"/>
        <v/>
      </c>
      <c r="L410" s="115"/>
    </row>
    <row r="411" spans="2:12" hidden="1" x14ac:dyDescent="0.15">
      <c r="B411" s="83" t="str">
        <f>+IF(査定表!A394=0,"",査定表!A394)</f>
        <v/>
      </c>
      <c r="C411" s="83" t="str">
        <f t="shared" si="68"/>
        <v/>
      </c>
      <c r="D411" s="84" t="str">
        <f t="shared" si="69"/>
        <v/>
      </c>
      <c r="E411" s="84" t="str">
        <f t="shared" si="72"/>
        <v/>
      </c>
      <c r="F411" s="85" t="str">
        <f>IF(査定表!E394=0,"",査定表!E394)</f>
        <v/>
      </c>
      <c r="G411" s="83" t="str">
        <f t="shared" si="70"/>
        <v/>
      </c>
      <c r="J411" s="83" t="str">
        <f t="shared" si="71"/>
        <v/>
      </c>
      <c r="L411" s="115"/>
    </row>
    <row r="412" spans="2:12" hidden="1" x14ac:dyDescent="0.15">
      <c r="B412" s="83" t="str">
        <f>+IF(査定表!A395=0,"",査定表!A395)</f>
        <v/>
      </c>
      <c r="C412" s="83" t="str">
        <f t="shared" si="68"/>
        <v/>
      </c>
      <c r="D412" s="84" t="str">
        <f t="shared" si="69"/>
        <v/>
      </c>
      <c r="E412" s="84" t="str">
        <f t="shared" si="72"/>
        <v/>
      </c>
      <c r="F412" s="85" t="str">
        <f>IF(査定表!E395=0,"",査定表!E395)</f>
        <v/>
      </c>
      <c r="G412" s="83" t="str">
        <f t="shared" si="70"/>
        <v/>
      </c>
      <c r="J412" s="83" t="str">
        <f t="shared" si="71"/>
        <v/>
      </c>
      <c r="L412" s="115"/>
    </row>
    <row r="413" spans="2:12" hidden="1" x14ac:dyDescent="0.15">
      <c r="B413" s="83" t="str">
        <f>+IF(査定表!A396=0,"",査定表!A396)</f>
        <v/>
      </c>
      <c r="C413" s="83" t="str">
        <f t="shared" si="68"/>
        <v/>
      </c>
      <c r="D413" s="84" t="str">
        <f t="shared" si="69"/>
        <v/>
      </c>
      <c r="E413" s="84" t="str">
        <f t="shared" si="72"/>
        <v/>
      </c>
      <c r="F413" s="85" t="str">
        <f>IF(査定表!E396=0,"",査定表!E396)</f>
        <v/>
      </c>
      <c r="G413" s="83" t="str">
        <f t="shared" si="70"/>
        <v/>
      </c>
      <c r="J413" s="83" t="str">
        <f t="shared" si="71"/>
        <v/>
      </c>
      <c r="L413" s="115"/>
    </row>
    <row r="414" spans="2:12" hidden="1" x14ac:dyDescent="0.15">
      <c r="B414" s="83" t="str">
        <f>+IF(査定表!A397=0,"",査定表!A397)</f>
        <v/>
      </c>
      <c r="C414" s="83" t="str">
        <f t="shared" si="68"/>
        <v/>
      </c>
      <c r="D414" s="84" t="str">
        <f t="shared" si="69"/>
        <v/>
      </c>
      <c r="E414" s="84" t="str">
        <f t="shared" si="72"/>
        <v/>
      </c>
      <c r="F414" s="85" t="str">
        <f>IF(査定表!E397=0,"",査定表!E397)</f>
        <v/>
      </c>
      <c r="G414" s="83" t="str">
        <f t="shared" si="70"/>
        <v/>
      </c>
      <c r="J414" s="83" t="str">
        <f t="shared" si="71"/>
        <v/>
      </c>
      <c r="L414" s="115"/>
    </row>
    <row r="415" spans="2:12" hidden="1" x14ac:dyDescent="0.15">
      <c r="B415" s="83" t="str">
        <f>+IF(査定表!A398=0,"",査定表!A398)</f>
        <v/>
      </c>
      <c r="C415" s="83" t="str">
        <f t="shared" si="68"/>
        <v/>
      </c>
      <c r="D415" s="84" t="str">
        <f t="shared" si="69"/>
        <v/>
      </c>
      <c r="E415" s="84" t="str">
        <f t="shared" si="72"/>
        <v/>
      </c>
      <c r="F415" s="85" t="str">
        <f>IF(査定表!E398=0,"",査定表!E398)</f>
        <v/>
      </c>
      <c r="G415" s="83" t="str">
        <f t="shared" si="70"/>
        <v/>
      </c>
      <c r="J415" s="83" t="str">
        <f t="shared" si="71"/>
        <v/>
      </c>
      <c r="L415" s="115"/>
    </row>
    <row r="416" spans="2:12" hidden="1" x14ac:dyDescent="0.15">
      <c r="B416" s="83" t="str">
        <f>+IF(査定表!A399=0,"",査定表!A399)</f>
        <v/>
      </c>
      <c r="C416" s="83" t="str">
        <f t="shared" si="68"/>
        <v/>
      </c>
      <c r="D416" s="84" t="str">
        <f t="shared" si="69"/>
        <v/>
      </c>
      <c r="E416" s="84" t="str">
        <f t="shared" si="72"/>
        <v/>
      </c>
      <c r="F416" s="85" t="str">
        <f>IF(査定表!E399=0,"",査定表!E399)</f>
        <v/>
      </c>
      <c r="G416" s="83" t="str">
        <f t="shared" si="70"/>
        <v/>
      </c>
      <c r="J416" s="83" t="str">
        <f t="shared" si="71"/>
        <v/>
      </c>
      <c r="L416" s="115"/>
    </row>
    <row r="417" spans="2:12" hidden="1" x14ac:dyDescent="0.15">
      <c r="B417" s="83" t="str">
        <f>+IF(査定表!A400=0,"",査定表!A400)</f>
        <v/>
      </c>
      <c r="C417" s="83" t="str">
        <f t="shared" si="68"/>
        <v/>
      </c>
      <c r="D417" s="84" t="str">
        <f t="shared" si="69"/>
        <v/>
      </c>
      <c r="E417" s="84" t="str">
        <f t="shared" si="72"/>
        <v/>
      </c>
      <c r="F417" s="85" t="str">
        <f>IF(査定表!E400=0,"",査定表!E400)</f>
        <v/>
      </c>
      <c r="G417" s="83" t="str">
        <f t="shared" si="70"/>
        <v/>
      </c>
      <c r="J417" s="83" t="str">
        <f t="shared" si="71"/>
        <v/>
      </c>
      <c r="L417" s="115"/>
    </row>
    <row r="418" spans="2:12" hidden="1" x14ac:dyDescent="0.15">
      <c r="B418" s="83" t="str">
        <f>+IF(査定表!A401=0,"",査定表!A401)</f>
        <v/>
      </c>
      <c r="C418" s="83" t="str">
        <f t="shared" si="68"/>
        <v/>
      </c>
      <c r="D418" s="84" t="str">
        <f t="shared" si="69"/>
        <v/>
      </c>
      <c r="E418" s="84" t="str">
        <f t="shared" si="72"/>
        <v/>
      </c>
      <c r="F418" s="85" t="str">
        <f>IF(査定表!E401=0,"",査定表!E401)</f>
        <v/>
      </c>
      <c r="G418" s="83" t="str">
        <f t="shared" si="70"/>
        <v/>
      </c>
      <c r="J418" s="83" t="str">
        <f t="shared" si="71"/>
        <v/>
      </c>
      <c r="L418" s="115"/>
    </row>
    <row r="419" spans="2:12" hidden="1" x14ac:dyDescent="0.15">
      <c r="B419" s="83" t="str">
        <f>+IF(査定表!A402=0,"",査定表!A402)</f>
        <v/>
      </c>
      <c r="C419" s="83" t="str">
        <f t="shared" si="68"/>
        <v/>
      </c>
      <c r="D419" s="84" t="str">
        <f t="shared" si="69"/>
        <v/>
      </c>
      <c r="E419" s="84" t="str">
        <f t="shared" si="72"/>
        <v/>
      </c>
      <c r="F419" s="85" t="str">
        <f>IF(査定表!E402=0,"",査定表!E402)</f>
        <v/>
      </c>
      <c r="G419" s="83" t="str">
        <f t="shared" si="70"/>
        <v/>
      </c>
      <c r="J419" s="83" t="str">
        <f t="shared" si="71"/>
        <v/>
      </c>
      <c r="L419" s="115"/>
    </row>
    <row r="420" spans="2:12" hidden="1" x14ac:dyDescent="0.15">
      <c r="B420" s="83" t="str">
        <f>+IF(査定表!A403=0,"",査定表!A403)</f>
        <v/>
      </c>
      <c r="C420" s="83" t="str">
        <f t="shared" si="68"/>
        <v/>
      </c>
      <c r="D420" s="84" t="str">
        <f t="shared" si="69"/>
        <v/>
      </c>
      <c r="E420" s="84" t="str">
        <f t="shared" si="72"/>
        <v/>
      </c>
      <c r="F420" s="85" t="str">
        <f>IF(査定表!E403=0,"",査定表!E403)</f>
        <v/>
      </c>
      <c r="G420" s="83" t="str">
        <f t="shared" si="70"/>
        <v/>
      </c>
      <c r="J420" s="83" t="str">
        <f t="shared" si="71"/>
        <v/>
      </c>
      <c r="L420" s="115"/>
    </row>
    <row r="421" spans="2:12" hidden="1" x14ac:dyDescent="0.15">
      <c r="B421" s="83" t="str">
        <f>+IF(査定表!A404=0,"",査定表!A404)</f>
        <v/>
      </c>
      <c r="C421" s="83" t="str">
        <f t="shared" si="68"/>
        <v/>
      </c>
      <c r="D421" s="84" t="str">
        <f t="shared" si="69"/>
        <v/>
      </c>
      <c r="E421" s="84" t="str">
        <f t="shared" si="72"/>
        <v/>
      </c>
      <c r="F421" s="85" t="str">
        <f>IF(査定表!E404=0,"",査定表!E404)</f>
        <v/>
      </c>
      <c r="G421" s="83" t="str">
        <f t="shared" si="70"/>
        <v/>
      </c>
      <c r="J421" s="83" t="str">
        <f t="shared" si="71"/>
        <v/>
      </c>
      <c r="L421" s="115"/>
    </row>
    <row r="422" spans="2:12" hidden="1" x14ac:dyDescent="0.15">
      <c r="B422" s="83" t="str">
        <f>+IF(査定表!A405=0,"",査定表!A405)</f>
        <v/>
      </c>
      <c r="C422" s="83" t="str">
        <f t="shared" si="68"/>
        <v/>
      </c>
      <c r="D422" s="84" t="str">
        <f t="shared" si="69"/>
        <v/>
      </c>
      <c r="E422" s="84" t="str">
        <f t="shared" si="72"/>
        <v/>
      </c>
      <c r="F422" s="85" t="str">
        <f>IF(査定表!E405=0,"",査定表!E405)</f>
        <v/>
      </c>
      <c r="G422" s="83" t="str">
        <f t="shared" si="70"/>
        <v/>
      </c>
      <c r="J422" s="83" t="str">
        <f t="shared" si="71"/>
        <v/>
      </c>
      <c r="L422" s="115"/>
    </row>
    <row r="423" spans="2:12" hidden="1" x14ac:dyDescent="0.15">
      <c r="B423" s="83" t="str">
        <f>+IF(査定表!A406=0,"",査定表!A406)</f>
        <v/>
      </c>
      <c r="C423" s="83" t="str">
        <f t="shared" si="68"/>
        <v/>
      </c>
      <c r="D423" s="84" t="str">
        <f t="shared" si="69"/>
        <v/>
      </c>
      <c r="E423" s="84" t="str">
        <f t="shared" si="72"/>
        <v/>
      </c>
      <c r="F423" s="85" t="str">
        <f>IF(査定表!E406=0,"",査定表!E406)</f>
        <v/>
      </c>
      <c r="G423" s="83" t="str">
        <f t="shared" si="70"/>
        <v/>
      </c>
      <c r="J423" s="83" t="str">
        <f t="shared" si="71"/>
        <v/>
      </c>
      <c r="L423" s="115"/>
    </row>
    <row r="424" spans="2:12" hidden="1" x14ac:dyDescent="0.15">
      <c r="B424" s="83" t="str">
        <f>+IF(査定表!A407=0,"",査定表!A407)</f>
        <v/>
      </c>
      <c r="C424" s="83" t="str">
        <f t="shared" si="68"/>
        <v/>
      </c>
      <c r="D424" s="84" t="str">
        <f t="shared" si="69"/>
        <v/>
      </c>
      <c r="E424" s="84" t="str">
        <f t="shared" si="72"/>
        <v/>
      </c>
      <c r="F424" s="85" t="str">
        <f>IF(査定表!E407=0,"",査定表!E407)</f>
        <v/>
      </c>
      <c r="G424" s="83" t="str">
        <f t="shared" si="70"/>
        <v/>
      </c>
      <c r="J424" s="83" t="str">
        <f t="shared" si="71"/>
        <v/>
      </c>
      <c r="L424" s="115"/>
    </row>
    <row r="425" spans="2:12" hidden="1" x14ac:dyDescent="0.15">
      <c r="B425" s="83" t="str">
        <f>+IF(査定表!A408=0,"",査定表!A408)</f>
        <v/>
      </c>
      <c r="C425" s="83" t="str">
        <f t="shared" si="68"/>
        <v/>
      </c>
      <c r="D425" s="84" t="str">
        <f t="shared" si="69"/>
        <v/>
      </c>
      <c r="E425" s="84" t="str">
        <f t="shared" si="72"/>
        <v/>
      </c>
      <c r="F425" s="85" t="str">
        <f>IF(査定表!E408=0,"",査定表!E408)</f>
        <v/>
      </c>
      <c r="G425" s="83" t="str">
        <f t="shared" si="70"/>
        <v/>
      </c>
      <c r="J425" s="83" t="str">
        <f t="shared" si="71"/>
        <v/>
      </c>
      <c r="L425" s="115"/>
    </row>
    <row r="426" spans="2:12" hidden="1" x14ac:dyDescent="0.15">
      <c r="B426" s="83" t="str">
        <f>+IF(査定表!A409=0,"",査定表!A409)</f>
        <v/>
      </c>
      <c r="C426" s="83" t="str">
        <f t="shared" si="68"/>
        <v/>
      </c>
      <c r="D426" s="84" t="str">
        <f t="shared" si="69"/>
        <v/>
      </c>
      <c r="E426" s="84" t="str">
        <f t="shared" si="72"/>
        <v/>
      </c>
      <c r="F426" s="85" t="str">
        <f>IF(査定表!E409=0,"",査定表!E409)</f>
        <v/>
      </c>
      <c r="G426" s="83" t="str">
        <f t="shared" si="70"/>
        <v/>
      </c>
      <c r="J426" s="83" t="str">
        <f t="shared" si="71"/>
        <v/>
      </c>
      <c r="L426" s="115"/>
    </row>
    <row r="427" spans="2:12" hidden="1" x14ac:dyDescent="0.15">
      <c r="B427" s="83" t="str">
        <f>+IF(査定表!A410=0,"",査定表!A410)</f>
        <v/>
      </c>
      <c r="C427" s="83" t="str">
        <f t="shared" si="68"/>
        <v/>
      </c>
      <c r="D427" s="84" t="str">
        <f t="shared" si="69"/>
        <v/>
      </c>
      <c r="E427" s="84" t="str">
        <f t="shared" si="72"/>
        <v/>
      </c>
      <c r="F427" s="85" t="str">
        <f>IF(査定表!E410=0,"",査定表!E410)</f>
        <v/>
      </c>
      <c r="G427" s="83" t="str">
        <f t="shared" si="70"/>
        <v/>
      </c>
      <c r="J427" s="83" t="str">
        <f t="shared" si="71"/>
        <v/>
      </c>
      <c r="L427" s="115"/>
    </row>
    <row r="428" spans="2:12" hidden="1" x14ac:dyDescent="0.15">
      <c r="B428" s="83" t="str">
        <f>+IF(査定表!A411=0,"",査定表!A411)</f>
        <v/>
      </c>
      <c r="C428" s="83" t="str">
        <f t="shared" si="68"/>
        <v/>
      </c>
      <c r="D428" s="84" t="str">
        <f t="shared" si="69"/>
        <v/>
      </c>
      <c r="E428" s="84" t="str">
        <f t="shared" si="72"/>
        <v/>
      </c>
      <c r="F428" s="85" t="str">
        <f>IF(査定表!E411=0,"",査定表!E411)</f>
        <v/>
      </c>
      <c r="G428" s="83" t="str">
        <f t="shared" si="70"/>
        <v/>
      </c>
      <c r="J428" s="83" t="str">
        <f t="shared" si="71"/>
        <v/>
      </c>
      <c r="L428" s="115"/>
    </row>
    <row r="429" spans="2:12" hidden="1" x14ac:dyDescent="0.15">
      <c r="B429" s="83" t="str">
        <f>+IF(査定表!A412=0,"",査定表!A412)</f>
        <v/>
      </c>
      <c r="C429" s="83" t="str">
        <f t="shared" si="68"/>
        <v/>
      </c>
      <c r="D429" s="84" t="str">
        <f t="shared" si="69"/>
        <v/>
      </c>
      <c r="E429" s="84" t="str">
        <f t="shared" si="72"/>
        <v/>
      </c>
      <c r="F429" s="85" t="str">
        <f>IF(査定表!E412=0,"",査定表!E412)</f>
        <v/>
      </c>
      <c r="G429" s="83" t="str">
        <f t="shared" si="70"/>
        <v/>
      </c>
      <c r="J429" s="83" t="str">
        <f t="shared" si="71"/>
        <v/>
      </c>
      <c r="L429" s="115"/>
    </row>
    <row r="430" spans="2:12" hidden="1" x14ac:dyDescent="0.15">
      <c r="B430" s="83" t="str">
        <f>+IF(査定表!A413=0,"",査定表!A413)</f>
        <v/>
      </c>
      <c r="C430" s="83" t="str">
        <f t="shared" si="68"/>
        <v/>
      </c>
      <c r="D430" s="84" t="str">
        <f t="shared" si="69"/>
        <v/>
      </c>
      <c r="E430" s="84" t="str">
        <f t="shared" si="72"/>
        <v/>
      </c>
      <c r="F430" s="85" t="str">
        <f>IF(査定表!E413=0,"",査定表!E413)</f>
        <v/>
      </c>
      <c r="G430" s="83" t="str">
        <f t="shared" si="70"/>
        <v/>
      </c>
      <c r="J430" s="83" t="str">
        <f t="shared" si="71"/>
        <v/>
      </c>
      <c r="L430" s="115"/>
    </row>
    <row r="431" spans="2:12" hidden="1" x14ac:dyDescent="0.15">
      <c r="B431" s="83" t="str">
        <f>+IF(査定表!A414=0,"",査定表!A414)</f>
        <v/>
      </c>
      <c r="C431" s="83" t="str">
        <f t="shared" si="68"/>
        <v/>
      </c>
      <c r="D431" s="84" t="str">
        <f t="shared" si="69"/>
        <v/>
      </c>
      <c r="E431" s="84" t="str">
        <f t="shared" si="72"/>
        <v/>
      </c>
      <c r="F431" s="85" t="str">
        <f>IF(査定表!E414=0,"",査定表!E414)</f>
        <v/>
      </c>
      <c r="G431" s="83" t="str">
        <f t="shared" si="70"/>
        <v/>
      </c>
      <c r="J431" s="83" t="str">
        <f t="shared" si="71"/>
        <v/>
      </c>
      <c r="L431" s="115"/>
    </row>
    <row r="432" spans="2:12" hidden="1" x14ac:dyDescent="0.15">
      <c r="B432" s="83" t="str">
        <f>+IF(査定表!A415=0,"",査定表!A415)</f>
        <v/>
      </c>
      <c r="C432" s="83" t="str">
        <f t="shared" si="68"/>
        <v/>
      </c>
      <c r="D432" s="84" t="str">
        <f t="shared" si="69"/>
        <v/>
      </c>
      <c r="E432" s="84" t="str">
        <f t="shared" si="72"/>
        <v/>
      </c>
      <c r="F432" s="85" t="str">
        <f>IF(査定表!E415=0,"",査定表!E415)</f>
        <v/>
      </c>
      <c r="G432" s="83" t="str">
        <f t="shared" si="70"/>
        <v/>
      </c>
      <c r="J432" s="83" t="str">
        <f t="shared" si="71"/>
        <v/>
      </c>
      <c r="L432" s="115"/>
    </row>
    <row r="433" spans="2:12" hidden="1" x14ac:dyDescent="0.15">
      <c r="B433" s="83" t="str">
        <f>+IF(査定表!A416=0,"",査定表!A416)</f>
        <v/>
      </c>
      <c r="C433" s="83" t="str">
        <f t="shared" si="68"/>
        <v/>
      </c>
      <c r="D433" s="84" t="str">
        <f t="shared" si="69"/>
        <v/>
      </c>
      <c r="E433" s="84" t="str">
        <f t="shared" si="72"/>
        <v/>
      </c>
      <c r="F433" s="85" t="str">
        <f>IF(査定表!E416=0,"",査定表!E416)</f>
        <v/>
      </c>
      <c r="G433" s="83" t="str">
        <f t="shared" si="70"/>
        <v/>
      </c>
      <c r="J433" s="83" t="str">
        <f t="shared" si="71"/>
        <v/>
      </c>
      <c r="L433" s="115"/>
    </row>
    <row r="434" spans="2:12" hidden="1" x14ac:dyDescent="0.15">
      <c r="B434" s="83" t="str">
        <f>+IF(査定表!A417=0,"",査定表!A417)</f>
        <v/>
      </c>
      <c r="C434" s="83" t="str">
        <f t="shared" si="68"/>
        <v/>
      </c>
      <c r="D434" s="84" t="str">
        <f t="shared" si="69"/>
        <v/>
      </c>
      <c r="E434" s="84" t="str">
        <f t="shared" si="72"/>
        <v/>
      </c>
      <c r="F434" s="85" t="str">
        <f>IF(査定表!E417=0,"",査定表!E417)</f>
        <v/>
      </c>
      <c r="G434" s="83" t="str">
        <f t="shared" si="70"/>
        <v/>
      </c>
      <c r="J434" s="83" t="str">
        <f t="shared" si="71"/>
        <v/>
      </c>
      <c r="L434" s="115"/>
    </row>
    <row r="435" spans="2:12" hidden="1" x14ac:dyDescent="0.15">
      <c r="B435" s="83" t="str">
        <f>+IF(査定表!A418=0,"",査定表!A418)</f>
        <v/>
      </c>
      <c r="C435" s="83" t="str">
        <f t="shared" si="68"/>
        <v/>
      </c>
      <c r="D435" s="84" t="str">
        <f t="shared" si="69"/>
        <v/>
      </c>
      <c r="E435" s="84" t="str">
        <f t="shared" si="72"/>
        <v/>
      </c>
      <c r="F435" s="85" t="str">
        <f>IF(査定表!E418=0,"",査定表!E418)</f>
        <v/>
      </c>
      <c r="G435" s="83" t="str">
        <f t="shared" si="70"/>
        <v/>
      </c>
      <c r="J435" s="83" t="str">
        <f t="shared" si="71"/>
        <v/>
      </c>
      <c r="L435" s="115"/>
    </row>
    <row r="436" spans="2:12" hidden="1" x14ac:dyDescent="0.15">
      <c r="B436" s="83" t="str">
        <f>+IF(査定表!A419=0,"",査定表!A419)</f>
        <v/>
      </c>
      <c r="C436" s="83" t="str">
        <f t="shared" si="68"/>
        <v/>
      </c>
      <c r="D436" s="84" t="str">
        <f t="shared" si="69"/>
        <v/>
      </c>
      <c r="E436" s="84" t="str">
        <f t="shared" si="72"/>
        <v/>
      </c>
      <c r="F436" s="85" t="str">
        <f>IF(査定表!E419=0,"",査定表!E419)</f>
        <v/>
      </c>
      <c r="G436" s="83" t="str">
        <f t="shared" si="70"/>
        <v/>
      </c>
      <c r="J436" s="83" t="str">
        <f t="shared" si="71"/>
        <v/>
      </c>
      <c r="L436" s="115"/>
    </row>
    <row r="437" spans="2:12" hidden="1" x14ac:dyDescent="0.15">
      <c r="B437" s="83" t="str">
        <f>+IF(査定表!A420=0,"",査定表!A420)</f>
        <v/>
      </c>
      <c r="C437" s="83" t="str">
        <f t="shared" si="68"/>
        <v/>
      </c>
      <c r="D437" s="84" t="str">
        <f t="shared" si="69"/>
        <v/>
      </c>
      <c r="E437" s="84" t="str">
        <f t="shared" si="72"/>
        <v/>
      </c>
      <c r="F437" s="85" t="str">
        <f>IF(査定表!E420=0,"",査定表!E420)</f>
        <v/>
      </c>
      <c r="G437" s="83" t="str">
        <f t="shared" si="70"/>
        <v/>
      </c>
      <c r="J437" s="83" t="str">
        <f t="shared" si="71"/>
        <v/>
      </c>
      <c r="L437" s="115"/>
    </row>
    <row r="438" spans="2:12" hidden="1" x14ac:dyDescent="0.15">
      <c r="B438" s="83" t="str">
        <f>+IF(査定表!A421=0,"",査定表!A421)</f>
        <v/>
      </c>
      <c r="C438" s="83" t="str">
        <f t="shared" si="68"/>
        <v/>
      </c>
      <c r="D438" s="84" t="str">
        <f t="shared" si="69"/>
        <v/>
      </c>
      <c r="E438" s="84" t="str">
        <f t="shared" si="72"/>
        <v/>
      </c>
      <c r="F438" s="85" t="str">
        <f>IF(査定表!E421=0,"",査定表!E421)</f>
        <v/>
      </c>
      <c r="G438" s="83" t="str">
        <f t="shared" si="70"/>
        <v/>
      </c>
      <c r="J438" s="83" t="str">
        <f t="shared" si="71"/>
        <v/>
      </c>
      <c r="L438" s="115"/>
    </row>
    <row r="439" spans="2:12" hidden="1" x14ac:dyDescent="0.15">
      <c r="B439" s="83" t="str">
        <f>+IF(査定表!A426=0,"",査定表!A426)</f>
        <v/>
      </c>
      <c r="C439" s="83" t="str">
        <f t="shared" si="68"/>
        <v/>
      </c>
      <c r="D439" s="84" t="str">
        <f t="shared" si="69"/>
        <v/>
      </c>
      <c r="E439" s="84" t="str">
        <f t="shared" si="72"/>
        <v/>
      </c>
      <c r="F439" s="85" t="str">
        <f>IF(査定表!E422=0,"",査定表!E422)</f>
        <v/>
      </c>
      <c r="G439" s="83" t="str">
        <f t="shared" si="70"/>
        <v/>
      </c>
      <c r="J439" s="83" t="str">
        <f t="shared" si="71"/>
        <v/>
      </c>
      <c r="L439" s="115"/>
    </row>
    <row r="440" spans="2:12" hidden="1" x14ac:dyDescent="0.15">
      <c r="B440" s="83" t="str">
        <f>+IF(査定表!A427=0,"",査定表!A427)</f>
        <v/>
      </c>
      <c r="C440" s="83" t="str">
        <f t="shared" si="68"/>
        <v/>
      </c>
      <c r="D440" s="84" t="str">
        <f t="shared" si="69"/>
        <v/>
      </c>
      <c r="E440" s="84" t="str">
        <f t="shared" si="72"/>
        <v/>
      </c>
      <c r="F440" s="85" t="str">
        <f>IF(査定表!E423=0,"",査定表!E423)</f>
        <v/>
      </c>
      <c r="G440" s="83" t="str">
        <f t="shared" si="70"/>
        <v/>
      </c>
      <c r="J440" s="83" t="str">
        <f t="shared" si="71"/>
        <v/>
      </c>
      <c r="L440" s="115"/>
    </row>
    <row r="441" spans="2:12" hidden="1" x14ac:dyDescent="0.15">
      <c r="B441" s="102" t="s">
        <v>86</v>
      </c>
      <c r="C441" s="83" t="str">
        <f t="shared" si="68"/>
        <v/>
      </c>
      <c r="D441" s="84" t="str">
        <f t="shared" si="69"/>
        <v/>
      </c>
      <c r="E441" s="84"/>
      <c r="F441" s="86">
        <f>SUM(F405:F440)</f>
        <v>0</v>
      </c>
      <c r="G441" s="83"/>
      <c r="J441" s="83"/>
      <c r="L441" s="115"/>
    </row>
    <row r="442" spans="2:12" hidden="1" x14ac:dyDescent="0.15">
      <c r="B442" s="101" t="s">
        <v>84</v>
      </c>
      <c r="C442" s="83"/>
      <c r="D442" s="84" t="str">
        <f t="shared" si="69"/>
        <v>1</v>
      </c>
      <c r="E442" s="84" t="str">
        <f>IF(F442="","","式")</f>
        <v>式</v>
      </c>
      <c r="F442" s="85">
        <f>INT(F441*0.08)</f>
        <v>0</v>
      </c>
      <c r="G442" s="83"/>
      <c r="J442" s="83"/>
      <c r="L442" s="115"/>
    </row>
    <row r="443" spans="2:12" hidden="1" x14ac:dyDescent="0.15">
      <c r="B443" s="101" t="s">
        <v>18</v>
      </c>
      <c r="C443" s="83" t="str">
        <f t="shared" ref="C443" si="73">IF(D443="","","図面・仕様書どおり")</f>
        <v/>
      </c>
      <c r="D443" s="84" t="str">
        <f t="shared" si="69"/>
        <v/>
      </c>
      <c r="E443" s="84"/>
      <c r="F443" s="85">
        <f>+SUM(F441:F442)</f>
        <v>0</v>
      </c>
      <c r="G443" s="83"/>
      <c r="J443" s="83"/>
      <c r="L443" s="115"/>
    </row>
    <row r="444" spans="2:12" x14ac:dyDescent="0.15">
      <c r="B444" s="103"/>
      <c r="C444" s="83"/>
      <c r="D444" s="84"/>
      <c r="E444" s="84"/>
      <c r="F444" s="85"/>
      <c r="G444" s="83"/>
      <c r="J444" s="83"/>
      <c r="L444" s="115"/>
    </row>
    <row r="445" spans="2:12" x14ac:dyDescent="0.15">
      <c r="B445" s="104" t="s">
        <v>85</v>
      </c>
      <c r="C445" s="88"/>
      <c r="D445" s="87"/>
      <c r="E445" s="87"/>
      <c r="F445" s="89">
        <f>F61+F107+F153+F194+F235+F276+F317+F359+F401+F443</f>
        <v>17841600</v>
      </c>
      <c r="G445" s="88"/>
      <c r="J445" s="88"/>
      <c r="L445" s="115"/>
    </row>
    <row r="446" spans="2:12" x14ac:dyDescent="0.15">
      <c r="B446" s="91"/>
      <c r="C446" s="91"/>
      <c r="D446" s="91"/>
      <c r="E446" s="91"/>
      <c r="F446" s="91"/>
      <c r="G446" s="91"/>
      <c r="J446" s="91"/>
    </row>
    <row r="447" spans="2:12" x14ac:dyDescent="0.15">
      <c r="J447" s="91"/>
    </row>
  </sheetData>
  <mergeCells count="8">
    <mergeCell ref="E12:F12"/>
    <mergeCell ref="C12:D12"/>
    <mergeCell ref="C9:D9"/>
    <mergeCell ref="E9:F9"/>
    <mergeCell ref="C10:D10"/>
    <mergeCell ref="C11:D11"/>
    <mergeCell ref="E10:F10"/>
    <mergeCell ref="E11:F11"/>
  </mergeCells>
  <phoneticPr fontId="2"/>
  <printOptions horizontalCentered="1" verticalCentered="1"/>
  <pageMargins left="0.98425196850393704" right="0.78740157480314965" top="0.98425196850393704" bottom="0.78740157480314965" header="0.31496062992125984" footer="0.31496062992125984"/>
  <pageSetup paperSize="9" scale="120"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Macro11">
                <anchor moveWithCells="1" sizeWithCells="1">
                  <from>
                    <xdr:col>7</xdr:col>
                    <xdr:colOff>57150</xdr:colOff>
                    <xdr:row>1</xdr:row>
                    <xdr:rowOff>190500</xdr:rowOff>
                  </from>
                  <to>
                    <xdr:col>8</xdr:col>
                    <xdr:colOff>333375</xdr:colOff>
                    <xdr:row>4</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68"/>
  <sheetViews>
    <sheetView zoomScale="85" zoomScaleNormal="85" zoomScaleSheetLayoutView="70" workbookViewId="0">
      <selection sqref="A1:L1"/>
    </sheetView>
  </sheetViews>
  <sheetFormatPr defaultRowHeight="12.75" x14ac:dyDescent="0.15"/>
  <cols>
    <col min="1" max="1" width="21.875" style="136" bestFit="1" customWidth="1"/>
    <col min="2" max="2" width="12.625" style="136" customWidth="1"/>
    <col min="3" max="3" width="10.5" style="136" bestFit="1" customWidth="1"/>
    <col min="4" max="4" width="11.75" style="136" bestFit="1" customWidth="1"/>
    <col min="5" max="5" width="10.75" style="136" bestFit="1" customWidth="1"/>
    <col min="6" max="6" width="6.125" style="136" bestFit="1" customWidth="1"/>
    <col min="7" max="7" width="9" style="136"/>
    <col min="8" max="8" width="19.25" style="136" bestFit="1" customWidth="1"/>
    <col min="9" max="9" width="10.5" style="136" bestFit="1" customWidth="1"/>
    <col min="10" max="11" width="10.75" style="136" bestFit="1" customWidth="1"/>
    <col min="12" max="12" width="9.125" style="136" bestFit="1" customWidth="1"/>
    <col min="13" max="13" width="3.75" style="136" customWidth="1"/>
    <col min="14" max="15" width="15.625" style="136" customWidth="1"/>
    <col min="16" max="16" width="15.625" style="173" customWidth="1"/>
    <col min="17" max="16384" width="9" style="136"/>
  </cols>
  <sheetData>
    <row r="1" spans="1:16" ht="30.75" customHeight="1" x14ac:dyDescent="0.15">
      <c r="A1" s="365" t="str">
        <f>入力表!B6&amp;"債務負担行為に基づく特約条項書面　金額算出表"</f>
        <v>1･3号線各駅可動式ホーム柵設置に伴う建築工事設計業務委託債務負担行為に基づく特約条項書面　金額算出表</v>
      </c>
      <c r="B1" s="365"/>
      <c r="C1" s="365"/>
      <c r="D1" s="365"/>
      <c r="E1" s="365"/>
      <c r="F1" s="365"/>
      <c r="G1" s="365"/>
      <c r="H1" s="365"/>
      <c r="I1" s="365"/>
      <c r="J1" s="365"/>
      <c r="K1" s="365"/>
      <c r="L1" s="365"/>
    </row>
    <row r="2" spans="1:16" ht="13.5" thickBot="1" x14ac:dyDescent="0.2"/>
    <row r="3" spans="1:16" s="180" customFormat="1" ht="22.5" customHeight="1" thickBot="1" x14ac:dyDescent="0.2">
      <c r="A3" s="174" t="s">
        <v>208</v>
      </c>
      <c r="B3" s="174" t="s">
        <v>209</v>
      </c>
      <c r="C3" s="174" t="s">
        <v>210</v>
      </c>
      <c r="D3" s="174" t="s">
        <v>156</v>
      </c>
      <c r="E3" s="175" t="s">
        <v>155</v>
      </c>
      <c r="F3" s="174" t="s">
        <v>211</v>
      </c>
      <c r="G3" s="176"/>
      <c r="H3" s="174" t="s">
        <v>208</v>
      </c>
      <c r="I3" s="177" t="s">
        <v>210</v>
      </c>
      <c r="J3" s="177" t="s">
        <v>156</v>
      </c>
      <c r="K3" s="178" t="s">
        <v>155</v>
      </c>
      <c r="L3" s="177" t="s">
        <v>20</v>
      </c>
      <c r="M3" s="179"/>
      <c r="N3" s="366"/>
      <c r="O3" s="366"/>
      <c r="P3" s="366"/>
    </row>
    <row r="4" spans="1:16" s="192" customFormat="1" ht="22.5" customHeight="1" x14ac:dyDescent="0.15">
      <c r="A4" s="367" t="str">
        <f>査定表!A9</f>
        <v>（ア）1号線の部</v>
      </c>
      <c r="B4" s="369">
        <f>査定表!M9</f>
        <v>16524000</v>
      </c>
      <c r="C4" s="186" t="s">
        <v>100</v>
      </c>
      <c r="D4" s="187">
        <v>0</v>
      </c>
      <c r="E4" s="187">
        <v>0</v>
      </c>
      <c r="F4" s="188">
        <f>SUM(D4:E4)</f>
        <v>0</v>
      </c>
      <c r="G4" s="189"/>
      <c r="H4" s="371" t="str">
        <f>A4</f>
        <v>（ア）1号線の部</v>
      </c>
      <c r="I4" s="186" t="s">
        <v>100</v>
      </c>
      <c r="J4" s="190">
        <f>INT(D4*B4)</f>
        <v>0</v>
      </c>
      <c r="K4" s="190">
        <f>B4-J4</f>
        <v>16524000</v>
      </c>
      <c r="L4" s="191">
        <f>SUM(J4:K4)</f>
        <v>16524000</v>
      </c>
      <c r="N4" s="373"/>
      <c r="P4" s="193"/>
    </row>
    <row r="5" spans="1:16" s="192" customFormat="1" ht="22.5" customHeight="1" thickBot="1" x14ac:dyDescent="0.2">
      <c r="A5" s="368"/>
      <c r="B5" s="370"/>
      <c r="C5" s="194" t="s">
        <v>101</v>
      </c>
      <c r="D5" s="195">
        <v>0</v>
      </c>
      <c r="E5" s="195">
        <v>0</v>
      </c>
      <c r="F5" s="196">
        <f t="shared" ref="F5:F15" si="0">SUM(D5:E5)</f>
        <v>0</v>
      </c>
      <c r="G5" s="189"/>
      <c r="H5" s="372"/>
      <c r="I5" s="197" t="s">
        <v>101</v>
      </c>
      <c r="J5" s="198">
        <f>INT(B4*D5)</f>
        <v>0</v>
      </c>
      <c r="K5" s="198">
        <f>B4-J5</f>
        <v>16524000</v>
      </c>
      <c r="L5" s="199">
        <f t="shared" ref="L5:L15" si="1">SUM(J5:K5)</f>
        <v>16524000</v>
      </c>
      <c r="N5" s="373"/>
      <c r="P5" s="193"/>
    </row>
    <row r="6" spans="1:16" s="192" customFormat="1" ht="22.5" customHeight="1" x14ac:dyDescent="0.15">
      <c r="A6" s="367" t="str">
        <f>査定表!A51</f>
        <v>（イ）3号線の部</v>
      </c>
      <c r="B6" s="369">
        <f>査定表!M51</f>
        <v>1317600</v>
      </c>
      <c r="C6" s="186" t="s">
        <v>100</v>
      </c>
      <c r="D6" s="187">
        <v>0</v>
      </c>
      <c r="E6" s="187">
        <v>0</v>
      </c>
      <c r="F6" s="188">
        <f t="shared" si="0"/>
        <v>0</v>
      </c>
      <c r="G6" s="189"/>
      <c r="H6" s="371" t="str">
        <f>A6</f>
        <v>（イ）3号線の部</v>
      </c>
      <c r="I6" s="186" t="s">
        <v>100</v>
      </c>
      <c r="J6" s="190">
        <f>INT(D6*B6)</f>
        <v>0</v>
      </c>
      <c r="K6" s="190">
        <f>B6-J6</f>
        <v>1317600</v>
      </c>
      <c r="L6" s="191">
        <f t="shared" si="1"/>
        <v>1317600</v>
      </c>
      <c r="M6" s="200"/>
      <c r="N6" s="200"/>
      <c r="P6" s="193"/>
    </row>
    <row r="7" spans="1:16" s="192" customFormat="1" ht="22.5" customHeight="1" thickBot="1" x14ac:dyDescent="0.2">
      <c r="A7" s="368"/>
      <c r="B7" s="374"/>
      <c r="C7" s="194" t="s">
        <v>101</v>
      </c>
      <c r="D7" s="195">
        <v>0</v>
      </c>
      <c r="E7" s="195">
        <v>0</v>
      </c>
      <c r="F7" s="196">
        <f t="shared" si="0"/>
        <v>0</v>
      </c>
      <c r="G7" s="189"/>
      <c r="H7" s="372"/>
      <c r="I7" s="197" t="s">
        <v>101</v>
      </c>
      <c r="J7" s="198">
        <f>INT(B6*D7)</f>
        <v>0</v>
      </c>
      <c r="K7" s="198">
        <f>B6-J7</f>
        <v>1317600</v>
      </c>
      <c r="L7" s="199">
        <f t="shared" si="1"/>
        <v>1317600</v>
      </c>
      <c r="M7" s="200"/>
      <c r="N7" s="373"/>
      <c r="P7" s="193"/>
    </row>
    <row r="8" spans="1:16" s="192" customFormat="1" ht="22.5" customHeight="1" x14ac:dyDescent="0.15">
      <c r="A8" s="367">
        <f>査定表!A93</f>
        <v>0</v>
      </c>
      <c r="B8" s="369">
        <f>査定表!M93</f>
        <v>0</v>
      </c>
      <c r="C8" s="186" t="s">
        <v>100</v>
      </c>
      <c r="D8" s="187">
        <v>0</v>
      </c>
      <c r="E8" s="187">
        <v>0</v>
      </c>
      <c r="F8" s="188">
        <f t="shared" si="0"/>
        <v>0</v>
      </c>
      <c r="G8" s="189"/>
      <c r="H8" s="371">
        <f>A8</f>
        <v>0</v>
      </c>
      <c r="I8" s="186" t="s">
        <v>100</v>
      </c>
      <c r="J8" s="190">
        <f>INT(D8*B8)</f>
        <v>0</v>
      </c>
      <c r="K8" s="190">
        <f>B8-J8</f>
        <v>0</v>
      </c>
      <c r="L8" s="191">
        <f t="shared" si="1"/>
        <v>0</v>
      </c>
      <c r="N8" s="373"/>
      <c r="P8" s="193"/>
    </row>
    <row r="9" spans="1:16" s="192" customFormat="1" ht="22.5" customHeight="1" thickBot="1" x14ac:dyDescent="0.2">
      <c r="A9" s="368"/>
      <c r="B9" s="374"/>
      <c r="C9" s="194" t="s">
        <v>101</v>
      </c>
      <c r="D9" s="195">
        <v>0</v>
      </c>
      <c r="E9" s="195">
        <v>0</v>
      </c>
      <c r="F9" s="196">
        <f t="shared" si="0"/>
        <v>0</v>
      </c>
      <c r="G9" s="189"/>
      <c r="H9" s="372"/>
      <c r="I9" s="197" t="s">
        <v>101</v>
      </c>
      <c r="J9" s="198">
        <f>INT(B8*D9)</f>
        <v>0</v>
      </c>
      <c r="K9" s="198">
        <f>B8-J9</f>
        <v>0</v>
      </c>
      <c r="L9" s="199">
        <f t="shared" si="1"/>
        <v>0</v>
      </c>
      <c r="P9" s="193"/>
    </row>
    <row r="10" spans="1:16" s="192" customFormat="1" ht="22.5" customHeight="1" x14ac:dyDescent="0.15">
      <c r="A10" s="367">
        <f>査定表!A135</f>
        <v>0</v>
      </c>
      <c r="B10" s="369">
        <f>査定表!M135</f>
        <v>0</v>
      </c>
      <c r="C10" s="186" t="s">
        <v>100</v>
      </c>
      <c r="D10" s="187">
        <v>0</v>
      </c>
      <c r="E10" s="187">
        <v>0</v>
      </c>
      <c r="F10" s="188">
        <f t="shared" si="0"/>
        <v>0</v>
      </c>
      <c r="G10" s="189"/>
      <c r="H10" s="371">
        <f>A10</f>
        <v>0</v>
      </c>
      <c r="I10" s="186" t="s">
        <v>100</v>
      </c>
      <c r="J10" s="190">
        <f>INT(D10*B10)</f>
        <v>0</v>
      </c>
      <c r="K10" s="190">
        <f>B10-J10</f>
        <v>0</v>
      </c>
      <c r="L10" s="191">
        <f t="shared" si="1"/>
        <v>0</v>
      </c>
      <c r="P10" s="193"/>
    </row>
    <row r="11" spans="1:16" s="192" customFormat="1" ht="22.5" customHeight="1" thickBot="1" x14ac:dyDescent="0.2">
      <c r="A11" s="368"/>
      <c r="B11" s="374"/>
      <c r="C11" s="194" t="s">
        <v>101</v>
      </c>
      <c r="D11" s="195">
        <v>0</v>
      </c>
      <c r="E11" s="195">
        <v>0</v>
      </c>
      <c r="F11" s="196">
        <f t="shared" si="0"/>
        <v>0</v>
      </c>
      <c r="G11" s="189"/>
      <c r="H11" s="372"/>
      <c r="I11" s="197" t="s">
        <v>101</v>
      </c>
      <c r="J11" s="198">
        <f>INT(B10*D11)</f>
        <v>0</v>
      </c>
      <c r="K11" s="198">
        <f>B10-J11</f>
        <v>0</v>
      </c>
      <c r="L11" s="199">
        <f t="shared" si="1"/>
        <v>0</v>
      </c>
      <c r="P11" s="193"/>
    </row>
    <row r="12" spans="1:16" s="192" customFormat="1" ht="22.5" customHeight="1" x14ac:dyDescent="0.15">
      <c r="A12" s="367">
        <f>査定表!A177</f>
        <v>0</v>
      </c>
      <c r="B12" s="369">
        <f>査定表!M177</f>
        <v>0</v>
      </c>
      <c r="C12" s="186" t="s">
        <v>100</v>
      </c>
      <c r="D12" s="187">
        <v>0</v>
      </c>
      <c r="E12" s="187">
        <v>0</v>
      </c>
      <c r="F12" s="188">
        <f t="shared" si="0"/>
        <v>0</v>
      </c>
      <c r="G12" s="189"/>
      <c r="H12" s="371">
        <f>A12</f>
        <v>0</v>
      </c>
      <c r="I12" s="186" t="s">
        <v>100</v>
      </c>
      <c r="J12" s="190">
        <f>INT(D12*B12)</f>
        <v>0</v>
      </c>
      <c r="K12" s="190">
        <f>B12-J12</f>
        <v>0</v>
      </c>
      <c r="L12" s="191">
        <f t="shared" si="1"/>
        <v>0</v>
      </c>
      <c r="P12" s="193"/>
    </row>
    <row r="13" spans="1:16" s="192" customFormat="1" ht="22.5" customHeight="1" thickBot="1" x14ac:dyDescent="0.2">
      <c r="A13" s="368"/>
      <c r="B13" s="374"/>
      <c r="C13" s="194" t="s">
        <v>101</v>
      </c>
      <c r="D13" s="195">
        <v>0</v>
      </c>
      <c r="E13" s="195">
        <v>0</v>
      </c>
      <c r="F13" s="196">
        <f t="shared" si="0"/>
        <v>0</v>
      </c>
      <c r="G13" s="189"/>
      <c r="H13" s="372"/>
      <c r="I13" s="197" t="s">
        <v>101</v>
      </c>
      <c r="J13" s="198">
        <f>INT(B12*D13)</f>
        <v>0</v>
      </c>
      <c r="K13" s="198">
        <f>B12-J13</f>
        <v>0</v>
      </c>
      <c r="L13" s="199">
        <f t="shared" si="1"/>
        <v>0</v>
      </c>
      <c r="P13" s="193"/>
    </row>
    <row r="14" spans="1:16" s="192" customFormat="1" ht="22.5" customHeight="1" x14ac:dyDescent="0.15">
      <c r="A14" s="375">
        <f>査定表!A219</f>
        <v>0</v>
      </c>
      <c r="B14" s="376">
        <f>査定表!M219</f>
        <v>0</v>
      </c>
      <c r="C14" s="186" t="s">
        <v>100</v>
      </c>
      <c r="D14" s="187">
        <v>0</v>
      </c>
      <c r="E14" s="187">
        <v>0</v>
      </c>
      <c r="F14" s="188">
        <f t="shared" si="0"/>
        <v>0</v>
      </c>
      <c r="G14" s="189"/>
      <c r="H14" s="377">
        <f>A14</f>
        <v>0</v>
      </c>
      <c r="I14" s="186" t="s">
        <v>100</v>
      </c>
      <c r="J14" s="190">
        <f>INT(D14*B14)</f>
        <v>0</v>
      </c>
      <c r="K14" s="190">
        <f>B14-J14</f>
        <v>0</v>
      </c>
      <c r="L14" s="191">
        <f t="shared" si="1"/>
        <v>0</v>
      </c>
      <c r="P14" s="193"/>
    </row>
    <row r="15" spans="1:16" s="192" customFormat="1" ht="22.5" customHeight="1" thickBot="1" x14ac:dyDescent="0.2">
      <c r="A15" s="368"/>
      <c r="B15" s="374"/>
      <c r="C15" s="194" t="s">
        <v>101</v>
      </c>
      <c r="D15" s="195">
        <v>0</v>
      </c>
      <c r="E15" s="195">
        <v>0</v>
      </c>
      <c r="F15" s="196">
        <f t="shared" si="0"/>
        <v>0</v>
      </c>
      <c r="G15" s="189"/>
      <c r="H15" s="372"/>
      <c r="I15" s="197" t="s">
        <v>101</v>
      </c>
      <c r="J15" s="198">
        <f>INT(B14*D15)</f>
        <v>0</v>
      </c>
      <c r="K15" s="198">
        <f>B14-J15</f>
        <v>0</v>
      </c>
      <c r="L15" s="199">
        <f t="shared" si="1"/>
        <v>0</v>
      </c>
      <c r="P15" s="193"/>
    </row>
    <row r="16" spans="1:16" s="202" customFormat="1" ht="22.5" customHeight="1" x14ac:dyDescent="0.15">
      <c r="A16" s="378"/>
      <c r="B16" s="378"/>
      <c r="C16" s="378"/>
      <c r="D16" s="378"/>
      <c r="E16" s="378"/>
      <c r="F16" s="378"/>
      <c r="G16" s="378"/>
      <c r="H16" s="378"/>
      <c r="I16" s="378"/>
      <c r="J16" s="378"/>
      <c r="K16" s="378"/>
      <c r="L16" s="378"/>
      <c r="M16" s="378"/>
      <c r="N16" s="201"/>
      <c r="P16" s="203"/>
    </row>
    <row r="17" spans="1:16" s="206" customFormat="1" ht="22.5" customHeight="1" x14ac:dyDescent="0.2">
      <c r="A17" s="379" t="s">
        <v>212</v>
      </c>
      <c r="B17" s="379"/>
      <c r="C17" s="379"/>
      <c r="D17" s="379"/>
      <c r="E17" s="379"/>
      <c r="F17" s="204"/>
      <c r="G17" s="204"/>
      <c r="H17" s="380"/>
      <c r="I17" s="380"/>
      <c r="J17" s="380"/>
      <c r="K17" s="380"/>
      <c r="L17" s="380"/>
      <c r="M17" s="204"/>
      <c r="N17" s="205"/>
      <c r="P17" s="207"/>
    </row>
    <row r="18" spans="1:16" s="206" customFormat="1" ht="13.5" customHeight="1" thickBot="1" x14ac:dyDescent="0.25">
      <c r="A18" s="381"/>
      <c r="B18" s="381"/>
      <c r="C18" s="381"/>
      <c r="D18" s="381"/>
      <c r="E18" s="381"/>
      <c r="F18" s="204"/>
      <c r="G18" s="204"/>
      <c r="H18" s="208"/>
      <c r="I18" s="208"/>
      <c r="J18" s="208"/>
      <c r="K18" s="208"/>
      <c r="L18" s="208"/>
      <c r="M18" s="204"/>
      <c r="N18" s="205"/>
      <c r="P18" s="207"/>
    </row>
    <row r="19" spans="1:16" s="206" customFormat="1" ht="22.5" customHeight="1" x14ac:dyDescent="0.2">
      <c r="A19" s="382" t="s">
        <v>100</v>
      </c>
      <c r="B19" s="382" t="s">
        <v>156</v>
      </c>
      <c r="C19" s="382"/>
      <c r="D19" s="384">
        <f>SUMIF(I:I,$A$19,J:J)</f>
        <v>0</v>
      </c>
      <c r="E19" s="384"/>
      <c r="F19" s="204"/>
      <c r="G19" s="204"/>
      <c r="H19" s="208"/>
      <c r="I19" s="204"/>
      <c r="J19" s="204"/>
      <c r="K19" s="204"/>
      <c r="L19" s="204"/>
      <c r="M19" s="204"/>
      <c r="N19" s="205"/>
      <c r="P19" s="207"/>
    </row>
    <row r="20" spans="1:16" s="206" customFormat="1" ht="22.5" customHeight="1" thickBot="1" x14ac:dyDescent="0.25">
      <c r="A20" s="383"/>
      <c r="B20" s="383" t="s">
        <v>155</v>
      </c>
      <c r="C20" s="383"/>
      <c r="D20" s="385">
        <f>SUMIF(I:I,$A$19,K:K)</f>
        <v>17841600</v>
      </c>
      <c r="E20" s="385"/>
      <c r="F20" s="204"/>
      <c r="G20" s="204"/>
      <c r="H20" s="208"/>
      <c r="I20" s="204"/>
      <c r="J20" s="204"/>
      <c r="K20" s="204"/>
      <c r="L20" s="204"/>
      <c r="M20" s="204"/>
      <c r="N20" s="205"/>
      <c r="P20" s="207"/>
    </row>
    <row r="21" spans="1:16" s="206" customFormat="1" ht="22.5" customHeight="1" x14ac:dyDescent="0.2">
      <c r="A21" s="387" t="s">
        <v>101</v>
      </c>
      <c r="B21" s="387" t="s">
        <v>156</v>
      </c>
      <c r="C21" s="387"/>
      <c r="D21" s="388">
        <f>SUMIF(I:I,$A$21,J:J)</f>
        <v>0</v>
      </c>
      <c r="E21" s="388"/>
      <c r="F21" s="204"/>
      <c r="G21" s="204"/>
      <c r="H21" s="204"/>
      <c r="I21" s="204"/>
      <c r="J21" s="204"/>
      <c r="K21" s="204"/>
      <c r="L21" s="204"/>
      <c r="M21" s="204"/>
      <c r="N21" s="205"/>
      <c r="P21" s="207"/>
    </row>
    <row r="22" spans="1:16" s="206" customFormat="1" ht="22.5" customHeight="1" thickBot="1" x14ac:dyDescent="0.25">
      <c r="A22" s="383"/>
      <c r="B22" s="383" t="s">
        <v>213</v>
      </c>
      <c r="C22" s="383"/>
      <c r="D22" s="385">
        <f>SUMIF(I:I,$A$21,K:K)</f>
        <v>17841600</v>
      </c>
      <c r="E22" s="385"/>
      <c r="F22" s="204"/>
      <c r="G22" s="204"/>
      <c r="H22" s="204"/>
      <c r="I22" s="204"/>
      <c r="J22" s="204"/>
      <c r="K22" s="204"/>
      <c r="L22" s="204"/>
      <c r="M22" s="204"/>
      <c r="N22" s="205"/>
      <c r="P22" s="207"/>
    </row>
    <row r="23" spans="1:16" s="144" customFormat="1" ht="22.5" customHeight="1" x14ac:dyDescent="0.15">
      <c r="A23" s="182"/>
      <c r="B23" s="182"/>
      <c r="C23" s="182"/>
      <c r="D23" s="182"/>
      <c r="E23" s="182"/>
      <c r="F23" s="182"/>
      <c r="G23" s="182"/>
      <c r="H23" s="182"/>
      <c r="I23" s="182"/>
      <c r="J23" s="182"/>
      <c r="K23" s="182"/>
      <c r="L23" s="182"/>
      <c r="M23" s="182"/>
      <c r="N23" s="172"/>
      <c r="P23" s="181"/>
    </row>
    <row r="24" spans="1:16" s="144" customFormat="1" ht="22.5" customHeight="1" x14ac:dyDescent="0.15">
      <c r="A24" s="182"/>
      <c r="B24" s="182"/>
      <c r="C24" s="182"/>
      <c r="D24" s="182"/>
      <c r="E24" s="182"/>
      <c r="F24" s="182"/>
      <c r="G24" s="182"/>
      <c r="H24" s="182"/>
      <c r="I24" s="182"/>
      <c r="J24" s="182"/>
      <c r="K24" s="182"/>
      <c r="L24" s="182"/>
      <c r="M24" s="182"/>
      <c r="N24" s="172"/>
      <c r="P24" s="181"/>
    </row>
    <row r="25" spans="1:16" s="144" customFormat="1" ht="22.5" customHeight="1" x14ac:dyDescent="0.15">
      <c r="A25" s="182"/>
      <c r="B25" s="182"/>
      <c r="C25" s="182"/>
      <c r="D25" s="182"/>
      <c r="E25" s="182"/>
      <c r="F25" s="182"/>
      <c r="G25" s="182"/>
      <c r="H25" s="182"/>
      <c r="I25" s="182"/>
      <c r="J25" s="182"/>
      <c r="K25" s="182"/>
      <c r="L25" s="182"/>
      <c r="M25" s="182"/>
      <c r="N25" s="172"/>
      <c r="P25" s="181"/>
    </row>
    <row r="26" spans="1:16" s="144" customFormat="1" ht="22.5" customHeight="1" x14ac:dyDescent="0.15">
      <c r="A26" s="386"/>
      <c r="B26" s="386"/>
      <c r="C26" s="386"/>
      <c r="D26" s="386"/>
      <c r="E26" s="386"/>
      <c r="F26" s="386"/>
      <c r="G26" s="386"/>
      <c r="H26" s="386"/>
      <c r="I26" s="386"/>
      <c r="J26" s="386"/>
      <c r="K26" s="386"/>
      <c r="L26" s="386"/>
      <c r="M26" s="386"/>
      <c r="N26" s="172"/>
      <c r="P26" s="181"/>
    </row>
    <row r="27" spans="1:16" s="144" customFormat="1" ht="22.5" customHeight="1" x14ac:dyDescent="0.15">
      <c r="A27" s="386"/>
      <c r="B27" s="386"/>
      <c r="C27" s="386"/>
      <c r="D27" s="386"/>
      <c r="E27" s="386"/>
      <c r="F27" s="386"/>
      <c r="G27" s="386"/>
      <c r="H27" s="386"/>
      <c r="I27" s="386"/>
      <c r="J27" s="386"/>
      <c r="K27" s="386"/>
      <c r="L27" s="386"/>
      <c r="M27" s="386"/>
      <c r="N27" s="172"/>
      <c r="P27" s="181"/>
    </row>
    <row r="28" spans="1:16" s="144" customFormat="1" ht="22.5" customHeight="1" x14ac:dyDescent="0.15">
      <c r="A28" s="386"/>
      <c r="B28" s="386"/>
      <c r="C28" s="386"/>
      <c r="D28" s="386"/>
      <c r="E28" s="386"/>
      <c r="F28" s="386"/>
      <c r="G28" s="386"/>
      <c r="H28" s="386"/>
      <c r="I28" s="386"/>
      <c r="J28" s="386"/>
      <c r="K28" s="386"/>
      <c r="L28" s="386"/>
      <c r="M28" s="386"/>
      <c r="N28" s="172"/>
      <c r="P28" s="181"/>
    </row>
    <row r="29" spans="1:16" s="144" customFormat="1" ht="22.5" customHeight="1" x14ac:dyDescent="0.15">
      <c r="A29" s="386"/>
      <c r="B29" s="386"/>
      <c r="C29" s="386"/>
      <c r="D29" s="386"/>
      <c r="E29" s="386"/>
      <c r="F29" s="386"/>
      <c r="G29" s="386"/>
      <c r="H29" s="386"/>
      <c r="I29" s="386"/>
      <c r="J29" s="386"/>
      <c r="K29" s="386"/>
      <c r="L29" s="386"/>
      <c r="M29" s="386"/>
      <c r="N29" s="172"/>
      <c r="P29" s="181"/>
    </row>
    <row r="30" spans="1:16" s="144" customFormat="1" ht="22.5" customHeight="1" x14ac:dyDescent="0.15">
      <c r="A30" s="386"/>
      <c r="B30" s="386"/>
      <c r="C30" s="386"/>
      <c r="D30" s="386"/>
      <c r="E30" s="386"/>
      <c r="F30" s="386"/>
      <c r="G30" s="386"/>
      <c r="H30" s="386"/>
      <c r="I30" s="386"/>
      <c r="J30" s="386"/>
      <c r="K30" s="386"/>
      <c r="L30" s="386"/>
      <c r="M30" s="386"/>
      <c r="N30" s="172"/>
      <c r="P30" s="181"/>
    </row>
    <row r="31" spans="1:16" s="144" customFormat="1" ht="22.5" customHeight="1" x14ac:dyDescent="0.15">
      <c r="A31" s="386"/>
      <c r="B31" s="386"/>
      <c r="C31" s="386"/>
      <c r="D31" s="386"/>
      <c r="E31" s="386"/>
      <c r="F31" s="386"/>
      <c r="G31" s="386"/>
      <c r="H31" s="386"/>
      <c r="I31" s="386"/>
      <c r="J31" s="386"/>
      <c r="K31" s="386"/>
      <c r="L31" s="386"/>
      <c r="M31" s="386"/>
      <c r="N31" s="172"/>
      <c r="P31" s="181"/>
    </row>
    <row r="32" spans="1:16" s="144" customFormat="1" ht="22.5" customHeight="1" x14ac:dyDescent="0.15">
      <c r="A32" s="386"/>
      <c r="B32" s="386"/>
      <c r="C32" s="386"/>
      <c r="D32" s="386"/>
      <c r="E32" s="386"/>
      <c r="F32" s="386"/>
      <c r="G32" s="386"/>
      <c r="H32" s="386"/>
      <c r="I32" s="386"/>
      <c r="J32" s="386"/>
      <c r="K32" s="386"/>
      <c r="L32" s="386"/>
      <c r="M32" s="386"/>
      <c r="N32" s="172"/>
      <c r="P32" s="181"/>
    </row>
    <row r="33" spans="1:16" s="144" customFormat="1" ht="22.5" customHeight="1" x14ac:dyDescent="0.15">
      <c r="A33" s="386"/>
      <c r="B33" s="386"/>
      <c r="C33" s="386"/>
      <c r="D33" s="386"/>
      <c r="E33" s="386"/>
      <c r="F33" s="386"/>
      <c r="G33" s="386"/>
      <c r="H33" s="386"/>
      <c r="I33" s="386"/>
      <c r="J33" s="386"/>
      <c r="K33" s="386"/>
      <c r="L33" s="386"/>
      <c r="M33" s="386"/>
      <c r="N33" s="172"/>
      <c r="P33" s="181"/>
    </row>
    <row r="34" spans="1:16" s="144" customFormat="1" ht="22.5" customHeight="1" x14ac:dyDescent="0.15">
      <c r="A34" s="386"/>
      <c r="B34" s="386"/>
      <c r="C34" s="386"/>
      <c r="D34" s="386"/>
      <c r="E34" s="386"/>
      <c r="F34" s="386"/>
      <c r="G34" s="386"/>
      <c r="H34" s="386"/>
      <c r="I34" s="386"/>
      <c r="J34" s="386"/>
      <c r="K34" s="386"/>
      <c r="L34" s="386"/>
      <c r="M34" s="386"/>
      <c r="N34" s="172"/>
      <c r="P34" s="181"/>
    </row>
    <row r="35" spans="1:16" s="144" customFormat="1" x14ac:dyDescent="0.15">
      <c r="A35" s="386"/>
      <c r="B35" s="386"/>
      <c r="C35" s="386"/>
      <c r="D35" s="386"/>
      <c r="E35" s="386"/>
      <c r="F35" s="386"/>
      <c r="G35" s="386"/>
      <c r="H35" s="386"/>
      <c r="I35" s="386"/>
      <c r="J35" s="386"/>
      <c r="K35" s="386"/>
      <c r="L35" s="386"/>
      <c r="M35" s="386"/>
      <c r="N35" s="172"/>
      <c r="P35" s="181"/>
    </row>
    <row r="36" spans="1:16" s="144" customFormat="1" x14ac:dyDescent="0.15">
      <c r="A36" s="386"/>
      <c r="B36" s="386"/>
      <c r="C36" s="386"/>
      <c r="D36" s="386"/>
      <c r="E36" s="386"/>
      <c r="F36" s="386"/>
      <c r="G36" s="386"/>
      <c r="H36" s="386"/>
      <c r="I36" s="386"/>
      <c r="J36" s="386"/>
      <c r="K36" s="386"/>
      <c r="L36" s="386"/>
      <c r="M36" s="386"/>
      <c r="N36" s="172"/>
      <c r="P36" s="181"/>
    </row>
    <row r="37" spans="1:16" s="144" customFormat="1" x14ac:dyDescent="0.15">
      <c r="A37" s="386"/>
      <c r="B37" s="386"/>
      <c r="C37" s="386"/>
      <c r="D37" s="386"/>
      <c r="E37" s="386"/>
      <c r="F37" s="386"/>
      <c r="G37" s="386"/>
      <c r="H37" s="386"/>
      <c r="I37" s="386"/>
      <c r="J37" s="386"/>
      <c r="K37" s="386"/>
      <c r="L37" s="386"/>
      <c r="M37" s="386"/>
      <c r="N37" s="172"/>
      <c r="P37" s="181"/>
    </row>
    <row r="38" spans="1:16" s="144" customFormat="1" x14ac:dyDescent="0.15">
      <c r="A38" s="386"/>
      <c r="B38" s="386"/>
      <c r="C38" s="386"/>
      <c r="D38" s="386"/>
      <c r="E38" s="386"/>
      <c r="F38" s="386"/>
      <c r="G38" s="386"/>
      <c r="H38" s="386"/>
      <c r="I38" s="386"/>
      <c r="J38" s="386"/>
      <c r="K38" s="386"/>
      <c r="L38" s="386"/>
      <c r="M38" s="386"/>
      <c r="N38" s="172"/>
      <c r="P38" s="181"/>
    </row>
    <row r="39" spans="1:16" s="144" customFormat="1" x14ac:dyDescent="0.15">
      <c r="A39" s="386"/>
      <c r="B39" s="386"/>
      <c r="C39" s="386"/>
      <c r="D39" s="386"/>
      <c r="E39" s="386"/>
      <c r="F39" s="386"/>
      <c r="G39" s="386"/>
      <c r="H39" s="386"/>
      <c r="I39" s="386"/>
      <c r="J39" s="386"/>
      <c r="K39" s="386"/>
      <c r="L39" s="386"/>
      <c r="M39" s="386"/>
      <c r="N39" s="172"/>
      <c r="P39" s="181"/>
    </row>
    <row r="40" spans="1:16" s="144" customFormat="1" x14ac:dyDescent="0.15">
      <c r="A40" s="386"/>
      <c r="B40" s="386"/>
      <c r="C40" s="386"/>
      <c r="D40" s="386"/>
      <c r="E40" s="386"/>
      <c r="F40" s="386"/>
      <c r="G40" s="386"/>
      <c r="H40" s="386"/>
      <c r="I40" s="386"/>
      <c r="J40" s="386"/>
      <c r="K40" s="386"/>
      <c r="L40" s="386"/>
      <c r="M40" s="386"/>
      <c r="N40" s="172"/>
      <c r="P40" s="181"/>
    </row>
    <row r="41" spans="1:16" s="144" customFormat="1" x14ac:dyDescent="0.15">
      <c r="A41" s="386"/>
      <c r="B41" s="386"/>
      <c r="C41" s="386"/>
      <c r="D41" s="386"/>
      <c r="E41" s="386"/>
      <c r="F41" s="386"/>
      <c r="G41" s="386"/>
      <c r="H41" s="386"/>
      <c r="I41" s="386"/>
      <c r="J41" s="386"/>
      <c r="K41" s="386"/>
      <c r="L41" s="386"/>
      <c r="M41" s="386"/>
      <c r="N41" s="172"/>
      <c r="P41" s="181"/>
    </row>
    <row r="42" spans="1:16" s="144" customFormat="1" x14ac:dyDescent="0.15">
      <c r="A42" s="386"/>
      <c r="B42" s="386"/>
      <c r="C42" s="386"/>
      <c r="D42" s="386"/>
      <c r="E42" s="386"/>
      <c r="F42" s="386"/>
      <c r="G42" s="386"/>
      <c r="H42" s="386"/>
      <c r="I42" s="386"/>
      <c r="J42" s="386"/>
      <c r="K42" s="386"/>
      <c r="L42" s="386"/>
      <c r="M42" s="386"/>
      <c r="N42" s="172"/>
      <c r="P42" s="181"/>
    </row>
    <row r="43" spans="1:16" s="144" customFormat="1" x14ac:dyDescent="0.15">
      <c r="A43" s="386"/>
      <c r="B43" s="386"/>
      <c r="C43" s="386"/>
      <c r="D43" s="386"/>
      <c r="E43" s="386"/>
      <c r="F43" s="386"/>
      <c r="G43" s="386"/>
      <c r="H43" s="386"/>
      <c r="I43" s="386"/>
      <c r="J43" s="386"/>
      <c r="K43" s="386"/>
      <c r="L43" s="386"/>
      <c r="M43" s="386"/>
      <c r="N43" s="172"/>
      <c r="P43" s="181"/>
    </row>
    <row r="44" spans="1:16" s="144" customFormat="1" x14ac:dyDescent="0.15">
      <c r="A44" s="386"/>
      <c r="B44" s="386"/>
      <c r="C44" s="386"/>
      <c r="D44" s="386"/>
      <c r="E44" s="386"/>
      <c r="F44" s="386"/>
      <c r="G44" s="386"/>
      <c r="H44" s="386"/>
      <c r="I44" s="386"/>
      <c r="J44" s="386"/>
      <c r="K44" s="386"/>
      <c r="L44" s="386"/>
      <c r="M44" s="386"/>
      <c r="N44" s="172"/>
      <c r="P44" s="181"/>
    </row>
    <row r="45" spans="1:16" s="144" customFormat="1" x14ac:dyDescent="0.15">
      <c r="A45" s="386"/>
      <c r="B45" s="386"/>
      <c r="C45" s="386"/>
      <c r="D45" s="386"/>
      <c r="E45" s="386"/>
      <c r="F45" s="386"/>
      <c r="G45" s="386"/>
      <c r="H45" s="386"/>
      <c r="I45" s="386"/>
      <c r="J45" s="386"/>
      <c r="K45" s="386"/>
      <c r="L45" s="386"/>
      <c r="M45" s="386"/>
      <c r="N45" s="172"/>
      <c r="P45" s="181"/>
    </row>
    <row r="46" spans="1:16" s="144" customFormat="1" x14ac:dyDescent="0.15">
      <c r="A46" s="386"/>
      <c r="B46" s="386"/>
      <c r="C46" s="386"/>
      <c r="D46" s="386"/>
      <c r="E46" s="386"/>
      <c r="F46" s="386"/>
      <c r="G46" s="386"/>
      <c r="H46" s="386"/>
      <c r="I46" s="386"/>
      <c r="J46" s="386"/>
      <c r="K46" s="386"/>
      <c r="L46" s="386"/>
      <c r="M46" s="386"/>
      <c r="N46" s="172"/>
      <c r="P46" s="181"/>
    </row>
    <row r="47" spans="1:16" s="144" customFormat="1" x14ac:dyDescent="0.15">
      <c r="A47" s="386"/>
      <c r="B47" s="386"/>
      <c r="C47" s="386"/>
      <c r="D47" s="386"/>
      <c r="E47" s="386"/>
      <c r="F47" s="386"/>
      <c r="G47" s="386"/>
      <c r="H47" s="386"/>
      <c r="I47" s="386"/>
      <c r="J47" s="386"/>
      <c r="K47" s="386"/>
      <c r="L47" s="386"/>
      <c r="M47" s="386"/>
      <c r="N47" s="172"/>
      <c r="P47" s="181"/>
    </row>
    <row r="48" spans="1:16" s="144" customFormat="1" x14ac:dyDescent="0.15">
      <c r="A48" s="386"/>
      <c r="B48" s="386"/>
      <c r="C48" s="386"/>
      <c r="D48" s="386"/>
      <c r="E48" s="386"/>
      <c r="F48" s="386"/>
      <c r="G48" s="386"/>
      <c r="H48" s="386"/>
      <c r="I48" s="386"/>
      <c r="J48" s="386"/>
      <c r="K48" s="386"/>
      <c r="L48" s="386"/>
      <c r="M48" s="386"/>
      <c r="N48" s="172"/>
      <c r="P48" s="181"/>
    </row>
    <row r="49" spans="1:16" s="144" customFormat="1" x14ac:dyDescent="0.15">
      <c r="A49" s="386"/>
      <c r="B49" s="386"/>
      <c r="C49" s="386"/>
      <c r="D49" s="386"/>
      <c r="E49" s="386"/>
      <c r="F49" s="386"/>
      <c r="G49" s="386"/>
      <c r="H49" s="386"/>
      <c r="I49" s="386"/>
      <c r="J49" s="386"/>
      <c r="K49" s="386"/>
      <c r="L49" s="386"/>
      <c r="M49" s="386"/>
      <c r="N49" s="172"/>
      <c r="P49" s="181"/>
    </row>
    <row r="50" spans="1:16" s="144" customFormat="1" x14ac:dyDescent="0.15">
      <c r="A50" s="386"/>
      <c r="B50" s="386"/>
      <c r="C50" s="386"/>
      <c r="D50" s="386"/>
      <c r="E50" s="386"/>
      <c r="F50" s="386"/>
      <c r="G50" s="386"/>
      <c r="H50" s="386"/>
      <c r="I50" s="386"/>
      <c r="J50" s="386"/>
      <c r="K50" s="386"/>
      <c r="L50" s="386"/>
      <c r="M50" s="386"/>
      <c r="N50" s="172"/>
      <c r="P50" s="181"/>
    </row>
    <row r="51" spans="1:16" s="144" customFormat="1" x14ac:dyDescent="0.15">
      <c r="A51" s="386"/>
      <c r="B51" s="386"/>
      <c r="C51" s="386"/>
      <c r="D51" s="386"/>
      <c r="E51" s="386"/>
      <c r="F51" s="386"/>
      <c r="G51" s="386"/>
      <c r="H51" s="386"/>
      <c r="I51" s="386"/>
      <c r="J51" s="386"/>
      <c r="K51" s="386"/>
      <c r="L51" s="386"/>
      <c r="M51" s="386"/>
      <c r="N51" s="172"/>
      <c r="P51" s="181"/>
    </row>
    <row r="52" spans="1:16" s="144" customFormat="1" x14ac:dyDescent="0.15">
      <c r="A52" s="386"/>
      <c r="B52" s="386"/>
      <c r="C52" s="386"/>
      <c r="D52" s="386"/>
      <c r="E52" s="386"/>
      <c r="F52" s="386"/>
      <c r="G52" s="386"/>
      <c r="H52" s="386"/>
      <c r="I52" s="386"/>
      <c r="J52" s="386"/>
      <c r="K52" s="386"/>
      <c r="L52" s="386"/>
      <c r="M52" s="386"/>
      <c r="N52" s="172"/>
      <c r="P52" s="181"/>
    </row>
    <row r="53" spans="1:16" s="144" customFormat="1" x14ac:dyDescent="0.15">
      <c r="A53" s="386"/>
      <c r="B53" s="386"/>
      <c r="C53" s="386"/>
      <c r="D53" s="386"/>
      <c r="E53" s="386"/>
      <c r="F53" s="386"/>
      <c r="G53" s="386"/>
      <c r="H53" s="386"/>
      <c r="I53" s="386"/>
      <c r="J53" s="386"/>
      <c r="K53" s="386"/>
      <c r="L53" s="386"/>
      <c r="M53" s="386"/>
      <c r="N53" s="172"/>
      <c r="P53" s="181"/>
    </row>
    <row r="54" spans="1:16" s="144" customFormat="1" x14ac:dyDescent="0.15">
      <c r="A54" s="386"/>
      <c r="B54" s="386"/>
      <c r="C54" s="386"/>
      <c r="D54" s="386"/>
      <c r="E54" s="386"/>
      <c r="F54" s="386"/>
      <c r="G54" s="386"/>
      <c r="H54" s="386"/>
      <c r="I54" s="386"/>
      <c r="J54" s="386"/>
      <c r="K54" s="386"/>
      <c r="L54" s="386"/>
      <c r="M54" s="386"/>
      <c r="N54" s="172"/>
      <c r="P54" s="181"/>
    </row>
    <row r="55" spans="1:16" s="144" customFormat="1" x14ac:dyDescent="0.15">
      <c r="A55" s="386"/>
      <c r="B55" s="386"/>
      <c r="C55" s="386"/>
      <c r="D55" s="386"/>
      <c r="E55" s="386"/>
      <c r="F55" s="386"/>
      <c r="G55" s="386"/>
      <c r="H55" s="386"/>
      <c r="I55" s="386"/>
      <c r="J55" s="386"/>
      <c r="K55" s="386"/>
      <c r="L55" s="386"/>
      <c r="M55" s="386"/>
      <c r="N55" s="172"/>
      <c r="P55" s="181"/>
    </row>
    <row r="56" spans="1:16" s="144" customFormat="1" x14ac:dyDescent="0.15">
      <c r="A56" s="386"/>
      <c r="B56" s="386"/>
      <c r="C56" s="386"/>
      <c r="D56" s="386"/>
      <c r="E56" s="386"/>
      <c r="F56" s="386"/>
      <c r="G56" s="386"/>
      <c r="H56" s="386"/>
      <c r="I56" s="386"/>
      <c r="J56" s="386"/>
      <c r="K56" s="386"/>
      <c r="L56" s="386"/>
      <c r="M56" s="386"/>
      <c r="N56" s="172"/>
      <c r="P56" s="181"/>
    </row>
    <row r="57" spans="1:16" s="144" customFormat="1" x14ac:dyDescent="0.15">
      <c r="A57" s="386"/>
      <c r="B57" s="386"/>
      <c r="C57" s="386"/>
      <c r="D57" s="386"/>
      <c r="E57" s="386"/>
      <c r="F57" s="386"/>
      <c r="G57" s="386"/>
      <c r="H57" s="386"/>
      <c r="I57" s="386"/>
      <c r="J57" s="386"/>
      <c r="K57" s="386"/>
      <c r="L57" s="386"/>
      <c r="M57" s="386"/>
      <c r="N57" s="172"/>
      <c r="P57" s="181"/>
    </row>
    <row r="58" spans="1:16" s="144" customFormat="1" x14ac:dyDescent="0.15">
      <c r="A58" s="386"/>
      <c r="B58" s="386"/>
      <c r="C58" s="386"/>
      <c r="D58" s="386"/>
      <c r="E58" s="386"/>
      <c r="F58" s="386"/>
      <c r="G58" s="386"/>
      <c r="H58" s="386"/>
      <c r="I58" s="386"/>
      <c r="J58" s="386"/>
      <c r="K58" s="386"/>
      <c r="L58" s="386"/>
      <c r="M58" s="386"/>
      <c r="N58" s="172"/>
      <c r="P58" s="181"/>
    </row>
    <row r="59" spans="1:16" s="144" customFormat="1" x14ac:dyDescent="0.15">
      <c r="A59" s="386"/>
      <c r="B59" s="386"/>
      <c r="C59" s="386"/>
      <c r="D59" s="386"/>
      <c r="E59" s="386"/>
      <c r="F59" s="386"/>
      <c r="G59" s="386"/>
      <c r="H59" s="386"/>
      <c r="I59" s="386"/>
      <c r="J59" s="386"/>
      <c r="K59" s="386"/>
      <c r="L59" s="386"/>
      <c r="M59" s="386"/>
      <c r="N59" s="172"/>
      <c r="P59" s="181"/>
    </row>
    <row r="60" spans="1:16" s="144" customFormat="1" x14ac:dyDescent="0.15">
      <c r="A60" s="386"/>
      <c r="B60" s="386"/>
      <c r="C60" s="386"/>
      <c r="D60" s="386"/>
      <c r="E60" s="386"/>
      <c r="F60" s="386"/>
      <c r="G60" s="386"/>
      <c r="H60" s="386"/>
      <c r="I60" s="386"/>
      <c r="J60" s="386"/>
      <c r="K60" s="386"/>
      <c r="L60" s="386"/>
      <c r="M60" s="386"/>
      <c r="N60" s="172"/>
      <c r="P60" s="181"/>
    </row>
    <row r="61" spans="1:16" s="144" customFormat="1" x14ac:dyDescent="0.15">
      <c r="A61" s="386"/>
      <c r="B61" s="386"/>
      <c r="C61" s="386"/>
      <c r="D61" s="386"/>
      <c r="E61" s="386"/>
      <c r="F61" s="386"/>
      <c r="G61" s="386"/>
      <c r="H61" s="386"/>
      <c r="I61" s="386"/>
      <c r="J61" s="386"/>
      <c r="K61" s="386"/>
      <c r="L61" s="386"/>
      <c r="M61" s="386"/>
      <c r="N61" s="172"/>
      <c r="P61" s="181"/>
    </row>
    <row r="62" spans="1:16" s="144" customFormat="1" x14ac:dyDescent="0.15">
      <c r="A62" s="386"/>
      <c r="B62" s="386"/>
      <c r="C62" s="386"/>
      <c r="D62" s="386"/>
      <c r="E62" s="386"/>
      <c r="F62" s="386"/>
      <c r="G62" s="386"/>
      <c r="H62" s="386"/>
      <c r="I62" s="386"/>
      <c r="J62" s="386"/>
      <c r="K62" s="386"/>
      <c r="L62" s="386"/>
      <c r="M62" s="386"/>
      <c r="N62" s="172"/>
      <c r="P62" s="181"/>
    </row>
    <row r="63" spans="1:16" s="144" customFormat="1" x14ac:dyDescent="0.15">
      <c r="A63" s="386"/>
      <c r="B63" s="386"/>
      <c r="C63" s="386"/>
      <c r="D63" s="386"/>
      <c r="E63" s="386"/>
      <c r="F63" s="386"/>
      <c r="G63" s="386"/>
      <c r="H63" s="386"/>
      <c r="I63" s="386"/>
      <c r="J63" s="386"/>
      <c r="K63" s="386"/>
      <c r="L63" s="386"/>
      <c r="M63" s="386"/>
      <c r="N63" s="172"/>
      <c r="P63" s="181"/>
    </row>
    <row r="64" spans="1:16" s="144" customFormat="1" x14ac:dyDescent="0.15">
      <c r="A64" s="386"/>
      <c r="B64" s="386"/>
      <c r="C64" s="386"/>
      <c r="D64" s="386"/>
      <c r="E64" s="386"/>
      <c r="F64" s="386"/>
      <c r="G64" s="386"/>
      <c r="H64" s="386"/>
      <c r="I64" s="386"/>
      <c r="J64" s="386"/>
      <c r="K64" s="386"/>
      <c r="L64" s="386"/>
      <c r="M64" s="386"/>
      <c r="N64" s="172"/>
      <c r="P64" s="181"/>
    </row>
    <row r="65" spans="16:16" s="144" customFormat="1" x14ac:dyDescent="0.15">
      <c r="P65" s="181"/>
    </row>
    <row r="66" spans="16:16" s="144" customFormat="1" x14ac:dyDescent="0.15">
      <c r="P66" s="181"/>
    </row>
    <row r="67" spans="16:16" s="144" customFormat="1" x14ac:dyDescent="0.15">
      <c r="P67" s="181"/>
    </row>
    <row r="68" spans="16:16" s="144" customFormat="1" x14ac:dyDescent="0.15">
      <c r="P68" s="181"/>
    </row>
  </sheetData>
  <mergeCells count="75">
    <mergeCell ref="A63:M63"/>
    <mergeCell ref="A64:M64"/>
    <mergeCell ref="A57:M57"/>
    <mergeCell ref="A58:M58"/>
    <mergeCell ref="A59:M59"/>
    <mergeCell ref="A60:M60"/>
    <mergeCell ref="A61:M61"/>
    <mergeCell ref="A62:M62"/>
    <mergeCell ref="A56:M56"/>
    <mergeCell ref="A45:M45"/>
    <mergeCell ref="A46:M46"/>
    <mergeCell ref="A47:M47"/>
    <mergeCell ref="A48:M48"/>
    <mergeCell ref="A49:M49"/>
    <mergeCell ref="A50:M50"/>
    <mergeCell ref="A51:M51"/>
    <mergeCell ref="A52:M52"/>
    <mergeCell ref="A53:M53"/>
    <mergeCell ref="A54:M54"/>
    <mergeCell ref="A55:M55"/>
    <mergeCell ref="A44:M44"/>
    <mergeCell ref="A33:M33"/>
    <mergeCell ref="A34:M34"/>
    <mergeCell ref="A35:M35"/>
    <mergeCell ref="A36:M36"/>
    <mergeCell ref="A37:M37"/>
    <mergeCell ref="A38:M38"/>
    <mergeCell ref="A39:M39"/>
    <mergeCell ref="A40:M40"/>
    <mergeCell ref="A41:M41"/>
    <mergeCell ref="A42:M42"/>
    <mergeCell ref="A43:M43"/>
    <mergeCell ref="A32:M32"/>
    <mergeCell ref="A21:A22"/>
    <mergeCell ref="B21:C21"/>
    <mergeCell ref="D21:E21"/>
    <mergeCell ref="B22:C22"/>
    <mergeCell ref="D22:E22"/>
    <mergeCell ref="A26:M26"/>
    <mergeCell ref="A27:M27"/>
    <mergeCell ref="A28:M28"/>
    <mergeCell ref="A29:M29"/>
    <mergeCell ref="A30:M30"/>
    <mergeCell ref="A31:M31"/>
    <mergeCell ref="A18:E18"/>
    <mergeCell ref="A19:A20"/>
    <mergeCell ref="B19:C19"/>
    <mergeCell ref="D19:E19"/>
    <mergeCell ref="B20:C20"/>
    <mergeCell ref="D20:E20"/>
    <mergeCell ref="A14:A15"/>
    <mergeCell ref="B14:B15"/>
    <mergeCell ref="H14:H15"/>
    <mergeCell ref="A16:M16"/>
    <mergeCell ref="A17:E17"/>
    <mergeCell ref="H17:L17"/>
    <mergeCell ref="A10:A11"/>
    <mergeCell ref="B10:B11"/>
    <mergeCell ref="H10:H11"/>
    <mergeCell ref="A12:A13"/>
    <mergeCell ref="B12:B13"/>
    <mergeCell ref="H12:H13"/>
    <mergeCell ref="A6:A7"/>
    <mergeCell ref="B6:B7"/>
    <mergeCell ref="H6:H7"/>
    <mergeCell ref="N7:N8"/>
    <mergeCell ref="A8:A9"/>
    <mergeCell ref="B8:B9"/>
    <mergeCell ref="H8:H9"/>
    <mergeCell ref="A1:L1"/>
    <mergeCell ref="N3:P3"/>
    <mergeCell ref="A4:A5"/>
    <mergeCell ref="B4:B5"/>
    <mergeCell ref="H4:H5"/>
    <mergeCell ref="N4:N5"/>
  </mergeCells>
  <phoneticPr fontId="2"/>
  <pageMargins left="0.39370078740157483" right="0.31496062992125984" top="0.70866141732283472" bottom="0.70866141732283472"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46"/>
  <sheetViews>
    <sheetView zoomScaleNormal="100" workbookViewId="0"/>
  </sheetViews>
  <sheetFormatPr defaultRowHeight="12.75" x14ac:dyDescent="0.15"/>
  <cols>
    <col min="1" max="9" width="9" style="136"/>
    <col min="10" max="10" width="17.375" style="136" customWidth="1"/>
    <col min="11" max="16384" width="9" style="136"/>
  </cols>
  <sheetData>
    <row r="1" spans="1:11" ht="12.75" customHeight="1" x14ac:dyDescent="0.15">
      <c r="F1" s="394" t="s">
        <v>115</v>
      </c>
      <c r="G1" s="394"/>
      <c r="H1" s="397" t="str">
        <f>入力表!B6</f>
        <v>1･3号線各駅可動式ホーム柵設置に伴う建築工事設計業務委託</v>
      </c>
      <c r="I1" s="398"/>
      <c r="J1" s="399"/>
      <c r="K1" s="137"/>
    </row>
    <row r="2" spans="1:11" ht="12.75" customHeight="1" x14ac:dyDescent="0.15">
      <c r="F2" s="395"/>
      <c r="G2" s="395"/>
      <c r="H2" s="400"/>
      <c r="I2" s="401"/>
      <c r="J2" s="402"/>
      <c r="K2" s="137"/>
    </row>
    <row r="3" spans="1:11" x14ac:dyDescent="0.15">
      <c r="F3" s="396"/>
      <c r="G3" s="396"/>
      <c r="H3" s="403"/>
      <c r="I3" s="404"/>
      <c r="J3" s="405"/>
      <c r="K3" s="137"/>
    </row>
    <row r="4" spans="1:11" x14ac:dyDescent="0.15">
      <c r="F4" s="138"/>
      <c r="G4" s="138"/>
      <c r="H4" s="139"/>
      <c r="I4" s="139"/>
      <c r="J4" s="139"/>
      <c r="K4" s="137"/>
    </row>
    <row r="6" spans="1:11" x14ac:dyDescent="0.15">
      <c r="A6" s="140" t="s">
        <v>116</v>
      </c>
    </row>
    <row r="7" spans="1:11" x14ac:dyDescent="0.15">
      <c r="A7" s="140"/>
    </row>
    <row r="9" spans="1:11" s="141" customFormat="1" ht="20.25" customHeight="1" x14ac:dyDescent="0.15">
      <c r="A9" s="393" t="s">
        <v>117</v>
      </c>
      <c r="B9" s="393"/>
      <c r="C9" s="393"/>
      <c r="D9" s="393"/>
      <c r="E9" s="393"/>
      <c r="F9" s="393"/>
      <c r="G9" s="393"/>
      <c r="H9" s="393"/>
      <c r="I9" s="393"/>
      <c r="J9" s="393"/>
    </row>
    <row r="10" spans="1:11" s="141" customFormat="1" ht="20.25" customHeight="1" x14ac:dyDescent="0.15">
      <c r="A10" s="406" t="s">
        <v>118</v>
      </c>
      <c r="B10" s="406"/>
      <c r="C10" s="406"/>
      <c r="D10" s="406"/>
      <c r="E10" s="406"/>
      <c r="F10" s="406"/>
      <c r="G10" s="406"/>
      <c r="H10" s="406"/>
      <c r="I10" s="406"/>
      <c r="J10" s="406"/>
    </row>
    <row r="11" spans="1:11" s="141" customFormat="1" ht="20.25" customHeight="1" x14ac:dyDescent="0.15">
      <c r="A11" s="393" t="s">
        <v>119</v>
      </c>
      <c r="B11" s="393"/>
      <c r="C11" s="393"/>
      <c r="D11" s="393"/>
      <c r="E11" s="393"/>
      <c r="F11" s="393"/>
      <c r="G11" s="393"/>
      <c r="H11" s="393"/>
      <c r="I11" s="393"/>
      <c r="J11" s="393"/>
    </row>
    <row r="12" spans="1:11" s="141" customFormat="1" ht="20.25" customHeight="1" x14ac:dyDescent="0.15">
      <c r="A12" s="393" t="s">
        <v>120</v>
      </c>
      <c r="B12" s="393"/>
      <c r="C12" s="393"/>
      <c r="D12" s="393"/>
      <c r="E12" s="393"/>
      <c r="F12" s="393"/>
      <c r="G12" s="393"/>
      <c r="H12" s="393"/>
      <c r="I12" s="393"/>
      <c r="J12" s="393"/>
    </row>
    <row r="13" spans="1:11" s="141" customFormat="1" ht="20.25" customHeight="1" x14ac:dyDescent="0.15">
      <c r="A13" s="142"/>
      <c r="B13" s="389" t="s">
        <v>252</v>
      </c>
      <c r="C13" s="389"/>
      <c r="D13" s="389"/>
      <c r="E13" s="142"/>
      <c r="F13" s="390">
        <f>特約条項金額算出シート!D19</f>
        <v>0</v>
      </c>
      <c r="G13" s="391"/>
      <c r="H13" s="142" t="s">
        <v>121</v>
      </c>
      <c r="I13" s="142"/>
      <c r="J13" s="142"/>
    </row>
    <row r="14" spans="1:11" s="141" customFormat="1" ht="20.25" customHeight="1" x14ac:dyDescent="0.15">
      <c r="A14" s="142"/>
      <c r="B14" s="389" t="s">
        <v>253</v>
      </c>
      <c r="C14" s="389"/>
      <c r="D14" s="389"/>
      <c r="E14" s="142"/>
      <c r="F14" s="390">
        <f>特約条項金額算出シート!D20</f>
        <v>17841600</v>
      </c>
      <c r="G14" s="391"/>
      <c r="H14" s="142" t="s">
        <v>121</v>
      </c>
      <c r="I14" s="142"/>
      <c r="J14" s="142"/>
    </row>
    <row r="15" spans="1:11" s="141" customFormat="1" ht="20.25" customHeight="1" x14ac:dyDescent="0.15">
      <c r="A15" s="393" t="s">
        <v>122</v>
      </c>
      <c r="B15" s="393"/>
      <c r="C15" s="393"/>
      <c r="D15" s="393"/>
      <c r="E15" s="393"/>
      <c r="F15" s="393"/>
      <c r="G15" s="393"/>
      <c r="H15" s="393"/>
      <c r="I15" s="393"/>
      <c r="J15" s="393"/>
    </row>
    <row r="16" spans="1:11" s="141" customFormat="1" ht="20.25" customHeight="1" x14ac:dyDescent="0.15">
      <c r="A16" s="142"/>
      <c r="B16" s="389" t="str">
        <f>B13</f>
        <v>２０１９年度</v>
      </c>
      <c r="C16" s="389"/>
      <c r="D16" s="389"/>
      <c r="E16" s="142"/>
      <c r="F16" s="390">
        <f>特約条項金額算出シート!D21</f>
        <v>0</v>
      </c>
      <c r="G16" s="391"/>
      <c r="H16" s="142" t="s">
        <v>121</v>
      </c>
      <c r="I16" s="142"/>
      <c r="J16" s="142"/>
    </row>
    <row r="17" spans="1:10" s="141" customFormat="1" ht="20.25" customHeight="1" x14ac:dyDescent="0.15">
      <c r="A17" s="142"/>
      <c r="B17" s="389" t="str">
        <f>B14</f>
        <v>２０２０年度</v>
      </c>
      <c r="C17" s="389"/>
      <c r="D17" s="389"/>
      <c r="E17" s="142"/>
      <c r="F17" s="390">
        <f>特約条項金額算出シート!D22</f>
        <v>17841600</v>
      </c>
      <c r="G17" s="391"/>
      <c r="H17" s="142" t="s">
        <v>121</v>
      </c>
      <c r="I17" s="142"/>
      <c r="J17" s="142"/>
    </row>
    <row r="18" spans="1:10" s="141" customFormat="1" ht="20.25" customHeight="1" x14ac:dyDescent="0.15">
      <c r="A18" s="393" t="s">
        <v>123</v>
      </c>
      <c r="B18" s="393"/>
      <c r="C18" s="393"/>
      <c r="D18" s="393"/>
      <c r="E18" s="393"/>
      <c r="F18" s="393"/>
      <c r="G18" s="393"/>
      <c r="H18" s="393"/>
      <c r="I18" s="393"/>
      <c r="J18" s="393"/>
    </row>
    <row r="19" spans="1:10" s="141" customFormat="1" ht="20.25" customHeight="1" x14ac:dyDescent="0.15">
      <c r="A19" s="393" t="s">
        <v>124</v>
      </c>
      <c r="B19" s="393"/>
      <c r="C19" s="393"/>
      <c r="D19" s="393"/>
      <c r="E19" s="393"/>
      <c r="F19" s="393"/>
      <c r="G19" s="393"/>
      <c r="H19" s="393"/>
      <c r="I19" s="393"/>
      <c r="J19" s="393"/>
    </row>
    <row r="20" spans="1:10" s="141" customFormat="1" ht="20.25" customHeight="1" x14ac:dyDescent="0.15">
      <c r="A20" s="393"/>
      <c r="B20" s="393"/>
      <c r="C20" s="393"/>
      <c r="D20" s="393"/>
      <c r="E20" s="393"/>
      <c r="F20" s="393"/>
      <c r="G20" s="393"/>
      <c r="H20" s="393"/>
      <c r="I20" s="393"/>
      <c r="J20" s="393"/>
    </row>
    <row r="21" spans="1:10" s="141" customFormat="1" ht="20.25" customHeight="1" x14ac:dyDescent="0.15">
      <c r="A21" s="393" t="s">
        <v>125</v>
      </c>
      <c r="B21" s="393"/>
      <c r="C21" s="393"/>
      <c r="D21" s="393"/>
      <c r="E21" s="393"/>
      <c r="F21" s="393"/>
      <c r="G21" s="393"/>
      <c r="H21" s="393"/>
      <c r="I21" s="393"/>
      <c r="J21" s="393"/>
    </row>
    <row r="22" spans="1:10" s="141" customFormat="1" ht="20.25" customHeight="1" x14ac:dyDescent="0.15">
      <c r="A22" s="393" t="s">
        <v>126</v>
      </c>
      <c r="B22" s="393"/>
      <c r="C22" s="393"/>
      <c r="D22" s="393"/>
      <c r="E22" s="393"/>
      <c r="F22" s="393"/>
      <c r="G22" s="393"/>
      <c r="H22" s="393"/>
      <c r="I22" s="393"/>
      <c r="J22" s="393"/>
    </row>
    <row r="23" spans="1:10" s="141" customFormat="1" ht="20.25" customHeight="1" x14ac:dyDescent="0.15">
      <c r="A23" s="393" t="s">
        <v>127</v>
      </c>
      <c r="B23" s="393"/>
      <c r="C23" s="393"/>
      <c r="D23" s="393"/>
      <c r="E23" s="393"/>
      <c r="F23" s="393"/>
      <c r="G23" s="393"/>
      <c r="H23" s="393"/>
      <c r="I23" s="393"/>
      <c r="J23" s="393"/>
    </row>
    <row r="24" spans="1:10" s="141" customFormat="1" ht="20.25" customHeight="1" x14ac:dyDescent="0.15">
      <c r="A24" s="393" t="s">
        <v>128</v>
      </c>
      <c r="B24" s="393"/>
      <c r="C24" s="393"/>
      <c r="D24" s="393"/>
      <c r="E24" s="393"/>
      <c r="F24" s="393"/>
      <c r="G24" s="393"/>
      <c r="H24" s="393"/>
      <c r="I24" s="393"/>
      <c r="J24" s="393"/>
    </row>
    <row r="25" spans="1:10" s="141" customFormat="1" ht="20.25" customHeight="1" x14ac:dyDescent="0.15">
      <c r="A25" s="393" t="s">
        <v>129</v>
      </c>
      <c r="B25" s="393"/>
      <c r="C25" s="393"/>
      <c r="D25" s="393"/>
      <c r="E25" s="393"/>
      <c r="F25" s="393"/>
      <c r="G25" s="393"/>
      <c r="H25" s="393"/>
      <c r="I25" s="393"/>
      <c r="J25" s="393"/>
    </row>
    <row r="26" spans="1:10" s="141" customFormat="1" ht="20.25" customHeight="1" x14ac:dyDescent="0.15">
      <c r="A26" s="393" t="s">
        <v>130</v>
      </c>
      <c r="B26" s="393"/>
      <c r="C26" s="393"/>
      <c r="D26" s="393"/>
      <c r="E26" s="393"/>
      <c r="F26" s="393"/>
      <c r="G26" s="393"/>
      <c r="H26" s="393"/>
      <c r="I26" s="393"/>
      <c r="J26" s="393"/>
    </row>
    <row r="27" spans="1:10" s="141" customFormat="1" ht="20.25" customHeight="1" x14ac:dyDescent="0.15">
      <c r="A27" s="393" t="s">
        <v>131</v>
      </c>
      <c r="B27" s="393"/>
      <c r="C27" s="393"/>
      <c r="D27" s="393"/>
      <c r="E27" s="393"/>
      <c r="F27" s="393"/>
      <c r="G27" s="393"/>
      <c r="H27" s="393"/>
      <c r="I27" s="393"/>
      <c r="J27" s="393"/>
    </row>
    <row r="28" spans="1:10" s="141" customFormat="1" ht="20.25" customHeight="1" x14ac:dyDescent="0.15">
      <c r="A28" s="393" t="s">
        <v>132</v>
      </c>
      <c r="B28" s="393"/>
      <c r="C28" s="393"/>
      <c r="D28" s="393"/>
      <c r="E28" s="393"/>
      <c r="F28" s="393"/>
      <c r="G28" s="393"/>
      <c r="H28" s="393"/>
      <c r="I28" s="393"/>
      <c r="J28" s="393"/>
    </row>
    <row r="29" spans="1:10" s="141" customFormat="1" ht="20.25" customHeight="1" x14ac:dyDescent="0.15">
      <c r="A29" s="393" t="s">
        <v>133</v>
      </c>
      <c r="B29" s="393"/>
      <c r="C29" s="393"/>
      <c r="D29" s="393"/>
      <c r="E29" s="393"/>
      <c r="F29" s="393"/>
      <c r="G29" s="393"/>
      <c r="H29" s="393"/>
      <c r="I29" s="393"/>
      <c r="J29" s="393"/>
    </row>
    <row r="30" spans="1:10" s="141" customFormat="1" ht="20.25" customHeight="1" x14ac:dyDescent="0.15">
      <c r="A30" s="393" t="s">
        <v>134</v>
      </c>
      <c r="B30" s="393"/>
      <c r="C30" s="393"/>
      <c r="D30" s="393"/>
      <c r="E30" s="393"/>
      <c r="F30" s="393"/>
      <c r="G30" s="393"/>
      <c r="H30" s="393"/>
      <c r="I30" s="393"/>
      <c r="J30" s="393"/>
    </row>
    <row r="31" spans="1:10" s="141" customFormat="1" ht="20.25" customHeight="1" x14ac:dyDescent="0.15">
      <c r="A31" s="393" t="s">
        <v>135</v>
      </c>
      <c r="B31" s="393"/>
      <c r="C31" s="393"/>
      <c r="D31" s="393"/>
      <c r="E31" s="393"/>
      <c r="F31" s="393"/>
      <c r="G31" s="393"/>
      <c r="H31" s="393"/>
      <c r="I31" s="393"/>
      <c r="J31" s="393"/>
    </row>
    <row r="32" spans="1:10" s="141" customFormat="1" ht="20.25" customHeight="1" x14ac:dyDescent="0.15">
      <c r="A32" s="393" t="s">
        <v>136</v>
      </c>
      <c r="B32" s="393"/>
      <c r="C32" s="393"/>
      <c r="D32" s="393"/>
      <c r="E32" s="393"/>
      <c r="F32" s="393"/>
      <c r="G32" s="393"/>
      <c r="H32" s="393"/>
      <c r="I32" s="393"/>
      <c r="J32" s="393"/>
    </row>
    <row r="33" spans="1:10" s="141" customFormat="1" ht="20.25" customHeight="1" x14ac:dyDescent="0.15">
      <c r="A33" s="393" t="s">
        <v>137</v>
      </c>
      <c r="B33" s="393"/>
      <c r="C33" s="393"/>
      <c r="D33" s="393"/>
      <c r="E33" s="393"/>
      <c r="F33" s="393"/>
      <c r="G33" s="393"/>
      <c r="H33" s="393"/>
      <c r="I33" s="393"/>
      <c r="J33" s="393"/>
    </row>
    <row r="34" spans="1:10" s="141" customFormat="1" ht="20.25" customHeight="1" x14ac:dyDescent="0.15">
      <c r="A34" s="393" t="s">
        <v>138</v>
      </c>
      <c r="B34" s="393"/>
      <c r="C34" s="393"/>
      <c r="D34" s="393"/>
      <c r="E34" s="393"/>
      <c r="F34" s="393"/>
      <c r="G34" s="393"/>
      <c r="H34" s="393"/>
      <c r="I34" s="393"/>
      <c r="J34" s="393"/>
    </row>
    <row r="35" spans="1:10" s="141" customFormat="1" ht="20.25" customHeight="1" x14ac:dyDescent="0.15">
      <c r="A35" s="393" t="s">
        <v>139</v>
      </c>
      <c r="B35" s="393"/>
      <c r="C35" s="393"/>
      <c r="D35" s="393"/>
      <c r="E35" s="393"/>
      <c r="F35" s="393"/>
      <c r="G35" s="393"/>
      <c r="H35" s="393"/>
      <c r="I35" s="393"/>
      <c r="J35" s="393"/>
    </row>
    <row r="36" spans="1:10" s="141" customFormat="1" ht="20.25" customHeight="1" x14ac:dyDescent="0.15">
      <c r="A36" s="393" t="s">
        <v>140</v>
      </c>
      <c r="B36" s="393"/>
      <c r="C36" s="393"/>
      <c r="D36" s="393"/>
      <c r="E36" s="393"/>
      <c r="F36" s="393"/>
      <c r="G36" s="393"/>
      <c r="H36" s="393"/>
      <c r="I36" s="393"/>
      <c r="J36" s="393"/>
    </row>
    <row r="37" spans="1:10" s="141" customFormat="1" ht="20.25" customHeight="1" x14ac:dyDescent="0.15">
      <c r="A37" s="393"/>
      <c r="B37" s="393"/>
      <c r="C37" s="393"/>
      <c r="D37" s="393"/>
      <c r="E37" s="393"/>
      <c r="F37" s="393"/>
      <c r="G37" s="393"/>
      <c r="H37" s="393"/>
      <c r="I37" s="393"/>
      <c r="J37" s="393"/>
    </row>
    <row r="38" spans="1:10" s="141" customFormat="1" ht="20.25" customHeight="1" x14ac:dyDescent="0.15">
      <c r="A38" s="393" t="s">
        <v>141</v>
      </c>
      <c r="B38" s="393"/>
      <c r="C38" s="393"/>
      <c r="D38" s="393"/>
      <c r="E38" s="393"/>
      <c r="F38" s="393"/>
      <c r="G38" s="393"/>
      <c r="H38" s="393"/>
      <c r="I38" s="393"/>
      <c r="J38" s="393"/>
    </row>
    <row r="39" spans="1:10" s="141" customFormat="1" ht="20.25" customHeight="1" x14ac:dyDescent="0.15">
      <c r="A39" s="393" t="s">
        <v>142</v>
      </c>
      <c r="B39" s="393"/>
      <c r="C39" s="393"/>
      <c r="D39" s="393"/>
      <c r="E39" s="393"/>
      <c r="F39" s="393"/>
      <c r="G39" s="393"/>
      <c r="H39" s="393"/>
      <c r="I39" s="393"/>
      <c r="J39" s="393"/>
    </row>
    <row r="40" spans="1:10" s="141" customFormat="1" ht="20.25" customHeight="1" x14ac:dyDescent="0.15">
      <c r="A40" s="393" t="s">
        <v>143</v>
      </c>
      <c r="B40" s="393"/>
      <c r="C40" s="393"/>
      <c r="D40" s="393"/>
      <c r="E40" s="393"/>
      <c r="F40" s="393"/>
      <c r="G40" s="393"/>
      <c r="H40" s="393"/>
      <c r="I40" s="393"/>
      <c r="J40" s="393"/>
    </row>
    <row r="41" spans="1:10" s="141" customFormat="1" ht="20.25" customHeight="1" x14ac:dyDescent="0.15">
      <c r="A41" s="393" t="s">
        <v>144</v>
      </c>
      <c r="B41" s="393"/>
      <c r="C41" s="393"/>
      <c r="D41" s="393"/>
      <c r="E41" s="393"/>
      <c r="F41" s="393"/>
      <c r="G41" s="393"/>
      <c r="H41" s="393"/>
      <c r="I41" s="393"/>
      <c r="J41" s="393"/>
    </row>
    <row r="42" spans="1:10" s="141" customFormat="1" ht="20.25" customHeight="1" x14ac:dyDescent="0.15">
      <c r="A42" s="393" t="s">
        <v>145</v>
      </c>
      <c r="B42" s="393"/>
      <c r="C42" s="393"/>
      <c r="D42" s="393"/>
      <c r="E42" s="393"/>
      <c r="F42" s="393"/>
      <c r="G42" s="393"/>
      <c r="H42" s="393"/>
      <c r="I42" s="393"/>
      <c r="J42" s="393"/>
    </row>
    <row r="43" spans="1:10" s="141" customFormat="1" ht="20.25" customHeight="1" x14ac:dyDescent="0.15">
      <c r="A43" s="393" t="s">
        <v>146</v>
      </c>
      <c r="B43" s="393"/>
      <c r="C43" s="393"/>
      <c r="D43" s="393"/>
      <c r="E43" s="393"/>
      <c r="F43" s="393"/>
      <c r="G43" s="393"/>
      <c r="H43" s="393"/>
      <c r="I43" s="393"/>
      <c r="J43" s="393"/>
    </row>
    <row r="44" spans="1:10" s="143" customFormat="1" ht="20.25" customHeight="1" x14ac:dyDescent="0.15">
      <c r="A44" s="392" t="s">
        <v>147</v>
      </c>
      <c r="B44" s="392"/>
      <c r="C44" s="392"/>
      <c r="D44" s="392"/>
      <c r="E44" s="392"/>
      <c r="F44" s="392"/>
      <c r="G44" s="392"/>
      <c r="H44" s="392"/>
      <c r="I44" s="392"/>
      <c r="J44" s="392"/>
    </row>
    <row r="45" spans="1:10" s="143" customFormat="1" ht="20.25" customHeight="1" x14ac:dyDescent="0.15">
      <c r="A45" s="392" t="s">
        <v>148</v>
      </c>
      <c r="B45" s="392"/>
      <c r="C45" s="392"/>
      <c r="D45" s="392"/>
      <c r="E45" s="392"/>
      <c r="F45" s="392"/>
      <c r="G45" s="392"/>
      <c r="H45" s="392"/>
      <c r="I45" s="392"/>
      <c r="J45" s="392"/>
    </row>
    <row r="46" spans="1:10" s="143" customFormat="1" ht="20.25" customHeight="1" x14ac:dyDescent="0.15">
      <c r="A46" s="392" t="s">
        <v>149</v>
      </c>
      <c r="B46" s="392"/>
      <c r="C46" s="392"/>
      <c r="D46" s="392"/>
      <c r="E46" s="392"/>
      <c r="F46" s="392"/>
      <c r="G46" s="392"/>
      <c r="H46" s="392"/>
      <c r="I46" s="392"/>
      <c r="J46" s="392"/>
    </row>
    <row r="47" spans="1:10" s="143" customFormat="1" ht="20.25" customHeight="1" x14ac:dyDescent="0.15">
      <c r="A47" s="392" t="s">
        <v>150</v>
      </c>
      <c r="B47" s="392"/>
      <c r="C47" s="392"/>
      <c r="D47" s="392"/>
      <c r="E47" s="392"/>
      <c r="F47" s="392"/>
      <c r="G47" s="392"/>
      <c r="H47" s="392"/>
      <c r="I47" s="392"/>
      <c r="J47" s="392"/>
    </row>
    <row r="48" spans="1:10" s="143" customFormat="1" ht="20.25" customHeight="1" x14ac:dyDescent="0.15">
      <c r="A48" s="392" t="s">
        <v>151</v>
      </c>
      <c r="B48" s="392"/>
      <c r="C48" s="392"/>
      <c r="D48" s="392"/>
      <c r="E48" s="392"/>
      <c r="F48" s="392"/>
      <c r="G48" s="392"/>
      <c r="H48" s="392"/>
      <c r="I48" s="392"/>
      <c r="J48" s="392"/>
    </row>
    <row r="49" spans="1:10" s="143" customFormat="1" ht="20.25" customHeight="1" x14ac:dyDescent="0.15">
      <c r="A49" s="392" t="s">
        <v>152</v>
      </c>
      <c r="B49" s="392"/>
      <c r="C49" s="392"/>
      <c r="D49" s="392"/>
      <c r="E49" s="392"/>
      <c r="F49" s="392"/>
      <c r="G49" s="392"/>
      <c r="H49" s="392"/>
      <c r="I49" s="392"/>
      <c r="J49" s="392"/>
    </row>
    <row r="50" spans="1:10" s="143" customFormat="1" ht="20.25" customHeight="1" x14ac:dyDescent="0.15">
      <c r="A50" s="392" t="s">
        <v>153</v>
      </c>
      <c r="B50" s="392"/>
      <c r="C50" s="392"/>
      <c r="D50" s="392"/>
      <c r="E50" s="392"/>
      <c r="F50" s="392"/>
      <c r="G50" s="392"/>
      <c r="H50" s="392"/>
      <c r="I50" s="392"/>
      <c r="J50" s="392"/>
    </row>
    <row r="51" spans="1:10" s="143" customFormat="1" ht="20.25" customHeight="1" x14ac:dyDescent="0.15">
      <c r="A51" s="392" t="s">
        <v>154</v>
      </c>
      <c r="B51" s="392"/>
      <c r="C51" s="392"/>
      <c r="D51" s="392"/>
      <c r="E51" s="392"/>
      <c r="F51" s="392"/>
      <c r="G51" s="392"/>
      <c r="H51" s="392"/>
      <c r="I51" s="392"/>
      <c r="J51" s="392"/>
    </row>
    <row r="52" spans="1:10" s="143" customFormat="1" ht="20.25" customHeight="1" x14ac:dyDescent="0.15">
      <c r="A52" s="392"/>
      <c r="B52" s="392"/>
      <c r="C52" s="392"/>
      <c r="D52" s="392"/>
      <c r="E52" s="392"/>
      <c r="F52" s="392"/>
      <c r="G52" s="392"/>
      <c r="H52" s="392"/>
      <c r="I52" s="392"/>
      <c r="J52" s="392"/>
    </row>
    <row r="53" spans="1:10" s="143" customFormat="1" ht="20.25" customHeight="1" x14ac:dyDescent="0.15">
      <c r="A53" s="392"/>
      <c r="B53" s="392"/>
      <c r="C53" s="392"/>
      <c r="D53" s="392"/>
      <c r="E53" s="392"/>
      <c r="F53" s="392"/>
      <c r="G53" s="392"/>
      <c r="H53" s="392"/>
      <c r="I53" s="392"/>
      <c r="J53" s="392"/>
    </row>
    <row r="54" spans="1:10" s="143" customFormat="1" ht="20.25" customHeight="1" x14ac:dyDescent="0.15">
      <c r="A54" s="392"/>
      <c r="B54" s="392"/>
      <c r="C54" s="392"/>
      <c r="D54" s="392"/>
      <c r="E54" s="392"/>
      <c r="F54" s="392"/>
      <c r="G54" s="392"/>
      <c r="H54" s="392"/>
      <c r="I54" s="392"/>
      <c r="J54" s="392"/>
    </row>
    <row r="55" spans="1:10" s="143" customFormat="1" ht="20.25" customHeight="1" x14ac:dyDescent="0.15">
      <c r="A55" s="392"/>
      <c r="B55" s="392"/>
      <c r="C55" s="392"/>
      <c r="D55" s="392"/>
      <c r="E55" s="392"/>
      <c r="F55" s="392"/>
      <c r="G55" s="392"/>
      <c r="H55" s="392"/>
      <c r="I55" s="392"/>
      <c r="J55" s="392"/>
    </row>
    <row r="56" spans="1:10" s="143" customFormat="1" ht="20.25" customHeight="1" x14ac:dyDescent="0.15">
      <c r="A56" s="392"/>
      <c r="B56" s="392"/>
      <c r="C56" s="392"/>
      <c r="D56" s="392"/>
      <c r="E56" s="392"/>
      <c r="F56" s="392"/>
      <c r="G56" s="392"/>
      <c r="H56" s="392"/>
      <c r="I56" s="392"/>
      <c r="J56" s="392"/>
    </row>
    <row r="57" spans="1:10" s="144" customFormat="1" ht="20.25" customHeight="1" x14ac:dyDescent="0.15">
      <c r="A57" s="392"/>
      <c r="B57" s="392"/>
      <c r="C57" s="392"/>
      <c r="D57" s="392"/>
      <c r="E57" s="392"/>
      <c r="F57" s="392"/>
      <c r="G57" s="392"/>
      <c r="H57" s="392"/>
      <c r="I57" s="392"/>
      <c r="J57" s="392"/>
    </row>
    <row r="58" spans="1:10" s="144" customFormat="1" ht="20.25" customHeight="1" x14ac:dyDescent="0.15">
      <c r="A58" s="392"/>
      <c r="B58" s="392"/>
      <c r="C58" s="392"/>
      <c r="D58" s="392"/>
      <c r="E58" s="392"/>
      <c r="F58" s="392"/>
      <c r="G58" s="392"/>
      <c r="H58" s="392"/>
      <c r="I58" s="392"/>
      <c r="J58" s="392"/>
    </row>
    <row r="59" spans="1:10" s="144" customFormat="1" ht="20.25" customHeight="1" x14ac:dyDescent="0.15">
      <c r="A59" s="392"/>
      <c r="B59" s="392"/>
      <c r="C59" s="392"/>
      <c r="D59" s="392"/>
      <c r="E59" s="392"/>
      <c r="F59" s="392"/>
      <c r="G59" s="392"/>
      <c r="H59" s="392"/>
      <c r="I59" s="392"/>
      <c r="J59" s="392"/>
    </row>
    <row r="60" spans="1:10" s="144" customFormat="1" x14ac:dyDescent="0.15">
      <c r="A60" s="392"/>
      <c r="B60" s="392"/>
      <c r="C60" s="392"/>
      <c r="D60" s="392"/>
      <c r="E60" s="392"/>
      <c r="F60" s="392"/>
      <c r="G60" s="392"/>
      <c r="H60" s="392"/>
      <c r="I60" s="392"/>
      <c r="J60" s="392"/>
    </row>
    <row r="61" spans="1:10" s="144" customFormat="1" x14ac:dyDescent="0.15">
      <c r="A61" s="392"/>
      <c r="B61" s="392"/>
      <c r="C61" s="392"/>
      <c r="D61" s="392"/>
      <c r="E61" s="392"/>
      <c r="F61" s="392"/>
      <c r="G61" s="392"/>
      <c r="H61" s="392"/>
      <c r="I61" s="392"/>
      <c r="J61" s="392"/>
    </row>
    <row r="62" spans="1:10" s="144" customFormat="1" x14ac:dyDescent="0.15">
      <c r="A62" s="392"/>
      <c r="B62" s="392"/>
      <c r="C62" s="392"/>
      <c r="D62" s="392"/>
      <c r="E62" s="392"/>
      <c r="F62" s="392"/>
      <c r="G62" s="392"/>
      <c r="H62" s="392"/>
      <c r="I62" s="392"/>
      <c r="J62" s="392"/>
    </row>
    <row r="63" spans="1:10" s="144" customFormat="1" x14ac:dyDescent="0.15">
      <c r="A63" s="392"/>
      <c r="B63" s="392"/>
      <c r="C63" s="392"/>
      <c r="D63" s="392"/>
      <c r="E63" s="392"/>
      <c r="F63" s="392"/>
      <c r="G63" s="392"/>
      <c r="H63" s="392"/>
      <c r="I63" s="392"/>
      <c r="J63" s="392"/>
    </row>
    <row r="64" spans="1:10" s="144" customFormat="1" x14ac:dyDescent="0.15">
      <c r="A64" s="392"/>
      <c r="B64" s="392"/>
      <c r="C64" s="392"/>
      <c r="D64" s="392"/>
      <c r="E64" s="392"/>
      <c r="F64" s="392"/>
      <c r="G64" s="392"/>
      <c r="H64" s="392"/>
      <c r="I64" s="392"/>
      <c r="J64" s="392"/>
    </row>
    <row r="65" spans="1:10" s="144" customFormat="1" x14ac:dyDescent="0.15">
      <c r="A65" s="386"/>
      <c r="B65" s="386"/>
      <c r="C65" s="386"/>
      <c r="D65" s="386"/>
      <c r="E65" s="386"/>
      <c r="F65" s="386"/>
      <c r="G65" s="386"/>
      <c r="H65" s="386"/>
      <c r="I65" s="386"/>
      <c r="J65" s="386"/>
    </row>
    <row r="66" spans="1:10" s="144" customFormat="1" x14ac:dyDescent="0.15">
      <c r="A66" s="386"/>
      <c r="B66" s="386"/>
      <c r="C66" s="386"/>
      <c r="D66" s="386"/>
      <c r="E66" s="386"/>
      <c r="F66" s="386"/>
      <c r="G66" s="386"/>
      <c r="H66" s="386"/>
      <c r="I66" s="386"/>
      <c r="J66" s="386"/>
    </row>
    <row r="67" spans="1:10" s="144" customFormat="1" x14ac:dyDescent="0.15">
      <c r="A67" s="386"/>
      <c r="B67" s="386"/>
      <c r="C67" s="386"/>
      <c r="D67" s="386"/>
      <c r="E67" s="386"/>
      <c r="F67" s="386"/>
      <c r="G67" s="386"/>
      <c r="H67" s="386"/>
      <c r="I67" s="386"/>
      <c r="J67" s="386"/>
    </row>
    <row r="68" spans="1:10" s="144" customFormat="1" x14ac:dyDescent="0.15">
      <c r="A68" s="386"/>
      <c r="B68" s="386"/>
      <c r="C68" s="386"/>
      <c r="D68" s="386"/>
      <c r="E68" s="386"/>
      <c r="F68" s="386"/>
      <c r="G68" s="386"/>
      <c r="H68" s="386"/>
      <c r="I68" s="386"/>
      <c r="J68" s="386"/>
    </row>
    <row r="69" spans="1:10" s="144" customFormat="1" x14ac:dyDescent="0.15">
      <c r="A69" s="386"/>
      <c r="B69" s="386"/>
      <c r="C69" s="386"/>
      <c r="D69" s="386"/>
      <c r="E69" s="386"/>
      <c r="F69" s="386"/>
      <c r="G69" s="386"/>
      <c r="H69" s="386"/>
      <c r="I69" s="386"/>
      <c r="J69" s="386"/>
    </row>
    <row r="70" spans="1:10" s="144" customFormat="1" x14ac:dyDescent="0.15">
      <c r="A70" s="386"/>
      <c r="B70" s="386"/>
      <c r="C70" s="386"/>
      <c r="D70" s="386"/>
      <c r="E70" s="386"/>
      <c r="F70" s="386"/>
      <c r="G70" s="386"/>
      <c r="H70" s="386"/>
      <c r="I70" s="386"/>
      <c r="J70" s="386"/>
    </row>
    <row r="71" spans="1:10" s="144" customFormat="1" x14ac:dyDescent="0.15">
      <c r="A71" s="386"/>
      <c r="B71" s="386"/>
      <c r="C71" s="386"/>
      <c r="D71" s="386"/>
      <c r="E71" s="386"/>
      <c r="F71" s="386"/>
      <c r="G71" s="386"/>
      <c r="H71" s="386"/>
      <c r="I71" s="386"/>
      <c r="J71" s="386"/>
    </row>
    <row r="72" spans="1:10" s="144" customFormat="1" x14ac:dyDescent="0.15">
      <c r="A72" s="386"/>
      <c r="B72" s="386"/>
      <c r="C72" s="386"/>
      <c r="D72" s="386"/>
      <c r="E72" s="386"/>
      <c r="F72" s="386"/>
      <c r="G72" s="386"/>
      <c r="H72" s="386"/>
      <c r="I72" s="386"/>
      <c r="J72" s="386"/>
    </row>
    <row r="73" spans="1:10" s="144" customFormat="1" x14ac:dyDescent="0.15">
      <c r="A73" s="386"/>
      <c r="B73" s="386"/>
      <c r="C73" s="386"/>
      <c r="D73" s="386"/>
      <c r="E73" s="386"/>
      <c r="F73" s="386"/>
      <c r="G73" s="386"/>
      <c r="H73" s="386"/>
      <c r="I73" s="386"/>
      <c r="J73" s="386"/>
    </row>
    <row r="74" spans="1:10" s="144" customFormat="1" x14ac:dyDescent="0.15">
      <c r="A74" s="386"/>
      <c r="B74" s="386"/>
      <c r="C74" s="386"/>
      <c r="D74" s="386"/>
      <c r="E74" s="386"/>
      <c r="F74" s="386"/>
      <c r="G74" s="386"/>
      <c r="H74" s="386"/>
      <c r="I74" s="386"/>
      <c r="J74" s="386"/>
    </row>
    <row r="75" spans="1:10" s="144" customFormat="1" x14ac:dyDescent="0.15">
      <c r="A75" s="386"/>
      <c r="B75" s="386"/>
      <c r="C75" s="386"/>
      <c r="D75" s="386"/>
      <c r="E75" s="386"/>
      <c r="F75" s="386"/>
      <c r="G75" s="386"/>
      <c r="H75" s="386"/>
      <c r="I75" s="386"/>
      <c r="J75" s="386"/>
    </row>
    <row r="76" spans="1:10" s="144" customFormat="1" x14ac:dyDescent="0.15">
      <c r="A76" s="386"/>
      <c r="B76" s="386"/>
      <c r="C76" s="386"/>
      <c r="D76" s="386"/>
      <c r="E76" s="386"/>
      <c r="F76" s="386"/>
      <c r="G76" s="386"/>
      <c r="H76" s="386"/>
      <c r="I76" s="386"/>
      <c r="J76" s="386"/>
    </row>
    <row r="77" spans="1:10" s="144" customFormat="1" x14ac:dyDescent="0.15">
      <c r="A77" s="386"/>
      <c r="B77" s="386"/>
      <c r="C77" s="386"/>
      <c r="D77" s="386"/>
      <c r="E77" s="386"/>
      <c r="F77" s="386"/>
      <c r="G77" s="386"/>
      <c r="H77" s="386"/>
      <c r="I77" s="386"/>
      <c r="J77" s="386"/>
    </row>
    <row r="78" spans="1:10" s="144" customFormat="1" x14ac:dyDescent="0.15">
      <c r="A78" s="386"/>
      <c r="B78" s="386"/>
      <c r="C78" s="386"/>
      <c r="D78" s="386"/>
      <c r="E78" s="386"/>
      <c r="F78" s="386"/>
      <c r="G78" s="386"/>
      <c r="H78" s="386"/>
      <c r="I78" s="386"/>
      <c r="J78" s="386"/>
    </row>
    <row r="79" spans="1:10" s="144" customFormat="1" x14ac:dyDescent="0.15">
      <c r="A79" s="386"/>
      <c r="B79" s="386"/>
      <c r="C79" s="386"/>
      <c r="D79" s="386"/>
      <c r="E79" s="386"/>
      <c r="F79" s="386"/>
      <c r="G79" s="386"/>
      <c r="H79" s="386"/>
      <c r="I79" s="386"/>
      <c r="J79" s="386"/>
    </row>
    <row r="80" spans="1:10" s="144" customFormat="1" x14ac:dyDescent="0.15">
      <c r="A80" s="386"/>
      <c r="B80" s="386"/>
      <c r="C80" s="386"/>
      <c r="D80" s="386"/>
      <c r="E80" s="386"/>
      <c r="F80" s="386"/>
      <c r="G80" s="386"/>
      <c r="H80" s="386"/>
      <c r="I80" s="386"/>
      <c r="J80" s="386"/>
    </row>
    <row r="81" spans="1:10" s="144" customFormat="1" x14ac:dyDescent="0.15">
      <c r="A81" s="386"/>
      <c r="B81" s="386"/>
      <c r="C81" s="386"/>
      <c r="D81" s="386"/>
      <c r="E81" s="386"/>
      <c r="F81" s="386"/>
      <c r="G81" s="386"/>
      <c r="H81" s="386"/>
      <c r="I81" s="386"/>
      <c r="J81" s="386"/>
    </row>
    <row r="82" spans="1:10" s="144" customFormat="1" x14ac:dyDescent="0.15">
      <c r="A82" s="386"/>
      <c r="B82" s="386"/>
      <c r="C82" s="386"/>
      <c r="D82" s="386"/>
      <c r="E82" s="386"/>
      <c r="F82" s="386"/>
      <c r="G82" s="386"/>
      <c r="H82" s="386"/>
      <c r="I82" s="386"/>
      <c r="J82" s="386"/>
    </row>
    <row r="83" spans="1:10" s="144" customFormat="1" x14ac:dyDescent="0.15">
      <c r="A83" s="386"/>
      <c r="B83" s="386"/>
      <c r="C83" s="386"/>
      <c r="D83" s="386"/>
      <c r="E83" s="386"/>
      <c r="F83" s="386"/>
      <c r="G83" s="386"/>
      <c r="H83" s="386"/>
      <c r="I83" s="386"/>
      <c r="J83" s="386"/>
    </row>
    <row r="84" spans="1:10" s="144" customFormat="1" x14ac:dyDescent="0.15">
      <c r="A84" s="386"/>
      <c r="B84" s="386"/>
      <c r="C84" s="386"/>
      <c r="D84" s="386"/>
      <c r="E84" s="386"/>
      <c r="F84" s="386"/>
      <c r="G84" s="386"/>
      <c r="H84" s="386"/>
      <c r="I84" s="386"/>
      <c r="J84" s="386"/>
    </row>
    <row r="85" spans="1:10" s="144" customFormat="1" x14ac:dyDescent="0.15">
      <c r="A85" s="386"/>
      <c r="B85" s="386"/>
      <c r="C85" s="386"/>
      <c r="D85" s="386"/>
      <c r="E85" s="386"/>
      <c r="F85" s="386"/>
      <c r="G85" s="386"/>
      <c r="H85" s="386"/>
      <c r="I85" s="386"/>
      <c r="J85" s="386"/>
    </row>
    <row r="86" spans="1:10" s="144" customFormat="1" x14ac:dyDescent="0.15">
      <c r="A86" s="386"/>
      <c r="B86" s="386"/>
      <c r="C86" s="386"/>
      <c r="D86" s="386"/>
      <c r="E86" s="386"/>
      <c r="F86" s="386"/>
      <c r="G86" s="386"/>
      <c r="H86" s="386"/>
      <c r="I86" s="386"/>
      <c r="J86" s="386"/>
    </row>
    <row r="87" spans="1:10" s="144" customFormat="1" x14ac:dyDescent="0.15">
      <c r="A87" s="386"/>
      <c r="B87" s="386"/>
      <c r="C87" s="386"/>
      <c r="D87" s="386"/>
      <c r="E87" s="386"/>
      <c r="F87" s="386"/>
      <c r="G87" s="386"/>
      <c r="H87" s="386"/>
      <c r="I87" s="386"/>
      <c r="J87" s="386"/>
    </row>
    <row r="88" spans="1:10" s="144" customFormat="1" x14ac:dyDescent="0.15">
      <c r="A88" s="386"/>
      <c r="B88" s="386"/>
      <c r="C88" s="386"/>
      <c r="D88" s="386"/>
      <c r="E88" s="386"/>
      <c r="F88" s="386"/>
      <c r="G88" s="386"/>
      <c r="H88" s="386"/>
      <c r="I88" s="386"/>
      <c r="J88" s="386"/>
    </row>
    <row r="89" spans="1:10" s="144" customFormat="1" x14ac:dyDescent="0.15">
      <c r="A89" s="386"/>
      <c r="B89" s="386"/>
      <c r="C89" s="386"/>
      <c r="D89" s="386"/>
      <c r="E89" s="386"/>
      <c r="F89" s="386"/>
      <c r="G89" s="386"/>
      <c r="H89" s="386"/>
      <c r="I89" s="386"/>
      <c r="J89" s="386"/>
    </row>
    <row r="90" spans="1:10" s="144" customFormat="1" x14ac:dyDescent="0.15">
      <c r="A90" s="386"/>
      <c r="B90" s="386"/>
      <c r="C90" s="386"/>
      <c r="D90" s="386"/>
      <c r="E90" s="386"/>
      <c r="F90" s="386"/>
      <c r="G90" s="386"/>
      <c r="H90" s="386"/>
      <c r="I90" s="386"/>
      <c r="J90" s="386"/>
    </row>
    <row r="91" spans="1:10" s="144" customFormat="1" x14ac:dyDescent="0.15">
      <c r="A91" s="386"/>
      <c r="B91" s="386"/>
      <c r="C91" s="386"/>
      <c r="D91" s="386"/>
      <c r="E91" s="386"/>
      <c r="F91" s="386"/>
      <c r="G91" s="386"/>
      <c r="H91" s="386"/>
      <c r="I91" s="386"/>
      <c r="J91" s="386"/>
    </row>
    <row r="92" spans="1:10" s="144" customFormat="1" x14ac:dyDescent="0.15">
      <c r="A92" s="386"/>
      <c r="B92" s="386"/>
      <c r="C92" s="386"/>
      <c r="D92" s="386"/>
      <c r="E92" s="386"/>
      <c r="F92" s="386"/>
      <c r="G92" s="386"/>
      <c r="H92" s="386"/>
      <c r="I92" s="386"/>
      <c r="J92" s="386"/>
    </row>
    <row r="93" spans="1:10" s="144" customFormat="1" x14ac:dyDescent="0.15">
      <c r="A93" s="386"/>
      <c r="B93" s="386"/>
      <c r="C93" s="386"/>
      <c r="D93" s="386"/>
      <c r="E93" s="386"/>
      <c r="F93" s="386"/>
      <c r="G93" s="386"/>
      <c r="H93" s="386"/>
      <c r="I93" s="386"/>
      <c r="J93" s="386"/>
    </row>
    <row r="94" spans="1:10" s="144" customFormat="1" x14ac:dyDescent="0.15">
      <c r="A94" s="386"/>
      <c r="B94" s="386"/>
      <c r="C94" s="386"/>
      <c r="D94" s="386"/>
      <c r="E94" s="386"/>
      <c r="F94" s="386"/>
      <c r="G94" s="386"/>
      <c r="H94" s="386"/>
      <c r="I94" s="386"/>
      <c r="J94" s="386"/>
    </row>
    <row r="95" spans="1:10" s="144" customFormat="1" x14ac:dyDescent="0.15">
      <c r="A95" s="386"/>
      <c r="B95" s="386"/>
      <c r="C95" s="386"/>
      <c r="D95" s="386"/>
      <c r="E95" s="386"/>
      <c r="F95" s="386"/>
      <c r="G95" s="386"/>
      <c r="H95" s="386"/>
      <c r="I95" s="386"/>
      <c r="J95" s="386"/>
    </row>
    <row r="96" spans="1:10" s="144" customFormat="1" x14ac:dyDescent="0.15">
      <c r="A96" s="386"/>
      <c r="B96" s="386"/>
      <c r="C96" s="386"/>
      <c r="D96" s="386"/>
      <c r="E96" s="386"/>
      <c r="F96" s="386"/>
      <c r="G96" s="386"/>
      <c r="H96" s="386"/>
      <c r="I96" s="386"/>
      <c r="J96" s="386"/>
    </row>
    <row r="97" spans="1:10" s="144" customFormat="1" x14ac:dyDescent="0.15">
      <c r="A97" s="386"/>
      <c r="B97" s="386"/>
      <c r="C97" s="386"/>
      <c r="D97" s="386"/>
      <c r="E97" s="386"/>
      <c r="F97" s="386"/>
      <c r="G97" s="386"/>
      <c r="H97" s="386"/>
      <c r="I97" s="386"/>
      <c r="J97" s="386"/>
    </row>
    <row r="98" spans="1:10" s="144" customFormat="1" x14ac:dyDescent="0.15">
      <c r="A98" s="386"/>
      <c r="B98" s="386"/>
      <c r="C98" s="386"/>
      <c r="D98" s="386"/>
      <c r="E98" s="386"/>
      <c r="F98" s="386"/>
      <c r="G98" s="386"/>
      <c r="H98" s="386"/>
      <c r="I98" s="386"/>
      <c r="J98" s="386"/>
    </row>
    <row r="99" spans="1:10" s="144" customFormat="1" x14ac:dyDescent="0.15">
      <c r="A99" s="386"/>
      <c r="B99" s="386"/>
      <c r="C99" s="386"/>
      <c r="D99" s="386"/>
      <c r="E99" s="386"/>
      <c r="F99" s="386"/>
      <c r="G99" s="386"/>
      <c r="H99" s="386"/>
      <c r="I99" s="386"/>
      <c r="J99" s="386"/>
    </row>
    <row r="100" spans="1:10" s="144" customFormat="1" x14ac:dyDescent="0.15">
      <c r="A100" s="386"/>
      <c r="B100" s="386"/>
      <c r="C100" s="386"/>
      <c r="D100" s="386"/>
      <c r="E100" s="386"/>
      <c r="F100" s="386"/>
      <c r="G100" s="386"/>
      <c r="H100" s="386"/>
      <c r="I100" s="386"/>
      <c r="J100" s="386"/>
    </row>
    <row r="101" spans="1:10" s="144" customFormat="1" x14ac:dyDescent="0.15">
      <c r="A101" s="386"/>
      <c r="B101" s="386"/>
      <c r="C101" s="386"/>
      <c r="D101" s="386"/>
      <c r="E101" s="386"/>
      <c r="F101" s="386"/>
      <c r="G101" s="386"/>
      <c r="H101" s="386"/>
      <c r="I101" s="386"/>
      <c r="J101" s="386"/>
    </row>
    <row r="102" spans="1:10" s="144" customFormat="1" x14ac:dyDescent="0.15">
      <c r="A102" s="386"/>
      <c r="B102" s="386"/>
      <c r="C102" s="386"/>
      <c r="D102" s="386"/>
      <c r="E102" s="386"/>
      <c r="F102" s="386"/>
      <c r="G102" s="386"/>
      <c r="H102" s="386"/>
      <c r="I102" s="386"/>
      <c r="J102" s="386"/>
    </row>
    <row r="103" spans="1:10" s="144" customFormat="1" x14ac:dyDescent="0.15">
      <c r="A103" s="386"/>
      <c r="B103" s="386"/>
      <c r="C103" s="386"/>
      <c r="D103" s="386"/>
      <c r="E103" s="386"/>
      <c r="F103" s="386"/>
      <c r="G103" s="386"/>
      <c r="H103" s="386"/>
      <c r="I103" s="386"/>
      <c r="J103" s="386"/>
    </row>
    <row r="104" spans="1:10" s="144" customFormat="1" x14ac:dyDescent="0.15">
      <c r="A104" s="386"/>
      <c r="B104" s="386"/>
      <c r="C104" s="386"/>
      <c r="D104" s="386"/>
      <c r="E104" s="386"/>
      <c r="F104" s="386"/>
      <c r="G104" s="386"/>
      <c r="H104" s="386"/>
      <c r="I104" s="386"/>
      <c r="J104" s="386"/>
    </row>
    <row r="105" spans="1:10" s="144" customFormat="1" x14ac:dyDescent="0.15">
      <c r="A105" s="386"/>
      <c r="B105" s="386"/>
      <c r="C105" s="386"/>
      <c r="D105" s="386"/>
      <c r="E105" s="386"/>
      <c r="F105" s="386"/>
      <c r="G105" s="386"/>
      <c r="H105" s="386"/>
      <c r="I105" s="386"/>
      <c r="J105" s="386"/>
    </row>
    <row r="106" spans="1:10" s="144" customFormat="1" x14ac:dyDescent="0.15">
      <c r="A106" s="386"/>
      <c r="B106" s="386"/>
      <c r="C106" s="386"/>
      <c r="D106" s="386"/>
      <c r="E106" s="386"/>
      <c r="F106" s="386"/>
      <c r="G106" s="386"/>
      <c r="H106" s="386"/>
      <c r="I106" s="386"/>
      <c r="J106" s="386"/>
    </row>
    <row r="107" spans="1:10" s="144" customFormat="1" x14ac:dyDescent="0.15">
      <c r="A107" s="386"/>
      <c r="B107" s="386"/>
      <c r="C107" s="386"/>
      <c r="D107" s="386"/>
      <c r="E107" s="386"/>
      <c r="F107" s="386"/>
      <c r="G107" s="386"/>
      <c r="H107" s="386"/>
      <c r="I107" s="386"/>
      <c r="J107" s="386"/>
    </row>
    <row r="108" spans="1:10" s="144" customFormat="1" x14ac:dyDescent="0.15">
      <c r="A108" s="386"/>
      <c r="B108" s="386"/>
      <c r="C108" s="386"/>
      <c r="D108" s="386"/>
      <c r="E108" s="386"/>
      <c r="F108" s="386"/>
      <c r="G108" s="386"/>
      <c r="H108" s="386"/>
      <c r="I108" s="386"/>
      <c r="J108" s="386"/>
    </row>
    <row r="109" spans="1:10" s="144" customFormat="1" x14ac:dyDescent="0.15">
      <c r="A109" s="386"/>
      <c r="B109" s="386"/>
      <c r="C109" s="386"/>
      <c r="D109" s="386"/>
      <c r="E109" s="386"/>
      <c r="F109" s="386"/>
      <c r="G109" s="386"/>
      <c r="H109" s="386"/>
      <c r="I109" s="386"/>
      <c r="J109" s="386"/>
    </row>
    <row r="110" spans="1:10" s="144" customFormat="1" x14ac:dyDescent="0.15">
      <c r="A110" s="386"/>
      <c r="B110" s="386"/>
      <c r="C110" s="386"/>
      <c r="D110" s="386"/>
      <c r="E110" s="386"/>
      <c r="F110" s="386"/>
      <c r="G110" s="386"/>
      <c r="H110" s="386"/>
      <c r="I110" s="386"/>
      <c r="J110" s="386"/>
    </row>
    <row r="111" spans="1:10" s="144" customFormat="1" x14ac:dyDescent="0.15">
      <c r="A111" s="386"/>
      <c r="B111" s="386"/>
      <c r="C111" s="386"/>
      <c r="D111" s="386"/>
      <c r="E111" s="386"/>
      <c r="F111" s="386"/>
      <c r="G111" s="386"/>
      <c r="H111" s="386"/>
      <c r="I111" s="386"/>
      <c r="J111" s="386"/>
    </row>
    <row r="112" spans="1:10" s="144" customFormat="1" x14ac:dyDescent="0.15">
      <c r="A112" s="386"/>
      <c r="B112" s="386"/>
      <c r="C112" s="386"/>
      <c r="D112" s="386"/>
      <c r="E112" s="386"/>
      <c r="F112" s="386"/>
      <c r="G112" s="386"/>
      <c r="H112" s="386"/>
      <c r="I112" s="386"/>
      <c r="J112" s="386"/>
    </row>
    <row r="113" spans="1:10" s="144" customFormat="1" x14ac:dyDescent="0.15">
      <c r="A113" s="386"/>
      <c r="B113" s="386"/>
      <c r="C113" s="386"/>
      <c r="D113" s="386"/>
      <c r="E113" s="386"/>
      <c r="F113" s="386"/>
      <c r="G113" s="386"/>
      <c r="H113" s="386"/>
      <c r="I113" s="386"/>
      <c r="J113" s="386"/>
    </row>
    <row r="114" spans="1:10" s="144" customFormat="1" x14ac:dyDescent="0.15">
      <c r="A114" s="386"/>
      <c r="B114" s="386"/>
      <c r="C114" s="386"/>
      <c r="D114" s="386"/>
      <c r="E114" s="386"/>
      <c r="F114" s="386"/>
      <c r="G114" s="386"/>
      <c r="H114" s="386"/>
      <c r="I114" s="386"/>
      <c r="J114" s="386"/>
    </row>
    <row r="115" spans="1:10" s="144" customFormat="1" x14ac:dyDescent="0.15">
      <c r="A115" s="386"/>
      <c r="B115" s="386"/>
      <c r="C115" s="386"/>
      <c r="D115" s="386"/>
      <c r="E115" s="386"/>
      <c r="F115" s="386"/>
      <c r="G115" s="386"/>
      <c r="H115" s="386"/>
      <c r="I115" s="386"/>
      <c r="J115" s="386"/>
    </row>
    <row r="116" spans="1:10" s="144" customFormat="1" x14ac:dyDescent="0.15">
      <c r="A116" s="386"/>
      <c r="B116" s="386"/>
      <c r="C116" s="386"/>
      <c r="D116" s="386"/>
      <c r="E116" s="386"/>
      <c r="F116" s="386"/>
      <c r="G116" s="386"/>
      <c r="H116" s="386"/>
      <c r="I116" s="386"/>
      <c r="J116" s="386"/>
    </row>
    <row r="117" spans="1:10" s="144" customFormat="1" x14ac:dyDescent="0.15">
      <c r="A117" s="386"/>
      <c r="B117" s="386"/>
      <c r="C117" s="386"/>
      <c r="D117" s="386"/>
      <c r="E117" s="386"/>
      <c r="F117" s="386"/>
      <c r="G117" s="386"/>
      <c r="H117" s="386"/>
      <c r="I117" s="386"/>
      <c r="J117" s="386"/>
    </row>
    <row r="118" spans="1:10" s="144" customFormat="1" x14ac:dyDescent="0.15">
      <c r="A118" s="386"/>
      <c r="B118" s="386"/>
      <c r="C118" s="386"/>
      <c r="D118" s="386"/>
      <c r="E118" s="386"/>
      <c r="F118" s="386"/>
      <c r="G118" s="386"/>
      <c r="H118" s="386"/>
      <c r="I118" s="386"/>
      <c r="J118" s="386"/>
    </row>
    <row r="119" spans="1:10" s="144" customFormat="1" x14ac:dyDescent="0.15">
      <c r="A119" s="386"/>
      <c r="B119" s="386"/>
      <c r="C119" s="386"/>
      <c r="D119" s="386"/>
      <c r="E119" s="386"/>
      <c r="F119" s="386"/>
      <c r="G119" s="386"/>
      <c r="H119" s="386"/>
      <c r="I119" s="386"/>
      <c r="J119" s="386"/>
    </row>
    <row r="120" spans="1:10" s="144" customFormat="1" x14ac:dyDescent="0.15">
      <c r="A120" s="386"/>
      <c r="B120" s="386"/>
      <c r="C120" s="386"/>
      <c r="D120" s="386"/>
      <c r="E120" s="386"/>
      <c r="F120" s="386"/>
      <c r="G120" s="386"/>
      <c r="H120" s="386"/>
      <c r="I120" s="386"/>
      <c r="J120" s="386"/>
    </row>
    <row r="121" spans="1:10" s="144" customFormat="1" x14ac:dyDescent="0.15">
      <c r="A121" s="386"/>
      <c r="B121" s="386"/>
      <c r="C121" s="386"/>
      <c r="D121" s="386"/>
      <c r="E121" s="386"/>
      <c r="F121" s="386"/>
      <c r="G121" s="386"/>
      <c r="H121" s="386"/>
      <c r="I121" s="386"/>
      <c r="J121" s="386"/>
    </row>
    <row r="122" spans="1:10" s="144" customFormat="1" x14ac:dyDescent="0.15">
      <c r="A122" s="386"/>
      <c r="B122" s="386"/>
      <c r="C122" s="386"/>
      <c r="D122" s="386"/>
      <c r="E122" s="386"/>
      <c r="F122" s="386"/>
      <c r="G122" s="386"/>
      <c r="H122" s="386"/>
      <c r="I122" s="386"/>
      <c r="J122" s="386"/>
    </row>
    <row r="123" spans="1:10" s="144" customFormat="1" x14ac:dyDescent="0.15">
      <c r="A123" s="386"/>
      <c r="B123" s="386"/>
      <c r="C123" s="386"/>
      <c r="D123" s="386"/>
      <c r="E123" s="386"/>
      <c r="F123" s="386"/>
      <c r="G123" s="386"/>
      <c r="H123" s="386"/>
      <c r="I123" s="386"/>
      <c r="J123" s="386"/>
    </row>
    <row r="124" spans="1:10" s="144" customFormat="1" x14ac:dyDescent="0.15">
      <c r="A124" s="386"/>
      <c r="B124" s="386"/>
      <c r="C124" s="386"/>
      <c r="D124" s="386"/>
      <c r="E124" s="386"/>
      <c r="F124" s="386"/>
      <c r="G124" s="386"/>
      <c r="H124" s="386"/>
      <c r="I124" s="386"/>
      <c r="J124" s="386"/>
    </row>
    <row r="125" spans="1:10" s="144" customFormat="1" x14ac:dyDescent="0.15">
      <c r="A125" s="386"/>
      <c r="B125" s="386"/>
      <c r="C125" s="386"/>
      <c r="D125" s="386"/>
      <c r="E125" s="386"/>
      <c r="F125" s="386"/>
      <c r="G125" s="386"/>
      <c r="H125" s="386"/>
      <c r="I125" s="386"/>
      <c r="J125" s="386"/>
    </row>
    <row r="126" spans="1:10" s="144" customFormat="1" x14ac:dyDescent="0.15">
      <c r="A126" s="386"/>
      <c r="B126" s="386"/>
      <c r="C126" s="386"/>
      <c r="D126" s="386"/>
      <c r="E126" s="386"/>
      <c r="F126" s="386"/>
      <c r="G126" s="386"/>
      <c r="H126" s="386"/>
      <c r="I126" s="386"/>
      <c r="J126" s="386"/>
    </row>
    <row r="127" spans="1:10" s="144" customFormat="1" x14ac:dyDescent="0.15">
      <c r="A127" s="386"/>
      <c r="B127" s="386"/>
      <c r="C127" s="386"/>
      <c r="D127" s="386"/>
      <c r="E127" s="386"/>
      <c r="F127" s="386"/>
      <c r="G127" s="386"/>
      <c r="H127" s="386"/>
      <c r="I127" s="386"/>
      <c r="J127" s="386"/>
    </row>
    <row r="128" spans="1:10" s="144" customFormat="1" x14ac:dyDescent="0.15">
      <c r="A128" s="386"/>
      <c r="B128" s="386"/>
      <c r="C128" s="386"/>
      <c r="D128" s="386"/>
      <c r="E128" s="386"/>
      <c r="F128" s="386"/>
      <c r="G128" s="386"/>
      <c r="H128" s="386"/>
      <c r="I128" s="386"/>
      <c r="J128" s="386"/>
    </row>
    <row r="129" spans="1:10" s="144" customFormat="1" x14ac:dyDescent="0.15">
      <c r="A129" s="386"/>
      <c r="B129" s="386"/>
      <c r="C129" s="386"/>
      <c r="D129" s="386"/>
      <c r="E129" s="386"/>
      <c r="F129" s="386"/>
      <c r="G129" s="386"/>
      <c r="H129" s="386"/>
      <c r="I129" s="386"/>
      <c r="J129" s="386"/>
    </row>
    <row r="130" spans="1:10" s="144" customFormat="1" x14ac:dyDescent="0.15">
      <c r="A130" s="386"/>
      <c r="B130" s="386"/>
      <c r="C130" s="386"/>
      <c r="D130" s="386"/>
      <c r="E130" s="386"/>
      <c r="F130" s="386"/>
      <c r="G130" s="386"/>
      <c r="H130" s="386"/>
      <c r="I130" s="386"/>
      <c r="J130" s="386"/>
    </row>
    <row r="131" spans="1:10" s="144" customFormat="1" x14ac:dyDescent="0.15">
      <c r="A131" s="386"/>
      <c r="B131" s="386"/>
      <c r="C131" s="386"/>
      <c r="D131" s="386"/>
      <c r="E131" s="386"/>
      <c r="F131" s="386"/>
      <c r="G131" s="386"/>
      <c r="H131" s="386"/>
      <c r="I131" s="386"/>
      <c r="J131" s="386"/>
    </row>
    <row r="132" spans="1:10" s="144" customFormat="1" x14ac:dyDescent="0.15">
      <c r="A132" s="386"/>
      <c r="B132" s="386"/>
      <c r="C132" s="386"/>
      <c r="D132" s="386"/>
      <c r="E132" s="386"/>
      <c r="F132" s="386"/>
      <c r="G132" s="386"/>
      <c r="H132" s="386"/>
      <c r="I132" s="386"/>
      <c r="J132" s="386"/>
    </row>
    <row r="133" spans="1:10" s="144" customFormat="1" x14ac:dyDescent="0.15">
      <c r="A133" s="386"/>
      <c r="B133" s="386"/>
      <c r="C133" s="386"/>
      <c r="D133" s="386"/>
      <c r="E133" s="386"/>
      <c r="F133" s="386"/>
      <c r="G133" s="386"/>
      <c r="H133" s="386"/>
      <c r="I133" s="386"/>
      <c r="J133" s="386"/>
    </row>
    <row r="134" spans="1:10" s="144" customFormat="1" x14ac:dyDescent="0.15">
      <c r="A134" s="386"/>
      <c r="B134" s="386"/>
      <c r="C134" s="386"/>
      <c r="D134" s="386"/>
      <c r="E134" s="386"/>
      <c r="F134" s="386"/>
      <c r="G134" s="386"/>
      <c r="H134" s="386"/>
      <c r="I134" s="386"/>
      <c r="J134" s="386"/>
    </row>
    <row r="135" spans="1:10" s="144" customFormat="1" x14ac:dyDescent="0.15">
      <c r="A135" s="386"/>
      <c r="B135" s="386"/>
      <c r="C135" s="386"/>
      <c r="D135" s="386"/>
      <c r="E135" s="386"/>
      <c r="F135" s="386"/>
      <c r="G135" s="386"/>
      <c r="H135" s="386"/>
      <c r="I135" s="386"/>
      <c r="J135" s="386"/>
    </row>
    <row r="136" spans="1:10" s="144" customFormat="1" x14ac:dyDescent="0.15">
      <c r="A136" s="386"/>
      <c r="B136" s="386"/>
      <c r="C136" s="386"/>
      <c r="D136" s="386"/>
      <c r="E136" s="386"/>
      <c r="F136" s="386"/>
      <c r="G136" s="386"/>
      <c r="H136" s="386"/>
      <c r="I136" s="386"/>
      <c r="J136" s="386"/>
    </row>
    <row r="137" spans="1:10" s="144" customFormat="1" x14ac:dyDescent="0.15">
      <c r="A137" s="386"/>
      <c r="B137" s="386"/>
      <c r="C137" s="386"/>
      <c r="D137" s="386"/>
      <c r="E137" s="386"/>
      <c r="F137" s="386"/>
      <c r="G137" s="386"/>
      <c r="H137" s="386"/>
      <c r="I137" s="386"/>
      <c r="J137" s="386"/>
    </row>
    <row r="138" spans="1:10" s="144" customFormat="1" x14ac:dyDescent="0.15">
      <c r="A138" s="386"/>
      <c r="B138" s="386"/>
      <c r="C138" s="386"/>
      <c r="D138" s="386"/>
      <c r="E138" s="386"/>
      <c r="F138" s="386"/>
      <c r="G138" s="386"/>
      <c r="H138" s="386"/>
      <c r="I138" s="386"/>
      <c r="J138" s="386"/>
    </row>
    <row r="139" spans="1:10" s="144" customFormat="1" x14ac:dyDescent="0.15">
      <c r="A139" s="386"/>
      <c r="B139" s="386"/>
      <c r="C139" s="386"/>
      <c r="D139" s="386"/>
      <c r="E139" s="386"/>
      <c r="F139" s="386"/>
      <c r="G139" s="386"/>
      <c r="H139" s="386"/>
      <c r="I139" s="386"/>
      <c r="J139" s="386"/>
    </row>
    <row r="140" spans="1:10" s="144" customFormat="1" x14ac:dyDescent="0.15">
      <c r="A140" s="386"/>
      <c r="B140" s="386"/>
      <c r="C140" s="386"/>
      <c r="D140" s="386"/>
      <c r="E140" s="386"/>
      <c r="F140" s="386"/>
      <c r="G140" s="386"/>
      <c r="H140" s="386"/>
      <c r="I140" s="386"/>
      <c r="J140" s="386"/>
    </row>
    <row r="141" spans="1:10" s="144" customFormat="1" x14ac:dyDescent="0.15">
      <c r="A141" s="386"/>
      <c r="B141" s="386"/>
      <c r="C141" s="386"/>
      <c r="D141" s="386"/>
      <c r="E141" s="386"/>
      <c r="F141" s="386"/>
      <c r="G141" s="386"/>
      <c r="H141" s="386"/>
      <c r="I141" s="386"/>
      <c r="J141" s="386"/>
    </row>
    <row r="142" spans="1:10" s="144" customFormat="1" x14ac:dyDescent="0.15">
      <c r="A142" s="386"/>
      <c r="B142" s="386"/>
      <c r="C142" s="386"/>
      <c r="D142" s="386"/>
      <c r="E142" s="386"/>
      <c r="F142" s="386"/>
      <c r="G142" s="386"/>
      <c r="H142" s="386"/>
      <c r="I142" s="386"/>
      <c r="J142" s="386"/>
    </row>
    <row r="143" spans="1:10" s="144" customFormat="1" x14ac:dyDescent="0.15"/>
    <row r="144" spans="1:10" s="144" customFormat="1" x14ac:dyDescent="0.15"/>
    <row r="145" s="144" customFormat="1" x14ac:dyDescent="0.15"/>
    <row r="146" s="144" customFormat="1" x14ac:dyDescent="0.15"/>
  </sheetData>
  <mergeCells count="140">
    <mergeCell ref="B13:D13"/>
    <mergeCell ref="F13:G13"/>
    <mergeCell ref="A15:J15"/>
    <mergeCell ref="F1:G3"/>
    <mergeCell ref="H1:J3"/>
    <mergeCell ref="A9:J9"/>
    <mergeCell ref="A10:J10"/>
    <mergeCell ref="A11:J11"/>
    <mergeCell ref="A12:J12"/>
    <mergeCell ref="A22:J22"/>
    <mergeCell ref="A23:J23"/>
    <mergeCell ref="A24:J24"/>
    <mergeCell ref="A25:J25"/>
    <mergeCell ref="A26:J26"/>
    <mergeCell ref="A27:J27"/>
    <mergeCell ref="B16:D16"/>
    <mergeCell ref="F16:G16"/>
    <mergeCell ref="A18:J18"/>
    <mergeCell ref="A19:J19"/>
    <mergeCell ref="A20:J20"/>
    <mergeCell ref="A21:J21"/>
    <mergeCell ref="A34:J34"/>
    <mergeCell ref="A35:J35"/>
    <mergeCell ref="A36:J36"/>
    <mergeCell ref="A37:J37"/>
    <mergeCell ref="A38:J38"/>
    <mergeCell ref="A39:J39"/>
    <mergeCell ref="A28:J28"/>
    <mergeCell ref="A29:J29"/>
    <mergeCell ref="A30:J30"/>
    <mergeCell ref="A31:J31"/>
    <mergeCell ref="A32:J32"/>
    <mergeCell ref="A33:J33"/>
    <mergeCell ref="A46:J46"/>
    <mergeCell ref="A47:J47"/>
    <mergeCell ref="A48:J48"/>
    <mergeCell ref="A49:J49"/>
    <mergeCell ref="A50:J50"/>
    <mergeCell ref="A51:J51"/>
    <mergeCell ref="A40:J40"/>
    <mergeCell ref="A41:J41"/>
    <mergeCell ref="A42:J42"/>
    <mergeCell ref="A43:J43"/>
    <mergeCell ref="A44:J44"/>
    <mergeCell ref="A45:J45"/>
    <mergeCell ref="A58:J58"/>
    <mergeCell ref="A59:J59"/>
    <mergeCell ref="A60:J60"/>
    <mergeCell ref="A61:J61"/>
    <mergeCell ref="A62:J62"/>
    <mergeCell ref="A63:J63"/>
    <mergeCell ref="A52:J52"/>
    <mergeCell ref="A53:J53"/>
    <mergeCell ref="A54:J54"/>
    <mergeCell ref="A55:J55"/>
    <mergeCell ref="A56:J56"/>
    <mergeCell ref="A57:J57"/>
    <mergeCell ref="A70:J70"/>
    <mergeCell ref="A71:J71"/>
    <mergeCell ref="A72:J72"/>
    <mergeCell ref="A73:J73"/>
    <mergeCell ref="A74:J74"/>
    <mergeCell ref="A75:J75"/>
    <mergeCell ref="A64:J64"/>
    <mergeCell ref="A65:J65"/>
    <mergeCell ref="A66:J66"/>
    <mergeCell ref="A67:J67"/>
    <mergeCell ref="A68:J68"/>
    <mergeCell ref="A69:J69"/>
    <mergeCell ref="A82:J82"/>
    <mergeCell ref="A83:J83"/>
    <mergeCell ref="A84:J84"/>
    <mergeCell ref="A85:J85"/>
    <mergeCell ref="A86:J86"/>
    <mergeCell ref="A87:J87"/>
    <mergeCell ref="A76:J76"/>
    <mergeCell ref="A77:J77"/>
    <mergeCell ref="A78:J78"/>
    <mergeCell ref="A79:J79"/>
    <mergeCell ref="A80:J80"/>
    <mergeCell ref="A81:J81"/>
    <mergeCell ref="A94:J94"/>
    <mergeCell ref="A95:J95"/>
    <mergeCell ref="A96:J96"/>
    <mergeCell ref="A97:J97"/>
    <mergeCell ref="A98:J98"/>
    <mergeCell ref="A99:J99"/>
    <mergeCell ref="A88:J88"/>
    <mergeCell ref="A89:J89"/>
    <mergeCell ref="A90:J90"/>
    <mergeCell ref="A91:J91"/>
    <mergeCell ref="A92:J92"/>
    <mergeCell ref="A93:J93"/>
    <mergeCell ref="A106:J106"/>
    <mergeCell ref="A107:J107"/>
    <mergeCell ref="A108:J108"/>
    <mergeCell ref="A109:J109"/>
    <mergeCell ref="A110:J110"/>
    <mergeCell ref="A111:J111"/>
    <mergeCell ref="A100:J100"/>
    <mergeCell ref="A101:J101"/>
    <mergeCell ref="A102:J102"/>
    <mergeCell ref="A103:J103"/>
    <mergeCell ref="A104:J104"/>
    <mergeCell ref="A105:J105"/>
    <mergeCell ref="A119:J119"/>
    <mergeCell ref="A120:J120"/>
    <mergeCell ref="A121:J121"/>
    <mergeCell ref="A122:J122"/>
    <mergeCell ref="A123:J123"/>
    <mergeCell ref="A112:J112"/>
    <mergeCell ref="A113:J113"/>
    <mergeCell ref="A114:J114"/>
    <mergeCell ref="A115:J115"/>
    <mergeCell ref="A116:J116"/>
    <mergeCell ref="A117:J117"/>
    <mergeCell ref="A142:J142"/>
    <mergeCell ref="B14:D14"/>
    <mergeCell ref="F14:G14"/>
    <mergeCell ref="B17:D17"/>
    <mergeCell ref="F17:G17"/>
    <mergeCell ref="A136:J136"/>
    <mergeCell ref="A137:J137"/>
    <mergeCell ref="A138:J138"/>
    <mergeCell ref="A139:J139"/>
    <mergeCell ref="A140:J140"/>
    <mergeCell ref="A141:J141"/>
    <mergeCell ref="A130:J130"/>
    <mergeCell ref="A131:J131"/>
    <mergeCell ref="A132:J132"/>
    <mergeCell ref="A133:J133"/>
    <mergeCell ref="A134:J134"/>
    <mergeCell ref="A135:J135"/>
    <mergeCell ref="A124:J124"/>
    <mergeCell ref="A125:J125"/>
    <mergeCell ref="A126:J126"/>
    <mergeCell ref="A127:J127"/>
    <mergeCell ref="A128:J128"/>
    <mergeCell ref="A129:J129"/>
    <mergeCell ref="A118:J118"/>
  </mergeCells>
  <phoneticPr fontId="2"/>
  <pageMargins left="0.39370078740157483" right="0.31496062992125984" top="0.70866141732283472" bottom="0.70866141732283472"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F59"/>
  <sheetViews>
    <sheetView workbookViewId="0"/>
  </sheetViews>
  <sheetFormatPr defaultRowHeight="13.5" x14ac:dyDescent="0.15"/>
  <cols>
    <col min="1" max="1" width="30.875" bestFit="1" customWidth="1"/>
    <col min="2" max="6" width="13.125" customWidth="1"/>
  </cols>
  <sheetData>
    <row r="1" spans="1:6" x14ac:dyDescent="0.15">
      <c r="A1" t="s">
        <v>163</v>
      </c>
    </row>
    <row r="3" spans="1:6" x14ac:dyDescent="0.15">
      <c r="A3" s="164" t="s">
        <v>239</v>
      </c>
      <c r="B3" s="407" t="s">
        <v>240</v>
      </c>
      <c r="C3" s="408"/>
      <c r="D3" s="408"/>
      <c r="E3" s="408"/>
      <c r="F3" s="409"/>
    </row>
    <row r="4" spans="1:6" x14ac:dyDescent="0.15">
      <c r="A4" s="165" t="s">
        <v>214</v>
      </c>
      <c r="B4" s="165" t="s">
        <v>162</v>
      </c>
      <c r="C4" s="165" t="s">
        <v>160</v>
      </c>
      <c r="D4" s="165" t="s">
        <v>161</v>
      </c>
      <c r="E4" s="165" t="s">
        <v>246</v>
      </c>
      <c r="F4" s="165"/>
    </row>
    <row r="6" spans="1:6" x14ac:dyDescent="0.15">
      <c r="A6" s="165" t="s">
        <v>215</v>
      </c>
      <c r="B6" s="165" t="s">
        <v>166</v>
      </c>
    </row>
    <row r="7" spans="1:6" x14ac:dyDescent="0.15">
      <c r="A7" s="165" t="s">
        <v>217</v>
      </c>
      <c r="B7" s="165" t="s">
        <v>164</v>
      </c>
    </row>
    <row r="8" spans="1:6" x14ac:dyDescent="0.15">
      <c r="A8" s="165" t="s">
        <v>218</v>
      </c>
      <c r="B8" s="165" t="s">
        <v>216</v>
      </c>
    </row>
    <row r="9" spans="1:6" x14ac:dyDescent="0.15">
      <c r="A9" s="165" t="s">
        <v>219</v>
      </c>
      <c r="B9" s="165" t="s">
        <v>247</v>
      </c>
    </row>
    <row r="10" spans="1:6" x14ac:dyDescent="0.15">
      <c r="A10" s="165" t="s">
        <v>220</v>
      </c>
      <c r="B10" s="165" t="s">
        <v>171</v>
      </c>
    </row>
    <row r="11" spans="1:6" x14ac:dyDescent="0.15">
      <c r="A11" s="165" t="s">
        <v>221</v>
      </c>
      <c r="B11" s="165" t="s">
        <v>206</v>
      </c>
    </row>
    <row r="12" spans="1:6" x14ac:dyDescent="0.15">
      <c r="A12" s="165" t="s">
        <v>222</v>
      </c>
      <c r="B12" s="165" t="s">
        <v>248</v>
      </c>
    </row>
    <row r="13" spans="1:6" x14ac:dyDescent="0.15">
      <c r="A13" s="165" t="s">
        <v>223</v>
      </c>
      <c r="B13" s="165" t="s">
        <v>249</v>
      </c>
    </row>
    <row r="14" spans="1:6" x14ac:dyDescent="0.15">
      <c r="A14" s="165" t="s">
        <v>224</v>
      </c>
      <c r="B14" s="165" t="s">
        <v>225</v>
      </c>
    </row>
    <row r="16" spans="1:6" x14ac:dyDescent="0.15">
      <c r="A16" s="165" t="s">
        <v>226</v>
      </c>
      <c r="B16" s="165" t="s">
        <v>172</v>
      </c>
    </row>
    <row r="17" spans="1:2" x14ac:dyDescent="0.15">
      <c r="A17" s="165" t="s">
        <v>227</v>
      </c>
      <c r="B17" s="165" t="s">
        <v>165</v>
      </c>
    </row>
    <row r="18" spans="1:2" x14ac:dyDescent="0.15">
      <c r="A18" s="165" t="s">
        <v>228</v>
      </c>
      <c r="B18" s="165" t="s">
        <v>250</v>
      </c>
    </row>
    <row r="19" spans="1:2" x14ac:dyDescent="0.15">
      <c r="A19" s="165" t="s">
        <v>229</v>
      </c>
      <c r="B19" s="165" t="s">
        <v>230</v>
      </c>
    </row>
    <row r="20" spans="1:2" x14ac:dyDescent="0.15">
      <c r="A20" s="165"/>
      <c r="B20" s="165"/>
    </row>
    <row r="22" spans="1:2" x14ac:dyDescent="0.15">
      <c r="A22" s="165" t="s">
        <v>231</v>
      </c>
      <c r="B22" s="165" t="s">
        <v>251</v>
      </c>
    </row>
    <row r="23" spans="1:2" x14ac:dyDescent="0.15">
      <c r="A23" s="165" t="s">
        <v>232</v>
      </c>
      <c r="B23" s="165" t="s">
        <v>207</v>
      </c>
    </row>
    <row r="25" spans="1:2" x14ac:dyDescent="0.15">
      <c r="A25" s="165" t="s">
        <v>233</v>
      </c>
      <c r="B25" s="165" t="s">
        <v>234</v>
      </c>
    </row>
    <row r="27" spans="1:2" x14ac:dyDescent="0.15">
      <c r="A27" s="170" t="s">
        <v>173</v>
      </c>
    </row>
    <row r="28" spans="1:2" x14ac:dyDescent="0.15">
      <c r="A28" s="170" t="s">
        <v>174</v>
      </c>
    </row>
    <row r="29" spans="1:2" x14ac:dyDescent="0.15">
      <c r="A29" s="170" t="s">
        <v>175</v>
      </c>
    </row>
    <row r="30" spans="1:2" x14ac:dyDescent="0.15">
      <c r="A30" s="170" t="s">
        <v>176</v>
      </c>
    </row>
    <row r="31" spans="1:2" x14ac:dyDescent="0.15">
      <c r="A31" s="170" t="s">
        <v>177</v>
      </c>
    </row>
    <row r="32" spans="1:2" x14ac:dyDescent="0.15">
      <c r="A32" s="170" t="s">
        <v>178</v>
      </c>
    </row>
    <row r="33" spans="1:1" x14ac:dyDescent="0.15">
      <c r="A33" s="170" t="s">
        <v>179</v>
      </c>
    </row>
    <row r="34" spans="1:1" x14ac:dyDescent="0.15">
      <c r="A34" s="170" t="s">
        <v>180</v>
      </c>
    </row>
    <row r="35" spans="1:1" x14ac:dyDescent="0.15">
      <c r="A35" s="170" t="s">
        <v>181</v>
      </c>
    </row>
    <row r="36" spans="1:1" x14ac:dyDescent="0.15">
      <c r="A36" s="170" t="s">
        <v>182</v>
      </c>
    </row>
    <row r="37" spans="1:1" x14ac:dyDescent="0.15">
      <c r="A37" s="170" t="s">
        <v>183</v>
      </c>
    </row>
    <row r="38" spans="1:1" x14ac:dyDescent="0.15">
      <c r="A38" s="170" t="s">
        <v>184</v>
      </c>
    </row>
    <row r="39" spans="1:1" x14ac:dyDescent="0.15">
      <c r="A39" s="170" t="s">
        <v>185</v>
      </c>
    </row>
    <row r="40" spans="1:1" x14ac:dyDescent="0.15">
      <c r="A40" s="170" t="s">
        <v>186</v>
      </c>
    </row>
    <row r="41" spans="1:1" x14ac:dyDescent="0.15">
      <c r="A41" s="170" t="s">
        <v>187</v>
      </c>
    </row>
    <row r="42" spans="1:1" x14ac:dyDescent="0.15">
      <c r="A42" s="170" t="s">
        <v>188</v>
      </c>
    </row>
    <row r="43" spans="1:1" x14ac:dyDescent="0.15">
      <c r="A43" s="170" t="s">
        <v>189</v>
      </c>
    </row>
    <row r="44" spans="1:1" x14ac:dyDescent="0.15">
      <c r="A44" s="170" t="s">
        <v>190</v>
      </c>
    </row>
    <row r="45" spans="1:1" x14ac:dyDescent="0.15">
      <c r="A45" s="170" t="s">
        <v>191</v>
      </c>
    </row>
    <row r="46" spans="1:1" x14ac:dyDescent="0.15">
      <c r="A46" s="170" t="s">
        <v>192</v>
      </c>
    </row>
    <row r="47" spans="1:1" x14ac:dyDescent="0.15">
      <c r="A47" s="170" t="s">
        <v>193</v>
      </c>
    </row>
    <row r="48" spans="1:1" x14ac:dyDescent="0.15">
      <c r="A48" s="170" t="s">
        <v>194</v>
      </c>
    </row>
    <row r="49" spans="1:1" x14ac:dyDescent="0.15">
      <c r="A49" s="170" t="s">
        <v>195</v>
      </c>
    </row>
    <row r="50" spans="1:1" x14ac:dyDescent="0.15">
      <c r="A50" s="171" t="s">
        <v>196</v>
      </c>
    </row>
    <row r="51" spans="1:1" x14ac:dyDescent="0.15">
      <c r="A51" s="170" t="s">
        <v>197</v>
      </c>
    </row>
    <row r="52" spans="1:1" x14ac:dyDescent="0.15">
      <c r="A52" s="170" t="s">
        <v>198</v>
      </c>
    </row>
    <row r="53" spans="1:1" x14ac:dyDescent="0.15">
      <c r="A53" s="170" t="s">
        <v>199</v>
      </c>
    </row>
    <row r="54" spans="1:1" x14ac:dyDescent="0.15">
      <c r="A54" s="170" t="s">
        <v>200</v>
      </c>
    </row>
    <row r="55" spans="1:1" x14ac:dyDescent="0.15">
      <c r="A55" s="170" t="s">
        <v>201</v>
      </c>
    </row>
    <row r="56" spans="1:1" x14ac:dyDescent="0.15">
      <c r="A56" s="170" t="s">
        <v>202</v>
      </c>
    </row>
    <row r="57" spans="1:1" x14ac:dyDescent="0.15">
      <c r="A57" s="170" t="s">
        <v>203</v>
      </c>
    </row>
    <row r="58" spans="1:1" x14ac:dyDescent="0.15">
      <c r="A58" s="170" t="s">
        <v>204</v>
      </c>
    </row>
    <row r="59" spans="1:1" x14ac:dyDescent="0.15">
      <c r="A59" s="170" t="s">
        <v>205</v>
      </c>
    </row>
  </sheetData>
  <mergeCells count="1">
    <mergeCell ref="B3:F3"/>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5</vt:i4>
      </vt:variant>
    </vt:vector>
  </HeadingPairs>
  <TitlesOfParts>
    <vt:vector size="13" baseType="lpstr">
      <vt:lpstr>入力表</vt:lpstr>
      <vt:lpstr>査定表</vt:lpstr>
      <vt:lpstr>予定価格</vt:lpstr>
      <vt:lpstr>ＦＡＸ</vt:lpstr>
      <vt:lpstr>内訳明細書(業者渡し用）</vt:lpstr>
      <vt:lpstr>特約条項金額算出シート</vt:lpstr>
      <vt:lpstr>債務負担行為に基づく契約における特約条項</vt:lpstr>
      <vt:lpstr>バックデータ</vt:lpstr>
      <vt:lpstr>査定表!Print_Area</vt:lpstr>
      <vt:lpstr>債務負担行為に基づく契約における特約条項!Print_Area</vt:lpstr>
      <vt:lpstr>特約条項金額算出シート!Print_Area</vt:lpstr>
      <vt:lpstr>'内訳明細書(業者渡し用）'!Print_Area</vt:lpstr>
      <vt:lpstr>入力表!Print_Area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鹿島　浩</dc:creator>
  <cp:lastModifiedBy>佐藤　裕孝</cp:lastModifiedBy>
  <cp:lastPrinted>2019-06-17T05:59:56Z</cp:lastPrinted>
  <dcterms:created xsi:type="dcterms:W3CDTF">2000-05-09T01:04:18Z</dcterms:created>
  <dcterms:modified xsi:type="dcterms:W3CDTF">2019-08-23T03:54:36Z</dcterms:modified>
</cp:coreProperties>
</file>