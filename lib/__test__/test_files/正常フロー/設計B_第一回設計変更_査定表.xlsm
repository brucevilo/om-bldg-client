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svfile92\kenchiku$\★建築資産管理担当\28.建築資産管理システム(A-sha)\システム検証用資料\2021年度※検証終わり次第移行\設計業務委託\☆2021-1024_地下空間の大規模改革に伴う基本設計その他業務委託（4号線谷町四丁目外5駅の部）\"/>
    </mc:Choice>
  </mc:AlternateContent>
  <xr:revisionPtr revIDLastSave="0" documentId="13_ncr:1_{552CE1F9-90E4-40AD-9B4B-069657F5A0E4}" xr6:coauthVersionLast="47" xr6:coauthVersionMax="47" xr10:uidLastSave="{00000000-0000-0000-0000-000000000000}"/>
  <bookViews>
    <workbookView xWindow="28690" yWindow="-110" windowWidth="29020" windowHeight="15820" xr2:uid="{00000000-000D-0000-FFFF-FFFF00000000}"/>
  </bookViews>
  <sheets>
    <sheet name="科目複数" sheetId="3" r:id="rId1"/>
    <sheet name="Sheet1" sheetId="4" r:id="rId2"/>
    <sheet name="特約条項金額算出シート (2)" sheetId="5" r:id="rId3"/>
  </sheets>
  <definedNames>
    <definedName name="_xlnm.Print_Area" localSheetId="1">Sheet1!$A$1:$J$95</definedName>
    <definedName name="_xlnm.Print_Area" localSheetId="0">科目複数!$B$2:$J$292</definedName>
    <definedName name="_xlnm.Print_Area" localSheetId="2">'特約条項金額算出シート (2)'!$A$1:$L$23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86" i="3" l="1"/>
  <c r="I285" i="3"/>
  <c r="I284" i="3"/>
  <c r="I283" i="3"/>
  <c r="I282" i="3"/>
  <c r="I281" i="3"/>
  <c r="I280" i="3"/>
  <c r="I279" i="3"/>
  <c r="I278" i="3"/>
  <c r="I277" i="3"/>
  <c r="I276" i="3"/>
  <c r="I275" i="3"/>
  <c r="I274" i="3"/>
  <c r="I273" i="3"/>
  <c r="I272" i="3"/>
  <c r="I266" i="3"/>
  <c r="I265" i="3"/>
  <c r="I264" i="3"/>
  <c r="I263" i="3"/>
  <c r="I262" i="3"/>
  <c r="I261" i="3"/>
  <c r="I260" i="3"/>
  <c r="I259" i="3"/>
  <c r="I258" i="3"/>
  <c r="I257" i="3"/>
  <c r="I256" i="3"/>
  <c r="I255" i="3"/>
  <c r="I254" i="3"/>
  <c r="I253" i="3"/>
  <c r="I252" i="3"/>
  <c r="I246" i="3"/>
  <c r="I245" i="3"/>
  <c r="I244" i="3"/>
  <c r="I243" i="3"/>
  <c r="I242" i="3"/>
  <c r="I241" i="3"/>
  <c r="I240" i="3"/>
  <c r="I239" i="3"/>
  <c r="I238" i="3"/>
  <c r="I237" i="3"/>
  <c r="I236" i="3"/>
  <c r="I235" i="3"/>
  <c r="I234" i="3"/>
  <c r="I233" i="3"/>
  <c r="I232" i="3"/>
  <c r="I226" i="3"/>
  <c r="I225" i="3"/>
  <c r="I224" i="3"/>
  <c r="I223" i="3"/>
  <c r="I222" i="3"/>
  <c r="I221" i="3"/>
  <c r="I220" i="3"/>
  <c r="I219" i="3"/>
  <c r="I218" i="3"/>
  <c r="I217" i="3"/>
  <c r="I216" i="3"/>
  <c r="I215" i="3"/>
  <c r="I214" i="3"/>
  <c r="I213" i="3"/>
  <c r="I212" i="3"/>
  <c r="I206" i="3"/>
  <c r="I205" i="3"/>
  <c r="I204" i="3"/>
  <c r="I203" i="3"/>
  <c r="I202" i="3"/>
  <c r="I201" i="3"/>
  <c r="I200" i="3"/>
  <c r="I199" i="3"/>
  <c r="I198" i="3"/>
  <c r="I197" i="3"/>
  <c r="I196" i="3"/>
  <c r="I195" i="3"/>
  <c r="I194" i="3"/>
  <c r="I193" i="3"/>
  <c r="I192" i="3"/>
  <c r="I186" i="3"/>
  <c r="I185" i="3"/>
  <c r="I184" i="3"/>
  <c r="I183" i="3"/>
  <c r="I182" i="3"/>
  <c r="I181" i="3"/>
  <c r="I180" i="3"/>
  <c r="I179" i="3"/>
  <c r="I178" i="3"/>
  <c r="I177" i="3"/>
  <c r="I176" i="3"/>
  <c r="I175" i="3"/>
  <c r="I174" i="3"/>
  <c r="I173" i="3"/>
  <c r="I172" i="3"/>
  <c r="I166" i="3"/>
  <c r="I165" i="3"/>
  <c r="I164" i="3"/>
  <c r="I163" i="3"/>
  <c r="I162" i="3"/>
  <c r="I161" i="3"/>
  <c r="I160" i="3"/>
  <c r="I159" i="3"/>
  <c r="I158" i="3"/>
  <c r="I157" i="3"/>
  <c r="I156" i="3"/>
  <c r="I155" i="3"/>
  <c r="I154" i="3"/>
  <c r="I153" i="3"/>
  <c r="I152" i="3"/>
  <c r="I146" i="3"/>
  <c r="I145" i="3"/>
  <c r="I144" i="3"/>
  <c r="I143" i="3"/>
  <c r="I142" i="3"/>
  <c r="I141" i="3"/>
  <c r="I140" i="3"/>
  <c r="I139" i="3"/>
  <c r="I138" i="3"/>
  <c r="I137" i="3"/>
  <c r="I136" i="3"/>
  <c r="I135" i="3"/>
  <c r="I134" i="3"/>
  <c r="I133" i="3"/>
  <c r="I132" i="3"/>
  <c r="I126" i="3"/>
  <c r="I125" i="3"/>
  <c r="I124" i="3"/>
  <c r="I123" i="3"/>
  <c r="I122" i="3"/>
  <c r="I121" i="3"/>
  <c r="I120" i="3"/>
  <c r="I119" i="3"/>
  <c r="I118" i="3"/>
  <c r="I117" i="3"/>
  <c r="I116" i="3"/>
  <c r="I115" i="3"/>
  <c r="I114" i="3"/>
  <c r="I113" i="3"/>
  <c r="I112" i="3"/>
  <c r="I106" i="3"/>
  <c r="I105" i="3"/>
  <c r="I104" i="3"/>
  <c r="I103" i="3"/>
  <c r="I102" i="3"/>
  <c r="I101" i="3"/>
  <c r="I100" i="3"/>
  <c r="I99" i="3"/>
  <c r="I98" i="3"/>
  <c r="I97" i="3"/>
  <c r="I96" i="3"/>
  <c r="I95" i="3"/>
  <c r="I94" i="3"/>
  <c r="I93" i="3"/>
  <c r="I92" i="3"/>
  <c r="I86" i="3"/>
  <c r="I85" i="3"/>
  <c r="I84" i="3"/>
  <c r="I83" i="3"/>
  <c r="I82" i="3"/>
  <c r="I81" i="3"/>
  <c r="I80" i="3"/>
  <c r="I79" i="3"/>
  <c r="I78" i="3"/>
  <c r="I77" i="3"/>
  <c r="I76" i="3"/>
  <c r="I75" i="3"/>
  <c r="I74" i="3"/>
  <c r="I73" i="3"/>
  <c r="I72" i="3"/>
  <c r="B9" i="3"/>
  <c r="F148" i="3"/>
  <c r="F128" i="3"/>
  <c r="H295" i="3"/>
  <c r="M87" i="3"/>
  <c r="M88" i="3" s="1"/>
  <c r="D11" i="3"/>
  <c r="H1" i="4" s="1"/>
  <c r="F17" i="4"/>
  <c r="F16" i="4"/>
  <c r="F14" i="4"/>
  <c r="F13" i="4"/>
  <c r="A14" i="5"/>
  <c r="H14" i="5" s="1"/>
  <c r="A12" i="5"/>
  <c r="H12" i="5" s="1"/>
  <c r="A10" i="5"/>
  <c r="H10" i="5" s="1"/>
  <c r="A8" i="5"/>
  <c r="H8" i="5" s="1"/>
  <c r="A6" i="5"/>
  <c r="H6" i="5" s="1"/>
  <c r="A4" i="5"/>
  <c r="H4" i="5" s="1"/>
  <c r="F15" i="5"/>
  <c r="F14" i="5"/>
  <c r="F13" i="5"/>
  <c r="F12" i="5"/>
  <c r="F11" i="5"/>
  <c r="F10" i="5"/>
  <c r="F9" i="5"/>
  <c r="F8" i="5"/>
  <c r="F7" i="5"/>
  <c r="F6" i="5"/>
  <c r="F5" i="5"/>
  <c r="F4" i="5"/>
  <c r="B62" i="3"/>
  <c r="B58" i="3"/>
  <c r="B54" i="3"/>
  <c r="B50" i="3"/>
  <c r="B46" i="3"/>
  <c r="B37" i="3"/>
  <c r="B33" i="3"/>
  <c r="B29" i="3"/>
  <c r="B25" i="3"/>
  <c r="B21" i="3"/>
  <c r="Y151" i="3"/>
  <c r="Y167" i="3"/>
  <c r="Y168" i="3"/>
  <c r="Y169" i="3"/>
  <c r="Y171" i="3"/>
  <c r="Y187" i="3"/>
  <c r="Y188" i="3"/>
  <c r="Y189" i="3"/>
  <c r="Y191" i="3"/>
  <c r="Y207" i="3"/>
  <c r="Y208" i="3"/>
  <c r="Y209" i="3"/>
  <c r="Y211" i="3"/>
  <c r="Y227" i="3"/>
  <c r="Y228" i="3"/>
  <c r="Y229" i="3"/>
  <c r="Y231" i="3"/>
  <c r="Y247" i="3"/>
  <c r="Y248" i="3"/>
  <c r="Y249" i="3"/>
  <c r="Y251" i="3"/>
  <c r="Y267" i="3"/>
  <c r="Y268" i="3"/>
  <c r="Y269" i="3"/>
  <c r="Y271" i="3"/>
  <c r="Y287" i="3"/>
  <c r="Y288" i="3"/>
  <c r="Y289" i="3"/>
  <c r="Y147" i="3"/>
  <c r="Y148" i="3"/>
  <c r="Y149" i="3"/>
  <c r="F227" i="3"/>
  <c r="D50" i="3" s="1"/>
  <c r="F167" i="3"/>
  <c r="F168" i="3" s="1"/>
  <c r="F169" i="3" s="1"/>
  <c r="D39" i="3" s="1"/>
  <c r="F147" i="3"/>
  <c r="D33" i="3" s="1"/>
  <c r="F127" i="3"/>
  <c r="D29" i="3" s="1"/>
  <c r="D30" i="3"/>
  <c r="F87" i="3"/>
  <c r="D21" i="3" s="1"/>
  <c r="E288" i="3"/>
  <c r="F287" i="3"/>
  <c r="D62" i="3" s="1"/>
  <c r="D63" i="3"/>
  <c r="S286" i="3"/>
  <c r="N286" i="3"/>
  <c r="L286" i="3"/>
  <c r="G286" i="3"/>
  <c r="D286" i="3"/>
  <c r="E286" i="3" s="1"/>
  <c r="C286" i="3"/>
  <c r="S285" i="3"/>
  <c r="N285" i="3"/>
  <c r="L285" i="3"/>
  <c r="G285" i="3"/>
  <c r="D285" i="3"/>
  <c r="E285" i="3" s="1"/>
  <c r="C285" i="3"/>
  <c r="S284" i="3"/>
  <c r="N284" i="3"/>
  <c r="L284" i="3"/>
  <c r="G284" i="3"/>
  <c r="D284" i="3"/>
  <c r="E284" i="3" s="1"/>
  <c r="C284" i="3"/>
  <c r="S283" i="3"/>
  <c r="N283" i="3"/>
  <c r="L283" i="3"/>
  <c r="G283" i="3"/>
  <c r="D283" i="3"/>
  <c r="E283" i="3" s="1"/>
  <c r="C283" i="3"/>
  <c r="S282" i="3"/>
  <c r="N282" i="3"/>
  <c r="L282" i="3"/>
  <c r="G282" i="3"/>
  <c r="D282" i="3"/>
  <c r="E282" i="3" s="1"/>
  <c r="C282" i="3"/>
  <c r="S281" i="3"/>
  <c r="N281" i="3"/>
  <c r="L281" i="3"/>
  <c r="G281" i="3"/>
  <c r="D281" i="3"/>
  <c r="E281" i="3" s="1"/>
  <c r="C281" i="3"/>
  <c r="S280" i="3"/>
  <c r="N280" i="3"/>
  <c r="L280" i="3"/>
  <c r="G280" i="3"/>
  <c r="D280" i="3"/>
  <c r="E280" i="3" s="1"/>
  <c r="C280" i="3"/>
  <c r="S279" i="3"/>
  <c r="N279" i="3"/>
  <c r="L279" i="3"/>
  <c r="G279" i="3"/>
  <c r="D279" i="3"/>
  <c r="E279" i="3" s="1"/>
  <c r="C279" i="3"/>
  <c r="S278" i="3"/>
  <c r="N278" i="3"/>
  <c r="L278" i="3"/>
  <c r="G278" i="3"/>
  <c r="D278" i="3"/>
  <c r="E278" i="3" s="1"/>
  <c r="C278" i="3"/>
  <c r="S277" i="3"/>
  <c r="N277" i="3"/>
  <c r="L277" i="3"/>
  <c r="G277" i="3"/>
  <c r="D277" i="3"/>
  <c r="E277" i="3" s="1"/>
  <c r="C277" i="3"/>
  <c r="S276" i="3"/>
  <c r="N276" i="3"/>
  <c r="L276" i="3"/>
  <c r="G276" i="3"/>
  <c r="D276" i="3"/>
  <c r="E276" i="3" s="1"/>
  <c r="C276" i="3"/>
  <c r="S275" i="3"/>
  <c r="N275" i="3"/>
  <c r="L275" i="3"/>
  <c r="G275" i="3"/>
  <c r="D275" i="3"/>
  <c r="E275" i="3" s="1"/>
  <c r="C275" i="3"/>
  <c r="S274" i="3"/>
  <c r="N274" i="3"/>
  <c r="L274" i="3"/>
  <c r="G274" i="3"/>
  <c r="D274" i="3"/>
  <c r="E274" i="3"/>
  <c r="C274" i="3"/>
  <c r="S273" i="3"/>
  <c r="N273" i="3"/>
  <c r="L273" i="3"/>
  <c r="G273" i="3"/>
  <c r="D273" i="3"/>
  <c r="E273" i="3" s="1"/>
  <c r="C273" i="3"/>
  <c r="E268" i="3"/>
  <c r="S266" i="3"/>
  <c r="N266" i="3"/>
  <c r="L266" i="3"/>
  <c r="G266" i="3"/>
  <c r="D266" i="3"/>
  <c r="E266" i="3" s="1"/>
  <c r="C266" i="3"/>
  <c r="S265" i="3"/>
  <c r="N265" i="3"/>
  <c r="L265" i="3"/>
  <c r="G265" i="3"/>
  <c r="D265" i="3"/>
  <c r="E265" i="3" s="1"/>
  <c r="C265" i="3"/>
  <c r="S264" i="3"/>
  <c r="N264" i="3"/>
  <c r="L264" i="3"/>
  <c r="G264" i="3"/>
  <c r="D264" i="3"/>
  <c r="E264" i="3" s="1"/>
  <c r="C264" i="3"/>
  <c r="S263" i="3"/>
  <c r="N263" i="3"/>
  <c r="L263" i="3"/>
  <c r="G263" i="3"/>
  <c r="D263" i="3"/>
  <c r="E263" i="3"/>
  <c r="C263" i="3"/>
  <c r="S262" i="3"/>
  <c r="N262" i="3"/>
  <c r="L262" i="3"/>
  <c r="G262" i="3"/>
  <c r="D262" i="3"/>
  <c r="E262" i="3" s="1"/>
  <c r="C262" i="3"/>
  <c r="S261" i="3"/>
  <c r="N261" i="3"/>
  <c r="L261" i="3"/>
  <c r="G261" i="3"/>
  <c r="D261" i="3"/>
  <c r="E261" i="3" s="1"/>
  <c r="C261" i="3"/>
  <c r="S260" i="3"/>
  <c r="N260" i="3"/>
  <c r="L260" i="3"/>
  <c r="G260" i="3"/>
  <c r="D260" i="3"/>
  <c r="E260" i="3"/>
  <c r="C260" i="3"/>
  <c r="S259" i="3"/>
  <c r="N259" i="3"/>
  <c r="L259" i="3"/>
  <c r="G259" i="3"/>
  <c r="D259" i="3"/>
  <c r="E259" i="3" s="1"/>
  <c r="C259" i="3"/>
  <c r="S258" i="3"/>
  <c r="N258" i="3"/>
  <c r="L258" i="3"/>
  <c r="G258" i="3"/>
  <c r="D258" i="3"/>
  <c r="E258" i="3" s="1"/>
  <c r="C258" i="3"/>
  <c r="S257" i="3"/>
  <c r="N257" i="3"/>
  <c r="L257" i="3"/>
  <c r="G257" i="3"/>
  <c r="D257" i="3"/>
  <c r="E257" i="3" s="1"/>
  <c r="C257" i="3"/>
  <c r="S256" i="3"/>
  <c r="N256" i="3"/>
  <c r="L256" i="3"/>
  <c r="G256" i="3"/>
  <c r="D256" i="3"/>
  <c r="E256" i="3" s="1"/>
  <c r="C256" i="3"/>
  <c r="S255" i="3"/>
  <c r="N255" i="3"/>
  <c r="L255" i="3"/>
  <c r="G255" i="3"/>
  <c r="D255" i="3"/>
  <c r="E255" i="3" s="1"/>
  <c r="C255" i="3"/>
  <c r="S254" i="3"/>
  <c r="N254" i="3"/>
  <c r="L254" i="3"/>
  <c r="G254" i="3"/>
  <c r="D254" i="3"/>
  <c r="E254" i="3" s="1"/>
  <c r="C254" i="3"/>
  <c r="S253" i="3"/>
  <c r="N253" i="3"/>
  <c r="L253" i="3"/>
  <c r="G253" i="3"/>
  <c r="D253" i="3"/>
  <c r="E253" i="3" s="1"/>
  <c r="C253" i="3"/>
  <c r="F267" i="3"/>
  <c r="L251" i="3"/>
  <c r="E248" i="3"/>
  <c r="S246" i="3"/>
  <c r="N246" i="3"/>
  <c r="L246" i="3"/>
  <c r="G246" i="3"/>
  <c r="D246" i="3"/>
  <c r="E246" i="3" s="1"/>
  <c r="C246" i="3"/>
  <c r="S245" i="3"/>
  <c r="N245" i="3"/>
  <c r="L245" i="3"/>
  <c r="G245" i="3"/>
  <c r="D245" i="3"/>
  <c r="E245" i="3" s="1"/>
  <c r="C245" i="3"/>
  <c r="S244" i="3"/>
  <c r="N244" i="3"/>
  <c r="L244" i="3"/>
  <c r="G244" i="3"/>
  <c r="D244" i="3"/>
  <c r="E244" i="3" s="1"/>
  <c r="C244" i="3"/>
  <c r="S243" i="3"/>
  <c r="N243" i="3"/>
  <c r="L243" i="3"/>
  <c r="G243" i="3"/>
  <c r="D243" i="3"/>
  <c r="E243" i="3" s="1"/>
  <c r="C243" i="3"/>
  <c r="S242" i="3"/>
  <c r="N242" i="3"/>
  <c r="L242" i="3"/>
  <c r="G242" i="3"/>
  <c r="D242" i="3"/>
  <c r="E242" i="3" s="1"/>
  <c r="C242" i="3"/>
  <c r="S241" i="3"/>
  <c r="N241" i="3"/>
  <c r="L241" i="3"/>
  <c r="G241" i="3"/>
  <c r="D241" i="3"/>
  <c r="E241" i="3" s="1"/>
  <c r="C241" i="3"/>
  <c r="S240" i="3"/>
  <c r="N240" i="3"/>
  <c r="L240" i="3"/>
  <c r="G240" i="3"/>
  <c r="D240" i="3"/>
  <c r="E240" i="3" s="1"/>
  <c r="C240" i="3"/>
  <c r="S239" i="3"/>
  <c r="N239" i="3"/>
  <c r="L239" i="3"/>
  <c r="G239" i="3"/>
  <c r="D239" i="3"/>
  <c r="E239" i="3" s="1"/>
  <c r="C239" i="3"/>
  <c r="S238" i="3"/>
  <c r="N238" i="3"/>
  <c r="L238" i="3"/>
  <c r="G238" i="3"/>
  <c r="D238" i="3"/>
  <c r="E238" i="3"/>
  <c r="C238" i="3"/>
  <c r="S237" i="3"/>
  <c r="N237" i="3"/>
  <c r="L237" i="3"/>
  <c r="G237" i="3"/>
  <c r="D237" i="3"/>
  <c r="E237" i="3" s="1"/>
  <c r="C237" i="3"/>
  <c r="S236" i="3"/>
  <c r="N236" i="3"/>
  <c r="L236" i="3"/>
  <c r="G236" i="3"/>
  <c r="D236" i="3"/>
  <c r="E236" i="3" s="1"/>
  <c r="C236" i="3"/>
  <c r="S235" i="3"/>
  <c r="N235" i="3"/>
  <c r="L235" i="3"/>
  <c r="G235" i="3"/>
  <c r="D235" i="3"/>
  <c r="E235" i="3" s="1"/>
  <c r="C235" i="3"/>
  <c r="S234" i="3"/>
  <c r="N234" i="3"/>
  <c r="L234" i="3"/>
  <c r="G234" i="3"/>
  <c r="D234" i="3"/>
  <c r="E234" i="3" s="1"/>
  <c r="C234" i="3"/>
  <c r="S233" i="3"/>
  <c r="N233" i="3"/>
  <c r="L233" i="3"/>
  <c r="G233" i="3"/>
  <c r="D233" i="3"/>
  <c r="E233" i="3" s="1"/>
  <c r="C233" i="3"/>
  <c r="L191" i="3"/>
  <c r="E228" i="3"/>
  <c r="S226" i="3"/>
  <c r="N226" i="3"/>
  <c r="L226" i="3"/>
  <c r="G226" i="3"/>
  <c r="D226" i="3"/>
  <c r="E226" i="3" s="1"/>
  <c r="C226" i="3"/>
  <c r="S225" i="3"/>
  <c r="N225" i="3"/>
  <c r="L225" i="3"/>
  <c r="G225" i="3"/>
  <c r="D225" i="3"/>
  <c r="E225" i="3" s="1"/>
  <c r="C225" i="3"/>
  <c r="S224" i="3"/>
  <c r="N224" i="3"/>
  <c r="L224" i="3"/>
  <c r="G224" i="3"/>
  <c r="D224" i="3"/>
  <c r="E224" i="3" s="1"/>
  <c r="C224" i="3"/>
  <c r="S223" i="3"/>
  <c r="N223" i="3"/>
  <c r="L223" i="3"/>
  <c r="G223" i="3"/>
  <c r="D223" i="3"/>
  <c r="E223" i="3" s="1"/>
  <c r="C223" i="3"/>
  <c r="S222" i="3"/>
  <c r="N222" i="3"/>
  <c r="L222" i="3"/>
  <c r="G222" i="3"/>
  <c r="D222" i="3"/>
  <c r="E222" i="3" s="1"/>
  <c r="C222" i="3"/>
  <c r="S221" i="3"/>
  <c r="N221" i="3"/>
  <c r="L221" i="3"/>
  <c r="G221" i="3"/>
  <c r="D221" i="3"/>
  <c r="E221" i="3" s="1"/>
  <c r="C221" i="3"/>
  <c r="S220" i="3"/>
  <c r="N220" i="3"/>
  <c r="L220" i="3"/>
  <c r="G220" i="3"/>
  <c r="D220" i="3"/>
  <c r="E220" i="3" s="1"/>
  <c r="C220" i="3"/>
  <c r="S219" i="3"/>
  <c r="N219" i="3"/>
  <c r="L219" i="3"/>
  <c r="G219" i="3"/>
  <c r="D219" i="3"/>
  <c r="E219" i="3" s="1"/>
  <c r="C219" i="3"/>
  <c r="S218" i="3"/>
  <c r="N218" i="3"/>
  <c r="L218" i="3"/>
  <c r="G218" i="3"/>
  <c r="D218" i="3"/>
  <c r="E218" i="3" s="1"/>
  <c r="C218" i="3"/>
  <c r="S217" i="3"/>
  <c r="N217" i="3"/>
  <c r="L217" i="3"/>
  <c r="G217" i="3"/>
  <c r="D217" i="3"/>
  <c r="E217" i="3" s="1"/>
  <c r="C217" i="3"/>
  <c r="S216" i="3"/>
  <c r="N216" i="3"/>
  <c r="L216" i="3"/>
  <c r="G216" i="3"/>
  <c r="D216" i="3"/>
  <c r="E216" i="3"/>
  <c r="C216" i="3"/>
  <c r="S215" i="3"/>
  <c r="N215" i="3"/>
  <c r="L215" i="3"/>
  <c r="G215" i="3"/>
  <c r="D215" i="3"/>
  <c r="E215" i="3" s="1"/>
  <c r="C215" i="3"/>
  <c r="S214" i="3"/>
  <c r="N214" i="3"/>
  <c r="L214" i="3"/>
  <c r="G214" i="3"/>
  <c r="D214" i="3"/>
  <c r="E214" i="3" s="1"/>
  <c r="C214" i="3"/>
  <c r="S213" i="3"/>
  <c r="N213" i="3"/>
  <c r="L213" i="3"/>
  <c r="G213" i="3"/>
  <c r="D213" i="3"/>
  <c r="E213" i="3" s="1"/>
  <c r="C213" i="3"/>
  <c r="E208" i="3"/>
  <c r="S206" i="3"/>
  <c r="N206" i="3"/>
  <c r="L206" i="3"/>
  <c r="G206" i="3"/>
  <c r="D206" i="3"/>
  <c r="E206" i="3" s="1"/>
  <c r="C206" i="3"/>
  <c r="S205" i="3"/>
  <c r="N205" i="3"/>
  <c r="L205" i="3"/>
  <c r="G205" i="3"/>
  <c r="D205" i="3"/>
  <c r="E205" i="3" s="1"/>
  <c r="C205" i="3"/>
  <c r="S204" i="3"/>
  <c r="N204" i="3"/>
  <c r="L204" i="3"/>
  <c r="G204" i="3"/>
  <c r="D204" i="3"/>
  <c r="E204" i="3" s="1"/>
  <c r="C204" i="3"/>
  <c r="S203" i="3"/>
  <c r="N203" i="3"/>
  <c r="L203" i="3"/>
  <c r="G203" i="3"/>
  <c r="D203" i="3"/>
  <c r="E203" i="3" s="1"/>
  <c r="C203" i="3"/>
  <c r="S202" i="3"/>
  <c r="N202" i="3"/>
  <c r="L202" i="3"/>
  <c r="G202" i="3"/>
  <c r="D202" i="3"/>
  <c r="E202" i="3" s="1"/>
  <c r="C202" i="3"/>
  <c r="S201" i="3"/>
  <c r="N201" i="3"/>
  <c r="L201" i="3"/>
  <c r="G201" i="3"/>
  <c r="D201" i="3"/>
  <c r="E201" i="3" s="1"/>
  <c r="C201" i="3"/>
  <c r="S200" i="3"/>
  <c r="N200" i="3"/>
  <c r="L200" i="3"/>
  <c r="G200" i="3"/>
  <c r="D200" i="3"/>
  <c r="E200" i="3" s="1"/>
  <c r="C200" i="3"/>
  <c r="S199" i="3"/>
  <c r="N199" i="3"/>
  <c r="L199" i="3"/>
  <c r="G199" i="3"/>
  <c r="D199" i="3"/>
  <c r="E199" i="3" s="1"/>
  <c r="C199" i="3"/>
  <c r="S198" i="3"/>
  <c r="N198" i="3"/>
  <c r="L198" i="3"/>
  <c r="G198" i="3"/>
  <c r="D198" i="3"/>
  <c r="E198" i="3" s="1"/>
  <c r="C198" i="3"/>
  <c r="S197" i="3"/>
  <c r="N197" i="3"/>
  <c r="L197" i="3"/>
  <c r="G197" i="3"/>
  <c r="D197" i="3"/>
  <c r="E197" i="3" s="1"/>
  <c r="C197" i="3"/>
  <c r="S196" i="3"/>
  <c r="N196" i="3"/>
  <c r="L196" i="3"/>
  <c r="G196" i="3"/>
  <c r="D196" i="3"/>
  <c r="E196" i="3" s="1"/>
  <c r="C196" i="3"/>
  <c r="S195" i="3"/>
  <c r="N195" i="3"/>
  <c r="L195" i="3"/>
  <c r="G195" i="3"/>
  <c r="D195" i="3"/>
  <c r="E195" i="3" s="1"/>
  <c r="C195" i="3"/>
  <c r="S194" i="3"/>
  <c r="N194" i="3"/>
  <c r="L194" i="3"/>
  <c r="G194" i="3"/>
  <c r="D194" i="3"/>
  <c r="E194" i="3" s="1"/>
  <c r="C194" i="3"/>
  <c r="S193" i="3"/>
  <c r="N193" i="3"/>
  <c r="L193" i="3"/>
  <c r="G193" i="3"/>
  <c r="D193" i="3"/>
  <c r="E193" i="3" s="1"/>
  <c r="C193" i="3"/>
  <c r="F187" i="3"/>
  <c r="F189" i="3" s="1"/>
  <c r="F107" i="3"/>
  <c r="L151" i="3"/>
  <c r="L131" i="3"/>
  <c r="L111" i="3"/>
  <c r="L91" i="3"/>
  <c r="L71" i="3"/>
  <c r="E168" i="3"/>
  <c r="S166" i="3"/>
  <c r="N166" i="3"/>
  <c r="L166" i="3"/>
  <c r="G166" i="3"/>
  <c r="D166" i="3"/>
  <c r="E166" i="3" s="1"/>
  <c r="C166" i="3"/>
  <c r="S165" i="3"/>
  <c r="N165" i="3"/>
  <c r="L165" i="3"/>
  <c r="G165" i="3"/>
  <c r="D165" i="3"/>
  <c r="E165" i="3" s="1"/>
  <c r="C165" i="3"/>
  <c r="S164" i="3"/>
  <c r="N164" i="3"/>
  <c r="L164" i="3"/>
  <c r="G164" i="3"/>
  <c r="D164" i="3"/>
  <c r="E164" i="3" s="1"/>
  <c r="C164" i="3"/>
  <c r="S163" i="3"/>
  <c r="N163" i="3"/>
  <c r="L163" i="3"/>
  <c r="G163" i="3"/>
  <c r="D163" i="3"/>
  <c r="E163" i="3" s="1"/>
  <c r="C163" i="3"/>
  <c r="S162" i="3"/>
  <c r="N162" i="3"/>
  <c r="L162" i="3"/>
  <c r="G162" i="3"/>
  <c r="D162" i="3"/>
  <c r="E162" i="3" s="1"/>
  <c r="C162" i="3"/>
  <c r="S161" i="3"/>
  <c r="N161" i="3"/>
  <c r="L161" i="3"/>
  <c r="G161" i="3"/>
  <c r="D161" i="3"/>
  <c r="E161" i="3" s="1"/>
  <c r="C161" i="3"/>
  <c r="S160" i="3"/>
  <c r="N160" i="3"/>
  <c r="L160" i="3"/>
  <c r="G160" i="3"/>
  <c r="D160" i="3"/>
  <c r="E160" i="3" s="1"/>
  <c r="C160" i="3"/>
  <c r="S159" i="3"/>
  <c r="N159" i="3"/>
  <c r="L159" i="3"/>
  <c r="G159" i="3"/>
  <c r="D159" i="3"/>
  <c r="E159" i="3" s="1"/>
  <c r="C159" i="3"/>
  <c r="S158" i="3"/>
  <c r="N158" i="3"/>
  <c r="L158" i="3"/>
  <c r="G158" i="3"/>
  <c r="D158" i="3"/>
  <c r="E158" i="3" s="1"/>
  <c r="C158" i="3"/>
  <c r="S157" i="3"/>
  <c r="N157" i="3"/>
  <c r="L157" i="3"/>
  <c r="G157" i="3"/>
  <c r="D157" i="3"/>
  <c r="E157" i="3" s="1"/>
  <c r="C157" i="3"/>
  <c r="S156" i="3"/>
  <c r="N156" i="3"/>
  <c r="L156" i="3"/>
  <c r="G156" i="3"/>
  <c r="D156" i="3"/>
  <c r="E156" i="3" s="1"/>
  <c r="C156" i="3"/>
  <c r="S155" i="3"/>
  <c r="S167" i="3" s="1"/>
  <c r="N155" i="3"/>
  <c r="L155" i="3"/>
  <c r="G155" i="3"/>
  <c r="D155" i="3"/>
  <c r="E155" i="3" s="1"/>
  <c r="C155" i="3"/>
  <c r="S154" i="3"/>
  <c r="N154" i="3"/>
  <c r="L154" i="3"/>
  <c r="D154" i="3"/>
  <c r="E154" i="3" s="1"/>
  <c r="C154" i="3"/>
  <c r="S153" i="3"/>
  <c r="N153" i="3"/>
  <c r="L153" i="3"/>
  <c r="D153" i="3"/>
  <c r="E153" i="3" s="1"/>
  <c r="C153" i="3"/>
  <c r="E188" i="3"/>
  <c r="S186" i="3"/>
  <c r="N186" i="3"/>
  <c r="L186" i="3"/>
  <c r="G186" i="3"/>
  <c r="D186" i="3"/>
  <c r="E186" i="3" s="1"/>
  <c r="C186" i="3"/>
  <c r="S185" i="3"/>
  <c r="N185" i="3"/>
  <c r="L185" i="3"/>
  <c r="G185" i="3"/>
  <c r="D185" i="3"/>
  <c r="E185" i="3" s="1"/>
  <c r="C185" i="3"/>
  <c r="S184" i="3"/>
  <c r="N184" i="3"/>
  <c r="L184" i="3"/>
  <c r="G184" i="3"/>
  <c r="D184" i="3"/>
  <c r="E184" i="3"/>
  <c r="C184" i="3"/>
  <c r="S183" i="3"/>
  <c r="N183" i="3"/>
  <c r="L183" i="3"/>
  <c r="G183" i="3"/>
  <c r="D183" i="3"/>
  <c r="E183" i="3" s="1"/>
  <c r="C183" i="3"/>
  <c r="S182" i="3"/>
  <c r="N182" i="3"/>
  <c r="L182" i="3"/>
  <c r="G182" i="3"/>
  <c r="D182" i="3"/>
  <c r="E182" i="3" s="1"/>
  <c r="C182" i="3"/>
  <c r="S181" i="3"/>
  <c r="N181" i="3"/>
  <c r="L181" i="3"/>
  <c r="G181" i="3"/>
  <c r="D181" i="3"/>
  <c r="E181" i="3"/>
  <c r="C181" i="3"/>
  <c r="S180" i="3"/>
  <c r="N180" i="3"/>
  <c r="L180" i="3"/>
  <c r="G180" i="3"/>
  <c r="D180" i="3"/>
  <c r="E180" i="3" s="1"/>
  <c r="C180" i="3"/>
  <c r="S179" i="3"/>
  <c r="N179" i="3"/>
  <c r="L179" i="3"/>
  <c r="G179" i="3"/>
  <c r="D179" i="3"/>
  <c r="E179" i="3" s="1"/>
  <c r="C179" i="3"/>
  <c r="S178" i="3"/>
  <c r="N178" i="3"/>
  <c r="L178" i="3"/>
  <c r="G178" i="3"/>
  <c r="D178" i="3"/>
  <c r="E178" i="3"/>
  <c r="C178" i="3"/>
  <c r="S177" i="3"/>
  <c r="N177" i="3"/>
  <c r="L177" i="3"/>
  <c r="G177" i="3"/>
  <c r="D177" i="3"/>
  <c r="E177" i="3" s="1"/>
  <c r="C177" i="3"/>
  <c r="S176" i="3"/>
  <c r="N176" i="3"/>
  <c r="L176" i="3"/>
  <c r="G176" i="3"/>
  <c r="D176" i="3"/>
  <c r="E176" i="3" s="1"/>
  <c r="C176" i="3"/>
  <c r="S175" i="3"/>
  <c r="N175" i="3"/>
  <c r="L175" i="3"/>
  <c r="G175" i="3"/>
  <c r="D175" i="3"/>
  <c r="E175" i="3" s="1"/>
  <c r="C175" i="3"/>
  <c r="N174" i="3"/>
  <c r="L174" i="3"/>
  <c r="D174" i="3"/>
  <c r="E174" i="3" s="1"/>
  <c r="C174" i="3"/>
  <c r="S173" i="3"/>
  <c r="N173" i="3"/>
  <c r="L173" i="3"/>
  <c r="D173" i="3"/>
  <c r="E173" i="3" s="1"/>
  <c r="C173" i="3"/>
  <c r="S73" i="3"/>
  <c r="S74" i="3"/>
  <c r="S75" i="3"/>
  <c r="S76" i="3"/>
  <c r="S77" i="3"/>
  <c r="S78" i="3"/>
  <c r="S79" i="3"/>
  <c r="S80" i="3"/>
  <c r="S81" i="3"/>
  <c r="S82" i="3"/>
  <c r="S83" i="3"/>
  <c r="S84" i="3"/>
  <c r="S85" i="3"/>
  <c r="S86" i="3"/>
  <c r="S93" i="3"/>
  <c r="S94" i="3"/>
  <c r="S95" i="3"/>
  <c r="S96" i="3"/>
  <c r="S97" i="3"/>
  <c r="S98" i="3"/>
  <c r="S99" i="3"/>
  <c r="S100" i="3"/>
  <c r="S101" i="3"/>
  <c r="S102" i="3"/>
  <c r="S103" i="3"/>
  <c r="S104" i="3"/>
  <c r="S105" i="3"/>
  <c r="S106" i="3"/>
  <c r="S113" i="3"/>
  <c r="S114" i="3"/>
  <c r="S115" i="3"/>
  <c r="S116" i="3"/>
  <c r="S117" i="3"/>
  <c r="S118" i="3"/>
  <c r="S119" i="3"/>
  <c r="S120" i="3"/>
  <c r="S121" i="3"/>
  <c r="S122" i="3"/>
  <c r="S123" i="3"/>
  <c r="S124" i="3"/>
  <c r="S125" i="3"/>
  <c r="S126" i="3"/>
  <c r="S133" i="3"/>
  <c r="S134" i="3"/>
  <c r="S135" i="3"/>
  <c r="S136" i="3"/>
  <c r="S137" i="3"/>
  <c r="S138" i="3"/>
  <c r="S139" i="3"/>
  <c r="S140" i="3"/>
  <c r="S141" i="3"/>
  <c r="S142" i="3"/>
  <c r="S143" i="3"/>
  <c r="S144" i="3"/>
  <c r="S145" i="3"/>
  <c r="S146" i="3"/>
  <c r="N75" i="3"/>
  <c r="N94" i="3"/>
  <c r="N115" i="3"/>
  <c r="N73" i="3"/>
  <c r="N74" i="3"/>
  <c r="N76" i="3"/>
  <c r="N93" i="3"/>
  <c r="N95" i="3"/>
  <c r="N96" i="3"/>
  <c r="N113" i="3"/>
  <c r="N114" i="3"/>
  <c r="N116" i="3"/>
  <c r="N133" i="3"/>
  <c r="N134" i="3"/>
  <c r="N135" i="3"/>
  <c r="N136" i="3"/>
  <c r="N77" i="3"/>
  <c r="N117" i="3"/>
  <c r="N78" i="3"/>
  <c r="N79" i="3"/>
  <c r="N80" i="3"/>
  <c r="N81" i="3"/>
  <c r="N82" i="3"/>
  <c r="N83" i="3"/>
  <c r="N84" i="3"/>
  <c r="N85" i="3"/>
  <c r="N86" i="3"/>
  <c r="N97" i="3"/>
  <c r="N98" i="3"/>
  <c r="N99" i="3"/>
  <c r="N100" i="3"/>
  <c r="N101" i="3"/>
  <c r="N102" i="3"/>
  <c r="N103" i="3"/>
  <c r="N104" i="3"/>
  <c r="N105" i="3"/>
  <c r="N106" i="3"/>
  <c r="N118" i="3"/>
  <c r="N119" i="3"/>
  <c r="N120" i="3"/>
  <c r="N121" i="3"/>
  <c r="N122" i="3"/>
  <c r="N123" i="3"/>
  <c r="N124" i="3"/>
  <c r="N125" i="3"/>
  <c r="N126" i="3"/>
  <c r="N137" i="3"/>
  <c r="N138" i="3"/>
  <c r="N139" i="3"/>
  <c r="N140" i="3"/>
  <c r="N141" i="3"/>
  <c r="N142" i="3"/>
  <c r="N143" i="3"/>
  <c r="N144" i="3"/>
  <c r="N145" i="3"/>
  <c r="N146" i="3"/>
  <c r="E128" i="3"/>
  <c r="L126" i="3"/>
  <c r="G126" i="3"/>
  <c r="D126" i="3"/>
  <c r="E126" i="3" s="1"/>
  <c r="C126" i="3"/>
  <c r="L125" i="3"/>
  <c r="G125" i="3"/>
  <c r="D125" i="3"/>
  <c r="E125" i="3" s="1"/>
  <c r="C125" i="3"/>
  <c r="L124" i="3"/>
  <c r="G124" i="3"/>
  <c r="D124" i="3"/>
  <c r="E124" i="3" s="1"/>
  <c r="C124" i="3"/>
  <c r="L123" i="3"/>
  <c r="G123" i="3"/>
  <c r="D123" i="3"/>
  <c r="E123" i="3" s="1"/>
  <c r="C123" i="3"/>
  <c r="L122" i="3"/>
  <c r="G122" i="3"/>
  <c r="D122" i="3"/>
  <c r="E122" i="3" s="1"/>
  <c r="C122" i="3"/>
  <c r="L121" i="3"/>
  <c r="G121" i="3"/>
  <c r="D121" i="3"/>
  <c r="E121" i="3" s="1"/>
  <c r="C121" i="3"/>
  <c r="L120" i="3"/>
  <c r="G120" i="3"/>
  <c r="D120" i="3"/>
  <c r="E120" i="3" s="1"/>
  <c r="C120" i="3"/>
  <c r="L119" i="3"/>
  <c r="G119" i="3"/>
  <c r="D119" i="3"/>
  <c r="E119" i="3" s="1"/>
  <c r="C119" i="3"/>
  <c r="L118" i="3"/>
  <c r="G118" i="3"/>
  <c r="D118" i="3"/>
  <c r="E118" i="3" s="1"/>
  <c r="C118" i="3"/>
  <c r="L117" i="3"/>
  <c r="G117" i="3"/>
  <c r="D117" i="3"/>
  <c r="E117" i="3" s="1"/>
  <c r="C117" i="3"/>
  <c r="L116" i="3"/>
  <c r="G116" i="3"/>
  <c r="D116" i="3"/>
  <c r="E116" i="3" s="1"/>
  <c r="C116" i="3"/>
  <c r="L115" i="3"/>
  <c r="D115" i="3"/>
  <c r="E115" i="3" s="1"/>
  <c r="C115" i="3"/>
  <c r="L114" i="3"/>
  <c r="D114" i="3"/>
  <c r="E114" i="3" s="1"/>
  <c r="C114" i="3"/>
  <c r="L113" i="3"/>
  <c r="D113" i="3"/>
  <c r="E113" i="3" s="1"/>
  <c r="C113" i="3"/>
  <c r="C143" i="3"/>
  <c r="D143" i="3"/>
  <c r="E143" i="3" s="1"/>
  <c r="G143" i="3"/>
  <c r="L143" i="3"/>
  <c r="L144" i="3"/>
  <c r="G144" i="3"/>
  <c r="D144" i="3"/>
  <c r="E144" i="3" s="1"/>
  <c r="C144" i="3"/>
  <c r="L142" i="3"/>
  <c r="G142" i="3"/>
  <c r="D142" i="3"/>
  <c r="E142" i="3" s="1"/>
  <c r="C142" i="3"/>
  <c r="L141" i="3"/>
  <c r="G141" i="3"/>
  <c r="D141" i="3"/>
  <c r="E141" i="3" s="1"/>
  <c r="C141" i="3"/>
  <c r="L102" i="3"/>
  <c r="G102" i="3"/>
  <c r="D102" i="3"/>
  <c r="E102" i="3" s="1"/>
  <c r="C102" i="3"/>
  <c r="L101" i="3"/>
  <c r="G101" i="3"/>
  <c r="D101" i="3"/>
  <c r="E101" i="3" s="1"/>
  <c r="C101" i="3"/>
  <c r="L100" i="3"/>
  <c r="G100" i="3"/>
  <c r="D100" i="3"/>
  <c r="E100" i="3" s="1"/>
  <c r="C100" i="3"/>
  <c r="L99" i="3"/>
  <c r="G99" i="3"/>
  <c r="D99" i="3"/>
  <c r="E99" i="3" s="1"/>
  <c r="C99" i="3"/>
  <c r="L98" i="3"/>
  <c r="D98" i="3"/>
  <c r="E98" i="3" s="1"/>
  <c r="C98" i="3"/>
  <c r="C103" i="3"/>
  <c r="D103" i="3"/>
  <c r="E103" i="3" s="1"/>
  <c r="G103" i="3"/>
  <c r="L103" i="3"/>
  <c r="C104" i="3"/>
  <c r="D104" i="3"/>
  <c r="E104" i="3" s="1"/>
  <c r="G104" i="3"/>
  <c r="L104" i="3"/>
  <c r="C105" i="3"/>
  <c r="D105" i="3"/>
  <c r="E105" i="3" s="1"/>
  <c r="G105" i="3"/>
  <c r="L105" i="3"/>
  <c r="C106" i="3"/>
  <c r="D106" i="3"/>
  <c r="E106" i="3" s="1"/>
  <c r="G106" i="3"/>
  <c r="L106" i="3"/>
  <c r="L96" i="3"/>
  <c r="D96" i="3"/>
  <c r="E96" i="3" s="1"/>
  <c r="C96" i="3"/>
  <c r="L95" i="3"/>
  <c r="D95" i="3"/>
  <c r="E95" i="3" s="1"/>
  <c r="C95" i="3"/>
  <c r="L94" i="3"/>
  <c r="D94" i="3"/>
  <c r="E94" i="3" s="1"/>
  <c r="C94" i="3"/>
  <c r="L81" i="3"/>
  <c r="G81" i="3"/>
  <c r="D81" i="3"/>
  <c r="E81" i="3" s="1"/>
  <c r="C81" i="3"/>
  <c r="L135" i="3"/>
  <c r="G135" i="3"/>
  <c r="D135" i="3"/>
  <c r="E135" i="3"/>
  <c r="C135" i="3"/>
  <c r="L134" i="3"/>
  <c r="G134" i="3"/>
  <c r="D134" i="3"/>
  <c r="E134" i="3" s="1"/>
  <c r="C134" i="3"/>
  <c r="L137" i="3"/>
  <c r="G137" i="3"/>
  <c r="D137" i="3"/>
  <c r="E137" i="3" s="1"/>
  <c r="C137" i="3"/>
  <c r="L136" i="3"/>
  <c r="G136" i="3"/>
  <c r="D136" i="3"/>
  <c r="E136" i="3"/>
  <c r="C136" i="3"/>
  <c r="L139" i="3"/>
  <c r="G139" i="3"/>
  <c r="D139" i="3"/>
  <c r="E139" i="3" s="1"/>
  <c r="C139" i="3"/>
  <c r="L138" i="3"/>
  <c r="G138" i="3"/>
  <c r="D138" i="3"/>
  <c r="E138" i="3" s="1"/>
  <c r="C138" i="3"/>
  <c r="L97" i="3"/>
  <c r="D97" i="3"/>
  <c r="E97" i="3" s="1"/>
  <c r="C97" i="3"/>
  <c r="L93" i="3"/>
  <c r="D93" i="3"/>
  <c r="E93" i="3" s="1"/>
  <c r="C93" i="3"/>
  <c r="L83" i="3"/>
  <c r="G83" i="3"/>
  <c r="D83" i="3"/>
  <c r="E83" i="3" s="1"/>
  <c r="C83" i="3"/>
  <c r="L82" i="3"/>
  <c r="G82" i="3"/>
  <c r="D82" i="3"/>
  <c r="E82" i="3" s="1"/>
  <c r="C82" i="3"/>
  <c r="L80" i="3"/>
  <c r="G80" i="3"/>
  <c r="D80" i="3"/>
  <c r="E80" i="3" s="1"/>
  <c r="C80" i="3"/>
  <c r="L79" i="3"/>
  <c r="D79" i="3"/>
  <c r="E79" i="3" s="1"/>
  <c r="C79" i="3"/>
  <c r="L78" i="3"/>
  <c r="D78" i="3"/>
  <c r="E78" i="3" s="1"/>
  <c r="C78" i="3"/>
  <c r="L77" i="3"/>
  <c r="D77" i="3"/>
  <c r="E77" i="3" s="1"/>
  <c r="C77" i="3"/>
  <c r="L76" i="3"/>
  <c r="D76" i="3"/>
  <c r="E76" i="3" s="1"/>
  <c r="C76" i="3"/>
  <c r="L75" i="3"/>
  <c r="D75" i="3"/>
  <c r="E75" i="3" s="1"/>
  <c r="C75" i="3"/>
  <c r="L74" i="3"/>
  <c r="D74" i="3"/>
  <c r="E74" i="3" s="1"/>
  <c r="C74" i="3"/>
  <c r="L73" i="3"/>
  <c r="D73" i="3"/>
  <c r="E73" i="3" s="1"/>
  <c r="C73" i="3"/>
  <c r="L85" i="3"/>
  <c r="G85" i="3"/>
  <c r="D85" i="3"/>
  <c r="E85" i="3" s="1"/>
  <c r="C85" i="3"/>
  <c r="L84" i="3"/>
  <c r="G84" i="3"/>
  <c r="D84" i="3"/>
  <c r="E84" i="3" s="1"/>
  <c r="C84" i="3"/>
  <c r="L133" i="3"/>
  <c r="D133" i="3"/>
  <c r="E133" i="3" s="1"/>
  <c r="C133" i="3"/>
  <c r="L140" i="3"/>
  <c r="G140" i="3"/>
  <c r="D140" i="3"/>
  <c r="E140" i="3" s="1"/>
  <c r="C140" i="3"/>
  <c r="L146" i="3"/>
  <c r="L145" i="3"/>
  <c r="L86" i="3"/>
  <c r="G146" i="3"/>
  <c r="G145" i="3"/>
  <c r="G86" i="3"/>
  <c r="E148" i="3"/>
  <c r="D146" i="3"/>
  <c r="E146" i="3" s="1"/>
  <c r="D145" i="3"/>
  <c r="E145" i="3"/>
  <c r="E108" i="3"/>
  <c r="E88" i="3"/>
  <c r="D86" i="3"/>
  <c r="E86" i="3"/>
  <c r="C146" i="3"/>
  <c r="C145" i="3"/>
  <c r="C86" i="3"/>
  <c r="B16" i="3"/>
  <c r="G115" i="3"/>
  <c r="G114" i="3"/>
  <c r="D72" i="3"/>
  <c r="E72" i="3" s="1"/>
  <c r="S174" i="3"/>
  <c r="G174" i="3"/>
  <c r="G173" i="3"/>
  <c r="L112" i="3"/>
  <c r="F247" i="3"/>
  <c r="L72" i="3"/>
  <c r="C192" i="3"/>
  <c r="C172" i="3"/>
  <c r="D112" i="3"/>
  <c r="E112" i="3" s="1"/>
  <c r="C112" i="3"/>
  <c r="S212" i="3"/>
  <c r="M107" i="3"/>
  <c r="M287" i="3"/>
  <c r="M288" i="3" s="1"/>
  <c r="N272" i="3"/>
  <c r="S272" i="3"/>
  <c r="N132" i="3"/>
  <c r="S252" i="3"/>
  <c r="S152" i="3"/>
  <c r="M167" i="3"/>
  <c r="M168" i="3" s="1"/>
  <c r="N152" i="3"/>
  <c r="F207" i="3"/>
  <c r="D46" i="3" s="1"/>
  <c r="D47" i="3"/>
  <c r="S172" i="3"/>
  <c r="N172" i="3"/>
  <c r="M187" i="3"/>
  <c r="L252" i="3"/>
  <c r="L92" i="3"/>
  <c r="C92" i="3"/>
  <c r="D92" i="3"/>
  <c r="E92" i="3" s="1"/>
  <c r="N92" i="3"/>
  <c r="S92" i="3"/>
  <c r="D192" i="3"/>
  <c r="E192" i="3" s="1"/>
  <c r="B42" i="3"/>
  <c r="L171" i="3"/>
  <c r="N72" i="3"/>
  <c r="N212" i="3"/>
  <c r="M227" i="3"/>
  <c r="M228" i="3" s="1"/>
  <c r="C132" i="3"/>
  <c r="L132" i="3"/>
  <c r="D132" i="3"/>
  <c r="E132" i="3" s="1"/>
  <c r="L271" i="3"/>
  <c r="S192" i="3"/>
  <c r="N192" i="3"/>
  <c r="M207" i="3"/>
  <c r="C152" i="3"/>
  <c r="L152" i="3"/>
  <c r="D152" i="3"/>
  <c r="E152" i="3" s="1"/>
  <c r="L211" i="3"/>
  <c r="M127" i="3"/>
  <c r="M128" i="3" s="1"/>
  <c r="S112" i="3"/>
  <c r="N112" i="3"/>
  <c r="S132" i="3"/>
  <c r="M147" i="3"/>
  <c r="M148" i="3" s="1"/>
  <c r="M149" i="3" s="1"/>
  <c r="S72" i="3"/>
  <c r="N232" i="3"/>
  <c r="M247" i="3"/>
  <c r="M248" i="3" s="1"/>
  <c r="S232" i="3"/>
  <c r="S247" i="3" s="1"/>
  <c r="S248" i="3" s="1"/>
  <c r="N252" i="3"/>
  <c r="M267" i="3"/>
  <c r="M268" i="3"/>
  <c r="M269" i="3" s="1"/>
  <c r="L192" i="3"/>
  <c r="L231" i="3"/>
  <c r="D232" i="3"/>
  <c r="E232" i="3" s="1"/>
  <c r="C72" i="3"/>
  <c r="L212" i="3"/>
  <c r="D212" i="3"/>
  <c r="E212" i="3" s="1"/>
  <c r="C252" i="3"/>
  <c r="D252" i="3"/>
  <c r="E252" i="3"/>
  <c r="D172" i="3"/>
  <c r="E172" i="3" s="1"/>
  <c r="L272" i="3"/>
  <c r="D272" i="3"/>
  <c r="E272" i="3" s="1"/>
  <c r="C272" i="3"/>
  <c r="L232" i="3"/>
  <c r="C232" i="3"/>
  <c r="C212" i="3"/>
  <c r="L172" i="3"/>
  <c r="D58" i="3"/>
  <c r="D55" i="3"/>
  <c r="D51" i="3"/>
  <c r="D44" i="3"/>
  <c r="D43" i="3"/>
  <c r="F269" i="3"/>
  <c r="D60" i="3" s="1"/>
  <c r="D59" i="3"/>
  <c r="D34" i="3"/>
  <c r="M208" i="3"/>
  <c r="M209" i="3" s="1"/>
  <c r="F289" i="3"/>
  <c r="D64" i="3" s="1"/>
  <c r="F129" i="3"/>
  <c r="D31" i="3" s="1"/>
  <c r="G76" i="3"/>
  <c r="G77" i="3"/>
  <c r="G75" i="3"/>
  <c r="G79" i="3"/>
  <c r="G78" i="3"/>
  <c r="G96" i="3"/>
  <c r="G97" i="3"/>
  <c r="G98" i="3"/>
  <c r="F229" i="3"/>
  <c r="D52" i="3" s="1"/>
  <c r="D25" i="3"/>
  <c r="M188" i="3"/>
  <c r="D37" i="3"/>
  <c r="M108" i="3"/>
  <c r="H294" i="3"/>
  <c r="G95" i="3"/>
  <c r="G94" i="3"/>
  <c r="G74" i="3"/>
  <c r="M249" i="3" l="1"/>
  <c r="S187" i="3"/>
  <c r="S168" i="3"/>
  <c r="S169" i="3" s="1"/>
  <c r="D38" i="3"/>
  <c r="S127" i="3"/>
  <c r="S107" i="3"/>
  <c r="F88" i="3"/>
  <c r="D22" i="3" s="1"/>
  <c r="S128" i="3"/>
  <c r="S129" i="3" s="1"/>
  <c r="S188" i="3"/>
  <c r="S189" i="3" s="1"/>
  <c r="S147" i="3"/>
  <c r="S148" i="3" s="1"/>
  <c r="S149" i="3" s="1"/>
  <c r="S249" i="3"/>
  <c r="S267" i="3"/>
  <c r="S268" i="3" s="1"/>
  <c r="F149" i="3"/>
  <c r="D35" i="3" s="1"/>
  <c r="S207" i="3"/>
  <c r="S208" i="3" s="1"/>
  <c r="F209" i="3"/>
  <c r="D48" i="3" s="1"/>
  <c r="S227" i="3"/>
  <c r="S228" i="3" s="1"/>
  <c r="S229" i="3" s="1"/>
  <c r="S87" i="3"/>
  <c r="S88" i="3" s="1"/>
  <c r="S287" i="3"/>
  <c r="M89" i="3"/>
  <c r="M169" i="3"/>
  <c r="M289" i="3"/>
  <c r="M189" i="3"/>
  <c r="D54" i="3"/>
  <c r="F249" i="3"/>
  <c r="M294" i="3"/>
  <c r="S108" i="3"/>
  <c r="S109" i="3" s="1"/>
  <c r="M229" i="3"/>
  <c r="F108" i="3"/>
  <c r="F294" i="3"/>
  <c r="M129" i="3"/>
  <c r="M109" i="3"/>
  <c r="D42" i="3"/>
  <c r="S209" i="3" l="1"/>
  <c r="F89" i="3"/>
  <c r="D23" i="3" s="1"/>
  <c r="S288" i="3"/>
  <c r="S289" i="3" s="1"/>
  <c r="M291" i="3"/>
  <c r="O66" i="3" s="1"/>
  <c r="S89" i="3"/>
  <c r="S269" i="3"/>
  <c r="D26" i="3"/>
  <c r="F295" i="3"/>
  <c r="F109" i="3"/>
  <c r="M295" i="3"/>
  <c r="M298" i="3"/>
  <c r="T66" i="3" s="1"/>
  <c r="D56" i="3"/>
  <c r="S291" i="3" l="1"/>
  <c r="Q66" i="3"/>
  <c r="O142" i="3" s="1"/>
  <c r="M292" i="3"/>
  <c r="N291" i="3"/>
  <c r="M19" i="3" s="1"/>
  <c r="G295" i="3"/>
  <c r="F13" i="3"/>
  <c r="D27" i="3"/>
  <c r="F291" i="3"/>
  <c r="O80" i="3" l="1"/>
  <c r="P80" i="3" s="1"/>
  <c r="Q80" i="3" s="1"/>
  <c r="O266" i="3"/>
  <c r="P266" i="3" s="1"/>
  <c r="Q266" i="3" s="1"/>
  <c r="O245" i="3"/>
  <c r="P245" i="3" s="1"/>
  <c r="Q245" i="3" s="1"/>
  <c r="O246" i="3"/>
  <c r="P246" i="3" s="1"/>
  <c r="Q246" i="3" s="1"/>
  <c r="O134" i="3"/>
  <c r="P134" i="3" s="1"/>
  <c r="Q134" i="3" s="1"/>
  <c r="O73" i="3"/>
  <c r="P73" i="3" s="1"/>
  <c r="Q73" i="3" s="1"/>
  <c r="O177" i="3"/>
  <c r="P177" i="3" s="1"/>
  <c r="Q177" i="3" s="1"/>
  <c r="O157" i="3"/>
  <c r="P157" i="3" s="1"/>
  <c r="Q157" i="3" s="1"/>
  <c r="O83" i="3"/>
  <c r="P83" i="3" s="1"/>
  <c r="Q83" i="3" s="1"/>
  <c r="O205" i="3"/>
  <c r="P205" i="3" s="1"/>
  <c r="Q205" i="3" s="1"/>
  <c r="O178" i="3"/>
  <c r="P178" i="3" s="1"/>
  <c r="Q178" i="3" s="1"/>
  <c r="O117" i="3"/>
  <c r="P117" i="3" s="1"/>
  <c r="Q117" i="3" s="1"/>
  <c r="O102" i="3"/>
  <c r="P102" i="3" s="1"/>
  <c r="Q102" i="3" s="1"/>
  <c r="O97" i="3"/>
  <c r="P97" i="3" s="1"/>
  <c r="Q97" i="3" s="1"/>
  <c r="O275" i="3"/>
  <c r="P275" i="3" s="1"/>
  <c r="Q275" i="3" s="1"/>
  <c r="O144" i="3"/>
  <c r="P144" i="3" s="1"/>
  <c r="Q144" i="3" s="1"/>
  <c r="O78" i="3"/>
  <c r="P78" i="3" s="1"/>
  <c r="Q78" i="3" s="1"/>
  <c r="O222" i="3"/>
  <c r="P222" i="3" s="1"/>
  <c r="Q222" i="3" s="1"/>
  <c r="O206" i="3"/>
  <c r="P206" i="3" s="1"/>
  <c r="Q206" i="3" s="1"/>
  <c r="O98" i="3"/>
  <c r="P98" i="3" s="1"/>
  <c r="Q98" i="3" s="1"/>
  <c r="O201" i="3"/>
  <c r="P201" i="3" s="1"/>
  <c r="Q201" i="3" s="1"/>
  <c r="O152" i="3"/>
  <c r="R152" i="3" s="1"/>
  <c r="O203" i="3"/>
  <c r="P203" i="3" s="1"/>
  <c r="Q203" i="3" s="1"/>
  <c r="O284" i="3"/>
  <c r="P284" i="3" s="1"/>
  <c r="Q284" i="3" s="1"/>
  <c r="O239" i="3"/>
  <c r="P239" i="3" s="1"/>
  <c r="Q239" i="3" s="1"/>
  <c r="O242" i="3"/>
  <c r="P242" i="3" s="1"/>
  <c r="Q242" i="3" s="1"/>
  <c r="O259" i="3"/>
  <c r="P259" i="3" s="1"/>
  <c r="Q259" i="3" s="1"/>
  <c r="O81" i="3"/>
  <c r="P81" i="3" s="1"/>
  <c r="Q81" i="3" s="1"/>
  <c r="O74" i="3"/>
  <c r="P74" i="3" s="1"/>
  <c r="Q74" i="3" s="1"/>
  <c r="O214" i="3"/>
  <c r="P214" i="3" s="1"/>
  <c r="Q214" i="3" s="1"/>
  <c r="O200" i="3"/>
  <c r="P200" i="3" s="1"/>
  <c r="Q200" i="3" s="1"/>
  <c r="O232" i="3"/>
  <c r="R232" i="3" s="1"/>
  <c r="O76" i="3"/>
  <c r="P76" i="3" s="1"/>
  <c r="Q76" i="3" s="1"/>
  <c r="O180" i="3"/>
  <c r="P180" i="3" s="1"/>
  <c r="Q180" i="3" s="1"/>
  <c r="O258" i="3"/>
  <c r="P258" i="3" s="1"/>
  <c r="Q258" i="3" s="1"/>
  <c r="O225" i="3"/>
  <c r="P225" i="3" s="1"/>
  <c r="Q225" i="3" s="1"/>
  <c r="O77" i="3"/>
  <c r="P77" i="3" s="1"/>
  <c r="Q77" i="3" s="1"/>
  <c r="O220" i="3"/>
  <c r="P220" i="3" s="1"/>
  <c r="Q220" i="3" s="1"/>
  <c r="O95" i="3"/>
  <c r="P95" i="3" s="1"/>
  <c r="Q95" i="3" s="1"/>
  <c r="O253" i="3"/>
  <c r="P253" i="3" s="1"/>
  <c r="Q253" i="3" s="1"/>
  <c r="O139" i="3"/>
  <c r="P139" i="3" s="1"/>
  <c r="Q139" i="3" s="1"/>
  <c r="O196" i="3"/>
  <c r="P196" i="3" s="1"/>
  <c r="Q196" i="3" s="1"/>
  <c r="O143" i="3"/>
  <c r="P143" i="3" s="1"/>
  <c r="Q143" i="3" s="1"/>
  <c r="O75" i="3"/>
  <c r="P75" i="3" s="1"/>
  <c r="Q75" i="3" s="1"/>
  <c r="O281" i="3"/>
  <c r="P281" i="3" s="1"/>
  <c r="Q281" i="3" s="1"/>
  <c r="O241" i="3"/>
  <c r="P241" i="3" s="1"/>
  <c r="Q241" i="3" s="1"/>
  <c r="O132" i="3"/>
  <c r="R132" i="3" s="1"/>
  <c r="O163" i="3"/>
  <c r="P163" i="3" s="1"/>
  <c r="Q163" i="3" s="1"/>
  <c r="O265" i="3"/>
  <c r="P265" i="3" s="1"/>
  <c r="Q265" i="3" s="1"/>
  <c r="O183" i="3"/>
  <c r="P183" i="3" s="1"/>
  <c r="Q183" i="3" s="1"/>
  <c r="O175" i="3"/>
  <c r="P175" i="3" s="1"/>
  <c r="Q175" i="3" s="1"/>
  <c r="O176" i="3"/>
  <c r="P176" i="3" s="1"/>
  <c r="Q176" i="3" s="1"/>
  <c r="O160" i="3"/>
  <c r="P160" i="3" s="1"/>
  <c r="Q160" i="3" s="1"/>
  <c r="O199" i="3"/>
  <c r="P199" i="3" s="1"/>
  <c r="Q199" i="3" s="1"/>
  <c r="O92" i="3"/>
  <c r="R92" i="3" s="1"/>
  <c r="O277" i="3"/>
  <c r="P277" i="3" s="1"/>
  <c r="Q277" i="3" s="1"/>
  <c r="O85" i="3"/>
  <c r="P85" i="3" s="1"/>
  <c r="Q85" i="3" s="1"/>
  <c r="O146" i="3"/>
  <c r="P146" i="3" s="1"/>
  <c r="Q146" i="3" s="1"/>
  <c r="O202" i="3"/>
  <c r="P202" i="3" s="1"/>
  <c r="Q202" i="3" s="1"/>
  <c r="O119" i="3"/>
  <c r="P119" i="3" s="1"/>
  <c r="Q119" i="3" s="1"/>
  <c r="O219" i="3"/>
  <c r="P219" i="3" s="1"/>
  <c r="Q219" i="3" s="1"/>
  <c r="O221" i="3"/>
  <c r="P221" i="3" s="1"/>
  <c r="Q221" i="3" s="1"/>
  <c r="O137" i="3"/>
  <c r="P137" i="3" s="1"/>
  <c r="Q137" i="3" s="1"/>
  <c r="O84" i="3"/>
  <c r="P84" i="3" s="1"/>
  <c r="Q84" i="3" s="1"/>
  <c r="O263" i="3"/>
  <c r="P263" i="3" s="1"/>
  <c r="Q263" i="3" s="1"/>
  <c r="O112" i="3"/>
  <c r="O252" i="3"/>
  <c r="R252" i="3" s="1"/>
  <c r="O283" i="3"/>
  <c r="P283" i="3" s="1"/>
  <c r="Q283" i="3" s="1"/>
  <c r="O103" i="3"/>
  <c r="P103" i="3" s="1"/>
  <c r="Q103" i="3" s="1"/>
  <c r="O198" i="3"/>
  <c r="P198" i="3" s="1"/>
  <c r="Q198" i="3" s="1"/>
  <c r="O164" i="3"/>
  <c r="P164" i="3" s="1"/>
  <c r="Q164" i="3" s="1"/>
  <c r="O179" i="3"/>
  <c r="P179" i="3" s="1"/>
  <c r="Q179" i="3" s="1"/>
  <c r="O72" i="3"/>
  <c r="R72" i="3" s="1"/>
  <c r="O114" i="3"/>
  <c r="P114" i="3" s="1"/>
  <c r="Q114" i="3" s="1"/>
  <c r="O226" i="3"/>
  <c r="P226" i="3" s="1"/>
  <c r="Q226" i="3" s="1"/>
  <c r="O215" i="3"/>
  <c r="P215" i="3" s="1"/>
  <c r="Q215" i="3" s="1"/>
  <c r="O278" i="3"/>
  <c r="P278" i="3" s="1"/>
  <c r="Q278" i="3" s="1"/>
  <c r="O279" i="3"/>
  <c r="P279" i="3" s="1"/>
  <c r="Q279" i="3" s="1"/>
  <c r="O238" i="3"/>
  <c r="P238" i="3" s="1"/>
  <c r="Q238" i="3" s="1"/>
  <c r="O204" i="3"/>
  <c r="P204" i="3" s="1"/>
  <c r="Q204" i="3" s="1"/>
  <c r="O101" i="3"/>
  <c r="P101" i="3" s="1"/>
  <c r="Q101" i="3" s="1"/>
  <c r="O273" i="3"/>
  <c r="P273" i="3" s="1"/>
  <c r="Q273" i="3" s="1"/>
  <c r="O99" i="3"/>
  <c r="P99" i="3" s="1"/>
  <c r="Q99" i="3" s="1"/>
  <c r="O240" i="3"/>
  <c r="P240" i="3" s="1"/>
  <c r="Q240" i="3" s="1"/>
  <c r="O155" i="3"/>
  <c r="P155" i="3" s="1"/>
  <c r="Q155" i="3" s="1"/>
  <c r="O158" i="3"/>
  <c r="P158" i="3" s="1"/>
  <c r="Q158" i="3" s="1"/>
  <c r="O197" i="3"/>
  <c r="P197" i="3" s="1"/>
  <c r="Q197" i="3" s="1"/>
  <c r="O186" i="3"/>
  <c r="P186" i="3" s="1"/>
  <c r="Q186" i="3" s="1"/>
  <c r="O184" i="3"/>
  <c r="P184" i="3" s="1"/>
  <c r="Q184" i="3" s="1"/>
  <c r="O235" i="3"/>
  <c r="P235" i="3" s="1"/>
  <c r="Q235" i="3" s="1"/>
  <c r="O286" i="3"/>
  <c r="P286" i="3" s="1"/>
  <c r="Q286" i="3" s="1"/>
  <c r="O192" i="3"/>
  <c r="P192" i="3" s="1"/>
  <c r="O223" i="3"/>
  <c r="P223" i="3" s="1"/>
  <c r="Q223" i="3" s="1"/>
  <c r="O216" i="3"/>
  <c r="P216" i="3" s="1"/>
  <c r="Q216" i="3" s="1"/>
  <c r="O182" i="3"/>
  <c r="P182" i="3" s="1"/>
  <c r="Q182" i="3" s="1"/>
  <c r="O272" i="3"/>
  <c r="R272" i="3" s="1"/>
  <c r="O195" i="3"/>
  <c r="P195" i="3" s="1"/>
  <c r="Q195" i="3" s="1"/>
  <c r="O261" i="3"/>
  <c r="P261" i="3" s="1"/>
  <c r="Q261" i="3" s="1"/>
  <c r="O193" i="3"/>
  <c r="P193" i="3" s="1"/>
  <c r="Q193" i="3" s="1"/>
  <c r="O256" i="3"/>
  <c r="P256" i="3" s="1"/>
  <c r="Q256" i="3" s="1"/>
  <c r="O276" i="3"/>
  <c r="P276" i="3" s="1"/>
  <c r="Q276" i="3" s="1"/>
  <c r="O262" i="3"/>
  <c r="P262" i="3" s="1"/>
  <c r="Q262" i="3" s="1"/>
  <c r="O135" i="3"/>
  <c r="P135" i="3" s="1"/>
  <c r="Q135" i="3" s="1"/>
  <c r="O237" i="3"/>
  <c r="P237" i="3" s="1"/>
  <c r="Q237" i="3" s="1"/>
  <c r="O224" i="3"/>
  <c r="P224" i="3" s="1"/>
  <c r="Q224" i="3" s="1"/>
  <c r="O254" i="3"/>
  <c r="P254" i="3" s="1"/>
  <c r="Q254" i="3" s="1"/>
  <c r="O255" i="3"/>
  <c r="P255" i="3" s="1"/>
  <c r="Q255" i="3" s="1"/>
  <c r="O264" i="3"/>
  <c r="P264" i="3" s="1"/>
  <c r="Q264" i="3" s="1"/>
  <c r="O165" i="3"/>
  <c r="P165" i="3" s="1"/>
  <c r="Q165" i="3" s="1"/>
  <c r="O136" i="3"/>
  <c r="P136" i="3" s="1"/>
  <c r="Q136" i="3" s="1"/>
  <c r="O154" i="3"/>
  <c r="P154" i="3" s="1"/>
  <c r="Q154" i="3" s="1"/>
  <c r="O153" i="3"/>
  <c r="P153" i="3" s="1"/>
  <c r="Q153" i="3" s="1"/>
  <c r="O115" i="3"/>
  <c r="P115" i="3" s="1"/>
  <c r="Q115" i="3" s="1"/>
  <c r="O174" i="3"/>
  <c r="P174" i="3" s="1"/>
  <c r="Q174" i="3" s="1"/>
  <c r="O280" i="3"/>
  <c r="P280" i="3" s="1"/>
  <c r="Q280" i="3" s="1"/>
  <c r="O141" i="3"/>
  <c r="P141" i="3" s="1"/>
  <c r="Q141" i="3" s="1"/>
  <c r="R180" i="3"/>
  <c r="O173" i="3"/>
  <c r="P173" i="3" s="1"/>
  <c r="Q173" i="3" s="1"/>
  <c r="O79" i="3"/>
  <c r="P79" i="3" s="1"/>
  <c r="Q79" i="3" s="1"/>
  <c r="O233" i="3"/>
  <c r="P233" i="3" s="1"/>
  <c r="Q233" i="3" s="1"/>
  <c r="O159" i="3"/>
  <c r="P159" i="3" s="1"/>
  <c r="Q159" i="3" s="1"/>
  <c r="O181" i="3"/>
  <c r="P181" i="3" s="1"/>
  <c r="Q181" i="3" s="1"/>
  <c r="O105" i="3"/>
  <c r="P105" i="3" s="1"/>
  <c r="Q105" i="3" s="1"/>
  <c r="O82" i="3"/>
  <c r="O161" i="3"/>
  <c r="O94" i="3"/>
  <c r="P94" i="3" s="1"/>
  <c r="Q94" i="3" s="1"/>
  <c r="O218" i="3"/>
  <c r="P218" i="3" s="1"/>
  <c r="Q218" i="3" s="1"/>
  <c r="R76" i="3"/>
  <c r="O104" i="3"/>
  <c r="P104" i="3" s="1"/>
  <c r="Q104" i="3" s="1"/>
  <c r="O120" i="3"/>
  <c r="P120" i="3" s="1"/>
  <c r="Q120" i="3" s="1"/>
  <c r="O243" i="3"/>
  <c r="P243" i="3" s="1"/>
  <c r="Q243" i="3" s="1"/>
  <c r="O121" i="3"/>
  <c r="P121" i="3" s="1"/>
  <c r="Q121" i="3" s="1"/>
  <c r="R219" i="3"/>
  <c r="R201" i="3"/>
  <c r="R222" i="3"/>
  <c r="R103" i="3"/>
  <c r="O124" i="3"/>
  <c r="P124" i="3" s="1"/>
  <c r="Q124" i="3" s="1"/>
  <c r="O162" i="3"/>
  <c r="P162" i="3" s="1"/>
  <c r="Q162" i="3" s="1"/>
  <c r="R120" i="3"/>
  <c r="O93" i="3"/>
  <c r="R105" i="3"/>
  <c r="R155" i="3"/>
  <c r="O140" i="3"/>
  <c r="P140" i="3" s="1"/>
  <c r="Q140" i="3" s="1"/>
  <c r="P142" i="3"/>
  <c r="Q142" i="3" s="1"/>
  <c r="R142" i="3"/>
  <c r="O285" i="3"/>
  <c r="O123" i="3"/>
  <c r="O113" i="3"/>
  <c r="P113" i="3" s="1"/>
  <c r="Q113" i="3" s="1"/>
  <c r="O106" i="3"/>
  <c r="O260" i="3"/>
  <c r="P260" i="3" s="1"/>
  <c r="Q260" i="3" s="1"/>
  <c r="O118" i="3"/>
  <c r="P118" i="3" s="1"/>
  <c r="Q118" i="3" s="1"/>
  <c r="O145" i="3"/>
  <c r="O138" i="3"/>
  <c r="P138" i="3" s="1"/>
  <c r="Q138" i="3" s="1"/>
  <c r="O172" i="3"/>
  <c r="R172" i="3" s="1"/>
  <c r="O217" i="3"/>
  <c r="R223" i="3"/>
  <c r="R265" i="3"/>
  <c r="O156" i="3"/>
  <c r="P156" i="3" s="1"/>
  <c r="Q156" i="3" s="1"/>
  <c r="O133" i="3"/>
  <c r="O257" i="3"/>
  <c r="P257" i="3" s="1"/>
  <c r="Q257" i="3" s="1"/>
  <c r="O86" i="3"/>
  <c r="O100" i="3"/>
  <c r="P100" i="3" s="1"/>
  <c r="Q100" i="3" s="1"/>
  <c r="O122" i="3"/>
  <c r="P122" i="3" s="1"/>
  <c r="Q122" i="3" s="1"/>
  <c r="O166" i="3"/>
  <c r="P166" i="3" s="1"/>
  <c r="Q166" i="3" s="1"/>
  <c r="O236" i="3"/>
  <c r="O125" i="3"/>
  <c r="O194" i="3"/>
  <c r="O212" i="3"/>
  <c r="R212" i="3" s="1"/>
  <c r="O282" i="3"/>
  <c r="R175" i="3"/>
  <c r="O126" i="3"/>
  <c r="O185" i="3"/>
  <c r="O244" i="3"/>
  <c r="O234" i="3"/>
  <c r="O116" i="3"/>
  <c r="P116" i="3" s="1"/>
  <c r="Q116" i="3" s="1"/>
  <c r="O96" i="3"/>
  <c r="O274" i="3"/>
  <c r="O213" i="3"/>
  <c r="R283" i="3"/>
  <c r="R276" i="3"/>
  <c r="R146" i="3"/>
  <c r="R98" i="3"/>
  <c r="R239" i="3"/>
  <c r="R117" i="3"/>
  <c r="R102" i="3"/>
  <c r="R160" i="3"/>
  <c r="R85" i="3"/>
  <c r="R137" i="3"/>
  <c r="R266" i="3"/>
  <c r="R77" i="3"/>
  <c r="R81" i="3"/>
  <c r="R246" i="3"/>
  <c r="R242" i="3"/>
  <c r="R196" i="3"/>
  <c r="P252" i="3"/>
  <c r="D66" i="3"/>
  <c r="F12" i="3" s="1"/>
  <c r="G291" i="3"/>
  <c r="P72" i="3"/>
  <c r="R183" i="3"/>
  <c r="P132" i="3"/>
  <c r="R75" i="3"/>
  <c r="R205" i="3"/>
  <c r="R245" i="3"/>
  <c r="R235" i="3"/>
  <c r="R193" i="3"/>
  <c r="R114" i="3"/>
  <c r="R273" i="3"/>
  <c r="R141" i="3"/>
  <c r="R121" i="3"/>
  <c r="R281" i="3"/>
  <c r="R101" i="3"/>
  <c r="R261" i="3"/>
  <c r="P112" i="3"/>
  <c r="R112" i="3"/>
  <c r="F15" i="3"/>
  <c r="G5" i="3"/>
  <c r="R136" i="3" l="1"/>
  <c r="P152" i="3"/>
  <c r="R220" i="3"/>
  <c r="R278" i="3"/>
  <c r="R80" i="3"/>
  <c r="R263" i="3"/>
  <c r="O207" i="3"/>
  <c r="R224" i="3"/>
  <c r="R79" i="3"/>
  <c r="R195" i="3"/>
  <c r="R275" i="3"/>
  <c r="R203" i="3"/>
  <c r="P272" i="3"/>
  <c r="Q272" i="3" s="1"/>
  <c r="R178" i="3"/>
  <c r="R259" i="3"/>
  <c r="R177" i="3"/>
  <c r="R258" i="3"/>
  <c r="R78" i="3"/>
  <c r="R182" i="3"/>
  <c r="R184" i="3"/>
  <c r="R226" i="3"/>
  <c r="R139" i="3"/>
  <c r="R206" i="3"/>
  <c r="R284" i="3"/>
  <c r="R218" i="3"/>
  <c r="R204" i="3"/>
  <c r="R163" i="3"/>
  <c r="R186" i="3"/>
  <c r="R277" i="3"/>
  <c r="R84" i="3"/>
  <c r="P232" i="3"/>
  <c r="Q232" i="3" s="1"/>
  <c r="R154" i="3"/>
  <c r="R179" i="3"/>
  <c r="O87" i="3"/>
  <c r="O301" i="3" s="1"/>
  <c r="R214" i="3"/>
  <c r="R237" i="3"/>
  <c r="R97" i="3"/>
  <c r="R253" i="3"/>
  <c r="R198" i="3"/>
  <c r="R202" i="3"/>
  <c r="R286" i="3"/>
  <c r="R241" i="3"/>
  <c r="R197" i="3"/>
  <c r="R221" i="3"/>
  <c r="R216" i="3"/>
  <c r="R165" i="3"/>
  <c r="R243" i="3"/>
  <c r="R74" i="3"/>
  <c r="R238" i="3"/>
  <c r="R158" i="3"/>
  <c r="R113" i="3"/>
  <c r="R225" i="3"/>
  <c r="R99" i="3"/>
  <c r="R176" i="3"/>
  <c r="R164" i="3"/>
  <c r="R240" i="3"/>
  <c r="R262" i="3"/>
  <c r="R134" i="3"/>
  <c r="R95" i="3"/>
  <c r="R280" i="3"/>
  <c r="P92" i="3"/>
  <c r="Q92" i="3" s="1"/>
  <c r="R143" i="3"/>
  <c r="R279" i="3"/>
  <c r="R144" i="3"/>
  <c r="R199" i="3"/>
  <c r="R83" i="3"/>
  <c r="R192" i="3"/>
  <c r="R200" i="3"/>
  <c r="R215" i="3"/>
  <c r="R73" i="3"/>
  <c r="R157" i="3"/>
  <c r="R135" i="3"/>
  <c r="R119" i="3"/>
  <c r="R256" i="3"/>
  <c r="R264" i="3"/>
  <c r="R233" i="3"/>
  <c r="R255" i="3"/>
  <c r="R122" i="3"/>
  <c r="R254" i="3"/>
  <c r="R104" i="3"/>
  <c r="R174" i="3"/>
  <c r="R181" i="3"/>
  <c r="R173" i="3"/>
  <c r="R153" i="3"/>
  <c r="R94" i="3"/>
  <c r="P161" i="3"/>
  <c r="Q161" i="3" s="1"/>
  <c r="R161" i="3"/>
  <c r="R159" i="3"/>
  <c r="P82" i="3"/>
  <c r="Q82" i="3" s="1"/>
  <c r="R82" i="3"/>
  <c r="O247" i="3"/>
  <c r="O248" i="3" s="1"/>
  <c r="O249" i="3" s="1"/>
  <c r="R115" i="3"/>
  <c r="O267" i="3"/>
  <c r="O268" i="3" s="1"/>
  <c r="O269" i="3" s="1"/>
  <c r="R257" i="3"/>
  <c r="R162" i="3"/>
  <c r="O287" i="3"/>
  <c r="O288" i="3" s="1"/>
  <c r="O289" i="3" s="1"/>
  <c r="O167" i="3"/>
  <c r="O168" i="3" s="1"/>
  <c r="O169" i="3" s="1"/>
  <c r="P212" i="3"/>
  <c r="Q212" i="3" s="1"/>
  <c r="O227" i="3"/>
  <c r="O228" i="3" s="1"/>
  <c r="R100" i="3"/>
  <c r="R140" i="3"/>
  <c r="O127" i="3"/>
  <c r="O128" i="3" s="1"/>
  <c r="O147" i="3"/>
  <c r="O148" i="3" s="1"/>
  <c r="O149" i="3" s="1"/>
  <c r="R166" i="3"/>
  <c r="P93" i="3"/>
  <c r="Q93" i="3" s="1"/>
  <c r="R93" i="3"/>
  <c r="P172" i="3"/>
  <c r="Q172" i="3" s="1"/>
  <c r="R124" i="3"/>
  <c r="O107" i="3"/>
  <c r="O187" i="3"/>
  <c r="R116" i="3"/>
  <c r="R156" i="3"/>
  <c r="R118" i="3"/>
  <c r="R138" i="3"/>
  <c r="R260" i="3"/>
  <c r="P236" i="3"/>
  <c r="Q236" i="3" s="1"/>
  <c r="R236" i="3"/>
  <c r="P234" i="3"/>
  <c r="Q234" i="3" s="1"/>
  <c r="R234" i="3"/>
  <c r="P282" i="3"/>
  <c r="Q282" i="3" s="1"/>
  <c r="R282" i="3"/>
  <c r="P106" i="3"/>
  <c r="Q106" i="3" s="1"/>
  <c r="R106" i="3"/>
  <c r="P244" i="3"/>
  <c r="Q244" i="3" s="1"/>
  <c r="R244" i="3"/>
  <c r="P185" i="3"/>
  <c r="Q185" i="3" s="1"/>
  <c r="R185" i="3"/>
  <c r="P194" i="3"/>
  <c r="Q194" i="3" s="1"/>
  <c r="R194" i="3"/>
  <c r="P217" i="3"/>
  <c r="Q217" i="3" s="1"/>
  <c r="R217" i="3"/>
  <c r="P123" i="3"/>
  <c r="Q123" i="3" s="1"/>
  <c r="R123" i="3"/>
  <c r="P126" i="3"/>
  <c r="Q126" i="3" s="1"/>
  <c r="R126" i="3"/>
  <c r="P86" i="3"/>
  <c r="Q86" i="3" s="1"/>
  <c r="R86" i="3"/>
  <c r="P285" i="3"/>
  <c r="Q285" i="3" s="1"/>
  <c r="R285" i="3"/>
  <c r="P213" i="3"/>
  <c r="Q213" i="3" s="1"/>
  <c r="R213" i="3"/>
  <c r="P274" i="3"/>
  <c r="Q274" i="3" s="1"/>
  <c r="R274" i="3"/>
  <c r="P133" i="3"/>
  <c r="Q133" i="3" s="1"/>
  <c r="R133" i="3"/>
  <c r="P145" i="3"/>
  <c r="Q145" i="3" s="1"/>
  <c r="R145" i="3"/>
  <c r="P96" i="3"/>
  <c r="Q96" i="3" s="1"/>
  <c r="R96" i="3"/>
  <c r="P125" i="3"/>
  <c r="Q125" i="3" s="1"/>
  <c r="R125" i="3"/>
  <c r="Q152" i="3"/>
  <c r="O88" i="3"/>
  <c r="O89" i="3" s="1"/>
  <c r="Q192" i="3"/>
  <c r="Q72" i="3"/>
  <c r="H308" i="3"/>
  <c r="H309" i="3" s="1"/>
  <c r="H305" i="3"/>
  <c r="H306" i="3" s="1"/>
  <c r="F66" i="3"/>
  <c r="F14" i="3" s="1"/>
  <c r="O188" i="3"/>
  <c r="O189" i="3" s="1"/>
  <c r="Q112" i="3"/>
  <c r="O208" i="3"/>
  <c r="O209" i="3" s="1"/>
  <c r="Q132" i="3"/>
  <c r="P267" i="3"/>
  <c r="Q252" i="3"/>
  <c r="Q267" i="3" s="1"/>
  <c r="P87" i="3" l="1"/>
  <c r="Q87" i="3"/>
  <c r="Q88" i="3" s="1"/>
  <c r="Q89" i="3" s="1"/>
  <c r="O303" i="3"/>
  <c r="P303" i="3" s="1"/>
  <c r="P167" i="3"/>
  <c r="P168" i="3" s="1"/>
  <c r="P169" i="3" s="1"/>
  <c r="Q167" i="3"/>
  <c r="Q168" i="3" s="1"/>
  <c r="Q169" i="3" s="1"/>
  <c r="Q207" i="3"/>
  <c r="Q208" i="3" s="1"/>
  <c r="Q209" i="3" s="1"/>
  <c r="P207" i="3"/>
  <c r="Q187" i="3"/>
  <c r="Q188" i="3" s="1"/>
  <c r="Q189" i="3" s="1"/>
  <c r="P187" i="3"/>
  <c r="P188" i="3" s="1"/>
  <c r="P189" i="3" s="1"/>
  <c r="Q247" i="3"/>
  <c r="P247" i="3"/>
  <c r="P248" i="3" s="1"/>
  <c r="P249" i="3" s="1"/>
  <c r="R291" i="3"/>
  <c r="O229" i="3"/>
  <c r="O108" i="3"/>
  <c r="O109" i="3" s="1"/>
  <c r="O302" i="3"/>
  <c r="P302" i="3" s="1"/>
  <c r="P107" i="3"/>
  <c r="P108" i="3" s="1"/>
  <c r="P109" i="3" s="1"/>
  <c r="O294" i="3"/>
  <c r="O295" i="3" s="1"/>
  <c r="O129" i="3"/>
  <c r="P147" i="3"/>
  <c r="P148" i="3" s="1"/>
  <c r="P149" i="3" s="1"/>
  <c r="P227" i="3"/>
  <c r="P228" i="3" s="1"/>
  <c r="P229" i="3" s="1"/>
  <c r="Q287" i="3"/>
  <c r="Q288" i="3" s="1"/>
  <c r="Q289" i="3" s="1"/>
  <c r="P287" i="3"/>
  <c r="Q107" i="3"/>
  <c r="Q108" i="3" s="1"/>
  <c r="Q109" i="3" s="1"/>
  <c r="Q227" i="3"/>
  <c r="Q228" i="3" s="1"/>
  <c r="Q229" i="3" s="1"/>
  <c r="P127" i="3"/>
  <c r="P128" i="3" s="1"/>
  <c r="P129" i="3" s="1"/>
  <c r="Q147" i="3"/>
  <c r="Q148" i="3" s="1"/>
  <c r="Q149" i="3" s="1"/>
  <c r="Q127" i="3"/>
  <c r="Q128" i="3" s="1"/>
  <c r="Q129" i="3" s="1"/>
  <c r="S294" i="3"/>
  <c r="T126" i="3" s="1"/>
  <c r="P268" i="3"/>
  <c r="P269" i="3" s="1"/>
  <c r="P88" i="3"/>
  <c r="P89" i="3" s="1"/>
  <c r="P208" i="3"/>
  <c r="P209" i="3" s="1"/>
  <c r="Q248" i="3"/>
  <c r="Q249" i="3" s="1"/>
  <c r="Q268" i="3"/>
  <c r="Q269" i="3" s="1"/>
  <c r="O304" i="3" l="1"/>
  <c r="O291" i="3"/>
  <c r="P294" i="3"/>
  <c r="P295" i="3" s="1"/>
  <c r="V126" i="3"/>
  <c r="W126" i="3" s="1"/>
  <c r="T274" i="3"/>
  <c r="P288" i="3"/>
  <c r="P289" i="3" s="1"/>
  <c r="P291" i="3" s="1"/>
  <c r="T194" i="3"/>
  <c r="T260" i="3"/>
  <c r="T116" i="3"/>
  <c r="T234" i="3"/>
  <c r="T186" i="3"/>
  <c r="T180" i="3"/>
  <c r="T252" i="3"/>
  <c r="T134" i="3"/>
  <c r="T161" i="3"/>
  <c r="T132" i="3"/>
  <c r="T255" i="3"/>
  <c r="T74" i="3"/>
  <c r="T192" i="3"/>
  <c r="T119" i="3"/>
  <c r="T82" i="3"/>
  <c r="T83" i="3"/>
  <c r="T72" i="3"/>
  <c r="T201" i="3"/>
  <c r="T256" i="3"/>
  <c r="T222" i="3"/>
  <c r="T92" i="3"/>
  <c r="T198" i="3"/>
  <c r="T165" i="3"/>
  <c r="T76" i="3"/>
  <c r="T95" i="3"/>
  <c r="T219" i="3"/>
  <c r="T232" i="3"/>
  <c r="T272" i="3"/>
  <c r="T224" i="3"/>
  <c r="T152" i="3"/>
  <c r="T273" i="3"/>
  <c r="T141" i="3"/>
  <c r="T175" i="3"/>
  <c r="T179" i="3"/>
  <c r="T226" i="3"/>
  <c r="T223" i="3"/>
  <c r="T176" i="3"/>
  <c r="T117" i="3"/>
  <c r="T121" i="3"/>
  <c r="T281" i="3"/>
  <c r="T225" i="3"/>
  <c r="T263" i="3"/>
  <c r="T84" i="3"/>
  <c r="T258" i="3"/>
  <c r="T105" i="3"/>
  <c r="T262" i="3"/>
  <c r="T115" i="3"/>
  <c r="T245" i="3"/>
  <c r="T73" i="3"/>
  <c r="T78" i="3"/>
  <c r="T205" i="3"/>
  <c r="T216" i="3"/>
  <c r="T206" i="3"/>
  <c r="T195" i="3"/>
  <c r="T240" i="3"/>
  <c r="T97" i="3"/>
  <c r="T278" i="3"/>
  <c r="T114" i="3"/>
  <c r="T99" i="3"/>
  <c r="T112" i="3"/>
  <c r="T239" i="3"/>
  <c r="T237" i="3"/>
  <c r="T235" i="3"/>
  <c r="T102" i="3"/>
  <c r="T265" i="3"/>
  <c r="T242" i="3"/>
  <c r="T157" i="3"/>
  <c r="T199" i="3"/>
  <c r="T257" i="3"/>
  <c r="T233" i="3"/>
  <c r="T221" i="3"/>
  <c r="T264" i="3"/>
  <c r="T183" i="3"/>
  <c r="T162" i="3"/>
  <c r="T143" i="3"/>
  <c r="T104" i="3"/>
  <c r="T279" i="3"/>
  <c r="T75" i="3"/>
  <c r="T166" i="3"/>
  <c r="T181" i="3"/>
  <c r="T246" i="3"/>
  <c r="T196" i="3"/>
  <c r="T172" i="3"/>
  <c r="T154" i="3"/>
  <c r="T203" i="3"/>
  <c r="T158" i="3"/>
  <c r="T238" i="3"/>
  <c r="T135" i="3"/>
  <c r="T184" i="3"/>
  <c r="T174" i="3"/>
  <c r="T286" i="3"/>
  <c r="T277" i="3"/>
  <c r="T254" i="3"/>
  <c r="T283" i="3"/>
  <c r="T197" i="3"/>
  <c r="T81" i="3"/>
  <c r="T243" i="3"/>
  <c r="T193" i="3"/>
  <c r="T136" i="3"/>
  <c r="T160" i="3"/>
  <c r="T142" i="3"/>
  <c r="T153" i="3"/>
  <c r="T139" i="3"/>
  <c r="T159" i="3"/>
  <c r="T122" i="3"/>
  <c r="T182" i="3"/>
  <c r="T80" i="3"/>
  <c r="T204" i="3"/>
  <c r="T120" i="3"/>
  <c r="T79" i="3"/>
  <c r="T212" i="3"/>
  <c r="T215" i="3"/>
  <c r="T220" i="3"/>
  <c r="T146" i="3"/>
  <c r="T280" i="3"/>
  <c r="T173" i="3"/>
  <c r="T275" i="3"/>
  <c r="T284" i="3"/>
  <c r="T259" i="3"/>
  <c r="T276" i="3"/>
  <c r="T178" i="3"/>
  <c r="T77" i="3"/>
  <c r="T253" i="3"/>
  <c r="T140" i="3"/>
  <c r="T177" i="3"/>
  <c r="T85" i="3"/>
  <c r="T163" i="3"/>
  <c r="T155" i="3"/>
  <c r="T214" i="3"/>
  <c r="T94" i="3"/>
  <c r="T261" i="3"/>
  <c r="T218" i="3"/>
  <c r="T98" i="3"/>
  <c r="T241" i="3"/>
  <c r="T144" i="3"/>
  <c r="T113" i="3"/>
  <c r="T100" i="3"/>
  <c r="T103" i="3"/>
  <c r="T101" i="3"/>
  <c r="T266" i="3"/>
  <c r="T202" i="3"/>
  <c r="T137" i="3"/>
  <c r="T200" i="3"/>
  <c r="T164" i="3"/>
  <c r="T138" i="3"/>
  <c r="T93" i="3"/>
  <c r="T185" i="3"/>
  <c r="T285" i="3"/>
  <c r="T118" i="3"/>
  <c r="Q294" i="3"/>
  <c r="Q295" i="3" s="1"/>
  <c r="T213" i="3"/>
  <c r="T236" i="3"/>
  <c r="T156" i="3"/>
  <c r="T123" i="3"/>
  <c r="T133" i="3"/>
  <c r="T96" i="3"/>
  <c r="T145" i="3"/>
  <c r="T106" i="3"/>
  <c r="T86" i="3"/>
  <c r="T282" i="3"/>
  <c r="T125" i="3"/>
  <c r="T217" i="3"/>
  <c r="T244" i="3"/>
  <c r="T124" i="3"/>
  <c r="Q291" i="3"/>
  <c r="O305" i="3" l="1"/>
  <c r="P301" i="3" s="1"/>
  <c r="P304" i="3" s="1"/>
  <c r="U173" i="3"/>
  <c r="V173" i="3"/>
  <c r="W173" i="3" s="1"/>
  <c r="V104" i="3"/>
  <c r="W104" i="3" s="1"/>
  <c r="U104" i="3"/>
  <c r="U199" i="3"/>
  <c r="V199" i="3"/>
  <c r="W199" i="3" s="1"/>
  <c r="U112" i="3"/>
  <c r="V112" i="3"/>
  <c r="U216" i="3"/>
  <c r="V216" i="3"/>
  <c r="W216" i="3" s="1"/>
  <c r="U258" i="3"/>
  <c r="V258" i="3"/>
  <c r="W258" i="3" s="1"/>
  <c r="U223" i="3"/>
  <c r="V223" i="3"/>
  <c r="W223" i="3" s="1"/>
  <c r="U272" i="3"/>
  <c r="V272" i="3"/>
  <c r="U222" i="3"/>
  <c r="V222" i="3"/>
  <c r="W222" i="3" s="1"/>
  <c r="U74" i="3"/>
  <c r="V74" i="3"/>
  <c r="W74" i="3" s="1"/>
  <c r="U234" i="3"/>
  <c r="V234" i="3"/>
  <c r="W234" i="3" s="1"/>
  <c r="U217" i="3"/>
  <c r="V217" i="3"/>
  <c r="W217" i="3" s="1"/>
  <c r="U133" i="3"/>
  <c r="V133" i="3"/>
  <c r="W133" i="3" s="1"/>
  <c r="U185" i="3"/>
  <c r="V185" i="3"/>
  <c r="W185" i="3" s="1"/>
  <c r="U101" i="3"/>
  <c r="V101" i="3"/>
  <c r="W101" i="3" s="1"/>
  <c r="U261" i="3"/>
  <c r="V261" i="3"/>
  <c r="W261" i="3" s="1"/>
  <c r="U253" i="3"/>
  <c r="V253" i="3"/>
  <c r="W253" i="3" s="1"/>
  <c r="U280" i="3"/>
  <c r="V280" i="3"/>
  <c r="W280" i="3" s="1"/>
  <c r="U80" i="3"/>
  <c r="V80" i="3"/>
  <c r="W80" i="3" s="1"/>
  <c r="U136" i="3"/>
  <c r="V136" i="3"/>
  <c r="W136" i="3" s="1"/>
  <c r="V286" i="3"/>
  <c r="W286" i="3" s="1"/>
  <c r="U286" i="3"/>
  <c r="U172" i="3"/>
  <c r="V172" i="3"/>
  <c r="V143" i="3"/>
  <c r="W143" i="3" s="1"/>
  <c r="U143" i="3"/>
  <c r="U157" i="3"/>
  <c r="V157" i="3"/>
  <c r="W157" i="3" s="1"/>
  <c r="V99" i="3"/>
  <c r="W99" i="3" s="1"/>
  <c r="U99" i="3"/>
  <c r="U205" i="3"/>
  <c r="V205" i="3"/>
  <c r="W205" i="3" s="1"/>
  <c r="U84" i="3"/>
  <c r="V84" i="3"/>
  <c r="W84" i="3" s="1"/>
  <c r="U226" i="3"/>
  <c r="V226" i="3"/>
  <c r="W226" i="3" s="1"/>
  <c r="V232" i="3"/>
  <c r="U232" i="3"/>
  <c r="U256" i="3"/>
  <c r="V256" i="3"/>
  <c r="W256" i="3" s="1"/>
  <c r="U255" i="3"/>
  <c r="V255" i="3"/>
  <c r="W255" i="3" s="1"/>
  <c r="V116" i="3"/>
  <c r="W116" i="3" s="1"/>
  <c r="U116" i="3"/>
  <c r="V244" i="3"/>
  <c r="W244" i="3" s="1"/>
  <c r="U244" i="3"/>
  <c r="U277" i="3"/>
  <c r="V277" i="3"/>
  <c r="W277" i="3" s="1"/>
  <c r="U123" i="3"/>
  <c r="V123" i="3"/>
  <c r="W123" i="3" s="1"/>
  <c r="U193" i="3"/>
  <c r="V193" i="3"/>
  <c r="W193" i="3" s="1"/>
  <c r="U114" i="3"/>
  <c r="V114" i="3"/>
  <c r="W114" i="3" s="1"/>
  <c r="U201" i="3"/>
  <c r="V201" i="3"/>
  <c r="W201" i="3" s="1"/>
  <c r="U100" i="3"/>
  <c r="V100" i="3"/>
  <c r="W100" i="3" s="1"/>
  <c r="U214" i="3"/>
  <c r="V214" i="3"/>
  <c r="W214" i="3" s="1"/>
  <c r="U178" i="3"/>
  <c r="V178" i="3"/>
  <c r="W178" i="3" s="1"/>
  <c r="U220" i="3"/>
  <c r="V220" i="3"/>
  <c r="W220" i="3" s="1"/>
  <c r="U122" i="3"/>
  <c r="V122" i="3"/>
  <c r="W122" i="3" s="1"/>
  <c r="U243" i="3"/>
  <c r="V243" i="3"/>
  <c r="W243" i="3" s="1"/>
  <c r="V184" i="3"/>
  <c r="W184" i="3" s="1"/>
  <c r="U184" i="3"/>
  <c r="U246" i="3"/>
  <c r="V246" i="3"/>
  <c r="W246" i="3" s="1"/>
  <c r="V183" i="3"/>
  <c r="W183" i="3" s="1"/>
  <c r="U183" i="3"/>
  <c r="U265" i="3"/>
  <c r="V265" i="3"/>
  <c r="W265" i="3" s="1"/>
  <c r="U278" i="3"/>
  <c r="V278" i="3"/>
  <c r="W278" i="3" s="1"/>
  <c r="U73" i="3"/>
  <c r="V73" i="3"/>
  <c r="W73" i="3" s="1"/>
  <c r="U225" i="3"/>
  <c r="V225" i="3"/>
  <c r="W225" i="3" s="1"/>
  <c r="U175" i="3"/>
  <c r="V175" i="3"/>
  <c r="W175" i="3" s="1"/>
  <c r="U95" i="3"/>
  <c r="V95" i="3"/>
  <c r="W95" i="3" s="1"/>
  <c r="U72" i="3"/>
  <c r="T291" i="3"/>
  <c r="V72" i="3"/>
  <c r="U161" i="3"/>
  <c r="V161" i="3"/>
  <c r="W161" i="3" s="1"/>
  <c r="U194" i="3"/>
  <c r="V194" i="3"/>
  <c r="W194" i="3" s="1"/>
  <c r="U285" i="3"/>
  <c r="V285" i="3"/>
  <c r="W285" i="3" s="1"/>
  <c r="U160" i="3"/>
  <c r="V160" i="3"/>
  <c r="W160" i="3" s="1"/>
  <c r="U94" i="3"/>
  <c r="V94" i="3"/>
  <c r="W94" i="3" s="1"/>
  <c r="U174" i="3"/>
  <c r="V174" i="3"/>
  <c r="W174" i="3" s="1"/>
  <c r="U263" i="3"/>
  <c r="V263" i="3"/>
  <c r="W263" i="3" s="1"/>
  <c r="U132" i="3"/>
  <c r="V132" i="3"/>
  <c r="U113" i="3"/>
  <c r="V113" i="3"/>
  <c r="W113" i="3" s="1"/>
  <c r="U159" i="3"/>
  <c r="V159" i="3"/>
  <c r="W159" i="3" s="1"/>
  <c r="U135" i="3"/>
  <c r="V135" i="3"/>
  <c r="W135" i="3" s="1"/>
  <c r="V264" i="3"/>
  <c r="W264" i="3" s="1"/>
  <c r="U264" i="3"/>
  <c r="U97" i="3"/>
  <c r="V97" i="3"/>
  <c r="W97" i="3" s="1"/>
  <c r="U245" i="3"/>
  <c r="V245" i="3"/>
  <c r="W245" i="3" s="1"/>
  <c r="V281" i="3"/>
  <c r="W281" i="3" s="1"/>
  <c r="U281" i="3"/>
  <c r="U141" i="3"/>
  <c r="V141" i="3"/>
  <c r="W141" i="3" s="1"/>
  <c r="U76" i="3"/>
  <c r="V76" i="3"/>
  <c r="W76" i="3" s="1"/>
  <c r="U83" i="3"/>
  <c r="V83" i="3"/>
  <c r="W83" i="3" s="1"/>
  <c r="U134" i="3"/>
  <c r="V134" i="3"/>
  <c r="W134" i="3" s="1"/>
  <c r="U266" i="3"/>
  <c r="V266" i="3"/>
  <c r="W266" i="3" s="1"/>
  <c r="U140" i="3"/>
  <c r="V140" i="3"/>
  <c r="W140" i="3" s="1"/>
  <c r="U103" i="3"/>
  <c r="V103" i="3"/>
  <c r="W103" i="3" s="1"/>
  <c r="U146" i="3"/>
  <c r="V146" i="3"/>
  <c r="W146" i="3" s="1"/>
  <c r="U196" i="3"/>
  <c r="V196" i="3"/>
  <c r="W196" i="3" s="1"/>
  <c r="U242" i="3"/>
  <c r="V242" i="3"/>
  <c r="W242" i="3" s="1"/>
  <c r="U179" i="3"/>
  <c r="V179" i="3"/>
  <c r="W179" i="3" s="1"/>
  <c r="U219" i="3"/>
  <c r="V219" i="3"/>
  <c r="W219" i="3" s="1"/>
  <c r="U260" i="3"/>
  <c r="V260" i="3"/>
  <c r="W260" i="3" s="1"/>
  <c r="U156" i="3"/>
  <c r="V156" i="3"/>
  <c r="W156" i="3" s="1"/>
  <c r="U138" i="3"/>
  <c r="V138" i="3"/>
  <c r="W138" i="3" s="1"/>
  <c r="U282" i="3"/>
  <c r="V282" i="3"/>
  <c r="W282" i="3" s="1"/>
  <c r="U236" i="3"/>
  <c r="V236" i="3"/>
  <c r="W236" i="3" s="1"/>
  <c r="U164" i="3"/>
  <c r="V164" i="3"/>
  <c r="W164" i="3" s="1"/>
  <c r="U155" i="3"/>
  <c r="V155" i="3"/>
  <c r="W155" i="3" s="1"/>
  <c r="U276" i="3"/>
  <c r="V276" i="3"/>
  <c r="W276" i="3" s="1"/>
  <c r="U215" i="3"/>
  <c r="V215" i="3"/>
  <c r="W215" i="3" s="1"/>
  <c r="V81" i="3"/>
  <c r="W81" i="3" s="1"/>
  <c r="U81" i="3"/>
  <c r="U181" i="3"/>
  <c r="V181" i="3"/>
  <c r="W181" i="3" s="1"/>
  <c r="V102" i="3"/>
  <c r="W102" i="3" s="1"/>
  <c r="U102" i="3"/>
  <c r="U86" i="3"/>
  <c r="V86" i="3"/>
  <c r="W86" i="3" s="1"/>
  <c r="V213" i="3"/>
  <c r="W213" i="3" s="1"/>
  <c r="U213" i="3"/>
  <c r="V200" i="3"/>
  <c r="W200" i="3" s="1"/>
  <c r="U200" i="3"/>
  <c r="U144" i="3"/>
  <c r="V144" i="3"/>
  <c r="W144" i="3" s="1"/>
  <c r="V163" i="3"/>
  <c r="W163" i="3" s="1"/>
  <c r="U163" i="3"/>
  <c r="U259" i="3"/>
  <c r="V259" i="3"/>
  <c r="W259" i="3" s="1"/>
  <c r="U212" i="3"/>
  <c r="V212" i="3"/>
  <c r="U139" i="3"/>
  <c r="V139" i="3"/>
  <c r="W139" i="3" s="1"/>
  <c r="U197" i="3"/>
  <c r="V197" i="3"/>
  <c r="W197" i="3" s="1"/>
  <c r="U238" i="3"/>
  <c r="V238" i="3"/>
  <c r="W238" i="3" s="1"/>
  <c r="V166" i="3"/>
  <c r="W166" i="3" s="1"/>
  <c r="U166" i="3"/>
  <c r="U221" i="3"/>
  <c r="V221" i="3"/>
  <c r="W221" i="3" s="1"/>
  <c r="U235" i="3"/>
  <c r="V235" i="3"/>
  <c r="W235" i="3" s="1"/>
  <c r="U240" i="3"/>
  <c r="V240" i="3"/>
  <c r="W240" i="3" s="1"/>
  <c r="U115" i="3"/>
  <c r="V115" i="3"/>
  <c r="W115" i="3" s="1"/>
  <c r="U121" i="3"/>
  <c r="V121" i="3"/>
  <c r="W121" i="3" s="1"/>
  <c r="U273" i="3"/>
  <c r="V273" i="3"/>
  <c r="W273" i="3" s="1"/>
  <c r="U165" i="3"/>
  <c r="V165" i="3"/>
  <c r="W165" i="3" s="1"/>
  <c r="U82" i="3"/>
  <c r="V82" i="3"/>
  <c r="W82" i="3" s="1"/>
  <c r="U252" i="3"/>
  <c r="V252" i="3"/>
  <c r="U274" i="3"/>
  <c r="V274" i="3"/>
  <c r="W274" i="3" s="1"/>
  <c r="U96" i="3"/>
  <c r="V96" i="3"/>
  <c r="W96" i="3" s="1"/>
  <c r="U154" i="3"/>
  <c r="V154" i="3"/>
  <c r="W154" i="3" s="1"/>
  <c r="V125" i="3"/>
  <c r="W125" i="3" s="1"/>
  <c r="U125" i="3"/>
  <c r="U77" i="3"/>
  <c r="V77" i="3"/>
  <c r="W77" i="3" s="1"/>
  <c r="U162" i="3"/>
  <c r="V162" i="3"/>
  <c r="W162" i="3" s="1"/>
  <c r="U106" i="3"/>
  <c r="V106" i="3"/>
  <c r="W106" i="3" s="1"/>
  <c r="V137" i="3"/>
  <c r="W137" i="3" s="1"/>
  <c r="U137" i="3"/>
  <c r="U241" i="3"/>
  <c r="V241" i="3"/>
  <c r="W241" i="3" s="1"/>
  <c r="U85" i="3"/>
  <c r="V85" i="3"/>
  <c r="W85" i="3" s="1"/>
  <c r="U284" i="3"/>
  <c r="V284" i="3"/>
  <c r="W284" i="3" s="1"/>
  <c r="V79" i="3"/>
  <c r="W79" i="3" s="1"/>
  <c r="U79" i="3"/>
  <c r="U153" i="3"/>
  <c r="V153" i="3"/>
  <c r="W153" i="3" s="1"/>
  <c r="U283" i="3"/>
  <c r="V283" i="3"/>
  <c r="W283" i="3" s="1"/>
  <c r="V158" i="3"/>
  <c r="W158" i="3" s="1"/>
  <c r="U158" i="3"/>
  <c r="U75" i="3"/>
  <c r="V75" i="3"/>
  <c r="W75" i="3" s="1"/>
  <c r="V233" i="3"/>
  <c r="W233" i="3" s="1"/>
  <c r="U233" i="3"/>
  <c r="V237" i="3"/>
  <c r="W237" i="3" s="1"/>
  <c r="U237" i="3"/>
  <c r="V195" i="3"/>
  <c r="W195" i="3" s="1"/>
  <c r="U195" i="3"/>
  <c r="U262" i="3"/>
  <c r="V262" i="3"/>
  <c r="W262" i="3" s="1"/>
  <c r="U117" i="3"/>
  <c r="V117" i="3"/>
  <c r="W117" i="3" s="1"/>
  <c r="V152" i="3"/>
  <c r="U152" i="3"/>
  <c r="U198" i="3"/>
  <c r="V198" i="3"/>
  <c r="W198" i="3" s="1"/>
  <c r="U119" i="3"/>
  <c r="V119" i="3"/>
  <c r="W119" i="3" s="1"/>
  <c r="U180" i="3"/>
  <c r="V180" i="3"/>
  <c r="W180" i="3" s="1"/>
  <c r="V218" i="3"/>
  <c r="W218" i="3" s="1"/>
  <c r="U218" i="3"/>
  <c r="U204" i="3"/>
  <c r="V204" i="3"/>
  <c r="W204" i="3" s="1"/>
  <c r="U93" i="3"/>
  <c r="V93" i="3"/>
  <c r="W93" i="3" s="1"/>
  <c r="U182" i="3"/>
  <c r="V182" i="3"/>
  <c r="W182" i="3" s="1"/>
  <c r="U78" i="3"/>
  <c r="V78" i="3"/>
  <c r="W78" i="3" s="1"/>
  <c r="U124" i="3"/>
  <c r="V124" i="3"/>
  <c r="W124" i="3" s="1"/>
  <c r="U145" i="3"/>
  <c r="V145" i="3"/>
  <c r="W145" i="3" s="1"/>
  <c r="V118" i="3"/>
  <c r="W118" i="3" s="1"/>
  <c r="U118" i="3"/>
  <c r="V202" i="3"/>
  <c r="W202" i="3" s="1"/>
  <c r="U202" i="3"/>
  <c r="V98" i="3"/>
  <c r="W98" i="3" s="1"/>
  <c r="U98" i="3"/>
  <c r="U177" i="3"/>
  <c r="V177" i="3"/>
  <c r="W177" i="3" s="1"/>
  <c r="U275" i="3"/>
  <c r="V275" i="3"/>
  <c r="W275" i="3" s="1"/>
  <c r="U120" i="3"/>
  <c r="V120" i="3"/>
  <c r="W120" i="3" s="1"/>
  <c r="U142" i="3"/>
  <c r="V142" i="3"/>
  <c r="W142" i="3" s="1"/>
  <c r="U254" i="3"/>
  <c r="V254" i="3"/>
  <c r="W254" i="3" s="1"/>
  <c r="U203" i="3"/>
  <c r="V203" i="3"/>
  <c r="W203" i="3" s="1"/>
  <c r="U279" i="3"/>
  <c r="V279" i="3"/>
  <c r="W279" i="3" s="1"/>
  <c r="V257" i="3"/>
  <c r="W257" i="3" s="1"/>
  <c r="U257" i="3"/>
  <c r="U239" i="3"/>
  <c r="V239" i="3"/>
  <c r="W239" i="3" s="1"/>
  <c r="U206" i="3"/>
  <c r="V206" i="3"/>
  <c r="W206" i="3" s="1"/>
  <c r="U105" i="3"/>
  <c r="V105" i="3"/>
  <c r="W105" i="3" s="1"/>
  <c r="U176" i="3"/>
  <c r="V176" i="3"/>
  <c r="W176" i="3" s="1"/>
  <c r="U224" i="3"/>
  <c r="V224" i="3"/>
  <c r="W224" i="3" s="1"/>
  <c r="U92" i="3"/>
  <c r="V92" i="3"/>
  <c r="U192" i="3"/>
  <c r="V192" i="3"/>
  <c r="U186" i="3"/>
  <c r="V186" i="3"/>
  <c r="W186" i="3" s="1"/>
  <c r="U126" i="3"/>
  <c r="W152" i="3" l="1"/>
  <c r="W167" i="3" s="1"/>
  <c r="W168" i="3" s="1"/>
  <c r="W169" i="3" s="1"/>
  <c r="V167" i="3"/>
  <c r="V168" i="3" s="1"/>
  <c r="V169" i="3" s="1"/>
  <c r="V287" i="3"/>
  <c r="V288" i="3" s="1"/>
  <c r="V289" i="3" s="1"/>
  <c r="W272" i="3"/>
  <c r="W287" i="3" s="1"/>
  <c r="W288" i="3" s="1"/>
  <c r="W289" i="3" s="1"/>
  <c r="V107" i="3"/>
  <c r="V108" i="3" s="1"/>
  <c r="V109" i="3" s="1"/>
  <c r="W92" i="3"/>
  <c r="W107" i="3" s="1"/>
  <c r="W108" i="3" s="1"/>
  <c r="W109" i="3" s="1"/>
  <c r="V147" i="3"/>
  <c r="V148" i="3" s="1"/>
  <c r="V149" i="3" s="1"/>
  <c r="W132" i="3"/>
  <c r="W147" i="3" s="1"/>
  <c r="W148" i="3" s="1"/>
  <c r="W149" i="3" s="1"/>
  <c r="W72" i="3"/>
  <c r="W87" i="3" s="1"/>
  <c r="V87" i="3"/>
  <c r="W192" i="3"/>
  <c r="W207" i="3" s="1"/>
  <c r="W208" i="3" s="1"/>
  <c r="W209" i="3" s="1"/>
  <c r="V207" i="3"/>
  <c r="V208" i="3" s="1"/>
  <c r="V209" i="3" s="1"/>
  <c r="V187" i="3"/>
  <c r="V188" i="3" s="1"/>
  <c r="V189" i="3" s="1"/>
  <c r="W172" i="3"/>
  <c r="W187" i="3" s="1"/>
  <c r="W188" i="3" s="1"/>
  <c r="W189" i="3" s="1"/>
  <c r="V127" i="3"/>
  <c r="V128" i="3" s="1"/>
  <c r="V129" i="3" s="1"/>
  <c r="W112" i="3"/>
  <c r="W127" i="3" s="1"/>
  <c r="W128" i="3" s="1"/>
  <c r="W129" i="3" s="1"/>
  <c r="W252" i="3"/>
  <c r="W267" i="3" s="1"/>
  <c r="W268" i="3" s="1"/>
  <c r="W269" i="3" s="1"/>
  <c r="V267" i="3"/>
  <c r="V268" i="3" s="1"/>
  <c r="V269" i="3" s="1"/>
  <c r="V227" i="3"/>
  <c r="V228" i="3" s="1"/>
  <c r="V229" i="3" s="1"/>
  <c r="W212" i="3"/>
  <c r="W227" i="3" s="1"/>
  <c r="W228" i="3" s="1"/>
  <c r="W229" i="3" s="1"/>
  <c r="W232" i="3"/>
  <c r="W247" i="3" s="1"/>
  <c r="W248" i="3" s="1"/>
  <c r="W249" i="3" s="1"/>
  <c r="V247" i="3"/>
  <c r="V248" i="3" s="1"/>
  <c r="V249" i="3" s="1"/>
  <c r="V294" i="3" l="1"/>
  <c r="V295" i="3" s="1"/>
  <c r="V88" i="3"/>
  <c r="V89" i="3" s="1"/>
  <c r="V291" i="3" s="1"/>
  <c r="W294" i="3"/>
  <c r="W88" i="3"/>
  <c r="W89" i="3" s="1"/>
  <c r="W291" i="3" s="1"/>
  <c r="W297" i="3" l="1"/>
  <c r="U297" i="3" s="1"/>
  <c r="W295" i="3"/>
  <c r="Y124" i="3" l="1"/>
  <c r="Y120" i="3"/>
  <c r="Y238" i="3"/>
  <c r="Y113" i="3"/>
  <c r="Y194" i="3"/>
  <c r="Y162" i="3"/>
  <c r="Y84" i="3"/>
  <c r="Y179" i="3"/>
  <c r="Y275" i="3"/>
  <c r="Y235" i="3"/>
  <c r="Y141" i="3"/>
  <c r="Y103" i="3"/>
  <c r="Y203" i="3"/>
  <c r="Y281" i="3"/>
  <c r="Y205" i="3"/>
  <c r="Y83" i="3"/>
  <c r="Y119" i="3"/>
  <c r="Y282" i="3"/>
  <c r="Y244" i="3"/>
  <c r="Y218" i="3"/>
  <c r="Y257" i="3"/>
  <c r="Y95" i="3"/>
  <c r="Y222" i="3"/>
  <c r="Y154" i="3"/>
  <c r="Y78" i="3"/>
  <c r="Y259" i="3"/>
  <c r="Y94" i="3"/>
  <c r="Y80" i="3"/>
  <c r="Y159" i="3"/>
  <c r="Y182" i="3"/>
  <c r="Y197" i="3"/>
  <c r="Y132" i="3"/>
  <c r="Y116" i="3"/>
  <c r="Y180" i="3"/>
  <c r="Y72" i="3"/>
  <c r="Y172" i="3"/>
  <c r="Y237" i="3"/>
  <c r="Y75" i="3"/>
  <c r="Y219" i="3"/>
  <c r="Y232" i="3"/>
  <c r="Y243" i="3"/>
  <c r="Y98" i="3"/>
  <c r="Y278" i="3"/>
  <c r="Y216" i="3"/>
  <c r="Y155" i="3"/>
  <c r="Y164" i="3"/>
  <c r="Y161" i="3"/>
  <c r="Y101" i="3"/>
  <c r="Y117" i="3"/>
  <c r="Y86" i="3"/>
  <c r="Y160" i="3"/>
  <c r="Y79" i="3"/>
  <c r="Y73" i="3"/>
  <c r="Y280" i="3"/>
  <c r="Y265" i="3"/>
  <c r="Y252" i="3"/>
  <c r="Y146" i="3"/>
  <c r="Y99" i="3"/>
  <c r="Y112" i="3"/>
  <c r="Y195" i="3"/>
  <c r="Y178" i="3"/>
  <c r="Y173" i="3"/>
  <c r="Y174" i="3"/>
  <c r="Y156" i="3"/>
  <c r="Y183" i="3"/>
  <c r="Y81" i="3"/>
  <c r="Y118" i="3"/>
  <c r="Y225" i="3"/>
  <c r="Y234" i="3"/>
  <c r="Y153" i="3"/>
  <c r="Y215" i="3"/>
  <c r="Y137" i="3"/>
  <c r="Y246" i="3"/>
  <c r="Y185" i="3"/>
  <c r="Y157" i="3"/>
  <c r="Y121" i="3"/>
  <c r="Y134" i="3"/>
  <c r="Y286" i="3"/>
  <c r="Y126" i="3"/>
  <c r="Y158" i="3"/>
  <c r="Y114" i="3"/>
  <c r="Y202" i="3"/>
  <c r="Y85" i="3"/>
  <c r="Y242" i="3"/>
  <c r="Y143" i="3"/>
  <c r="Y175" i="3"/>
  <c r="Y233" i="3"/>
  <c r="Y122" i="3"/>
  <c r="Y223" i="3"/>
  <c r="Y152" i="3"/>
  <c r="Y241" i="3"/>
  <c r="Y236" i="3"/>
  <c r="Y213" i="3"/>
  <c r="Y125" i="3"/>
  <c r="Y220" i="3"/>
  <c r="Y74" i="3"/>
  <c r="Y192" i="3"/>
  <c r="Y221" i="3"/>
  <c r="Y135" i="3"/>
  <c r="Y186" i="3"/>
  <c r="Y239" i="3"/>
  <c r="Y166" i="3"/>
  <c r="Y261" i="3"/>
  <c r="Y165" i="3"/>
  <c r="Y76" i="3"/>
  <c r="Y82" i="3"/>
  <c r="Y279" i="3"/>
  <c r="Y264" i="3"/>
  <c r="Y123" i="3"/>
  <c r="Y204" i="3"/>
  <c r="Y272" i="3"/>
  <c r="Y274" i="3"/>
  <c r="Y196" i="3"/>
  <c r="Y142" i="3"/>
  <c r="Y217" i="3"/>
  <c r="Y277" i="3"/>
  <c r="Y198" i="3"/>
  <c r="Y254" i="3"/>
  <c r="Y144" i="3"/>
  <c r="Y285" i="3"/>
  <c r="Y181" i="3"/>
  <c r="Y93" i="3"/>
  <c r="Y253" i="3"/>
  <c r="Y193" i="3"/>
  <c r="Y176" i="3"/>
  <c r="Y163" i="3"/>
  <c r="Y115" i="3"/>
  <c r="Y266" i="3"/>
  <c r="Y92" i="3"/>
  <c r="Y224" i="3"/>
  <c r="Y177" i="3"/>
  <c r="Y273" i="3"/>
  <c r="Y199" i="3"/>
  <c r="Y105" i="3"/>
  <c r="Y138" i="3"/>
  <c r="Y145" i="3"/>
  <c r="Y262" i="3"/>
  <c r="Y140" i="3"/>
  <c r="Y97" i="3"/>
  <c r="Y133" i="3"/>
  <c r="Y139" i="3"/>
  <c r="Y245" i="3"/>
  <c r="Y214" i="3"/>
  <c r="Y104" i="3"/>
  <c r="Y102" i="3"/>
  <c r="Y276" i="3"/>
  <c r="Y284" i="3"/>
  <c r="Y226" i="3"/>
  <c r="Y96" i="3"/>
  <c r="Y136" i="3"/>
  <c r="Y206" i="3"/>
  <c r="Y106" i="3"/>
  <c r="Y201" i="3"/>
  <c r="Y263" i="3"/>
  <c r="Y200" i="3"/>
  <c r="Y258" i="3"/>
  <c r="Y212" i="3"/>
  <c r="Y240" i="3"/>
  <c r="Y283" i="3"/>
  <c r="Y100" i="3"/>
  <c r="Y77" i="3"/>
  <c r="Y256" i="3"/>
  <c r="Y184" i="3"/>
  <c r="Y255" i="3"/>
  <c r="Y260" i="3"/>
  <c r="U298" i="3" l="1"/>
  <c r="U299" i="3" s="1"/>
  <c r="Z254" i="3" s="1"/>
  <c r="Z158" i="3" l="1"/>
  <c r="X158" i="3" s="1"/>
  <c r="H158" i="3" s="1"/>
  <c r="Z154" i="3"/>
  <c r="X154" i="3" s="1"/>
  <c r="H154" i="3" s="1"/>
  <c r="G154" i="3" s="1"/>
  <c r="Z137" i="3"/>
  <c r="Z192" i="3"/>
  <c r="Z84" i="3"/>
  <c r="Z120" i="3"/>
  <c r="X120" i="3" s="1"/>
  <c r="H120" i="3" s="1"/>
  <c r="Z124" i="3"/>
  <c r="X124" i="3" s="1"/>
  <c r="H124" i="3" s="1"/>
  <c r="Z179" i="3"/>
  <c r="X179" i="3" s="1"/>
  <c r="H179" i="3" s="1"/>
  <c r="Z138" i="3"/>
  <c r="X138" i="3" s="1"/>
  <c r="H138" i="3" s="1"/>
  <c r="Z116" i="3"/>
  <c r="Z102" i="3"/>
  <c r="X102" i="3" s="1"/>
  <c r="H102" i="3" s="1"/>
  <c r="Z185" i="3"/>
  <c r="Z253" i="3"/>
  <c r="Z76" i="3"/>
  <c r="X76" i="3" s="1"/>
  <c r="H76" i="3" s="1"/>
  <c r="Z181" i="3"/>
  <c r="X181" i="3" s="1"/>
  <c r="H181" i="3" s="1"/>
  <c r="Z285" i="3"/>
  <c r="X285" i="3" s="1"/>
  <c r="H285" i="3" s="1"/>
  <c r="Z224" i="3"/>
  <c r="X224" i="3" s="1"/>
  <c r="H224" i="3" s="1"/>
  <c r="Z216" i="3"/>
  <c r="Z83" i="3"/>
  <c r="X83" i="3" s="1"/>
  <c r="H83" i="3" s="1"/>
  <c r="Z259" i="3"/>
  <c r="Z132" i="3"/>
  <c r="Z232" i="3"/>
  <c r="X232" i="3" s="1"/>
  <c r="Z183" i="3"/>
  <c r="X183" i="3" s="1"/>
  <c r="H183" i="3" s="1"/>
  <c r="Z77" i="3"/>
  <c r="X77" i="3" s="1"/>
  <c r="H77" i="3" s="1"/>
  <c r="Z263" i="3"/>
  <c r="X263" i="3" s="1"/>
  <c r="H263" i="3" s="1"/>
  <c r="Z186" i="3"/>
  <c r="Z119" i="3"/>
  <c r="X119" i="3" s="1"/>
  <c r="H119" i="3" s="1"/>
  <c r="Z74" i="3"/>
  <c r="Z241" i="3"/>
  <c r="Z201" i="3"/>
  <c r="X201" i="3" s="1"/>
  <c r="H201" i="3" s="1"/>
  <c r="Z252" i="3"/>
  <c r="X252" i="3" s="1"/>
  <c r="Z104" i="3"/>
  <c r="X104" i="3" s="1"/>
  <c r="H104" i="3" s="1"/>
  <c r="Z114" i="3"/>
  <c r="X114" i="3" s="1"/>
  <c r="H114" i="3" s="1"/>
  <c r="Z213" i="3"/>
  <c r="X213" i="3" s="1"/>
  <c r="H213" i="3" s="1"/>
  <c r="Z237" i="3"/>
  <c r="X237" i="3" s="1"/>
  <c r="H237" i="3" s="1"/>
  <c r="Z205" i="3"/>
  <c r="Z78" i="3"/>
  <c r="Z165" i="3"/>
  <c r="X165" i="3" s="1"/>
  <c r="H165" i="3" s="1"/>
  <c r="Z146" i="3"/>
  <c r="X146" i="3" s="1"/>
  <c r="H146" i="3" s="1"/>
  <c r="Z145" i="3"/>
  <c r="X145" i="3" s="1"/>
  <c r="H145" i="3" s="1"/>
  <c r="Z156" i="3"/>
  <c r="X156" i="3" s="1"/>
  <c r="H156" i="3" s="1"/>
  <c r="Z100" i="3"/>
  <c r="Z223" i="3"/>
  <c r="X223" i="3" s="1"/>
  <c r="H223" i="3" s="1"/>
  <c r="Z176" i="3"/>
  <c r="Z161" i="3"/>
  <c r="Z214" i="3"/>
  <c r="Z235" i="3"/>
  <c r="X235" i="3" s="1"/>
  <c r="H235" i="3" s="1"/>
  <c r="Z140" i="3"/>
  <c r="X140" i="3" s="1"/>
  <c r="H140" i="3" s="1"/>
  <c r="Z126" i="3"/>
  <c r="X126" i="3" s="1"/>
  <c r="H126" i="3" s="1"/>
  <c r="Z217" i="3"/>
  <c r="Z121" i="3"/>
  <c r="X121" i="3" s="1"/>
  <c r="H121" i="3" s="1"/>
  <c r="Z219" i="3"/>
  <c r="X219" i="3" s="1"/>
  <c r="H219" i="3" s="1"/>
  <c r="Z159" i="3"/>
  <c r="Z180" i="3"/>
  <c r="X180" i="3" s="1"/>
  <c r="H180" i="3" s="1"/>
  <c r="Z256" i="3"/>
  <c r="X256" i="3" s="1"/>
  <c r="H256" i="3" s="1"/>
  <c r="Z238" i="3"/>
  <c r="X238" i="3" s="1"/>
  <c r="H238" i="3" s="1"/>
  <c r="Z178" i="3"/>
  <c r="X178" i="3" s="1"/>
  <c r="H178" i="3" s="1"/>
  <c r="Z264" i="3"/>
  <c r="Z281" i="3"/>
  <c r="X281" i="3" s="1"/>
  <c r="H281" i="3" s="1"/>
  <c r="Z81" i="3"/>
  <c r="X81" i="3" s="1"/>
  <c r="H81" i="3" s="1"/>
  <c r="Z257" i="3"/>
  <c r="Z72" i="3"/>
  <c r="X72" i="3" s="1"/>
  <c r="Z136" i="3"/>
  <c r="X136" i="3" s="1"/>
  <c r="H136" i="3" s="1"/>
  <c r="Z133" i="3"/>
  <c r="X133" i="3" s="1"/>
  <c r="H133" i="3" s="1"/>
  <c r="G133" i="3" s="1"/>
  <c r="Z95" i="3"/>
  <c r="X95" i="3" s="1"/>
  <c r="H95" i="3" s="1"/>
  <c r="Z222" i="3"/>
  <c r="X222" i="3" s="1"/>
  <c r="H222" i="3" s="1"/>
  <c r="Z255" i="3"/>
  <c r="X255" i="3" s="1"/>
  <c r="H255" i="3" s="1"/>
  <c r="Z280" i="3"/>
  <c r="Z143" i="3"/>
  <c r="Z103" i="3"/>
  <c r="X103" i="3" s="1"/>
  <c r="H103" i="3" s="1"/>
  <c r="Z203" i="3"/>
  <c r="X203" i="3" s="1"/>
  <c r="H203" i="3" s="1"/>
  <c r="Z286" i="3"/>
  <c r="X286" i="3" s="1"/>
  <c r="H286" i="3" s="1"/>
  <c r="Z152" i="3"/>
  <c r="X152" i="3" s="1"/>
  <c r="Z160" i="3"/>
  <c r="Z101" i="3"/>
  <c r="X101" i="3" s="1"/>
  <c r="H101" i="3" s="1"/>
  <c r="Z266" i="3"/>
  <c r="X266" i="3" s="1"/>
  <c r="H266" i="3" s="1"/>
  <c r="Z243" i="3"/>
  <c r="Z92" i="3"/>
  <c r="X92" i="3" s="1"/>
  <c r="Z174" i="3"/>
  <c r="X174" i="3" s="1"/>
  <c r="H174" i="3" s="1"/>
  <c r="Z221" i="3"/>
  <c r="X221" i="3" s="1"/>
  <c r="H221" i="3" s="1"/>
  <c r="Z198" i="3"/>
  <c r="X198" i="3" s="1"/>
  <c r="H198" i="3" s="1"/>
  <c r="Z112" i="3"/>
  <c r="Z172" i="3"/>
  <c r="X172" i="3" s="1"/>
  <c r="Z199" i="3"/>
  <c r="X199" i="3" s="1"/>
  <c r="H199" i="3" s="1"/>
  <c r="Z175" i="3"/>
  <c r="Z233" i="3"/>
  <c r="X233" i="3" s="1"/>
  <c r="H233" i="3" s="1"/>
  <c r="Z98" i="3"/>
  <c r="X98" i="3" s="1"/>
  <c r="H98" i="3" s="1"/>
  <c r="Z82" i="3"/>
  <c r="X82" i="3" s="1"/>
  <c r="H82" i="3" s="1"/>
  <c r="Z177" i="3"/>
  <c r="X177" i="3" s="1"/>
  <c r="H177" i="3" s="1"/>
  <c r="Z96" i="3"/>
  <c r="Z141" i="3"/>
  <c r="X141" i="3" s="1"/>
  <c r="H141" i="3" s="1"/>
  <c r="Z118" i="3"/>
  <c r="X118" i="3" s="1"/>
  <c r="H118" i="3" s="1"/>
  <c r="Z97" i="3"/>
  <c r="X97" i="3" s="1"/>
  <c r="H97" i="3" s="1"/>
  <c r="Z265" i="3"/>
  <c r="X265" i="3" s="1"/>
  <c r="H265" i="3" s="1"/>
  <c r="Z79" i="3"/>
  <c r="X79" i="3" s="1"/>
  <c r="H79" i="3" s="1"/>
  <c r="Z277" i="3"/>
  <c r="X277" i="3" s="1"/>
  <c r="H277" i="3" s="1"/>
  <c r="Z155" i="3"/>
  <c r="X155" i="3" s="1"/>
  <c r="H155" i="3" s="1"/>
  <c r="Z215" i="3"/>
  <c r="Z182" i="3"/>
  <c r="X182" i="3" s="1"/>
  <c r="H182" i="3" s="1"/>
  <c r="Z125" i="3"/>
  <c r="X125" i="3" s="1"/>
  <c r="H125" i="3" s="1"/>
  <c r="Z115" i="3"/>
  <c r="Z86" i="3"/>
  <c r="X86" i="3" s="1"/>
  <c r="H86" i="3" s="1"/>
  <c r="Z142" i="3"/>
  <c r="X142" i="3" s="1"/>
  <c r="H142" i="3" s="1"/>
  <c r="Z284" i="3"/>
  <c r="X284" i="3" s="1"/>
  <c r="H284" i="3" s="1"/>
  <c r="Z245" i="3"/>
  <c r="X245" i="3" s="1"/>
  <c r="H245" i="3" s="1"/>
  <c r="Z244" i="3"/>
  <c r="X244" i="3" s="1"/>
  <c r="H244" i="3" s="1"/>
  <c r="Z157" i="3"/>
  <c r="X157" i="3" s="1"/>
  <c r="H157" i="3" s="1"/>
  <c r="Z200" i="3"/>
  <c r="X200" i="3" s="1"/>
  <c r="H200" i="3" s="1"/>
  <c r="Z144" i="3"/>
  <c r="X144" i="3" s="1"/>
  <c r="H144" i="3" s="1"/>
  <c r="Z195" i="3"/>
  <c r="X195" i="3" s="1"/>
  <c r="H195" i="3" s="1"/>
  <c r="Z193" i="3"/>
  <c r="X193" i="3" s="1"/>
  <c r="H193" i="3" s="1"/>
  <c r="Z134" i="3"/>
  <c r="X134" i="3" s="1"/>
  <c r="H134" i="3" s="1"/>
  <c r="Z220" i="3"/>
  <c r="X220" i="3" s="1"/>
  <c r="H220" i="3" s="1"/>
  <c r="Z75" i="3"/>
  <c r="Z166" i="3"/>
  <c r="X166" i="3" s="1"/>
  <c r="H166" i="3" s="1"/>
  <c r="Z122" i="3"/>
  <c r="X122" i="3" s="1"/>
  <c r="H122" i="3" s="1"/>
  <c r="Z106" i="3"/>
  <c r="Z117" i="3"/>
  <c r="X117" i="3" s="1"/>
  <c r="H117" i="3" s="1"/>
  <c r="Z196" i="3"/>
  <c r="X196" i="3" s="1"/>
  <c r="H196" i="3" s="1"/>
  <c r="Z73" i="3"/>
  <c r="X73" i="3" s="1"/>
  <c r="H73" i="3" s="1"/>
  <c r="G73" i="3" s="1"/>
  <c r="Z283" i="3"/>
  <c r="X283" i="3" s="1"/>
  <c r="H283" i="3" s="1"/>
  <c r="Z99" i="3"/>
  <c r="X99" i="3" s="1"/>
  <c r="H99" i="3" s="1"/>
  <c r="Z93" i="3"/>
  <c r="X93" i="3" s="1"/>
  <c r="H93" i="3" s="1"/>
  <c r="G93" i="3" s="1"/>
  <c r="Z184" i="3"/>
  <c r="X184" i="3" s="1"/>
  <c r="H184" i="3" s="1"/>
  <c r="Z197" i="3"/>
  <c r="X197" i="3" s="1"/>
  <c r="H197" i="3" s="1"/>
  <c r="Z94" i="3"/>
  <c r="X94" i="3" s="1"/>
  <c r="H94" i="3" s="1"/>
  <c r="Z85" i="3"/>
  <c r="X85" i="3" s="1"/>
  <c r="H85" i="3" s="1"/>
  <c r="Z194" i="3"/>
  <c r="X194" i="3" s="1"/>
  <c r="H194" i="3" s="1"/>
  <c r="Z113" i="3"/>
  <c r="X113" i="3" s="1"/>
  <c r="H113" i="3" s="1"/>
  <c r="G113" i="3" s="1"/>
  <c r="Z225" i="3"/>
  <c r="X225" i="3" s="1"/>
  <c r="H225" i="3" s="1"/>
  <c r="Z273" i="3"/>
  <c r="X273" i="3" s="1"/>
  <c r="H273" i="3" s="1"/>
  <c r="Z123" i="3"/>
  <c r="X123" i="3" s="1"/>
  <c r="H123" i="3" s="1"/>
  <c r="Z272" i="3"/>
  <c r="X272" i="3" s="1"/>
  <c r="Z164" i="3"/>
  <c r="X164" i="3" s="1"/>
  <c r="H164" i="3" s="1"/>
  <c r="Z204" i="3"/>
  <c r="X204" i="3" s="1"/>
  <c r="H204" i="3" s="1"/>
  <c r="Z128" i="3"/>
  <c r="Z231" i="3"/>
  <c r="X231" i="3" s="1"/>
  <c r="X160" i="3"/>
  <c r="H160" i="3" s="1"/>
  <c r="X257" i="3"/>
  <c r="H257" i="3" s="1"/>
  <c r="Z147" i="3"/>
  <c r="X84" i="3"/>
  <c r="H84" i="3" s="1"/>
  <c r="X214" i="3"/>
  <c r="H214" i="3" s="1"/>
  <c r="X159" i="3"/>
  <c r="H159" i="3" s="1"/>
  <c r="X74" i="3"/>
  <c r="H74" i="3" s="1"/>
  <c r="Z107" i="3"/>
  <c r="Z167" i="3"/>
  <c r="Z129" i="3"/>
  <c r="Z187" i="3"/>
  <c r="Z271" i="3"/>
  <c r="X271" i="3" s="1"/>
  <c r="X112" i="3"/>
  <c r="Z168" i="3"/>
  <c r="Z248" i="3"/>
  <c r="Z287" i="3"/>
  <c r="Z111" i="3"/>
  <c r="X111" i="3" s="1"/>
  <c r="Z268" i="3"/>
  <c r="Z227" i="3"/>
  <c r="Z209" i="3"/>
  <c r="X280" i="3"/>
  <c r="H280" i="3" s="1"/>
  <c r="Z247" i="3"/>
  <c r="Z229" i="3"/>
  <c r="Z89" i="3"/>
  <c r="Z208" i="3"/>
  <c r="X161" i="3"/>
  <c r="H161" i="3" s="1"/>
  <c r="Z87" i="3"/>
  <c r="Z207" i="3"/>
  <c r="Z249" i="3"/>
  <c r="X78" i="3"/>
  <c r="H78" i="3" s="1"/>
  <c r="X192" i="3"/>
  <c r="Z267" i="3"/>
  <c r="Z108" i="3"/>
  <c r="X259" i="3"/>
  <c r="H259" i="3" s="1"/>
  <c r="X132" i="3"/>
  <c r="X143" i="3"/>
  <c r="H143" i="3" s="1"/>
  <c r="Z91" i="3"/>
  <c r="X91" i="3" s="1"/>
  <c r="Z131" i="3"/>
  <c r="X131" i="3" s="1"/>
  <c r="X216" i="3"/>
  <c r="H216" i="3" s="1"/>
  <c r="Z228" i="3"/>
  <c r="Z269" i="3"/>
  <c r="Z149" i="3"/>
  <c r="X243" i="3"/>
  <c r="H243" i="3" s="1"/>
  <c r="Z251" i="3"/>
  <c r="X251" i="3" s="1"/>
  <c r="X205" i="3"/>
  <c r="H205" i="3" s="1"/>
  <c r="X264" i="3"/>
  <c r="H264" i="3" s="1"/>
  <c r="X96" i="3"/>
  <c r="H96" i="3" s="1"/>
  <c r="Z169" i="3"/>
  <c r="Z109" i="3"/>
  <c r="X185" i="3"/>
  <c r="H185" i="3" s="1"/>
  <c r="Z211" i="3"/>
  <c r="X211" i="3" s="1"/>
  <c r="Z148" i="3"/>
  <c r="Z191" i="3"/>
  <c r="X191" i="3" s="1"/>
  <c r="X241" i="3"/>
  <c r="H241" i="3" s="1"/>
  <c r="Z189" i="3"/>
  <c r="X215" i="3"/>
  <c r="H215" i="3" s="1"/>
  <c r="Z151" i="3"/>
  <c r="X151" i="3" s="1"/>
  <c r="X116" i="3"/>
  <c r="H116" i="3" s="1"/>
  <c r="X175" i="3"/>
  <c r="H175" i="3" s="1"/>
  <c r="Z88" i="3"/>
  <c r="X217" i="3"/>
  <c r="H217" i="3" s="1"/>
  <c r="X100" i="3"/>
  <c r="H100" i="3" s="1"/>
  <c r="X115" i="3"/>
  <c r="H115" i="3" s="1"/>
  <c r="Z127" i="3"/>
  <c r="X253" i="3"/>
  <c r="H253" i="3" s="1"/>
  <c r="X176" i="3"/>
  <c r="H176" i="3" s="1"/>
  <c r="X254" i="3"/>
  <c r="H254" i="3" s="1"/>
  <c r="Z288" i="3"/>
  <c r="Z188" i="3"/>
  <c r="X186" i="3"/>
  <c r="H186" i="3" s="1"/>
  <c r="Z289" i="3"/>
  <c r="Z171" i="3"/>
  <c r="X171" i="3" s="1"/>
  <c r="X137" i="3"/>
  <c r="H137" i="3" s="1"/>
  <c r="X75" i="3"/>
  <c r="H75" i="3" s="1"/>
  <c r="X106" i="3"/>
  <c r="H106" i="3" s="1"/>
  <c r="Z135" i="3"/>
  <c r="X135" i="3" s="1"/>
  <c r="H135" i="3" s="1"/>
  <c r="Z239" i="3"/>
  <c r="X239" i="3" s="1"/>
  <c r="H239" i="3" s="1"/>
  <c r="Z218" i="3"/>
  <c r="X218" i="3" s="1"/>
  <c r="H218" i="3" s="1"/>
  <c r="Z242" i="3"/>
  <c r="X242" i="3" s="1"/>
  <c r="H242" i="3" s="1"/>
  <c r="Z226" i="3"/>
  <c r="X226" i="3" s="1"/>
  <c r="H226" i="3" s="1"/>
  <c r="Z260" i="3"/>
  <c r="X260" i="3" s="1"/>
  <c r="H260" i="3" s="1"/>
  <c r="Z206" i="3"/>
  <c r="X206" i="3" s="1"/>
  <c r="H206" i="3" s="1"/>
  <c r="Z173" i="3"/>
  <c r="X173" i="3" s="1"/>
  <c r="H173" i="3" s="1"/>
  <c r="Z163" i="3"/>
  <c r="X163" i="3" s="1"/>
  <c r="H163" i="3" s="1"/>
  <c r="Z274" i="3"/>
  <c r="X274" i="3" s="1"/>
  <c r="H274" i="3" s="1"/>
  <c r="Z275" i="3"/>
  <c r="X275" i="3" s="1"/>
  <c r="H275" i="3" s="1"/>
  <c r="Z246" i="3"/>
  <c r="X246" i="3" s="1"/>
  <c r="H246" i="3" s="1"/>
  <c r="Z262" i="3"/>
  <c r="X262" i="3" s="1"/>
  <c r="H262" i="3" s="1"/>
  <c r="Z212" i="3"/>
  <c r="X212" i="3" s="1"/>
  <c r="Z282" i="3"/>
  <c r="X282" i="3" s="1"/>
  <c r="H282" i="3" s="1"/>
  <c r="Z202" i="3"/>
  <c r="X202" i="3" s="1"/>
  <c r="H202" i="3" s="1"/>
  <c r="Z276" i="3"/>
  <c r="X276" i="3" s="1"/>
  <c r="H276" i="3" s="1"/>
  <c r="Z234" i="3"/>
  <c r="X234" i="3" s="1"/>
  <c r="H234" i="3" s="1"/>
  <c r="Z261" i="3"/>
  <c r="X261" i="3" s="1"/>
  <c r="H261" i="3" s="1"/>
  <c r="Z278" i="3"/>
  <c r="X278" i="3" s="1"/>
  <c r="H278" i="3" s="1"/>
  <c r="Z279" i="3"/>
  <c r="X279" i="3" s="1"/>
  <c r="H279" i="3" s="1"/>
  <c r="Z139" i="3"/>
  <c r="X139" i="3" s="1"/>
  <c r="H139" i="3" s="1"/>
  <c r="Z80" i="3"/>
  <c r="X80" i="3" s="1"/>
  <c r="H80" i="3" s="1"/>
  <c r="Z236" i="3"/>
  <c r="X236" i="3" s="1"/>
  <c r="H236" i="3" s="1"/>
  <c r="Z258" i="3"/>
  <c r="X258" i="3" s="1"/>
  <c r="H258" i="3" s="1"/>
  <c r="Z240" i="3"/>
  <c r="X240" i="3" s="1"/>
  <c r="H240" i="3" s="1"/>
  <c r="Z162" i="3"/>
  <c r="X162" i="3" s="1"/>
  <c r="H162" i="3" s="1"/>
  <c r="Z153" i="3"/>
  <c r="X153" i="3" s="1"/>
  <c r="H153" i="3" s="1"/>
  <c r="G153" i="3" s="1"/>
  <c r="Z105" i="3"/>
  <c r="X105" i="3" s="1"/>
  <c r="H105" i="3" s="1"/>
  <c r="X287" i="3" l="1"/>
  <c r="X288" i="3" s="1"/>
  <c r="X289" i="3" s="1"/>
  <c r="H272" i="3"/>
  <c r="X267" i="3"/>
  <c r="X268" i="3" s="1"/>
  <c r="X269" i="3" s="1"/>
  <c r="H252" i="3"/>
  <c r="X207" i="3"/>
  <c r="X208" i="3" s="1"/>
  <c r="X209" i="3" s="1"/>
  <c r="H192" i="3"/>
  <c r="X227" i="3"/>
  <c r="X228" i="3" s="1"/>
  <c r="X229" i="3" s="1"/>
  <c r="H212" i="3"/>
  <c r="H92" i="3"/>
  <c r="X107" i="3"/>
  <c r="X87" i="3"/>
  <c r="H72" i="3"/>
  <c r="H132" i="3"/>
  <c r="X147" i="3"/>
  <c r="X148" i="3" s="1"/>
  <c r="X149" i="3" s="1"/>
  <c r="X187" i="3"/>
  <c r="X188" i="3" s="1"/>
  <c r="X189" i="3" s="1"/>
  <c r="H172" i="3"/>
  <c r="X167" i="3"/>
  <c r="X168" i="3" s="1"/>
  <c r="X169" i="3" s="1"/>
  <c r="H152" i="3"/>
  <c r="H232" i="3"/>
  <c r="X247" i="3"/>
  <c r="X248" i="3" s="1"/>
  <c r="X249" i="3" s="1"/>
  <c r="X127" i="3"/>
  <c r="X128" i="3" s="1"/>
  <c r="X129" i="3" s="1"/>
  <c r="H112" i="3"/>
  <c r="G212" i="3" l="1"/>
  <c r="H227" i="3"/>
  <c r="G192" i="3"/>
  <c r="H207" i="3"/>
  <c r="H187" i="3"/>
  <c r="G172" i="3"/>
  <c r="H147" i="3"/>
  <c r="G132" i="3"/>
  <c r="G72" i="3"/>
  <c r="H87" i="3"/>
  <c r="G252" i="3"/>
  <c r="H267" i="3"/>
  <c r="X88" i="3"/>
  <c r="X89" i="3" s="1"/>
  <c r="X294" i="3"/>
  <c r="H247" i="3"/>
  <c r="G232" i="3"/>
  <c r="H167" i="3"/>
  <c r="G152" i="3"/>
  <c r="X108" i="3"/>
  <c r="X109" i="3" s="1"/>
  <c r="H287" i="3"/>
  <c r="G272" i="3"/>
  <c r="G112" i="3"/>
  <c r="H127" i="3"/>
  <c r="H107" i="3"/>
  <c r="G92" i="3"/>
  <c r="X291" i="3" l="1"/>
  <c r="G147" i="3"/>
  <c r="F33" i="3" s="1"/>
  <c r="H148" i="3"/>
  <c r="G148" i="3" s="1"/>
  <c r="F34" i="3" s="1"/>
  <c r="H288" i="3"/>
  <c r="G288" i="3" s="1"/>
  <c r="F63" i="3" s="1"/>
  <c r="G287" i="3"/>
  <c r="F62" i="3" s="1"/>
  <c r="X295" i="3"/>
  <c r="X297" i="3"/>
  <c r="H188" i="3"/>
  <c r="G188" i="3" s="1"/>
  <c r="F43" i="3" s="1"/>
  <c r="G187" i="3"/>
  <c r="F42" i="3" s="1"/>
  <c r="H208" i="3"/>
  <c r="G208" i="3" s="1"/>
  <c r="F47" i="3" s="1"/>
  <c r="G207" i="3"/>
  <c r="F46" i="3" s="1"/>
  <c r="H268" i="3"/>
  <c r="G268" i="3" s="1"/>
  <c r="F59" i="3" s="1"/>
  <c r="G267" i="3"/>
  <c r="F58" i="3" s="1"/>
  <c r="H248" i="3"/>
  <c r="G248" i="3" s="1"/>
  <c r="F55" i="3" s="1"/>
  <c r="G247" i="3"/>
  <c r="F54" i="3" s="1"/>
  <c r="H108" i="3"/>
  <c r="G108" i="3" s="1"/>
  <c r="F26" i="3" s="1"/>
  <c r="G107" i="3"/>
  <c r="F25" i="3" s="1"/>
  <c r="G167" i="3"/>
  <c r="F37" i="3" s="1"/>
  <c r="H168" i="3"/>
  <c r="G168" i="3" s="1"/>
  <c r="F38" i="3" s="1"/>
  <c r="G87" i="3"/>
  <c r="H88" i="3"/>
  <c r="G88" i="3" s="1"/>
  <c r="F22" i="3" s="1"/>
  <c r="G227" i="3"/>
  <c r="F50" i="3" s="1"/>
  <c r="H228" i="3"/>
  <c r="G228" i="3" s="1"/>
  <c r="F51" i="3" s="1"/>
  <c r="H128" i="3"/>
  <c r="G128" i="3" s="1"/>
  <c r="F30" i="3" s="1"/>
  <c r="G127" i="3"/>
  <c r="F29" i="3" s="1"/>
  <c r="H109" i="3" l="1"/>
  <c r="G109" i="3" s="1"/>
  <c r="H209" i="3"/>
  <c r="G209" i="3" s="1"/>
  <c r="F48" i="3" s="1"/>
  <c r="H149" i="3"/>
  <c r="G149" i="3" s="1"/>
  <c r="H169" i="3"/>
  <c r="G169" i="3" s="1"/>
  <c r="F39" i="3" s="1"/>
  <c r="H129" i="3"/>
  <c r="G129" i="3" s="1"/>
  <c r="F31" i="3" s="1"/>
  <c r="H89" i="3"/>
  <c r="G89" i="3" s="1"/>
  <c r="H229" i="3"/>
  <c r="G229" i="3" s="1"/>
  <c r="F52" i="3" s="1"/>
  <c r="H289" i="3"/>
  <c r="G289" i="3" s="1"/>
  <c r="F64" i="3" s="1"/>
  <c r="H249" i="3"/>
  <c r="G249" i="3" s="1"/>
  <c r="F56" i="3" s="1"/>
  <c r="H189" i="3"/>
  <c r="G189" i="3" s="1"/>
  <c r="F44" i="3" s="1"/>
  <c r="H269" i="3"/>
  <c r="G269" i="3" s="1"/>
  <c r="F60" i="3" s="1"/>
  <c r="B12" i="5"/>
  <c r="F21" i="3"/>
  <c r="G294" i="3"/>
  <c r="G4" i="3" s="1"/>
  <c r="F35" i="3"/>
  <c r="B10" i="5"/>
  <c r="B6" i="5"/>
  <c r="F27" i="3"/>
  <c r="B8" i="5" l="1"/>
  <c r="J8" i="5" s="1"/>
  <c r="K8" i="5" s="1"/>
  <c r="B14" i="5"/>
  <c r="H292" i="3"/>
  <c r="G63" i="3" s="1"/>
  <c r="J14" i="5"/>
  <c r="K14" i="5" s="1"/>
  <c r="J15" i="5"/>
  <c r="K15" i="5" s="1"/>
  <c r="J12" i="5"/>
  <c r="K12" i="5" s="1"/>
  <c r="J13" i="5"/>
  <c r="K13" i="5" s="1"/>
  <c r="F23" i="3"/>
  <c r="B4" i="5"/>
  <c r="J6" i="5"/>
  <c r="J7" i="5"/>
  <c r="J11" i="5"/>
  <c r="K11" i="5" s="1"/>
  <c r="J10" i="5"/>
  <c r="K10" i="5" s="1"/>
  <c r="J9" i="5" l="1"/>
  <c r="K9" i="5" s="1"/>
  <c r="G21" i="3"/>
  <c r="G22" i="3"/>
  <c r="G25" i="3"/>
  <c r="G23" i="3"/>
  <c r="G59" i="3"/>
  <c r="G34" i="3"/>
  <c r="G54" i="3"/>
  <c r="G35" i="3"/>
  <c r="G38" i="3"/>
  <c r="G66" i="3"/>
  <c r="F16" i="3" s="1"/>
  <c r="G43" i="3"/>
  <c r="G30" i="3"/>
  <c r="G44" i="3"/>
  <c r="G64" i="3"/>
  <c r="G29" i="3"/>
  <c r="G27" i="3"/>
  <c r="G46" i="3"/>
  <c r="G60" i="3"/>
  <c r="G26" i="3"/>
  <c r="G37" i="3"/>
  <c r="G55" i="3"/>
  <c r="G56" i="3"/>
  <c r="G42" i="3"/>
  <c r="G50" i="3"/>
  <c r="G52" i="3"/>
  <c r="G47" i="3"/>
  <c r="G58" i="3"/>
  <c r="G33" i="3"/>
  <c r="G62" i="3"/>
  <c r="G39" i="3"/>
  <c r="G31" i="3"/>
  <c r="G51" i="3"/>
  <c r="G48" i="3"/>
  <c r="L13" i="5"/>
  <c r="L10" i="5"/>
  <c r="L11" i="5"/>
  <c r="L12" i="5"/>
  <c r="K6" i="5"/>
  <c r="L6" i="5" s="1"/>
  <c r="J5" i="5"/>
  <c r="J4" i="5"/>
  <c r="L15" i="5"/>
  <c r="L9" i="5"/>
  <c r="L8" i="5"/>
  <c r="K7" i="5"/>
  <c r="L7" i="5" s="1"/>
  <c r="L14" i="5"/>
  <c r="D19" i="5" l="1"/>
  <c r="K5" i="5"/>
  <c r="D22" i="5" s="1"/>
  <c r="D21" i="5"/>
  <c r="K4" i="5"/>
  <c r="D20" i="5" s="1"/>
  <c r="L5" i="5" l="1"/>
  <c r="L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9214806</author>
  </authors>
  <commentList>
    <comment ref="J9" authorId="0" shapeId="0" xr:uid="{00000000-0006-0000-0000-000001000000}">
      <text>
        <r>
          <rPr>
            <sz val="9"/>
            <color indexed="81"/>
            <rFont val="ＭＳ Ｐゴシック"/>
            <family val="3"/>
            <charset val="128"/>
          </rPr>
          <t xml:space="preserve">丸の数が左の第○回設計変更工事費内訳明細書のセルに反映されるので、丸を選択して下さい。
例：1回の場合ﾟ
　　2回の場合ﾟﾟ
　　3回の場合ﾟﾟﾟ
</t>
        </r>
      </text>
    </comment>
    <comment ref="D11" authorId="0" shapeId="0" xr:uid="{00000000-0006-0000-0000-000002000000}">
      <text>
        <r>
          <rPr>
            <b/>
            <sz val="10"/>
            <color indexed="10"/>
            <rFont val="ＭＳ Ｐゴシック"/>
            <family val="3"/>
            <charset val="128"/>
          </rPr>
          <t>右側BOX内設計書№欄に記入。
リンクを設定しているので工事名称は自動で表示されます。</t>
        </r>
      </text>
    </comment>
  </commentList>
</comments>
</file>

<file path=xl/sharedStrings.xml><?xml version="1.0" encoding="utf-8"?>
<sst xmlns="http://schemas.openxmlformats.org/spreadsheetml/2006/main" count="314" uniqueCount="154">
  <si>
    <t>計</t>
    <rPh sb="0" eb="1">
      <t>ケイ</t>
    </rPh>
    <phoneticPr fontId="3"/>
  </si>
  <si>
    <t>＊黄色のみ金額記入！！</t>
    <rPh sb="1" eb="3">
      <t>キイロ</t>
    </rPh>
    <rPh sb="5" eb="7">
      <t>キンガク</t>
    </rPh>
    <rPh sb="7" eb="9">
      <t>キニュウ</t>
    </rPh>
    <phoneticPr fontId="3"/>
  </si>
  <si>
    <t>（</t>
    <phoneticPr fontId="3"/>
  </si>
  <si>
    <t>）</t>
    <phoneticPr fontId="3"/>
  </si>
  <si>
    <t>差引金額</t>
    <rPh sb="0" eb="2">
      <t>サシヒ</t>
    </rPh>
    <rPh sb="2" eb="4">
      <t>キンガク</t>
    </rPh>
    <phoneticPr fontId="3"/>
  </si>
  <si>
    <t>計</t>
    <rPh sb="0" eb="1">
      <t>ケイ</t>
    </rPh>
    <phoneticPr fontId="3"/>
  </si>
  <si>
    <t>落札率</t>
    <rPh sb="0" eb="2">
      <t>ラクサツ</t>
    </rPh>
    <rPh sb="2" eb="3">
      <t>リツ</t>
    </rPh>
    <phoneticPr fontId="3"/>
  </si>
  <si>
    <t>合計</t>
    <rPh sb="0" eb="2">
      <t>ゴウケイ</t>
    </rPh>
    <phoneticPr fontId="3"/>
  </si>
  <si>
    <t>→</t>
    <phoneticPr fontId="3"/>
  </si>
  <si>
    <t>形状寸法</t>
    <rPh sb="0" eb="2">
      <t>ケイジョウ</t>
    </rPh>
    <rPh sb="2" eb="4">
      <t>スンポウ</t>
    </rPh>
    <phoneticPr fontId="3"/>
  </si>
  <si>
    <t>数量</t>
    <rPh sb="0" eb="2">
      <t>スウリョウ</t>
    </rPh>
    <phoneticPr fontId="3"/>
  </si>
  <si>
    <t>単位</t>
    <rPh sb="0" eb="2">
      <t>タンイ</t>
    </rPh>
    <phoneticPr fontId="3"/>
  </si>
  <si>
    <t>差引増減金額</t>
    <rPh sb="0" eb="2">
      <t>サシヒ</t>
    </rPh>
    <rPh sb="2" eb="3">
      <t>ゾウ</t>
    </rPh>
    <rPh sb="3" eb="4">
      <t>ゲン</t>
    </rPh>
    <rPh sb="4" eb="6">
      <t>キンガク</t>
    </rPh>
    <phoneticPr fontId="3"/>
  </si>
  <si>
    <t>工事計</t>
    <rPh sb="0" eb="2">
      <t>コウジ</t>
    </rPh>
    <rPh sb="2" eb="3">
      <t>ケイ</t>
    </rPh>
    <phoneticPr fontId="3"/>
  </si>
  <si>
    <t>消費税</t>
    <rPh sb="0" eb="2">
      <t>ショウヒ</t>
    </rPh>
    <rPh sb="2" eb="3">
      <t>ゼイ</t>
    </rPh>
    <phoneticPr fontId="3"/>
  </si>
  <si>
    <t>＊業者来所時緑部分記入！！</t>
    <rPh sb="1" eb="3">
      <t>ギョウシャ</t>
    </rPh>
    <rPh sb="3" eb="4">
      <t>ライ</t>
    </rPh>
    <rPh sb="4" eb="5">
      <t>トコロ</t>
    </rPh>
    <rPh sb="5" eb="6">
      <t>ジ</t>
    </rPh>
    <rPh sb="6" eb="7">
      <t>ミドリ</t>
    </rPh>
    <rPh sb="7" eb="9">
      <t>ブブン</t>
    </rPh>
    <rPh sb="9" eb="11">
      <t>キニュウ</t>
    </rPh>
    <phoneticPr fontId="3"/>
  </si>
  <si>
    <t>最初に読んでください。</t>
    <rPh sb="0" eb="2">
      <t>サイショ</t>
    </rPh>
    <rPh sb="3" eb="4">
      <t>ヨ</t>
    </rPh>
    <phoneticPr fontId="3"/>
  </si>
  <si>
    <t>＊表紙の金額は千丸めの値を使っています。</t>
    <rPh sb="1" eb="3">
      <t>ヒョウシ</t>
    </rPh>
    <rPh sb="4" eb="6">
      <t>キンガク</t>
    </rPh>
    <rPh sb="7" eb="8">
      <t>センエン</t>
    </rPh>
    <rPh sb="8" eb="9">
      <t>マル</t>
    </rPh>
    <rPh sb="11" eb="12">
      <t>アタイ</t>
    </rPh>
    <rPh sb="13" eb="14">
      <t>ツカ</t>
    </rPh>
    <phoneticPr fontId="3"/>
  </si>
  <si>
    <t>＊最後に金額があっているか確認の事。</t>
    <rPh sb="1" eb="3">
      <t>サイゴ</t>
    </rPh>
    <rPh sb="4" eb="6">
      <t>キンガク</t>
    </rPh>
    <rPh sb="13" eb="15">
      <t>カクニン</t>
    </rPh>
    <rPh sb="16" eb="17">
      <t>コト</t>
    </rPh>
    <phoneticPr fontId="3"/>
  </si>
  <si>
    <t>＊明細書より</t>
    <rPh sb="1" eb="4">
      <t>メイサイショ</t>
    </rPh>
    <phoneticPr fontId="3"/>
  </si>
  <si>
    <t>小計</t>
    <rPh sb="0" eb="2">
      <t>ショウケイ</t>
    </rPh>
    <phoneticPr fontId="3"/>
  </si>
  <si>
    <t>消費税及び地方消費税相当額</t>
    <rPh sb="0" eb="3">
      <t>ショウヒゼイ</t>
    </rPh>
    <rPh sb="3" eb="4">
      <t>オヨ</t>
    </rPh>
    <rPh sb="5" eb="7">
      <t>チホウ</t>
    </rPh>
    <rPh sb="7" eb="9">
      <t>ショウヒ</t>
    </rPh>
    <rPh sb="9" eb="10">
      <t>ゼイ</t>
    </rPh>
    <rPh sb="10" eb="12">
      <t>ソウトウ</t>
    </rPh>
    <rPh sb="12" eb="13">
      <t>ガク</t>
    </rPh>
    <phoneticPr fontId="3"/>
  </si>
  <si>
    <t>計</t>
    <rPh sb="0" eb="1">
      <t>ケイ</t>
    </rPh>
    <phoneticPr fontId="3"/>
  </si>
  <si>
    <t>小計</t>
    <rPh sb="0" eb="1">
      <t>ショウ</t>
    </rPh>
    <rPh sb="1" eb="2">
      <t>ケイ</t>
    </rPh>
    <phoneticPr fontId="3"/>
  </si>
  <si>
    <t>合計</t>
    <rPh sb="0" eb="2">
      <t>ゴウケイ</t>
    </rPh>
    <phoneticPr fontId="3"/>
  </si>
  <si>
    <t>工事計</t>
    <rPh sb="0" eb="2">
      <t>コウジ</t>
    </rPh>
    <rPh sb="2" eb="3">
      <t>ケイ</t>
    </rPh>
    <phoneticPr fontId="3"/>
  </si>
  <si>
    <t>税計</t>
    <rPh sb="0" eb="1">
      <t>ゼイ</t>
    </rPh>
    <rPh sb="1" eb="2">
      <t>ケイ</t>
    </rPh>
    <phoneticPr fontId="3"/>
  </si>
  <si>
    <t>（うち消費税及び地方消費税相当額）</t>
    <rPh sb="3" eb="6">
      <t>ショウヒゼイ</t>
    </rPh>
    <rPh sb="6" eb="7">
      <t>オヨ</t>
    </rPh>
    <rPh sb="8" eb="10">
      <t>チホウ</t>
    </rPh>
    <rPh sb="10" eb="13">
      <t>ショウヒゼイ</t>
    </rPh>
    <rPh sb="13" eb="15">
      <t>ソウトウ</t>
    </rPh>
    <rPh sb="15" eb="16">
      <t>ガク</t>
    </rPh>
    <phoneticPr fontId="3"/>
  </si>
  <si>
    <t>消費税及び地方消費税相当額</t>
    <rPh sb="0" eb="3">
      <t>ショウヒゼイ</t>
    </rPh>
    <rPh sb="3" eb="4">
      <t>オヨ</t>
    </rPh>
    <rPh sb="5" eb="7">
      <t>チホウ</t>
    </rPh>
    <rPh sb="7" eb="10">
      <t>ショウヒゼイ</t>
    </rPh>
    <rPh sb="10" eb="12">
      <t>ソウトウ</t>
    </rPh>
    <rPh sb="12" eb="13">
      <t>ガク</t>
    </rPh>
    <phoneticPr fontId="3"/>
  </si>
  <si>
    <t>（内訳）</t>
    <rPh sb="1" eb="3">
      <t>ウチワケ</t>
    </rPh>
    <phoneticPr fontId="3"/>
  </si>
  <si>
    <t>摘要</t>
    <rPh sb="0" eb="2">
      <t>テキヨウ</t>
    </rPh>
    <phoneticPr fontId="3"/>
  </si>
  <si>
    <t>※上記数値１は増変更・各項目増額、２は増変更・一部項目減額、３は減変更・各項目減額、４は減変更・一部項目増額を示す。</t>
    <rPh sb="1" eb="3">
      <t>ジョウキ</t>
    </rPh>
    <rPh sb="3" eb="5">
      <t>スウチ</t>
    </rPh>
    <rPh sb="7" eb="8">
      <t>ゾウ</t>
    </rPh>
    <rPh sb="8" eb="10">
      <t>ヘンコウ</t>
    </rPh>
    <rPh sb="11" eb="14">
      <t>カクコウモク</t>
    </rPh>
    <rPh sb="14" eb="16">
      <t>ゾウガク</t>
    </rPh>
    <rPh sb="19" eb="20">
      <t>ゾウ</t>
    </rPh>
    <rPh sb="20" eb="22">
      <t>ヘンコウ</t>
    </rPh>
    <rPh sb="23" eb="25">
      <t>イチブ</t>
    </rPh>
    <rPh sb="25" eb="27">
      <t>コウモク</t>
    </rPh>
    <rPh sb="27" eb="29">
      <t>ゲンガク</t>
    </rPh>
    <phoneticPr fontId="3"/>
  </si>
  <si>
    <t>＊行を増やす際には注意が必要です。</t>
    <rPh sb="1" eb="2">
      <t>ギョウ</t>
    </rPh>
    <rPh sb="3" eb="4">
      <t>フ</t>
    </rPh>
    <rPh sb="6" eb="7">
      <t>サイ</t>
    </rPh>
    <rPh sb="9" eb="11">
      <t>チュウイ</t>
    </rPh>
    <rPh sb="12" eb="14">
      <t>ヒツヨウ</t>
    </rPh>
    <phoneticPr fontId="3"/>
  </si>
  <si>
    <t>…</t>
    <phoneticPr fontId="3"/>
  </si>
  <si>
    <t>差額（予定-決定）</t>
    <rPh sb="0" eb="2">
      <t>サガク</t>
    </rPh>
    <rPh sb="3" eb="5">
      <t>ヨテイ</t>
    </rPh>
    <rPh sb="6" eb="8">
      <t>ケッテイ</t>
    </rPh>
    <phoneticPr fontId="3"/>
  </si>
  <si>
    <t>↑増額のみ合計（税抜）</t>
    <phoneticPr fontId="3"/>
  </si>
  <si>
    <t>差額対象順位→</t>
    <rPh sb="0" eb="2">
      <t>サガク</t>
    </rPh>
    <rPh sb="2" eb="4">
      <t>タイショウ</t>
    </rPh>
    <rPh sb="4" eb="6">
      <t>ジュンイ</t>
    </rPh>
    <phoneticPr fontId="3"/>
  </si>
  <si>
    <t>査定金額</t>
  </si>
  <si>
    <t>千丸め</t>
  </si>
  <si>
    <t>万丸め</t>
  </si>
  <si>
    <t>差引増減金額①</t>
    <rPh sb="0" eb="2">
      <t>サシヒ</t>
    </rPh>
    <rPh sb="2" eb="3">
      <t>ゾウ</t>
    </rPh>
    <rPh sb="3" eb="4">
      <t>ゲン</t>
    </rPh>
    <rPh sb="4" eb="6">
      <t>キンガク</t>
    </rPh>
    <phoneticPr fontId="3"/>
  </si>
  <si>
    <t>査定率②</t>
    <rPh sb="0" eb="3">
      <t>サテイリツ</t>
    </rPh>
    <phoneticPr fontId="3"/>
  </si>
  <si>
    <t>査定対象金額③→</t>
    <rPh sb="0" eb="2">
      <t>サテイ</t>
    </rPh>
    <rPh sb="2" eb="4">
      <t>タイショウ</t>
    </rPh>
    <rPh sb="4" eb="6">
      <t>キンガク</t>
    </rPh>
    <phoneticPr fontId="3"/>
  </si>
  <si>
    <t>査定金額A（四捨五入）</t>
    <rPh sb="0" eb="2">
      <t>サテイ</t>
    </rPh>
    <rPh sb="2" eb="4">
      <t>キンガク</t>
    </rPh>
    <rPh sb="6" eb="10">
      <t>シシャゴニュウ</t>
    </rPh>
    <phoneticPr fontId="3"/>
  </si>
  <si>
    <t>査定金額B（端数調整）</t>
    <rPh sb="0" eb="2">
      <t>サテイ</t>
    </rPh>
    <rPh sb="2" eb="4">
      <t>キンガク</t>
    </rPh>
    <rPh sb="6" eb="8">
      <t>ハスウ</t>
    </rPh>
    <rPh sb="8" eb="10">
      <t>チョウセイ</t>
    </rPh>
    <phoneticPr fontId="3"/>
  </si>
  <si>
    <t>①－（②×③）</t>
    <phoneticPr fontId="3"/>
  </si>
  <si>
    <t>※査定金額A＋端数金額を査定金額Bとする。</t>
    <rPh sb="1" eb="3">
      <t>サテイ</t>
    </rPh>
    <rPh sb="3" eb="5">
      <t>キンガク</t>
    </rPh>
    <rPh sb="7" eb="9">
      <t>ハスウ</t>
    </rPh>
    <rPh sb="9" eb="11">
      <t>キンガク</t>
    </rPh>
    <rPh sb="12" eb="14">
      <t>サテイ</t>
    </rPh>
    <rPh sb="14" eb="16">
      <t>キンガク</t>
    </rPh>
    <phoneticPr fontId="3"/>
  </si>
  <si>
    <t>端数調整金額</t>
  </si>
  <si>
    <t>対象項目数→</t>
    <rPh sb="0" eb="2">
      <t>タイショウ</t>
    </rPh>
    <rPh sb="2" eb="5">
      <t>コウモクスウ</t>
    </rPh>
    <phoneticPr fontId="3"/>
  </si>
  <si>
    <t>チェック→</t>
    <phoneticPr fontId="3"/>
  </si>
  <si>
    <t>※査定率算出の対象は増額変更の増額項目・減額変更の減額項目とする。</t>
    <rPh sb="1" eb="3">
      <t>サテイ</t>
    </rPh>
    <rPh sb="3" eb="4">
      <t>リツ</t>
    </rPh>
    <rPh sb="4" eb="6">
      <t>サンシュツ</t>
    </rPh>
    <rPh sb="7" eb="9">
      <t>タイショウ</t>
    </rPh>
    <rPh sb="10" eb="11">
      <t>ゾウ</t>
    </rPh>
    <rPh sb="11" eb="12">
      <t>ガク</t>
    </rPh>
    <rPh sb="12" eb="14">
      <t>ヘンコウ</t>
    </rPh>
    <rPh sb="15" eb="17">
      <t>ゾウガク</t>
    </rPh>
    <rPh sb="17" eb="19">
      <t>コウモク</t>
    </rPh>
    <rPh sb="20" eb="22">
      <t>ゲンガク</t>
    </rPh>
    <rPh sb="22" eb="24">
      <t>ヘンコウ</t>
    </rPh>
    <rPh sb="25" eb="27">
      <t>ゲンガク</t>
    </rPh>
    <rPh sb="27" eb="29">
      <t>コウモク</t>
    </rPh>
    <phoneticPr fontId="3"/>
  </si>
  <si>
    <t>調整対象①</t>
    <rPh sb="0" eb="2">
      <t>チョウセイ</t>
    </rPh>
    <rPh sb="2" eb="4">
      <t>タイショウ</t>
    </rPh>
    <phoneticPr fontId="3"/>
  </si>
  <si>
    <t>調整対象②</t>
    <rPh sb="0" eb="2">
      <t>チョウセイ</t>
    </rPh>
    <rPh sb="2" eb="4">
      <t>タイショウ</t>
    </rPh>
    <phoneticPr fontId="3"/>
  </si>
  <si>
    <t>ﾗﾝｸ</t>
    <phoneticPr fontId="3"/>
  </si>
  <si>
    <t>↑査定対象金額</t>
    <rPh sb="1" eb="3">
      <t>サテイ</t>
    </rPh>
    <rPh sb="3" eb="5">
      <t>タイショウ</t>
    </rPh>
    <rPh sb="5" eb="7">
      <t>キンガク</t>
    </rPh>
    <phoneticPr fontId="3"/>
  </si>
  <si>
    <t>支払限度額比率</t>
    <rPh sb="0" eb="2">
      <t>シハライ</t>
    </rPh>
    <rPh sb="2" eb="4">
      <t>ゲンド</t>
    </rPh>
    <rPh sb="4" eb="5">
      <t>ガク</t>
    </rPh>
    <rPh sb="5" eb="7">
      <t>ヒリツ</t>
    </rPh>
    <phoneticPr fontId="3"/>
  </si>
  <si>
    <t>平成２６年度</t>
    <rPh sb="0" eb="2">
      <t>ヘイセイ</t>
    </rPh>
    <rPh sb="4" eb="5">
      <t>ネン</t>
    </rPh>
    <rPh sb="5" eb="6">
      <t>ド</t>
    </rPh>
    <phoneticPr fontId="3"/>
  </si>
  <si>
    <t>平成２７年度</t>
    <rPh sb="0" eb="2">
      <t>ヘイセイ</t>
    </rPh>
    <rPh sb="4" eb="5">
      <t>ネン</t>
    </rPh>
    <rPh sb="5" eb="6">
      <t>ド</t>
    </rPh>
    <phoneticPr fontId="3"/>
  </si>
  <si>
    <t>出来高予定額比率</t>
    <rPh sb="0" eb="3">
      <t>デキダカ</t>
    </rPh>
    <rPh sb="3" eb="5">
      <t>ヨテイ</t>
    </rPh>
    <rPh sb="5" eb="6">
      <t>ガク</t>
    </rPh>
    <rPh sb="6" eb="8">
      <t>ヒリツ</t>
    </rPh>
    <phoneticPr fontId="3"/>
  </si>
  <si>
    <t>支払限度額</t>
    <rPh sb="0" eb="2">
      <t>シハライ</t>
    </rPh>
    <rPh sb="2" eb="4">
      <t>ゲンド</t>
    </rPh>
    <rPh sb="4" eb="5">
      <t>ガク</t>
    </rPh>
    <phoneticPr fontId="3"/>
  </si>
  <si>
    <t>出来高予定額</t>
    <rPh sb="0" eb="3">
      <t>デキダカ</t>
    </rPh>
    <rPh sb="3" eb="5">
      <t>ヨテイ</t>
    </rPh>
    <rPh sb="5" eb="6">
      <t>ガク</t>
    </rPh>
    <phoneticPr fontId="3"/>
  </si>
  <si>
    <t>工　事　名　称</t>
    <rPh sb="0" eb="1">
      <t>コウ</t>
    </rPh>
    <rPh sb="2" eb="3">
      <t>コト</t>
    </rPh>
    <rPh sb="4" eb="5">
      <t>ナ</t>
    </rPh>
    <rPh sb="6" eb="7">
      <t>ショウ</t>
    </rPh>
    <phoneticPr fontId="3"/>
  </si>
  <si>
    <t>「債務負担行為に基づく契約における特約条項」</t>
    <rPh sb="1" eb="3">
      <t>サイム</t>
    </rPh>
    <rPh sb="3" eb="5">
      <t>フタン</t>
    </rPh>
    <rPh sb="5" eb="7">
      <t>コウイ</t>
    </rPh>
    <rPh sb="8" eb="9">
      <t>モト</t>
    </rPh>
    <rPh sb="11" eb="13">
      <t>ケイヤク</t>
    </rPh>
    <rPh sb="17" eb="19">
      <t>トクヤク</t>
    </rPh>
    <rPh sb="19" eb="21">
      <t>ジョウコウ</t>
    </rPh>
    <phoneticPr fontId="3"/>
  </si>
  <si>
    <t>（支払限度額及び出来高予定額）</t>
    <phoneticPr fontId="3"/>
  </si>
  <si>
    <t>第１条　各会計年度における請負代金の支払いの限度額（以下「支払限度額」という｡) は、次のとおりとする。</t>
    <phoneticPr fontId="3"/>
  </si>
  <si>
    <t>　 ただし、当該会計年度の前年度における支払未済額（前会計年度における支払限度額から前会計年度におけ</t>
    <phoneticPr fontId="3"/>
  </si>
  <si>
    <t>　 る支払額を控除した額をいう。）は、当該会計年度における支払限度額に加算するものとする。</t>
    <phoneticPr fontId="3"/>
  </si>
  <si>
    <t>円</t>
    <rPh sb="0" eb="1">
      <t>エン</t>
    </rPh>
    <phoneticPr fontId="3"/>
  </si>
  <si>
    <t>２　支払限度額に対応する各会計年度の出来高予定額は、次のとおりである。</t>
    <phoneticPr fontId="3"/>
  </si>
  <si>
    <t>３　発注者は、予算上の都合その他の必要があるときは、第１項の支払限度額及び前項の出来高予定額を変更</t>
    <phoneticPr fontId="3"/>
  </si>
  <si>
    <t>　することができる。</t>
    <phoneticPr fontId="3"/>
  </si>
  <si>
    <t>（前金払の特則）</t>
    <rPh sb="1" eb="3">
      <t>マエキン</t>
    </rPh>
    <rPh sb="3" eb="4">
      <t>バラ</t>
    </rPh>
    <rPh sb="5" eb="7">
      <t>トクソク</t>
    </rPh>
    <phoneticPr fontId="3"/>
  </si>
  <si>
    <t>第２条　この契約に基づく前払金については、第35条第１項中「契約書記載の工事完成の時期」とあるのは「契</t>
    <phoneticPr fontId="3"/>
  </si>
  <si>
    <t>　約書記載の工事完成の時期（最終の会計年度以外の会計年度にあっては、各会計年度末）｣と、同条第５項中</t>
    <phoneticPr fontId="3"/>
  </si>
  <si>
    <t>　「その増加した額」とあるのは、「その増加した額のうち当該会計年度に係る部分の増加額」と、同条第６項</t>
    <phoneticPr fontId="3"/>
  </si>
  <si>
    <t>　中「その減少した額」とあるのは、「その減少した額のうち当該会計年度に係る部分の減少額」と読み替えて、</t>
    <phoneticPr fontId="3"/>
  </si>
  <si>
    <t>　この規定を準用する。ただし、この契約を締結した会計年度（以下「契約会計年度」という｡)以外の会計年</t>
    <phoneticPr fontId="3"/>
  </si>
  <si>
    <t>　度においては、受注者は、予算の執行が可能となる時期以前に前払金の支払いを請求することはできない。</t>
    <phoneticPr fontId="3"/>
  </si>
  <si>
    <t>２　受注者は、契約会計年度の翌年度以降に当該年度の当初前払金を請求しようとするときは、あらかじめ、</t>
    <phoneticPr fontId="3"/>
  </si>
  <si>
    <t>　前会計年度末における出来高に相応する請負代金額が前会計年度までの出来高予定額に到達していることに</t>
    <phoneticPr fontId="3"/>
  </si>
  <si>
    <t>　ついて発注者の認定を受けなければならない。この場合において、発注者は、受注者の請求があったときは、</t>
    <phoneticPr fontId="3"/>
  </si>
  <si>
    <t>　直ちに認定を行い、当該認定の結果を受注者に通知しなければならない。</t>
    <phoneticPr fontId="3"/>
  </si>
  <si>
    <t>３　前項の規定は、受注者が、前年度末における当該工事の部分払の請求のための既済部分に係わる検査によ</t>
    <phoneticPr fontId="3"/>
  </si>
  <si>
    <t>　り当該工事が前会計年度までの出来高予定額に達していることについて確認できる場合はこれを適用しない。</t>
    <phoneticPr fontId="3"/>
  </si>
  <si>
    <t>４　第１項の場合において、前会計年度末における出来高に相応する請負代金額が前会計年度までの出来高予</t>
    <phoneticPr fontId="3"/>
  </si>
  <si>
    <t>　定額に達しないときには、その額が当該出来高予定額に達するまで前払金及び中間前払金の保証期限を延長</t>
    <phoneticPr fontId="3"/>
  </si>
  <si>
    <t>するものとする。この場合においては、第36条第３項の規定を準用する。</t>
    <phoneticPr fontId="3"/>
  </si>
  <si>
    <t>（部分払の特則）</t>
    <phoneticPr fontId="3"/>
  </si>
  <si>
    <t>第３条　前会計年度末における出来高金額が前会計年度までの出来高予定額を超えた場合においては、受注者</t>
    <phoneticPr fontId="3"/>
  </si>
  <si>
    <t>　は、当該会計年度の当初に当該超過額（以下「出来高超過額」という｡)について部分払を請求することがで</t>
    <phoneticPr fontId="3"/>
  </si>
  <si>
    <t>　きる。この場合における部分払金の額は、第39条第６項及び第７項の規定にかかわらず、次の式により算定</t>
    <phoneticPr fontId="3"/>
  </si>
  <si>
    <t>　する。ただし、契約会計年度以外の会計年度においては、受注者は、予算の執行が可能となる時期以前に部</t>
    <phoneticPr fontId="3"/>
  </si>
  <si>
    <t>　分払の支払いを請求することはできない。</t>
    <phoneticPr fontId="3"/>
  </si>
  <si>
    <t>　　部分払金の額≦ 出来高超過額　×　９／10</t>
    <phoneticPr fontId="3"/>
  </si>
  <si>
    <t>２　前項の規定により、会計年度の当初に出来高超過額について部分払したときは、当該会計年度の前払金は、</t>
    <phoneticPr fontId="3"/>
  </si>
  <si>
    <t>　当該会計年度の出来高予定額から当該超過額を控除した額に対して算定するものとする。</t>
    <phoneticPr fontId="3"/>
  </si>
  <si>
    <t>３　この契約において、前払金の支払を受けている場合の部分払金の額については、第39条第６項及び第７項</t>
    <phoneticPr fontId="3"/>
  </si>
  <si>
    <t>　の規定にかかわらず、次の式により算定する。</t>
    <phoneticPr fontId="3"/>
  </si>
  <si>
    <t>　部分払金の額≦ 出来高金額×９／10－（前会計年度までの支払金額＋当該会計年度の部分払金額）－｛出</t>
    <phoneticPr fontId="3"/>
  </si>
  <si>
    <t>　来高金額－（前会計年度までの出来高予定額＋出来高超過額）｝×当該会計年度前払金額／（当該会計年</t>
    <phoneticPr fontId="3"/>
  </si>
  <si>
    <t>　度の出来高予定額－出来高超過額）</t>
    <phoneticPr fontId="3"/>
  </si>
  <si>
    <t>金額</t>
    <rPh sb="0" eb="2">
      <t>キンガク</t>
    </rPh>
    <phoneticPr fontId="3"/>
  </si>
  <si>
    <t>今回設計変更金額</t>
    <rPh sb="0" eb="2">
      <t>コンカイ</t>
    </rPh>
    <rPh sb="2" eb="4">
      <t>セッケイ</t>
    </rPh>
    <rPh sb="4" eb="6">
      <t>ヘンコウ</t>
    </rPh>
    <rPh sb="6" eb="8">
      <t>キンガク</t>
    </rPh>
    <phoneticPr fontId="3"/>
  </si>
  <si>
    <t>設計書番号</t>
    <rPh sb="0" eb="2">
      <t>セッケイ</t>
    </rPh>
    <rPh sb="2" eb="3">
      <t>ショ</t>
    </rPh>
    <rPh sb="3" eb="5">
      <t>バンゴウ</t>
    </rPh>
    <phoneticPr fontId="3"/>
  </si>
  <si>
    <t>変更査定受付日</t>
    <rPh sb="0" eb="2">
      <t>ヘンコウ</t>
    </rPh>
    <rPh sb="2" eb="4">
      <t>サテイ</t>
    </rPh>
    <rPh sb="4" eb="6">
      <t>ウケツケ</t>
    </rPh>
    <rPh sb="6" eb="7">
      <t>ヒ</t>
    </rPh>
    <phoneticPr fontId="3"/>
  </si>
  <si>
    <t>契約書提出日</t>
    <rPh sb="0" eb="2">
      <t>ケイヤク</t>
    </rPh>
    <rPh sb="2" eb="3">
      <t>ショ</t>
    </rPh>
    <rPh sb="3" eb="5">
      <t>テイシュツ</t>
    </rPh>
    <rPh sb="5" eb="6">
      <t>ヒ</t>
    </rPh>
    <phoneticPr fontId="3"/>
  </si>
  <si>
    <t>変更契約日</t>
    <rPh sb="0" eb="2">
      <t>ヘンコウ</t>
    </rPh>
    <rPh sb="2" eb="4">
      <t>ケイヤク</t>
    </rPh>
    <rPh sb="4" eb="5">
      <t>ヒ</t>
    </rPh>
    <phoneticPr fontId="3"/>
  </si>
  <si>
    <t>工事工期</t>
    <rPh sb="0" eb="2">
      <t>コウジ</t>
    </rPh>
    <rPh sb="2" eb="4">
      <t>コウキ</t>
    </rPh>
    <phoneticPr fontId="3"/>
  </si>
  <si>
    <t>工事リスト・工事台帳への入力</t>
    <rPh sb="0" eb="2">
      <t>コウジ</t>
    </rPh>
    <rPh sb="6" eb="8">
      <t>コウジ</t>
    </rPh>
    <rPh sb="8" eb="10">
      <t>ダイチョウ</t>
    </rPh>
    <rPh sb="12" eb="14">
      <t>ニュウリョク</t>
    </rPh>
    <phoneticPr fontId="3"/>
  </si>
  <si>
    <t>コメント欄</t>
    <rPh sb="4" eb="5">
      <t>ラン</t>
    </rPh>
    <phoneticPr fontId="3"/>
  </si>
  <si>
    <t>変更契約情報入力欄</t>
    <rPh sb="0" eb="2">
      <t>ヘンコウ</t>
    </rPh>
    <rPh sb="2" eb="4">
      <t>ケイヤク</t>
    </rPh>
    <rPh sb="4" eb="6">
      <t>ジョウホウ</t>
    </rPh>
    <rPh sb="6" eb="8">
      <t>ニュウリョク</t>
    </rPh>
    <rPh sb="8" eb="9">
      <t>ラン</t>
    </rPh>
    <phoneticPr fontId="3"/>
  </si>
  <si>
    <t>　○○工事</t>
    <rPh sb="3" eb="5">
      <t>コウジ</t>
    </rPh>
    <phoneticPr fontId="3"/>
  </si>
  <si>
    <t>（カ）</t>
    <phoneticPr fontId="3"/>
  </si>
  <si>
    <t>（キ）</t>
    <phoneticPr fontId="3"/>
  </si>
  <si>
    <t>（ク）</t>
    <phoneticPr fontId="3"/>
  </si>
  <si>
    <t>（ケ）</t>
    <phoneticPr fontId="3"/>
  </si>
  <si>
    <t>（コ）</t>
    <phoneticPr fontId="3"/>
  </si>
  <si>
    <t>（サ）</t>
    <phoneticPr fontId="3"/>
  </si>
  <si>
    <t>科目</t>
    <rPh sb="0" eb="2">
      <t>カモク</t>
    </rPh>
    <phoneticPr fontId="3"/>
  </si>
  <si>
    <t>契約金額</t>
    <rPh sb="0" eb="2">
      <t>ケイヤク</t>
    </rPh>
    <rPh sb="2" eb="4">
      <t>キンガク</t>
    </rPh>
    <phoneticPr fontId="3"/>
  </si>
  <si>
    <t>内容</t>
    <rPh sb="0" eb="2">
      <t>ナイヨウ</t>
    </rPh>
    <phoneticPr fontId="3"/>
  </si>
  <si>
    <t>合　計</t>
    <rPh sb="0" eb="1">
      <t>ア</t>
    </rPh>
    <rPh sb="2" eb="3">
      <t>ケイ</t>
    </rPh>
    <phoneticPr fontId="3"/>
  </si>
  <si>
    <t>支払限度額</t>
    <rPh sb="0" eb="2">
      <t>シハライ</t>
    </rPh>
    <rPh sb="2" eb="4">
      <t>ゲンド</t>
    </rPh>
    <rPh sb="4" eb="5">
      <t>ガク</t>
    </rPh>
    <phoneticPr fontId="3"/>
  </si>
  <si>
    <t>出来高予定額</t>
    <rPh sb="0" eb="3">
      <t>デキダカ</t>
    </rPh>
    <rPh sb="3" eb="5">
      <t>ヨテイ</t>
    </rPh>
    <rPh sb="5" eb="6">
      <t>ガク</t>
    </rPh>
    <phoneticPr fontId="3"/>
  </si>
  <si>
    <t>(債務負担行為に基づく特約条項の書面に記載する金額）</t>
    <rPh sb="1" eb="3">
      <t>サイム</t>
    </rPh>
    <rPh sb="3" eb="5">
      <t>フタン</t>
    </rPh>
    <rPh sb="5" eb="7">
      <t>コウイ</t>
    </rPh>
    <rPh sb="8" eb="9">
      <t>モト</t>
    </rPh>
    <rPh sb="11" eb="13">
      <t>トクヤク</t>
    </rPh>
    <rPh sb="13" eb="15">
      <t>ジョウコウ</t>
    </rPh>
    <rPh sb="16" eb="18">
      <t>ショメン</t>
    </rPh>
    <rPh sb="19" eb="21">
      <t>キサイ</t>
    </rPh>
    <rPh sb="23" eb="25">
      <t>キンガク</t>
    </rPh>
    <phoneticPr fontId="3"/>
  </si>
  <si>
    <t>2018年度</t>
    <rPh sb="4" eb="6">
      <t>ネンド</t>
    </rPh>
    <phoneticPr fontId="3"/>
  </si>
  <si>
    <t>2019年度</t>
    <rPh sb="4" eb="5">
      <t>ネン</t>
    </rPh>
    <rPh sb="5" eb="6">
      <t>ド</t>
    </rPh>
    <phoneticPr fontId="3"/>
  </si>
  <si>
    <t>2018年度</t>
    <rPh sb="4" eb="5">
      <t>ネン</t>
    </rPh>
    <rPh sb="5" eb="6">
      <t>ド</t>
    </rPh>
    <phoneticPr fontId="3"/>
  </si>
  <si>
    <t>2019年度</t>
    <rPh sb="4" eb="6">
      <t>ネンド</t>
    </rPh>
    <phoneticPr fontId="3"/>
  </si>
  <si>
    <t>債務負担行為に基づく特約条項書面　金額算出表</t>
  </si>
  <si>
    <t>基本設計の部</t>
    <rPh sb="0" eb="2">
      <t>キホン</t>
    </rPh>
    <rPh sb="2" eb="4">
      <t>セッケイ</t>
    </rPh>
    <rPh sb="5" eb="6">
      <t>ブ</t>
    </rPh>
    <phoneticPr fontId="3"/>
  </si>
  <si>
    <t>4号線谷町四丁目駅</t>
    <rPh sb="1" eb="8">
      <t>ゴウセンタニマチヨンチョウメ</t>
    </rPh>
    <rPh sb="8" eb="9">
      <t>エキ</t>
    </rPh>
    <phoneticPr fontId="3"/>
  </si>
  <si>
    <t>4号線森ノ宮駅</t>
    <rPh sb="1" eb="3">
      <t>ゴウセン</t>
    </rPh>
    <rPh sb="3" eb="4">
      <t>モリ</t>
    </rPh>
    <rPh sb="5" eb="7">
      <t>ミヤエキ</t>
    </rPh>
    <phoneticPr fontId="3"/>
  </si>
  <si>
    <t>設計企画の部</t>
    <rPh sb="0" eb="2">
      <t>セッケイ</t>
    </rPh>
    <rPh sb="2" eb="4">
      <t>キカク</t>
    </rPh>
    <rPh sb="5" eb="6">
      <t>ブ</t>
    </rPh>
    <phoneticPr fontId="1"/>
  </si>
  <si>
    <t>1号線本町駅</t>
    <rPh sb="1" eb="3">
      <t>ゴウセン</t>
    </rPh>
    <rPh sb="3" eb="5">
      <t>ホンマチ</t>
    </rPh>
    <rPh sb="5" eb="6">
      <t>エキ</t>
    </rPh>
    <phoneticPr fontId="1"/>
  </si>
  <si>
    <t>4号線本町駅</t>
    <rPh sb="1" eb="3">
      <t>ゴウセン</t>
    </rPh>
    <rPh sb="3" eb="5">
      <t>ホンマチ</t>
    </rPh>
    <rPh sb="5" eb="6">
      <t>エキ</t>
    </rPh>
    <phoneticPr fontId="1"/>
  </si>
  <si>
    <t>設計監修の部（その１）</t>
    <rPh sb="0" eb="2">
      <t>セッケイ</t>
    </rPh>
    <rPh sb="2" eb="4">
      <t>カンシュウ</t>
    </rPh>
    <rPh sb="5" eb="6">
      <t>ブ</t>
    </rPh>
    <phoneticPr fontId="1"/>
  </si>
  <si>
    <t>淀屋橋駅</t>
    <rPh sb="0" eb="4">
      <t>ヨドヤバシエキ</t>
    </rPh>
    <phoneticPr fontId="1"/>
  </si>
  <si>
    <t>1号線天王寺駅</t>
    <rPh sb="1" eb="3">
      <t>ゴウセン</t>
    </rPh>
    <rPh sb="3" eb="7">
      <t>テンノウジエキ</t>
    </rPh>
    <phoneticPr fontId="1"/>
  </si>
  <si>
    <t>設計監修の部（その２）</t>
    <rPh sb="0" eb="2">
      <t>セッケイ</t>
    </rPh>
    <rPh sb="2" eb="4">
      <t>カンシュウ</t>
    </rPh>
    <rPh sb="5" eb="6">
      <t>ブ</t>
    </rPh>
    <phoneticPr fontId="1"/>
  </si>
  <si>
    <t>4号線谷町四丁目駅</t>
    <rPh sb="1" eb="8">
      <t>ゴウセンタニマチヨンチョウメ</t>
    </rPh>
    <rPh sb="8" eb="9">
      <t>エキ</t>
    </rPh>
    <phoneticPr fontId="1"/>
  </si>
  <si>
    <t>4号線森ノ宮駅</t>
    <rPh sb="1" eb="3">
      <t>ゴウセン</t>
    </rPh>
    <rPh sb="3" eb="4">
      <t>モリ</t>
    </rPh>
    <rPh sb="5" eb="6">
      <t>ミヤ</t>
    </rPh>
    <rPh sb="6" eb="7">
      <t>エキ</t>
    </rPh>
    <phoneticPr fontId="1"/>
  </si>
  <si>
    <t>設計監修の部（その３）</t>
    <rPh sb="0" eb="2">
      <t>セッケイ</t>
    </rPh>
    <rPh sb="2" eb="4">
      <t>カンシュウ</t>
    </rPh>
    <rPh sb="5" eb="6">
      <t>ブ</t>
    </rPh>
    <phoneticPr fontId="1"/>
  </si>
  <si>
    <t>3号線本町駅</t>
    <rPh sb="1" eb="3">
      <t>ゴウセン</t>
    </rPh>
    <rPh sb="3" eb="5">
      <t>ホンマチ</t>
    </rPh>
    <rPh sb="5" eb="6">
      <t>エキ</t>
    </rPh>
    <phoneticPr fontId="1"/>
  </si>
  <si>
    <t>地下空間の大規模改革に伴う基本設計その他業務委託（4号線谷町四丁目外5駅の部）</t>
    <rPh sb="0" eb="2">
      <t>チカ</t>
    </rPh>
    <rPh sb="2" eb="4">
      <t>クウカン</t>
    </rPh>
    <rPh sb="5" eb="8">
      <t>ダイキボ</t>
    </rPh>
    <rPh sb="8" eb="10">
      <t>カイカク</t>
    </rPh>
    <rPh sb="11" eb="12">
      <t>トモナ</t>
    </rPh>
    <rPh sb="13" eb="15">
      <t>キホン</t>
    </rPh>
    <rPh sb="15" eb="17">
      <t>セッケイ</t>
    </rPh>
    <rPh sb="19" eb="20">
      <t>タ</t>
    </rPh>
    <rPh sb="20" eb="22">
      <t>ギョウム</t>
    </rPh>
    <rPh sb="22" eb="24">
      <t>イタク</t>
    </rPh>
    <rPh sb="26" eb="28">
      <t>ゴウセン</t>
    </rPh>
    <rPh sb="28" eb="33">
      <t>タニマチヨンチョウメ</t>
    </rPh>
    <rPh sb="33" eb="34">
      <t>ガイ</t>
    </rPh>
    <rPh sb="35" eb="36">
      <t>エキ</t>
    </rPh>
    <rPh sb="37" eb="38">
      <t>ブ</t>
    </rPh>
    <phoneticPr fontId="3"/>
  </si>
  <si>
    <t>名称</t>
  </si>
  <si>
    <t>１．名称</t>
  </si>
  <si>
    <t>＊水色は名称等を記入！！</t>
    <rPh sb="1" eb="3">
      <t>ミズイロ</t>
    </rPh>
    <rPh sb="6" eb="7">
      <t>トウ</t>
    </rPh>
    <rPh sb="8" eb="10">
      <t>キニュウ</t>
    </rPh>
    <phoneticPr fontId="3"/>
  </si>
  <si>
    <t>今回変更業務委託金額（税抜き）</t>
    <rPh sb="0" eb="2">
      <t>コンカイ</t>
    </rPh>
    <rPh sb="2" eb="4">
      <t>ヘンコウ</t>
    </rPh>
    <rPh sb="11" eb="12">
      <t>ゼイ</t>
    </rPh>
    <rPh sb="12" eb="13">
      <t>ヌ</t>
    </rPh>
    <phoneticPr fontId="3"/>
  </si>
  <si>
    <t>２．業務委託料</t>
  </si>
  <si>
    <t>３．今回設計変更業務委託料</t>
    <rPh sb="2" eb="4">
      <t>コンカイ</t>
    </rPh>
    <rPh sb="4" eb="6">
      <t>セッケイ</t>
    </rPh>
    <rPh sb="6" eb="8">
      <t>ヘンコウ</t>
    </rPh>
    <phoneticPr fontId="3"/>
  </si>
  <si>
    <t>業務委託料内訳</t>
    <rPh sb="5" eb="7">
      <t>ウチワケ</t>
    </rPh>
    <phoneticPr fontId="3"/>
  </si>
  <si>
    <t>2021-1024</t>
    <phoneticPr fontId="3"/>
  </si>
  <si>
    <t>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</si>
</sst>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Red]&quot;¥&quot;\-#,##0"/>
    <numFmt numFmtId="176" formatCode="0.0000"/>
    <numFmt numFmtId="177" formatCode="yy/m/d"/>
    <numFmt numFmtId="178" formatCode="B2d\-mmm"/>
    <numFmt numFmtId="179" formatCode="0.0%"/>
    <numFmt numFmtId="180" formatCode="0.0000%"/>
    <numFmt numFmtId="181" formatCode="#,##0;&quot;△ &quot;#,##0"/>
    <numFmt numFmtId="182" formatCode="[$-411]ggge&quot;年&quot;m&quot;月&quot;d&quot;日&quot;;@"/>
    <numFmt numFmtId="183" formatCode="[$-F800]dddd\,\ mmmm\ dd\,\ yyyy"/>
    <numFmt numFmtId="184" formatCode="&quot;¥&quot;#,##0\-;[Red]&quot;¥&quot;\△#,##0\-"/>
  </numFmts>
  <fonts count="28" x14ac:knownFonts="1">
    <font>
      <sz val="11"/>
      <name val="ＭＳ Ｐゴシック"/>
      <family val="3"/>
      <charset val="128"/>
    </font>
    <font>
      <sz val="11"/>
      <color theme="1"/>
      <name val="ＭＳ Ｐゴシック"/>
      <family val="2"/>
      <charset val="128"/>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12"/>
      <color indexed="10"/>
      <name val="ＭＳ Ｐゴシック"/>
      <family val="3"/>
      <charset val="128"/>
    </font>
    <font>
      <sz val="9"/>
      <name val="ＭＳ Ｐゴシック"/>
      <family val="3"/>
      <charset val="128"/>
    </font>
    <font>
      <b/>
      <sz val="10"/>
      <name val="ＭＳ Ｐゴシック"/>
      <family val="3"/>
      <charset val="128"/>
    </font>
    <font>
      <b/>
      <sz val="12"/>
      <name val="ＭＳ 明朝"/>
      <family val="1"/>
      <charset val="128"/>
    </font>
    <font>
      <b/>
      <sz val="14"/>
      <name val="ＭＳ Ｐゴシック"/>
      <family val="3"/>
      <charset val="128"/>
    </font>
    <font>
      <sz val="9"/>
      <color indexed="81"/>
      <name val="ＭＳ Ｐゴシック"/>
      <family val="3"/>
      <charset val="128"/>
    </font>
    <font>
      <b/>
      <sz val="10"/>
      <color indexed="10"/>
      <name val="ＭＳ Ｐゴシック"/>
      <family val="3"/>
      <charset val="128"/>
    </font>
    <font>
      <sz val="12"/>
      <name val="ＭＳ Ｐゴシック"/>
      <family val="3"/>
      <charset val="128"/>
    </font>
    <font>
      <sz val="10"/>
      <color indexed="48"/>
      <name val="ＭＳ Ｐゴシック"/>
      <family val="3"/>
      <charset val="128"/>
    </font>
    <font>
      <sz val="11"/>
      <name val="ＭＳ Ｐゴシック"/>
      <family val="3"/>
      <charset val="128"/>
    </font>
    <font>
      <sz val="10.5"/>
      <name val="ＭＳ Ｐゴシック"/>
      <family val="3"/>
      <charset val="128"/>
    </font>
    <font>
      <b/>
      <sz val="10.5"/>
      <name val="ＭＳ Ｐゴシック"/>
      <family val="3"/>
      <charset val="128"/>
    </font>
    <font>
      <sz val="10.5"/>
      <name val="ＭＳ 明朝"/>
      <family val="1"/>
      <charset val="128"/>
    </font>
    <font>
      <sz val="10.5"/>
      <name val="ＭＳ Ｐ明朝"/>
      <family val="1"/>
      <charset val="128"/>
    </font>
    <font>
      <b/>
      <u/>
      <sz val="14"/>
      <name val="ＭＳ Ｐゴシック"/>
      <family val="3"/>
      <charset val="128"/>
    </font>
    <font>
      <sz val="9"/>
      <name val="ＭＳ 明朝"/>
      <family val="1"/>
      <charset val="128"/>
    </font>
    <font>
      <b/>
      <sz val="14"/>
      <name val="ＭＳ 明朝"/>
      <family val="1"/>
      <charset val="128"/>
    </font>
    <font>
      <sz val="14"/>
      <name val="ＭＳ 明朝"/>
      <family val="1"/>
      <charset val="128"/>
    </font>
    <font>
      <sz val="14"/>
      <name val="ＭＳ Ｐ明朝"/>
      <family val="1"/>
      <charset val="128"/>
    </font>
    <font>
      <b/>
      <sz val="9"/>
      <name val="ＭＳ Ｐゴシック"/>
      <family val="3"/>
      <charset val="128"/>
    </font>
    <font>
      <b/>
      <sz val="10"/>
      <color rgb="FFFF0000"/>
      <name val="ＭＳ Ｐゴシック"/>
      <family val="3"/>
      <charset val="128"/>
    </font>
    <font>
      <sz val="11"/>
      <color rgb="FF000000"/>
      <name val="ＭＳ Ｐゴシック"/>
      <family val="3"/>
      <charset val="128"/>
    </font>
  </fonts>
  <fills count="21">
    <fill>
      <patternFill patternType="none"/>
    </fill>
    <fill>
      <patternFill patternType="gray125"/>
    </fill>
    <fill>
      <patternFill patternType="solid">
        <fgColor indexed="61"/>
        <bgColor indexed="64"/>
      </patternFill>
    </fill>
    <fill>
      <patternFill patternType="solid">
        <fgColor indexed="48"/>
        <bgColor indexed="64"/>
      </patternFill>
    </fill>
    <fill>
      <patternFill patternType="solid">
        <fgColor indexed="22"/>
        <bgColor indexed="64"/>
      </patternFill>
    </fill>
    <fill>
      <patternFill patternType="solid">
        <fgColor indexed="40"/>
        <bgColor indexed="64"/>
      </patternFill>
    </fill>
    <fill>
      <patternFill patternType="solid">
        <fgColor indexed="11"/>
        <bgColor indexed="64"/>
      </patternFill>
    </fill>
    <fill>
      <patternFill patternType="mediumGray">
        <fgColor indexed="12"/>
        <bgColor indexed="33"/>
      </patternFill>
    </fill>
    <fill>
      <patternFill patternType="solid">
        <fgColor indexed="14"/>
        <bgColor indexed="64"/>
      </patternFill>
    </fill>
    <fill>
      <patternFill patternType="solid">
        <fgColor indexed="12"/>
        <bgColor indexed="64"/>
      </patternFill>
    </fill>
    <fill>
      <patternFill patternType="solid">
        <fgColor indexed="45"/>
        <bgColor indexed="64"/>
      </patternFill>
    </fill>
    <fill>
      <patternFill patternType="solid">
        <fgColor indexed="55"/>
        <bgColor indexed="64"/>
      </patternFill>
    </fill>
    <fill>
      <patternFill patternType="solid">
        <fgColor indexed="43"/>
        <bgColor indexed="64"/>
      </patternFill>
    </fill>
    <fill>
      <patternFill patternType="solid">
        <fgColor indexed="53"/>
        <bgColor indexed="64"/>
      </patternFill>
    </fill>
    <fill>
      <patternFill patternType="solid">
        <fgColor indexed="13"/>
        <bgColor indexed="64"/>
      </patternFill>
    </fill>
    <fill>
      <patternFill patternType="solid">
        <fgColor indexed="4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FFF00"/>
        <bgColor indexed="64"/>
      </patternFill>
    </fill>
    <fill>
      <patternFill patternType="solid">
        <fgColor theme="8" tint="0.59999389629810485"/>
        <bgColor indexed="64"/>
      </patternFill>
    </fill>
    <fill>
      <patternFill patternType="solid">
        <fgColor theme="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double">
        <color indexed="64"/>
      </top>
      <bottom style="double">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s>
  <cellStyleXfs count="6">
    <xf numFmtId="0" fontId="0" fillId="0" borderId="0"/>
    <xf numFmtId="9" fontId="2" fillId="0" borderId="0" applyFont="0" applyFill="0" applyBorder="0" applyAlignment="0" applyProtection="0"/>
    <xf numFmtId="9" fontId="15" fillId="0" borderId="0" applyFont="0" applyFill="0" applyBorder="0" applyAlignment="0" applyProtection="0"/>
    <xf numFmtId="38" fontId="2" fillId="0" borderId="0" applyFont="0" applyFill="0" applyBorder="0" applyAlignment="0" applyProtection="0"/>
    <xf numFmtId="38" fontId="15" fillId="0" borderId="0" applyFont="0" applyFill="0" applyBorder="0" applyAlignment="0" applyProtection="0"/>
    <xf numFmtId="6" fontId="2" fillId="0" borderId="0" applyFont="0" applyFill="0" applyBorder="0" applyAlignment="0" applyProtection="0"/>
  </cellStyleXfs>
  <cellXfs count="321">
    <xf numFmtId="0" fontId="0" fillId="0" borderId="0" xfId="0"/>
    <xf numFmtId="0" fontId="5" fillId="0" borderId="1" xfId="0" applyFont="1" applyBorder="1" applyAlignment="1">
      <alignment vertical="center" shrinkToFit="1"/>
    </xf>
    <xf numFmtId="0" fontId="5" fillId="0" borderId="2" xfId="0" applyFont="1" applyBorder="1" applyAlignment="1">
      <alignment horizontal="center" vertical="center" shrinkToFit="1"/>
    </xf>
    <xf numFmtId="0" fontId="5" fillId="0" borderId="2" xfId="0" applyFont="1" applyBorder="1" applyAlignment="1">
      <alignment vertical="center" shrinkToFit="1"/>
    </xf>
    <xf numFmtId="0" fontId="5" fillId="0" borderId="3" xfId="0" applyFont="1" applyBorder="1" applyAlignment="1">
      <alignment horizontal="center" vertical="center" shrinkToFit="1"/>
    </xf>
    <xf numFmtId="0" fontId="5" fillId="0" borderId="1" xfId="0" applyFont="1" applyBorder="1" applyAlignment="1">
      <alignment horizontal="center" vertical="center" shrinkToFit="1"/>
    </xf>
    <xf numFmtId="6" fontId="8" fillId="0" borderId="0" xfId="5" applyFont="1" applyAlignment="1">
      <alignment vertical="center"/>
    </xf>
    <xf numFmtId="0" fontId="0" fillId="0" borderId="0" xfId="0" applyAlignment="1">
      <alignment vertical="center"/>
    </xf>
    <xf numFmtId="38" fontId="0" fillId="0" borderId="0" xfId="3" applyFont="1" applyAlignment="1">
      <alignment vertical="center"/>
    </xf>
    <xf numFmtId="0" fontId="5" fillId="0" borderId="0" xfId="0" applyFont="1" applyAlignment="1">
      <alignment vertical="center"/>
    </xf>
    <xf numFmtId="0" fontId="8" fillId="0" borderId="0" xfId="0" applyFont="1" applyAlignment="1">
      <alignment vertical="center"/>
    </xf>
    <xf numFmtId="0" fontId="0" fillId="0" borderId="0" xfId="0" applyAlignment="1">
      <alignment horizontal="center" vertical="center"/>
    </xf>
    <xf numFmtId="0" fontId="5" fillId="0" borderId="0" xfId="0" applyFont="1" applyAlignment="1">
      <alignment horizontal="center" vertical="center"/>
    </xf>
    <xf numFmtId="0" fontId="8" fillId="0" borderId="0" xfId="0" applyFont="1" applyAlignment="1">
      <alignment horizontal="center" vertical="center"/>
    </xf>
    <xf numFmtId="38" fontId="8" fillId="0" borderId="0" xfId="3" applyFont="1" applyAlignment="1">
      <alignment vertical="center"/>
    </xf>
    <xf numFmtId="0" fontId="8" fillId="0" borderId="0" xfId="0" applyFont="1" applyAlignment="1">
      <alignment horizontal="right" vertical="center"/>
    </xf>
    <xf numFmtId="38" fontId="5" fillId="0" borderId="0" xfId="3" applyFont="1" applyAlignment="1">
      <alignment vertical="center"/>
    </xf>
    <xf numFmtId="0" fontId="5" fillId="0" borderId="1" xfId="0" applyFont="1" applyBorder="1" applyAlignment="1">
      <alignment horizontal="center" vertical="center"/>
    </xf>
    <xf numFmtId="38" fontId="5" fillId="0" borderId="1" xfId="3" applyFont="1" applyBorder="1" applyAlignment="1">
      <alignment vertical="center"/>
    </xf>
    <xf numFmtId="0" fontId="5" fillId="0" borderId="1" xfId="0" applyFont="1" applyBorder="1" applyAlignment="1">
      <alignment vertical="center"/>
    </xf>
    <xf numFmtId="176" fontId="5" fillId="2" borderId="4" xfId="0" applyNumberFormat="1" applyFont="1" applyFill="1" applyBorder="1" applyAlignment="1">
      <alignment vertical="center"/>
    </xf>
    <xf numFmtId="38" fontId="5" fillId="0" borderId="5" xfId="3" applyFont="1" applyBorder="1" applyAlignment="1">
      <alignment vertical="center"/>
    </xf>
    <xf numFmtId="38" fontId="5" fillId="0" borderId="6" xfId="0" applyNumberFormat="1" applyFont="1" applyBorder="1" applyAlignment="1">
      <alignment vertical="center"/>
    </xf>
    <xf numFmtId="38" fontId="5" fillId="0" borderId="1" xfId="3" applyFont="1" applyFill="1" applyBorder="1" applyAlignment="1">
      <alignment vertical="center"/>
    </xf>
    <xf numFmtId="38" fontId="5" fillId="0" borderId="0" xfId="0" applyNumberFormat="1" applyFont="1" applyAlignment="1">
      <alignment vertical="center"/>
    </xf>
    <xf numFmtId="38" fontId="5" fillId="0" borderId="7" xfId="3" applyFont="1" applyBorder="1" applyAlignment="1">
      <alignment vertical="center"/>
    </xf>
    <xf numFmtId="38" fontId="5" fillId="3" borderId="6" xfId="0" applyNumberFormat="1" applyFont="1" applyFill="1" applyBorder="1" applyAlignment="1">
      <alignment vertical="center"/>
    </xf>
    <xf numFmtId="0" fontId="5" fillId="4" borderId="0" xfId="0" applyFont="1" applyFill="1" applyAlignment="1">
      <alignment vertical="center"/>
    </xf>
    <xf numFmtId="38" fontId="5" fillId="0" borderId="1" xfId="0" applyNumberFormat="1" applyFont="1" applyBorder="1" applyAlignment="1">
      <alignment vertical="center"/>
    </xf>
    <xf numFmtId="38" fontId="5" fillId="5" borderId="6" xfId="0" applyNumberFormat="1" applyFont="1" applyFill="1" applyBorder="1" applyAlignment="1">
      <alignment vertical="center"/>
    </xf>
    <xf numFmtId="38" fontId="5" fillId="3" borderId="6" xfId="3" applyFont="1" applyFill="1" applyBorder="1" applyAlignment="1">
      <alignment vertical="center"/>
    </xf>
    <xf numFmtId="38" fontId="5" fillId="0" borderId="0" xfId="3" applyFont="1" applyAlignment="1">
      <alignment horizontal="right" vertical="center"/>
    </xf>
    <xf numFmtId="38" fontId="5" fillId="3" borderId="4" xfId="0" applyNumberFormat="1" applyFont="1" applyFill="1" applyBorder="1" applyAlignment="1">
      <alignment vertical="center"/>
    </xf>
    <xf numFmtId="38" fontId="5" fillId="0" borderId="6" xfId="3" applyFont="1" applyFill="1" applyBorder="1" applyAlignment="1">
      <alignment vertical="center"/>
    </xf>
    <xf numFmtId="0" fontId="9" fillId="0" borderId="8" xfId="0" applyFont="1" applyBorder="1" applyAlignment="1">
      <alignment vertical="center"/>
    </xf>
    <xf numFmtId="38" fontId="0" fillId="0" borderId="9" xfId="3"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6" fillId="0" borderId="11" xfId="0" applyFont="1" applyBorder="1" applyAlignment="1">
      <alignment vertical="center"/>
    </xf>
    <xf numFmtId="38" fontId="0" fillId="0" borderId="0" xfId="3" applyFont="1" applyBorder="1" applyAlignment="1">
      <alignment vertical="center"/>
    </xf>
    <xf numFmtId="0" fontId="0" fillId="0" borderId="0" xfId="0" applyBorder="1" applyAlignment="1">
      <alignment vertical="center"/>
    </xf>
    <xf numFmtId="0" fontId="0" fillId="0" borderId="12" xfId="0" applyBorder="1" applyAlignment="1">
      <alignment vertical="center"/>
    </xf>
    <xf numFmtId="38" fontId="6" fillId="0" borderId="11" xfId="3" applyFont="1" applyBorder="1" applyAlignment="1">
      <alignment vertical="center"/>
    </xf>
    <xf numFmtId="38" fontId="6" fillId="0" borderId="13" xfId="3" applyFont="1" applyBorder="1" applyAlignment="1">
      <alignment vertical="center"/>
    </xf>
    <xf numFmtId="38" fontId="0" fillId="0" borderId="14" xfId="3" applyFont="1" applyBorder="1" applyAlignment="1">
      <alignment vertical="center"/>
    </xf>
    <xf numFmtId="0" fontId="0" fillId="0" borderId="14" xfId="0" applyBorder="1" applyAlignment="1">
      <alignment vertical="center"/>
    </xf>
    <xf numFmtId="0" fontId="0" fillId="0" borderId="15" xfId="0" applyBorder="1" applyAlignment="1">
      <alignment vertical="center"/>
    </xf>
    <xf numFmtId="9" fontId="10" fillId="0" borderId="0" xfId="3" applyNumberFormat="1" applyFont="1" applyAlignment="1">
      <alignment horizontal="right" vertical="center"/>
    </xf>
    <xf numFmtId="38" fontId="5" fillId="0" borderId="7" xfId="3" applyFont="1" applyFill="1" applyBorder="1" applyAlignment="1">
      <alignment vertical="center"/>
    </xf>
    <xf numFmtId="0" fontId="5" fillId="0" borderId="0" xfId="0" applyFont="1" applyFill="1" applyAlignment="1">
      <alignment vertical="center"/>
    </xf>
    <xf numFmtId="38" fontId="5" fillId="6" borderId="6" xfId="3" applyFont="1" applyFill="1" applyBorder="1" applyAlignment="1">
      <alignment vertical="center"/>
    </xf>
    <xf numFmtId="38" fontId="0" fillId="0" borderId="1" xfId="3" applyFont="1" applyBorder="1" applyAlignment="1">
      <alignment vertical="center"/>
    </xf>
    <xf numFmtId="0" fontId="0" fillId="7" borderId="0" xfId="0" applyFill="1" applyAlignment="1">
      <alignment vertical="center"/>
    </xf>
    <xf numFmtId="38" fontId="5" fillId="5" borderId="1" xfId="3" applyFont="1" applyFill="1" applyBorder="1" applyAlignment="1">
      <alignment vertical="center"/>
    </xf>
    <xf numFmtId="38" fontId="5" fillId="5" borderId="7" xfId="3" applyFont="1" applyFill="1" applyBorder="1" applyAlignment="1">
      <alignment vertical="center"/>
    </xf>
    <xf numFmtId="38" fontId="5" fillId="6" borderId="1" xfId="3" applyFont="1" applyFill="1" applyBorder="1" applyAlignment="1">
      <alignment vertical="center"/>
    </xf>
    <xf numFmtId="38" fontId="5" fillId="6" borderId="5" xfId="3" applyFont="1" applyFill="1" applyBorder="1" applyAlignment="1">
      <alignment vertical="center"/>
    </xf>
    <xf numFmtId="38" fontId="5" fillId="6" borderId="6" xfId="0" applyNumberFormat="1" applyFont="1" applyFill="1" applyBorder="1" applyAlignment="1">
      <alignment vertical="center"/>
    </xf>
    <xf numFmtId="38" fontId="5" fillId="6" borderId="7" xfId="3" applyFont="1" applyFill="1" applyBorder="1" applyAlignment="1">
      <alignment vertical="center"/>
    </xf>
    <xf numFmtId="38" fontId="5" fillId="8" borderId="1" xfId="3" applyFont="1" applyFill="1" applyBorder="1" applyAlignment="1">
      <alignment vertical="center"/>
    </xf>
    <xf numFmtId="38" fontId="5" fillId="8" borderId="5" xfId="3" applyFont="1" applyFill="1" applyBorder="1" applyAlignment="1">
      <alignment vertical="center"/>
    </xf>
    <xf numFmtId="38" fontId="5" fillId="8" borderId="6" xfId="0" applyNumberFormat="1" applyFont="1" applyFill="1" applyBorder="1" applyAlignment="1">
      <alignment vertical="center"/>
    </xf>
    <xf numFmtId="38" fontId="5" fillId="8" borderId="7" xfId="3" applyFont="1" applyFill="1" applyBorder="1" applyAlignment="1">
      <alignment vertical="center"/>
    </xf>
    <xf numFmtId="38" fontId="5" fillId="0" borderId="5" xfId="3" applyFont="1" applyFill="1" applyBorder="1" applyAlignment="1">
      <alignment vertical="center"/>
    </xf>
    <xf numFmtId="38" fontId="5" fillId="0" borderId="6" xfId="0" applyNumberFormat="1" applyFont="1" applyFill="1" applyBorder="1" applyAlignment="1">
      <alignment vertical="center"/>
    </xf>
    <xf numFmtId="0" fontId="5" fillId="0" borderId="0" xfId="0" applyFont="1" applyAlignment="1">
      <alignment horizontal="right" vertical="center"/>
    </xf>
    <xf numFmtId="0" fontId="5" fillId="5" borderId="1" xfId="0" applyFont="1" applyFill="1" applyBorder="1" applyAlignment="1">
      <alignment vertical="center"/>
    </xf>
    <xf numFmtId="0" fontId="5" fillId="6" borderId="1" xfId="0" applyFont="1" applyFill="1" applyBorder="1" applyAlignment="1">
      <alignment vertical="center"/>
    </xf>
    <xf numFmtId="0" fontId="5" fillId="8" borderId="1" xfId="0" applyFont="1" applyFill="1" applyBorder="1" applyAlignment="1">
      <alignment vertical="center"/>
    </xf>
    <xf numFmtId="38" fontId="5" fillId="5" borderId="6" xfId="3" applyFont="1" applyFill="1" applyBorder="1" applyAlignment="1">
      <alignment vertical="center"/>
    </xf>
    <xf numFmtId="38" fontId="5" fillId="8" borderId="6" xfId="3" applyFont="1" applyFill="1" applyBorder="1" applyAlignment="1">
      <alignment vertical="center"/>
    </xf>
    <xf numFmtId="38" fontId="5" fillId="9" borderId="6" xfId="0" applyNumberFormat="1" applyFont="1" applyFill="1" applyBorder="1" applyAlignment="1">
      <alignment vertical="center"/>
    </xf>
    <xf numFmtId="38" fontId="5" fillId="10" borderId="0" xfId="3" applyFont="1" applyFill="1" applyAlignment="1">
      <alignment vertical="center"/>
    </xf>
    <xf numFmtId="180" fontId="5" fillId="0" borderId="1" xfId="1" applyNumberFormat="1" applyFont="1" applyBorder="1" applyAlignment="1">
      <alignment vertical="center"/>
    </xf>
    <xf numFmtId="180" fontId="5" fillId="0" borderId="1" xfId="0" applyNumberFormat="1" applyFont="1" applyBorder="1" applyAlignment="1">
      <alignment vertical="center"/>
    </xf>
    <xf numFmtId="180" fontId="5" fillId="0" borderId="1" xfId="0" applyNumberFormat="1" applyFont="1" applyFill="1" applyBorder="1" applyAlignment="1">
      <alignment vertical="center"/>
    </xf>
    <xf numFmtId="0" fontId="5" fillId="0" borderId="1" xfId="0" applyFont="1" applyFill="1" applyBorder="1" applyAlignment="1">
      <alignment vertical="center"/>
    </xf>
    <xf numFmtId="38" fontId="5" fillId="0" borderId="0" xfId="0" applyNumberFormat="1" applyFont="1" applyBorder="1" applyAlignment="1">
      <alignment vertical="center"/>
    </xf>
    <xf numFmtId="0" fontId="5" fillId="0" borderId="0" xfId="0" applyFont="1" applyBorder="1" applyAlignment="1">
      <alignment vertical="center"/>
    </xf>
    <xf numFmtId="0" fontId="5" fillId="11" borderId="0" xfId="0" applyFont="1" applyFill="1" applyAlignment="1">
      <alignment vertical="center"/>
    </xf>
    <xf numFmtId="0" fontId="5" fillId="0" borderId="7" xfId="0" applyFont="1" applyBorder="1" applyAlignment="1">
      <alignment vertical="center"/>
    </xf>
    <xf numFmtId="0" fontId="5" fillId="0" borderId="6" xfId="0" applyFont="1" applyBorder="1" applyAlignment="1">
      <alignment vertical="center"/>
    </xf>
    <xf numFmtId="38" fontId="5" fillId="0" borderId="6" xfId="3" applyFont="1" applyBorder="1" applyAlignment="1">
      <alignment vertical="center"/>
    </xf>
    <xf numFmtId="0" fontId="5" fillId="11" borderId="0" xfId="0" applyFont="1" applyFill="1" applyAlignment="1">
      <alignment horizontal="right" vertical="center"/>
    </xf>
    <xf numFmtId="9" fontId="5" fillId="0" borderId="1" xfId="1" applyFont="1" applyFill="1" applyBorder="1" applyAlignment="1">
      <alignment vertical="center"/>
    </xf>
    <xf numFmtId="38" fontId="5" fillId="12" borderId="1" xfId="3" applyFont="1" applyFill="1" applyBorder="1" applyAlignment="1">
      <alignment vertical="center"/>
    </xf>
    <xf numFmtId="0" fontId="5" fillId="0" borderId="0" xfId="0" applyFont="1" applyAlignment="1">
      <alignment horizontal="center" vertical="center" shrinkToFit="1"/>
    </xf>
    <xf numFmtId="38" fontId="5" fillId="0" borderId="1" xfId="3" applyFont="1" applyBorder="1" applyAlignment="1">
      <alignment horizontal="center" vertical="center" shrinkToFit="1"/>
    </xf>
    <xf numFmtId="0" fontId="5" fillId="0" borderId="7" xfId="0" applyFont="1" applyBorder="1" applyAlignment="1">
      <alignment horizontal="center" vertical="center" shrinkToFit="1"/>
    </xf>
    <xf numFmtId="0" fontId="5" fillId="0" borderId="6" xfId="0" applyFont="1" applyBorder="1" applyAlignment="1">
      <alignment horizontal="center" vertical="center" shrinkToFit="1"/>
    </xf>
    <xf numFmtId="38" fontId="5" fillId="10" borderId="1" xfId="3" applyFont="1" applyFill="1" applyBorder="1" applyAlignment="1">
      <alignment vertical="center"/>
    </xf>
    <xf numFmtId="38" fontId="5" fillId="3" borderId="0" xfId="3" applyFont="1" applyFill="1" applyAlignment="1">
      <alignment vertical="center"/>
    </xf>
    <xf numFmtId="0" fontId="5" fillId="13" borderId="1" xfId="0" applyFont="1" applyFill="1" applyBorder="1" applyAlignment="1">
      <alignment vertical="center"/>
    </xf>
    <xf numFmtId="38" fontId="5" fillId="13" borderId="1" xfId="3" applyFont="1" applyFill="1" applyBorder="1" applyAlignment="1">
      <alignment vertical="center"/>
    </xf>
    <xf numFmtId="38" fontId="5" fillId="13" borderId="5" xfId="3" applyFont="1" applyFill="1" applyBorder="1" applyAlignment="1">
      <alignment vertical="center"/>
    </xf>
    <xf numFmtId="38" fontId="5" fillId="13" borderId="6" xfId="0" applyNumberFormat="1" applyFont="1" applyFill="1" applyBorder="1" applyAlignment="1">
      <alignment vertical="center"/>
    </xf>
    <xf numFmtId="38" fontId="5" fillId="13" borderId="7" xfId="3" applyFont="1" applyFill="1" applyBorder="1" applyAlignment="1">
      <alignment vertical="center"/>
    </xf>
    <xf numFmtId="38" fontId="5" fillId="13" borderId="6" xfId="3" applyFont="1" applyFill="1" applyBorder="1" applyAlignment="1">
      <alignment vertical="center"/>
    </xf>
    <xf numFmtId="0" fontId="14" fillId="0" borderId="0" xfId="0" applyFont="1" applyAlignment="1">
      <alignment vertical="center"/>
    </xf>
    <xf numFmtId="0" fontId="5" fillId="16" borderId="1" xfId="0" applyFont="1" applyFill="1" applyBorder="1" applyAlignment="1">
      <alignment vertical="center"/>
    </xf>
    <xf numFmtId="38" fontId="5" fillId="16" borderId="7" xfId="3" applyFont="1" applyFill="1" applyBorder="1" applyAlignment="1">
      <alignment vertical="center"/>
    </xf>
    <xf numFmtId="38" fontId="5" fillId="16" borderId="6" xfId="3" applyFont="1" applyFill="1" applyBorder="1" applyAlignment="1">
      <alignment vertical="center"/>
    </xf>
    <xf numFmtId="38" fontId="5" fillId="16" borderId="1" xfId="3" applyFont="1" applyFill="1" applyBorder="1" applyAlignment="1">
      <alignment vertical="center"/>
    </xf>
    <xf numFmtId="38" fontId="5" fillId="16" borderId="5" xfId="3" applyFont="1" applyFill="1" applyBorder="1" applyAlignment="1">
      <alignment vertical="center"/>
    </xf>
    <xf numFmtId="38" fontId="5" fillId="16" borderId="6" xfId="0" applyNumberFormat="1" applyFont="1" applyFill="1" applyBorder="1" applyAlignment="1">
      <alignment vertical="center"/>
    </xf>
    <xf numFmtId="181" fontId="5" fillId="14" borderId="1" xfId="3" applyNumberFormat="1" applyFont="1" applyFill="1" applyBorder="1" applyAlignment="1">
      <alignment vertical="center"/>
    </xf>
    <xf numFmtId="181" fontId="5" fillId="5" borderId="1" xfId="3" applyNumberFormat="1" applyFont="1" applyFill="1" applyBorder="1" applyAlignment="1">
      <alignment vertical="center"/>
    </xf>
    <xf numFmtId="181" fontId="5" fillId="0" borderId="1" xfId="3" applyNumberFormat="1" applyFont="1" applyFill="1" applyBorder="1" applyAlignment="1">
      <alignment vertical="center"/>
    </xf>
    <xf numFmtId="181" fontId="5" fillId="6" borderId="1" xfId="3" applyNumberFormat="1" applyFont="1" applyFill="1" applyBorder="1" applyAlignment="1">
      <alignment vertical="center"/>
    </xf>
    <xf numFmtId="181" fontId="5" fillId="8" borderId="1" xfId="3" applyNumberFormat="1" applyFont="1" applyFill="1" applyBorder="1" applyAlignment="1">
      <alignment vertical="center"/>
    </xf>
    <xf numFmtId="181" fontId="5" fillId="13" borderId="1" xfId="3" applyNumberFormat="1" applyFont="1" applyFill="1" applyBorder="1" applyAlignment="1">
      <alignment vertical="center"/>
    </xf>
    <xf numFmtId="181" fontId="5" fillId="16" borderId="1" xfId="3" applyNumberFormat="1" applyFont="1" applyFill="1" applyBorder="1" applyAlignment="1">
      <alignment vertical="center"/>
    </xf>
    <xf numFmtId="181" fontId="5" fillId="0" borderId="0" xfId="3" applyNumberFormat="1" applyFont="1" applyAlignment="1">
      <alignment vertical="center"/>
    </xf>
    <xf numFmtId="0" fontId="5" fillId="17" borderId="1" xfId="0" applyFont="1" applyFill="1" applyBorder="1" applyAlignment="1">
      <alignment vertical="center"/>
    </xf>
    <xf numFmtId="181" fontId="5" fillId="17" borderId="1" xfId="3" applyNumberFormat="1" applyFont="1" applyFill="1" applyBorder="1" applyAlignment="1">
      <alignment vertical="center"/>
    </xf>
    <xf numFmtId="38" fontId="5" fillId="17" borderId="5" xfId="3" applyFont="1" applyFill="1" applyBorder="1" applyAlignment="1">
      <alignment vertical="center"/>
    </xf>
    <xf numFmtId="38" fontId="5" fillId="17" borderId="6" xfId="0" applyNumberFormat="1" applyFont="1" applyFill="1" applyBorder="1" applyAlignment="1">
      <alignment vertical="center"/>
    </xf>
    <xf numFmtId="38" fontId="5" fillId="17" borderId="1" xfId="3" applyFont="1" applyFill="1" applyBorder="1" applyAlignment="1">
      <alignment vertical="center"/>
    </xf>
    <xf numFmtId="38" fontId="5" fillId="17" borderId="7" xfId="3" applyFont="1" applyFill="1" applyBorder="1" applyAlignment="1">
      <alignment vertical="center"/>
    </xf>
    <xf numFmtId="38" fontId="5" fillId="17" borderId="6" xfId="3" applyFont="1" applyFill="1" applyBorder="1" applyAlignment="1">
      <alignment vertical="center"/>
    </xf>
    <xf numFmtId="38" fontId="5" fillId="0" borderId="16" xfId="3" applyFont="1" applyBorder="1" applyAlignment="1">
      <alignment horizontal="right" vertical="center"/>
    </xf>
    <xf numFmtId="179" fontId="26" fillId="18" borderId="17" xfId="1" applyNumberFormat="1" applyFont="1" applyFill="1" applyBorder="1" applyAlignment="1">
      <alignment horizontal="center" vertical="center"/>
    </xf>
    <xf numFmtId="38" fontId="5" fillId="0" borderId="18" xfId="3" applyFont="1" applyBorder="1" applyAlignment="1">
      <alignment horizontal="right" vertical="center"/>
    </xf>
    <xf numFmtId="179" fontId="26" fillId="18" borderId="19" xfId="1" applyNumberFormat="1" applyFont="1" applyFill="1" applyBorder="1" applyAlignment="1">
      <alignment horizontal="center" vertical="center"/>
    </xf>
    <xf numFmtId="38" fontId="0" fillId="0" borderId="0" xfId="3" applyFont="1" applyAlignment="1">
      <alignment horizontal="right" vertical="center" shrinkToFit="1"/>
    </xf>
    <xf numFmtId="179" fontId="5" fillId="0" borderId="0" xfId="1" applyNumberFormat="1" applyFont="1" applyAlignment="1">
      <alignment horizontal="center" vertical="center"/>
    </xf>
    <xf numFmtId="179" fontId="5" fillId="0" borderId="0" xfId="1" applyNumberFormat="1" applyFont="1" applyAlignment="1">
      <alignment vertical="center"/>
    </xf>
    <xf numFmtId="38" fontId="5" fillId="0" borderId="17" xfId="3" applyFont="1" applyBorder="1" applyAlignment="1">
      <alignment vertical="center"/>
    </xf>
    <xf numFmtId="38" fontId="5" fillId="0" borderId="19" xfId="3" applyFont="1" applyBorder="1" applyAlignment="1">
      <alignment vertical="center"/>
    </xf>
    <xf numFmtId="38" fontId="0" fillId="0" borderId="20" xfId="3" applyFont="1" applyBorder="1" applyAlignment="1">
      <alignment vertical="center"/>
    </xf>
    <xf numFmtId="38" fontId="0" fillId="0" borderId="17" xfId="3" applyFont="1" applyBorder="1" applyAlignment="1">
      <alignment vertical="center"/>
    </xf>
    <xf numFmtId="38" fontId="0" fillId="0" borderId="19" xfId="3" applyFont="1" applyBorder="1" applyAlignment="1">
      <alignment vertical="center"/>
    </xf>
    <xf numFmtId="0" fontId="16" fillId="0" borderId="0" xfId="0" applyFont="1"/>
    <xf numFmtId="0" fontId="16" fillId="0" borderId="0" xfId="0" applyFont="1" applyBorder="1" applyAlignment="1">
      <alignment vertical="center" wrapText="1"/>
    </xf>
    <xf numFmtId="0" fontId="16" fillId="0" borderId="0" xfId="0" applyFont="1" applyBorder="1" applyAlignment="1">
      <alignment horizontal="center" vertical="center"/>
    </xf>
    <xf numFmtId="0" fontId="16" fillId="0" borderId="0" xfId="0" applyFont="1" applyBorder="1" applyAlignment="1">
      <alignment horizontal="center" vertical="center" wrapText="1"/>
    </xf>
    <xf numFmtId="0" fontId="17" fillId="0" borderId="0" xfId="0" applyFont="1"/>
    <xf numFmtId="0" fontId="18" fillId="0" borderId="0" xfId="0" applyFont="1" applyAlignment="1">
      <alignment vertical="center"/>
    </xf>
    <xf numFmtId="0" fontId="18" fillId="0" borderId="0" xfId="0" applyFont="1" applyAlignment="1">
      <alignment vertical="center" wrapText="1"/>
    </xf>
    <xf numFmtId="0" fontId="18" fillId="0" borderId="0" xfId="0" applyFont="1"/>
    <xf numFmtId="0" fontId="19" fillId="0" borderId="0" xfId="0" applyFont="1"/>
    <xf numFmtId="0" fontId="0" fillId="0" borderId="0" xfId="0" applyBorder="1" applyAlignment="1">
      <alignment horizontal="left" vertical="center"/>
    </xf>
    <xf numFmtId="0" fontId="0" fillId="0" borderId="0" xfId="0" applyFont="1" applyFill="1" applyBorder="1" applyAlignment="1">
      <alignment horizontal="right" vertical="center"/>
    </xf>
    <xf numFmtId="0" fontId="13" fillId="0" borderId="0" xfId="0" applyFont="1" applyFill="1" applyBorder="1" applyAlignment="1">
      <alignment horizontal="left" vertical="center"/>
    </xf>
    <xf numFmtId="38" fontId="7" fillId="0" borderId="0" xfId="3" applyFont="1" applyBorder="1" applyAlignment="1">
      <alignment vertical="center"/>
    </xf>
    <xf numFmtId="0" fontId="0" fillId="0" borderId="0" xfId="0" applyFont="1" applyBorder="1" applyAlignment="1">
      <alignment vertical="center"/>
    </xf>
    <xf numFmtId="0" fontId="5" fillId="0" borderId="21" xfId="0" applyFont="1" applyBorder="1" applyAlignment="1">
      <alignment vertical="center"/>
    </xf>
    <xf numFmtId="0" fontId="0" fillId="0" borderId="22" xfId="0" applyBorder="1" applyAlignment="1">
      <alignment vertical="center"/>
    </xf>
    <xf numFmtId="182" fontId="0" fillId="0" borderId="21" xfId="0" applyNumberFormat="1" applyBorder="1" applyAlignment="1">
      <alignment vertical="center"/>
    </xf>
    <xf numFmtId="0" fontId="0" fillId="0" borderId="23" xfId="0" applyBorder="1" applyAlignment="1">
      <alignment vertical="center" shrinkToFit="1"/>
    </xf>
    <xf numFmtId="0" fontId="18" fillId="0" borderId="0" xfId="0" applyFont="1" applyAlignment="1">
      <alignment horizontal="center" wrapText="1"/>
    </xf>
    <xf numFmtId="38" fontId="16" fillId="0" borderId="0" xfId="4" applyFont="1"/>
    <xf numFmtId="0" fontId="21" fillId="0" borderId="17" xfId="0" applyFont="1" applyBorder="1" applyAlignment="1">
      <alignment horizontal="center" vertical="center" wrapText="1"/>
    </xf>
    <xf numFmtId="0" fontId="21" fillId="0" borderId="17" xfId="0" applyFont="1" applyBorder="1" applyAlignment="1">
      <alignment vertical="center" wrapText="1"/>
    </xf>
    <xf numFmtId="0" fontId="21" fillId="0" borderId="0" xfId="0" applyFont="1" applyBorder="1" applyAlignment="1">
      <alignment horizontal="center" vertical="center" wrapText="1"/>
    </xf>
    <xf numFmtId="0" fontId="21" fillId="0" borderId="6" xfId="0" applyFont="1" applyBorder="1" applyAlignment="1">
      <alignment horizontal="center" vertical="center" wrapText="1"/>
    </xf>
    <xf numFmtId="0" fontId="21" fillId="0" borderId="6" xfId="0" applyFont="1" applyBorder="1" applyAlignment="1">
      <alignment vertical="center" wrapText="1"/>
    </xf>
    <xf numFmtId="0" fontId="21" fillId="0" borderId="0" xfId="0" applyFont="1" applyAlignment="1">
      <alignment vertical="center" wrapText="1"/>
    </xf>
    <xf numFmtId="0" fontId="21" fillId="0" borderId="0" xfId="0" applyFont="1" applyAlignment="1">
      <alignment vertical="center"/>
    </xf>
    <xf numFmtId="38" fontId="21" fillId="0" borderId="24" xfId="0" applyNumberFormat="1" applyFont="1" applyBorder="1" applyAlignment="1">
      <alignment horizontal="center" vertical="center" shrinkToFit="1"/>
    </xf>
    <xf numFmtId="179" fontId="21" fillId="19" borderId="24" xfId="2" applyNumberFormat="1" applyFont="1" applyFill="1" applyBorder="1" applyAlignment="1">
      <alignment horizontal="right" vertical="center" shrinkToFit="1"/>
    </xf>
    <xf numFmtId="179" fontId="21" fillId="0" borderId="24" xfId="2" applyNumberFormat="1" applyFont="1" applyBorder="1" applyAlignment="1">
      <alignment horizontal="right" vertical="center" shrinkToFit="1"/>
    </xf>
    <xf numFmtId="179" fontId="21" fillId="0" borderId="0" xfId="2" applyNumberFormat="1" applyFont="1" applyBorder="1" applyAlignment="1">
      <alignment horizontal="right" vertical="center" shrinkToFit="1"/>
    </xf>
    <xf numFmtId="38" fontId="21" fillId="0" borderId="24" xfId="4" applyFont="1" applyBorder="1" applyAlignment="1">
      <alignment horizontal="right" vertical="center" shrinkToFit="1"/>
    </xf>
    <xf numFmtId="38" fontId="21" fillId="0" borderId="24" xfId="4" applyFont="1" applyBorder="1" applyAlignment="1">
      <alignment vertical="center" shrinkToFit="1"/>
    </xf>
    <xf numFmtId="0" fontId="21" fillId="0" borderId="0" xfId="0" applyFont="1" applyAlignment="1">
      <alignment vertical="center" shrinkToFit="1"/>
    </xf>
    <xf numFmtId="38" fontId="21" fillId="0" borderId="0" xfId="4" applyFont="1" applyAlignment="1">
      <alignment vertical="center" shrinkToFit="1"/>
    </xf>
    <xf numFmtId="38" fontId="21" fillId="0" borderId="19" xfId="0" applyNumberFormat="1" applyFont="1" applyBorder="1" applyAlignment="1">
      <alignment horizontal="center" vertical="center" shrinkToFit="1"/>
    </xf>
    <xf numFmtId="179" fontId="21" fillId="19" borderId="19" xfId="2" applyNumberFormat="1" applyFont="1" applyFill="1" applyBorder="1" applyAlignment="1">
      <alignment horizontal="right" vertical="center" shrinkToFit="1"/>
    </xf>
    <xf numFmtId="179" fontId="21" fillId="0" borderId="19" xfId="2" applyNumberFormat="1" applyFont="1" applyBorder="1" applyAlignment="1">
      <alignment horizontal="right" vertical="center" shrinkToFit="1"/>
    </xf>
    <xf numFmtId="38" fontId="21" fillId="0" borderId="25" xfId="0" applyNumberFormat="1" applyFont="1" applyBorder="1" applyAlignment="1">
      <alignment horizontal="center" vertical="center" shrinkToFit="1"/>
    </xf>
    <xf numFmtId="38" fontId="21" fillId="0" borderId="25" xfId="4" applyFont="1" applyBorder="1" applyAlignment="1">
      <alignment horizontal="right" vertical="center" shrinkToFit="1"/>
    </xf>
    <xf numFmtId="38" fontId="21" fillId="0" borderId="25" xfId="4" applyFont="1" applyBorder="1" applyAlignment="1">
      <alignment vertical="center" shrinkToFit="1"/>
    </xf>
    <xf numFmtId="0" fontId="21" fillId="0" borderId="0" xfId="0" applyFont="1" applyAlignment="1">
      <alignment horizontal="left" vertical="center" shrinkToFit="1"/>
    </xf>
    <xf numFmtId="0" fontId="18" fillId="0" borderId="0" xfId="0" applyFont="1" applyAlignment="1">
      <alignment horizontal="center" shrinkToFit="1"/>
    </xf>
    <xf numFmtId="0" fontId="19" fillId="0" borderId="0" xfId="0" applyFont="1" applyAlignment="1">
      <alignment shrinkToFit="1"/>
    </xf>
    <xf numFmtId="38" fontId="19" fillId="0" borderId="0" xfId="4" applyFont="1" applyAlignment="1">
      <alignment shrinkToFit="1"/>
    </xf>
    <xf numFmtId="0" fontId="23" fillId="0" borderId="0" xfId="0" applyFont="1" applyAlignment="1">
      <alignment shrinkToFit="1"/>
    </xf>
    <xf numFmtId="0" fontId="23" fillId="0" borderId="0" xfId="0" applyFont="1" applyAlignment="1">
      <alignment horizontal="center" vertical="center" shrinkToFit="1"/>
    </xf>
    <xf numFmtId="0" fontId="23" fillId="0" borderId="0" xfId="0" applyFont="1" applyAlignment="1">
      <alignment horizontal="center" shrinkToFit="1"/>
    </xf>
    <xf numFmtId="0" fontId="24" fillId="0" borderId="0" xfId="0" applyFont="1" applyAlignment="1">
      <alignment shrinkToFit="1"/>
    </xf>
    <xf numFmtId="38" fontId="24" fillId="0" borderId="0" xfId="4" applyFont="1" applyAlignment="1">
      <alignment shrinkToFit="1"/>
    </xf>
    <xf numFmtId="0" fontId="18" fillId="0" borderId="0" xfId="0" applyFont="1" applyAlignment="1">
      <alignment wrapText="1"/>
    </xf>
    <xf numFmtId="38" fontId="19" fillId="0" borderId="0" xfId="4" applyFont="1"/>
    <xf numFmtId="183" fontId="0" fillId="0" borderId="21" xfId="0" applyNumberFormat="1" applyBorder="1" applyAlignment="1">
      <alignment vertical="center"/>
    </xf>
    <xf numFmtId="0" fontId="7" fillId="0" borderId="1" xfId="0" applyFont="1" applyBorder="1" applyAlignment="1">
      <alignment horizontal="center" vertical="center"/>
    </xf>
    <xf numFmtId="38" fontId="7" fillId="0" borderId="1" xfId="3" applyFont="1" applyBorder="1" applyAlignment="1">
      <alignment horizontal="center" vertical="center"/>
    </xf>
    <xf numFmtId="38" fontId="7" fillId="0" borderId="0" xfId="3" applyFont="1" applyAlignment="1">
      <alignment vertical="center"/>
    </xf>
    <xf numFmtId="0" fontId="7" fillId="0" borderId="0" xfId="0" applyFont="1" applyAlignment="1">
      <alignment horizontal="center" vertical="center"/>
    </xf>
    <xf numFmtId="0" fontId="7" fillId="0" borderId="1" xfId="0" applyFont="1" applyBorder="1" applyAlignment="1">
      <alignment horizontal="center" vertical="center" shrinkToFit="1"/>
    </xf>
    <xf numFmtId="0" fontId="7" fillId="0" borderId="1" xfId="0" applyFont="1" applyFill="1" applyBorder="1" applyAlignment="1">
      <alignment horizontal="center" vertical="center" shrinkToFit="1"/>
    </xf>
    <xf numFmtId="38" fontId="7" fillId="0" borderId="0" xfId="3" applyFont="1" applyFill="1" applyAlignment="1">
      <alignment vertical="center"/>
    </xf>
    <xf numFmtId="0" fontId="7" fillId="0" borderId="0" xfId="0" applyFont="1" applyFill="1" applyBorder="1" applyAlignment="1">
      <alignment horizontal="center" vertical="center"/>
    </xf>
    <xf numFmtId="38" fontId="7" fillId="0" borderId="0" xfId="3" applyFont="1" applyFill="1" applyBorder="1" applyAlignment="1">
      <alignment vertical="center"/>
    </xf>
    <xf numFmtId="0" fontId="7" fillId="0" borderId="0" xfId="0" applyFont="1" applyFill="1" applyAlignment="1">
      <alignment horizontal="center" vertical="center"/>
    </xf>
    <xf numFmtId="0" fontId="7" fillId="0" borderId="1" xfId="0" applyFont="1" applyFill="1" applyBorder="1" applyAlignment="1">
      <alignment horizontal="center" vertical="center"/>
    </xf>
    <xf numFmtId="38" fontId="7" fillId="0" borderId="1" xfId="3" applyFont="1" applyFill="1" applyBorder="1" applyAlignment="1">
      <alignment horizontal="center" vertical="center"/>
    </xf>
    <xf numFmtId="38" fontId="7" fillId="0" borderId="7" xfId="3" applyFont="1" applyFill="1" applyBorder="1" applyAlignment="1">
      <alignment horizontal="center" vertical="center"/>
    </xf>
    <xf numFmtId="0" fontId="25" fillId="0" borderId="1" xfId="0" applyFont="1" applyFill="1" applyBorder="1" applyAlignment="1">
      <alignment vertical="center" shrinkToFit="1"/>
    </xf>
    <xf numFmtId="0" fontId="7" fillId="0" borderId="1" xfId="0" applyFont="1" applyFill="1" applyBorder="1" applyAlignment="1">
      <alignment vertical="center" shrinkToFit="1"/>
    </xf>
    <xf numFmtId="38" fontId="7" fillId="0" borderId="26" xfId="3" applyFont="1" applyFill="1" applyBorder="1" applyAlignment="1">
      <alignment horizontal="center" vertical="center"/>
    </xf>
    <xf numFmtId="38" fontId="7" fillId="0" borderId="1" xfId="0" applyNumberFormat="1" applyFont="1" applyFill="1" applyBorder="1" applyAlignment="1">
      <alignment vertical="center" shrinkToFit="1"/>
    </xf>
    <xf numFmtId="178" fontId="7" fillId="0" borderId="1" xfId="0" applyNumberFormat="1" applyFont="1" applyFill="1" applyBorder="1" applyAlignment="1">
      <alignment vertical="center" shrinkToFit="1"/>
    </xf>
    <xf numFmtId="178" fontId="7" fillId="0" borderId="1" xfId="0" quotePrefix="1" applyNumberFormat="1" applyFont="1" applyFill="1" applyBorder="1" applyAlignment="1">
      <alignment vertical="center" shrinkToFit="1"/>
    </xf>
    <xf numFmtId="0" fontId="7" fillId="0" borderId="2" xfId="0" applyFont="1" applyFill="1" applyBorder="1" applyAlignment="1">
      <alignment horizontal="center" vertical="center" shrinkToFit="1"/>
    </xf>
    <xf numFmtId="0" fontId="7" fillId="0" borderId="2" xfId="0" applyFont="1" applyFill="1" applyBorder="1" applyAlignment="1">
      <alignment vertical="center" shrinkToFit="1"/>
    </xf>
    <xf numFmtId="0" fontId="7" fillId="0" borderId="3" xfId="0" applyFont="1" applyFill="1" applyBorder="1" applyAlignment="1">
      <alignment horizontal="center" vertical="center" shrinkToFit="1"/>
    </xf>
    <xf numFmtId="0" fontId="7" fillId="0" borderId="1" xfId="0" applyFont="1" applyBorder="1" applyAlignment="1">
      <alignment vertical="center" shrinkToFit="1"/>
    </xf>
    <xf numFmtId="0" fontId="7" fillId="15" borderId="1" xfId="0" applyFont="1" applyFill="1" applyBorder="1" applyAlignment="1">
      <alignment vertical="center" shrinkToFit="1"/>
    </xf>
    <xf numFmtId="0" fontId="7" fillId="0" borderId="3" xfId="0" applyFont="1" applyBorder="1" applyAlignment="1">
      <alignment horizontal="center" vertical="center" shrinkToFit="1"/>
    </xf>
    <xf numFmtId="0" fontId="7" fillId="0" borderId="2" xfId="0" applyFont="1" applyBorder="1" applyAlignment="1">
      <alignment vertical="center" shrinkToFit="1"/>
    </xf>
    <xf numFmtId="0" fontId="7" fillId="16" borderId="1" xfId="0" applyFont="1" applyFill="1" applyBorder="1" applyAlignment="1">
      <alignment vertical="center" shrinkToFit="1"/>
    </xf>
    <xf numFmtId="0" fontId="7" fillId="17" borderId="1" xfId="0" applyFont="1" applyFill="1" applyBorder="1" applyAlignment="1">
      <alignment vertical="center" shrinkToFit="1"/>
    </xf>
    <xf numFmtId="0" fontId="7" fillId="0" borderId="0" xfId="0" applyFont="1" applyFill="1" applyBorder="1" applyAlignment="1">
      <alignment horizontal="center" vertical="center" shrinkToFit="1"/>
    </xf>
    <xf numFmtId="0" fontId="7" fillId="0" borderId="0" xfId="0" applyFont="1" applyFill="1" applyAlignment="1">
      <alignment vertical="center" shrinkToFit="1"/>
    </xf>
    <xf numFmtId="184" fontId="7" fillId="0" borderId="1" xfId="3" applyNumberFormat="1" applyFont="1" applyBorder="1" applyAlignment="1">
      <alignment vertical="center"/>
    </xf>
    <xf numFmtId="184" fontId="7" fillId="0" borderId="1" xfId="3" applyNumberFormat="1" applyFont="1" applyBorder="1" applyAlignment="1">
      <alignment horizontal="center" vertical="center"/>
    </xf>
    <xf numFmtId="184" fontId="7" fillId="0" borderId="1" xfId="3" applyNumberFormat="1" applyFont="1" applyBorder="1" applyAlignment="1">
      <alignment horizontal="right" vertical="center"/>
    </xf>
    <xf numFmtId="184" fontId="7" fillId="0" borderId="1" xfId="3" applyNumberFormat="1" applyFont="1" applyFill="1" applyBorder="1" applyAlignment="1">
      <alignment vertical="center"/>
    </xf>
    <xf numFmtId="184" fontId="7" fillId="0" borderId="1" xfId="3" applyNumberFormat="1" applyFont="1" applyFill="1" applyBorder="1" applyAlignment="1">
      <alignment horizontal="right" vertical="center"/>
    </xf>
    <xf numFmtId="184" fontId="7" fillId="0" borderId="1" xfId="3" applyNumberFormat="1" applyFont="1" applyFill="1" applyBorder="1" applyAlignment="1">
      <alignment horizontal="center" vertical="center"/>
    </xf>
    <xf numFmtId="184" fontId="7" fillId="0" borderId="7" xfId="3" applyNumberFormat="1" applyFont="1" applyFill="1" applyBorder="1" applyAlignment="1">
      <alignment horizontal="center" vertical="center"/>
    </xf>
    <xf numFmtId="184" fontId="7" fillId="0" borderId="7" xfId="3" applyNumberFormat="1" applyFont="1" applyFill="1" applyBorder="1" applyAlignment="1">
      <alignment vertical="center"/>
    </xf>
    <xf numFmtId="184" fontId="7" fillId="0" borderId="1" xfId="3" applyNumberFormat="1" applyFont="1" applyFill="1" applyBorder="1" applyAlignment="1">
      <alignment vertical="center" shrinkToFit="1"/>
    </xf>
    <xf numFmtId="184" fontId="7" fillId="0" borderId="2" xfId="3" applyNumberFormat="1" applyFont="1" applyFill="1" applyBorder="1" applyAlignment="1">
      <alignment vertical="center" shrinkToFit="1"/>
    </xf>
    <xf numFmtId="184" fontId="7" fillId="0" borderId="27" xfId="3" applyNumberFormat="1" applyFont="1" applyFill="1" applyBorder="1" applyAlignment="1">
      <alignment vertical="center" shrinkToFit="1"/>
    </xf>
    <xf numFmtId="184" fontId="5" fillId="0" borderId="1" xfId="3" applyNumberFormat="1" applyFont="1" applyBorder="1" applyAlignment="1">
      <alignment vertical="center"/>
    </xf>
    <xf numFmtId="184" fontId="5" fillId="20" borderId="1" xfId="3" applyNumberFormat="1" applyFont="1" applyFill="1" applyBorder="1" applyAlignment="1">
      <alignment vertical="center"/>
    </xf>
    <xf numFmtId="184" fontId="0" fillId="0" borderId="21" xfId="0" applyNumberFormat="1" applyBorder="1" applyAlignment="1">
      <alignment vertical="center"/>
    </xf>
    <xf numFmtId="184" fontId="8" fillId="0" borderId="0" xfId="5" applyNumberFormat="1" applyFont="1" applyAlignment="1">
      <alignment vertical="center"/>
    </xf>
    <xf numFmtId="0" fontId="4" fillId="12" borderId="0" xfId="0" applyFont="1" applyFill="1" applyBorder="1" applyAlignment="1">
      <alignment vertical="center"/>
    </xf>
    <xf numFmtId="0" fontId="7" fillId="0" borderId="7" xfId="0" applyFont="1" applyBorder="1" applyAlignment="1">
      <alignment horizontal="center" vertical="center"/>
    </xf>
    <xf numFmtId="0" fontId="7" fillId="0" borderId="26" xfId="0" applyFont="1" applyBorder="1" applyAlignment="1">
      <alignment horizontal="center" vertical="center"/>
    </xf>
    <xf numFmtId="0" fontId="7" fillId="0" borderId="1" xfId="0" applyFont="1" applyBorder="1" applyAlignment="1">
      <alignment horizontal="left" vertical="center"/>
    </xf>
    <xf numFmtId="0" fontId="7" fillId="0" borderId="7" xfId="0" applyFont="1" applyBorder="1" applyAlignment="1">
      <alignment horizontal="left" vertical="center"/>
    </xf>
    <xf numFmtId="0" fontId="7" fillId="0" borderId="26" xfId="0" applyFont="1" applyBorder="1" applyAlignment="1">
      <alignment horizontal="left" vertical="center"/>
    </xf>
    <xf numFmtId="0" fontId="0" fillId="0" borderId="21" xfId="0" applyBorder="1" applyAlignment="1">
      <alignment horizontal="center" vertical="center"/>
    </xf>
    <xf numFmtId="0" fontId="5" fillId="0" borderId="22" xfId="0" applyFont="1" applyBorder="1" applyAlignment="1">
      <alignment horizontal="center" vertical="center"/>
    </xf>
    <xf numFmtId="0" fontId="5" fillId="0" borderId="28" xfId="0" applyFont="1" applyBorder="1" applyAlignment="1">
      <alignment horizontal="center" vertical="center"/>
    </xf>
    <xf numFmtId="0" fontId="5" fillId="0" borderId="23" xfId="0" applyFont="1" applyBorder="1" applyAlignment="1">
      <alignment horizontal="center" vertical="center"/>
    </xf>
    <xf numFmtId="184" fontId="7" fillId="0" borderId="7" xfId="0" applyNumberFormat="1" applyFont="1" applyBorder="1" applyAlignment="1">
      <alignment horizontal="center" vertical="center"/>
    </xf>
    <xf numFmtId="184" fontId="7" fillId="0" borderId="26" xfId="0" applyNumberFormat="1" applyFont="1" applyBorder="1" applyAlignment="1">
      <alignment horizontal="center" vertical="center"/>
    </xf>
    <xf numFmtId="0" fontId="7" fillId="0" borderId="7" xfId="0" applyFont="1" applyBorder="1" applyAlignment="1">
      <alignment horizontal="center" vertical="center" shrinkToFit="1"/>
    </xf>
    <xf numFmtId="0" fontId="7" fillId="0" borderId="26" xfId="0" applyFont="1" applyBorder="1" applyAlignment="1">
      <alignment horizontal="center" vertical="center" shrinkToFit="1"/>
    </xf>
    <xf numFmtId="0" fontId="0" fillId="0" borderId="21" xfId="0" applyBorder="1" applyAlignment="1">
      <alignment horizontal="center" vertical="center" shrinkToFit="1"/>
    </xf>
    <xf numFmtId="183" fontId="0" fillId="0" borderId="21" xfId="0" applyNumberFormat="1" applyBorder="1" applyAlignment="1">
      <alignment horizontal="center" vertical="center"/>
    </xf>
    <xf numFmtId="38" fontId="5" fillId="0" borderId="29" xfId="3" applyFont="1" applyBorder="1" applyAlignment="1">
      <alignment horizontal="right" vertical="center" shrinkToFit="1"/>
    </xf>
    <xf numFmtId="38" fontId="5" fillId="0" borderId="30" xfId="3" applyFont="1" applyBorder="1" applyAlignment="1">
      <alignment horizontal="right" vertical="center" shrinkToFit="1"/>
    </xf>
    <xf numFmtId="38" fontId="0" fillId="0" borderId="29" xfId="3" applyFont="1" applyBorder="1" applyAlignment="1">
      <alignment horizontal="right" vertical="center" shrinkToFit="1"/>
    </xf>
    <xf numFmtId="38" fontId="0" fillId="0" borderId="30" xfId="3" applyFont="1" applyBorder="1" applyAlignment="1">
      <alignment horizontal="right" vertical="center" shrinkToFit="1"/>
    </xf>
    <xf numFmtId="0" fontId="25" fillId="0" borderId="7" xfId="0" applyFont="1" applyBorder="1" applyAlignment="1">
      <alignment vertical="center" shrinkToFit="1"/>
    </xf>
    <xf numFmtId="0" fontId="25" fillId="0" borderId="26" xfId="0" applyFont="1" applyBorder="1" applyAlignment="1">
      <alignment vertical="center" shrinkToFit="1"/>
    </xf>
    <xf numFmtId="184" fontId="7" fillId="0" borderId="1" xfId="0" applyNumberFormat="1" applyFont="1" applyBorder="1" applyAlignment="1">
      <alignment horizontal="right" vertical="center"/>
    </xf>
    <xf numFmtId="0" fontId="7" fillId="0" borderId="1" xfId="0" applyFont="1" applyBorder="1" applyAlignment="1">
      <alignment horizontal="center" vertical="center" shrinkToFit="1"/>
    </xf>
    <xf numFmtId="0" fontId="7" fillId="0" borderId="1" xfId="0" applyFont="1" applyFill="1" applyBorder="1" applyAlignment="1">
      <alignment horizontal="left" vertical="center" shrinkToFit="1"/>
    </xf>
    <xf numFmtId="184" fontId="7" fillId="0" borderId="7" xfId="0" applyNumberFormat="1" applyFont="1" applyBorder="1" applyAlignment="1">
      <alignment horizontal="right" vertical="center"/>
    </xf>
    <xf numFmtId="184" fontId="7" fillId="0" borderId="26" xfId="0" applyNumberFormat="1" applyFont="1" applyBorder="1" applyAlignment="1">
      <alignment horizontal="right" vertical="center"/>
    </xf>
    <xf numFmtId="178" fontId="7" fillId="0" borderId="7" xfId="0" applyNumberFormat="1" applyFont="1" applyFill="1" applyBorder="1" applyAlignment="1">
      <alignment horizontal="left" vertical="center" shrinkToFit="1"/>
    </xf>
    <xf numFmtId="0" fontId="7" fillId="0" borderId="26" xfId="0" applyFont="1" applyFill="1" applyBorder="1" applyAlignment="1">
      <alignment horizontal="left" vertical="center" shrinkToFit="1"/>
    </xf>
    <xf numFmtId="177" fontId="0" fillId="0" borderId="0" xfId="0" applyNumberFormat="1" applyFont="1" applyBorder="1" applyAlignment="1">
      <alignment horizontal="center" vertical="center"/>
    </xf>
    <xf numFmtId="0" fontId="0" fillId="0" borderId="0" xfId="0" applyFont="1" applyBorder="1" applyAlignment="1">
      <alignment horizontal="left" vertical="center"/>
    </xf>
    <xf numFmtId="0" fontId="0" fillId="0" borderId="0" xfId="0" applyBorder="1" applyAlignment="1">
      <alignment horizontal="left" vertical="center"/>
    </xf>
    <xf numFmtId="0" fontId="5" fillId="0" borderId="1" xfId="0" applyFont="1" applyBorder="1" applyAlignment="1">
      <alignment horizontal="left" vertical="center"/>
    </xf>
    <xf numFmtId="0" fontId="4" fillId="0" borderId="0" xfId="0" applyFont="1" applyAlignment="1">
      <alignment horizontal="center" vertical="center"/>
    </xf>
    <xf numFmtId="0" fontId="4" fillId="0" borderId="0" xfId="0" applyFont="1" applyBorder="1" applyAlignment="1">
      <alignment horizontal="center" vertical="center"/>
    </xf>
    <xf numFmtId="0" fontId="7" fillId="0" borderId="1" xfId="0" applyFont="1" applyBorder="1" applyAlignment="1">
      <alignment horizontal="center" vertical="center"/>
    </xf>
    <xf numFmtId="38" fontId="7" fillId="0" borderId="7" xfId="0" applyNumberFormat="1" applyFont="1" applyFill="1" applyBorder="1" applyAlignment="1">
      <alignment horizontal="left" vertical="center" shrinkToFit="1"/>
    </xf>
    <xf numFmtId="38" fontId="4" fillId="0" borderId="0" xfId="3" applyFont="1" applyFill="1" applyAlignment="1">
      <alignment horizontal="center" vertical="center" shrinkToFit="1"/>
    </xf>
    <xf numFmtId="38" fontId="4" fillId="0" borderId="0" xfId="3" applyFont="1" applyFill="1" applyBorder="1" applyAlignment="1">
      <alignment horizontal="center" vertical="center" shrinkToFit="1"/>
    </xf>
    <xf numFmtId="0" fontId="7" fillId="0" borderId="1" xfId="0" applyFont="1" applyFill="1" applyBorder="1" applyAlignment="1">
      <alignment horizontal="center" vertical="center" shrinkToFit="1"/>
    </xf>
    <xf numFmtId="184" fontId="7" fillId="0" borderId="1" xfId="0" applyNumberFormat="1" applyFont="1" applyFill="1" applyBorder="1" applyAlignment="1">
      <alignment horizontal="right" vertical="center"/>
    </xf>
    <xf numFmtId="38" fontId="7" fillId="0" borderId="1" xfId="3" applyFont="1" applyFill="1" applyBorder="1" applyAlignment="1">
      <alignment horizontal="center" vertical="center"/>
    </xf>
    <xf numFmtId="0" fontId="7" fillId="0" borderId="7" xfId="0" applyFont="1" applyFill="1" applyBorder="1" applyAlignment="1">
      <alignment horizontal="center" vertical="center" shrinkToFit="1"/>
    </xf>
    <xf numFmtId="0" fontId="7" fillId="0" borderId="26" xfId="0" applyFont="1" applyFill="1" applyBorder="1" applyAlignment="1">
      <alignment horizontal="center" vertical="center" shrinkToFit="1"/>
    </xf>
    <xf numFmtId="184" fontId="7" fillId="0" borderId="7" xfId="0" applyNumberFormat="1" applyFont="1" applyFill="1" applyBorder="1" applyAlignment="1">
      <alignment horizontal="center" vertical="center"/>
    </xf>
    <xf numFmtId="184" fontId="7" fillId="0" borderId="26" xfId="0" applyNumberFormat="1" applyFont="1" applyFill="1" applyBorder="1" applyAlignment="1">
      <alignment horizontal="center" vertical="center"/>
    </xf>
    <xf numFmtId="184" fontId="7" fillId="0" borderId="7" xfId="0" applyNumberFormat="1" applyFont="1" applyFill="1" applyBorder="1" applyAlignment="1">
      <alignment horizontal="right" vertical="center"/>
    </xf>
    <xf numFmtId="184" fontId="7" fillId="0" borderId="26" xfId="0" applyNumberFormat="1" applyFont="1" applyFill="1" applyBorder="1" applyAlignment="1">
      <alignment horizontal="right" vertical="center"/>
    </xf>
    <xf numFmtId="0" fontId="18" fillId="0" borderId="0" xfId="0" applyFont="1" applyAlignment="1">
      <alignment horizontal="center" wrapText="1"/>
    </xf>
    <xf numFmtId="0" fontId="18" fillId="0" borderId="0" xfId="0" applyFont="1" applyAlignment="1">
      <alignment horizontal="left" wrapText="1"/>
    </xf>
    <xf numFmtId="0" fontId="18" fillId="0" borderId="0" xfId="0" applyFont="1" applyAlignment="1">
      <alignment horizontal="left" vertical="center" wrapText="1"/>
    </xf>
    <xf numFmtId="0" fontId="18" fillId="0" borderId="0" xfId="0" applyFont="1" applyAlignment="1">
      <alignment horizontal="center" vertical="center"/>
    </xf>
    <xf numFmtId="38" fontId="18" fillId="0" borderId="0" xfId="0" applyNumberFormat="1" applyFont="1" applyAlignment="1">
      <alignment horizontal="right" vertical="center" wrapText="1"/>
    </xf>
    <xf numFmtId="0" fontId="18" fillId="0" borderId="0" xfId="0" applyFont="1" applyAlignment="1">
      <alignment horizontal="right" vertical="center" wrapText="1"/>
    </xf>
    <xf numFmtId="0" fontId="16" fillId="0" borderId="31" xfId="0" applyFont="1" applyBorder="1" applyAlignment="1">
      <alignment horizontal="center" vertical="center"/>
    </xf>
    <xf numFmtId="0" fontId="16" fillId="0" borderId="32" xfId="0" applyFont="1" applyBorder="1" applyAlignment="1">
      <alignment horizontal="center" vertical="center"/>
    </xf>
    <xf numFmtId="0" fontId="16" fillId="0" borderId="33" xfId="0" applyFont="1" applyBorder="1" applyAlignment="1">
      <alignment horizontal="center" vertical="center"/>
    </xf>
    <xf numFmtId="38" fontId="16" fillId="0" borderId="34" xfId="0" applyNumberFormat="1" applyFont="1" applyBorder="1" applyAlignment="1">
      <alignment horizontal="left" vertical="center" wrapText="1"/>
    </xf>
    <xf numFmtId="0" fontId="16" fillId="0" borderId="35" xfId="0" applyFont="1" applyBorder="1" applyAlignment="1">
      <alignment horizontal="left" vertical="center" wrapText="1"/>
    </xf>
    <xf numFmtId="0" fontId="16" fillId="0" borderId="36" xfId="0" applyFont="1" applyBorder="1" applyAlignment="1">
      <alignment horizontal="left" vertical="center" wrapText="1"/>
    </xf>
    <xf numFmtId="0" fontId="16" fillId="0" borderId="37" xfId="0" applyFont="1" applyBorder="1" applyAlignment="1">
      <alignment horizontal="left" vertical="center" wrapText="1"/>
    </xf>
    <xf numFmtId="0" fontId="16" fillId="0" borderId="0" xfId="0" applyFont="1" applyBorder="1" applyAlignment="1">
      <alignment horizontal="left" vertical="center" wrapText="1"/>
    </xf>
    <xf numFmtId="0" fontId="16" fillId="0" borderId="38" xfId="0" applyFont="1" applyBorder="1" applyAlignment="1">
      <alignment horizontal="left" vertical="center" wrapText="1"/>
    </xf>
    <xf numFmtId="0" fontId="16" fillId="0" borderId="39" xfId="0" applyFont="1" applyBorder="1" applyAlignment="1">
      <alignment horizontal="left" vertical="center" wrapText="1"/>
    </xf>
    <xf numFmtId="0" fontId="16" fillId="0" borderId="40" xfId="0" applyFont="1" applyBorder="1" applyAlignment="1">
      <alignment horizontal="left" vertical="center" wrapText="1"/>
    </xf>
    <xf numFmtId="0" fontId="16" fillId="0" borderId="41" xfId="0" applyFont="1" applyBorder="1" applyAlignment="1">
      <alignment horizontal="left" vertical="center" wrapText="1"/>
    </xf>
    <xf numFmtId="0" fontId="18" fillId="0" borderId="0" xfId="0" applyFont="1" applyAlignment="1">
      <alignment horizontal="center" vertical="center" wrapText="1"/>
    </xf>
    <xf numFmtId="0" fontId="22" fillId="0" borderId="42" xfId="0" applyFont="1" applyBorder="1" applyAlignment="1">
      <alignment horizontal="center" vertical="center" shrinkToFit="1"/>
    </xf>
    <xf numFmtId="0" fontId="22" fillId="0" borderId="25" xfId="0" applyFont="1" applyBorder="1" applyAlignment="1">
      <alignment horizontal="center" vertical="center" shrinkToFit="1"/>
    </xf>
    <xf numFmtId="0" fontId="22" fillId="0" borderId="24" xfId="0" applyFont="1" applyBorder="1" applyAlignment="1">
      <alignment horizontal="center" vertical="center" shrinkToFit="1"/>
    </xf>
    <xf numFmtId="38" fontId="22" fillId="18" borderId="42" xfId="4" applyFont="1" applyFill="1" applyBorder="1" applyAlignment="1">
      <alignment horizontal="center" vertical="center" shrinkToFit="1"/>
    </xf>
    <xf numFmtId="38" fontId="22" fillId="18" borderId="25" xfId="4" applyFont="1" applyFill="1" applyBorder="1" applyAlignment="1">
      <alignment horizontal="center" vertical="center" shrinkToFit="1"/>
    </xf>
    <xf numFmtId="0" fontId="23" fillId="0" borderId="18" xfId="0" applyFont="1" applyBorder="1" applyAlignment="1">
      <alignment horizontal="center" vertical="center" shrinkToFit="1"/>
    </xf>
    <xf numFmtId="38" fontId="22" fillId="18" borderId="24" xfId="4" applyFont="1" applyFill="1" applyBorder="1" applyAlignment="1">
      <alignment horizontal="center" vertical="center" shrinkToFit="1"/>
    </xf>
    <xf numFmtId="0" fontId="21" fillId="0" borderId="43" xfId="0" applyFont="1" applyFill="1" applyBorder="1" applyAlignment="1">
      <alignment horizontal="left" vertical="center" shrinkToFit="1"/>
    </xf>
    <xf numFmtId="0" fontId="21" fillId="0" borderId="19" xfId="0" applyFont="1" applyFill="1" applyBorder="1" applyAlignment="1">
      <alignment horizontal="left" vertical="center" shrinkToFit="1"/>
    </xf>
    <xf numFmtId="38" fontId="21" fillId="0" borderId="43" xfId="0" applyNumberFormat="1" applyFont="1" applyBorder="1" applyAlignment="1">
      <alignment horizontal="center" vertical="center" shrinkToFit="1"/>
    </xf>
    <xf numFmtId="0" fontId="21" fillId="0" borderId="19" xfId="0" applyFont="1" applyBorder="1" applyAlignment="1">
      <alignment horizontal="center" vertical="center" shrinkToFit="1"/>
    </xf>
    <xf numFmtId="0" fontId="21" fillId="0" borderId="43" xfId="0" applyFont="1" applyBorder="1" applyAlignment="1">
      <alignment horizontal="left" vertical="center" shrinkToFit="1"/>
    </xf>
    <xf numFmtId="0" fontId="21" fillId="0" borderId="19" xfId="0" applyFont="1" applyBorder="1" applyAlignment="1">
      <alignment horizontal="left" vertical="center" shrinkToFit="1"/>
    </xf>
    <xf numFmtId="0" fontId="18" fillId="0" borderId="0" xfId="0" applyFont="1" applyAlignment="1">
      <alignment horizontal="center" shrinkToFit="1"/>
    </xf>
    <xf numFmtId="0" fontId="22" fillId="18" borderId="0" xfId="0" applyFont="1" applyFill="1" applyAlignment="1">
      <alignment horizontal="center" vertical="center" shrinkToFit="1"/>
    </xf>
    <xf numFmtId="0" fontId="23" fillId="0" borderId="0" xfId="0" applyFont="1" applyAlignment="1">
      <alignment horizontal="center" vertical="center" shrinkToFit="1"/>
    </xf>
    <xf numFmtId="0" fontId="21" fillId="0" borderId="17" xfId="0" applyFont="1" applyFill="1" applyBorder="1" applyAlignment="1">
      <alignment horizontal="left" vertical="center" shrinkToFit="1"/>
    </xf>
    <xf numFmtId="38" fontId="21" fillId="0" borderId="17" xfId="0" applyNumberFormat="1" applyFont="1" applyBorder="1" applyAlignment="1">
      <alignment horizontal="center" vertical="center" shrinkToFit="1"/>
    </xf>
    <xf numFmtId="0" fontId="21" fillId="0" borderId="17" xfId="0" applyFont="1" applyBorder="1" applyAlignment="1">
      <alignment horizontal="left" vertical="center" shrinkToFit="1"/>
    </xf>
    <xf numFmtId="0" fontId="21" fillId="0" borderId="0" xfId="0" applyFont="1" applyAlignment="1">
      <alignment horizontal="center" vertical="center" shrinkToFit="1"/>
    </xf>
    <xf numFmtId="0" fontId="20" fillId="0" borderId="0" xfId="0" applyFont="1" applyAlignment="1">
      <alignment horizontal="center" vertical="center"/>
    </xf>
    <xf numFmtId="0" fontId="21" fillId="0" borderId="0" xfId="0" applyFont="1" applyAlignment="1">
      <alignment horizontal="center" vertical="center" wrapText="1"/>
    </xf>
    <xf numFmtId="38" fontId="21" fillId="0" borderId="17" xfId="0" applyNumberFormat="1" applyFont="1" applyFill="1" applyBorder="1" applyAlignment="1">
      <alignment horizontal="left" vertical="center" shrinkToFit="1"/>
    </xf>
    <xf numFmtId="38" fontId="21" fillId="0" borderId="19" xfId="0" applyNumberFormat="1" applyFont="1" applyBorder="1" applyAlignment="1">
      <alignment horizontal="center" vertical="center" shrinkToFit="1"/>
    </xf>
  </cellXfs>
  <cellStyles count="6">
    <cellStyle name="パーセント" xfId="1" builtinId="5"/>
    <cellStyle name="パーセント 2" xfId="2" xr:uid="{00000000-0005-0000-0000-000001000000}"/>
    <cellStyle name="桁区切り" xfId="3" builtinId="6"/>
    <cellStyle name="桁区切り 2" xfId="4" xr:uid="{00000000-0005-0000-0000-000003000000}"/>
    <cellStyle name="通貨" xfId="5" builtinId="7"/>
    <cellStyle name="標準" xfId="0" builtinId="0"/>
  </cellStyles>
  <dxfs count="11">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color auto="1"/>
      </font>
      <fill>
        <patternFill>
          <bgColor indexed="10"/>
        </patternFill>
      </fill>
    </dxf>
    <dxf>
      <font>
        <b/>
        <i val="0"/>
        <condense val="0"/>
        <extend val="0"/>
      </font>
      <fill>
        <patternFill>
          <bgColor indexed="10"/>
        </patternFill>
      </fill>
    </dxf>
    <dxf>
      <fill>
        <patternFill patternType="gray125">
          <fgColor indexed="9"/>
          <bgColor indexed="33"/>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342900</xdr:colOff>
      <xdr:row>295</xdr:row>
      <xdr:rowOff>9525</xdr:rowOff>
    </xdr:from>
    <xdr:to>
      <xdr:col>7</xdr:col>
      <xdr:colOff>342900</xdr:colOff>
      <xdr:row>296</xdr:row>
      <xdr:rowOff>9525</xdr:rowOff>
    </xdr:to>
    <xdr:sp macro="" textlink="">
      <xdr:nvSpPr>
        <xdr:cNvPr id="4073" name="Line 1">
          <a:extLst>
            <a:ext uri="{FF2B5EF4-FFF2-40B4-BE49-F238E27FC236}">
              <a16:creationId xmlns:a16="http://schemas.microsoft.com/office/drawing/2014/main" id="{00000000-0008-0000-0000-0000E90F0000}"/>
            </a:ext>
          </a:extLst>
        </xdr:cNvPr>
        <xdr:cNvSpPr>
          <a:spLocks noChangeShapeType="1"/>
        </xdr:cNvSpPr>
      </xdr:nvSpPr>
      <xdr:spPr bwMode="auto">
        <a:xfrm>
          <a:off x="6858000" y="5251132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333375</xdr:colOff>
      <xdr:row>296</xdr:row>
      <xdr:rowOff>9525</xdr:rowOff>
    </xdr:from>
    <xdr:to>
      <xdr:col>16</xdr:col>
      <xdr:colOff>390525</xdr:colOff>
      <xdr:row>296</xdr:row>
      <xdr:rowOff>9525</xdr:rowOff>
    </xdr:to>
    <xdr:sp macro="" textlink="">
      <xdr:nvSpPr>
        <xdr:cNvPr id="4074" name="Line 2">
          <a:extLst>
            <a:ext uri="{FF2B5EF4-FFF2-40B4-BE49-F238E27FC236}">
              <a16:creationId xmlns:a16="http://schemas.microsoft.com/office/drawing/2014/main" id="{00000000-0008-0000-0000-0000EA0F0000}"/>
            </a:ext>
          </a:extLst>
        </xdr:cNvPr>
        <xdr:cNvSpPr>
          <a:spLocks noChangeShapeType="1"/>
        </xdr:cNvSpPr>
      </xdr:nvSpPr>
      <xdr:spPr bwMode="auto">
        <a:xfrm>
          <a:off x="6848475" y="52654200"/>
          <a:ext cx="62579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16</xdr:col>
      <xdr:colOff>342900</xdr:colOff>
      <xdr:row>295</xdr:row>
      <xdr:rowOff>0</xdr:rowOff>
    </xdr:from>
    <xdr:to>
      <xdr:col>16</xdr:col>
      <xdr:colOff>342900</xdr:colOff>
      <xdr:row>296</xdr:row>
      <xdr:rowOff>38100</xdr:rowOff>
    </xdr:to>
    <xdr:sp macro="" textlink="">
      <xdr:nvSpPr>
        <xdr:cNvPr id="4075" name="Line 3">
          <a:extLst>
            <a:ext uri="{FF2B5EF4-FFF2-40B4-BE49-F238E27FC236}">
              <a16:creationId xmlns:a16="http://schemas.microsoft.com/office/drawing/2014/main" id="{00000000-0008-0000-0000-0000EB0F0000}"/>
            </a:ext>
          </a:extLst>
        </xdr:cNvPr>
        <xdr:cNvSpPr>
          <a:spLocks noChangeShapeType="1"/>
        </xdr:cNvSpPr>
      </xdr:nvSpPr>
      <xdr:spPr bwMode="auto">
        <a:xfrm flipV="1">
          <a:off x="13058775" y="52501800"/>
          <a:ext cx="0" cy="180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371475</xdr:colOff>
      <xdr:row>295</xdr:row>
      <xdr:rowOff>0</xdr:rowOff>
    </xdr:from>
    <xdr:to>
      <xdr:col>15</xdr:col>
      <xdr:colOff>371475</xdr:colOff>
      <xdr:row>296</xdr:row>
      <xdr:rowOff>9525</xdr:rowOff>
    </xdr:to>
    <xdr:sp macro="" textlink="">
      <xdr:nvSpPr>
        <xdr:cNvPr id="4076" name="Line 4">
          <a:extLst>
            <a:ext uri="{FF2B5EF4-FFF2-40B4-BE49-F238E27FC236}">
              <a16:creationId xmlns:a16="http://schemas.microsoft.com/office/drawing/2014/main" id="{00000000-0008-0000-0000-0000EC0F0000}"/>
            </a:ext>
          </a:extLst>
        </xdr:cNvPr>
        <xdr:cNvSpPr>
          <a:spLocks noChangeShapeType="1"/>
        </xdr:cNvSpPr>
      </xdr:nvSpPr>
      <xdr:spPr bwMode="auto">
        <a:xfrm flipV="1">
          <a:off x="12353925" y="52501800"/>
          <a:ext cx="0" cy="152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266700</xdr:colOff>
      <xdr:row>293</xdr:row>
      <xdr:rowOff>66675</xdr:rowOff>
    </xdr:from>
    <xdr:to>
      <xdr:col>10</xdr:col>
      <xdr:colOff>76200</xdr:colOff>
      <xdr:row>294</xdr:row>
      <xdr:rowOff>114300</xdr:rowOff>
    </xdr:to>
    <xdr:sp macro="" textlink="">
      <xdr:nvSpPr>
        <xdr:cNvPr id="3145" name="AutoShape 73">
          <a:extLst>
            <a:ext uri="{FF2B5EF4-FFF2-40B4-BE49-F238E27FC236}">
              <a16:creationId xmlns:a16="http://schemas.microsoft.com/office/drawing/2014/main" id="{00000000-0008-0000-0000-0000490C0000}"/>
            </a:ext>
          </a:extLst>
        </xdr:cNvPr>
        <xdr:cNvSpPr>
          <a:spLocks noChangeArrowheads="1"/>
        </xdr:cNvSpPr>
      </xdr:nvSpPr>
      <xdr:spPr bwMode="auto">
        <a:xfrm>
          <a:off x="8353425" y="15278100"/>
          <a:ext cx="533400" cy="190500"/>
        </a:xfrm>
        <a:prstGeom prst="wedgeRectCallout">
          <a:avLst>
            <a:gd name="adj1" fmla="val -80356"/>
            <a:gd name="adj2" fmla="val 30000"/>
          </a:avLst>
        </a:prstGeom>
        <a:solidFill>
          <a:srgbClr val="FFFFFF"/>
        </a:solidFill>
        <a:ln w="9525" algn="ctr">
          <a:solidFill>
            <a:srgbClr val="000000"/>
          </a:solidFill>
          <a:miter lim="800000"/>
          <a:headEnd/>
          <a:tailEnd/>
        </a:ln>
        <a:effectLst/>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消費税</a:t>
          </a:r>
        </a:p>
      </xdr:txBody>
    </xdr:sp>
    <xdr:clientData/>
  </xdr:twoCellAnchor>
  <xdr:twoCellAnchor>
    <xdr:from>
      <xdr:col>1</xdr:col>
      <xdr:colOff>250031</xdr:colOff>
      <xdr:row>297</xdr:row>
      <xdr:rowOff>119063</xdr:rowOff>
    </xdr:from>
    <xdr:to>
      <xdr:col>4</xdr:col>
      <xdr:colOff>592932</xdr:colOff>
      <xdr:row>300</xdr:row>
      <xdr:rowOff>100013</xdr:rowOff>
    </xdr:to>
    <xdr:sp macro="" textlink="">
      <xdr:nvSpPr>
        <xdr:cNvPr id="9" name="左矢印吹き出し 8">
          <a:extLst>
            <a:ext uri="{FF2B5EF4-FFF2-40B4-BE49-F238E27FC236}">
              <a16:creationId xmlns:a16="http://schemas.microsoft.com/office/drawing/2014/main" id="{00000000-0008-0000-0000-000009000000}"/>
            </a:ext>
          </a:extLst>
        </xdr:cNvPr>
        <xdr:cNvSpPr/>
      </xdr:nvSpPr>
      <xdr:spPr bwMode="auto">
        <a:xfrm flipH="1">
          <a:off x="607219" y="15442407"/>
          <a:ext cx="3152776" cy="409575"/>
        </a:xfrm>
        <a:prstGeom prst="leftArrowCallout">
          <a:avLst>
            <a:gd name="adj1" fmla="val 25000"/>
            <a:gd name="adj2" fmla="val 25000"/>
            <a:gd name="adj3" fmla="val 25000"/>
            <a:gd name="adj4" fmla="val 90633"/>
          </a:avLst>
        </a:prstGeom>
        <a:solidFill>
          <a:srgbClr val="FF9900">
            <a:alpha val="80000"/>
          </a:srgbClr>
        </a:solidFill>
        <a:ln w="25400" cap="flat" cmpd="sng" algn="ctr">
          <a:solidFill>
            <a:srgbClr val="FF0000"/>
          </a:solidFill>
          <a:prstDash val="solid"/>
          <a:round/>
          <a:headEnd type="none" w="med" len="med"/>
          <a:tailEnd type="none" w="med" len="med"/>
        </a:ln>
        <a:effectLst/>
      </xdr:spPr>
      <xdr:txBody>
        <a:bodyPr vertOverflow="clip" horzOverflow="clip" wrap="square" lIns="18288" tIns="0" rIns="0" bIns="0" rtlCol="0" anchor="ctr" anchorCtr="1" upright="1"/>
        <a:lstStyle/>
        <a:p>
          <a:pPr algn="l"/>
          <a:r>
            <a:rPr kumimoji="1" lang="ja-JP" altLang="en-US" sz="1100"/>
            <a:t>設計担当に確認し、比率を入力する。</a:t>
          </a:r>
        </a:p>
      </xdr:txBody>
    </xdr:sp>
    <xdr:clientData/>
  </xdr:twoCellAnchor>
  <mc:AlternateContent xmlns:mc="http://schemas.openxmlformats.org/markup-compatibility/2006">
    <mc:Choice xmlns:a14="http://schemas.microsoft.com/office/drawing/2010/main" Requires="a14">
      <xdr:twoCellAnchor>
        <xdr:from>
          <xdr:col>11</xdr:col>
          <xdr:colOff>31750</xdr:colOff>
          <xdr:row>1</xdr:row>
          <xdr:rowOff>12700</xdr:rowOff>
        </xdr:from>
        <xdr:to>
          <xdr:col>12</xdr:col>
          <xdr:colOff>247650</xdr:colOff>
          <xdr:row>3</xdr:row>
          <xdr:rowOff>146050</xdr:rowOff>
        </xdr:to>
        <xdr:sp macro="" textlink="">
          <xdr:nvSpPr>
            <xdr:cNvPr id="4064" name="Button 992" hidden="1">
              <a:extLst>
                <a:ext uri="{63B3BB69-23CF-44E3-9099-C40C66FF867C}">
                  <a14:compatExt spid="_x0000_s4064"/>
                </a:ext>
                <a:ext uri="{FF2B5EF4-FFF2-40B4-BE49-F238E27FC236}">
                  <a16:creationId xmlns:a16="http://schemas.microsoft.com/office/drawing/2014/main" id="{00000000-0008-0000-0000-0000E00F0000}"/>
                </a:ext>
              </a:extLst>
            </xdr:cNvPr>
            <xdr:cNvSpPr/>
          </xdr:nvSpPr>
          <xdr:spPr bwMode="auto">
            <a:xfrm>
              <a:off x="0" y="0"/>
              <a:ext cx="0" cy="0"/>
            </a:xfrm>
            <a:prstGeom prst="rect">
              <a:avLst/>
            </a:prstGeom>
            <a:noFill/>
            <a:ln w="25400">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工事用→業務委託に変換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4</xdr:row>
          <xdr:rowOff>95250</xdr:rowOff>
        </xdr:from>
        <xdr:to>
          <xdr:col>12</xdr:col>
          <xdr:colOff>266700</xdr:colOff>
          <xdr:row>7</xdr:row>
          <xdr:rowOff>57150</xdr:rowOff>
        </xdr:to>
        <xdr:sp macro="" textlink="">
          <xdr:nvSpPr>
            <xdr:cNvPr id="4065" name="Button 993" hidden="1">
              <a:extLst>
                <a:ext uri="{63B3BB69-23CF-44E3-9099-C40C66FF867C}">
                  <a14:compatExt spid="_x0000_s4065"/>
                </a:ext>
                <a:ext uri="{FF2B5EF4-FFF2-40B4-BE49-F238E27FC236}">
                  <a16:creationId xmlns:a16="http://schemas.microsoft.com/office/drawing/2014/main" id="{00000000-0008-0000-0000-0000E10F0000}"/>
                </a:ext>
              </a:extLst>
            </xdr:cNvPr>
            <xdr:cNvSpPr/>
          </xdr:nvSpPr>
          <xdr:spPr bwMode="auto">
            <a:xfrm>
              <a:off x="0" y="0"/>
              <a:ext cx="0" cy="0"/>
            </a:xfrm>
            <a:prstGeom prst="rect">
              <a:avLst/>
            </a:prstGeom>
            <a:noFill/>
            <a:ln w="25400">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工事用→設計委託</a:t>
              </a:r>
            </a:p>
            <a:p>
              <a:pPr algn="ctr" rtl="0">
                <a:defRPr sz="1000"/>
              </a:pPr>
              <a:r>
                <a:rPr lang="ja-JP" altLang="en-US" sz="1100" b="0" i="0" u="none" strike="noStrike" baseline="0">
                  <a:solidFill>
                    <a:srgbClr val="000000"/>
                  </a:solidFill>
                  <a:latin typeface="ＭＳ Ｐゴシック"/>
                  <a:ea typeface="ＭＳ Ｐゴシック"/>
                </a:rPr>
                <a:t>に変換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8</xdr:row>
          <xdr:rowOff>0</xdr:rowOff>
        </xdr:from>
        <xdr:to>
          <xdr:col>12</xdr:col>
          <xdr:colOff>228600</xdr:colOff>
          <xdr:row>11</xdr:row>
          <xdr:rowOff>31750</xdr:rowOff>
        </xdr:to>
        <xdr:sp macro="" textlink="">
          <xdr:nvSpPr>
            <xdr:cNvPr id="4066" name="Button 994" hidden="1">
              <a:extLst>
                <a:ext uri="{63B3BB69-23CF-44E3-9099-C40C66FF867C}">
                  <a14:compatExt spid="_x0000_s4066"/>
                </a:ext>
                <a:ext uri="{FF2B5EF4-FFF2-40B4-BE49-F238E27FC236}">
                  <a16:creationId xmlns:a16="http://schemas.microsoft.com/office/drawing/2014/main" id="{00000000-0008-0000-0000-0000E20F0000}"/>
                </a:ext>
              </a:extLst>
            </xdr:cNvPr>
            <xdr:cNvSpPr/>
          </xdr:nvSpPr>
          <xdr:spPr bwMode="auto">
            <a:xfrm>
              <a:off x="0" y="0"/>
              <a:ext cx="0" cy="0"/>
            </a:xfrm>
            <a:prstGeom prst="rect">
              <a:avLst/>
            </a:prstGeom>
            <a:noFill/>
            <a:ln w="25400">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工事用に戻す</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156884</xdr:colOff>
      <xdr:row>16</xdr:row>
      <xdr:rowOff>0</xdr:rowOff>
    </xdr:from>
    <xdr:to>
      <xdr:col>11</xdr:col>
      <xdr:colOff>549090</xdr:colOff>
      <xdr:row>22</xdr:row>
      <xdr:rowOff>246531</xdr:rowOff>
    </xdr:to>
    <xdr:sp macro="" textlink="">
      <xdr:nvSpPr>
        <xdr:cNvPr id="2" name="正方形/長方形 1">
          <a:extLst>
            <a:ext uri="{FF2B5EF4-FFF2-40B4-BE49-F238E27FC236}">
              <a16:creationId xmlns:a16="http://schemas.microsoft.com/office/drawing/2014/main" id="{00000000-0008-0000-0200-000002000000}"/>
            </a:ext>
          </a:extLst>
        </xdr:cNvPr>
        <xdr:cNvSpPr/>
      </xdr:nvSpPr>
      <xdr:spPr>
        <a:xfrm>
          <a:off x="5767109" y="4562475"/>
          <a:ext cx="4983256" cy="184673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l"/>
          <a:r>
            <a:rPr kumimoji="1" lang="ja-JP" altLang="en-US" sz="1100"/>
            <a:t>①入力表シートの必要事項を入力する。</a:t>
          </a:r>
          <a:endParaRPr kumimoji="1" lang="en-US" altLang="ja-JP" sz="1100"/>
        </a:p>
        <a:p>
          <a:pPr algn="l"/>
          <a:r>
            <a:rPr kumimoji="1" lang="ja-JP" altLang="en-US" sz="1100"/>
            <a:t>②本シートのＤ４セル～Ｅ１５セルに設計書記載のそれぞれの％を記入する</a:t>
          </a:r>
          <a:endParaRPr kumimoji="1" lang="en-US" altLang="ja-JP" sz="1100"/>
        </a:p>
        <a:p>
          <a:pPr algn="l"/>
          <a:r>
            <a:rPr kumimoji="1" lang="ja-JP" altLang="en-US" sz="1100"/>
            <a:t>③その他の箇所については計算式を入れているので自動計算される</a:t>
          </a:r>
          <a:endParaRPr kumimoji="1" lang="en-US" altLang="ja-JP" sz="1100"/>
        </a:p>
        <a:p>
          <a:pPr algn="l"/>
          <a:r>
            <a:rPr kumimoji="1" lang="ja-JP" altLang="en-US" sz="1100"/>
            <a:t>④「債務負担行為に基づく契約における特約条項」のシートに金額がリンクしているので、それぞれ間違いがないか検算を行う。</a:t>
          </a:r>
          <a:endParaRPr kumimoji="1" lang="en-US" altLang="ja-JP" sz="1100"/>
        </a:p>
        <a:p>
          <a:pPr algn="l"/>
          <a:r>
            <a:rPr kumimoji="1" lang="ja-JP" altLang="en-US" sz="1100"/>
            <a:t>⑤契約のお知らせを送付し、本シートは関係者（設計担当係長・設計担当係員・工事担当係長・工事担当係員・本局経理担当にメールにて送付する。</a:t>
          </a:r>
          <a:endParaRPr kumimoji="1" lang="en-US" altLang="ja-JP" sz="1100"/>
        </a:p>
        <a:p>
          <a:pPr algn="l"/>
          <a:r>
            <a:rPr kumimoji="1" lang="en-US" altLang="ja-JP" sz="1100"/>
            <a:t>※</a:t>
          </a:r>
          <a:r>
            <a:rPr kumimoji="1" lang="ja-JP" altLang="en-US" sz="1100"/>
            <a:t>１：科目が７つ以上ある場合や３カ年以上に跨る場合は手動で追加願います</a:t>
          </a:r>
          <a:endParaRPr kumimoji="1" lang="en-US" altLang="ja-JP" sz="1100"/>
        </a:p>
        <a:p>
          <a:pPr algn="l"/>
          <a:r>
            <a:rPr kumimoji="1" lang="en-US" altLang="ja-JP" sz="1100"/>
            <a:t>※</a:t>
          </a:r>
          <a:r>
            <a:rPr kumimoji="1" lang="ja-JP" altLang="en-US" sz="1100"/>
            <a:t>２：必ず各科目、合計共に電卓により検算を行って下さい。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9900">
            <a:alpha val="80000"/>
          </a:srgbClr>
        </a:solidFill>
        <a:ln w="25400" cap="flat" cmpd="sng" algn="ctr">
          <a:solidFill>
            <a:srgbClr val="FF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9900">
            <a:alpha val="80000"/>
          </a:srgbClr>
        </a:solidFill>
        <a:ln w="25400" cap="flat" cmpd="sng" algn="ctr">
          <a:solidFill>
            <a:srgbClr val="FF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314"/>
  <sheetViews>
    <sheetView tabSelected="1" view="pageBreakPreview" zoomScale="115" zoomScaleNormal="100" zoomScaleSheetLayoutView="115" workbookViewId="0">
      <selection activeCell="G13" sqref="G13"/>
    </sheetView>
  </sheetViews>
  <sheetFormatPr defaultColWidth="9" defaultRowHeight="13" x14ac:dyDescent="0.2"/>
  <cols>
    <col min="1" max="1" width="4.7265625" style="7" customWidth="1"/>
    <col min="2" max="2" width="18.08984375" style="9" customWidth="1"/>
    <col min="3" max="3" width="16.08984375" style="7" customWidth="1"/>
    <col min="4" max="5" width="6.6328125" style="7" customWidth="1"/>
    <col min="6" max="8" width="16.6328125" style="7" customWidth="1"/>
    <col min="9" max="9" width="6.26953125" style="7" customWidth="1"/>
    <col min="10" max="10" width="6.453125" style="7" customWidth="1"/>
    <col min="11" max="11" width="4.7265625" style="7" customWidth="1"/>
    <col min="12" max="12" width="13.453125" style="7" customWidth="1"/>
    <col min="13" max="13" width="11.36328125" style="7" bestFit="1" customWidth="1"/>
    <col min="14" max="14" width="2.6328125" style="7" customWidth="1"/>
    <col min="15" max="15" width="10.08984375" style="7" bestFit="1" customWidth="1"/>
    <col min="16" max="16" width="9.6328125" style="7" bestFit="1" customWidth="1"/>
    <col min="17" max="17" width="9.6328125" style="7" customWidth="1"/>
    <col min="18" max="18" width="2.6328125" style="9" customWidth="1"/>
    <col min="19" max="19" width="12" style="9" customWidth="1"/>
    <col min="20" max="20" width="7.453125" style="9" customWidth="1"/>
    <col min="21" max="21" width="4" style="9" customWidth="1"/>
    <col min="22" max="22" width="10.7265625" style="9" customWidth="1"/>
    <col min="23" max="24" width="15" style="9" customWidth="1"/>
    <col min="25" max="26" width="6.26953125" style="9" customWidth="1"/>
    <col min="27" max="33" width="9.453125" style="9" customWidth="1"/>
    <col min="34" max="16384" width="9" style="7"/>
  </cols>
  <sheetData>
    <row r="1" spans="2:13" ht="13.5" thickBot="1" x14ac:dyDescent="0.25"/>
    <row r="2" spans="2:13" ht="14" thickTop="1" thickBot="1" x14ac:dyDescent="0.25">
      <c r="B2" s="237" t="s">
        <v>110</v>
      </c>
      <c r="C2" s="238"/>
      <c r="D2" s="238"/>
      <c r="E2" s="238"/>
      <c r="F2" s="238"/>
      <c r="G2" s="238"/>
      <c r="H2" s="238"/>
      <c r="I2" s="238"/>
      <c r="J2" s="239"/>
    </row>
    <row r="3" spans="2:13" ht="14" thickTop="1" thickBot="1" x14ac:dyDescent="0.25">
      <c r="B3" s="146" t="s">
        <v>145</v>
      </c>
      <c r="C3" s="236" t="s">
        <v>144</v>
      </c>
      <c r="D3" s="236"/>
      <c r="E3" s="236"/>
      <c r="F3" s="236"/>
      <c r="G3" s="236"/>
      <c r="H3" s="236" t="s">
        <v>109</v>
      </c>
      <c r="I3" s="236"/>
      <c r="J3" s="236"/>
    </row>
    <row r="4" spans="2:13" ht="14" thickTop="1" thickBot="1" x14ac:dyDescent="0.25">
      <c r="B4" s="146" t="s">
        <v>103</v>
      </c>
      <c r="C4" s="147" t="s">
        <v>152</v>
      </c>
      <c r="D4" s="149" t="s">
        <v>153</v>
      </c>
      <c r="E4" s="244" t="s">
        <v>148</v>
      </c>
      <c r="F4" s="244"/>
      <c r="G4" s="228">
        <f>G294</f>
        <v>42278000</v>
      </c>
      <c r="H4" s="236"/>
      <c r="I4" s="236"/>
      <c r="J4" s="236"/>
    </row>
    <row r="5" spans="2:13" ht="14" thickTop="1" thickBot="1" x14ac:dyDescent="0.25">
      <c r="B5" s="146" t="s">
        <v>104</v>
      </c>
      <c r="C5" s="245"/>
      <c r="D5" s="245"/>
      <c r="E5" s="244" t="s">
        <v>28</v>
      </c>
      <c r="F5" s="244"/>
      <c r="G5" s="228">
        <f>G295</f>
        <v>4227800</v>
      </c>
      <c r="H5" s="236"/>
      <c r="I5" s="236"/>
      <c r="J5" s="236"/>
    </row>
    <row r="6" spans="2:13" ht="14" thickTop="1" thickBot="1" x14ac:dyDescent="0.25">
      <c r="B6" s="146" t="s">
        <v>105</v>
      </c>
      <c r="C6" s="245"/>
      <c r="D6" s="245"/>
      <c r="E6" s="244" t="s">
        <v>107</v>
      </c>
      <c r="F6" s="244"/>
      <c r="G6" s="184"/>
      <c r="H6" s="236"/>
      <c r="I6" s="236"/>
      <c r="J6" s="236"/>
    </row>
    <row r="7" spans="2:13" ht="14" thickTop="1" thickBot="1" x14ac:dyDescent="0.25">
      <c r="B7" s="146" t="s">
        <v>106</v>
      </c>
      <c r="C7" s="245"/>
      <c r="D7" s="245"/>
      <c r="E7" s="244" t="s">
        <v>108</v>
      </c>
      <c r="F7" s="244"/>
      <c r="G7" s="148"/>
      <c r="H7" s="236"/>
      <c r="I7" s="236"/>
      <c r="J7" s="236"/>
    </row>
    <row r="8" spans="2:13" ht="13.5" thickTop="1" x14ac:dyDescent="0.2">
      <c r="C8" s="11"/>
      <c r="D8" s="11"/>
      <c r="E8" s="11"/>
      <c r="F8" s="11"/>
      <c r="H8" s="11"/>
      <c r="I8" s="11"/>
      <c r="J8" s="11"/>
    </row>
    <row r="9" spans="2:13" ht="16.5" customHeight="1" x14ac:dyDescent="0.2">
      <c r="B9" s="263" t="str">
        <f>"第"&amp;LEN(D4)&amp;"回設計変更業務委託料内訳明細書"</f>
        <v>第1回設計変更業務委託料内訳明細書</v>
      </c>
      <c r="C9" s="263"/>
      <c r="D9" s="263"/>
      <c r="E9" s="263"/>
      <c r="F9" s="263"/>
      <c r="G9" s="264"/>
      <c r="H9" s="39"/>
      <c r="I9" s="142"/>
      <c r="J9" s="143"/>
      <c r="L9" s="230"/>
      <c r="M9" s="8"/>
    </row>
    <row r="10" spans="2:13" ht="11.25" customHeight="1" x14ac:dyDescent="0.2">
      <c r="B10" s="10"/>
      <c r="D10" s="11"/>
      <c r="E10" s="11"/>
      <c r="F10" s="8"/>
      <c r="G10" s="8"/>
      <c r="H10" s="39"/>
      <c r="I10" s="259"/>
      <c r="J10" s="259"/>
      <c r="M10" s="8"/>
    </row>
    <row r="11" spans="2:13" x14ac:dyDescent="0.2">
      <c r="B11" s="9" t="s">
        <v>146</v>
      </c>
      <c r="C11" s="9"/>
      <c r="D11" s="267" t="str">
        <f>+C3</f>
        <v>地下空間の大規模改革に伴う基本設計その他業務委託（4号線谷町四丁目外5駅の部）</v>
      </c>
      <c r="E11" s="267"/>
      <c r="F11" s="267"/>
      <c r="G11" s="268"/>
      <c r="H11" s="39"/>
      <c r="I11" s="259"/>
      <c r="J11" s="259"/>
      <c r="M11" s="8"/>
    </row>
    <row r="12" spans="2:13" x14ac:dyDescent="0.2">
      <c r="B12" s="9" t="s">
        <v>149</v>
      </c>
      <c r="C12" s="9"/>
      <c r="D12" s="12"/>
      <c r="E12" s="13"/>
      <c r="F12" s="229">
        <f>+D66</f>
        <v>44000000</v>
      </c>
      <c r="G12" s="14"/>
      <c r="H12" s="39"/>
      <c r="I12" s="260"/>
      <c r="J12" s="260"/>
      <c r="M12" s="8"/>
    </row>
    <row r="13" spans="2:13" ht="15" customHeight="1" x14ac:dyDescent="0.2">
      <c r="B13" s="9" t="s">
        <v>27</v>
      </c>
      <c r="C13" s="9"/>
      <c r="D13" s="12"/>
      <c r="E13" s="15" t="s">
        <v>2</v>
      </c>
      <c r="F13" s="229">
        <f>+F295</f>
        <v>4000000</v>
      </c>
      <c r="G13" s="14" t="s">
        <v>3</v>
      </c>
      <c r="H13" s="39"/>
      <c r="I13" s="260"/>
      <c r="J13" s="260"/>
      <c r="M13" s="8"/>
    </row>
    <row r="14" spans="2:13" ht="15" customHeight="1" x14ac:dyDescent="0.2">
      <c r="B14" s="9" t="s">
        <v>150</v>
      </c>
      <c r="C14" s="9"/>
      <c r="D14" s="12"/>
      <c r="E14" s="13"/>
      <c r="F14" s="229">
        <f>+F66</f>
        <v>46505800</v>
      </c>
      <c r="G14" s="14"/>
      <c r="H14" s="144"/>
      <c r="I14" s="260"/>
      <c r="J14" s="260"/>
      <c r="M14" s="8"/>
    </row>
    <row r="15" spans="2:13" ht="15" customHeight="1" x14ac:dyDescent="0.2">
      <c r="B15" s="9" t="s">
        <v>27</v>
      </c>
      <c r="C15" s="9"/>
      <c r="D15" s="12"/>
      <c r="E15" s="15" t="s">
        <v>2</v>
      </c>
      <c r="F15" s="229">
        <f>+G295</f>
        <v>4227800</v>
      </c>
      <c r="G15" s="14" t="s">
        <v>3</v>
      </c>
      <c r="H15" s="145"/>
      <c r="I15" s="260"/>
      <c r="J15" s="260"/>
      <c r="M15" s="8"/>
    </row>
    <row r="16" spans="2:13" ht="15" customHeight="1" x14ac:dyDescent="0.2">
      <c r="B16" s="9" t="str">
        <f>IF(OR(H291="",H291=0),"４．差引(増・減）金額",IF(H291&lt;0,"４．差引( 減 ）金額","４．差引( 増 ）金額"))</f>
        <v>４．差引( 増 ）金額</v>
      </c>
      <c r="C16" s="9"/>
      <c r="D16" s="12"/>
      <c r="E16" s="13"/>
      <c r="F16" s="229">
        <f>ABS(G66)</f>
        <v>2505800</v>
      </c>
      <c r="G16" s="14"/>
      <c r="H16" s="40"/>
      <c r="I16" s="261"/>
      <c r="J16" s="261"/>
      <c r="M16" s="8"/>
    </row>
    <row r="17" spans="2:17" ht="15" customHeight="1" x14ac:dyDescent="0.2">
      <c r="C17" s="9"/>
      <c r="D17" s="12"/>
      <c r="E17" s="13"/>
      <c r="F17" s="6"/>
      <c r="G17" s="14"/>
      <c r="H17" s="40"/>
      <c r="I17" s="141"/>
      <c r="J17" s="141"/>
      <c r="M17" s="8"/>
    </row>
    <row r="18" spans="2:17" ht="15" hidden="1" customHeight="1" x14ac:dyDescent="0.2">
      <c r="C18" s="9"/>
      <c r="D18" s="12"/>
      <c r="E18" s="12"/>
      <c r="F18" s="16" t="s">
        <v>151</v>
      </c>
      <c r="G18" s="16"/>
      <c r="H18" s="8"/>
      <c r="I18" s="11"/>
      <c r="J18" s="11"/>
      <c r="M18" s="8"/>
    </row>
    <row r="19" spans="2:17" hidden="1" x14ac:dyDescent="0.2">
      <c r="B19" s="265" t="s">
        <v>145</v>
      </c>
      <c r="C19" s="265"/>
      <c r="D19" s="265" t="s">
        <v>101</v>
      </c>
      <c r="E19" s="265"/>
      <c r="F19" s="186" t="s">
        <v>102</v>
      </c>
      <c r="G19" s="186" t="s">
        <v>4</v>
      </c>
      <c r="H19" s="187"/>
      <c r="I19" s="188"/>
      <c r="J19" s="188"/>
      <c r="K19" s="9"/>
      <c r="L19" s="9"/>
      <c r="M19" s="51">
        <f>IF(N291="","",IF(N291=1,IF(COUNT(N72:N146)=SUM(N72:N146),1,2),IF(N291=0,IF(SUM(N72:N146)=0,3,4))))</f>
        <v>2</v>
      </c>
      <c r="N19" s="9"/>
      <c r="O19" s="9"/>
      <c r="P19" s="9"/>
      <c r="Q19" s="9"/>
    </row>
    <row r="20" spans="2:17" ht="15" hidden="1" customHeight="1" x14ac:dyDescent="0.2">
      <c r="B20" s="250"/>
      <c r="C20" s="251"/>
      <c r="D20" s="240"/>
      <c r="E20" s="241"/>
      <c r="F20" s="216"/>
      <c r="G20" s="216"/>
      <c r="H20" s="187"/>
      <c r="I20" s="188"/>
      <c r="J20" s="188"/>
      <c r="K20" s="9"/>
      <c r="L20" s="9"/>
      <c r="M20" s="39"/>
      <c r="N20" s="9"/>
      <c r="O20" s="9"/>
      <c r="P20" s="9"/>
      <c r="Q20" s="9"/>
    </row>
    <row r="21" spans="2:17" ht="13.5" hidden="1" customHeight="1" x14ac:dyDescent="0.2">
      <c r="B21" s="266" t="str">
        <f>B71</f>
        <v>基本設計の部</v>
      </c>
      <c r="C21" s="258"/>
      <c r="D21" s="252">
        <f>+F87</f>
        <v>16000000</v>
      </c>
      <c r="E21" s="252"/>
      <c r="F21" s="215">
        <f>+G87</f>
        <v>16000000</v>
      </c>
      <c r="G21" s="217">
        <f>IF($H$292="NG","NG",F21-D21)</f>
        <v>0</v>
      </c>
      <c r="H21" s="187"/>
      <c r="I21" s="188"/>
      <c r="J21" s="188"/>
      <c r="K21" s="9"/>
      <c r="L21" s="9"/>
      <c r="M21" s="16" t="s">
        <v>31</v>
      </c>
      <c r="N21" s="9"/>
      <c r="O21" s="9"/>
      <c r="P21" s="9"/>
      <c r="Q21" s="9"/>
    </row>
    <row r="22" spans="2:17" ht="13.5" hidden="1" customHeight="1" x14ac:dyDescent="0.2">
      <c r="B22" s="242" t="s">
        <v>28</v>
      </c>
      <c r="C22" s="243"/>
      <c r="D22" s="252">
        <f>+F88</f>
        <v>1600000</v>
      </c>
      <c r="E22" s="252"/>
      <c r="F22" s="215">
        <f>+G88</f>
        <v>1600000</v>
      </c>
      <c r="G22" s="217">
        <f>IF($H$292="NG","NG",F22-D22)</f>
        <v>0</v>
      </c>
      <c r="H22" s="187"/>
      <c r="I22" s="188"/>
      <c r="J22" s="188"/>
      <c r="K22" s="9"/>
      <c r="L22" s="9"/>
      <c r="M22" s="16"/>
      <c r="N22" s="9"/>
      <c r="O22" s="9"/>
      <c r="P22" s="9"/>
      <c r="Q22" s="9"/>
    </row>
    <row r="23" spans="2:17" ht="13.5" hidden="1" customHeight="1" x14ac:dyDescent="0.2">
      <c r="B23" s="253" t="s">
        <v>5</v>
      </c>
      <c r="C23" s="253"/>
      <c r="D23" s="252">
        <f>+F89</f>
        <v>17600000</v>
      </c>
      <c r="E23" s="252"/>
      <c r="F23" s="215">
        <f>+G89</f>
        <v>17600000</v>
      </c>
      <c r="G23" s="217">
        <f>IF($H$292="NG","NG",F23-D23)</f>
        <v>0</v>
      </c>
      <c r="H23" s="187"/>
      <c r="I23" s="188"/>
      <c r="J23" s="188"/>
      <c r="K23" s="9"/>
      <c r="L23" s="9"/>
      <c r="N23" s="9"/>
      <c r="O23" s="9"/>
      <c r="P23" s="9"/>
      <c r="Q23" s="9"/>
    </row>
    <row r="24" spans="2:17" ht="13.5" hidden="1" customHeight="1" x14ac:dyDescent="0.2">
      <c r="B24" s="242"/>
      <c r="C24" s="243"/>
      <c r="D24" s="240"/>
      <c r="E24" s="241"/>
      <c r="F24" s="215"/>
      <c r="G24" s="217"/>
      <c r="H24" s="187"/>
      <c r="I24" s="188"/>
      <c r="J24" s="188"/>
      <c r="K24" s="9"/>
      <c r="L24" s="9"/>
      <c r="N24" s="9"/>
      <c r="O24" s="9"/>
      <c r="P24" s="9"/>
      <c r="Q24" s="9"/>
    </row>
    <row r="25" spans="2:17" ht="13.5" hidden="1" customHeight="1" x14ac:dyDescent="0.2">
      <c r="B25" s="257" t="str">
        <f>B91</f>
        <v>設計企画の部</v>
      </c>
      <c r="C25" s="258"/>
      <c r="D25" s="252">
        <f>+F107</f>
        <v>8000000</v>
      </c>
      <c r="E25" s="252"/>
      <c r="F25" s="215">
        <f>+G107</f>
        <v>8500000</v>
      </c>
      <c r="G25" s="217">
        <f>IF($H$292="NG","NG",F25-D25)</f>
        <v>500000</v>
      </c>
      <c r="H25" s="187"/>
      <c r="I25" s="188"/>
      <c r="J25" s="188"/>
      <c r="K25" s="9"/>
      <c r="L25" s="9"/>
      <c r="N25" s="9"/>
      <c r="O25" s="9"/>
      <c r="P25" s="9"/>
      <c r="Q25" s="9"/>
    </row>
    <row r="26" spans="2:17" ht="13.5" hidden="1" customHeight="1" x14ac:dyDescent="0.2">
      <c r="B26" s="242" t="s">
        <v>28</v>
      </c>
      <c r="C26" s="243"/>
      <c r="D26" s="252">
        <f>+F108</f>
        <v>800000</v>
      </c>
      <c r="E26" s="252"/>
      <c r="F26" s="215">
        <f>+G108</f>
        <v>850000</v>
      </c>
      <c r="G26" s="217">
        <f>IF($H$292="NG","NG",F26-D26)</f>
        <v>50000</v>
      </c>
      <c r="H26" s="187"/>
      <c r="I26" s="188"/>
      <c r="J26" s="188"/>
      <c r="K26" s="9"/>
      <c r="L26" s="9"/>
      <c r="N26" s="9"/>
      <c r="O26" s="9"/>
      <c r="P26" s="9"/>
      <c r="Q26" s="9"/>
    </row>
    <row r="27" spans="2:17" ht="13.5" hidden="1" customHeight="1" x14ac:dyDescent="0.2">
      <c r="B27" s="242" t="s">
        <v>0</v>
      </c>
      <c r="C27" s="243"/>
      <c r="D27" s="255">
        <f>+F109</f>
        <v>8800000</v>
      </c>
      <c r="E27" s="256"/>
      <c r="F27" s="215">
        <f>+G109</f>
        <v>9350000</v>
      </c>
      <c r="G27" s="217">
        <f>IF($H$292="NG","NG",F27-D27)</f>
        <v>550000</v>
      </c>
      <c r="H27" s="187"/>
      <c r="I27" s="188"/>
      <c r="J27" s="188"/>
      <c r="K27" s="9"/>
      <c r="L27" s="9"/>
      <c r="N27" s="9"/>
      <c r="O27" s="9"/>
      <c r="P27" s="9"/>
      <c r="Q27" s="9"/>
    </row>
    <row r="28" spans="2:17" ht="15" hidden="1" customHeight="1" x14ac:dyDescent="0.2">
      <c r="B28" s="250"/>
      <c r="C28" s="251"/>
      <c r="D28" s="240"/>
      <c r="E28" s="241"/>
      <c r="F28" s="215"/>
      <c r="G28" s="217"/>
      <c r="H28" s="187"/>
      <c r="I28" s="188"/>
      <c r="J28" s="188"/>
      <c r="K28" s="9"/>
      <c r="L28" s="9"/>
      <c r="N28" s="9"/>
      <c r="O28" s="9"/>
      <c r="P28" s="9"/>
      <c r="Q28" s="9"/>
    </row>
    <row r="29" spans="2:17" ht="12.75" hidden="1" customHeight="1" x14ac:dyDescent="0.2">
      <c r="B29" s="254" t="str">
        <f>B111</f>
        <v>設計監修の部（その１）</v>
      </c>
      <c r="C29" s="254"/>
      <c r="D29" s="255">
        <f>+F127</f>
        <v>4444000</v>
      </c>
      <c r="E29" s="256"/>
      <c r="F29" s="215">
        <f>+G127</f>
        <v>2222000</v>
      </c>
      <c r="G29" s="217">
        <f>IF($H$292="NG","NG",F29-D29)</f>
        <v>-2222000</v>
      </c>
      <c r="H29" s="187"/>
      <c r="I29" s="188"/>
      <c r="J29" s="188"/>
      <c r="K29" s="9"/>
      <c r="L29" s="9"/>
      <c r="N29" s="9"/>
      <c r="O29" s="9"/>
      <c r="P29" s="9"/>
      <c r="Q29" s="9"/>
    </row>
    <row r="30" spans="2:17" ht="12.75" hidden="1" customHeight="1" x14ac:dyDescent="0.2">
      <c r="B30" s="242" t="s">
        <v>28</v>
      </c>
      <c r="C30" s="243"/>
      <c r="D30" s="255">
        <f>+F128</f>
        <v>444400</v>
      </c>
      <c r="E30" s="256"/>
      <c r="F30" s="215">
        <f>+G128</f>
        <v>222200</v>
      </c>
      <c r="G30" s="217">
        <f>IF($H$292="NG","NG",F30-D30)</f>
        <v>-222200</v>
      </c>
      <c r="H30" s="187"/>
      <c r="I30" s="188"/>
      <c r="J30" s="188"/>
      <c r="K30" s="9"/>
      <c r="L30" s="9"/>
      <c r="M30" s="16"/>
      <c r="N30" s="9"/>
      <c r="O30" s="9"/>
      <c r="P30" s="9"/>
      <c r="Q30" s="9"/>
    </row>
    <row r="31" spans="2:17" ht="12.75" hidden="1" customHeight="1" x14ac:dyDescent="0.2">
      <c r="B31" s="253" t="s">
        <v>5</v>
      </c>
      <c r="C31" s="253"/>
      <c r="D31" s="252">
        <f>+F129</f>
        <v>4888400</v>
      </c>
      <c r="E31" s="252"/>
      <c r="F31" s="215">
        <f>+G129</f>
        <v>2444200</v>
      </c>
      <c r="G31" s="217">
        <f>IF($H$292="NG","NG",F31-D31)</f>
        <v>-2444200</v>
      </c>
      <c r="H31" s="187"/>
      <c r="I31" s="188"/>
      <c r="J31" s="188"/>
      <c r="K31" s="9"/>
      <c r="L31" s="9"/>
      <c r="M31" s="16"/>
      <c r="N31" s="9"/>
      <c r="O31" s="9" t="s">
        <v>6</v>
      </c>
      <c r="P31" s="9"/>
      <c r="Q31" s="9"/>
    </row>
    <row r="32" spans="2:17" ht="12.75" hidden="1" customHeight="1" x14ac:dyDescent="0.2">
      <c r="B32" s="242"/>
      <c r="C32" s="243"/>
      <c r="D32" s="240"/>
      <c r="E32" s="241"/>
      <c r="F32" s="215"/>
      <c r="G32" s="217"/>
      <c r="H32" s="187"/>
      <c r="I32" s="188"/>
      <c r="J32" s="188"/>
      <c r="K32" s="9"/>
      <c r="L32" s="9"/>
      <c r="M32" s="16"/>
      <c r="N32" s="9"/>
      <c r="O32" s="9"/>
      <c r="P32" s="9"/>
      <c r="Q32" s="9"/>
    </row>
    <row r="33" spans="2:17" ht="12.75" hidden="1" customHeight="1" x14ac:dyDescent="0.2">
      <c r="B33" s="254" t="str">
        <f>B131</f>
        <v>設計監修の部（その２）</v>
      </c>
      <c r="C33" s="254"/>
      <c r="D33" s="255">
        <f>+F147</f>
        <v>4444000</v>
      </c>
      <c r="E33" s="256"/>
      <c r="F33" s="215">
        <f>+G147</f>
        <v>4444000</v>
      </c>
      <c r="G33" s="217">
        <f>IF($H$292="NG","NG",F33-D33)</f>
        <v>0</v>
      </c>
      <c r="H33" s="187"/>
      <c r="I33" s="188"/>
      <c r="J33" s="188"/>
      <c r="K33" s="9"/>
      <c r="L33" s="9"/>
      <c r="N33" s="9"/>
      <c r="O33" s="9"/>
      <c r="P33" s="9"/>
      <c r="Q33" s="9"/>
    </row>
    <row r="34" spans="2:17" ht="12.75" hidden="1" customHeight="1" x14ac:dyDescent="0.2">
      <c r="B34" s="242" t="s">
        <v>28</v>
      </c>
      <c r="C34" s="243"/>
      <c r="D34" s="255">
        <f>+F148</f>
        <v>444400</v>
      </c>
      <c r="E34" s="256"/>
      <c r="F34" s="215">
        <f>+G148</f>
        <v>444400</v>
      </c>
      <c r="G34" s="217">
        <f>IF($H$292="NG","NG",F34-D34)</f>
        <v>0</v>
      </c>
      <c r="H34" s="187"/>
      <c r="I34" s="188"/>
      <c r="J34" s="188"/>
      <c r="K34" s="9"/>
      <c r="L34" s="9"/>
      <c r="M34" s="16"/>
      <c r="N34" s="9"/>
      <c r="O34" s="9"/>
      <c r="P34" s="9"/>
      <c r="Q34" s="9"/>
    </row>
    <row r="35" spans="2:17" ht="12.75" hidden="1" customHeight="1" x14ac:dyDescent="0.2">
      <c r="B35" s="253" t="s">
        <v>5</v>
      </c>
      <c r="C35" s="253"/>
      <c r="D35" s="252">
        <f>+F149</f>
        <v>4888400</v>
      </c>
      <c r="E35" s="252"/>
      <c r="F35" s="215">
        <f>+G149</f>
        <v>4888400</v>
      </c>
      <c r="G35" s="217">
        <f>IF($H$292="NG","NG",F35-D35)</f>
        <v>0</v>
      </c>
      <c r="H35" s="187"/>
      <c r="I35" s="188"/>
      <c r="J35" s="188"/>
      <c r="K35" s="9"/>
      <c r="L35" s="9"/>
      <c r="M35" s="16"/>
      <c r="N35" s="9"/>
      <c r="O35" s="9" t="s">
        <v>6</v>
      </c>
      <c r="P35" s="9"/>
      <c r="Q35" s="9"/>
    </row>
    <row r="36" spans="2:17" ht="12.75" hidden="1" customHeight="1" x14ac:dyDescent="0.2">
      <c r="B36" s="242"/>
      <c r="C36" s="243"/>
      <c r="D36" s="240"/>
      <c r="E36" s="241"/>
      <c r="F36" s="215"/>
      <c r="G36" s="217"/>
      <c r="H36" s="187"/>
      <c r="I36" s="188"/>
      <c r="J36" s="188"/>
      <c r="K36" s="9"/>
      <c r="L36" s="9"/>
      <c r="M36" s="16"/>
      <c r="N36" s="9"/>
      <c r="O36" s="9"/>
      <c r="P36" s="9"/>
      <c r="Q36" s="9"/>
    </row>
    <row r="37" spans="2:17" ht="12.75" hidden="1" customHeight="1" x14ac:dyDescent="0.2">
      <c r="B37" s="254" t="str">
        <f>B151</f>
        <v>設計監修の部（その３）</v>
      </c>
      <c r="C37" s="254"/>
      <c r="D37" s="255">
        <f>+F167</f>
        <v>7112000</v>
      </c>
      <c r="E37" s="256"/>
      <c r="F37" s="215">
        <f>+G167</f>
        <v>11112000</v>
      </c>
      <c r="G37" s="217">
        <f>IF($H$292="NG","NG",F37-D37)</f>
        <v>4000000</v>
      </c>
      <c r="H37" s="187"/>
      <c r="I37" s="188"/>
      <c r="J37" s="188"/>
      <c r="K37" s="9"/>
      <c r="L37" s="9"/>
      <c r="N37" s="9"/>
      <c r="O37" s="9"/>
      <c r="P37" s="9"/>
      <c r="Q37" s="9"/>
    </row>
    <row r="38" spans="2:17" ht="12.75" hidden="1" customHeight="1" x14ac:dyDescent="0.2">
      <c r="B38" s="242" t="s">
        <v>28</v>
      </c>
      <c r="C38" s="243"/>
      <c r="D38" s="255">
        <f>+F168</f>
        <v>711200</v>
      </c>
      <c r="E38" s="256"/>
      <c r="F38" s="215">
        <f>+G168</f>
        <v>1111200</v>
      </c>
      <c r="G38" s="217">
        <f>IF($H$292="NG","NG",F38-D38)</f>
        <v>400000</v>
      </c>
      <c r="H38" s="187"/>
      <c r="I38" s="188"/>
      <c r="J38" s="188"/>
      <c r="K38" s="9"/>
      <c r="L38" s="9"/>
      <c r="M38" s="16"/>
      <c r="N38" s="9"/>
      <c r="O38" s="9"/>
      <c r="P38" s="9"/>
      <c r="Q38" s="9"/>
    </row>
    <row r="39" spans="2:17" ht="12.75" hidden="1" customHeight="1" x14ac:dyDescent="0.2">
      <c r="B39" s="253" t="s">
        <v>5</v>
      </c>
      <c r="C39" s="253"/>
      <c r="D39" s="252">
        <f>+F169</f>
        <v>7823200</v>
      </c>
      <c r="E39" s="252"/>
      <c r="F39" s="215">
        <f>+G169</f>
        <v>12223200</v>
      </c>
      <c r="G39" s="217">
        <f>IF($H$292="NG","NG",F39-D39)</f>
        <v>4400000</v>
      </c>
      <c r="H39" s="187"/>
      <c r="I39" s="188"/>
      <c r="J39" s="188"/>
      <c r="K39" s="9"/>
      <c r="L39" s="9"/>
      <c r="M39" s="16"/>
      <c r="N39" s="9"/>
      <c r="O39" s="9" t="s">
        <v>6</v>
      </c>
      <c r="P39" s="9"/>
      <c r="Q39" s="9"/>
    </row>
    <row r="40" spans="2:17" ht="12.75" hidden="1" customHeight="1" x14ac:dyDescent="0.2">
      <c r="B40" s="242"/>
      <c r="C40" s="243"/>
      <c r="D40" s="240"/>
      <c r="E40" s="241"/>
      <c r="F40" s="215"/>
      <c r="G40" s="217"/>
      <c r="H40" s="187"/>
      <c r="I40" s="188"/>
      <c r="J40" s="188"/>
      <c r="K40" s="9"/>
      <c r="L40" s="9"/>
      <c r="M40" s="16"/>
      <c r="N40" s="9"/>
      <c r="O40" s="9"/>
      <c r="P40" s="9"/>
      <c r="Q40" s="9"/>
    </row>
    <row r="41" spans="2:17" ht="12.75" hidden="1" customHeight="1" x14ac:dyDescent="0.2">
      <c r="B41" s="242"/>
      <c r="C41" s="243"/>
      <c r="D41" s="240"/>
      <c r="E41" s="241"/>
      <c r="F41" s="215"/>
      <c r="G41" s="217"/>
      <c r="H41" s="187"/>
      <c r="I41" s="188"/>
      <c r="J41" s="188"/>
      <c r="K41" s="9"/>
      <c r="L41" s="9"/>
      <c r="M41" s="16"/>
      <c r="N41" s="9"/>
      <c r="O41" s="9"/>
      <c r="P41" s="9"/>
      <c r="Q41" s="9"/>
    </row>
    <row r="42" spans="2:17" ht="12.75" hidden="1" customHeight="1" x14ac:dyDescent="0.2">
      <c r="B42" s="254" t="str">
        <f>+B171</f>
        <v>（カ）</v>
      </c>
      <c r="C42" s="254"/>
      <c r="D42" s="255">
        <f>+F187</f>
        <v>0</v>
      </c>
      <c r="E42" s="256"/>
      <c r="F42" s="215">
        <f>+G187</f>
        <v>0</v>
      </c>
      <c r="G42" s="217">
        <f>IF($H$292="NG","NG",F42-D42)</f>
        <v>0</v>
      </c>
      <c r="H42" s="187"/>
      <c r="I42" s="188"/>
      <c r="J42" s="188"/>
      <c r="K42" s="9"/>
      <c r="L42" s="9"/>
      <c r="N42" s="9"/>
      <c r="O42" s="9"/>
      <c r="P42" s="9"/>
      <c r="Q42" s="9"/>
    </row>
    <row r="43" spans="2:17" ht="12.75" hidden="1" customHeight="1" x14ac:dyDescent="0.2">
      <c r="B43" s="242" t="s">
        <v>28</v>
      </c>
      <c r="C43" s="243"/>
      <c r="D43" s="255">
        <f>+F188</f>
        <v>0</v>
      </c>
      <c r="E43" s="256"/>
      <c r="F43" s="215">
        <f>+G188</f>
        <v>0</v>
      </c>
      <c r="G43" s="217">
        <f>IF($H$292="NG","NG",F43-D43)</f>
        <v>0</v>
      </c>
      <c r="H43" s="187"/>
      <c r="I43" s="188"/>
      <c r="J43" s="188"/>
      <c r="K43" s="9"/>
      <c r="L43" s="9"/>
      <c r="M43" s="16"/>
      <c r="N43" s="9"/>
      <c r="O43" s="9"/>
      <c r="P43" s="9"/>
      <c r="Q43" s="9"/>
    </row>
    <row r="44" spans="2:17" ht="12.75" hidden="1" customHeight="1" x14ac:dyDescent="0.2">
      <c r="B44" s="253" t="s">
        <v>5</v>
      </c>
      <c r="C44" s="253"/>
      <c r="D44" s="255">
        <f>+F189</f>
        <v>0</v>
      </c>
      <c r="E44" s="256"/>
      <c r="F44" s="215">
        <f>+G189</f>
        <v>0</v>
      </c>
      <c r="G44" s="217">
        <f>IF($H$292="NG","NG",F44-D44)</f>
        <v>0</v>
      </c>
      <c r="H44" s="187"/>
      <c r="I44" s="188"/>
      <c r="J44" s="188"/>
      <c r="K44" s="9"/>
      <c r="L44" s="9"/>
      <c r="M44" s="16"/>
      <c r="N44" s="9"/>
      <c r="O44" s="9" t="s">
        <v>6</v>
      </c>
      <c r="P44" s="9"/>
      <c r="Q44" s="9"/>
    </row>
    <row r="45" spans="2:17" ht="12.75" hidden="1" customHeight="1" x14ac:dyDescent="0.2">
      <c r="B45" s="242"/>
      <c r="C45" s="243"/>
      <c r="D45" s="240"/>
      <c r="E45" s="241"/>
      <c r="F45" s="215"/>
      <c r="G45" s="217"/>
      <c r="H45" s="187"/>
      <c r="I45" s="188"/>
      <c r="J45" s="188"/>
      <c r="K45" s="9"/>
      <c r="L45" s="9"/>
      <c r="M45" s="16"/>
      <c r="N45" s="9"/>
      <c r="O45" s="9"/>
      <c r="P45" s="9"/>
      <c r="Q45" s="9"/>
    </row>
    <row r="46" spans="2:17" ht="12.75" hidden="1" customHeight="1" x14ac:dyDescent="0.2">
      <c r="B46" s="254" t="str">
        <f>B191</f>
        <v>（キ）</v>
      </c>
      <c r="C46" s="254"/>
      <c r="D46" s="276">
        <f>+F207</f>
        <v>0</v>
      </c>
      <c r="E46" s="277"/>
      <c r="F46" s="215">
        <f>+G207</f>
        <v>0</v>
      </c>
      <c r="G46" s="217">
        <f>IF($H$292="NG","NG",F46-D46)</f>
        <v>0</v>
      </c>
      <c r="H46" s="187"/>
      <c r="I46" s="188"/>
      <c r="J46" s="188"/>
      <c r="K46" s="9"/>
      <c r="L46" s="9"/>
      <c r="M46" s="16"/>
      <c r="N46" s="9"/>
      <c r="O46" s="9"/>
      <c r="P46" s="9"/>
      <c r="Q46" s="9"/>
    </row>
    <row r="47" spans="2:17" ht="12.75" hidden="1" customHeight="1" x14ac:dyDescent="0.2">
      <c r="B47" s="242" t="s">
        <v>28</v>
      </c>
      <c r="C47" s="243"/>
      <c r="D47" s="276">
        <f>+F208</f>
        <v>0</v>
      </c>
      <c r="E47" s="277"/>
      <c r="F47" s="215">
        <f>G208</f>
        <v>0</v>
      </c>
      <c r="G47" s="217">
        <f>IF($H$292="NG","NG",F47-D47)</f>
        <v>0</v>
      </c>
      <c r="H47" s="187"/>
      <c r="I47" s="188"/>
      <c r="J47" s="188"/>
      <c r="K47" s="9"/>
      <c r="L47" s="9"/>
      <c r="M47" s="16"/>
      <c r="N47" s="9"/>
      <c r="O47" s="9"/>
      <c r="P47" s="9"/>
      <c r="Q47" s="9"/>
    </row>
    <row r="48" spans="2:17" ht="12.75" hidden="1" customHeight="1" x14ac:dyDescent="0.2">
      <c r="B48" s="269" t="s">
        <v>5</v>
      </c>
      <c r="C48" s="269"/>
      <c r="D48" s="276">
        <f>+F209</f>
        <v>0</v>
      </c>
      <c r="E48" s="277"/>
      <c r="F48" s="218">
        <f>G209</f>
        <v>0</v>
      </c>
      <c r="G48" s="219">
        <f>IF($H$292="NG","NG",F48-D48)</f>
        <v>0</v>
      </c>
      <c r="H48" s="191"/>
      <c r="I48" s="188"/>
      <c r="J48" s="188"/>
      <c r="K48" s="9"/>
      <c r="L48" s="9"/>
      <c r="M48" s="16"/>
      <c r="N48" s="9"/>
      <c r="O48" s="9"/>
      <c r="P48" s="9"/>
      <c r="Q48" s="9"/>
    </row>
    <row r="49" spans="2:17" ht="12.75" hidden="1" customHeight="1" x14ac:dyDescent="0.2">
      <c r="B49" s="272"/>
      <c r="C49" s="273"/>
      <c r="D49" s="274"/>
      <c r="E49" s="275"/>
      <c r="F49" s="218"/>
      <c r="G49" s="219"/>
      <c r="H49" s="191"/>
      <c r="I49" s="188"/>
      <c r="J49" s="188"/>
      <c r="K49" s="9"/>
      <c r="L49" s="9"/>
      <c r="M49" s="16"/>
      <c r="N49" s="9"/>
      <c r="O49" s="9"/>
      <c r="P49" s="9"/>
      <c r="Q49" s="9"/>
    </row>
    <row r="50" spans="2:17" ht="12.75" hidden="1" customHeight="1" x14ac:dyDescent="0.2">
      <c r="B50" s="254" t="str">
        <f>B211</f>
        <v>（ク）</v>
      </c>
      <c r="C50" s="254"/>
      <c r="D50" s="276">
        <f>+F227</f>
        <v>0</v>
      </c>
      <c r="E50" s="277"/>
      <c r="F50" s="218">
        <f>G227</f>
        <v>0</v>
      </c>
      <c r="G50" s="219">
        <f>IF($H$292="NG","NG",F50-D50)</f>
        <v>0</v>
      </c>
      <c r="H50" s="191"/>
      <c r="I50" s="188"/>
      <c r="J50" s="188"/>
      <c r="K50" s="9"/>
      <c r="L50" s="9"/>
      <c r="M50" s="16"/>
      <c r="N50" s="9"/>
      <c r="O50" s="9"/>
      <c r="P50" s="9"/>
      <c r="Q50" s="9"/>
    </row>
    <row r="51" spans="2:17" ht="12.75" hidden="1" customHeight="1" x14ac:dyDescent="0.2">
      <c r="B51" s="272" t="s">
        <v>28</v>
      </c>
      <c r="C51" s="273"/>
      <c r="D51" s="276">
        <f>+F228</f>
        <v>0</v>
      </c>
      <c r="E51" s="277"/>
      <c r="F51" s="218">
        <f>G228</f>
        <v>0</v>
      </c>
      <c r="G51" s="219">
        <f>IF($H$292="NG","NG",F51-D51)</f>
        <v>0</v>
      </c>
      <c r="H51" s="191"/>
      <c r="I51" s="188"/>
      <c r="J51" s="188"/>
      <c r="K51" s="9"/>
      <c r="L51" s="9"/>
      <c r="M51" s="16"/>
      <c r="N51" s="9"/>
      <c r="O51" s="9"/>
      <c r="P51" s="9"/>
      <c r="Q51" s="9"/>
    </row>
    <row r="52" spans="2:17" ht="12.75" hidden="1" customHeight="1" x14ac:dyDescent="0.2">
      <c r="B52" s="269" t="s">
        <v>5</v>
      </c>
      <c r="C52" s="269"/>
      <c r="D52" s="276">
        <f>+F229</f>
        <v>0</v>
      </c>
      <c r="E52" s="277"/>
      <c r="F52" s="218">
        <f>G229</f>
        <v>0</v>
      </c>
      <c r="G52" s="219">
        <f>IF($H$292="NG","NG",F52-D52)</f>
        <v>0</v>
      </c>
      <c r="H52" s="191"/>
      <c r="I52" s="188"/>
      <c r="J52" s="188"/>
      <c r="K52" s="9"/>
      <c r="L52" s="9"/>
      <c r="M52" s="16"/>
      <c r="N52" s="9"/>
      <c r="O52" s="9"/>
      <c r="P52" s="9"/>
      <c r="Q52" s="9"/>
    </row>
    <row r="53" spans="2:17" ht="12.75" hidden="1" customHeight="1" x14ac:dyDescent="0.2">
      <c r="B53" s="272"/>
      <c r="C53" s="273"/>
      <c r="D53" s="274"/>
      <c r="E53" s="275"/>
      <c r="F53" s="218"/>
      <c r="G53" s="219"/>
      <c r="H53" s="191"/>
      <c r="I53" s="188"/>
      <c r="J53" s="188"/>
      <c r="K53" s="9"/>
      <c r="L53" s="9"/>
      <c r="M53" s="16"/>
      <c r="N53" s="9"/>
      <c r="O53" s="9"/>
      <c r="P53" s="9"/>
      <c r="Q53" s="9"/>
    </row>
    <row r="54" spans="2:17" ht="12.75" hidden="1" customHeight="1" x14ac:dyDescent="0.2">
      <c r="B54" s="254" t="str">
        <f>B231</f>
        <v>（ケ）</v>
      </c>
      <c r="C54" s="254"/>
      <c r="D54" s="276">
        <f>+F247</f>
        <v>0</v>
      </c>
      <c r="E54" s="277"/>
      <c r="F54" s="218">
        <f>G247</f>
        <v>0</v>
      </c>
      <c r="G54" s="219">
        <f>IF($H$292="NG","NG",F54-D54)</f>
        <v>0</v>
      </c>
      <c r="H54" s="191"/>
      <c r="I54" s="188"/>
      <c r="J54" s="188"/>
      <c r="K54" s="9"/>
      <c r="L54" s="9"/>
      <c r="M54" s="16"/>
      <c r="N54" s="9"/>
      <c r="O54" s="9"/>
      <c r="P54" s="9"/>
      <c r="Q54" s="9"/>
    </row>
    <row r="55" spans="2:17" ht="12.75" hidden="1" customHeight="1" x14ac:dyDescent="0.2">
      <c r="B55" s="272" t="s">
        <v>28</v>
      </c>
      <c r="C55" s="273"/>
      <c r="D55" s="276">
        <f>+F248</f>
        <v>0</v>
      </c>
      <c r="E55" s="277"/>
      <c r="F55" s="218">
        <f>G248</f>
        <v>0</v>
      </c>
      <c r="G55" s="219">
        <f>IF($H$292="NG","NG",F55-D55)</f>
        <v>0</v>
      </c>
      <c r="H55" s="191"/>
      <c r="I55" s="188"/>
      <c r="J55" s="188"/>
      <c r="K55" s="9"/>
      <c r="L55" s="9"/>
      <c r="M55" s="16"/>
      <c r="N55" s="9"/>
      <c r="O55" s="9"/>
      <c r="P55" s="9"/>
      <c r="Q55" s="9"/>
    </row>
    <row r="56" spans="2:17" ht="12.75" hidden="1" customHeight="1" x14ac:dyDescent="0.2">
      <c r="B56" s="269" t="s">
        <v>5</v>
      </c>
      <c r="C56" s="269"/>
      <c r="D56" s="276">
        <f>+F249</f>
        <v>0</v>
      </c>
      <c r="E56" s="277"/>
      <c r="F56" s="218">
        <f>G249</f>
        <v>0</v>
      </c>
      <c r="G56" s="219">
        <f>IF($H$292="NG","NG",F56-D56)</f>
        <v>0</v>
      </c>
      <c r="H56" s="191"/>
      <c r="I56" s="188"/>
      <c r="J56" s="188"/>
      <c r="K56" s="9"/>
      <c r="L56" s="9"/>
      <c r="M56" s="16"/>
      <c r="N56" s="9"/>
      <c r="O56" s="9"/>
      <c r="P56" s="9"/>
      <c r="Q56" s="9"/>
    </row>
    <row r="57" spans="2:17" ht="12.75" hidden="1" customHeight="1" x14ac:dyDescent="0.2">
      <c r="B57" s="272"/>
      <c r="C57" s="273"/>
      <c r="D57" s="274"/>
      <c r="E57" s="275"/>
      <c r="F57" s="218"/>
      <c r="G57" s="219"/>
      <c r="H57" s="191"/>
      <c r="I57" s="188"/>
      <c r="J57" s="188"/>
      <c r="K57" s="9"/>
      <c r="L57" s="9"/>
      <c r="M57" s="16"/>
      <c r="N57" s="9"/>
      <c r="O57" s="9"/>
      <c r="P57" s="9"/>
      <c r="Q57" s="9"/>
    </row>
    <row r="58" spans="2:17" ht="12.75" hidden="1" customHeight="1" x14ac:dyDescent="0.2">
      <c r="B58" s="254" t="str">
        <f>B251</f>
        <v>（コ）</v>
      </c>
      <c r="C58" s="254"/>
      <c r="D58" s="276">
        <f>+F267</f>
        <v>0</v>
      </c>
      <c r="E58" s="277"/>
      <c r="F58" s="218">
        <f>G267</f>
        <v>0</v>
      </c>
      <c r="G58" s="219">
        <f>IF($H$292="NG","NG",F58-D58)</f>
        <v>0</v>
      </c>
      <c r="H58" s="191"/>
      <c r="I58" s="188"/>
      <c r="J58" s="188"/>
      <c r="K58" s="9"/>
      <c r="L58" s="9"/>
      <c r="M58" s="16"/>
      <c r="N58" s="9"/>
      <c r="O58" s="9"/>
      <c r="P58" s="9"/>
      <c r="Q58" s="9"/>
    </row>
    <row r="59" spans="2:17" ht="12.75" hidden="1" customHeight="1" x14ac:dyDescent="0.2">
      <c r="B59" s="272" t="s">
        <v>28</v>
      </c>
      <c r="C59" s="273"/>
      <c r="D59" s="276">
        <f>+F268</f>
        <v>0</v>
      </c>
      <c r="E59" s="277"/>
      <c r="F59" s="218">
        <f>G268</f>
        <v>0</v>
      </c>
      <c r="G59" s="219">
        <f>IF($H$292="NG","NG",F59-D59)</f>
        <v>0</v>
      </c>
      <c r="H59" s="191"/>
      <c r="I59" s="188"/>
      <c r="J59" s="188"/>
      <c r="K59" s="9"/>
      <c r="L59" s="9"/>
      <c r="M59" s="16"/>
      <c r="N59" s="9"/>
      <c r="O59" s="9"/>
      <c r="P59" s="9"/>
      <c r="Q59" s="9"/>
    </row>
    <row r="60" spans="2:17" ht="12.75" hidden="1" customHeight="1" x14ac:dyDescent="0.2">
      <c r="B60" s="269" t="s">
        <v>5</v>
      </c>
      <c r="C60" s="269"/>
      <c r="D60" s="276">
        <f>+F269</f>
        <v>0</v>
      </c>
      <c r="E60" s="277"/>
      <c r="F60" s="218">
        <f>G269</f>
        <v>0</v>
      </c>
      <c r="G60" s="219">
        <f>IF($H$292="NG","NG",F60-D60)</f>
        <v>0</v>
      </c>
      <c r="H60" s="191"/>
      <c r="I60" s="188"/>
      <c r="J60" s="188"/>
      <c r="K60" s="9"/>
      <c r="L60" s="9"/>
      <c r="M60" s="16"/>
      <c r="N60" s="9"/>
      <c r="O60" s="9"/>
      <c r="P60" s="9"/>
      <c r="Q60" s="9"/>
    </row>
    <row r="61" spans="2:17" ht="12.75" hidden="1" customHeight="1" x14ac:dyDescent="0.2">
      <c r="B61" s="272"/>
      <c r="C61" s="273"/>
      <c r="D61" s="274"/>
      <c r="E61" s="275"/>
      <c r="F61" s="218"/>
      <c r="G61" s="219"/>
      <c r="H61" s="191"/>
      <c r="I61" s="188"/>
      <c r="J61" s="188"/>
      <c r="K61" s="9"/>
      <c r="L61" s="9"/>
      <c r="M61" s="16"/>
      <c r="N61" s="9"/>
      <c r="O61" s="9"/>
      <c r="P61" s="9"/>
      <c r="Q61" s="9"/>
    </row>
    <row r="62" spans="2:17" ht="12.75" hidden="1" customHeight="1" x14ac:dyDescent="0.2">
      <c r="B62" s="254" t="str">
        <f>B271</f>
        <v>（サ）</v>
      </c>
      <c r="C62" s="254"/>
      <c r="D62" s="276">
        <f>+F287</f>
        <v>0</v>
      </c>
      <c r="E62" s="277"/>
      <c r="F62" s="218">
        <f>G287</f>
        <v>0</v>
      </c>
      <c r="G62" s="219">
        <f>IF($H$292="NG","NG",F62-D62)</f>
        <v>0</v>
      </c>
      <c r="H62" s="191"/>
      <c r="I62" s="188"/>
      <c r="J62" s="188"/>
      <c r="K62" s="9"/>
      <c r="L62" s="9"/>
      <c r="M62" s="16"/>
      <c r="N62" s="9"/>
      <c r="O62" s="9"/>
      <c r="P62" s="9"/>
      <c r="Q62" s="9"/>
    </row>
    <row r="63" spans="2:17" ht="12.75" hidden="1" customHeight="1" x14ac:dyDescent="0.2">
      <c r="B63" s="272" t="s">
        <v>28</v>
      </c>
      <c r="C63" s="273"/>
      <c r="D63" s="276">
        <f>+F288</f>
        <v>0</v>
      </c>
      <c r="E63" s="277"/>
      <c r="F63" s="218">
        <f>G288</f>
        <v>0</v>
      </c>
      <c r="G63" s="219">
        <f>IF($H$292="NG","NG",F63-D63)</f>
        <v>0</v>
      </c>
      <c r="H63" s="191"/>
      <c r="I63" s="188"/>
      <c r="J63" s="188"/>
      <c r="K63" s="9"/>
      <c r="L63" s="9"/>
      <c r="M63" s="16"/>
      <c r="N63" s="9"/>
      <c r="O63" s="9"/>
      <c r="P63" s="9"/>
      <c r="Q63" s="9"/>
    </row>
    <row r="64" spans="2:17" ht="12.75" hidden="1" customHeight="1" x14ac:dyDescent="0.2">
      <c r="B64" s="269" t="s">
        <v>5</v>
      </c>
      <c r="C64" s="269"/>
      <c r="D64" s="276">
        <f>+F289</f>
        <v>0</v>
      </c>
      <c r="E64" s="277"/>
      <c r="F64" s="218">
        <f>G289</f>
        <v>0</v>
      </c>
      <c r="G64" s="219">
        <f>IF($H$292="NG","NG",F64-D64)</f>
        <v>0</v>
      </c>
      <c r="H64" s="191"/>
      <c r="I64" s="188"/>
      <c r="J64" s="188"/>
      <c r="K64" s="9"/>
      <c r="L64" s="9"/>
      <c r="M64" s="16"/>
      <c r="N64" s="9"/>
      <c r="O64" s="9"/>
      <c r="P64" s="9"/>
      <c r="Q64" s="9"/>
    </row>
    <row r="65" spans="1:26" ht="12.75" hidden="1" customHeight="1" thickBot="1" x14ac:dyDescent="0.25">
      <c r="B65" s="272"/>
      <c r="C65" s="273"/>
      <c r="D65" s="274"/>
      <c r="E65" s="275"/>
      <c r="F65" s="218"/>
      <c r="G65" s="219"/>
      <c r="H65" s="191"/>
      <c r="I65" s="188"/>
      <c r="J65" s="188"/>
      <c r="K65" s="9"/>
      <c r="L65" s="9"/>
      <c r="M65" s="16"/>
      <c r="N65" s="9"/>
      <c r="O65" s="9"/>
      <c r="P65" s="9"/>
      <c r="Q65" s="9"/>
    </row>
    <row r="66" spans="1:26" ht="12.75" hidden="1" customHeight="1" thickTop="1" thickBot="1" x14ac:dyDescent="0.25">
      <c r="B66" s="269" t="s">
        <v>7</v>
      </c>
      <c r="C66" s="269"/>
      <c r="D66" s="270">
        <f>+F291</f>
        <v>44000000</v>
      </c>
      <c r="E66" s="270"/>
      <c r="F66" s="218">
        <f>+G291</f>
        <v>46505800</v>
      </c>
      <c r="G66" s="219">
        <f>IF($H$292="NG","NG",F66-D66)</f>
        <v>2505800</v>
      </c>
      <c r="H66" s="191"/>
      <c r="I66" s="188"/>
      <c r="J66" s="188"/>
      <c r="K66" s="9"/>
      <c r="L66" s="9"/>
      <c r="M66" s="16"/>
      <c r="N66" s="9"/>
      <c r="O66" s="9">
        <f>+H291/M291</f>
        <v>1</v>
      </c>
      <c r="P66" s="12" t="s">
        <v>8</v>
      </c>
      <c r="Q66" s="20">
        <f>+ROUNDDOWN(H291/M291,4)</f>
        <v>1</v>
      </c>
      <c r="S66" s="65" t="s">
        <v>42</v>
      </c>
      <c r="T66" s="22">
        <f>+M298</f>
        <v>0</v>
      </c>
      <c r="U66" s="77"/>
      <c r="V66" s="9" t="s">
        <v>50</v>
      </c>
    </row>
    <row r="67" spans="1:26" ht="11.25" hidden="1" customHeight="1" x14ac:dyDescent="0.2">
      <c r="B67" s="213"/>
      <c r="C67" s="213"/>
      <c r="D67" s="192"/>
      <c r="E67" s="192"/>
      <c r="F67" s="193"/>
      <c r="G67" s="193"/>
      <c r="H67" s="191"/>
      <c r="I67" s="188"/>
      <c r="J67" s="188"/>
      <c r="K67" s="9"/>
      <c r="L67" s="9"/>
      <c r="M67" s="16"/>
      <c r="N67" s="9"/>
      <c r="O67" s="9"/>
      <c r="P67" s="9"/>
      <c r="Q67" s="9"/>
      <c r="V67" s="9" t="s">
        <v>46</v>
      </c>
    </row>
    <row r="68" spans="1:26" ht="14.25" customHeight="1" thickBot="1" x14ac:dyDescent="0.25">
      <c r="B68" s="214" t="s">
        <v>29</v>
      </c>
      <c r="C68" s="214"/>
      <c r="D68" s="194"/>
      <c r="E68" s="194"/>
      <c r="F68" s="191"/>
      <c r="G68" s="191"/>
      <c r="H68" s="191"/>
      <c r="I68" s="188"/>
      <c r="J68" s="188"/>
      <c r="K68" s="9"/>
      <c r="L68" s="9" t="s">
        <v>19</v>
      </c>
      <c r="M68" s="16"/>
      <c r="N68" s="9"/>
      <c r="O68" s="16"/>
      <c r="P68" s="9"/>
      <c r="Q68" s="9"/>
      <c r="S68" s="78"/>
      <c r="T68" s="78"/>
      <c r="V68" s="78"/>
      <c r="W68" s="78"/>
    </row>
    <row r="69" spans="1:26" ht="14.25" customHeight="1" thickBot="1" x14ac:dyDescent="0.25">
      <c r="B69" s="190" t="s">
        <v>145</v>
      </c>
      <c r="C69" s="190" t="s">
        <v>9</v>
      </c>
      <c r="D69" s="195" t="s">
        <v>10</v>
      </c>
      <c r="E69" s="195" t="s">
        <v>11</v>
      </c>
      <c r="F69" s="196" t="s">
        <v>101</v>
      </c>
      <c r="G69" s="196" t="s">
        <v>102</v>
      </c>
      <c r="H69" s="197" t="s">
        <v>4</v>
      </c>
      <c r="I69" s="271" t="s">
        <v>30</v>
      </c>
      <c r="J69" s="271"/>
      <c r="K69" s="9"/>
      <c r="L69" s="1" t="s">
        <v>145</v>
      </c>
      <c r="M69" s="18" t="s">
        <v>12</v>
      </c>
      <c r="N69" s="9"/>
      <c r="O69" s="21" t="s">
        <v>37</v>
      </c>
      <c r="P69" s="22" t="s">
        <v>38</v>
      </c>
      <c r="Q69" s="22" t="s">
        <v>39</v>
      </c>
      <c r="S69" s="87" t="s">
        <v>40</v>
      </c>
      <c r="T69" s="5" t="s">
        <v>41</v>
      </c>
      <c r="U69" s="5" t="s">
        <v>53</v>
      </c>
      <c r="V69" s="88" t="s">
        <v>45</v>
      </c>
      <c r="W69" s="88" t="s">
        <v>43</v>
      </c>
      <c r="X69" s="89" t="s">
        <v>44</v>
      </c>
      <c r="Y69" s="86" t="s">
        <v>51</v>
      </c>
      <c r="Z69" s="86" t="s">
        <v>52</v>
      </c>
    </row>
    <row r="70" spans="1:26" ht="14.25" customHeight="1" thickBot="1" x14ac:dyDescent="0.25">
      <c r="B70" s="198"/>
      <c r="C70" s="199"/>
      <c r="D70" s="195"/>
      <c r="E70" s="195"/>
      <c r="F70" s="220"/>
      <c r="G70" s="220"/>
      <c r="H70" s="221"/>
      <c r="I70" s="197"/>
      <c r="J70" s="200"/>
      <c r="K70" s="9"/>
      <c r="L70" s="1"/>
      <c r="M70" s="18"/>
      <c r="N70" s="9"/>
      <c r="O70" s="21"/>
      <c r="P70" s="22"/>
      <c r="Q70" s="22"/>
      <c r="S70" s="87"/>
      <c r="T70" s="5"/>
      <c r="U70" s="5"/>
      <c r="V70" s="88"/>
      <c r="W70" s="88"/>
      <c r="X70" s="89"/>
      <c r="Y70" s="86"/>
      <c r="Z70" s="86"/>
    </row>
    <row r="71" spans="1:26" ht="14.25" customHeight="1" thickBot="1" x14ac:dyDescent="0.25">
      <c r="B71" s="201" t="s">
        <v>130</v>
      </c>
      <c r="C71" s="199"/>
      <c r="D71" s="195"/>
      <c r="E71" s="195"/>
      <c r="F71" s="218"/>
      <c r="G71" s="218"/>
      <c r="H71" s="222"/>
      <c r="I71" s="233"/>
      <c r="J71" s="233"/>
      <c r="K71" s="9"/>
      <c r="L71" s="66" t="str">
        <f t="shared" ref="L71:L86" si="0">IF(B71="","",B71)</f>
        <v>基本設計の部</v>
      </c>
      <c r="M71" s="23"/>
      <c r="N71" s="9"/>
      <c r="O71" s="21"/>
      <c r="P71" s="22"/>
      <c r="Q71" s="22"/>
      <c r="S71" s="23"/>
      <c r="T71" s="19"/>
      <c r="U71" s="19"/>
      <c r="V71" s="80"/>
      <c r="W71" s="80"/>
      <c r="X71" s="81"/>
    </row>
    <row r="72" spans="1:26" ht="14.25" customHeight="1" thickBot="1" x14ac:dyDescent="0.25">
      <c r="A72" s="7">
        <v>1</v>
      </c>
      <c r="B72" s="202" t="s">
        <v>131</v>
      </c>
      <c r="C72" s="199" t="str">
        <f t="shared" ref="C72:C86" si="1">IF($B72="","","図面・仕様書どおり")</f>
        <v>図面・仕様書どおり</v>
      </c>
      <c r="D72" s="195" t="str">
        <f t="shared" ref="D72:D86" si="2">IF($B72="","","1")</f>
        <v>1</v>
      </c>
      <c r="E72" s="195" t="str">
        <f t="shared" ref="E72:E86" si="3">IF($D72="","","式")</f>
        <v>式</v>
      </c>
      <c r="F72" s="218">
        <v>8000000</v>
      </c>
      <c r="G72" s="218">
        <f t="shared" ref="G72:G86" si="4">IF(F72="","",F72+H72)</f>
        <v>8000000</v>
      </c>
      <c r="H72" s="223">
        <f>+X72</f>
        <v>0</v>
      </c>
      <c r="I72" s="233" t="str">
        <f>IF($B72="","","諸経費共")</f>
        <v>諸経費共</v>
      </c>
      <c r="J72" s="233"/>
      <c r="K72" s="98"/>
      <c r="L72" s="1" t="str">
        <f t="shared" si="0"/>
        <v>4号線谷町四丁目駅</v>
      </c>
      <c r="M72" s="105">
        <v>0</v>
      </c>
      <c r="N72" s="52">
        <f t="shared" ref="N72:N86" si="5">IF(M72="","",IF(M72&lt;0,0,1))</f>
        <v>1</v>
      </c>
      <c r="O72" s="21">
        <f t="shared" ref="O72:O86" si="6">+M72*$Q$66</f>
        <v>0</v>
      </c>
      <c r="P72" s="22">
        <f t="shared" ref="P72:P86" si="7">+ROUND(O72,-3)</f>
        <v>0</v>
      </c>
      <c r="Q72" s="22">
        <f t="shared" ref="Q72:Q86" si="8">+ROUND(P72,-4)</f>
        <v>0</v>
      </c>
      <c r="R72" s="9">
        <f t="shared" ref="R72:R86" si="9">IF(AND($Q$66&lt;1,$O72&gt;=0),0,IF(AND($Q$66&gt;=1,$O72&lt;0),0,1))</f>
        <v>1</v>
      </c>
      <c r="S72" s="85">
        <f t="shared" ref="S72:S86" si="10">+M72</f>
        <v>0</v>
      </c>
      <c r="T72" s="73">
        <f t="shared" ref="T72:T86" si="11">IF(R72=0,S72/$S$294,0)</f>
        <v>0</v>
      </c>
      <c r="U72" s="19">
        <f t="shared" ref="U72:U86" si="12">RANK(T72,$T$72:$T$289)</f>
        <v>3</v>
      </c>
      <c r="V72" s="25">
        <f>INT($S72-$T$66*$T72)</f>
        <v>0</v>
      </c>
      <c r="W72" s="25">
        <f>ROUND(V72,-3)</f>
        <v>0</v>
      </c>
      <c r="X72" s="82">
        <f t="shared" ref="X72:X86" si="13">IF(AND($U$299="S",$Y72=1),$W72+($W$297/$U$297),IF(AND($U$299="O",$Y72=1,$Z72=1),$W72+($W$297/$U$297),$W72))</f>
        <v>0</v>
      </c>
      <c r="Y72" s="12" t="str">
        <f t="shared" ref="Y72:Y86" si="14">IF(U72="","",IF($U72&lt;=$U$297,1,""))</f>
        <v/>
      </c>
      <c r="Z72" s="9" t="str">
        <f>IF(OR($Y72="",$U$299="S"),"",IF(COUNT($Z$71:$Z71)&gt;=$U$297,"",1))</f>
        <v/>
      </c>
    </row>
    <row r="73" spans="1:26" ht="14.25" customHeight="1" thickBot="1" x14ac:dyDescent="0.25">
      <c r="A73" s="7">
        <v>2</v>
      </c>
      <c r="B73" s="202" t="s">
        <v>132</v>
      </c>
      <c r="C73" s="199" t="str">
        <f t="shared" si="1"/>
        <v>図面・仕様書どおり</v>
      </c>
      <c r="D73" s="195" t="str">
        <f t="shared" si="2"/>
        <v>1</v>
      </c>
      <c r="E73" s="195" t="str">
        <f t="shared" si="3"/>
        <v>式</v>
      </c>
      <c r="F73" s="218">
        <v>8000000</v>
      </c>
      <c r="G73" s="218">
        <f t="shared" si="4"/>
        <v>8000000</v>
      </c>
      <c r="H73" s="223">
        <f t="shared" ref="H73:H86" si="15">+X73</f>
        <v>0</v>
      </c>
      <c r="I73" s="233" t="str">
        <f>IF($B73="","","諸経費共")</f>
        <v>諸経費共</v>
      </c>
      <c r="J73" s="233"/>
      <c r="K73" s="98"/>
      <c r="L73" s="1" t="str">
        <f t="shared" si="0"/>
        <v>4号線森ノ宮駅</v>
      </c>
      <c r="M73" s="105">
        <v>0</v>
      </c>
      <c r="N73" s="52">
        <f t="shared" si="5"/>
        <v>1</v>
      </c>
      <c r="O73" s="21">
        <f t="shared" si="6"/>
        <v>0</v>
      </c>
      <c r="P73" s="22">
        <f t="shared" si="7"/>
        <v>0</v>
      </c>
      <c r="Q73" s="22">
        <f t="shared" si="8"/>
        <v>0</v>
      </c>
      <c r="R73" s="9">
        <f t="shared" si="9"/>
        <v>1</v>
      </c>
      <c r="S73" s="85">
        <f t="shared" si="10"/>
        <v>0</v>
      </c>
      <c r="T73" s="73">
        <f t="shared" si="11"/>
        <v>0</v>
      </c>
      <c r="U73" s="19">
        <f t="shared" si="12"/>
        <v>3</v>
      </c>
      <c r="V73" s="25">
        <f t="shared" ref="V73:V86" si="16">INT($S73-$T$66*$T73)</f>
        <v>0</v>
      </c>
      <c r="W73" s="25">
        <f t="shared" ref="W73:W86" si="17">ROUND(V73,-3)</f>
        <v>0</v>
      </c>
      <c r="X73" s="82">
        <f t="shared" si="13"/>
        <v>0</v>
      </c>
      <c r="Y73" s="12" t="str">
        <f t="shared" si="14"/>
        <v/>
      </c>
      <c r="Z73" s="9" t="str">
        <f>IF(OR($Y73="",$U$299="S"),"",IF(COUNT($Z$71:$Z72)&gt;=$U$297,"",1))</f>
        <v/>
      </c>
    </row>
    <row r="74" spans="1:26" ht="14.25" hidden="1" customHeight="1" thickBot="1" x14ac:dyDescent="0.25">
      <c r="A74" s="7">
        <v>3</v>
      </c>
      <c r="B74" s="202"/>
      <c r="C74" s="199" t="str">
        <f t="shared" si="1"/>
        <v/>
      </c>
      <c r="D74" s="195" t="str">
        <f t="shared" si="2"/>
        <v/>
      </c>
      <c r="E74" s="195" t="str">
        <f t="shared" si="3"/>
        <v/>
      </c>
      <c r="F74" s="218"/>
      <c r="G74" s="218" t="str">
        <f t="shared" si="4"/>
        <v/>
      </c>
      <c r="H74" s="223">
        <f t="shared" si="15"/>
        <v>0</v>
      </c>
      <c r="I74" s="233" t="str">
        <f>IF($B74="","","諸経費共")</f>
        <v/>
      </c>
      <c r="J74" s="233"/>
      <c r="K74" s="98"/>
      <c r="L74" s="1" t="str">
        <f t="shared" si="0"/>
        <v/>
      </c>
      <c r="M74" s="105"/>
      <c r="N74" s="52" t="str">
        <f t="shared" si="5"/>
        <v/>
      </c>
      <c r="O74" s="21">
        <f t="shared" si="6"/>
        <v>0</v>
      </c>
      <c r="P74" s="22">
        <f t="shared" si="7"/>
        <v>0</v>
      </c>
      <c r="Q74" s="22">
        <f t="shared" si="8"/>
        <v>0</v>
      </c>
      <c r="R74" s="9">
        <f t="shared" si="9"/>
        <v>1</v>
      </c>
      <c r="S74" s="85">
        <f t="shared" si="10"/>
        <v>0</v>
      </c>
      <c r="T74" s="73">
        <f t="shared" si="11"/>
        <v>0</v>
      </c>
      <c r="U74" s="19">
        <f t="shared" si="12"/>
        <v>3</v>
      </c>
      <c r="V74" s="25">
        <f t="shared" si="16"/>
        <v>0</v>
      </c>
      <c r="W74" s="25">
        <f t="shared" si="17"/>
        <v>0</v>
      </c>
      <c r="X74" s="82">
        <f t="shared" si="13"/>
        <v>0</v>
      </c>
      <c r="Y74" s="12" t="str">
        <f t="shared" si="14"/>
        <v/>
      </c>
      <c r="Z74" s="9" t="str">
        <f>IF(OR($Y74="",$U$299="S"),"",IF(COUNT($Z$71:$Z73)&gt;=$U$297,"",1))</f>
        <v/>
      </c>
    </row>
    <row r="75" spans="1:26" ht="14.25" hidden="1" customHeight="1" thickBot="1" x14ac:dyDescent="0.25">
      <c r="A75" s="7">
        <v>4</v>
      </c>
      <c r="B75" s="202"/>
      <c r="C75" s="199" t="str">
        <f t="shared" si="1"/>
        <v/>
      </c>
      <c r="D75" s="195" t="str">
        <f t="shared" si="2"/>
        <v/>
      </c>
      <c r="E75" s="195" t="str">
        <f t="shared" si="3"/>
        <v/>
      </c>
      <c r="F75" s="218"/>
      <c r="G75" s="218" t="str">
        <f t="shared" si="4"/>
        <v/>
      </c>
      <c r="H75" s="223">
        <f t="shared" si="15"/>
        <v>0</v>
      </c>
      <c r="I75" s="233" t="str">
        <f>IF($B75="","","諸経費共")</f>
        <v/>
      </c>
      <c r="J75" s="233"/>
      <c r="K75" s="98"/>
      <c r="L75" s="1" t="str">
        <f t="shared" si="0"/>
        <v/>
      </c>
      <c r="M75" s="105"/>
      <c r="N75" s="52" t="str">
        <f t="shared" si="5"/>
        <v/>
      </c>
      <c r="O75" s="21">
        <f t="shared" si="6"/>
        <v>0</v>
      </c>
      <c r="P75" s="22">
        <f t="shared" si="7"/>
        <v>0</v>
      </c>
      <c r="Q75" s="22">
        <f t="shared" si="8"/>
        <v>0</v>
      </c>
      <c r="R75" s="9">
        <f t="shared" si="9"/>
        <v>1</v>
      </c>
      <c r="S75" s="85">
        <f t="shared" si="10"/>
        <v>0</v>
      </c>
      <c r="T75" s="73">
        <f t="shared" si="11"/>
        <v>0</v>
      </c>
      <c r="U75" s="19">
        <f t="shared" si="12"/>
        <v>3</v>
      </c>
      <c r="V75" s="25">
        <f t="shared" si="16"/>
        <v>0</v>
      </c>
      <c r="W75" s="25">
        <f t="shared" si="17"/>
        <v>0</v>
      </c>
      <c r="X75" s="82">
        <f t="shared" si="13"/>
        <v>0</v>
      </c>
      <c r="Y75" s="12" t="str">
        <f t="shared" si="14"/>
        <v/>
      </c>
      <c r="Z75" s="9" t="str">
        <f>IF(OR($Y75="",$U$299="S"),"",IF(COUNT($Z$71:$Z74)&gt;=$U$297,"",1))</f>
        <v/>
      </c>
    </row>
    <row r="76" spans="1:26" ht="14.25" hidden="1" customHeight="1" thickBot="1" x14ac:dyDescent="0.25">
      <c r="A76" s="7">
        <v>5</v>
      </c>
      <c r="B76" s="202"/>
      <c r="C76" s="199" t="str">
        <f t="shared" si="1"/>
        <v/>
      </c>
      <c r="D76" s="195" t="str">
        <f t="shared" si="2"/>
        <v/>
      </c>
      <c r="E76" s="195" t="str">
        <f t="shared" si="3"/>
        <v/>
      </c>
      <c r="F76" s="218"/>
      <c r="G76" s="218" t="str">
        <f t="shared" si="4"/>
        <v/>
      </c>
      <c r="H76" s="223">
        <f t="shared" si="15"/>
        <v>0</v>
      </c>
      <c r="I76" s="233" t="str">
        <f>IF($B76="","","諸経費共")</f>
        <v/>
      </c>
      <c r="J76" s="233"/>
      <c r="K76" s="98"/>
      <c r="L76" s="1" t="str">
        <f t="shared" si="0"/>
        <v/>
      </c>
      <c r="M76" s="105"/>
      <c r="N76" s="52" t="str">
        <f t="shared" si="5"/>
        <v/>
      </c>
      <c r="O76" s="21">
        <f t="shared" si="6"/>
        <v>0</v>
      </c>
      <c r="P76" s="22">
        <f t="shared" si="7"/>
        <v>0</v>
      </c>
      <c r="Q76" s="22">
        <f t="shared" si="8"/>
        <v>0</v>
      </c>
      <c r="R76" s="9">
        <f t="shared" si="9"/>
        <v>1</v>
      </c>
      <c r="S76" s="85">
        <f t="shared" si="10"/>
        <v>0</v>
      </c>
      <c r="T76" s="73">
        <f t="shared" si="11"/>
        <v>0</v>
      </c>
      <c r="U76" s="19">
        <f t="shared" si="12"/>
        <v>3</v>
      </c>
      <c r="V76" s="25">
        <f t="shared" si="16"/>
        <v>0</v>
      </c>
      <c r="W76" s="25">
        <f t="shared" si="17"/>
        <v>0</v>
      </c>
      <c r="X76" s="82">
        <f t="shared" si="13"/>
        <v>0</v>
      </c>
      <c r="Y76" s="12" t="str">
        <f t="shared" si="14"/>
        <v/>
      </c>
      <c r="Z76" s="9" t="str">
        <f>IF(OR($Y76="",$U$299="S"),"",IF(COUNT($Z$71:$Z75)&gt;=$U$297,"",1))</f>
        <v/>
      </c>
    </row>
    <row r="77" spans="1:26" ht="14.25" hidden="1" customHeight="1" thickBot="1" x14ac:dyDescent="0.25">
      <c r="A77" s="7">
        <v>6</v>
      </c>
      <c r="B77" s="203"/>
      <c r="C77" s="199" t="str">
        <f t="shared" si="1"/>
        <v/>
      </c>
      <c r="D77" s="195" t="str">
        <f t="shared" si="2"/>
        <v/>
      </c>
      <c r="E77" s="195" t="str">
        <f t="shared" si="3"/>
        <v/>
      </c>
      <c r="F77" s="218"/>
      <c r="G77" s="218" t="str">
        <f t="shared" si="4"/>
        <v/>
      </c>
      <c r="H77" s="223">
        <f t="shared" si="15"/>
        <v>0</v>
      </c>
      <c r="I77" s="233" t="str">
        <f>IF($B77="","","諸経費共")</f>
        <v/>
      </c>
      <c r="J77" s="233"/>
      <c r="K77" s="98"/>
      <c r="L77" s="1" t="str">
        <f t="shared" si="0"/>
        <v/>
      </c>
      <c r="M77" s="105"/>
      <c r="N77" s="52" t="str">
        <f t="shared" si="5"/>
        <v/>
      </c>
      <c r="O77" s="21">
        <f t="shared" si="6"/>
        <v>0</v>
      </c>
      <c r="P77" s="22">
        <f t="shared" si="7"/>
        <v>0</v>
      </c>
      <c r="Q77" s="22">
        <f t="shared" si="8"/>
        <v>0</v>
      </c>
      <c r="R77" s="9">
        <f t="shared" si="9"/>
        <v>1</v>
      </c>
      <c r="S77" s="85">
        <f t="shared" si="10"/>
        <v>0</v>
      </c>
      <c r="T77" s="73">
        <f t="shared" si="11"/>
        <v>0</v>
      </c>
      <c r="U77" s="19">
        <f t="shared" si="12"/>
        <v>3</v>
      </c>
      <c r="V77" s="25">
        <f t="shared" si="16"/>
        <v>0</v>
      </c>
      <c r="W77" s="25">
        <f t="shared" si="17"/>
        <v>0</v>
      </c>
      <c r="X77" s="82">
        <f t="shared" si="13"/>
        <v>0</v>
      </c>
      <c r="Y77" s="12" t="str">
        <f t="shared" si="14"/>
        <v/>
      </c>
      <c r="Z77" s="9" t="str">
        <f>IF(OR($Y77="",$U$299="S"),"",IF(COUNT($Z$71:$Z76)&gt;=$U$297,"",1))</f>
        <v/>
      </c>
    </row>
    <row r="78" spans="1:26" ht="14.25" hidden="1" customHeight="1" thickBot="1" x14ac:dyDescent="0.25">
      <c r="A78" s="7">
        <v>7</v>
      </c>
      <c r="B78" s="203"/>
      <c r="C78" s="199" t="str">
        <f t="shared" si="1"/>
        <v/>
      </c>
      <c r="D78" s="195" t="str">
        <f t="shared" si="2"/>
        <v/>
      </c>
      <c r="E78" s="195" t="str">
        <f t="shared" si="3"/>
        <v/>
      </c>
      <c r="F78" s="218"/>
      <c r="G78" s="218" t="str">
        <f t="shared" si="4"/>
        <v/>
      </c>
      <c r="H78" s="223">
        <f t="shared" si="15"/>
        <v>0</v>
      </c>
      <c r="I78" s="233" t="str">
        <f>IF($B78="","","諸経費共")</f>
        <v/>
      </c>
      <c r="J78" s="233"/>
      <c r="K78" s="98"/>
      <c r="L78" s="1" t="str">
        <f t="shared" si="0"/>
        <v/>
      </c>
      <c r="M78" s="105"/>
      <c r="N78" s="52" t="str">
        <f t="shared" si="5"/>
        <v/>
      </c>
      <c r="O78" s="21">
        <f t="shared" si="6"/>
        <v>0</v>
      </c>
      <c r="P78" s="22">
        <f t="shared" si="7"/>
        <v>0</v>
      </c>
      <c r="Q78" s="22">
        <f t="shared" si="8"/>
        <v>0</v>
      </c>
      <c r="R78" s="9">
        <f t="shared" si="9"/>
        <v>1</v>
      </c>
      <c r="S78" s="85">
        <f t="shared" si="10"/>
        <v>0</v>
      </c>
      <c r="T78" s="73">
        <f t="shared" si="11"/>
        <v>0</v>
      </c>
      <c r="U78" s="19">
        <f t="shared" si="12"/>
        <v>3</v>
      </c>
      <c r="V78" s="25">
        <f t="shared" si="16"/>
        <v>0</v>
      </c>
      <c r="W78" s="25">
        <f t="shared" si="17"/>
        <v>0</v>
      </c>
      <c r="X78" s="82">
        <f t="shared" si="13"/>
        <v>0</v>
      </c>
      <c r="Y78" s="12" t="str">
        <f t="shared" si="14"/>
        <v/>
      </c>
      <c r="Z78" s="9" t="str">
        <f>IF(OR($Y78="",$U$299="S"),"",IF(COUNT($Z$71:$Z77)&gt;=$U$297,"",1))</f>
        <v/>
      </c>
    </row>
    <row r="79" spans="1:26" ht="14.25" hidden="1" customHeight="1" thickBot="1" x14ac:dyDescent="0.25">
      <c r="A79" s="7">
        <v>8</v>
      </c>
      <c r="B79" s="203"/>
      <c r="C79" s="199" t="str">
        <f t="shared" si="1"/>
        <v/>
      </c>
      <c r="D79" s="195" t="str">
        <f t="shared" si="2"/>
        <v/>
      </c>
      <c r="E79" s="195" t="str">
        <f t="shared" si="3"/>
        <v/>
      </c>
      <c r="F79" s="218"/>
      <c r="G79" s="218" t="str">
        <f t="shared" si="4"/>
        <v/>
      </c>
      <c r="H79" s="223">
        <f t="shared" si="15"/>
        <v>0</v>
      </c>
      <c r="I79" s="233" t="str">
        <f>IF($B79="","","諸経費共")</f>
        <v/>
      </c>
      <c r="J79" s="233"/>
      <c r="K79" s="98"/>
      <c r="L79" s="1" t="str">
        <f t="shared" si="0"/>
        <v/>
      </c>
      <c r="M79" s="105"/>
      <c r="N79" s="52" t="str">
        <f t="shared" si="5"/>
        <v/>
      </c>
      <c r="O79" s="21">
        <f t="shared" si="6"/>
        <v>0</v>
      </c>
      <c r="P79" s="22">
        <f t="shared" si="7"/>
        <v>0</v>
      </c>
      <c r="Q79" s="22">
        <f t="shared" si="8"/>
        <v>0</v>
      </c>
      <c r="R79" s="9">
        <f t="shared" si="9"/>
        <v>1</v>
      </c>
      <c r="S79" s="85">
        <f t="shared" si="10"/>
        <v>0</v>
      </c>
      <c r="T79" s="73">
        <f t="shared" si="11"/>
        <v>0</v>
      </c>
      <c r="U79" s="19">
        <f t="shared" si="12"/>
        <v>3</v>
      </c>
      <c r="V79" s="25">
        <f t="shared" si="16"/>
        <v>0</v>
      </c>
      <c r="W79" s="25">
        <f t="shared" si="17"/>
        <v>0</v>
      </c>
      <c r="X79" s="82">
        <f t="shared" si="13"/>
        <v>0</v>
      </c>
      <c r="Y79" s="12" t="str">
        <f t="shared" si="14"/>
        <v/>
      </c>
      <c r="Z79" s="9" t="str">
        <f>IF(OR($Y79="",$U$299="S"),"",IF(COUNT($Z$71:$Z78)&gt;=$U$297,"",1))</f>
        <v/>
      </c>
    </row>
    <row r="80" spans="1:26" ht="14.25" hidden="1" customHeight="1" thickBot="1" x14ac:dyDescent="0.25">
      <c r="A80" s="7">
        <v>9</v>
      </c>
      <c r="B80" s="203"/>
      <c r="C80" s="199" t="str">
        <f t="shared" si="1"/>
        <v/>
      </c>
      <c r="D80" s="195" t="str">
        <f t="shared" si="2"/>
        <v/>
      </c>
      <c r="E80" s="195" t="str">
        <f t="shared" si="3"/>
        <v/>
      </c>
      <c r="F80" s="218"/>
      <c r="G80" s="218" t="str">
        <f t="shared" si="4"/>
        <v/>
      </c>
      <c r="H80" s="223">
        <f t="shared" si="15"/>
        <v>0</v>
      </c>
      <c r="I80" s="233" t="str">
        <f>IF($B80="","","諸経費共")</f>
        <v/>
      </c>
      <c r="J80" s="233"/>
      <c r="K80" s="98"/>
      <c r="L80" s="1" t="str">
        <f t="shared" si="0"/>
        <v/>
      </c>
      <c r="M80" s="105"/>
      <c r="N80" s="52" t="str">
        <f t="shared" si="5"/>
        <v/>
      </c>
      <c r="O80" s="21">
        <f t="shared" si="6"/>
        <v>0</v>
      </c>
      <c r="P80" s="22">
        <f t="shared" si="7"/>
        <v>0</v>
      </c>
      <c r="Q80" s="22">
        <f t="shared" si="8"/>
        <v>0</v>
      </c>
      <c r="R80" s="9">
        <f t="shared" si="9"/>
        <v>1</v>
      </c>
      <c r="S80" s="85">
        <f t="shared" si="10"/>
        <v>0</v>
      </c>
      <c r="T80" s="73">
        <f t="shared" si="11"/>
        <v>0</v>
      </c>
      <c r="U80" s="19">
        <f t="shared" si="12"/>
        <v>3</v>
      </c>
      <c r="V80" s="25">
        <f t="shared" si="16"/>
        <v>0</v>
      </c>
      <c r="W80" s="25">
        <f t="shared" si="17"/>
        <v>0</v>
      </c>
      <c r="X80" s="82">
        <f t="shared" si="13"/>
        <v>0</v>
      </c>
      <c r="Y80" s="12" t="str">
        <f t="shared" si="14"/>
        <v/>
      </c>
      <c r="Z80" s="9" t="str">
        <f>IF(OR($Y80="",$U$299="S"),"",IF(COUNT($Z$71:$Z79)&gt;=$U$297,"",1))</f>
        <v/>
      </c>
    </row>
    <row r="81" spans="1:33" ht="14.25" hidden="1" customHeight="1" thickBot="1" x14ac:dyDescent="0.25">
      <c r="A81" s="7">
        <v>10</v>
      </c>
      <c r="B81" s="203"/>
      <c r="C81" s="199" t="str">
        <f t="shared" si="1"/>
        <v/>
      </c>
      <c r="D81" s="195" t="str">
        <f t="shared" si="2"/>
        <v/>
      </c>
      <c r="E81" s="195" t="str">
        <f t="shared" si="3"/>
        <v/>
      </c>
      <c r="F81" s="218"/>
      <c r="G81" s="218" t="str">
        <f t="shared" si="4"/>
        <v/>
      </c>
      <c r="H81" s="223">
        <f t="shared" si="15"/>
        <v>0</v>
      </c>
      <c r="I81" s="233" t="str">
        <f>IF($B81="","","諸経費共")</f>
        <v/>
      </c>
      <c r="J81" s="233"/>
      <c r="K81" s="98"/>
      <c r="L81" s="1" t="str">
        <f t="shared" si="0"/>
        <v/>
      </c>
      <c r="M81" s="105"/>
      <c r="N81" s="52" t="str">
        <f t="shared" si="5"/>
        <v/>
      </c>
      <c r="O81" s="21">
        <f t="shared" si="6"/>
        <v>0</v>
      </c>
      <c r="P81" s="22">
        <f t="shared" si="7"/>
        <v>0</v>
      </c>
      <c r="Q81" s="22">
        <f t="shared" si="8"/>
        <v>0</v>
      </c>
      <c r="R81" s="9">
        <f t="shared" si="9"/>
        <v>1</v>
      </c>
      <c r="S81" s="85">
        <f t="shared" si="10"/>
        <v>0</v>
      </c>
      <c r="T81" s="73">
        <f t="shared" si="11"/>
        <v>0</v>
      </c>
      <c r="U81" s="19">
        <f t="shared" si="12"/>
        <v>3</v>
      </c>
      <c r="V81" s="25">
        <f t="shared" si="16"/>
        <v>0</v>
      </c>
      <c r="W81" s="25">
        <f t="shared" si="17"/>
        <v>0</v>
      </c>
      <c r="X81" s="82">
        <f t="shared" si="13"/>
        <v>0</v>
      </c>
      <c r="Y81" s="12" t="str">
        <f t="shared" si="14"/>
        <v/>
      </c>
      <c r="Z81" s="9" t="str">
        <f>IF(OR($Y81="",$U$299="S"),"",IF(COUNT($Z$71:$Z80)&gt;=$U$297,"",1))</f>
        <v/>
      </c>
    </row>
    <row r="82" spans="1:33" ht="14.25" hidden="1" customHeight="1" thickBot="1" x14ac:dyDescent="0.25">
      <c r="A82" s="7">
        <v>11</v>
      </c>
      <c r="B82" s="203"/>
      <c r="C82" s="199" t="str">
        <f t="shared" si="1"/>
        <v/>
      </c>
      <c r="D82" s="195" t="str">
        <f t="shared" si="2"/>
        <v/>
      </c>
      <c r="E82" s="195" t="str">
        <f t="shared" si="3"/>
        <v/>
      </c>
      <c r="F82" s="218"/>
      <c r="G82" s="218" t="str">
        <f t="shared" si="4"/>
        <v/>
      </c>
      <c r="H82" s="223">
        <f t="shared" si="15"/>
        <v>0</v>
      </c>
      <c r="I82" s="233" t="str">
        <f>IF($B82="","","諸経費共")</f>
        <v/>
      </c>
      <c r="J82" s="233"/>
      <c r="K82" s="98"/>
      <c r="L82" s="1" t="str">
        <f t="shared" si="0"/>
        <v/>
      </c>
      <c r="M82" s="105"/>
      <c r="N82" s="52" t="str">
        <f t="shared" si="5"/>
        <v/>
      </c>
      <c r="O82" s="21">
        <f t="shared" si="6"/>
        <v>0</v>
      </c>
      <c r="P82" s="22">
        <f t="shared" si="7"/>
        <v>0</v>
      </c>
      <c r="Q82" s="22">
        <f t="shared" si="8"/>
        <v>0</v>
      </c>
      <c r="R82" s="9">
        <f t="shared" si="9"/>
        <v>1</v>
      </c>
      <c r="S82" s="85">
        <f t="shared" si="10"/>
        <v>0</v>
      </c>
      <c r="T82" s="73">
        <f t="shared" si="11"/>
        <v>0</v>
      </c>
      <c r="U82" s="19">
        <f t="shared" si="12"/>
        <v>3</v>
      </c>
      <c r="V82" s="25">
        <f t="shared" si="16"/>
        <v>0</v>
      </c>
      <c r="W82" s="25">
        <f t="shared" si="17"/>
        <v>0</v>
      </c>
      <c r="X82" s="82">
        <f t="shared" si="13"/>
        <v>0</v>
      </c>
      <c r="Y82" s="12" t="str">
        <f t="shared" si="14"/>
        <v/>
      </c>
      <c r="Z82" s="9" t="str">
        <f>IF(OR($Y82="",$U$299="S"),"",IF(COUNT($Z$71:$Z81)&gt;=$U$297,"",1))</f>
        <v/>
      </c>
    </row>
    <row r="83" spans="1:33" ht="14.25" hidden="1" customHeight="1" thickBot="1" x14ac:dyDescent="0.25">
      <c r="A83" s="7">
        <v>12</v>
      </c>
      <c r="B83" s="203"/>
      <c r="C83" s="199" t="str">
        <f t="shared" si="1"/>
        <v/>
      </c>
      <c r="D83" s="195" t="str">
        <f t="shared" si="2"/>
        <v/>
      </c>
      <c r="E83" s="195" t="str">
        <f t="shared" si="3"/>
        <v/>
      </c>
      <c r="F83" s="218"/>
      <c r="G83" s="218" t="str">
        <f t="shared" si="4"/>
        <v/>
      </c>
      <c r="H83" s="223">
        <f t="shared" si="15"/>
        <v>0</v>
      </c>
      <c r="I83" s="233" t="str">
        <f>IF($B83="","","諸経費共")</f>
        <v/>
      </c>
      <c r="J83" s="233"/>
      <c r="K83" s="98"/>
      <c r="L83" s="1" t="str">
        <f t="shared" si="0"/>
        <v/>
      </c>
      <c r="M83" s="105"/>
      <c r="N83" s="52" t="str">
        <f t="shared" si="5"/>
        <v/>
      </c>
      <c r="O83" s="21">
        <f t="shared" si="6"/>
        <v>0</v>
      </c>
      <c r="P83" s="22">
        <f t="shared" si="7"/>
        <v>0</v>
      </c>
      <c r="Q83" s="22">
        <f t="shared" si="8"/>
        <v>0</v>
      </c>
      <c r="R83" s="9">
        <f t="shared" si="9"/>
        <v>1</v>
      </c>
      <c r="S83" s="85">
        <f t="shared" si="10"/>
        <v>0</v>
      </c>
      <c r="T83" s="73">
        <f t="shared" si="11"/>
        <v>0</v>
      </c>
      <c r="U83" s="19">
        <f t="shared" si="12"/>
        <v>3</v>
      </c>
      <c r="V83" s="25">
        <f t="shared" si="16"/>
        <v>0</v>
      </c>
      <c r="W83" s="25">
        <f t="shared" si="17"/>
        <v>0</v>
      </c>
      <c r="X83" s="82">
        <f t="shared" si="13"/>
        <v>0</v>
      </c>
      <c r="Y83" s="12" t="str">
        <f t="shared" si="14"/>
        <v/>
      </c>
      <c r="Z83" s="9" t="str">
        <f>IF(OR($Y83="",$U$299="S"),"",IF(COUNT($Z$71:$Z82)&gt;=$U$297,"",1))</f>
        <v/>
      </c>
    </row>
    <row r="84" spans="1:33" ht="14.25" hidden="1" customHeight="1" thickBot="1" x14ac:dyDescent="0.25">
      <c r="A84" s="7">
        <v>13</v>
      </c>
      <c r="B84" s="203"/>
      <c r="C84" s="199" t="str">
        <f t="shared" si="1"/>
        <v/>
      </c>
      <c r="D84" s="195" t="str">
        <f t="shared" si="2"/>
        <v/>
      </c>
      <c r="E84" s="195" t="str">
        <f t="shared" si="3"/>
        <v/>
      </c>
      <c r="F84" s="218"/>
      <c r="G84" s="218" t="str">
        <f t="shared" si="4"/>
        <v/>
      </c>
      <c r="H84" s="223">
        <f t="shared" si="15"/>
        <v>0</v>
      </c>
      <c r="I84" s="233" t="str">
        <f>IF($B84="","","諸経費共")</f>
        <v/>
      </c>
      <c r="J84" s="233"/>
      <c r="K84" s="98"/>
      <c r="L84" s="1" t="str">
        <f t="shared" si="0"/>
        <v/>
      </c>
      <c r="M84" s="105"/>
      <c r="N84" s="52" t="str">
        <f t="shared" si="5"/>
        <v/>
      </c>
      <c r="O84" s="21">
        <f t="shared" si="6"/>
        <v>0</v>
      </c>
      <c r="P84" s="22">
        <f t="shared" si="7"/>
        <v>0</v>
      </c>
      <c r="Q84" s="22">
        <f t="shared" si="8"/>
        <v>0</v>
      </c>
      <c r="R84" s="9">
        <f t="shared" si="9"/>
        <v>1</v>
      </c>
      <c r="S84" s="85">
        <f t="shared" si="10"/>
        <v>0</v>
      </c>
      <c r="T84" s="73">
        <f t="shared" si="11"/>
        <v>0</v>
      </c>
      <c r="U84" s="19">
        <f t="shared" si="12"/>
        <v>3</v>
      </c>
      <c r="V84" s="25">
        <f t="shared" si="16"/>
        <v>0</v>
      </c>
      <c r="W84" s="25">
        <f t="shared" si="17"/>
        <v>0</v>
      </c>
      <c r="X84" s="82">
        <f t="shared" si="13"/>
        <v>0</v>
      </c>
      <c r="Y84" s="12" t="str">
        <f t="shared" si="14"/>
        <v/>
      </c>
      <c r="Z84" s="9" t="str">
        <f>IF(OR($Y84="",$U$299="S"),"",IF(COUNT($Z$71:$Z83)&gt;=$U$297,"",1))</f>
        <v/>
      </c>
    </row>
    <row r="85" spans="1:33" ht="14.25" hidden="1" customHeight="1" thickBot="1" x14ac:dyDescent="0.25">
      <c r="A85" s="7">
        <v>14</v>
      </c>
      <c r="B85" s="203"/>
      <c r="C85" s="199" t="str">
        <f t="shared" si="1"/>
        <v/>
      </c>
      <c r="D85" s="195" t="str">
        <f t="shared" si="2"/>
        <v/>
      </c>
      <c r="E85" s="195" t="str">
        <f t="shared" si="3"/>
        <v/>
      </c>
      <c r="F85" s="218"/>
      <c r="G85" s="218" t="str">
        <f t="shared" si="4"/>
        <v/>
      </c>
      <c r="H85" s="223">
        <f t="shared" si="15"/>
        <v>0</v>
      </c>
      <c r="I85" s="233" t="str">
        <f>IF($B85="","","諸経費共")</f>
        <v/>
      </c>
      <c r="J85" s="233"/>
      <c r="K85" s="98"/>
      <c r="L85" s="1" t="str">
        <f t="shared" si="0"/>
        <v/>
      </c>
      <c r="M85" s="105"/>
      <c r="N85" s="52" t="str">
        <f t="shared" si="5"/>
        <v/>
      </c>
      <c r="O85" s="21">
        <f t="shared" si="6"/>
        <v>0</v>
      </c>
      <c r="P85" s="22">
        <f t="shared" si="7"/>
        <v>0</v>
      </c>
      <c r="Q85" s="22">
        <f t="shared" si="8"/>
        <v>0</v>
      </c>
      <c r="R85" s="9">
        <f t="shared" si="9"/>
        <v>1</v>
      </c>
      <c r="S85" s="85">
        <f t="shared" si="10"/>
        <v>0</v>
      </c>
      <c r="T85" s="73">
        <f t="shared" si="11"/>
        <v>0</v>
      </c>
      <c r="U85" s="19">
        <f t="shared" si="12"/>
        <v>3</v>
      </c>
      <c r="V85" s="25">
        <f t="shared" si="16"/>
        <v>0</v>
      </c>
      <c r="W85" s="25">
        <f t="shared" si="17"/>
        <v>0</v>
      </c>
      <c r="X85" s="82">
        <f t="shared" si="13"/>
        <v>0</v>
      </c>
      <c r="Y85" s="12" t="str">
        <f t="shared" si="14"/>
        <v/>
      </c>
      <c r="Z85" s="9" t="str">
        <f>IF(OR($Y85="",$U$299="S"),"",IF(COUNT($Z$71:$Z84)&gt;=$U$297,"",1))</f>
        <v/>
      </c>
    </row>
    <row r="86" spans="1:33" ht="14.25" hidden="1" customHeight="1" thickBot="1" x14ac:dyDescent="0.25">
      <c r="A86" s="7">
        <v>15</v>
      </c>
      <c r="B86" s="199"/>
      <c r="C86" s="199" t="str">
        <f t="shared" si="1"/>
        <v/>
      </c>
      <c r="D86" s="195" t="str">
        <f t="shared" si="2"/>
        <v/>
      </c>
      <c r="E86" s="195" t="str">
        <f t="shared" si="3"/>
        <v/>
      </c>
      <c r="F86" s="218"/>
      <c r="G86" s="218" t="str">
        <f t="shared" si="4"/>
        <v/>
      </c>
      <c r="H86" s="223">
        <f t="shared" si="15"/>
        <v>0</v>
      </c>
      <c r="I86" s="233" t="str">
        <f>IF($B86="","","諸経費共")</f>
        <v/>
      </c>
      <c r="J86" s="233"/>
      <c r="K86" s="98"/>
      <c r="L86" s="1" t="str">
        <f t="shared" si="0"/>
        <v/>
      </c>
      <c r="M86" s="105"/>
      <c r="N86" s="52" t="str">
        <f t="shared" si="5"/>
        <v/>
      </c>
      <c r="O86" s="21">
        <f t="shared" si="6"/>
        <v>0</v>
      </c>
      <c r="P86" s="22">
        <f t="shared" si="7"/>
        <v>0</v>
      </c>
      <c r="Q86" s="22">
        <f t="shared" si="8"/>
        <v>0</v>
      </c>
      <c r="R86" s="9">
        <f t="shared" si="9"/>
        <v>1</v>
      </c>
      <c r="S86" s="85">
        <f t="shared" si="10"/>
        <v>0</v>
      </c>
      <c r="T86" s="73">
        <f t="shared" si="11"/>
        <v>0</v>
      </c>
      <c r="U86" s="19">
        <f t="shared" si="12"/>
        <v>3</v>
      </c>
      <c r="V86" s="25">
        <f t="shared" si="16"/>
        <v>0</v>
      </c>
      <c r="W86" s="25">
        <f t="shared" si="17"/>
        <v>0</v>
      </c>
      <c r="X86" s="82">
        <f t="shared" si="13"/>
        <v>0</v>
      </c>
      <c r="Y86" s="12" t="str">
        <f t="shared" si="14"/>
        <v/>
      </c>
      <c r="Z86" s="9" t="str">
        <f>IF(OR($Y86="",$U$299="S"),"",IF(COUNT($Z$71:$Z85)&gt;=$U$297,"",1))</f>
        <v/>
      </c>
    </row>
    <row r="87" spans="1:33" ht="14.25" customHeight="1" thickBot="1" x14ac:dyDescent="0.25">
      <c r="B87" s="204" t="s">
        <v>23</v>
      </c>
      <c r="C87" s="199"/>
      <c r="D87" s="195"/>
      <c r="E87" s="195"/>
      <c r="F87" s="218">
        <f>SUM(F72:F86)</f>
        <v>16000000</v>
      </c>
      <c r="G87" s="218">
        <f>+F87+H87</f>
        <v>16000000</v>
      </c>
      <c r="H87" s="222">
        <f>SUM(H72:H86)</f>
        <v>0</v>
      </c>
      <c r="I87" s="233"/>
      <c r="J87" s="233"/>
      <c r="K87" s="9"/>
      <c r="L87" s="2" t="s">
        <v>20</v>
      </c>
      <c r="M87" s="106">
        <f>SUM(M72:M86)</f>
        <v>0</v>
      </c>
      <c r="N87" s="9"/>
      <c r="O87" s="54">
        <f>SUM(O72:O86)</f>
        <v>0</v>
      </c>
      <c r="P87" s="29">
        <f>SUM(P72:P86)</f>
        <v>0</v>
      </c>
      <c r="Q87" s="29">
        <f>SUM(Q72:Q86)</f>
        <v>0</v>
      </c>
      <c r="S87" s="53">
        <f>SUM(S72:S86)</f>
        <v>0</v>
      </c>
      <c r="T87" s="74"/>
      <c r="U87" s="74"/>
      <c r="V87" s="54">
        <f>SUM(V72:V86)</f>
        <v>0</v>
      </c>
      <c r="W87" s="54">
        <f>SUM(W72:W86)</f>
        <v>0</v>
      </c>
      <c r="X87" s="69">
        <f>SUM(X72:X86)</f>
        <v>0</v>
      </c>
      <c r="Y87" s="12"/>
      <c r="Z87" s="9" t="str">
        <f>IF(OR($Y87="",$U$299="S"),"",IF(COUNT($Z$71:$Z86)&gt;=$U$297,"",1))</f>
        <v/>
      </c>
    </row>
    <row r="88" spans="1:33" ht="14.25" customHeight="1" thickBot="1" x14ac:dyDescent="0.25">
      <c r="B88" s="205" t="s">
        <v>21</v>
      </c>
      <c r="C88" s="199"/>
      <c r="D88" s="195">
        <v>1</v>
      </c>
      <c r="E88" s="195" t="str">
        <f>IF($D88="","","式")</f>
        <v>式</v>
      </c>
      <c r="F88" s="218">
        <f>+F87*0.1</f>
        <v>1600000</v>
      </c>
      <c r="G88" s="218">
        <f>+F88+H88</f>
        <v>1600000</v>
      </c>
      <c r="H88" s="222">
        <f>H87*0.1</f>
        <v>0</v>
      </c>
      <c r="I88" s="233"/>
      <c r="J88" s="233"/>
      <c r="K88" s="9"/>
      <c r="L88" s="3" t="s">
        <v>21</v>
      </c>
      <c r="M88" s="107">
        <f>+M87*0.1</f>
        <v>0</v>
      </c>
      <c r="N88" s="49"/>
      <c r="O88" s="23">
        <f>+O87*0.1</f>
        <v>0</v>
      </c>
      <c r="P88" s="64">
        <f>+P87*0.1</f>
        <v>0</v>
      </c>
      <c r="Q88" s="64">
        <f>+Q87*0.1</f>
        <v>0</v>
      </c>
      <c r="R88" s="49"/>
      <c r="S88" s="23">
        <f>+S87*0.1</f>
        <v>0</v>
      </c>
      <c r="T88" s="75"/>
      <c r="U88" s="75"/>
      <c r="V88" s="48">
        <f>+V87*0.1</f>
        <v>0</v>
      </c>
      <c r="W88" s="48">
        <f>+W87*0.1</f>
        <v>0</v>
      </c>
      <c r="X88" s="82">
        <f>X87*0.1</f>
        <v>0</v>
      </c>
      <c r="Y88" s="12"/>
      <c r="Z88" s="9" t="str">
        <f>IF(OR($Y88="",$U$299="S"),"",IF(COUNT($Z$71:$Z87)&gt;=$U$297,"",1))</f>
        <v/>
      </c>
      <c r="AA88" s="49"/>
      <c r="AB88" s="49"/>
      <c r="AC88" s="49"/>
      <c r="AD88" s="49"/>
      <c r="AE88" s="49"/>
      <c r="AF88" s="49"/>
      <c r="AG88" s="49"/>
    </row>
    <row r="89" spans="1:33" ht="14.25" customHeight="1" thickBot="1" x14ac:dyDescent="0.25">
      <c r="B89" s="204" t="s">
        <v>22</v>
      </c>
      <c r="C89" s="199"/>
      <c r="D89" s="195"/>
      <c r="E89" s="195"/>
      <c r="F89" s="218">
        <f>SUM(F87:F88)</f>
        <v>17600000</v>
      </c>
      <c r="G89" s="218">
        <f>+F89+H89</f>
        <v>17600000</v>
      </c>
      <c r="H89" s="222">
        <f>SUM(H87:H88)</f>
        <v>0</v>
      </c>
      <c r="I89" s="233"/>
      <c r="J89" s="233"/>
      <c r="K89" s="9"/>
      <c r="L89" s="2" t="s">
        <v>22</v>
      </c>
      <c r="M89" s="107">
        <f>+M87+M88</f>
        <v>0</v>
      </c>
      <c r="N89" s="49"/>
      <c r="O89" s="23">
        <f>SUM(O87:O88)</f>
        <v>0</v>
      </c>
      <c r="P89" s="64">
        <f>SUM(P87:P88)</f>
        <v>0</v>
      </c>
      <c r="Q89" s="64">
        <f>SUM(Q87:Q88)</f>
        <v>0</v>
      </c>
      <c r="R89" s="49"/>
      <c r="S89" s="23">
        <f>+S87+S88</f>
        <v>0</v>
      </c>
      <c r="T89" s="75"/>
      <c r="U89" s="75"/>
      <c r="V89" s="48">
        <f>+V87+V88</f>
        <v>0</v>
      </c>
      <c r="W89" s="48">
        <f>+W87+W88</f>
        <v>0</v>
      </c>
      <c r="X89" s="82">
        <f>SUM(X87:X88)</f>
        <v>0</v>
      </c>
      <c r="Y89" s="12"/>
      <c r="Z89" s="9" t="str">
        <f>IF(OR($Y89="",$U$299="S"),"",IF(COUNT($Z$71:$Z88)&gt;=$U$297,"",1))</f>
        <v/>
      </c>
      <c r="AA89" s="49"/>
      <c r="AB89" s="49"/>
      <c r="AC89" s="49"/>
      <c r="AD89" s="49"/>
      <c r="AE89" s="49"/>
      <c r="AF89" s="49"/>
      <c r="AG89" s="49"/>
    </row>
    <row r="90" spans="1:33" ht="14.25" customHeight="1" thickBot="1" x14ac:dyDescent="0.25">
      <c r="B90" s="204"/>
      <c r="C90" s="199"/>
      <c r="D90" s="195"/>
      <c r="E90" s="195"/>
      <c r="F90" s="218"/>
      <c r="G90" s="218"/>
      <c r="H90" s="222"/>
      <c r="I90" s="231"/>
      <c r="J90" s="232"/>
      <c r="K90" s="9"/>
      <c r="L90" s="2"/>
      <c r="M90" s="107"/>
      <c r="N90" s="49"/>
      <c r="O90" s="48"/>
      <c r="P90" s="64"/>
      <c r="Q90" s="64"/>
      <c r="R90" s="49"/>
      <c r="S90" s="23"/>
      <c r="T90" s="75"/>
      <c r="U90" s="75"/>
      <c r="V90" s="48"/>
      <c r="W90" s="48"/>
      <c r="X90" s="82"/>
      <c r="Y90" s="12"/>
      <c r="AA90" s="49"/>
      <c r="AB90" s="49"/>
      <c r="AC90" s="49"/>
      <c r="AD90" s="49"/>
      <c r="AE90" s="49"/>
      <c r="AF90" s="49"/>
      <c r="AG90" s="49"/>
    </row>
    <row r="91" spans="1:33" ht="14.25" customHeight="1" thickBot="1" x14ac:dyDescent="0.25">
      <c r="B91" s="201" t="s">
        <v>133</v>
      </c>
      <c r="C91" s="199"/>
      <c r="D91" s="195"/>
      <c r="E91" s="195"/>
      <c r="F91" s="218"/>
      <c r="G91" s="218"/>
      <c r="H91" s="222"/>
      <c r="I91" s="233"/>
      <c r="J91" s="233"/>
      <c r="K91" s="9"/>
      <c r="L91" s="67" t="str">
        <f t="shared" ref="L91:L106" si="18">IF(B91="","",B91)</f>
        <v>設計企画の部</v>
      </c>
      <c r="M91" s="107"/>
      <c r="N91" s="9"/>
      <c r="O91" s="21"/>
      <c r="P91" s="22"/>
      <c r="Q91" s="22"/>
      <c r="S91" s="23"/>
      <c r="T91" s="74"/>
      <c r="U91" s="74"/>
      <c r="V91" s="25"/>
      <c r="W91" s="25"/>
      <c r="X91" s="82">
        <f t="shared" ref="X91:X106" si="19">IF(AND($U$299="S",$Y91=1),$W91+($W$297/$U$297),IF(AND($U$299="O",$Y91=1,$Z91=1),$W91+($W$297/$U$297),$W91))</f>
        <v>0</v>
      </c>
      <c r="Y91" s="12"/>
      <c r="Z91" s="9" t="str">
        <f>IF(OR($Y91="",$U$299="S"),"",IF(COUNT($Z$71:$Z89)&gt;=$U$297,"",1))</f>
        <v/>
      </c>
    </row>
    <row r="92" spans="1:33" ht="14.25" customHeight="1" thickBot="1" x14ac:dyDescent="0.25">
      <c r="A92" s="7">
        <v>2</v>
      </c>
      <c r="B92" s="202" t="s">
        <v>134</v>
      </c>
      <c r="C92" s="199" t="str">
        <f t="shared" ref="C92:C106" si="20">IF($B92="","","図面・仕様書どおり")</f>
        <v>図面・仕様書どおり</v>
      </c>
      <c r="D92" s="195" t="str">
        <f t="shared" ref="D92:D106" si="21">IF($B92="","","1")</f>
        <v>1</v>
      </c>
      <c r="E92" s="195" t="str">
        <f t="shared" ref="E92:E106" si="22">IF($D92="","","式")</f>
        <v>式</v>
      </c>
      <c r="F92" s="218">
        <v>4000000</v>
      </c>
      <c r="G92" s="218">
        <f t="shared" ref="G92:G106" si="23">IF(F92="","",F92+H92)</f>
        <v>3000000</v>
      </c>
      <c r="H92" s="223">
        <f t="shared" ref="H92:H106" si="24">+X92</f>
        <v>-1000000</v>
      </c>
      <c r="I92" s="233" t="str">
        <f>IF($B92="","","諸経費共")</f>
        <v>諸経費共</v>
      </c>
      <c r="J92" s="233"/>
      <c r="K92" s="98"/>
      <c r="L92" s="1" t="str">
        <f t="shared" si="18"/>
        <v>1号線本町駅</v>
      </c>
      <c r="M92" s="105">
        <v>-1000000</v>
      </c>
      <c r="N92" s="52">
        <f t="shared" ref="N92:N106" si="25">IF(M92="","",IF(M92&lt;0,0,1))</f>
        <v>0</v>
      </c>
      <c r="O92" s="21">
        <f t="shared" ref="O92:O106" si="26">+M92*$Q$66</f>
        <v>-1000000</v>
      </c>
      <c r="P92" s="22">
        <f t="shared" ref="P92:P106" si="27">+ROUND(O92,-3)</f>
        <v>-1000000</v>
      </c>
      <c r="Q92" s="22">
        <f t="shared" ref="Q92:Q105" si="28">+ROUND(P92,-4)</f>
        <v>-1000000</v>
      </c>
      <c r="R92" s="9">
        <f>IF(AND($Q$66&lt;1,$O92&gt;=0),0,IF(AND($Q$66&gt;=1,$O92&lt;0),0,1))</f>
        <v>0</v>
      </c>
      <c r="S92" s="85">
        <f t="shared" ref="S92:S106" si="29">+M92</f>
        <v>-1000000</v>
      </c>
      <c r="T92" s="73">
        <f t="shared" ref="T92:T106" si="30">IF(R92=0,S92/$S$294,0)</f>
        <v>0.31036623215394166</v>
      </c>
      <c r="U92" s="19">
        <f t="shared" ref="U92:U106" si="31">RANK(T92,$T$72:$T$289)</f>
        <v>2</v>
      </c>
      <c r="V92" s="25">
        <f>INT($S92-$T$66*$T92)</f>
        <v>-1000000</v>
      </c>
      <c r="W92" s="25">
        <f t="shared" ref="W92:W106" si="32">ROUND(V92,-3)</f>
        <v>-1000000</v>
      </c>
      <c r="X92" s="82">
        <f t="shared" si="19"/>
        <v>-1000000</v>
      </c>
      <c r="Y92" s="12" t="str">
        <f t="shared" ref="Y92:Y106" si="33">IF(U92="","",IF($U92&lt;=$U$297,1,""))</f>
        <v/>
      </c>
      <c r="Z92" s="9" t="str">
        <f>IF(OR($Y92="",$U$299="S"),"",IF(COUNT($Z$71:$Z91)&gt;=$U$297,"",1))</f>
        <v/>
      </c>
    </row>
    <row r="93" spans="1:33" ht="14.25" customHeight="1" thickBot="1" x14ac:dyDescent="0.25">
      <c r="A93" s="7">
        <v>2</v>
      </c>
      <c r="B93" s="202" t="s">
        <v>135</v>
      </c>
      <c r="C93" s="199" t="str">
        <f t="shared" si="20"/>
        <v>図面・仕様書どおり</v>
      </c>
      <c r="D93" s="195" t="str">
        <f t="shared" si="21"/>
        <v>1</v>
      </c>
      <c r="E93" s="195" t="str">
        <f t="shared" si="22"/>
        <v>式</v>
      </c>
      <c r="F93" s="218">
        <v>4000000</v>
      </c>
      <c r="G93" s="218">
        <f t="shared" si="23"/>
        <v>5500000</v>
      </c>
      <c r="H93" s="223">
        <f t="shared" si="24"/>
        <v>1500000</v>
      </c>
      <c r="I93" s="233" t="str">
        <f>IF($B93="","","諸経費共")</f>
        <v>諸経費共</v>
      </c>
      <c r="J93" s="233"/>
      <c r="K93" s="98"/>
      <c r="L93" s="1" t="str">
        <f t="shared" si="18"/>
        <v>4号線本町駅</v>
      </c>
      <c r="M93" s="105">
        <v>1500000</v>
      </c>
      <c r="N93" s="52">
        <f t="shared" si="25"/>
        <v>1</v>
      </c>
      <c r="O93" s="21">
        <f t="shared" si="26"/>
        <v>1500000</v>
      </c>
      <c r="P93" s="22">
        <f t="shared" si="27"/>
        <v>1500000</v>
      </c>
      <c r="Q93" s="22">
        <f t="shared" si="28"/>
        <v>1500000</v>
      </c>
      <c r="R93" s="9">
        <f t="shared" ref="R93:R106" si="34">IF(AND($Q$66&lt;1,$O93&gt;=0),0,IF(AND($Q$66&gt;=1,$O93&lt;0),0,1))</f>
        <v>1</v>
      </c>
      <c r="S93" s="85">
        <f t="shared" si="29"/>
        <v>1500000</v>
      </c>
      <c r="T93" s="73">
        <f t="shared" si="30"/>
        <v>0</v>
      </c>
      <c r="U93" s="19">
        <f t="shared" si="31"/>
        <v>3</v>
      </c>
      <c r="V93" s="25">
        <f t="shared" ref="V93:V106" si="35">INT($S93-$T$66*$T93)</f>
        <v>1500000</v>
      </c>
      <c r="W93" s="25">
        <f t="shared" si="32"/>
        <v>1500000</v>
      </c>
      <c r="X93" s="82">
        <f t="shared" si="19"/>
        <v>1500000</v>
      </c>
      <c r="Y93" s="12" t="str">
        <f t="shared" si="33"/>
        <v/>
      </c>
      <c r="Z93" s="9" t="str">
        <f>IF(OR($Y93="",$U$299="S"),"",IF(COUNT($Z$71:$Z92)&gt;=$U$297,"",1))</f>
        <v/>
      </c>
    </row>
    <row r="94" spans="1:33" ht="14.25" hidden="1" customHeight="1" thickBot="1" x14ac:dyDescent="0.25">
      <c r="A94" s="7">
        <v>3</v>
      </c>
      <c r="B94" s="202"/>
      <c r="C94" s="199" t="str">
        <f t="shared" si="20"/>
        <v/>
      </c>
      <c r="D94" s="195" t="str">
        <f t="shared" si="21"/>
        <v/>
      </c>
      <c r="E94" s="195" t="str">
        <f t="shared" si="22"/>
        <v/>
      </c>
      <c r="F94" s="218"/>
      <c r="G94" s="218" t="str">
        <f>IF(F94="","",F94+H94)</f>
        <v/>
      </c>
      <c r="H94" s="223">
        <f t="shared" si="24"/>
        <v>0</v>
      </c>
      <c r="I94" s="233" t="str">
        <f>IF($B94="","","諸経費共")</f>
        <v/>
      </c>
      <c r="J94" s="233"/>
      <c r="K94" s="98"/>
      <c r="L94" s="1" t="str">
        <f t="shared" si="18"/>
        <v/>
      </c>
      <c r="M94" s="105"/>
      <c r="N94" s="52" t="str">
        <f t="shared" si="25"/>
        <v/>
      </c>
      <c r="O94" s="21">
        <f t="shared" si="26"/>
        <v>0</v>
      </c>
      <c r="P94" s="22">
        <f t="shared" si="27"/>
        <v>0</v>
      </c>
      <c r="Q94" s="22">
        <f t="shared" si="28"/>
        <v>0</v>
      </c>
      <c r="R94" s="9">
        <f t="shared" si="34"/>
        <v>1</v>
      </c>
      <c r="S94" s="85">
        <f t="shared" si="29"/>
        <v>0</v>
      </c>
      <c r="T94" s="73">
        <f t="shared" si="30"/>
        <v>0</v>
      </c>
      <c r="U94" s="19">
        <f t="shared" si="31"/>
        <v>3</v>
      </c>
      <c r="V94" s="25">
        <f t="shared" si="35"/>
        <v>0</v>
      </c>
      <c r="W94" s="25">
        <f t="shared" si="32"/>
        <v>0</v>
      </c>
      <c r="X94" s="82">
        <f t="shared" si="19"/>
        <v>0</v>
      </c>
      <c r="Y94" s="12" t="str">
        <f t="shared" si="33"/>
        <v/>
      </c>
      <c r="Z94" s="9" t="str">
        <f>IF(OR($Y94="",$U$299="S"),"",IF(COUNT($Z$71:$Z93)&gt;=$U$297,"",1))</f>
        <v/>
      </c>
    </row>
    <row r="95" spans="1:33" ht="14.25" hidden="1" customHeight="1" thickBot="1" x14ac:dyDescent="0.25">
      <c r="A95" s="7">
        <v>4</v>
      </c>
      <c r="B95" s="202"/>
      <c r="C95" s="199" t="str">
        <f t="shared" si="20"/>
        <v/>
      </c>
      <c r="D95" s="195" t="str">
        <f t="shared" si="21"/>
        <v/>
      </c>
      <c r="E95" s="195" t="str">
        <f t="shared" si="22"/>
        <v/>
      </c>
      <c r="F95" s="218"/>
      <c r="G95" s="218" t="str">
        <f>IF(F95="","",F95+H95)</f>
        <v/>
      </c>
      <c r="H95" s="223">
        <f t="shared" si="24"/>
        <v>0</v>
      </c>
      <c r="I95" s="233" t="str">
        <f>IF($B95="","","諸経費共")</f>
        <v/>
      </c>
      <c r="J95" s="233"/>
      <c r="K95" s="98"/>
      <c r="L95" s="1" t="str">
        <f t="shared" si="18"/>
        <v/>
      </c>
      <c r="M95" s="105"/>
      <c r="N95" s="52" t="str">
        <f t="shared" si="25"/>
        <v/>
      </c>
      <c r="O95" s="21">
        <f t="shared" si="26"/>
        <v>0</v>
      </c>
      <c r="P95" s="22">
        <f t="shared" si="27"/>
        <v>0</v>
      </c>
      <c r="Q95" s="22">
        <f t="shared" si="28"/>
        <v>0</v>
      </c>
      <c r="R95" s="9">
        <f t="shared" si="34"/>
        <v>1</v>
      </c>
      <c r="S95" s="85">
        <f t="shared" si="29"/>
        <v>0</v>
      </c>
      <c r="T95" s="73">
        <f t="shared" si="30"/>
        <v>0</v>
      </c>
      <c r="U95" s="19">
        <f t="shared" si="31"/>
        <v>3</v>
      </c>
      <c r="V95" s="25">
        <f t="shared" si="35"/>
        <v>0</v>
      </c>
      <c r="W95" s="25">
        <f t="shared" si="32"/>
        <v>0</v>
      </c>
      <c r="X95" s="82">
        <f t="shared" si="19"/>
        <v>0</v>
      </c>
      <c r="Y95" s="12" t="str">
        <f t="shared" si="33"/>
        <v/>
      </c>
      <c r="Z95" s="9" t="str">
        <f>IF(OR($Y95="",$U$299="S"),"",IF(COUNT($Z$71:$Z94)&gt;=$U$297,"",1))</f>
        <v/>
      </c>
    </row>
    <row r="96" spans="1:33" ht="14.25" hidden="1" customHeight="1" thickBot="1" x14ac:dyDescent="0.25">
      <c r="A96" s="7">
        <v>5</v>
      </c>
      <c r="B96" s="203"/>
      <c r="C96" s="199" t="str">
        <f t="shared" si="20"/>
        <v/>
      </c>
      <c r="D96" s="195" t="str">
        <f t="shared" si="21"/>
        <v/>
      </c>
      <c r="E96" s="195" t="str">
        <f t="shared" si="22"/>
        <v/>
      </c>
      <c r="F96" s="218"/>
      <c r="G96" s="218" t="str">
        <f>IF(F96="","",F96+H96)</f>
        <v/>
      </c>
      <c r="H96" s="223">
        <f t="shared" si="24"/>
        <v>0</v>
      </c>
      <c r="I96" s="233" t="str">
        <f>IF($B96="","","諸経費共")</f>
        <v/>
      </c>
      <c r="J96" s="233"/>
      <c r="K96" s="98"/>
      <c r="L96" s="1" t="str">
        <f t="shared" si="18"/>
        <v/>
      </c>
      <c r="M96" s="105"/>
      <c r="N96" s="52" t="str">
        <f t="shared" si="25"/>
        <v/>
      </c>
      <c r="O96" s="21">
        <f t="shared" si="26"/>
        <v>0</v>
      </c>
      <c r="P96" s="22">
        <f t="shared" si="27"/>
        <v>0</v>
      </c>
      <c r="Q96" s="22">
        <f t="shared" si="28"/>
        <v>0</v>
      </c>
      <c r="R96" s="9">
        <f t="shared" si="34"/>
        <v>1</v>
      </c>
      <c r="S96" s="85">
        <f t="shared" si="29"/>
        <v>0</v>
      </c>
      <c r="T96" s="73">
        <f t="shared" si="30"/>
        <v>0</v>
      </c>
      <c r="U96" s="19">
        <f t="shared" si="31"/>
        <v>3</v>
      </c>
      <c r="V96" s="25">
        <f t="shared" si="35"/>
        <v>0</v>
      </c>
      <c r="W96" s="25">
        <f t="shared" si="32"/>
        <v>0</v>
      </c>
      <c r="X96" s="82">
        <f t="shared" si="19"/>
        <v>0</v>
      </c>
      <c r="Y96" s="12" t="str">
        <f t="shared" si="33"/>
        <v/>
      </c>
      <c r="Z96" s="9" t="str">
        <f>IF(OR($Y96="",$U$299="S"),"",IF(COUNT($Z$71:$Z95)&gt;=$U$297,"",1))</f>
        <v/>
      </c>
    </row>
    <row r="97" spans="1:33" ht="14.25" hidden="1" customHeight="1" thickBot="1" x14ac:dyDescent="0.25">
      <c r="A97" s="7">
        <v>6</v>
      </c>
      <c r="B97" s="203"/>
      <c r="C97" s="199" t="str">
        <f t="shared" si="20"/>
        <v/>
      </c>
      <c r="D97" s="195" t="str">
        <f t="shared" si="21"/>
        <v/>
      </c>
      <c r="E97" s="195" t="str">
        <f t="shared" si="22"/>
        <v/>
      </c>
      <c r="F97" s="218"/>
      <c r="G97" s="218" t="str">
        <f t="shared" si="23"/>
        <v/>
      </c>
      <c r="H97" s="223">
        <f t="shared" si="24"/>
        <v>0</v>
      </c>
      <c r="I97" s="233" t="str">
        <f>IF($B97="","","諸経費共")</f>
        <v/>
      </c>
      <c r="J97" s="233"/>
      <c r="K97" s="98"/>
      <c r="L97" s="1" t="str">
        <f t="shared" si="18"/>
        <v/>
      </c>
      <c r="M97" s="105"/>
      <c r="N97" s="52" t="str">
        <f t="shared" si="25"/>
        <v/>
      </c>
      <c r="O97" s="21">
        <f t="shared" si="26"/>
        <v>0</v>
      </c>
      <c r="P97" s="22">
        <f t="shared" si="27"/>
        <v>0</v>
      </c>
      <c r="Q97" s="22">
        <f t="shared" si="28"/>
        <v>0</v>
      </c>
      <c r="R97" s="9">
        <f t="shared" si="34"/>
        <v>1</v>
      </c>
      <c r="S97" s="85">
        <f t="shared" si="29"/>
        <v>0</v>
      </c>
      <c r="T97" s="73">
        <f t="shared" si="30"/>
        <v>0</v>
      </c>
      <c r="U97" s="19">
        <f t="shared" si="31"/>
        <v>3</v>
      </c>
      <c r="V97" s="25">
        <f t="shared" si="35"/>
        <v>0</v>
      </c>
      <c r="W97" s="25">
        <f t="shared" si="32"/>
        <v>0</v>
      </c>
      <c r="X97" s="82">
        <f t="shared" si="19"/>
        <v>0</v>
      </c>
      <c r="Y97" s="12" t="str">
        <f t="shared" si="33"/>
        <v/>
      </c>
      <c r="Z97" s="9" t="str">
        <f>IF(OR($Y97="",$U$299="S"),"",IF(COUNT($Z$71:$Z96)&gt;=$U$297,"",1))</f>
        <v/>
      </c>
    </row>
    <row r="98" spans="1:33" ht="14.25" hidden="1" customHeight="1" thickBot="1" x14ac:dyDescent="0.25">
      <c r="A98" s="7">
        <v>7</v>
      </c>
      <c r="B98" s="203"/>
      <c r="C98" s="199" t="str">
        <f t="shared" si="20"/>
        <v/>
      </c>
      <c r="D98" s="195" t="str">
        <f t="shared" si="21"/>
        <v/>
      </c>
      <c r="E98" s="195" t="str">
        <f t="shared" si="22"/>
        <v/>
      </c>
      <c r="F98" s="218"/>
      <c r="G98" s="218" t="str">
        <f>IF(F98="","",F98+H98)</f>
        <v/>
      </c>
      <c r="H98" s="223">
        <f t="shared" si="24"/>
        <v>0</v>
      </c>
      <c r="I98" s="233" t="str">
        <f>IF($B98="","","諸経費共")</f>
        <v/>
      </c>
      <c r="J98" s="233"/>
      <c r="K98" s="98"/>
      <c r="L98" s="1" t="str">
        <f>IF(B98="","",B98)</f>
        <v/>
      </c>
      <c r="M98" s="105"/>
      <c r="N98" s="52" t="str">
        <f t="shared" si="25"/>
        <v/>
      </c>
      <c r="O98" s="21">
        <f>+M98*$Q$66</f>
        <v>0</v>
      </c>
      <c r="P98" s="22">
        <f t="shared" si="27"/>
        <v>0</v>
      </c>
      <c r="Q98" s="22">
        <f t="shared" si="28"/>
        <v>0</v>
      </c>
      <c r="R98" s="9">
        <f t="shared" si="34"/>
        <v>1</v>
      </c>
      <c r="S98" s="85">
        <f>+M98</f>
        <v>0</v>
      </c>
      <c r="T98" s="73">
        <f t="shared" si="30"/>
        <v>0</v>
      </c>
      <c r="U98" s="19">
        <f t="shared" si="31"/>
        <v>3</v>
      </c>
      <c r="V98" s="25">
        <f t="shared" si="35"/>
        <v>0</v>
      </c>
      <c r="W98" s="25">
        <f t="shared" si="32"/>
        <v>0</v>
      </c>
      <c r="X98" s="82">
        <f t="shared" si="19"/>
        <v>0</v>
      </c>
      <c r="Y98" s="12" t="str">
        <f t="shared" si="33"/>
        <v/>
      </c>
      <c r="Z98" s="9" t="str">
        <f>IF(OR($Y98="",$U$299="S"),"",IF(COUNT($Z$71:$Z97)&gt;=$U$297,"",1))</f>
        <v/>
      </c>
    </row>
    <row r="99" spans="1:33" ht="14.25" hidden="1" customHeight="1" thickBot="1" x14ac:dyDescent="0.25">
      <c r="A99" s="7">
        <v>8</v>
      </c>
      <c r="B99" s="199"/>
      <c r="C99" s="199" t="str">
        <f t="shared" si="20"/>
        <v/>
      </c>
      <c r="D99" s="195" t="str">
        <f t="shared" si="21"/>
        <v/>
      </c>
      <c r="E99" s="195" t="str">
        <f t="shared" si="22"/>
        <v/>
      </c>
      <c r="F99" s="218"/>
      <c r="G99" s="218" t="str">
        <f>IF(F99="","",F99+H99)</f>
        <v/>
      </c>
      <c r="H99" s="223">
        <f t="shared" si="24"/>
        <v>0</v>
      </c>
      <c r="I99" s="233" t="str">
        <f>IF($B99="","","諸経費共")</f>
        <v/>
      </c>
      <c r="J99" s="233"/>
      <c r="K99" s="98"/>
      <c r="L99" s="1" t="str">
        <f>IF(B99="","",B99)</f>
        <v/>
      </c>
      <c r="M99" s="105"/>
      <c r="N99" s="52" t="str">
        <f t="shared" si="25"/>
        <v/>
      </c>
      <c r="O99" s="21">
        <f>+M99*$Q$66</f>
        <v>0</v>
      </c>
      <c r="P99" s="22">
        <f t="shared" si="27"/>
        <v>0</v>
      </c>
      <c r="Q99" s="22">
        <f t="shared" si="28"/>
        <v>0</v>
      </c>
      <c r="R99" s="9">
        <f t="shared" si="34"/>
        <v>1</v>
      </c>
      <c r="S99" s="85">
        <f>+M99</f>
        <v>0</v>
      </c>
      <c r="T99" s="73">
        <f t="shared" si="30"/>
        <v>0</v>
      </c>
      <c r="U99" s="19">
        <f t="shared" si="31"/>
        <v>3</v>
      </c>
      <c r="V99" s="25">
        <f t="shared" si="35"/>
        <v>0</v>
      </c>
      <c r="W99" s="25">
        <f t="shared" si="32"/>
        <v>0</v>
      </c>
      <c r="X99" s="82">
        <f t="shared" si="19"/>
        <v>0</v>
      </c>
      <c r="Y99" s="12" t="str">
        <f t="shared" si="33"/>
        <v/>
      </c>
      <c r="Z99" s="9" t="str">
        <f>IF(OR($Y99="",$U$299="S"),"",IF(COUNT($Z$71:$Z98)&gt;=$U$297,"",1))</f>
        <v/>
      </c>
    </row>
    <row r="100" spans="1:33" ht="14.25" hidden="1" customHeight="1" thickBot="1" x14ac:dyDescent="0.25">
      <c r="A100" s="7">
        <v>9</v>
      </c>
      <c r="B100" s="199"/>
      <c r="C100" s="199" t="str">
        <f t="shared" si="20"/>
        <v/>
      </c>
      <c r="D100" s="195" t="str">
        <f t="shared" si="21"/>
        <v/>
      </c>
      <c r="E100" s="195" t="str">
        <f t="shared" si="22"/>
        <v/>
      </c>
      <c r="F100" s="218"/>
      <c r="G100" s="218" t="str">
        <f>IF(F100="","",F100+H100)</f>
        <v/>
      </c>
      <c r="H100" s="223">
        <f t="shared" si="24"/>
        <v>0</v>
      </c>
      <c r="I100" s="233" t="str">
        <f>IF($B100="","","諸経費共")</f>
        <v/>
      </c>
      <c r="J100" s="233"/>
      <c r="K100" s="98"/>
      <c r="L100" s="1" t="str">
        <f>IF(B100="","",B100)</f>
        <v/>
      </c>
      <c r="M100" s="105"/>
      <c r="N100" s="52" t="str">
        <f t="shared" si="25"/>
        <v/>
      </c>
      <c r="O100" s="21">
        <f>+M100*$Q$66</f>
        <v>0</v>
      </c>
      <c r="P100" s="22">
        <f t="shared" si="27"/>
        <v>0</v>
      </c>
      <c r="Q100" s="22">
        <f t="shared" si="28"/>
        <v>0</v>
      </c>
      <c r="R100" s="9">
        <f t="shared" si="34"/>
        <v>1</v>
      </c>
      <c r="S100" s="85">
        <f>+M100</f>
        <v>0</v>
      </c>
      <c r="T100" s="73">
        <f t="shared" si="30"/>
        <v>0</v>
      </c>
      <c r="U100" s="19">
        <f t="shared" si="31"/>
        <v>3</v>
      </c>
      <c r="V100" s="25">
        <f t="shared" si="35"/>
        <v>0</v>
      </c>
      <c r="W100" s="25">
        <f t="shared" si="32"/>
        <v>0</v>
      </c>
      <c r="X100" s="82">
        <f t="shared" si="19"/>
        <v>0</v>
      </c>
      <c r="Y100" s="12" t="str">
        <f t="shared" si="33"/>
        <v/>
      </c>
      <c r="Z100" s="9" t="str">
        <f>IF(OR($Y100="",$U$299="S"),"",IF(COUNT($Z$71:$Z99)&gt;=$U$297,"",1))</f>
        <v/>
      </c>
    </row>
    <row r="101" spans="1:33" ht="14.25" hidden="1" customHeight="1" thickBot="1" x14ac:dyDescent="0.25">
      <c r="A101" s="7">
        <v>10</v>
      </c>
      <c r="B101" s="199"/>
      <c r="C101" s="199" t="str">
        <f t="shared" si="20"/>
        <v/>
      </c>
      <c r="D101" s="195" t="str">
        <f t="shared" si="21"/>
        <v/>
      </c>
      <c r="E101" s="195" t="str">
        <f t="shared" si="22"/>
        <v/>
      </c>
      <c r="F101" s="218"/>
      <c r="G101" s="218" t="str">
        <f>IF(F101="","",F101+H101)</f>
        <v/>
      </c>
      <c r="H101" s="223">
        <f t="shared" si="24"/>
        <v>0</v>
      </c>
      <c r="I101" s="233" t="str">
        <f>IF($B101="","","諸経費共")</f>
        <v/>
      </c>
      <c r="J101" s="233"/>
      <c r="K101" s="98"/>
      <c r="L101" s="1" t="str">
        <f>IF(B101="","",B101)</f>
        <v/>
      </c>
      <c r="M101" s="105"/>
      <c r="N101" s="52" t="str">
        <f t="shared" si="25"/>
        <v/>
      </c>
      <c r="O101" s="21">
        <f>+M101*$Q$66</f>
        <v>0</v>
      </c>
      <c r="P101" s="22">
        <f t="shared" si="27"/>
        <v>0</v>
      </c>
      <c r="Q101" s="22">
        <f t="shared" si="28"/>
        <v>0</v>
      </c>
      <c r="R101" s="9">
        <f t="shared" si="34"/>
        <v>1</v>
      </c>
      <c r="S101" s="85">
        <f>+M101</f>
        <v>0</v>
      </c>
      <c r="T101" s="73">
        <f t="shared" si="30"/>
        <v>0</v>
      </c>
      <c r="U101" s="19">
        <f t="shared" si="31"/>
        <v>3</v>
      </c>
      <c r="V101" s="25">
        <f t="shared" si="35"/>
        <v>0</v>
      </c>
      <c r="W101" s="25">
        <f t="shared" si="32"/>
        <v>0</v>
      </c>
      <c r="X101" s="82">
        <f t="shared" si="19"/>
        <v>0</v>
      </c>
      <c r="Y101" s="12" t="str">
        <f t="shared" si="33"/>
        <v/>
      </c>
      <c r="Z101" s="9" t="str">
        <f>IF(OR($Y101="",$U$299="S"),"",IF(COUNT($Z$71:$Z100)&gt;=$U$297,"",1))</f>
        <v/>
      </c>
    </row>
    <row r="102" spans="1:33" ht="14.25" hidden="1" customHeight="1" thickBot="1" x14ac:dyDescent="0.25">
      <c r="A102" s="7">
        <v>11</v>
      </c>
      <c r="B102" s="199"/>
      <c r="C102" s="199" t="str">
        <f t="shared" si="20"/>
        <v/>
      </c>
      <c r="D102" s="195" t="str">
        <f t="shared" si="21"/>
        <v/>
      </c>
      <c r="E102" s="195" t="str">
        <f t="shared" si="22"/>
        <v/>
      </c>
      <c r="F102" s="218"/>
      <c r="G102" s="218" t="str">
        <f>IF(F102="","",F102+H102)</f>
        <v/>
      </c>
      <c r="H102" s="223">
        <f t="shared" si="24"/>
        <v>0</v>
      </c>
      <c r="I102" s="233" t="str">
        <f>IF($B102="","","諸経費共")</f>
        <v/>
      </c>
      <c r="J102" s="233"/>
      <c r="K102" s="98"/>
      <c r="L102" s="1" t="str">
        <f>IF(B102="","",B102)</f>
        <v/>
      </c>
      <c r="M102" s="105"/>
      <c r="N102" s="52" t="str">
        <f t="shared" si="25"/>
        <v/>
      </c>
      <c r="O102" s="21">
        <f>+M102*$Q$66</f>
        <v>0</v>
      </c>
      <c r="P102" s="22">
        <f t="shared" si="27"/>
        <v>0</v>
      </c>
      <c r="Q102" s="22">
        <f t="shared" si="28"/>
        <v>0</v>
      </c>
      <c r="R102" s="9">
        <f t="shared" si="34"/>
        <v>1</v>
      </c>
      <c r="S102" s="85">
        <f>+M102</f>
        <v>0</v>
      </c>
      <c r="T102" s="73">
        <f t="shared" si="30"/>
        <v>0</v>
      </c>
      <c r="U102" s="19">
        <f t="shared" si="31"/>
        <v>3</v>
      </c>
      <c r="V102" s="25">
        <f t="shared" si="35"/>
        <v>0</v>
      </c>
      <c r="W102" s="25">
        <f t="shared" si="32"/>
        <v>0</v>
      </c>
      <c r="X102" s="82">
        <f t="shared" si="19"/>
        <v>0</v>
      </c>
      <c r="Y102" s="12" t="str">
        <f t="shared" si="33"/>
        <v/>
      </c>
      <c r="Z102" s="9" t="str">
        <f>IF(OR($Y102="",$U$299="S"),"",IF(COUNT($Z$71:$Z101)&gt;=$U$297,"",1))</f>
        <v/>
      </c>
    </row>
    <row r="103" spans="1:33" ht="14.25" hidden="1" customHeight="1" thickBot="1" x14ac:dyDescent="0.25">
      <c r="A103" s="7">
        <v>12</v>
      </c>
      <c r="B103" s="199"/>
      <c r="C103" s="199" t="str">
        <f t="shared" si="20"/>
        <v/>
      </c>
      <c r="D103" s="195" t="str">
        <f t="shared" si="21"/>
        <v/>
      </c>
      <c r="E103" s="195" t="str">
        <f t="shared" si="22"/>
        <v/>
      </c>
      <c r="F103" s="218"/>
      <c r="G103" s="218" t="str">
        <f t="shared" si="23"/>
        <v/>
      </c>
      <c r="H103" s="223">
        <f t="shared" si="24"/>
        <v>0</v>
      </c>
      <c r="I103" s="234" t="str">
        <f>IF($B103="","","諸経費共")</f>
        <v/>
      </c>
      <c r="J103" s="235"/>
      <c r="K103" s="98"/>
      <c r="L103" s="1" t="str">
        <f t="shared" si="18"/>
        <v/>
      </c>
      <c r="M103" s="105"/>
      <c r="N103" s="52" t="str">
        <f t="shared" si="25"/>
        <v/>
      </c>
      <c r="O103" s="21">
        <f t="shared" si="26"/>
        <v>0</v>
      </c>
      <c r="P103" s="22">
        <f t="shared" si="27"/>
        <v>0</v>
      </c>
      <c r="Q103" s="22">
        <f t="shared" si="28"/>
        <v>0</v>
      </c>
      <c r="R103" s="9">
        <f t="shared" si="34"/>
        <v>1</v>
      </c>
      <c r="S103" s="85">
        <f t="shared" si="29"/>
        <v>0</v>
      </c>
      <c r="T103" s="73">
        <f t="shared" si="30"/>
        <v>0</v>
      </c>
      <c r="U103" s="19">
        <f t="shared" si="31"/>
        <v>3</v>
      </c>
      <c r="V103" s="25">
        <f t="shared" si="35"/>
        <v>0</v>
      </c>
      <c r="W103" s="25">
        <f t="shared" si="32"/>
        <v>0</v>
      </c>
      <c r="X103" s="82">
        <f t="shared" si="19"/>
        <v>0</v>
      </c>
      <c r="Y103" s="12" t="str">
        <f t="shared" si="33"/>
        <v/>
      </c>
      <c r="Z103" s="9" t="str">
        <f>IF(OR($Y103="",$U$299="S"),"",IF(COUNT($Z$71:$Z102)&gt;=$U$297,"",1))</f>
        <v/>
      </c>
    </row>
    <row r="104" spans="1:33" ht="14.25" hidden="1" customHeight="1" thickBot="1" x14ac:dyDescent="0.25">
      <c r="A104" s="7">
        <v>13</v>
      </c>
      <c r="B104" s="199"/>
      <c r="C104" s="199" t="str">
        <f t="shared" si="20"/>
        <v/>
      </c>
      <c r="D104" s="195" t="str">
        <f t="shared" si="21"/>
        <v/>
      </c>
      <c r="E104" s="195" t="str">
        <f t="shared" si="22"/>
        <v/>
      </c>
      <c r="F104" s="218"/>
      <c r="G104" s="218" t="str">
        <f t="shared" si="23"/>
        <v/>
      </c>
      <c r="H104" s="223">
        <f t="shared" si="24"/>
        <v>0</v>
      </c>
      <c r="I104" s="234" t="str">
        <f>IF($B104="","","諸経費共")</f>
        <v/>
      </c>
      <c r="J104" s="235"/>
      <c r="K104" s="98"/>
      <c r="L104" s="1" t="str">
        <f t="shared" si="18"/>
        <v/>
      </c>
      <c r="M104" s="105"/>
      <c r="N104" s="52" t="str">
        <f t="shared" si="25"/>
        <v/>
      </c>
      <c r="O104" s="21">
        <f t="shared" si="26"/>
        <v>0</v>
      </c>
      <c r="P104" s="22">
        <f t="shared" si="27"/>
        <v>0</v>
      </c>
      <c r="Q104" s="22">
        <f t="shared" si="28"/>
        <v>0</v>
      </c>
      <c r="R104" s="9">
        <f t="shared" si="34"/>
        <v>1</v>
      </c>
      <c r="S104" s="85">
        <f t="shared" si="29"/>
        <v>0</v>
      </c>
      <c r="T104" s="73">
        <f t="shared" si="30"/>
        <v>0</v>
      </c>
      <c r="U104" s="19">
        <f t="shared" si="31"/>
        <v>3</v>
      </c>
      <c r="V104" s="25">
        <f t="shared" si="35"/>
        <v>0</v>
      </c>
      <c r="W104" s="25">
        <f t="shared" si="32"/>
        <v>0</v>
      </c>
      <c r="X104" s="82">
        <f t="shared" si="19"/>
        <v>0</v>
      </c>
      <c r="Y104" s="12" t="str">
        <f t="shared" si="33"/>
        <v/>
      </c>
      <c r="Z104" s="9" t="str">
        <f>IF(OR($Y104="",$U$299="S"),"",IF(COUNT($Z$71:$Z103)&gt;=$U$297,"",1))</f>
        <v/>
      </c>
    </row>
    <row r="105" spans="1:33" ht="14.25" hidden="1" customHeight="1" thickBot="1" x14ac:dyDescent="0.25">
      <c r="A105" s="7">
        <v>14</v>
      </c>
      <c r="B105" s="199"/>
      <c r="C105" s="199" t="str">
        <f t="shared" si="20"/>
        <v/>
      </c>
      <c r="D105" s="195" t="str">
        <f t="shared" si="21"/>
        <v/>
      </c>
      <c r="E105" s="195" t="str">
        <f t="shared" si="22"/>
        <v/>
      </c>
      <c r="F105" s="218"/>
      <c r="G105" s="218" t="str">
        <f t="shared" si="23"/>
        <v/>
      </c>
      <c r="H105" s="223">
        <f t="shared" si="24"/>
        <v>0</v>
      </c>
      <c r="I105" s="234" t="str">
        <f>IF($B105="","","諸経費共")</f>
        <v/>
      </c>
      <c r="J105" s="235"/>
      <c r="K105" s="98"/>
      <c r="L105" s="1" t="str">
        <f t="shared" si="18"/>
        <v/>
      </c>
      <c r="M105" s="105"/>
      <c r="N105" s="52" t="str">
        <f t="shared" si="25"/>
        <v/>
      </c>
      <c r="O105" s="21">
        <f t="shared" si="26"/>
        <v>0</v>
      </c>
      <c r="P105" s="22">
        <f t="shared" si="27"/>
        <v>0</v>
      </c>
      <c r="Q105" s="22">
        <f t="shared" si="28"/>
        <v>0</v>
      </c>
      <c r="R105" s="9">
        <f t="shared" si="34"/>
        <v>1</v>
      </c>
      <c r="S105" s="85">
        <f t="shared" si="29"/>
        <v>0</v>
      </c>
      <c r="T105" s="73">
        <f t="shared" si="30"/>
        <v>0</v>
      </c>
      <c r="U105" s="19">
        <f t="shared" si="31"/>
        <v>3</v>
      </c>
      <c r="V105" s="25">
        <f t="shared" si="35"/>
        <v>0</v>
      </c>
      <c r="W105" s="25">
        <f t="shared" si="32"/>
        <v>0</v>
      </c>
      <c r="X105" s="82">
        <f t="shared" si="19"/>
        <v>0</v>
      </c>
      <c r="Y105" s="12" t="str">
        <f t="shared" si="33"/>
        <v/>
      </c>
      <c r="Z105" s="9" t="str">
        <f>IF(OR($Y105="",$U$299="S"),"",IF(COUNT($Z$71:$Z104)&gt;=$U$297,"",1))</f>
        <v/>
      </c>
    </row>
    <row r="106" spans="1:33" ht="14.25" hidden="1" customHeight="1" thickBot="1" x14ac:dyDescent="0.25">
      <c r="A106" s="7">
        <v>15</v>
      </c>
      <c r="B106" s="199"/>
      <c r="C106" s="199" t="str">
        <f t="shared" si="20"/>
        <v/>
      </c>
      <c r="D106" s="195" t="str">
        <f t="shared" si="21"/>
        <v/>
      </c>
      <c r="E106" s="195" t="str">
        <f t="shared" si="22"/>
        <v/>
      </c>
      <c r="F106" s="218"/>
      <c r="G106" s="218" t="str">
        <f t="shared" si="23"/>
        <v/>
      </c>
      <c r="H106" s="223">
        <f t="shared" si="24"/>
        <v>0</v>
      </c>
      <c r="I106" s="234" t="str">
        <f>IF($B106="","","諸経費共")</f>
        <v/>
      </c>
      <c r="J106" s="235"/>
      <c r="K106" s="98"/>
      <c r="L106" s="1" t="str">
        <f t="shared" si="18"/>
        <v/>
      </c>
      <c r="M106" s="105"/>
      <c r="N106" s="52" t="str">
        <f t="shared" si="25"/>
        <v/>
      </c>
      <c r="O106" s="21">
        <f t="shared" si="26"/>
        <v>0</v>
      </c>
      <c r="P106" s="22">
        <f t="shared" si="27"/>
        <v>0</v>
      </c>
      <c r="Q106" s="22">
        <f>+ROUND(P106,-3)</f>
        <v>0</v>
      </c>
      <c r="R106" s="9">
        <f t="shared" si="34"/>
        <v>1</v>
      </c>
      <c r="S106" s="85">
        <f t="shared" si="29"/>
        <v>0</v>
      </c>
      <c r="T106" s="73">
        <f t="shared" si="30"/>
        <v>0</v>
      </c>
      <c r="U106" s="19">
        <f t="shared" si="31"/>
        <v>3</v>
      </c>
      <c r="V106" s="25">
        <f t="shared" si="35"/>
        <v>0</v>
      </c>
      <c r="W106" s="25">
        <f t="shared" si="32"/>
        <v>0</v>
      </c>
      <c r="X106" s="82">
        <f t="shared" si="19"/>
        <v>0</v>
      </c>
      <c r="Y106" s="12" t="str">
        <f t="shared" si="33"/>
        <v/>
      </c>
      <c r="Z106" s="9" t="str">
        <f>IF(OR($Y106="",$U$299="S"),"",IF(COUNT($Z$71:$Z105)&gt;=$U$297,"",1))</f>
        <v/>
      </c>
    </row>
    <row r="107" spans="1:33" ht="14.25" customHeight="1" thickBot="1" x14ac:dyDescent="0.25">
      <c r="B107" s="206" t="s">
        <v>20</v>
      </c>
      <c r="C107" s="199"/>
      <c r="D107" s="195"/>
      <c r="E107" s="195"/>
      <c r="F107" s="218">
        <f>SUM(F92:F106)</f>
        <v>8000000</v>
      </c>
      <c r="G107" s="218">
        <f>+F107+H107</f>
        <v>8500000</v>
      </c>
      <c r="H107" s="222">
        <f>SUM(H92:H106)</f>
        <v>500000</v>
      </c>
      <c r="I107" s="233"/>
      <c r="J107" s="233"/>
      <c r="K107" s="9"/>
      <c r="L107" s="4" t="s">
        <v>20</v>
      </c>
      <c r="M107" s="108">
        <f>SUM(M92:M106)</f>
        <v>500000</v>
      </c>
      <c r="N107" s="9"/>
      <c r="O107" s="56">
        <f>SUM(O92:O106)</f>
        <v>500000</v>
      </c>
      <c r="P107" s="57">
        <f>SUM(P92:P106)</f>
        <v>500000</v>
      </c>
      <c r="Q107" s="57">
        <f>SUM(Q92:Q106)</f>
        <v>500000</v>
      </c>
      <c r="S107" s="55">
        <f>SUM(S92:S106)</f>
        <v>500000</v>
      </c>
      <c r="T107" s="74"/>
      <c r="U107" s="74"/>
      <c r="V107" s="58">
        <f>SUM(V92:V106)</f>
        <v>500000</v>
      </c>
      <c r="W107" s="58">
        <f>SUM(W92:W106)</f>
        <v>500000</v>
      </c>
      <c r="X107" s="50">
        <f>SUM(X92:X106)</f>
        <v>500000</v>
      </c>
      <c r="Z107" s="9" t="str">
        <f>IF(OR($Y107="",$U$299="S"),"",IF(COUNT($Z$71:$Z106)&gt;=$U$297,"",1))</f>
        <v/>
      </c>
    </row>
    <row r="108" spans="1:33" ht="14.25" customHeight="1" thickBot="1" x14ac:dyDescent="0.25">
      <c r="B108" s="205" t="s">
        <v>21</v>
      </c>
      <c r="C108" s="199"/>
      <c r="D108" s="195">
        <v>1</v>
      </c>
      <c r="E108" s="195" t="str">
        <f>IF($D108="","","式")</f>
        <v>式</v>
      </c>
      <c r="F108" s="218">
        <f>+F107*0.1</f>
        <v>800000</v>
      </c>
      <c r="G108" s="218">
        <f>+F108+H108</f>
        <v>850000</v>
      </c>
      <c r="H108" s="222">
        <f>H107*0.1</f>
        <v>50000</v>
      </c>
      <c r="I108" s="233"/>
      <c r="J108" s="233"/>
      <c r="K108" s="9"/>
      <c r="L108" s="3" t="s">
        <v>21</v>
      </c>
      <c r="M108" s="107">
        <f>+M107*0.1</f>
        <v>50000</v>
      </c>
      <c r="N108" s="49"/>
      <c r="O108" s="63">
        <f>+O107*0.1</f>
        <v>50000</v>
      </c>
      <c r="P108" s="64">
        <f>+P107*0.1</f>
        <v>50000</v>
      </c>
      <c r="Q108" s="64">
        <f>+Q107*0.1</f>
        <v>50000</v>
      </c>
      <c r="R108" s="49"/>
      <c r="S108" s="23">
        <f>+S107*0.1</f>
        <v>50000</v>
      </c>
      <c r="T108" s="75"/>
      <c r="U108" s="75"/>
      <c r="V108" s="48">
        <f>+V107*0.1</f>
        <v>50000</v>
      </c>
      <c r="W108" s="48">
        <f>+W107*0.1</f>
        <v>50000</v>
      </c>
      <c r="X108" s="82">
        <f>X107*0.1</f>
        <v>50000</v>
      </c>
      <c r="Y108" s="12"/>
      <c r="Z108" s="9" t="str">
        <f>IF(OR($Y108="",$U$299="S"),"",IF(COUNT($Z$71:$Z107)&gt;=$U$297,"",1))</f>
        <v/>
      </c>
      <c r="AA108" s="49"/>
      <c r="AB108" s="49"/>
      <c r="AC108" s="49"/>
      <c r="AD108" s="49"/>
      <c r="AE108" s="49"/>
      <c r="AF108" s="49"/>
      <c r="AG108" s="49"/>
    </row>
    <row r="109" spans="1:33" ht="14.25" customHeight="1" thickBot="1" x14ac:dyDescent="0.25">
      <c r="B109" s="190" t="s">
        <v>22</v>
      </c>
      <c r="C109" s="199"/>
      <c r="D109" s="195"/>
      <c r="E109" s="195"/>
      <c r="F109" s="218">
        <f>SUM(F107:F108)</f>
        <v>8800000</v>
      </c>
      <c r="G109" s="218">
        <f>+F109+H109</f>
        <v>9350000</v>
      </c>
      <c r="H109" s="222">
        <f>SUM(H107:H108)</f>
        <v>550000</v>
      </c>
      <c r="I109" s="233"/>
      <c r="J109" s="233"/>
      <c r="K109" s="9"/>
      <c r="L109" s="5" t="s">
        <v>22</v>
      </c>
      <c r="M109" s="107">
        <f>+M107+M108</f>
        <v>550000</v>
      </c>
      <c r="N109" s="49"/>
      <c r="O109" s="63">
        <f>SUM(O107:O108)</f>
        <v>550000</v>
      </c>
      <c r="P109" s="64">
        <f>SUM(P107:P108)</f>
        <v>550000</v>
      </c>
      <c r="Q109" s="64">
        <f>SUM(Q107:Q108)</f>
        <v>550000</v>
      </c>
      <c r="R109" s="49"/>
      <c r="S109" s="23">
        <f>+S107+S108</f>
        <v>550000</v>
      </c>
      <c r="T109" s="75"/>
      <c r="U109" s="75"/>
      <c r="V109" s="48">
        <f>+V107+V108</f>
        <v>550000</v>
      </c>
      <c r="W109" s="48">
        <f>+W107+W108</f>
        <v>550000</v>
      </c>
      <c r="X109" s="82">
        <f>SUM(X107:X108)</f>
        <v>550000</v>
      </c>
      <c r="Y109" s="12"/>
      <c r="Z109" s="9" t="str">
        <f>IF(OR($Y109="",$U$299="S"),"",IF(COUNT($Z$71:$Z108)&gt;=$U$297,"",1))</f>
        <v/>
      </c>
      <c r="AA109" s="49"/>
      <c r="AB109" s="49"/>
      <c r="AC109" s="49"/>
      <c r="AD109" s="49"/>
      <c r="AE109" s="49"/>
      <c r="AF109" s="49"/>
      <c r="AG109" s="49"/>
    </row>
    <row r="110" spans="1:33" ht="14.25" customHeight="1" thickBot="1" x14ac:dyDescent="0.25">
      <c r="B110" s="198"/>
      <c r="C110" s="199"/>
      <c r="D110" s="195"/>
      <c r="E110" s="195"/>
      <c r="F110" s="218"/>
      <c r="G110" s="218"/>
      <c r="H110" s="222"/>
      <c r="I110" s="231"/>
      <c r="J110" s="232"/>
      <c r="K110" s="9"/>
      <c r="L110" s="5"/>
      <c r="M110" s="107"/>
      <c r="N110" s="49"/>
      <c r="O110" s="63"/>
      <c r="P110" s="64"/>
      <c r="Q110" s="64"/>
      <c r="R110" s="49"/>
      <c r="S110" s="23"/>
      <c r="T110" s="75"/>
      <c r="U110" s="75"/>
      <c r="V110" s="48"/>
      <c r="W110" s="48"/>
      <c r="X110" s="82"/>
      <c r="Y110" s="12"/>
      <c r="AA110" s="49"/>
      <c r="AB110" s="49"/>
      <c r="AC110" s="49"/>
      <c r="AD110" s="49"/>
      <c r="AE110" s="49"/>
      <c r="AF110" s="49"/>
      <c r="AG110" s="49"/>
    </row>
    <row r="111" spans="1:33" ht="14.25" customHeight="1" thickBot="1" x14ac:dyDescent="0.25">
      <c r="B111" s="201" t="s">
        <v>136</v>
      </c>
      <c r="C111" s="199"/>
      <c r="D111" s="195"/>
      <c r="E111" s="195"/>
      <c r="F111" s="218"/>
      <c r="G111" s="218"/>
      <c r="H111" s="222"/>
      <c r="I111" s="233"/>
      <c r="J111" s="233"/>
      <c r="K111" s="9"/>
      <c r="L111" s="68" t="str">
        <f t="shared" ref="L111:L120" si="36">IF(B111="","",B111)</f>
        <v>設計監修の部（その１）</v>
      </c>
      <c r="M111" s="107"/>
      <c r="N111" s="9"/>
      <c r="O111" s="21"/>
      <c r="P111" s="22"/>
      <c r="Q111" s="22"/>
      <c r="S111" s="23"/>
      <c r="T111" s="74"/>
      <c r="U111" s="74"/>
      <c r="V111" s="25"/>
      <c r="W111" s="25"/>
      <c r="X111" s="82">
        <f t="shared" ref="X111:X126" si="37">IF(AND($U$299="S",$Y111=1),$W111+($W$297/$U$297),IF(AND($U$299="O",$Y111=1,$Z111=1),$W111+($W$297/$U$297),$W111))</f>
        <v>0</v>
      </c>
      <c r="Y111" s="12"/>
      <c r="Z111" s="9" t="str">
        <f>IF(OR($Y111="",$U$299="S"),"",IF(COUNT($Z$71:$Z109)&gt;=$U$297,"",1))</f>
        <v/>
      </c>
    </row>
    <row r="112" spans="1:33" ht="14.25" customHeight="1" thickBot="1" x14ac:dyDescent="0.25">
      <c r="A112" s="7">
        <v>3</v>
      </c>
      <c r="B112" s="202" t="s">
        <v>137</v>
      </c>
      <c r="C112" s="199" t="str">
        <f t="shared" ref="C112:C126" si="38">IF($B112="","","図面・仕様書どおり")</f>
        <v>図面・仕様書どおり</v>
      </c>
      <c r="D112" s="195" t="str">
        <f t="shared" ref="D112:D126" si="39">IF($B112="","","1")</f>
        <v>1</v>
      </c>
      <c r="E112" s="195" t="str">
        <f t="shared" ref="E112:E126" si="40">IF($D112="","","式")</f>
        <v>式</v>
      </c>
      <c r="F112" s="218">
        <v>2222000</v>
      </c>
      <c r="G112" s="218">
        <f t="shared" ref="G112:G120" si="41">IF(F112="","",F112+H112)</f>
        <v>0</v>
      </c>
      <c r="H112" s="223">
        <f t="shared" ref="H112:H126" si="42">+X112</f>
        <v>-2222000</v>
      </c>
      <c r="I112" s="233" t="str">
        <f>IF($B112="","","諸経費共")</f>
        <v>諸経費共</v>
      </c>
      <c r="J112" s="233"/>
      <c r="K112" s="98"/>
      <c r="L112" s="1" t="str">
        <f t="shared" si="36"/>
        <v>淀屋橋駅</v>
      </c>
      <c r="M112" s="105">
        <v>-2222000</v>
      </c>
      <c r="N112" s="52">
        <f t="shared" ref="N112:N126" si="43">IF(M112="","",IF(M112&lt;0,0,1))</f>
        <v>0</v>
      </c>
      <c r="O112" s="21">
        <f t="shared" ref="O112:O120" si="44">+M112*$Q$66</f>
        <v>-2222000</v>
      </c>
      <c r="P112" s="22">
        <f t="shared" ref="P112:P126" si="45">+ROUND(O112,-3)</f>
        <v>-2222000</v>
      </c>
      <c r="Q112" s="22">
        <f t="shared" ref="Q112:Q126" si="46">+ROUND(P112,-4)</f>
        <v>-2220000</v>
      </c>
      <c r="R112" s="9">
        <f t="shared" ref="R112:R126" si="47">IF(AND($Q$66&lt;1,$O112&gt;=0),0,IF(AND($Q$66&gt;=1,$O112&lt;0),0,1))</f>
        <v>0</v>
      </c>
      <c r="S112" s="85">
        <f t="shared" ref="S112:S120" si="48">+M112</f>
        <v>-2222000</v>
      </c>
      <c r="T112" s="73">
        <f t="shared" ref="T112:T126" si="49">IF(R112=0,S112/$S$294,0)</f>
        <v>0.68963376784605834</v>
      </c>
      <c r="U112" s="19">
        <f t="shared" ref="U112:U126" si="50">RANK(T112,$T$72:$T$289)</f>
        <v>1</v>
      </c>
      <c r="V112" s="25">
        <f t="shared" ref="V112:V126" si="51">INT($S112-$T$66*$T112)</f>
        <v>-2222000</v>
      </c>
      <c r="W112" s="25">
        <f t="shared" ref="W112:W126" si="52">ROUND(V112,-3)</f>
        <v>-2222000</v>
      </c>
      <c r="X112" s="82">
        <f t="shared" si="37"/>
        <v>-2222000</v>
      </c>
      <c r="Y112" s="12" t="str">
        <f t="shared" ref="Y112:Y126" si="53">IF(U112="","",IF($U112&lt;=$U$297,1,""))</f>
        <v/>
      </c>
      <c r="Z112" s="9" t="str">
        <f>IF(OR($Y112="",$U$299="S"),"",IF(COUNT($Z$71:$Z111)&gt;=$U$297,"",1))</f>
        <v/>
      </c>
    </row>
    <row r="113" spans="1:33" ht="14.25" customHeight="1" thickBot="1" x14ac:dyDescent="0.25">
      <c r="A113" s="7">
        <v>2</v>
      </c>
      <c r="B113" s="202" t="s">
        <v>138</v>
      </c>
      <c r="C113" s="199" t="str">
        <f t="shared" si="38"/>
        <v>図面・仕様書どおり</v>
      </c>
      <c r="D113" s="195" t="str">
        <f t="shared" si="39"/>
        <v>1</v>
      </c>
      <c r="E113" s="195" t="str">
        <f t="shared" si="40"/>
        <v>式</v>
      </c>
      <c r="F113" s="218">
        <v>2222000</v>
      </c>
      <c r="G113" s="218">
        <f t="shared" si="41"/>
        <v>2222000</v>
      </c>
      <c r="H113" s="223">
        <f t="shared" si="42"/>
        <v>0</v>
      </c>
      <c r="I113" s="233" t="str">
        <f>IF($B113="","","諸経費共")</f>
        <v>諸経費共</v>
      </c>
      <c r="J113" s="233"/>
      <c r="K113" s="98"/>
      <c r="L113" s="1" t="str">
        <f t="shared" si="36"/>
        <v>1号線天王寺駅</v>
      </c>
      <c r="M113" s="105">
        <v>0</v>
      </c>
      <c r="N113" s="52">
        <f t="shared" si="43"/>
        <v>1</v>
      </c>
      <c r="O113" s="21">
        <f t="shared" si="44"/>
        <v>0</v>
      </c>
      <c r="P113" s="22">
        <f t="shared" si="45"/>
        <v>0</v>
      </c>
      <c r="Q113" s="22">
        <f t="shared" si="46"/>
        <v>0</v>
      </c>
      <c r="R113" s="9">
        <f t="shared" si="47"/>
        <v>1</v>
      </c>
      <c r="S113" s="85">
        <f t="shared" si="48"/>
        <v>0</v>
      </c>
      <c r="T113" s="73">
        <f t="shared" si="49"/>
        <v>0</v>
      </c>
      <c r="U113" s="19">
        <f t="shared" si="50"/>
        <v>3</v>
      </c>
      <c r="V113" s="25">
        <f t="shared" si="51"/>
        <v>0</v>
      </c>
      <c r="W113" s="25">
        <f t="shared" si="52"/>
        <v>0</v>
      </c>
      <c r="X113" s="82">
        <f t="shared" si="37"/>
        <v>0</v>
      </c>
      <c r="Y113" s="12" t="str">
        <f t="shared" si="53"/>
        <v/>
      </c>
      <c r="Z113" s="9" t="str">
        <f>IF(OR($Y113="",$U$299="S"),"",IF(COUNT($Z$71:$Z112)&gt;=$U$297,"",1))</f>
        <v/>
      </c>
    </row>
    <row r="114" spans="1:33" ht="14.25" hidden="1" customHeight="1" thickBot="1" x14ac:dyDescent="0.25">
      <c r="A114" s="7">
        <v>3</v>
      </c>
      <c r="B114" s="202"/>
      <c r="C114" s="199" t="str">
        <f t="shared" si="38"/>
        <v/>
      </c>
      <c r="D114" s="195" t="str">
        <f t="shared" si="39"/>
        <v/>
      </c>
      <c r="E114" s="195" t="str">
        <f t="shared" si="40"/>
        <v/>
      </c>
      <c r="F114" s="218"/>
      <c r="G114" s="218" t="str">
        <f t="shared" si="41"/>
        <v/>
      </c>
      <c r="H114" s="223">
        <f t="shared" si="42"/>
        <v>0</v>
      </c>
      <c r="I114" s="233" t="str">
        <f>IF($B114="","","諸経費共")</f>
        <v/>
      </c>
      <c r="J114" s="233"/>
      <c r="K114" s="98"/>
      <c r="L114" s="1" t="str">
        <f t="shared" si="36"/>
        <v/>
      </c>
      <c r="M114" s="105"/>
      <c r="N114" s="52" t="str">
        <f t="shared" si="43"/>
        <v/>
      </c>
      <c r="O114" s="21">
        <f t="shared" si="44"/>
        <v>0</v>
      </c>
      <c r="P114" s="22">
        <f t="shared" si="45"/>
        <v>0</v>
      </c>
      <c r="Q114" s="22">
        <f t="shared" si="46"/>
        <v>0</v>
      </c>
      <c r="R114" s="9">
        <f t="shared" si="47"/>
        <v>1</v>
      </c>
      <c r="S114" s="85">
        <f t="shared" si="48"/>
        <v>0</v>
      </c>
      <c r="T114" s="73">
        <f t="shared" si="49"/>
        <v>0</v>
      </c>
      <c r="U114" s="19">
        <f t="shared" si="50"/>
        <v>3</v>
      </c>
      <c r="V114" s="25">
        <f t="shared" si="51"/>
        <v>0</v>
      </c>
      <c r="W114" s="25">
        <f t="shared" si="52"/>
        <v>0</v>
      </c>
      <c r="X114" s="82">
        <f t="shared" si="37"/>
        <v>0</v>
      </c>
      <c r="Y114" s="12" t="str">
        <f t="shared" si="53"/>
        <v/>
      </c>
      <c r="Z114" s="9" t="str">
        <f>IF(OR($Y114="",$U$299="S"),"",IF(COUNT($Z$71:$Z113)&gt;=$U$297,"",1))</f>
        <v/>
      </c>
    </row>
    <row r="115" spans="1:33" ht="14.25" hidden="1" customHeight="1" thickBot="1" x14ac:dyDescent="0.25">
      <c r="A115" s="7">
        <v>4</v>
      </c>
      <c r="B115" s="199"/>
      <c r="C115" s="199" t="str">
        <f t="shared" si="38"/>
        <v/>
      </c>
      <c r="D115" s="195" t="str">
        <f t="shared" si="39"/>
        <v/>
      </c>
      <c r="E115" s="195" t="str">
        <f t="shared" si="40"/>
        <v/>
      </c>
      <c r="F115" s="218"/>
      <c r="G115" s="218" t="str">
        <f t="shared" si="41"/>
        <v/>
      </c>
      <c r="H115" s="223">
        <f t="shared" si="42"/>
        <v>0</v>
      </c>
      <c r="I115" s="233" t="str">
        <f>IF($B115="","","諸経費共")</f>
        <v/>
      </c>
      <c r="J115" s="233"/>
      <c r="K115" s="98"/>
      <c r="L115" s="1" t="str">
        <f t="shared" si="36"/>
        <v/>
      </c>
      <c r="M115" s="105"/>
      <c r="N115" s="52" t="str">
        <f t="shared" si="43"/>
        <v/>
      </c>
      <c r="O115" s="21">
        <f t="shared" si="44"/>
        <v>0</v>
      </c>
      <c r="P115" s="22">
        <f t="shared" si="45"/>
        <v>0</v>
      </c>
      <c r="Q115" s="22">
        <f t="shared" si="46"/>
        <v>0</v>
      </c>
      <c r="R115" s="9">
        <f t="shared" si="47"/>
        <v>1</v>
      </c>
      <c r="S115" s="85">
        <f t="shared" si="48"/>
        <v>0</v>
      </c>
      <c r="T115" s="73">
        <f t="shared" si="49"/>
        <v>0</v>
      </c>
      <c r="U115" s="19">
        <f t="shared" si="50"/>
        <v>3</v>
      </c>
      <c r="V115" s="25">
        <f t="shared" si="51"/>
        <v>0</v>
      </c>
      <c r="W115" s="25">
        <f t="shared" si="52"/>
        <v>0</v>
      </c>
      <c r="X115" s="82">
        <f t="shared" si="37"/>
        <v>0</v>
      </c>
      <c r="Y115" s="12" t="str">
        <f t="shared" si="53"/>
        <v/>
      </c>
      <c r="Z115" s="9" t="str">
        <f>IF(OR($Y115="",$U$299="S"),"",IF(COUNT($Z$71:$Z114)&gt;=$U$297,"",1))</f>
        <v/>
      </c>
    </row>
    <row r="116" spans="1:33" ht="14.25" hidden="1" customHeight="1" thickBot="1" x14ac:dyDescent="0.25">
      <c r="A116" s="7">
        <v>5</v>
      </c>
      <c r="B116" s="199"/>
      <c r="C116" s="199" t="str">
        <f t="shared" si="38"/>
        <v/>
      </c>
      <c r="D116" s="195" t="str">
        <f t="shared" si="39"/>
        <v/>
      </c>
      <c r="E116" s="195" t="str">
        <f t="shared" si="40"/>
        <v/>
      </c>
      <c r="F116" s="218"/>
      <c r="G116" s="218" t="str">
        <f t="shared" si="41"/>
        <v/>
      </c>
      <c r="H116" s="223">
        <f t="shared" si="42"/>
        <v>0</v>
      </c>
      <c r="I116" s="233" t="str">
        <f>IF($B116="","","諸経費共")</f>
        <v/>
      </c>
      <c r="J116" s="233"/>
      <c r="K116" s="98"/>
      <c r="L116" s="1" t="str">
        <f t="shared" si="36"/>
        <v/>
      </c>
      <c r="M116" s="105"/>
      <c r="N116" s="52" t="str">
        <f t="shared" si="43"/>
        <v/>
      </c>
      <c r="O116" s="21">
        <f t="shared" si="44"/>
        <v>0</v>
      </c>
      <c r="P116" s="22">
        <f t="shared" si="45"/>
        <v>0</v>
      </c>
      <c r="Q116" s="22">
        <f t="shared" si="46"/>
        <v>0</v>
      </c>
      <c r="R116" s="9">
        <f t="shared" si="47"/>
        <v>1</v>
      </c>
      <c r="S116" s="85">
        <f t="shared" si="48"/>
        <v>0</v>
      </c>
      <c r="T116" s="73">
        <f t="shared" si="49"/>
        <v>0</v>
      </c>
      <c r="U116" s="19">
        <f t="shared" si="50"/>
        <v>3</v>
      </c>
      <c r="V116" s="25">
        <f t="shared" si="51"/>
        <v>0</v>
      </c>
      <c r="W116" s="25">
        <f t="shared" si="52"/>
        <v>0</v>
      </c>
      <c r="X116" s="82">
        <f t="shared" si="37"/>
        <v>0</v>
      </c>
      <c r="Y116" s="12" t="str">
        <f t="shared" si="53"/>
        <v/>
      </c>
      <c r="Z116" s="9" t="str">
        <f>IF(OR($Y116="",$U$299="S"),"",IF(COUNT($Z$71:$Z115)&gt;=$U$297,"",1))</f>
        <v/>
      </c>
    </row>
    <row r="117" spans="1:33" ht="14.25" hidden="1" customHeight="1" thickBot="1" x14ac:dyDescent="0.25">
      <c r="A117" s="7">
        <v>6</v>
      </c>
      <c r="B117" s="199"/>
      <c r="C117" s="199" t="str">
        <f t="shared" si="38"/>
        <v/>
      </c>
      <c r="D117" s="195" t="str">
        <f t="shared" si="39"/>
        <v/>
      </c>
      <c r="E117" s="195" t="str">
        <f t="shared" si="40"/>
        <v/>
      </c>
      <c r="F117" s="218"/>
      <c r="G117" s="218" t="str">
        <f t="shared" si="41"/>
        <v/>
      </c>
      <c r="H117" s="223">
        <f t="shared" si="42"/>
        <v>0</v>
      </c>
      <c r="I117" s="233" t="str">
        <f>IF($B117="","","諸経費共")</f>
        <v/>
      </c>
      <c r="J117" s="233"/>
      <c r="K117" s="98"/>
      <c r="L117" s="1" t="str">
        <f t="shared" si="36"/>
        <v/>
      </c>
      <c r="M117" s="105"/>
      <c r="N117" s="52" t="str">
        <f t="shared" si="43"/>
        <v/>
      </c>
      <c r="O117" s="21">
        <f t="shared" si="44"/>
        <v>0</v>
      </c>
      <c r="P117" s="22">
        <f t="shared" si="45"/>
        <v>0</v>
      </c>
      <c r="Q117" s="22">
        <f t="shared" si="46"/>
        <v>0</v>
      </c>
      <c r="R117" s="9">
        <f t="shared" si="47"/>
        <v>1</v>
      </c>
      <c r="S117" s="85">
        <f t="shared" si="48"/>
        <v>0</v>
      </c>
      <c r="T117" s="73">
        <f t="shared" si="49"/>
        <v>0</v>
      </c>
      <c r="U117" s="19">
        <f t="shared" si="50"/>
        <v>3</v>
      </c>
      <c r="V117" s="25">
        <f t="shared" si="51"/>
        <v>0</v>
      </c>
      <c r="W117" s="25">
        <f t="shared" si="52"/>
        <v>0</v>
      </c>
      <c r="X117" s="82">
        <f t="shared" si="37"/>
        <v>0</v>
      </c>
      <c r="Y117" s="12" t="str">
        <f t="shared" si="53"/>
        <v/>
      </c>
      <c r="Z117" s="9" t="str">
        <f>IF(OR($Y117="",$U$299="S"),"",IF(COUNT($Z$71:$Z116)&gt;=$U$297,"",1))</f>
        <v/>
      </c>
    </row>
    <row r="118" spans="1:33" ht="14.25" hidden="1" customHeight="1" thickBot="1" x14ac:dyDescent="0.25">
      <c r="A118" s="7">
        <v>7</v>
      </c>
      <c r="B118" s="199"/>
      <c r="C118" s="199" t="str">
        <f t="shared" si="38"/>
        <v/>
      </c>
      <c r="D118" s="195" t="str">
        <f t="shared" si="39"/>
        <v/>
      </c>
      <c r="E118" s="195" t="str">
        <f t="shared" si="40"/>
        <v/>
      </c>
      <c r="F118" s="218"/>
      <c r="G118" s="218" t="str">
        <f t="shared" si="41"/>
        <v/>
      </c>
      <c r="H118" s="223">
        <f t="shared" si="42"/>
        <v>0</v>
      </c>
      <c r="I118" s="233" t="str">
        <f>IF($B118="","","諸経費共")</f>
        <v/>
      </c>
      <c r="J118" s="233"/>
      <c r="K118" s="98"/>
      <c r="L118" s="1" t="str">
        <f t="shared" si="36"/>
        <v/>
      </c>
      <c r="M118" s="105"/>
      <c r="N118" s="52" t="str">
        <f t="shared" si="43"/>
        <v/>
      </c>
      <c r="O118" s="21">
        <f t="shared" si="44"/>
        <v>0</v>
      </c>
      <c r="P118" s="22">
        <f t="shared" si="45"/>
        <v>0</v>
      </c>
      <c r="Q118" s="22">
        <f t="shared" si="46"/>
        <v>0</v>
      </c>
      <c r="R118" s="9">
        <f t="shared" si="47"/>
        <v>1</v>
      </c>
      <c r="S118" s="85">
        <f t="shared" si="48"/>
        <v>0</v>
      </c>
      <c r="T118" s="73">
        <f t="shared" si="49"/>
        <v>0</v>
      </c>
      <c r="U118" s="19">
        <f t="shared" si="50"/>
        <v>3</v>
      </c>
      <c r="V118" s="25">
        <f t="shared" si="51"/>
        <v>0</v>
      </c>
      <c r="W118" s="25">
        <f t="shared" si="52"/>
        <v>0</v>
      </c>
      <c r="X118" s="82">
        <f t="shared" si="37"/>
        <v>0</v>
      </c>
      <c r="Y118" s="12" t="str">
        <f t="shared" si="53"/>
        <v/>
      </c>
      <c r="Z118" s="9" t="str">
        <f>IF(OR($Y118="",$U$299="S"),"",IF(COUNT($Z$71:$Z117)&gt;=$U$297,"",1))</f>
        <v/>
      </c>
    </row>
    <row r="119" spans="1:33" ht="14.25" hidden="1" customHeight="1" thickBot="1" x14ac:dyDescent="0.25">
      <c r="A119" s="7">
        <v>8</v>
      </c>
      <c r="B119" s="199"/>
      <c r="C119" s="199" t="str">
        <f t="shared" si="38"/>
        <v/>
      </c>
      <c r="D119" s="195" t="str">
        <f t="shared" si="39"/>
        <v/>
      </c>
      <c r="E119" s="195" t="str">
        <f t="shared" si="40"/>
        <v/>
      </c>
      <c r="F119" s="218"/>
      <c r="G119" s="218" t="str">
        <f t="shared" si="41"/>
        <v/>
      </c>
      <c r="H119" s="223">
        <f t="shared" si="42"/>
        <v>0</v>
      </c>
      <c r="I119" s="233" t="str">
        <f>IF($B119="","","諸経費共")</f>
        <v/>
      </c>
      <c r="J119" s="233"/>
      <c r="K119" s="98"/>
      <c r="L119" s="1" t="str">
        <f t="shared" si="36"/>
        <v/>
      </c>
      <c r="M119" s="105"/>
      <c r="N119" s="52" t="str">
        <f t="shared" si="43"/>
        <v/>
      </c>
      <c r="O119" s="21">
        <f t="shared" si="44"/>
        <v>0</v>
      </c>
      <c r="P119" s="22">
        <f t="shared" si="45"/>
        <v>0</v>
      </c>
      <c r="Q119" s="22">
        <f t="shared" si="46"/>
        <v>0</v>
      </c>
      <c r="R119" s="9">
        <f t="shared" si="47"/>
        <v>1</v>
      </c>
      <c r="S119" s="85">
        <f t="shared" si="48"/>
        <v>0</v>
      </c>
      <c r="T119" s="73">
        <f t="shared" si="49"/>
        <v>0</v>
      </c>
      <c r="U119" s="19">
        <f t="shared" si="50"/>
        <v>3</v>
      </c>
      <c r="V119" s="25">
        <f t="shared" si="51"/>
        <v>0</v>
      </c>
      <c r="W119" s="25">
        <f t="shared" si="52"/>
        <v>0</v>
      </c>
      <c r="X119" s="82">
        <f t="shared" si="37"/>
        <v>0</v>
      </c>
      <c r="Y119" s="12" t="str">
        <f t="shared" si="53"/>
        <v/>
      </c>
      <c r="Z119" s="9" t="str">
        <f>IF(OR($Y119="",$U$299="S"),"",IF(COUNT($Z$71:$Z118)&gt;=$U$297,"",1))</f>
        <v/>
      </c>
    </row>
    <row r="120" spans="1:33" ht="14.25" hidden="1" customHeight="1" thickBot="1" x14ac:dyDescent="0.25">
      <c r="A120" s="7">
        <v>9</v>
      </c>
      <c r="B120" s="199"/>
      <c r="C120" s="199" t="str">
        <f t="shared" si="38"/>
        <v/>
      </c>
      <c r="D120" s="195" t="str">
        <f t="shared" si="39"/>
        <v/>
      </c>
      <c r="E120" s="195" t="str">
        <f t="shared" si="40"/>
        <v/>
      </c>
      <c r="F120" s="218"/>
      <c r="G120" s="218" t="str">
        <f t="shared" si="41"/>
        <v/>
      </c>
      <c r="H120" s="223">
        <f t="shared" si="42"/>
        <v>0</v>
      </c>
      <c r="I120" s="233" t="str">
        <f>IF($B120="","","諸経費共")</f>
        <v/>
      </c>
      <c r="J120" s="233"/>
      <c r="K120" s="98"/>
      <c r="L120" s="1" t="str">
        <f t="shared" si="36"/>
        <v/>
      </c>
      <c r="M120" s="105"/>
      <c r="N120" s="52" t="str">
        <f t="shared" si="43"/>
        <v/>
      </c>
      <c r="O120" s="21">
        <f t="shared" si="44"/>
        <v>0</v>
      </c>
      <c r="P120" s="22">
        <f t="shared" si="45"/>
        <v>0</v>
      </c>
      <c r="Q120" s="22">
        <f t="shared" si="46"/>
        <v>0</v>
      </c>
      <c r="R120" s="9">
        <f t="shared" si="47"/>
        <v>1</v>
      </c>
      <c r="S120" s="85">
        <f t="shared" si="48"/>
        <v>0</v>
      </c>
      <c r="T120" s="73">
        <f t="shared" si="49"/>
        <v>0</v>
      </c>
      <c r="U120" s="19">
        <f t="shared" si="50"/>
        <v>3</v>
      </c>
      <c r="V120" s="25">
        <f t="shared" si="51"/>
        <v>0</v>
      </c>
      <c r="W120" s="25">
        <f t="shared" si="52"/>
        <v>0</v>
      </c>
      <c r="X120" s="82">
        <f t="shared" si="37"/>
        <v>0</v>
      </c>
      <c r="Y120" s="12" t="str">
        <f t="shared" si="53"/>
        <v/>
      </c>
      <c r="Z120" s="9" t="str">
        <f>IF(OR($Y120="",$U$299="S"),"",IF(COUNT($Z$71:$Z119)&gt;=$U$297,"",1))</f>
        <v/>
      </c>
    </row>
    <row r="121" spans="1:33" ht="14.25" hidden="1" customHeight="1" thickBot="1" x14ac:dyDescent="0.25">
      <c r="A121" s="7">
        <v>10</v>
      </c>
      <c r="B121" s="199"/>
      <c r="C121" s="199" t="str">
        <f t="shared" si="38"/>
        <v/>
      </c>
      <c r="D121" s="195" t="str">
        <f t="shared" si="39"/>
        <v/>
      </c>
      <c r="E121" s="195" t="str">
        <f t="shared" si="40"/>
        <v/>
      </c>
      <c r="F121" s="218"/>
      <c r="G121" s="218" t="str">
        <f t="shared" ref="G121:G126" si="54">IF(F121="","",F121+H121)</f>
        <v/>
      </c>
      <c r="H121" s="223">
        <f t="shared" si="42"/>
        <v>0</v>
      </c>
      <c r="I121" s="233" t="str">
        <f>IF($B121="","","諸経費共")</f>
        <v/>
      </c>
      <c r="J121" s="233"/>
      <c r="K121" s="98"/>
      <c r="L121" s="1" t="str">
        <f t="shared" ref="L121:L126" si="55">IF(B121="","",B121)</f>
        <v/>
      </c>
      <c r="M121" s="105"/>
      <c r="N121" s="52" t="str">
        <f t="shared" si="43"/>
        <v/>
      </c>
      <c r="O121" s="21">
        <f t="shared" ref="O121:O126" si="56">+M121*$Q$66</f>
        <v>0</v>
      </c>
      <c r="P121" s="22">
        <f t="shared" si="45"/>
        <v>0</v>
      </c>
      <c r="Q121" s="22">
        <f t="shared" si="46"/>
        <v>0</v>
      </c>
      <c r="R121" s="9">
        <f t="shared" si="47"/>
        <v>1</v>
      </c>
      <c r="S121" s="85">
        <f t="shared" ref="S121:S126" si="57">+M121</f>
        <v>0</v>
      </c>
      <c r="T121" s="73">
        <f t="shared" si="49"/>
        <v>0</v>
      </c>
      <c r="U121" s="19">
        <f t="shared" si="50"/>
        <v>3</v>
      </c>
      <c r="V121" s="25">
        <f t="shared" si="51"/>
        <v>0</v>
      </c>
      <c r="W121" s="25">
        <f t="shared" si="52"/>
        <v>0</v>
      </c>
      <c r="X121" s="82">
        <f t="shared" si="37"/>
        <v>0</v>
      </c>
      <c r="Y121" s="12" t="str">
        <f t="shared" si="53"/>
        <v/>
      </c>
      <c r="Z121" s="9" t="str">
        <f>IF(OR($Y121="",$U$299="S"),"",IF(COUNT($Z$71:$Z120)&gt;=$U$297,"",1))</f>
        <v/>
      </c>
    </row>
    <row r="122" spans="1:33" ht="14.25" hidden="1" customHeight="1" thickBot="1" x14ac:dyDescent="0.25">
      <c r="A122" s="7">
        <v>11</v>
      </c>
      <c r="B122" s="199"/>
      <c r="C122" s="199" t="str">
        <f t="shared" si="38"/>
        <v/>
      </c>
      <c r="D122" s="195" t="str">
        <f t="shared" si="39"/>
        <v/>
      </c>
      <c r="E122" s="195" t="str">
        <f t="shared" si="40"/>
        <v/>
      </c>
      <c r="F122" s="218"/>
      <c r="G122" s="218" t="str">
        <f t="shared" si="54"/>
        <v/>
      </c>
      <c r="H122" s="223">
        <f t="shared" si="42"/>
        <v>0</v>
      </c>
      <c r="I122" s="233" t="str">
        <f>IF($B122="","","諸経費共")</f>
        <v/>
      </c>
      <c r="J122" s="233"/>
      <c r="K122" s="98"/>
      <c r="L122" s="1" t="str">
        <f t="shared" si="55"/>
        <v/>
      </c>
      <c r="M122" s="105"/>
      <c r="N122" s="52" t="str">
        <f t="shared" si="43"/>
        <v/>
      </c>
      <c r="O122" s="21">
        <f t="shared" si="56"/>
        <v>0</v>
      </c>
      <c r="P122" s="22">
        <f t="shared" si="45"/>
        <v>0</v>
      </c>
      <c r="Q122" s="22">
        <f t="shared" si="46"/>
        <v>0</v>
      </c>
      <c r="R122" s="9">
        <f t="shared" si="47"/>
        <v>1</v>
      </c>
      <c r="S122" s="85">
        <f t="shared" si="57"/>
        <v>0</v>
      </c>
      <c r="T122" s="73">
        <f t="shared" si="49"/>
        <v>0</v>
      </c>
      <c r="U122" s="19">
        <f t="shared" si="50"/>
        <v>3</v>
      </c>
      <c r="V122" s="25">
        <f t="shared" si="51"/>
        <v>0</v>
      </c>
      <c r="W122" s="25">
        <f t="shared" si="52"/>
        <v>0</v>
      </c>
      <c r="X122" s="82">
        <f t="shared" si="37"/>
        <v>0</v>
      </c>
      <c r="Y122" s="12" t="str">
        <f t="shared" si="53"/>
        <v/>
      </c>
      <c r="Z122" s="9" t="str">
        <f>IF(OR($Y122="",$U$299="S"),"",IF(COUNT($Z$71:$Z121)&gt;=$U$297,"",1))</f>
        <v/>
      </c>
    </row>
    <row r="123" spans="1:33" ht="14.25" hidden="1" customHeight="1" thickBot="1" x14ac:dyDescent="0.25">
      <c r="A123" s="7">
        <v>12</v>
      </c>
      <c r="B123" s="199"/>
      <c r="C123" s="199" t="str">
        <f t="shared" si="38"/>
        <v/>
      </c>
      <c r="D123" s="195" t="str">
        <f t="shared" si="39"/>
        <v/>
      </c>
      <c r="E123" s="195" t="str">
        <f t="shared" si="40"/>
        <v/>
      </c>
      <c r="F123" s="218"/>
      <c r="G123" s="218" t="str">
        <f t="shared" si="54"/>
        <v/>
      </c>
      <c r="H123" s="223">
        <f t="shared" si="42"/>
        <v>0</v>
      </c>
      <c r="I123" s="234" t="str">
        <f>IF($B123="","","諸経費共")</f>
        <v/>
      </c>
      <c r="J123" s="235"/>
      <c r="K123" s="98"/>
      <c r="L123" s="1" t="str">
        <f t="shared" si="55"/>
        <v/>
      </c>
      <c r="M123" s="105"/>
      <c r="N123" s="52" t="str">
        <f t="shared" si="43"/>
        <v/>
      </c>
      <c r="O123" s="21">
        <f t="shared" si="56"/>
        <v>0</v>
      </c>
      <c r="P123" s="22">
        <f t="shared" si="45"/>
        <v>0</v>
      </c>
      <c r="Q123" s="22">
        <f t="shared" si="46"/>
        <v>0</v>
      </c>
      <c r="R123" s="9">
        <f t="shared" si="47"/>
        <v>1</v>
      </c>
      <c r="S123" s="85">
        <f t="shared" si="57"/>
        <v>0</v>
      </c>
      <c r="T123" s="73">
        <f t="shared" si="49"/>
        <v>0</v>
      </c>
      <c r="U123" s="19">
        <f t="shared" si="50"/>
        <v>3</v>
      </c>
      <c r="V123" s="25">
        <f t="shared" si="51"/>
        <v>0</v>
      </c>
      <c r="W123" s="25">
        <f t="shared" si="52"/>
        <v>0</v>
      </c>
      <c r="X123" s="82">
        <f t="shared" si="37"/>
        <v>0</v>
      </c>
      <c r="Y123" s="12" t="str">
        <f t="shared" si="53"/>
        <v/>
      </c>
      <c r="Z123" s="9" t="str">
        <f>IF(OR($Y123="",$U$299="S"),"",IF(COUNT($Z$71:$Z122)&gt;=$U$297,"",1))</f>
        <v/>
      </c>
    </row>
    <row r="124" spans="1:33" ht="14.25" hidden="1" customHeight="1" thickBot="1" x14ac:dyDescent="0.25">
      <c r="A124" s="7">
        <v>13</v>
      </c>
      <c r="B124" s="199"/>
      <c r="C124" s="199" t="str">
        <f t="shared" si="38"/>
        <v/>
      </c>
      <c r="D124" s="195" t="str">
        <f t="shared" si="39"/>
        <v/>
      </c>
      <c r="E124" s="195" t="str">
        <f t="shared" si="40"/>
        <v/>
      </c>
      <c r="F124" s="218"/>
      <c r="G124" s="218" t="str">
        <f t="shared" si="54"/>
        <v/>
      </c>
      <c r="H124" s="223">
        <f t="shared" si="42"/>
        <v>0</v>
      </c>
      <c r="I124" s="233" t="str">
        <f>IF($B124="","","諸経費共")</f>
        <v/>
      </c>
      <c r="J124" s="233"/>
      <c r="K124" s="98"/>
      <c r="L124" s="1" t="str">
        <f t="shared" si="55"/>
        <v/>
      </c>
      <c r="M124" s="105"/>
      <c r="N124" s="52" t="str">
        <f t="shared" si="43"/>
        <v/>
      </c>
      <c r="O124" s="21">
        <f t="shared" si="56"/>
        <v>0</v>
      </c>
      <c r="P124" s="22">
        <f t="shared" si="45"/>
        <v>0</v>
      </c>
      <c r="Q124" s="22">
        <f t="shared" si="46"/>
        <v>0</v>
      </c>
      <c r="R124" s="9">
        <f t="shared" si="47"/>
        <v>1</v>
      </c>
      <c r="S124" s="85">
        <f t="shared" si="57"/>
        <v>0</v>
      </c>
      <c r="T124" s="73">
        <f t="shared" si="49"/>
        <v>0</v>
      </c>
      <c r="U124" s="19">
        <f t="shared" si="50"/>
        <v>3</v>
      </c>
      <c r="V124" s="25">
        <f t="shared" si="51"/>
        <v>0</v>
      </c>
      <c r="W124" s="25">
        <f t="shared" si="52"/>
        <v>0</v>
      </c>
      <c r="X124" s="82">
        <f t="shared" si="37"/>
        <v>0</v>
      </c>
      <c r="Y124" s="12" t="str">
        <f t="shared" si="53"/>
        <v/>
      </c>
      <c r="Z124" s="9" t="str">
        <f>IF(OR($Y124="",$U$299="S"),"",IF(COUNT($Z$71:$Z123)&gt;=$U$297,"",1))</f>
        <v/>
      </c>
    </row>
    <row r="125" spans="1:33" ht="14.25" hidden="1" customHeight="1" thickBot="1" x14ac:dyDescent="0.25">
      <c r="A125" s="7">
        <v>14</v>
      </c>
      <c r="B125" s="199"/>
      <c r="C125" s="199" t="str">
        <f t="shared" si="38"/>
        <v/>
      </c>
      <c r="D125" s="195" t="str">
        <f t="shared" si="39"/>
        <v/>
      </c>
      <c r="E125" s="195" t="str">
        <f t="shared" si="40"/>
        <v/>
      </c>
      <c r="F125" s="218"/>
      <c r="G125" s="218" t="str">
        <f t="shared" si="54"/>
        <v/>
      </c>
      <c r="H125" s="223">
        <f t="shared" si="42"/>
        <v>0</v>
      </c>
      <c r="I125" s="233" t="str">
        <f>IF($B125="","","諸経費共")</f>
        <v/>
      </c>
      <c r="J125" s="233"/>
      <c r="K125" s="98"/>
      <c r="L125" s="1" t="str">
        <f t="shared" si="55"/>
        <v/>
      </c>
      <c r="M125" s="105"/>
      <c r="N125" s="52" t="str">
        <f t="shared" si="43"/>
        <v/>
      </c>
      <c r="O125" s="21">
        <f t="shared" si="56"/>
        <v>0</v>
      </c>
      <c r="P125" s="22">
        <f t="shared" si="45"/>
        <v>0</v>
      </c>
      <c r="Q125" s="22">
        <f t="shared" si="46"/>
        <v>0</v>
      </c>
      <c r="R125" s="9">
        <f t="shared" si="47"/>
        <v>1</v>
      </c>
      <c r="S125" s="85">
        <f t="shared" si="57"/>
        <v>0</v>
      </c>
      <c r="T125" s="73">
        <f t="shared" si="49"/>
        <v>0</v>
      </c>
      <c r="U125" s="19">
        <f t="shared" si="50"/>
        <v>3</v>
      </c>
      <c r="V125" s="25">
        <f t="shared" si="51"/>
        <v>0</v>
      </c>
      <c r="W125" s="25">
        <f t="shared" si="52"/>
        <v>0</v>
      </c>
      <c r="X125" s="82">
        <f t="shared" si="37"/>
        <v>0</v>
      </c>
      <c r="Y125" s="12" t="str">
        <f t="shared" si="53"/>
        <v/>
      </c>
      <c r="Z125" s="9" t="str">
        <f>IF(OR($Y125="",$U$299="S"),"",IF(COUNT($Z$71:$Z124)&gt;=$U$297,"",1))</f>
        <v/>
      </c>
    </row>
    <row r="126" spans="1:33" ht="14.25" hidden="1" customHeight="1" thickBot="1" x14ac:dyDescent="0.25">
      <c r="A126" s="7">
        <v>15</v>
      </c>
      <c r="B126" s="199"/>
      <c r="C126" s="199" t="str">
        <f t="shared" si="38"/>
        <v/>
      </c>
      <c r="D126" s="195" t="str">
        <f t="shared" si="39"/>
        <v/>
      </c>
      <c r="E126" s="195" t="str">
        <f t="shared" si="40"/>
        <v/>
      </c>
      <c r="F126" s="218"/>
      <c r="G126" s="218" t="str">
        <f t="shared" si="54"/>
        <v/>
      </c>
      <c r="H126" s="223">
        <f t="shared" si="42"/>
        <v>0</v>
      </c>
      <c r="I126" s="233" t="str">
        <f>IF($B126="","","諸経費共")</f>
        <v/>
      </c>
      <c r="J126" s="233"/>
      <c r="K126" s="98"/>
      <c r="L126" s="1" t="str">
        <f t="shared" si="55"/>
        <v/>
      </c>
      <c r="M126" s="105"/>
      <c r="N126" s="52" t="str">
        <f t="shared" si="43"/>
        <v/>
      </c>
      <c r="O126" s="21">
        <f t="shared" si="56"/>
        <v>0</v>
      </c>
      <c r="P126" s="22">
        <f t="shared" si="45"/>
        <v>0</v>
      </c>
      <c r="Q126" s="22">
        <f t="shared" si="46"/>
        <v>0</v>
      </c>
      <c r="R126" s="9">
        <f t="shared" si="47"/>
        <v>1</v>
      </c>
      <c r="S126" s="85">
        <f t="shared" si="57"/>
        <v>0</v>
      </c>
      <c r="T126" s="73">
        <f t="shared" si="49"/>
        <v>0</v>
      </c>
      <c r="U126" s="19">
        <f t="shared" si="50"/>
        <v>3</v>
      </c>
      <c r="V126" s="25">
        <f t="shared" si="51"/>
        <v>0</v>
      </c>
      <c r="W126" s="25">
        <f t="shared" si="52"/>
        <v>0</v>
      </c>
      <c r="X126" s="82">
        <f t="shared" si="37"/>
        <v>0</v>
      </c>
      <c r="Y126" s="12" t="str">
        <f t="shared" si="53"/>
        <v/>
      </c>
      <c r="Z126" s="9" t="str">
        <f>IF(OR($Y126="",$U$299="S"),"",IF(COUNT($Z$71:$Z125)&gt;=$U$297,"",1))</f>
        <v/>
      </c>
    </row>
    <row r="127" spans="1:33" ht="14.25" customHeight="1" thickBot="1" x14ac:dyDescent="0.25">
      <c r="B127" s="206" t="s">
        <v>20</v>
      </c>
      <c r="C127" s="199"/>
      <c r="D127" s="195"/>
      <c r="E127" s="195"/>
      <c r="F127" s="218">
        <f>SUM(F112:F126)</f>
        <v>4444000</v>
      </c>
      <c r="G127" s="218">
        <f>+F127+H127</f>
        <v>2222000</v>
      </c>
      <c r="H127" s="222">
        <f>SUM(H112:H126)</f>
        <v>-2222000</v>
      </c>
      <c r="I127" s="233"/>
      <c r="J127" s="233"/>
      <c r="K127" s="9"/>
      <c r="L127" s="4" t="s">
        <v>23</v>
      </c>
      <c r="M127" s="109">
        <f>SUM(M112:M126)</f>
        <v>-2222000</v>
      </c>
      <c r="N127" s="9"/>
      <c r="O127" s="60">
        <f>SUM(O112:O126)</f>
        <v>-2222000</v>
      </c>
      <c r="P127" s="61">
        <f>SUM(P112:P126)</f>
        <v>-2222000</v>
      </c>
      <c r="Q127" s="61">
        <f>SUM(Q112:Q126)</f>
        <v>-2220000</v>
      </c>
      <c r="S127" s="59">
        <f>SUM(S112:S126)</f>
        <v>-2222000</v>
      </c>
      <c r="T127" s="74"/>
      <c r="U127" s="74"/>
      <c r="V127" s="62">
        <f>SUM(V112:V126)</f>
        <v>-2222000</v>
      </c>
      <c r="W127" s="62">
        <f>SUM(W112:W126)</f>
        <v>-2222000</v>
      </c>
      <c r="X127" s="70">
        <f>SUM(X112:X126)</f>
        <v>-2222000</v>
      </c>
      <c r="Z127" s="9" t="str">
        <f>IF(OR($Y127="",$U$299="S"),"",IF(COUNT($Z$71:$Z126)&gt;=$U$297,"",1))</f>
        <v/>
      </c>
    </row>
    <row r="128" spans="1:33" ht="14.25" customHeight="1" thickBot="1" x14ac:dyDescent="0.25">
      <c r="B128" s="205" t="s">
        <v>21</v>
      </c>
      <c r="C128" s="199"/>
      <c r="D128" s="195">
        <v>1</v>
      </c>
      <c r="E128" s="195" t="str">
        <f>IF($D128="","","式")</f>
        <v>式</v>
      </c>
      <c r="F128" s="218">
        <f>+F127*0.1</f>
        <v>444400</v>
      </c>
      <c r="G128" s="218">
        <f>+F128+H128</f>
        <v>222200</v>
      </c>
      <c r="H128" s="222">
        <f>H127*0.1</f>
        <v>-222200</v>
      </c>
      <c r="I128" s="233"/>
      <c r="J128" s="233"/>
      <c r="K128" s="9"/>
      <c r="L128" s="3" t="s">
        <v>21</v>
      </c>
      <c r="M128" s="107">
        <f>+M127*0.1</f>
        <v>-222200</v>
      </c>
      <c r="N128" s="49"/>
      <c r="O128" s="63">
        <f>+O127*0.1</f>
        <v>-222200</v>
      </c>
      <c r="P128" s="64">
        <f>+P127*0.1</f>
        <v>-222200</v>
      </c>
      <c r="Q128" s="64">
        <f>+Q127*0.1</f>
        <v>-222000</v>
      </c>
      <c r="R128" s="49"/>
      <c r="S128" s="23">
        <f>+S127*0.1</f>
        <v>-222200</v>
      </c>
      <c r="T128" s="76"/>
      <c r="U128" s="76"/>
      <c r="V128" s="48">
        <f>+V127*0.1</f>
        <v>-222200</v>
      </c>
      <c r="W128" s="48">
        <f>+W127*0.1</f>
        <v>-222200</v>
      </c>
      <c r="X128" s="33">
        <f>+X127*0.1</f>
        <v>-222200</v>
      </c>
      <c r="Y128" s="49"/>
      <c r="Z128" s="9" t="str">
        <f>IF(OR($Y128="",$U$299="S"),"",IF(COUNT($Z$71:$Z127)&gt;=$U$297,"",1))</f>
        <v/>
      </c>
      <c r="AA128" s="49"/>
      <c r="AB128" s="49"/>
      <c r="AC128" s="49"/>
      <c r="AD128" s="49"/>
      <c r="AE128" s="49"/>
      <c r="AF128" s="49"/>
      <c r="AG128" s="49"/>
    </row>
    <row r="129" spans="1:33" ht="14.25" customHeight="1" thickBot="1" x14ac:dyDescent="0.25">
      <c r="B129" s="190" t="s">
        <v>22</v>
      </c>
      <c r="C129" s="199"/>
      <c r="D129" s="195"/>
      <c r="E129" s="195"/>
      <c r="F129" s="218">
        <f>SUM(F127:F128)</f>
        <v>4888400</v>
      </c>
      <c r="G129" s="218">
        <f>+F129+H129</f>
        <v>2444200</v>
      </c>
      <c r="H129" s="222">
        <f>SUM(H127:H128)</f>
        <v>-2444200</v>
      </c>
      <c r="I129" s="233"/>
      <c r="J129" s="233"/>
      <c r="K129" s="9"/>
      <c r="L129" s="5" t="s">
        <v>22</v>
      </c>
      <c r="M129" s="107">
        <f>+M127+M128</f>
        <v>-2444200</v>
      </c>
      <c r="N129" s="49"/>
      <c r="O129" s="23">
        <f>SUM(O127:O128)</f>
        <v>-2444200</v>
      </c>
      <c r="P129" s="64">
        <f>+P127+P128</f>
        <v>-2444200</v>
      </c>
      <c r="Q129" s="64">
        <f>+Q127+Q128</f>
        <v>-2442000</v>
      </c>
      <c r="R129" s="49"/>
      <c r="S129" s="23">
        <f>+S127+S128</f>
        <v>-2444200</v>
      </c>
      <c r="T129" s="76"/>
      <c r="U129" s="76"/>
      <c r="V129" s="48">
        <f>+V127+V128</f>
        <v>-2444200</v>
      </c>
      <c r="W129" s="48">
        <f>+W127+W128</f>
        <v>-2444200</v>
      </c>
      <c r="X129" s="33">
        <f>+X127+X128</f>
        <v>-2444200</v>
      </c>
      <c r="Y129" s="49"/>
      <c r="Z129" s="9" t="str">
        <f>IF(OR($Y129="",$U$299="S"),"",IF(COUNT($Z$71:$Z128)&gt;=$U$297,"",1))</f>
        <v/>
      </c>
      <c r="AA129" s="49"/>
      <c r="AB129" s="49"/>
      <c r="AC129" s="49"/>
      <c r="AD129" s="49"/>
      <c r="AE129" s="49"/>
      <c r="AF129" s="49"/>
      <c r="AG129" s="49"/>
    </row>
    <row r="130" spans="1:33" ht="14.25" customHeight="1" thickBot="1" x14ac:dyDescent="0.25">
      <c r="B130" s="190"/>
      <c r="C130" s="199"/>
      <c r="D130" s="195"/>
      <c r="E130" s="195"/>
      <c r="F130" s="218"/>
      <c r="G130" s="218"/>
      <c r="H130" s="222"/>
      <c r="I130" s="231"/>
      <c r="J130" s="232"/>
      <c r="K130" s="9"/>
      <c r="L130" s="5"/>
      <c r="M130" s="107"/>
      <c r="N130" s="49"/>
      <c r="O130" s="48"/>
      <c r="P130" s="64"/>
      <c r="Q130" s="64"/>
      <c r="R130" s="49"/>
      <c r="S130" s="23"/>
      <c r="T130" s="76"/>
      <c r="U130" s="76"/>
      <c r="V130" s="48"/>
      <c r="W130" s="48"/>
      <c r="X130" s="33"/>
      <c r="Y130" s="49"/>
      <c r="AA130" s="49"/>
      <c r="AB130" s="49"/>
      <c r="AC130" s="49"/>
      <c r="AD130" s="49"/>
      <c r="AE130" s="49"/>
      <c r="AF130" s="49"/>
      <c r="AG130" s="49"/>
    </row>
    <row r="131" spans="1:33" ht="14.25" customHeight="1" thickBot="1" x14ac:dyDescent="0.25">
      <c r="B131" s="201" t="s">
        <v>139</v>
      </c>
      <c r="C131" s="199"/>
      <c r="D131" s="195"/>
      <c r="E131" s="195"/>
      <c r="F131" s="218"/>
      <c r="G131" s="218"/>
      <c r="H131" s="222"/>
      <c r="I131" s="233"/>
      <c r="J131" s="233"/>
      <c r="K131" s="9"/>
      <c r="L131" s="92" t="str">
        <f t="shared" ref="L131:L146" si="58">IF(B131="","",B131)</f>
        <v>設計監修の部（その２）</v>
      </c>
      <c r="M131" s="107"/>
      <c r="N131" s="9"/>
      <c r="O131" s="21"/>
      <c r="P131" s="22"/>
      <c r="Q131" s="22"/>
      <c r="S131" s="23"/>
      <c r="T131" s="74"/>
      <c r="U131" s="74"/>
      <c r="V131" s="25"/>
      <c r="W131" s="25"/>
      <c r="X131" s="82">
        <f t="shared" ref="X131:X146" si="59">IF(AND($U$299="S",$Y131=1),$W131+($W$297/$U$297),IF(AND($U$299="O",$Y131=1,$Z131=1),$W131+($W$297/$U$297),$W131))</f>
        <v>0</v>
      </c>
      <c r="Y131" s="12"/>
      <c r="Z131" s="9" t="str">
        <f>IF(OR($Y131="",$U$299="S"),"",IF(COUNT($Z$71:$Z129)&gt;=$U$297,"",1))</f>
        <v/>
      </c>
    </row>
    <row r="132" spans="1:33" ht="14.25" customHeight="1" thickBot="1" x14ac:dyDescent="0.25">
      <c r="A132" s="7">
        <v>4</v>
      </c>
      <c r="B132" s="202" t="s">
        <v>140</v>
      </c>
      <c r="C132" s="199" t="str">
        <f t="shared" ref="C132:C146" si="60">IF($B132="","","図面・仕様書どおり")</f>
        <v>図面・仕様書どおり</v>
      </c>
      <c r="D132" s="195" t="str">
        <f t="shared" ref="D132:D146" si="61">IF($B132="","","1")</f>
        <v>1</v>
      </c>
      <c r="E132" s="195" t="str">
        <f t="shared" ref="E132:E146" si="62">IF($D132="","","式")</f>
        <v>式</v>
      </c>
      <c r="F132" s="218">
        <v>2222000</v>
      </c>
      <c r="G132" s="218">
        <f t="shared" ref="G132:G146" si="63">IF(F132="","",F132+H132)</f>
        <v>2222000</v>
      </c>
      <c r="H132" s="223">
        <f t="shared" ref="H132:H146" si="64">+X132</f>
        <v>0</v>
      </c>
      <c r="I132" s="233" t="str">
        <f>IF($B132="","","諸経費共")</f>
        <v>諸経費共</v>
      </c>
      <c r="J132" s="233"/>
      <c r="K132" s="98"/>
      <c r="L132" s="1" t="str">
        <f t="shared" si="58"/>
        <v>4号線谷町四丁目駅</v>
      </c>
      <c r="M132" s="105">
        <v>0</v>
      </c>
      <c r="N132" s="52">
        <f t="shared" ref="N132:N146" si="65">IF(M132="","",IF(M132&lt;0,0,1))</f>
        <v>1</v>
      </c>
      <c r="O132" s="21">
        <f t="shared" ref="O132:O146" si="66">+M132*$Q$66</f>
        <v>0</v>
      </c>
      <c r="P132" s="22">
        <f t="shared" ref="P132:P146" si="67">+ROUND(O132,-3)</f>
        <v>0</v>
      </c>
      <c r="Q132" s="22">
        <f t="shared" ref="Q132:Q146" si="68">+ROUND(P132,-4)</f>
        <v>0</v>
      </c>
      <c r="R132" s="9">
        <f t="shared" ref="R132:R146" si="69">IF(AND($Q$66&lt;1,$O132&gt;=0),0,IF(AND($Q$66&gt;=1,$O132&lt;0),0,1))</f>
        <v>1</v>
      </c>
      <c r="S132" s="85">
        <f t="shared" ref="S132:S146" si="70">+M132</f>
        <v>0</v>
      </c>
      <c r="T132" s="73">
        <f t="shared" ref="T132:T146" si="71">IF(R132=0,S132/$S$294,0)</f>
        <v>0</v>
      </c>
      <c r="U132" s="19">
        <f t="shared" ref="U132:U146" si="72">RANK(T132,$T$72:$T$289)</f>
        <v>3</v>
      </c>
      <c r="V132" s="25">
        <f t="shared" ref="V132:V146" si="73">INT($S132-$T$66*$T132)</f>
        <v>0</v>
      </c>
      <c r="W132" s="25">
        <f t="shared" ref="W132:W146" si="74">ROUND(V132,-3)</f>
        <v>0</v>
      </c>
      <c r="X132" s="82">
        <f t="shared" si="59"/>
        <v>0</v>
      </c>
      <c r="Y132" s="12" t="str">
        <f>IF(U132="","",IF($U132&lt;=$U$297,1,""))</f>
        <v/>
      </c>
      <c r="Z132" s="9" t="str">
        <f>IF(OR($Y132="",$U$299="S"),"",IF(COUNT($Z$71:$Z131)&gt;=$U$297,"",1))</f>
        <v/>
      </c>
    </row>
    <row r="133" spans="1:33" ht="14.25" customHeight="1" thickBot="1" x14ac:dyDescent="0.25">
      <c r="A133" s="7">
        <v>2</v>
      </c>
      <c r="B133" s="202" t="s">
        <v>141</v>
      </c>
      <c r="C133" s="199" t="str">
        <f t="shared" si="60"/>
        <v>図面・仕様書どおり</v>
      </c>
      <c r="D133" s="195" t="str">
        <f t="shared" si="61"/>
        <v>1</v>
      </c>
      <c r="E133" s="195" t="str">
        <f t="shared" si="62"/>
        <v>式</v>
      </c>
      <c r="F133" s="218">
        <v>2222000</v>
      </c>
      <c r="G133" s="218">
        <f t="shared" si="63"/>
        <v>2222000</v>
      </c>
      <c r="H133" s="223">
        <f t="shared" si="64"/>
        <v>0</v>
      </c>
      <c r="I133" s="233" t="str">
        <f>IF($B133="","","諸経費共")</f>
        <v>諸経費共</v>
      </c>
      <c r="J133" s="233"/>
      <c r="K133" s="98"/>
      <c r="L133" s="1" t="str">
        <f t="shared" si="58"/>
        <v>4号線森ノ宮駅</v>
      </c>
      <c r="M133" s="105">
        <v>0</v>
      </c>
      <c r="N133" s="52">
        <f t="shared" si="65"/>
        <v>1</v>
      </c>
      <c r="O133" s="21">
        <f t="shared" si="66"/>
        <v>0</v>
      </c>
      <c r="P133" s="22">
        <f t="shared" si="67"/>
        <v>0</v>
      </c>
      <c r="Q133" s="22">
        <f t="shared" si="68"/>
        <v>0</v>
      </c>
      <c r="R133" s="9">
        <f t="shared" si="69"/>
        <v>1</v>
      </c>
      <c r="S133" s="85">
        <f t="shared" si="70"/>
        <v>0</v>
      </c>
      <c r="T133" s="73">
        <f t="shared" si="71"/>
        <v>0</v>
      </c>
      <c r="U133" s="19">
        <f t="shared" si="72"/>
        <v>3</v>
      </c>
      <c r="V133" s="25">
        <f t="shared" si="73"/>
        <v>0</v>
      </c>
      <c r="W133" s="25">
        <f t="shared" si="74"/>
        <v>0</v>
      </c>
      <c r="X133" s="82">
        <f t="shared" si="59"/>
        <v>0</v>
      </c>
      <c r="Y133" s="12" t="str">
        <f t="shared" ref="Y133:Y151" si="75">IF(U133="","",IF($U133&lt;=$U$297,1,""))</f>
        <v/>
      </c>
      <c r="Z133" s="9" t="str">
        <f>IF(OR($Y133="",$U$299="S"),"",IF(COUNT($Z$71:$Z132)&gt;=$U$297,"",1))</f>
        <v/>
      </c>
    </row>
    <row r="134" spans="1:33" ht="14.25" hidden="1" customHeight="1" thickBot="1" x14ac:dyDescent="0.25">
      <c r="A134" s="7">
        <v>3</v>
      </c>
      <c r="B134" s="202"/>
      <c r="C134" s="199" t="str">
        <f t="shared" si="60"/>
        <v/>
      </c>
      <c r="D134" s="195" t="str">
        <f t="shared" si="61"/>
        <v/>
      </c>
      <c r="E134" s="195" t="str">
        <f t="shared" si="62"/>
        <v/>
      </c>
      <c r="F134" s="218"/>
      <c r="G134" s="218" t="str">
        <f t="shared" si="63"/>
        <v/>
      </c>
      <c r="H134" s="223">
        <f t="shared" si="64"/>
        <v>0</v>
      </c>
      <c r="I134" s="233" t="str">
        <f>IF($B134="","","諸経費共")</f>
        <v/>
      </c>
      <c r="J134" s="233"/>
      <c r="K134" s="98"/>
      <c r="L134" s="1" t="str">
        <f t="shared" si="58"/>
        <v/>
      </c>
      <c r="M134" s="105"/>
      <c r="N134" s="52" t="str">
        <f t="shared" si="65"/>
        <v/>
      </c>
      <c r="O134" s="21">
        <f t="shared" si="66"/>
        <v>0</v>
      </c>
      <c r="P134" s="22">
        <f t="shared" si="67"/>
        <v>0</v>
      </c>
      <c r="Q134" s="22">
        <f t="shared" si="68"/>
        <v>0</v>
      </c>
      <c r="R134" s="9">
        <f t="shared" si="69"/>
        <v>1</v>
      </c>
      <c r="S134" s="85">
        <f t="shared" si="70"/>
        <v>0</v>
      </c>
      <c r="T134" s="73">
        <f t="shared" si="71"/>
        <v>0</v>
      </c>
      <c r="U134" s="19">
        <f t="shared" si="72"/>
        <v>3</v>
      </c>
      <c r="V134" s="25">
        <f t="shared" si="73"/>
        <v>0</v>
      </c>
      <c r="W134" s="25">
        <f t="shared" si="74"/>
        <v>0</v>
      </c>
      <c r="X134" s="82">
        <f t="shared" si="59"/>
        <v>0</v>
      </c>
      <c r="Y134" s="12" t="str">
        <f t="shared" si="75"/>
        <v/>
      </c>
      <c r="Z134" s="9" t="str">
        <f>IF(OR($Y134="",$U$299="S"),"",IF(COUNT($Z$71:$Z133)&gt;=$U$297,"",1))</f>
        <v/>
      </c>
    </row>
    <row r="135" spans="1:33" ht="14.25" hidden="1" customHeight="1" thickBot="1" x14ac:dyDescent="0.25">
      <c r="A135" s="7">
        <v>4</v>
      </c>
      <c r="B135" s="199"/>
      <c r="C135" s="199" t="str">
        <f t="shared" si="60"/>
        <v/>
      </c>
      <c r="D135" s="195" t="str">
        <f t="shared" si="61"/>
        <v/>
      </c>
      <c r="E135" s="195" t="str">
        <f t="shared" si="62"/>
        <v/>
      </c>
      <c r="F135" s="218"/>
      <c r="G135" s="218" t="str">
        <f t="shared" si="63"/>
        <v/>
      </c>
      <c r="H135" s="223">
        <f t="shared" si="64"/>
        <v>0</v>
      </c>
      <c r="I135" s="233" t="str">
        <f>IF($B135="","","諸経費共")</f>
        <v/>
      </c>
      <c r="J135" s="233"/>
      <c r="K135" s="98"/>
      <c r="L135" s="1" t="str">
        <f t="shared" si="58"/>
        <v/>
      </c>
      <c r="M135" s="105"/>
      <c r="N135" s="52" t="str">
        <f t="shared" si="65"/>
        <v/>
      </c>
      <c r="O135" s="21">
        <f t="shared" si="66"/>
        <v>0</v>
      </c>
      <c r="P135" s="22">
        <f t="shared" si="67"/>
        <v>0</v>
      </c>
      <c r="Q135" s="22">
        <f t="shared" si="68"/>
        <v>0</v>
      </c>
      <c r="R135" s="9">
        <f t="shared" si="69"/>
        <v>1</v>
      </c>
      <c r="S135" s="85">
        <f t="shared" si="70"/>
        <v>0</v>
      </c>
      <c r="T135" s="73">
        <f t="shared" si="71"/>
        <v>0</v>
      </c>
      <c r="U135" s="19">
        <f t="shared" si="72"/>
        <v>3</v>
      </c>
      <c r="V135" s="25">
        <f t="shared" si="73"/>
        <v>0</v>
      </c>
      <c r="W135" s="25">
        <f t="shared" si="74"/>
        <v>0</v>
      </c>
      <c r="X135" s="82">
        <f t="shared" si="59"/>
        <v>0</v>
      </c>
      <c r="Y135" s="12" t="str">
        <f t="shared" si="75"/>
        <v/>
      </c>
      <c r="Z135" s="9" t="str">
        <f>IF(OR($Y135="",$U$299="S"),"",IF(COUNT($Z$71:$Z134)&gt;=$U$297,"",1))</f>
        <v/>
      </c>
    </row>
    <row r="136" spans="1:33" ht="14.25" hidden="1" customHeight="1" thickBot="1" x14ac:dyDescent="0.25">
      <c r="A136" s="7">
        <v>5</v>
      </c>
      <c r="B136" s="199"/>
      <c r="C136" s="199" t="str">
        <f t="shared" si="60"/>
        <v/>
      </c>
      <c r="D136" s="195" t="str">
        <f t="shared" si="61"/>
        <v/>
      </c>
      <c r="E136" s="195" t="str">
        <f t="shared" si="62"/>
        <v/>
      </c>
      <c r="F136" s="218"/>
      <c r="G136" s="218" t="str">
        <f t="shared" si="63"/>
        <v/>
      </c>
      <c r="H136" s="223">
        <f t="shared" si="64"/>
        <v>0</v>
      </c>
      <c r="I136" s="233" t="str">
        <f>IF($B136="","","諸経費共")</f>
        <v/>
      </c>
      <c r="J136" s="233"/>
      <c r="K136" s="98"/>
      <c r="L136" s="1" t="str">
        <f t="shared" si="58"/>
        <v/>
      </c>
      <c r="M136" s="105"/>
      <c r="N136" s="52" t="str">
        <f t="shared" si="65"/>
        <v/>
      </c>
      <c r="O136" s="21">
        <f t="shared" si="66"/>
        <v>0</v>
      </c>
      <c r="P136" s="22">
        <f t="shared" si="67"/>
        <v>0</v>
      </c>
      <c r="Q136" s="22">
        <f t="shared" si="68"/>
        <v>0</v>
      </c>
      <c r="R136" s="9">
        <f t="shared" si="69"/>
        <v>1</v>
      </c>
      <c r="S136" s="85">
        <f t="shared" si="70"/>
        <v>0</v>
      </c>
      <c r="T136" s="73">
        <f t="shared" si="71"/>
        <v>0</v>
      </c>
      <c r="U136" s="19">
        <f t="shared" si="72"/>
        <v>3</v>
      </c>
      <c r="V136" s="25">
        <f t="shared" si="73"/>
        <v>0</v>
      </c>
      <c r="W136" s="25">
        <f t="shared" si="74"/>
        <v>0</v>
      </c>
      <c r="X136" s="82">
        <f t="shared" si="59"/>
        <v>0</v>
      </c>
      <c r="Y136" s="12" t="str">
        <f t="shared" si="75"/>
        <v/>
      </c>
      <c r="Z136" s="9" t="str">
        <f>IF(OR($Y136="",$U$299="S"),"",IF(COUNT($Z$71:$Z135)&gt;=$U$297,"",1))</f>
        <v/>
      </c>
    </row>
    <row r="137" spans="1:33" ht="14.25" hidden="1" customHeight="1" thickBot="1" x14ac:dyDescent="0.25">
      <c r="A137" s="7">
        <v>6</v>
      </c>
      <c r="B137" s="199"/>
      <c r="C137" s="199" t="str">
        <f t="shared" si="60"/>
        <v/>
      </c>
      <c r="D137" s="195" t="str">
        <f t="shared" si="61"/>
        <v/>
      </c>
      <c r="E137" s="195" t="str">
        <f t="shared" si="62"/>
        <v/>
      </c>
      <c r="F137" s="218"/>
      <c r="G137" s="218" t="str">
        <f t="shared" si="63"/>
        <v/>
      </c>
      <c r="H137" s="223">
        <f t="shared" si="64"/>
        <v>0</v>
      </c>
      <c r="I137" s="233" t="str">
        <f>IF($B137="","","諸経費共")</f>
        <v/>
      </c>
      <c r="J137" s="233"/>
      <c r="K137" s="98"/>
      <c r="L137" s="1" t="str">
        <f t="shared" si="58"/>
        <v/>
      </c>
      <c r="M137" s="105"/>
      <c r="N137" s="52" t="str">
        <f t="shared" si="65"/>
        <v/>
      </c>
      <c r="O137" s="21">
        <f t="shared" si="66"/>
        <v>0</v>
      </c>
      <c r="P137" s="22">
        <f t="shared" si="67"/>
        <v>0</v>
      </c>
      <c r="Q137" s="22">
        <f t="shared" si="68"/>
        <v>0</v>
      </c>
      <c r="R137" s="9">
        <f t="shared" si="69"/>
        <v>1</v>
      </c>
      <c r="S137" s="85">
        <f t="shared" si="70"/>
        <v>0</v>
      </c>
      <c r="T137" s="73">
        <f t="shared" si="71"/>
        <v>0</v>
      </c>
      <c r="U137" s="19">
        <f t="shared" si="72"/>
        <v>3</v>
      </c>
      <c r="V137" s="25">
        <f t="shared" si="73"/>
        <v>0</v>
      </c>
      <c r="W137" s="25">
        <f t="shared" si="74"/>
        <v>0</v>
      </c>
      <c r="X137" s="82">
        <f t="shared" si="59"/>
        <v>0</v>
      </c>
      <c r="Y137" s="12" t="str">
        <f t="shared" si="75"/>
        <v/>
      </c>
      <c r="Z137" s="9" t="str">
        <f>IF(OR($Y137="",$U$299="S"),"",IF(COUNT($Z$71:$Z136)&gt;=$U$297,"",1))</f>
        <v/>
      </c>
    </row>
    <row r="138" spans="1:33" ht="14.25" hidden="1" customHeight="1" thickBot="1" x14ac:dyDescent="0.25">
      <c r="A138" s="7">
        <v>7</v>
      </c>
      <c r="B138" s="199"/>
      <c r="C138" s="199" t="str">
        <f t="shared" si="60"/>
        <v/>
      </c>
      <c r="D138" s="195" t="str">
        <f t="shared" si="61"/>
        <v/>
      </c>
      <c r="E138" s="195" t="str">
        <f t="shared" si="62"/>
        <v/>
      </c>
      <c r="F138" s="218"/>
      <c r="G138" s="218" t="str">
        <f t="shared" si="63"/>
        <v/>
      </c>
      <c r="H138" s="223">
        <f t="shared" si="64"/>
        <v>0</v>
      </c>
      <c r="I138" s="233" t="str">
        <f>IF($B138="","","諸経費共")</f>
        <v/>
      </c>
      <c r="J138" s="233"/>
      <c r="K138" s="98"/>
      <c r="L138" s="1" t="str">
        <f t="shared" si="58"/>
        <v/>
      </c>
      <c r="M138" s="105"/>
      <c r="N138" s="52" t="str">
        <f t="shared" si="65"/>
        <v/>
      </c>
      <c r="O138" s="21">
        <f t="shared" si="66"/>
        <v>0</v>
      </c>
      <c r="P138" s="22">
        <f t="shared" si="67"/>
        <v>0</v>
      </c>
      <c r="Q138" s="22">
        <f t="shared" si="68"/>
        <v>0</v>
      </c>
      <c r="R138" s="9">
        <f t="shared" si="69"/>
        <v>1</v>
      </c>
      <c r="S138" s="85">
        <f t="shared" si="70"/>
        <v>0</v>
      </c>
      <c r="T138" s="73">
        <f t="shared" si="71"/>
        <v>0</v>
      </c>
      <c r="U138" s="19">
        <f t="shared" si="72"/>
        <v>3</v>
      </c>
      <c r="V138" s="25">
        <f t="shared" si="73"/>
        <v>0</v>
      </c>
      <c r="W138" s="25">
        <f t="shared" si="74"/>
        <v>0</v>
      </c>
      <c r="X138" s="82">
        <f t="shared" si="59"/>
        <v>0</v>
      </c>
      <c r="Y138" s="12" t="str">
        <f t="shared" si="75"/>
        <v/>
      </c>
      <c r="Z138" s="9" t="str">
        <f>IF(OR($Y138="",$U$299="S"),"",IF(COUNT($Z$71:$Z137)&gt;=$U$297,"",1))</f>
        <v/>
      </c>
    </row>
    <row r="139" spans="1:33" ht="14.25" hidden="1" customHeight="1" thickBot="1" x14ac:dyDescent="0.25">
      <c r="A139" s="7">
        <v>8</v>
      </c>
      <c r="B139" s="199"/>
      <c r="C139" s="199" t="str">
        <f t="shared" si="60"/>
        <v/>
      </c>
      <c r="D139" s="195" t="str">
        <f t="shared" si="61"/>
        <v/>
      </c>
      <c r="E139" s="195" t="str">
        <f t="shared" si="62"/>
        <v/>
      </c>
      <c r="F139" s="218"/>
      <c r="G139" s="218" t="str">
        <f t="shared" si="63"/>
        <v/>
      </c>
      <c r="H139" s="223">
        <f t="shared" si="64"/>
        <v>0</v>
      </c>
      <c r="I139" s="233" t="str">
        <f>IF($B139="","","諸経費共")</f>
        <v/>
      </c>
      <c r="J139" s="233"/>
      <c r="K139" s="98"/>
      <c r="L139" s="1" t="str">
        <f t="shared" si="58"/>
        <v/>
      </c>
      <c r="M139" s="105"/>
      <c r="N139" s="52" t="str">
        <f t="shared" si="65"/>
        <v/>
      </c>
      <c r="O139" s="21">
        <f t="shared" si="66"/>
        <v>0</v>
      </c>
      <c r="P139" s="22">
        <f t="shared" si="67"/>
        <v>0</v>
      </c>
      <c r="Q139" s="22">
        <f t="shared" si="68"/>
        <v>0</v>
      </c>
      <c r="R139" s="9">
        <f t="shared" si="69"/>
        <v>1</v>
      </c>
      <c r="S139" s="85">
        <f t="shared" si="70"/>
        <v>0</v>
      </c>
      <c r="T139" s="73">
        <f t="shared" si="71"/>
        <v>0</v>
      </c>
      <c r="U139" s="19">
        <f t="shared" si="72"/>
        <v>3</v>
      </c>
      <c r="V139" s="25">
        <f t="shared" si="73"/>
        <v>0</v>
      </c>
      <c r="W139" s="25">
        <f t="shared" si="74"/>
        <v>0</v>
      </c>
      <c r="X139" s="82">
        <f t="shared" si="59"/>
        <v>0</v>
      </c>
      <c r="Y139" s="12" t="str">
        <f t="shared" si="75"/>
        <v/>
      </c>
      <c r="Z139" s="9" t="str">
        <f>IF(OR($Y139="",$U$299="S"),"",IF(COUNT($Z$71:$Z138)&gt;=$U$297,"",1))</f>
        <v/>
      </c>
    </row>
    <row r="140" spans="1:33" ht="14.25" hidden="1" customHeight="1" thickBot="1" x14ac:dyDescent="0.25">
      <c r="A140" s="7">
        <v>9</v>
      </c>
      <c r="B140" s="199"/>
      <c r="C140" s="199" t="str">
        <f t="shared" si="60"/>
        <v/>
      </c>
      <c r="D140" s="195" t="str">
        <f t="shared" si="61"/>
        <v/>
      </c>
      <c r="E140" s="195" t="str">
        <f t="shared" si="62"/>
        <v/>
      </c>
      <c r="F140" s="218"/>
      <c r="G140" s="218" t="str">
        <f t="shared" si="63"/>
        <v/>
      </c>
      <c r="H140" s="223">
        <f t="shared" si="64"/>
        <v>0</v>
      </c>
      <c r="I140" s="233" t="str">
        <f>IF($B140="","","諸経費共")</f>
        <v/>
      </c>
      <c r="J140" s="233"/>
      <c r="K140" s="98"/>
      <c r="L140" s="1" t="str">
        <f t="shared" si="58"/>
        <v/>
      </c>
      <c r="M140" s="105"/>
      <c r="N140" s="52" t="str">
        <f t="shared" si="65"/>
        <v/>
      </c>
      <c r="O140" s="21">
        <f t="shared" si="66"/>
        <v>0</v>
      </c>
      <c r="P140" s="22">
        <f t="shared" si="67"/>
        <v>0</v>
      </c>
      <c r="Q140" s="22">
        <f t="shared" si="68"/>
        <v>0</v>
      </c>
      <c r="R140" s="9">
        <f t="shared" si="69"/>
        <v>1</v>
      </c>
      <c r="S140" s="85">
        <f t="shared" si="70"/>
        <v>0</v>
      </c>
      <c r="T140" s="73">
        <f t="shared" si="71"/>
        <v>0</v>
      </c>
      <c r="U140" s="19">
        <f t="shared" si="72"/>
        <v>3</v>
      </c>
      <c r="V140" s="25">
        <f t="shared" si="73"/>
        <v>0</v>
      </c>
      <c r="W140" s="25">
        <f t="shared" si="74"/>
        <v>0</v>
      </c>
      <c r="X140" s="82">
        <f t="shared" si="59"/>
        <v>0</v>
      </c>
      <c r="Y140" s="12" t="str">
        <f t="shared" si="75"/>
        <v/>
      </c>
      <c r="Z140" s="9" t="str">
        <f>IF(OR($Y140="",$U$299="S"),"",IF(COUNT($Z$71:$Z139)&gt;=$U$297,"",1))</f>
        <v/>
      </c>
    </row>
    <row r="141" spans="1:33" ht="14.25" hidden="1" customHeight="1" thickBot="1" x14ac:dyDescent="0.25">
      <c r="A141" s="7">
        <v>10</v>
      </c>
      <c r="B141" s="199"/>
      <c r="C141" s="199" t="str">
        <f t="shared" si="60"/>
        <v/>
      </c>
      <c r="D141" s="195" t="str">
        <f t="shared" si="61"/>
        <v/>
      </c>
      <c r="E141" s="195" t="str">
        <f t="shared" si="62"/>
        <v/>
      </c>
      <c r="F141" s="218"/>
      <c r="G141" s="218" t="str">
        <f>IF(F141="","",F141+H141)</f>
        <v/>
      </c>
      <c r="H141" s="223">
        <f t="shared" si="64"/>
        <v>0</v>
      </c>
      <c r="I141" s="233" t="str">
        <f>IF($B141="","","諸経費共")</f>
        <v/>
      </c>
      <c r="J141" s="233"/>
      <c r="K141" s="98"/>
      <c r="L141" s="1" t="str">
        <f>IF(B141="","",B141)</f>
        <v/>
      </c>
      <c r="M141" s="105"/>
      <c r="N141" s="52" t="str">
        <f t="shared" si="65"/>
        <v/>
      </c>
      <c r="O141" s="21">
        <f>+M141*$Q$66</f>
        <v>0</v>
      </c>
      <c r="P141" s="22">
        <f t="shared" si="67"/>
        <v>0</v>
      </c>
      <c r="Q141" s="22">
        <f t="shared" si="68"/>
        <v>0</v>
      </c>
      <c r="R141" s="9">
        <f t="shared" si="69"/>
        <v>1</v>
      </c>
      <c r="S141" s="85">
        <f>+M141</f>
        <v>0</v>
      </c>
      <c r="T141" s="73">
        <f t="shared" si="71"/>
        <v>0</v>
      </c>
      <c r="U141" s="19">
        <f t="shared" si="72"/>
        <v>3</v>
      </c>
      <c r="V141" s="25">
        <f t="shared" si="73"/>
        <v>0</v>
      </c>
      <c r="W141" s="25">
        <f t="shared" si="74"/>
        <v>0</v>
      </c>
      <c r="X141" s="82">
        <f t="shared" si="59"/>
        <v>0</v>
      </c>
      <c r="Y141" s="12" t="str">
        <f t="shared" si="75"/>
        <v/>
      </c>
      <c r="Z141" s="9" t="str">
        <f>IF(OR($Y141="",$U$299="S"),"",IF(COUNT($Z$71:$Z140)&gt;=$U$297,"",1))</f>
        <v/>
      </c>
    </row>
    <row r="142" spans="1:33" ht="14.25" hidden="1" customHeight="1" thickBot="1" x14ac:dyDescent="0.25">
      <c r="A142" s="7">
        <v>11</v>
      </c>
      <c r="B142" s="199"/>
      <c r="C142" s="199" t="str">
        <f t="shared" si="60"/>
        <v/>
      </c>
      <c r="D142" s="195" t="str">
        <f t="shared" si="61"/>
        <v/>
      </c>
      <c r="E142" s="195" t="str">
        <f t="shared" si="62"/>
        <v/>
      </c>
      <c r="F142" s="218"/>
      <c r="G142" s="218" t="str">
        <f>IF(F142="","",F142+H142)</f>
        <v/>
      </c>
      <c r="H142" s="223">
        <f t="shared" si="64"/>
        <v>0</v>
      </c>
      <c r="I142" s="233" t="str">
        <f>IF($B142="","","諸経費共")</f>
        <v/>
      </c>
      <c r="J142" s="233"/>
      <c r="K142" s="98"/>
      <c r="L142" s="1" t="str">
        <f>IF(B142="","",B142)</f>
        <v/>
      </c>
      <c r="M142" s="105"/>
      <c r="N142" s="52" t="str">
        <f t="shared" si="65"/>
        <v/>
      </c>
      <c r="O142" s="21">
        <f>+M142*$Q$66</f>
        <v>0</v>
      </c>
      <c r="P142" s="22">
        <f t="shared" si="67"/>
        <v>0</v>
      </c>
      <c r="Q142" s="22">
        <f t="shared" si="68"/>
        <v>0</v>
      </c>
      <c r="R142" s="9">
        <f t="shared" si="69"/>
        <v>1</v>
      </c>
      <c r="S142" s="85">
        <f>+M142</f>
        <v>0</v>
      </c>
      <c r="T142" s="73">
        <f t="shared" si="71"/>
        <v>0</v>
      </c>
      <c r="U142" s="19">
        <f t="shared" si="72"/>
        <v>3</v>
      </c>
      <c r="V142" s="25">
        <f t="shared" si="73"/>
        <v>0</v>
      </c>
      <c r="W142" s="25">
        <f t="shared" si="74"/>
        <v>0</v>
      </c>
      <c r="X142" s="82">
        <f t="shared" si="59"/>
        <v>0</v>
      </c>
      <c r="Y142" s="12" t="str">
        <f t="shared" si="75"/>
        <v/>
      </c>
      <c r="Z142" s="9" t="str">
        <f>IF(OR($Y142="",$U$299="S"),"",IF(COUNT($Z$71:$Z141)&gt;=$U$297,"",1))</f>
        <v/>
      </c>
    </row>
    <row r="143" spans="1:33" ht="14.25" hidden="1" customHeight="1" thickBot="1" x14ac:dyDescent="0.25">
      <c r="A143" s="7">
        <v>12</v>
      </c>
      <c r="B143" s="199"/>
      <c r="C143" s="199" t="str">
        <f t="shared" si="60"/>
        <v/>
      </c>
      <c r="D143" s="195" t="str">
        <f t="shared" si="61"/>
        <v/>
      </c>
      <c r="E143" s="195" t="str">
        <f t="shared" si="62"/>
        <v/>
      </c>
      <c r="F143" s="218"/>
      <c r="G143" s="218" t="str">
        <f>IF(F143="","",F143+H143)</f>
        <v/>
      </c>
      <c r="H143" s="223">
        <f t="shared" si="64"/>
        <v>0</v>
      </c>
      <c r="I143" s="234" t="str">
        <f>IF($B143="","","諸経費共")</f>
        <v/>
      </c>
      <c r="J143" s="235"/>
      <c r="K143" s="98"/>
      <c r="L143" s="1" t="str">
        <f>IF(B143="","",B143)</f>
        <v/>
      </c>
      <c r="M143" s="105"/>
      <c r="N143" s="52" t="str">
        <f t="shared" si="65"/>
        <v/>
      </c>
      <c r="O143" s="21">
        <f>+M143*$Q$66</f>
        <v>0</v>
      </c>
      <c r="P143" s="22">
        <f t="shared" si="67"/>
        <v>0</v>
      </c>
      <c r="Q143" s="22">
        <f t="shared" si="68"/>
        <v>0</v>
      </c>
      <c r="R143" s="9">
        <f t="shared" si="69"/>
        <v>1</v>
      </c>
      <c r="S143" s="85">
        <f>+M143</f>
        <v>0</v>
      </c>
      <c r="T143" s="73">
        <f t="shared" si="71"/>
        <v>0</v>
      </c>
      <c r="U143" s="19">
        <f t="shared" si="72"/>
        <v>3</v>
      </c>
      <c r="V143" s="25">
        <f t="shared" si="73"/>
        <v>0</v>
      </c>
      <c r="W143" s="25">
        <f t="shared" si="74"/>
        <v>0</v>
      </c>
      <c r="X143" s="82">
        <f t="shared" si="59"/>
        <v>0</v>
      </c>
      <c r="Y143" s="12" t="str">
        <f t="shared" si="75"/>
        <v/>
      </c>
      <c r="Z143" s="9" t="str">
        <f>IF(OR($Y143="",$U$299="S"),"",IF(COUNT($Z$71:$Z142)&gt;=$U$297,"",1))</f>
        <v/>
      </c>
    </row>
    <row r="144" spans="1:33" ht="14.25" hidden="1" customHeight="1" thickBot="1" x14ac:dyDescent="0.25">
      <c r="A144" s="7">
        <v>13</v>
      </c>
      <c r="B144" s="199"/>
      <c r="C144" s="199" t="str">
        <f t="shared" si="60"/>
        <v/>
      </c>
      <c r="D144" s="195" t="str">
        <f t="shared" si="61"/>
        <v/>
      </c>
      <c r="E144" s="195" t="str">
        <f t="shared" si="62"/>
        <v/>
      </c>
      <c r="F144" s="218"/>
      <c r="G144" s="218" t="str">
        <f>IF(F144="","",F144+H144)</f>
        <v/>
      </c>
      <c r="H144" s="223">
        <f t="shared" si="64"/>
        <v>0</v>
      </c>
      <c r="I144" s="233" t="str">
        <f>IF($B144="","","諸経費共")</f>
        <v/>
      </c>
      <c r="J144" s="233"/>
      <c r="K144" s="98"/>
      <c r="L144" s="1" t="str">
        <f>IF(B144="","",B144)</f>
        <v/>
      </c>
      <c r="M144" s="105"/>
      <c r="N144" s="52" t="str">
        <f t="shared" si="65"/>
        <v/>
      </c>
      <c r="O144" s="21">
        <f>+M144*$Q$66</f>
        <v>0</v>
      </c>
      <c r="P144" s="22">
        <f t="shared" si="67"/>
        <v>0</v>
      </c>
      <c r="Q144" s="22">
        <f t="shared" si="68"/>
        <v>0</v>
      </c>
      <c r="R144" s="9">
        <f t="shared" si="69"/>
        <v>1</v>
      </c>
      <c r="S144" s="85">
        <f>+M144</f>
        <v>0</v>
      </c>
      <c r="T144" s="73">
        <f t="shared" si="71"/>
        <v>0</v>
      </c>
      <c r="U144" s="19">
        <f t="shared" si="72"/>
        <v>3</v>
      </c>
      <c r="V144" s="25">
        <f t="shared" si="73"/>
        <v>0</v>
      </c>
      <c r="W144" s="25">
        <f t="shared" si="74"/>
        <v>0</v>
      </c>
      <c r="X144" s="82">
        <f t="shared" si="59"/>
        <v>0</v>
      </c>
      <c r="Y144" s="12" t="str">
        <f t="shared" si="75"/>
        <v/>
      </c>
      <c r="Z144" s="9" t="str">
        <f>IF(OR($Y144="",$U$299="S"),"",IF(COUNT($Z$71:$Z143)&gt;=$U$297,"",1))</f>
        <v/>
      </c>
    </row>
    <row r="145" spans="1:33" ht="14.25" hidden="1" customHeight="1" thickBot="1" x14ac:dyDescent="0.25">
      <c r="A145" s="7">
        <v>14</v>
      </c>
      <c r="B145" s="199"/>
      <c r="C145" s="199" t="str">
        <f t="shared" si="60"/>
        <v/>
      </c>
      <c r="D145" s="195" t="str">
        <f t="shared" si="61"/>
        <v/>
      </c>
      <c r="E145" s="195" t="str">
        <f t="shared" si="62"/>
        <v/>
      </c>
      <c r="F145" s="218"/>
      <c r="G145" s="218" t="str">
        <f t="shared" si="63"/>
        <v/>
      </c>
      <c r="H145" s="223">
        <f t="shared" si="64"/>
        <v>0</v>
      </c>
      <c r="I145" s="233" t="str">
        <f>IF($B145="","","諸経費共")</f>
        <v/>
      </c>
      <c r="J145" s="233"/>
      <c r="K145" s="98"/>
      <c r="L145" s="1" t="str">
        <f t="shared" si="58"/>
        <v/>
      </c>
      <c r="M145" s="105"/>
      <c r="N145" s="52" t="str">
        <f t="shared" si="65"/>
        <v/>
      </c>
      <c r="O145" s="21">
        <f t="shared" si="66"/>
        <v>0</v>
      </c>
      <c r="P145" s="22">
        <f t="shared" si="67"/>
        <v>0</v>
      </c>
      <c r="Q145" s="22">
        <f t="shared" si="68"/>
        <v>0</v>
      </c>
      <c r="R145" s="9">
        <f t="shared" si="69"/>
        <v>1</v>
      </c>
      <c r="S145" s="85">
        <f t="shared" si="70"/>
        <v>0</v>
      </c>
      <c r="T145" s="73">
        <f t="shared" si="71"/>
        <v>0</v>
      </c>
      <c r="U145" s="19">
        <f t="shared" si="72"/>
        <v>3</v>
      </c>
      <c r="V145" s="25">
        <f t="shared" si="73"/>
        <v>0</v>
      </c>
      <c r="W145" s="25">
        <f t="shared" si="74"/>
        <v>0</v>
      </c>
      <c r="X145" s="82">
        <f t="shared" si="59"/>
        <v>0</v>
      </c>
      <c r="Y145" s="12" t="str">
        <f t="shared" si="75"/>
        <v/>
      </c>
      <c r="Z145" s="9" t="str">
        <f>IF(OR($Y145="",$U$299="S"),"",IF(COUNT($Z$71:$Z144)&gt;=$U$297,"",1))</f>
        <v/>
      </c>
    </row>
    <row r="146" spans="1:33" ht="14.25" hidden="1" customHeight="1" thickBot="1" x14ac:dyDescent="0.25">
      <c r="A146" s="7">
        <v>15</v>
      </c>
      <c r="B146" s="199"/>
      <c r="C146" s="199" t="str">
        <f t="shared" si="60"/>
        <v/>
      </c>
      <c r="D146" s="195" t="str">
        <f t="shared" si="61"/>
        <v/>
      </c>
      <c r="E146" s="195" t="str">
        <f t="shared" si="62"/>
        <v/>
      </c>
      <c r="F146" s="218"/>
      <c r="G146" s="218" t="str">
        <f t="shared" si="63"/>
        <v/>
      </c>
      <c r="H146" s="223">
        <f t="shared" si="64"/>
        <v>0</v>
      </c>
      <c r="I146" s="233" t="str">
        <f>IF($B146="","","諸経費共")</f>
        <v/>
      </c>
      <c r="J146" s="233"/>
      <c r="K146" s="98"/>
      <c r="L146" s="1" t="str">
        <f t="shared" si="58"/>
        <v/>
      </c>
      <c r="M146" s="105"/>
      <c r="N146" s="52" t="str">
        <f t="shared" si="65"/>
        <v/>
      </c>
      <c r="O146" s="21">
        <f t="shared" si="66"/>
        <v>0</v>
      </c>
      <c r="P146" s="22">
        <f t="shared" si="67"/>
        <v>0</v>
      </c>
      <c r="Q146" s="22">
        <f t="shared" si="68"/>
        <v>0</v>
      </c>
      <c r="R146" s="9">
        <f t="shared" si="69"/>
        <v>1</v>
      </c>
      <c r="S146" s="85">
        <f t="shared" si="70"/>
        <v>0</v>
      </c>
      <c r="T146" s="73">
        <f t="shared" si="71"/>
        <v>0</v>
      </c>
      <c r="U146" s="19">
        <f t="shared" si="72"/>
        <v>3</v>
      </c>
      <c r="V146" s="25">
        <f t="shared" si="73"/>
        <v>0</v>
      </c>
      <c r="W146" s="25">
        <f t="shared" si="74"/>
        <v>0</v>
      </c>
      <c r="X146" s="82">
        <f t="shared" si="59"/>
        <v>0</v>
      </c>
      <c r="Y146" s="12" t="str">
        <f t="shared" si="75"/>
        <v/>
      </c>
      <c r="Z146" s="9" t="str">
        <f>IF(OR($Y146="",$U$299="S"),"",IF(COUNT($Z$71:$Z145)&gt;=$U$297,"",1))</f>
        <v/>
      </c>
    </row>
    <row r="147" spans="1:33" ht="14.25" customHeight="1" thickBot="1" x14ac:dyDescent="0.25">
      <c r="B147" s="206" t="s">
        <v>20</v>
      </c>
      <c r="C147" s="199"/>
      <c r="D147" s="195"/>
      <c r="E147" s="195"/>
      <c r="F147" s="218">
        <f>SUM(F132:F146)</f>
        <v>4444000</v>
      </c>
      <c r="G147" s="218">
        <f>+F147+H147</f>
        <v>4444000</v>
      </c>
      <c r="H147" s="222">
        <f>SUM(H132:H146)</f>
        <v>0</v>
      </c>
      <c r="I147" s="233"/>
      <c r="J147" s="233"/>
      <c r="K147" s="9"/>
      <c r="L147" s="4" t="s">
        <v>23</v>
      </c>
      <c r="M147" s="110">
        <f>SUM(M132:M146)</f>
        <v>0</v>
      </c>
      <c r="N147" s="9"/>
      <c r="O147" s="94">
        <f>SUM(O132:O146)</f>
        <v>0</v>
      </c>
      <c r="P147" s="95">
        <f>SUM(P132:P146)</f>
        <v>0</v>
      </c>
      <c r="Q147" s="95">
        <f>SUM(Q132:Q146)</f>
        <v>0</v>
      </c>
      <c r="S147" s="93">
        <f>SUM(S132:S146)</f>
        <v>0</v>
      </c>
      <c r="T147" s="74"/>
      <c r="U147" s="74"/>
      <c r="V147" s="96">
        <f>SUM(V132:V146)</f>
        <v>0</v>
      </c>
      <c r="W147" s="96">
        <f>SUM(W132:W146)</f>
        <v>0</v>
      </c>
      <c r="X147" s="97">
        <f>SUM(X132:X146)</f>
        <v>0</v>
      </c>
      <c r="Y147" s="12" t="str">
        <f t="shared" si="75"/>
        <v/>
      </c>
      <c r="Z147" s="9" t="str">
        <f>IF(OR($Y147="",$U$299="S"),"",IF(COUNT($Z$71:$Z146)&gt;=$U$297,"",1))</f>
        <v/>
      </c>
    </row>
    <row r="148" spans="1:33" ht="14.25" customHeight="1" thickBot="1" x14ac:dyDescent="0.25">
      <c r="B148" s="205" t="s">
        <v>21</v>
      </c>
      <c r="C148" s="199"/>
      <c r="D148" s="195">
        <v>1</v>
      </c>
      <c r="E148" s="195" t="str">
        <f>IF($D148="","","式")</f>
        <v>式</v>
      </c>
      <c r="F148" s="218">
        <f>+F147*0.1</f>
        <v>444400</v>
      </c>
      <c r="G148" s="218">
        <f>+F148+H148</f>
        <v>444400</v>
      </c>
      <c r="H148" s="222">
        <f>H147*0.1</f>
        <v>0</v>
      </c>
      <c r="I148" s="233"/>
      <c r="J148" s="233"/>
      <c r="K148" s="9"/>
      <c r="L148" s="3" t="s">
        <v>21</v>
      </c>
      <c r="M148" s="107">
        <f>+M147*0.1</f>
        <v>0</v>
      </c>
      <c r="N148" s="49"/>
      <c r="O148" s="63">
        <f>+O147*0.1</f>
        <v>0</v>
      </c>
      <c r="P148" s="64">
        <f>+P147*0.1</f>
        <v>0</v>
      </c>
      <c r="Q148" s="64">
        <f>+Q147*0.1</f>
        <v>0</v>
      </c>
      <c r="R148" s="49"/>
      <c r="S148" s="23">
        <f>+S147*0.1</f>
        <v>0</v>
      </c>
      <c r="T148" s="76"/>
      <c r="U148" s="76"/>
      <c r="V148" s="48">
        <f>+V147*0.1</f>
        <v>0</v>
      </c>
      <c r="W148" s="48">
        <f>+W147*0.1</f>
        <v>0</v>
      </c>
      <c r="X148" s="33">
        <f>+X147*0.1</f>
        <v>0</v>
      </c>
      <c r="Y148" s="12" t="str">
        <f t="shared" si="75"/>
        <v/>
      </c>
      <c r="Z148" s="9" t="str">
        <f>IF(OR($Y148="",$U$299="S"),"",IF(COUNT($Z$71:$Z147)&gt;=$U$297,"",1))</f>
        <v/>
      </c>
      <c r="AA148" s="49"/>
      <c r="AB148" s="49"/>
      <c r="AC148" s="49"/>
      <c r="AD148" s="49"/>
      <c r="AE148" s="49"/>
      <c r="AF148" s="49"/>
      <c r="AG148" s="49"/>
    </row>
    <row r="149" spans="1:33" ht="14.25" customHeight="1" thickBot="1" x14ac:dyDescent="0.25">
      <c r="B149" s="190" t="s">
        <v>22</v>
      </c>
      <c r="C149" s="199"/>
      <c r="D149" s="195"/>
      <c r="E149" s="195"/>
      <c r="F149" s="218">
        <f>SUM(F147:F148)</f>
        <v>4888400</v>
      </c>
      <c r="G149" s="218">
        <f>+F149+H149</f>
        <v>4888400</v>
      </c>
      <c r="H149" s="222">
        <f>SUM(H147:H148)</f>
        <v>0</v>
      </c>
      <c r="I149" s="233"/>
      <c r="J149" s="233"/>
      <c r="K149" s="9"/>
      <c r="L149" s="5" t="s">
        <v>22</v>
      </c>
      <c r="M149" s="107">
        <f>+M147+M148</f>
        <v>0</v>
      </c>
      <c r="N149" s="49"/>
      <c r="O149" s="23">
        <f>SUM(O147:O148)</f>
        <v>0</v>
      </c>
      <c r="P149" s="64">
        <f>+P147+P148</f>
        <v>0</v>
      </c>
      <c r="Q149" s="64">
        <f>+Q147+Q148</f>
        <v>0</v>
      </c>
      <c r="R149" s="49"/>
      <c r="S149" s="23">
        <f>+S147+S148</f>
        <v>0</v>
      </c>
      <c r="T149" s="76"/>
      <c r="U149" s="76"/>
      <c r="V149" s="48">
        <f>+V147+V148</f>
        <v>0</v>
      </c>
      <c r="W149" s="48">
        <f>+W147+W148</f>
        <v>0</v>
      </c>
      <c r="X149" s="33">
        <f>+X147+X148</f>
        <v>0</v>
      </c>
      <c r="Y149" s="12" t="str">
        <f t="shared" si="75"/>
        <v/>
      </c>
      <c r="Z149" s="9" t="str">
        <f>IF(OR($Y149="",$U$299="S"),"",IF(COUNT($Z$71:$Z148)&gt;=$U$297,"",1))</f>
        <v/>
      </c>
      <c r="AA149" s="49"/>
      <c r="AB149" s="49"/>
      <c r="AC149" s="49"/>
      <c r="AD149" s="49"/>
      <c r="AE149" s="49"/>
      <c r="AF149" s="49"/>
      <c r="AG149" s="49"/>
    </row>
    <row r="150" spans="1:33" ht="14.25" customHeight="1" thickBot="1" x14ac:dyDescent="0.25">
      <c r="B150" s="190"/>
      <c r="C150" s="199"/>
      <c r="D150" s="195"/>
      <c r="E150" s="195"/>
      <c r="F150" s="218"/>
      <c r="G150" s="218"/>
      <c r="H150" s="222"/>
      <c r="I150" s="231"/>
      <c r="J150" s="232"/>
      <c r="K150" s="9"/>
      <c r="L150" s="5"/>
      <c r="M150" s="107"/>
      <c r="N150" s="49"/>
      <c r="O150" s="48"/>
      <c r="P150" s="64"/>
      <c r="Q150" s="64"/>
      <c r="R150" s="49"/>
      <c r="S150" s="23"/>
      <c r="T150" s="76"/>
      <c r="U150" s="76"/>
      <c r="V150" s="48"/>
      <c r="W150" s="48"/>
      <c r="X150" s="33"/>
      <c r="Y150" s="12"/>
      <c r="AA150" s="49"/>
      <c r="AB150" s="49"/>
      <c r="AC150" s="49"/>
      <c r="AD150" s="49"/>
      <c r="AE150" s="49"/>
      <c r="AF150" s="49"/>
      <c r="AG150" s="49"/>
    </row>
    <row r="151" spans="1:33" ht="14.25" customHeight="1" thickBot="1" x14ac:dyDescent="0.25">
      <c r="B151" s="201" t="s">
        <v>142</v>
      </c>
      <c r="C151" s="199"/>
      <c r="D151" s="195"/>
      <c r="E151" s="195"/>
      <c r="F151" s="218"/>
      <c r="G151" s="218"/>
      <c r="H151" s="222"/>
      <c r="I151" s="233"/>
      <c r="J151" s="233"/>
      <c r="K151" s="9"/>
      <c r="L151" s="113" t="str">
        <f t="shared" ref="L151:L160" si="76">IF(B151="","",B151)</f>
        <v>設計監修の部（その３）</v>
      </c>
      <c r="M151" s="107"/>
      <c r="N151" s="9"/>
      <c r="O151" s="21"/>
      <c r="P151" s="22"/>
      <c r="Q151" s="22"/>
      <c r="S151" s="23"/>
      <c r="T151" s="74"/>
      <c r="U151" s="74"/>
      <c r="V151" s="25"/>
      <c r="W151" s="25"/>
      <c r="X151" s="82">
        <f t="shared" ref="X151:X166" si="77">IF(AND($U$299="S",$Y151=1),$W151+($W$297/$U$297),IF(AND($U$299="O",$Y151=1,$Z151=1),$W151+($W$297/$U$297),$W151))</f>
        <v>0</v>
      </c>
      <c r="Y151" s="12" t="str">
        <f t="shared" si="75"/>
        <v/>
      </c>
      <c r="Z151" s="9" t="str">
        <f>IF(OR($Y151="",$U$299="S"),"",IF(COUNT($Z$71:$Z149)&gt;=$U$297,"",1))</f>
        <v/>
      </c>
    </row>
    <row r="152" spans="1:33" ht="14.25" customHeight="1" thickBot="1" x14ac:dyDescent="0.25">
      <c r="A152" s="7">
        <v>5</v>
      </c>
      <c r="B152" s="202" t="s">
        <v>134</v>
      </c>
      <c r="C152" s="199" t="str">
        <f t="shared" ref="C152:C166" si="78">IF($B152="","","図面・仕様書どおり")</f>
        <v>図面・仕様書どおり</v>
      </c>
      <c r="D152" s="195" t="str">
        <f t="shared" ref="D152:D166" si="79">IF($B152="","","1")</f>
        <v>1</v>
      </c>
      <c r="E152" s="195" t="str">
        <f t="shared" ref="E152:E166" si="80">IF($D152="","","式")</f>
        <v>式</v>
      </c>
      <c r="F152" s="218">
        <v>3556000</v>
      </c>
      <c r="G152" s="218">
        <f t="shared" ref="G152:G160" si="81">IF(F152="","",F152+H152)</f>
        <v>3556000</v>
      </c>
      <c r="H152" s="224">
        <f t="shared" ref="H152:H166" si="82">+X152</f>
        <v>0</v>
      </c>
      <c r="I152" s="233" t="str">
        <f>IF($B152="","","諸経費共")</f>
        <v>諸経費共</v>
      </c>
      <c r="J152" s="233"/>
      <c r="K152" s="98"/>
      <c r="L152" s="1" t="str">
        <f t="shared" si="76"/>
        <v>1号線本町駅</v>
      </c>
      <c r="M152" s="105">
        <v>0</v>
      </c>
      <c r="N152" s="52">
        <f t="shared" ref="N152:N166" si="83">IF(M152="","",IF(M152&lt;0,0,1))</f>
        <v>1</v>
      </c>
      <c r="O152" s="21">
        <f t="shared" ref="O152:O160" si="84">+M152*$Q$66</f>
        <v>0</v>
      </c>
      <c r="P152" s="22">
        <f t="shared" ref="P152:P166" si="85">+ROUND(O152,-3)</f>
        <v>0</v>
      </c>
      <c r="Q152" s="22">
        <f t="shared" ref="Q152:Q166" si="86">+ROUND(P152,-4)</f>
        <v>0</v>
      </c>
      <c r="R152" s="9">
        <f t="shared" ref="R152:R166" si="87">IF(AND($Q$66&lt;1,$O152&gt;=0),0,IF(AND($Q$66&gt;=1,$O152&lt;0),0,1))</f>
        <v>1</v>
      </c>
      <c r="S152" s="85">
        <f t="shared" ref="S152:S160" si="88">+M152</f>
        <v>0</v>
      </c>
      <c r="T152" s="73">
        <f t="shared" ref="T152:T166" si="89">IF(R152=0,S152/$S$294,0)</f>
        <v>0</v>
      </c>
      <c r="U152" s="19">
        <f t="shared" ref="U152:U166" si="90">RANK(T152,$T$72:$T$289)</f>
        <v>3</v>
      </c>
      <c r="V152" s="25">
        <f t="shared" ref="V152:V166" si="91">INT($S152-$T$66*$T152)</f>
        <v>0</v>
      </c>
      <c r="W152" s="25">
        <f t="shared" ref="W152:W166" si="92">ROUND(V152,-3)</f>
        <v>0</v>
      </c>
      <c r="X152" s="82">
        <f t="shared" si="77"/>
        <v>0</v>
      </c>
      <c r="Y152" s="12" t="str">
        <f t="shared" ref="Y152:Y218" si="93">IF(U152="","",IF($U152&lt;=$U$297,1,""))</f>
        <v/>
      </c>
      <c r="Z152" s="9" t="str">
        <f>IF(OR($Y152="",$U$299="S"),"",IF(COUNT($Z$71:$Z151)&gt;=$U$297,"",1))</f>
        <v/>
      </c>
    </row>
    <row r="153" spans="1:33" ht="14.25" customHeight="1" thickBot="1" x14ac:dyDescent="0.25">
      <c r="A153" s="7">
        <v>2</v>
      </c>
      <c r="B153" s="202" t="s">
        <v>135</v>
      </c>
      <c r="C153" s="199" t="str">
        <f t="shared" si="78"/>
        <v>図面・仕様書どおり</v>
      </c>
      <c r="D153" s="195" t="str">
        <f t="shared" si="79"/>
        <v>1</v>
      </c>
      <c r="E153" s="195" t="str">
        <f t="shared" si="80"/>
        <v>式</v>
      </c>
      <c r="F153" s="218">
        <v>3556000</v>
      </c>
      <c r="G153" s="222">
        <f t="shared" si="81"/>
        <v>4556000</v>
      </c>
      <c r="H153" s="223">
        <f t="shared" si="82"/>
        <v>1000000</v>
      </c>
      <c r="I153" s="235" t="str">
        <f>IF($B153="","","諸経費共")</f>
        <v>諸経費共</v>
      </c>
      <c r="J153" s="233"/>
      <c r="K153" s="98"/>
      <c r="L153" s="1" t="str">
        <f t="shared" si="76"/>
        <v>4号線本町駅</v>
      </c>
      <c r="M153" s="105">
        <v>1000000</v>
      </c>
      <c r="N153" s="52">
        <f t="shared" si="83"/>
        <v>1</v>
      </c>
      <c r="O153" s="21">
        <f t="shared" si="84"/>
        <v>1000000</v>
      </c>
      <c r="P153" s="22">
        <f t="shared" si="85"/>
        <v>1000000</v>
      </c>
      <c r="Q153" s="22">
        <f t="shared" si="86"/>
        <v>1000000</v>
      </c>
      <c r="R153" s="9">
        <f t="shared" si="87"/>
        <v>1</v>
      </c>
      <c r="S153" s="85">
        <f t="shared" si="88"/>
        <v>1000000</v>
      </c>
      <c r="T153" s="73">
        <f t="shared" si="89"/>
        <v>0</v>
      </c>
      <c r="U153" s="19">
        <f t="shared" si="90"/>
        <v>3</v>
      </c>
      <c r="V153" s="25">
        <f t="shared" si="91"/>
        <v>1000000</v>
      </c>
      <c r="W153" s="25">
        <f t="shared" si="92"/>
        <v>1000000</v>
      </c>
      <c r="X153" s="82">
        <f t="shared" si="77"/>
        <v>1000000</v>
      </c>
      <c r="Y153" s="12" t="str">
        <f t="shared" si="93"/>
        <v/>
      </c>
      <c r="Z153" s="9" t="str">
        <f>IF(OR($Y153="",$U$299="S"),"",IF(COUNT($Z$71:$Z152)&gt;=$U$297,"",1))</f>
        <v/>
      </c>
    </row>
    <row r="154" spans="1:33" ht="14.25" customHeight="1" thickBot="1" x14ac:dyDescent="0.25">
      <c r="A154" s="7">
        <v>3</v>
      </c>
      <c r="B154" s="202" t="s">
        <v>143</v>
      </c>
      <c r="C154" s="207" t="str">
        <f t="shared" si="78"/>
        <v>図面・仕様書どおり</v>
      </c>
      <c r="D154" s="185" t="str">
        <f t="shared" si="79"/>
        <v>1</v>
      </c>
      <c r="E154" s="185" t="str">
        <f t="shared" si="80"/>
        <v>式</v>
      </c>
      <c r="F154" s="218">
        <v>0</v>
      </c>
      <c r="G154" s="215">
        <f t="shared" si="81"/>
        <v>3000000</v>
      </c>
      <c r="H154" s="225">
        <f t="shared" si="82"/>
        <v>3000000</v>
      </c>
      <c r="I154" s="233" t="str">
        <f>IF($B154="","","諸経費共")</f>
        <v>諸経費共</v>
      </c>
      <c r="J154" s="233"/>
      <c r="K154" s="98"/>
      <c r="L154" s="1" t="str">
        <f t="shared" si="76"/>
        <v>3号線本町駅</v>
      </c>
      <c r="M154" s="105">
        <v>3000000</v>
      </c>
      <c r="N154" s="52">
        <f t="shared" si="83"/>
        <v>1</v>
      </c>
      <c r="O154" s="21">
        <f t="shared" si="84"/>
        <v>3000000</v>
      </c>
      <c r="P154" s="22">
        <f t="shared" si="85"/>
        <v>3000000</v>
      </c>
      <c r="Q154" s="22">
        <f t="shared" si="86"/>
        <v>3000000</v>
      </c>
      <c r="R154" s="9">
        <f t="shared" si="87"/>
        <v>1</v>
      </c>
      <c r="S154" s="85">
        <f t="shared" si="88"/>
        <v>3000000</v>
      </c>
      <c r="T154" s="73">
        <f t="shared" si="89"/>
        <v>0</v>
      </c>
      <c r="U154" s="19">
        <f t="shared" si="90"/>
        <v>3</v>
      </c>
      <c r="V154" s="25">
        <f t="shared" si="91"/>
        <v>3000000</v>
      </c>
      <c r="W154" s="25">
        <f t="shared" si="92"/>
        <v>3000000</v>
      </c>
      <c r="X154" s="82">
        <f t="shared" si="77"/>
        <v>3000000</v>
      </c>
      <c r="Y154" s="12" t="str">
        <f t="shared" si="93"/>
        <v/>
      </c>
      <c r="Z154" s="9" t="str">
        <f>IF(OR($Y154="",$U$299="S"),"",IF(COUNT($Z$71:$Z153)&gt;=$U$297,"",1))</f>
        <v/>
      </c>
    </row>
    <row r="155" spans="1:33" ht="14.25" hidden="1" customHeight="1" thickBot="1" x14ac:dyDescent="0.25">
      <c r="A155" s="7">
        <v>4</v>
      </c>
      <c r="B155" s="208"/>
      <c r="C155" s="207" t="str">
        <f t="shared" si="78"/>
        <v/>
      </c>
      <c r="D155" s="185" t="str">
        <f t="shared" si="79"/>
        <v/>
      </c>
      <c r="E155" s="185" t="str">
        <f t="shared" si="80"/>
        <v/>
      </c>
      <c r="F155" s="218"/>
      <c r="G155" s="215" t="str">
        <f t="shared" si="81"/>
        <v/>
      </c>
      <c r="H155" s="223">
        <f t="shared" si="82"/>
        <v>0</v>
      </c>
      <c r="I155" s="233" t="str">
        <f>IF($B155="","","諸経費共")</f>
        <v/>
      </c>
      <c r="J155" s="233"/>
      <c r="K155" s="98"/>
      <c r="L155" s="1" t="str">
        <f t="shared" si="76"/>
        <v/>
      </c>
      <c r="M155" s="105"/>
      <c r="N155" s="52" t="str">
        <f t="shared" si="83"/>
        <v/>
      </c>
      <c r="O155" s="21">
        <f t="shared" si="84"/>
        <v>0</v>
      </c>
      <c r="P155" s="22">
        <f t="shared" si="85"/>
        <v>0</v>
      </c>
      <c r="Q155" s="22">
        <f t="shared" si="86"/>
        <v>0</v>
      </c>
      <c r="R155" s="9">
        <f t="shared" si="87"/>
        <v>1</v>
      </c>
      <c r="S155" s="85">
        <f t="shared" si="88"/>
        <v>0</v>
      </c>
      <c r="T155" s="73">
        <f t="shared" si="89"/>
        <v>0</v>
      </c>
      <c r="U155" s="19">
        <f t="shared" si="90"/>
        <v>3</v>
      </c>
      <c r="V155" s="25">
        <f t="shared" si="91"/>
        <v>0</v>
      </c>
      <c r="W155" s="25">
        <f t="shared" si="92"/>
        <v>0</v>
      </c>
      <c r="X155" s="82">
        <f t="shared" si="77"/>
        <v>0</v>
      </c>
      <c r="Y155" s="12" t="str">
        <f t="shared" si="93"/>
        <v/>
      </c>
      <c r="Z155" s="9" t="str">
        <f>IF(OR($Y155="",$U$299="S"),"",IF(COUNT($Z$71:$Z154)&gt;=$U$297,"",1))</f>
        <v/>
      </c>
    </row>
    <row r="156" spans="1:33" ht="14.25" hidden="1" customHeight="1" thickBot="1" x14ac:dyDescent="0.25">
      <c r="A156" s="7">
        <v>5</v>
      </c>
      <c r="B156" s="208"/>
      <c r="C156" s="207" t="str">
        <f t="shared" si="78"/>
        <v/>
      </c>
      <c r="D156" s="185" t="str">
        <f t="shared" si="79"/>
        <v/>
      </c>
      <c r="E156" s="185" t="str">
        <f t="shared" si="80"/>
        <v/>
      </c>
      <c r="F156" s="218"/>
      <c r="G156" s="215" t="str">
        <f t="shared" si="81"/>
        <v/>
      </c>
      <c r="H156" s="223">
        <f t="shared" si="82"/>
        <v>0</v>
      </c>
      <c r="I156" s="233" t="str">
        <f>IF($B156="","","諸経費共")</f>
        <v/>
      </c>
      <c r="J156" s="233"/>
      <c r="K156" s="98"/>
      <c r="L156" s="1" t="str">
        <f t="shared" si="76"/>
        <v/>
      </c>
      <c r="M156" s="105"/>
      <c r="N156" s="52" t="str">
        <f t="shared" si="83"/>
        <v/>
      </c>
      <c r="O156" s="21">
        <f t="shared" si="84"/>
        <v>0</v>
      </c>
      <c r="P156" s="22">
        <f t="shared" si="85"/>
        <v>0</v>
      </c>
      <c r="Q156" s="22">
        <f t="shared" si="86"/>
        <v>0</v>
      </c>
      <c r="R156" s="9">
        <f t="shared" si="87"/>
        <v>1</v>
      </c>
      <c r="S156" s="85">
        <f t="shared" si="88"/>
        <v>0</v>
      </c>
      <c r="T156" s="73">
        <f t="shared" si="89"/>
        <v>0</v>
      </c>
      <c r="U156" s="19">
        <f t="shared" si="90"/>
        <v>3</v>
      </c>
      <c r="V156" s="25">
        <f t="shared" si="91"/>
        <v>0</v>
      </c>
      <c r="W156" s="25">
        <f t="shared" si="92"/>
        <v>0</v>
      </c>
      <c r="X156" s="82">
        <f t="shared" si="77"/>
        <v>0</v>
      </c>
      <c r="Y156" s="12" t="str">
        <f t="shared" si="93"/>
        <v/>
      </c>
      <c r="Z156" s="9" t="str">
        <f>IF(OR($Y156="",$U$299="S"),"",IF(COUNT($Z$71:$Z155)&gt;=$U$297,"",1))</f>
        <v/>
      </c>
    </row>
    <row r="157" spans="1:33" ht="14.25" hidden="1" customHeight="1" thickBot="1" x14ac:dyDescent="0.25">
      <c r="A157" s="7">
        <v>6</v>
      </c>
      <c r="B157" s="208"/>
      <c r="C157" s="207" t="str">
        <f t="shared" si="78"/>
        <v/>
      </c>
      <c r="D157" s="185" t="str">
        <f t="shared" si="79"/>
        <v/>
      </c>
      <c r="E157" s="185" t="str">
        <f t="shared" si="80"/>
        <v/>
      </c>
      <c r="F157" s="218"/>
      <c r="G157" s="215" t="str">
        <f t="shared" si="81"/>
        <v/>
      </c>
      <c r="H157" s="223">
        <f t="shared" si="82"/>
        <v>0</v>
      </c>
      <c r="I157" s="233" t="str">
        <f>IF($B157="","","諸経費共")</f>
        <v/>
      </c>
      <c r="J157" s="233"/>
      <c r="K157" s="98"/>
      <c r="L157" s="1" t="str">
        <f t="shared" si="76"/>
        <v/>
      </c>
      <c r="M157" s="105"/>
      <c r="N157" s="52" t="str">
        <f t="shared" si="83"/>
        <v/>
      </c>
      <c r="O157" s="21">
        <f t="shared" si="84"/>
        <v>0</v>
      </c>
      <c r="P157" s="22">
        <f t="shared" si="85"/>
        <v>0</v>
      </c>
      <c r="Q157" s="22">
        <f t="shared" si="86"/>
        <v>0</v>
      </c>
      <c r="R157" s="9">
        <f t="shared" si="87"/>
        <v>1</v>
      </c>
      <c r="S157" s="85">
        <f t="shared" si="88"/>
        <v>0</v>
      </c>
      <c r="T157" s="73">
        <f t="shared" si="89"/>
        <v>0</v>
      </c>
      <c r="U157" s="19">
        <f t="shared" si="90"/>
        <v>3</v>
      </c>
      <c r="V157" s="25">
        <f t="shared" si="91"/>
        <v>0</v>
      </c>
      <c r="W157" s="25">
        <f t="shared" si="92"/>
        <v>0</v>
      </c>
      <c r="X157" s="82">
        <f t="shared" si="77"/>
        <v>0</v>
      </c>
      <c r="Y157" s="12" t="str">
        <f t="shared" si="93"/>
        <v/>
      </c>
      <c r="Z157" s="9" t="str">
        <f>IF(OR($Y157="",$U$299="S"),"",IF(COUNT($Z$71:$Z156)&gt;=$U$297,"",1))</f>
        <v/>
      </c>
    </row>
    <row r="158" spans="1:33" ht="14.25" hidden="1" customHeight="1" thickBot="1" x14ac:dyDescent="0.25">
      <c r="A158" s="7">
        <v>7</v>
      </c>
      <c r="B158" s="208"/>
      <c r="C158" s="207" t="str">
        <f t="shared" si="78"/>
        <v/>
      </c>
      <c r="D158" s="185" t="str">
        <f t="shared" si="79"/>
        <v/>
      </c>
      <c r="E158" s="185" t="str">
        <f t="shared" si="80"/>
        <v/>
      </c>
      <c r="F158" s="218"/>
      <c r="G158" s="215" t="str">
        <f t="shared" si="81"/>
        <v/>
      </c>
      <c r="H158" s="223">
        <f t="shared" si="82"/>
        <v>0</v>
      </c>
      <c r="I158" s="233" t="str">
        <f>IF($B158="","","諸経費共")</f>
        <v/>
      </c>
      <c r="J158" s="233"/>
      <c r="K158" s="98"/>
      <c r="L158" s="1" t="str">
        <f t="shared" si="76"/>
        <v/>
      </c>
      <c r="M158" s="105"/>
      <c r="N158" s="52" t="str">
        <f t="shared" si="83"/>
        <v/>
      </c>
      <c r="O158" s="21">
        <f t="shared" si="84"/>
        <v>0</v>
      </c>
      <c r="P158" s="22">
        <f t="shared" si="85"/>
        <v>0</v>
      </c>
      <c r="Q158" s="22">
        <f t="shared" si="86"/>
        <v>0</v>
      </c>
      <c r="R158" s="9">
        <f t="shared" si="87"/>
        <v>1</v>
      </c>
      <c r="S158" s="85">
        <f t="shared" si="88"/>
        <v>0</v>
      </c>
      <c r="T158" s="73">
        <f t="shared" si="89"/>
        <v>0</v>
      </c>
      <c r="U158" s="19">
        <f t="shared" si="90"/>
        <v>3</v>
      </c>
      <c r="V158" s="25">
        <f t="shared" si="91"/>
        <v>0</v>
      </c>
      <c r="W158" s="25">
        <f t="shared" si="92"/>
        <v>0</v>
      </c>
      <c r="X158" s="82">
        <f t="shared" si="77"/>
        <v>0</v>
      </c>
      <c r="Y158" s="12" t="str">
        <f t="shared" si="93"/>
        <v/>
      </c>
      <c r="Z158" s="9" t="str">
        <f>IF(OR($Y158="",$U$299="S"),"",IF(COUNT($Z$71:$Z157)&gt;=$U$297,"",1))</f>
        <v/>
      </c>
    </row>
    <row r="159" spans="1:33" ht="14.25" hidden="1" customHeight="1" thickBot="1" x14ac:dyDescent="0.25">
      <c r="A159" s="7">
        <v>8</v>
      </c>
      <c r="B159" s="208"/>
      <c r="C159" s="207" t="str">
        <f t="shared" si="78"/>
        <v/>
      </c>
      <c r="D159" s="185" t="str">
        <f t="shared" si="79"/>
        <v/>
      </c>
      <c r="E159" s="185" t="str">
        <f t="shared" si="80"/>
        <v/>
      </c>
      <c r="F159" s="218"/>
      <c r="G159" s="215" t="str">
        <f t="shared" si="81"/>
        <v/>
      </c>
      <c r="H159" s="223">
        <f t="shared" si="82"/>
        <v>0</v>
      </c>
      <c r="I159" s="233" t="str">
        <f>IF($B159="","","諸経費共")</f>
        <v/>
      </c>
      <c r="J159" s="233"/>
      <c r="K159" s="98"/>
      <c r="L159" s="1" t="str">
        <f t="shared" si="76"/>
        <v/>
      </c>
      <c r="M159" s="105"/>
      <c r="N159" s="52" t="str">
        <f t="shared" si="83"/>
        <v/>
      </c>
      <c r="O159" s="21">
        <f t="shared" si="84"/>
        <v>0</v>
      </c>
      <c r="P159" s="22">
        <f t="shared" si="85"/>
        <v>0</v>
      </c>
      <c r="Q159" s="22">
        <f t="shared" si="86"/>
        <v>0</v>
      </c>
      <c r="R159" s="9">
        <f t="shared" si="87"/>
        <v>1</v>
      </c>
      <c r="S159" s="85">
        <f t="shared" si="88"/>
        <v>0</v>
      </c>
      <c r="T159" s="73">
        <f t="shared" si="89"/>
        <v>0</v>
      </c>
      <c r="U159" s="19">
        <f t="shared" si="90"/>
        <v>3</v>
      </c>
      <c r="V159" s="25">
        <f t="shared" si="91"/>
        <v>0</v>
      </c>
      <c r="W159" s="25">
        <f t="shared" si="92"/>
        <v>0</v>
      </c>
      <c r="X159" s="82">
        <f t="shared" si="77"/>
        <v>0</v>
      </c>
      <c r="Y159" s="12" t="str">
        <f t="shared" si="93"/>
        <v/>
      </c>
      <c r="Z159" s="9" t="str">
        <f>IF(OR($Y159="",$U$299="S"),"",IF(COUNT($Z$71:$Z158)&gt;=$U$297,"",1))</f>
        <v/>
      </c>
    </row>
    <row r="160" spans="1:33" ht="14.25" hidden="1" customHeight="1" thickBot="1" x14ac:dyDescent="0.25">
      <c r="A160" s="7">
        <v>9</v>
      </c>
      <c r="B160" s="208"/>
      <c r="C160" s="207" t="str">
        <f t="shared" si="78"/>
        <v/>
      </c>
      <c r="D160" s="185" t="str">
        <f t="shared" si="79"/>
        <v/>
      </c>
      <c r="E160" s="185" t="str">
        <f t="shared" si="80"/>
        <v/>
      </c>
      <c r="F160" s="218"/>
      <c r="G160" s="215" t="str">
        <f t="shared" si="81"/>
        <v/>
      </c>
      <c r="H160" s="223">
        <f t="shared" si="82"/>
        <v>0</v>
      </c>
      <c r="I160" s="233" t="str">
        <f>IF($B160="","","諸経費共")</f>
        <v/>
      </c>
      <c r="J160" s="233"/>
      <c r="K160" s="98"/>
      <c r="L160" s="1" t="str">
        <f t="shared" si="76"/>
        <v/>
      </c>
      <c r="M160" s="105"/>
      <c r="N160" s="52" t="str">
        <f t="shared" si="83"/>
        <v/>
      </c>
      <c r="O160" s="21">
        <f t="shared" si="84"/>
        <v>0</v>
      </c>
      <c r="P160" s="22">
        <f t="shared" si="85"/>
        <v>0</v>
      </c>
      <c r="Q160" s="22">
        <f t="shared" si="86"/>
        <v>0</v>
      </c>
      <c r="R160" s="9">
        <f t="shared" si="87"/>
        <v>1</v>
      </c>
      <c r="S160" s="85">
        <f t="shared" si="88"/>
        <v>0</v>
      </c>
      <c r="T160" s="73">
        <f t="shared" si="89"/>
        <v>0</v>
      </c>
      <c r="U160" s="19">
        <f t="shared" si="90"/>
        <v>3</v>
      </c>
      <c r="V160" s="25">
        <f t="shared" si="91"/>
        <v>0</v>
      </c>
      <c r="W160" s="25">
        <f t="shared" si="92"/>
        <v>0</v>
      </c>
      <c r="X160" s="82">
        <f t="shared" si="77"/>
        <v>0</v>
      </c>
      <c r="Y160" s="12" t="str">
        <f t="shared" si="93"/>
        <v/>
      </c>
      <c r="Z160" s="9" t="str">
        <f>IF(OR($Y160="",$U$299="S"),"",IF(COUNT($Z$71:$Z159)&gt;=$U$297,"",1))</f>
        <v/>
      </c>
    </row>
    <row r="161" spans="1:33" ht="14.25" hidden="1" customHeight="1" thickBot="1" x14ac:dyDescent="0.25">
      <c r="A161" s="7">
        <v>10</v>
      </c>
      <c r="B161" s="208"/>
      <c r="C161" s="207" t="str">
        <f t="shared" si="78"/>
        <v/>
      </c>
      <c r="D161" s="185" t="str">
        <f t="shared" si="79"/>
        <v/>
      </c>
      <c r="E161" s="185" t="str">
        <f t="shared" si="80"/>
        <v/>
      </c>
      <c r="F161" s="218"/>
      <c r="G161" s="215" t="str">
        <f t="shared" ref="G161:G166" si="94">IF(F161="","",F161+H161)</f>
        <v/>
      </c>
      <c r="H161" s="223">
        <f t="shared" si="82"/>
        <v>0</v>
      </c>
      <c r="I161" s="233" t="str">
        <f>IF($B161="","","諸経費共")</f>
        <v/>
      </c>
      <c r="J161" s="233"/>
      <c r="K161" s="98"/>
      <c r="L161" s="1" t="str">
        <f t="shared" ref="L161:L166" si="95">IF(B161="","",B161)</f>
        <v/>
      </c>
      <c r="M161" s="105"/>
      <c r="N161" s="52" t="str">
        <f t="shared" si="83"/>
        <v/>
      </c>
      <c r="O161" s="21">
        <f t="shared" ref="O161:O166" si="96">+M161*$Q$66</f>
        <v>0</v>
      </c>
      <c r="P161" s="22">
        <f t="shared" si="85"/>
        <v>0</v>
      </c>
      <c r="Q161" s="22">
        <f t="shared" si="86"/>
        <v>0</v>
      </c>
      <c r="R161" s="9">
        <f t="shared" si="87"/>
        <v>1</v>
      </c>
      <c r="S161" s="85">
        <f t="shared" ref="S161:S166" si="97">+M161</f>
        <v>0</v>
      </c>
      <c r="T161" s="73">
        <f t="shared" si="89"/>
        <v>0</v>
      </c>
      <c r="U161" s="19">
        <f t="shared" si="90"/>
        <v>3</v>
      </c>
      <c r="V161" s="25">
        <f t="shared" si="91"/>
        <v>0</v>
      </c>
      <c r="W161" s="25">
        <f t="shared" si="92"/>
        <v>0</v>
      </c>
      <c r="X161" s="82">
        <f t="shared" si="77"/>
        <v>0</v>
      </c>
      <c r="Y161" s="12" t="str">
        <f t="shared" si="93"/>
        <v/>
      </c>
      <c r="Z161" s="9" t="str">
        <f>IF(OR($Y161="",$U$299="S"),"",IF(COUNT($Z$71:$Z160)&gt;=$U$297,"",1))</f>
        <v/>
      </c>
    </row>
    <row r="162" spans="1:33" ht="14.25" hidden="1" customHeight="1" thickBot="1" x14ac:dyDescent="0.25">
      <c r="A162" s="7">
        <v>11</v>
      </c>
      <c r="B162" s="208"/>
      <c r="C162" s="207" t="str">
        <f t="shared" si="78"/>
        <v/>
      </c>
      <c r="D162" s="185" t="str">
        <f t="shared" si="79"/>
        <v/>
      </c>
      <c r="E162" s="185" t="str">
        <f t="shared" si="80"/>
        <v/>
      </c>
      <c r="F162" s="218"/>
      <c r="G162" s="215" t="str">
        <f t="shared" si="94"/>
        <v/>
      </c>
      <c r="H162" s="223">
        <f t="shared" si="82"/>
        <v>0</v>
      </c>
      <c r="I162" s="233" t="str">
        <f>IF($B162="","","諸経費共")</f>
        <v/>
      </c>
      <c r="J162" s="233"/>
      <c r="K162" s="98"/>
      <c r="L162" s="1" t="str">
        <f t="shared" si="95"/>
        <v/>
      </c>
      <c r="M162" s="105"/>
      <c r="N162" s="52" t="str">
        <f t="shared" si="83"/>
        <v/>
      </c>
      <c r="O162" s="21">
        <f t="shared" si="96"/>
        <v>0</v>
      </c>
      <c r="P162" s="22">
        <f t="shared" si="85"/>
        <v>0</v>
      </c>
      <c r="Q162" s="22">
        <f t="shared" si="86"/>
        <v>0</v>
      </c>
      <c r="R162" s="9">
        <f t="shared" si="87"/>
        <v>1</v>
      </c>
      <c r="S162" s="85">
        <f t="shared" si="97"/>
        <v>0</v>
      </c>
      <c r="T162" s="73">
        <f t="shared" si="89"/>
        <v>0</v>
      </c>
      <c r="U162" s="19">
        <f t="shared" si="90"/>
        <v>3</v>
      </c>
      <c r="V162" s="25">
        <f t="shared" si="91"/>
        <v>0</v>
      </c>
      <c r="W162" s="25">
        <f t="shared" si="92"/>
        <v>0</v>
      </c>
      <c r="X162" s="82">
        <f t="shared" si="77"/>
        <v>0</v>
      </c>
      <c r="Y162" s="12" t="str">
        <f t="shared" si="93"/>
        <v/>
      </c>
      <c r="Z162" s="9" t="str">
        <f>IF(OR($Y162="",$U$299="S"),"",IF(COUNT($Z$71:$Z161)&gt;=$U$297,"",1))</f>
        <v/>
      </c>
    </row>
    <row r="163" spans="1:33" ht="14.25" hidden="1" customHeight="1" thickBot="1" x14ac:dyDescent="0.25">
      <c r="A163" s="7">
        <v>12</v>
      </c>
      <c r="B163" s="208"/>
      <c r="C163" s="207" t="str">
        <f t="shared" si="78"/>
        <v/>
      </c>
      <c r="D163" s="185" t="str">
        <f t="shared" si="79"/>
        <v/>
      </c>
      <c r="E163" s="185" t="str">
        <f t="shared" si="80"/>
        <v/>
      </c>
      <c r="F163" s="218"/>
      <c r="G163" s="215" t="str">
        <f t="shared" si="94"/>
        <v/>
      </c>
      <c r="H163" s="223">
        <f t="shared" si="82"/>
        <v>0</v>
      </c>
      <c r="I163" s="234" t="str">
        <f>IF($B163="","","諸経費共")</f>
        <v/>
      </c>
      <c r="J163" s="235"/>
      <c r="K163" s="98"/>
      <c r="L163" s="1" t="str">
        <f t="shared" si="95"/>
        <v/>
      </c>
      <c r="M163" s="105"/>
      <c r="N163" s="52" t="str">
        <f t="shared" si="83"/>
        <v/>
      </c>
      <c r="O163" s="21">
        <f t="shared" si="96"/>
        <v>0</v>
      </c>
      <c r="P163" s="22">
        <f t="shared" si="85"/>
        <v>0</v>
      </c>
      <c r="Q163" s="22">
        <f t="shared" si="86"/>
        <v>0</v>
      </c>
      <c r="R163" s="9">
        <f t="shared" si="87"/>
        <v>1</v>
      </c>
      <c r="S163" s="85">
        <f t="shared" si="97"/>
        <v>0</v>
      </c>
      <c r="T163" s="73">
        <f t="shared" si="89"/>
        <v>0</v>
      </c>
      <c r="U163" s="19">
        <f t="shared" si="90"/>
        <v>3</v>
      </c>
      <c r="V163" s="25">
        <f t="shared" si="91"/>
        <v>0</v>
      </c>
      <c r="W163" s="25">
        <f t="shared" si="92"/>
        <v>0</v>
      </c>
      <c r="X163" s="82">
        <f t="shared" si="77"/>
        <v>0</v>
      </c>
      <c r="Y163" s="12" t="str">
        <f t="shared" si="93"/>
        <v/>
      </c>
      <c r="Z163" s="9" t="str">
        <f>IF(OR($Y163="",$U$299="S"),"",IF(COUNT($Z$71:$Z162)&gt;=$U$297,"",1))</f>
        <v/>
      </c>
    </row>
    <row r="164" spans="1:33" ht="14.25" hidden="1" customHeight="1" thickBot="1" x14ac:dyDescent="0.25">
      <c r="A164" s="7">
        <v>13</v>
      </c>
      <c r="B164" s="208"/>
      <c r="C164" s="207" t="str">
        <f t="shared" si="78"/>
        <v/>
      </c>
      <c r="D164" s="185" t="str">
        <f t="shared" si="79"/>
        <v/>
      </c>
      <c r="E164" s="185" t="str">
        <f t="shared" si="80"/>
        <v/>
      </c>
      <c r="F164" s="218"/>
      <c r="G164" s="215" t="str">
        <f t="shared" si="94"/>
        <v/>
      </c>
      <c r="H164" s="223">
        <f t="shared" si="82"/>
        <v>0</v>
      </c>
      <c r="I164" s="233" t="str">
        <f>IF($B164="","","諸経費共")</f>
        <v/>
      </c>
      <c r="J164" s="233"/>
      <c r="K164" s="98"/>
      <c r="L164" s="1" t="str">
        <f t="shared" si="95"/>
        <v/>
      </c>
      <c r="M164" s="105"/>
      <c r="N164" s="52" t="str">
        <f t="shared" si="83"/>
        <v/>
      </c>
      <c r="O164" s="21">
        <f t="shared" si="96"/>
        <v>0</v>
      </c>
      <c r="P164" s="22">
        <f t="shared" si="85"/>
        <v>0</v>
      </c>
      <c r="Q164" s="22">
        <f t="shared" si="86"/>
        <v>0</v>
      </c>
      <c r="R164" s="9">
        <f t="shared" si="87"/>
        <v>1</v>
      </c>
      <c r="S164" s="85">
        <f t="shared" si="97"/>
        <v>0</v>
      </c>
      <c r="T164" s="73">
        <f t="shared" si="89"/>
        <v>0</v>
      </c>
      <c r="U164" s="19">
        <f t="shared" si="90"/>
        <v>3</v>
      </c>
      <c r="V164" s="25">
        <f t="shared" si="91"/>
        <v>0</v>
      </c>
      <c r="W164" s="25">
        <f t="shared" si="92"/>
        <v>0</v>
      </c>
      <c r="X164" s="82">
        <f t="shared" si="77"/>
        <v>0</v>
      </c>
      <c r="Y164" s="12" t="str">
        <f t="shared" si="93"/>
        <v/>
      </c>
      <c r="Z164" s="9" t="str">
        <f>IF(OR($Y164="",$U$299="S"),"",IF(COUNT($Z$71:$Z163)&gt;=$U$297,"",1))</f>
        <v/>
      </c>
    </row>
    <row r="165" spans="1:33" ht="14.25" hidden="1" customHeight="1" thickBot="1" x14ac:dyDescent="0.25">
      <c r="A165" s="7">
        <v>14</v>
      </c>
      <c r="B165" s="208"/>
      <c r="C165" s="207" t="str">
        <f t="shared" si="78"/>
        <v/>
      </c>
      <c r="D165" s="185" t="str">
        <f t="shared" si="79"/>
        <v/>
      </c>
      <c r="E165" s="185" t="str">
        <f t="shared" si="80"/>
        <v/>
      </c>
      <c r="F165" s="218"/>
      <c r="G165" s="215" t="str">
        <f t="shared" si="94"/>
        <v/>
      </c>
      <c r="H165" s="223">
        <f t="shared" si="82"/>
        <v>0</v>
      </c>
      <c r="I165" s="233" t="str">
        <f>IF($B165="","","諸経費共")</f>
        <v/>
      </c>
      <c r="J165" s="233"/>
      <c r="K165" s="98"/>
      <c r="L165" s="1" t="str">
        <f t="shared" si="95"/>
        <v/>
      </c>
      <c r="M165" s="105"/>
      <c r="N165" s="52" t="str">
        <f t="shared" si="83"/>
        <v/>
      </c>
      <c r="O165" s="21">
        <f t="shared" si="96"/>
        <v>0</v>
      </c>
      <c r="P165" s="22">
        <f t="shared" si="85"/>
        <v>0</v>
      </c>
      <c r="Q165" s="22">
        <f t="shared" si="86"/>
        <v>0</v>
      </c>
      <c r="R165" s="9">
        <f t="shared" si="87"/>
        <v>1</v>
      </c>
      <c r="S165" s="85">
        <f t="shared" si="97"/>
        <v>0</v>
      </c>
      <c r="T165" s="73">
        <f t="shared" si="89"/>
        <v>0</v>
      </c>
      <c r="U165" s="19">
        <f t="shared" si="90"/>
        <v>3</v>
      </c>
      <c r="V165" s="25">
        <f t="shared" si="91"/>
        <v>0</v>
      </c>
      <c r="W165" s="25">
        <f t="shared" si="92"/>
        <v>0</v>
      </c>
      <c r="X165" s="82">
        <f t="shared" si="77"/>
        <v>0</v>
      </c>
      <c r="Y165" s="12" t="str">
        <f t="shared" si="93"/>
        <v/>
      </c>
      <c r="Z165" s="9" t="str">
        <f>IF(OR($Y165="",$U$299="S"),"",IF(COUNT($Z$71:$Z164)&gt;=$U$297,"",1))</f>
        <v/>
      </c>
    </row>
    <row r="166" spans="1:33" ht="14.25" hidden="1" customHeight="1" thickBot="1" x14ac:dyDescent="0.25">
      <c r="A166" s="7">
        <v>15</v>
      </c>
      <c r="B166" s="208"/>
      <c r="C166" s="207" t="str">
        <f t="shared" si="78"/>
        <v/>
      </c>
      <c r="D166" s="185" t="str">
        <f t="shared" si="79"/>
        <v/>
      </c>
      <c r="E166" s="185" t="str">
        <f t="shared" si="80"/>
        <v/>
      </c>
      <c r="F166" s="218"/>
      <c r="G166" s="215" t="str">
        <f t="shared" si="94"/>
        <v/>
      </c>
      <c r="H166" s="223">
        <f t="shared" si="82"/>
        <v>0</v>
      </c>
      <c r="I166" s="233" t="str">
        <f>IF($B166="","","諸経費共")</f>
        <v/>
      </c>
      <c r="J166" s="233"/>
      <c r="K166" s="98"/>
      <c r="L166" s="1" t="str">
        <f t="shared" si="95"/>
        <v/>
      </c>
      <c r="M166" s="105"/>
      <c r="N166" s="52" t="str">
        <f t="shared" si="83"/>
        <v/>
      </c>
      <c r="O166" s="21">
        <f t="shared" si="96"/>
        <v>0</v>
      </c>
      <c r="P166" s="22">
        <f t="shared" si="85"/>
        <v>0</v>
      </c>
      <c r="Q166" s="22">
        <f t="shared" si="86"/>
        <v>0</v>
      </c>
      <c r="R166" s="9">
        <f t="shared" si="87"/>
        <v>1</v>
      </c>
      <c r="S166" s="85">
        <f t="shared" si="97"/>
        <v>0</v>
      </c>
      <c r="T166" s="73">
        <f t="shared" si="89"/>
        <v>0</v>
      </c>
      <c r="U166" s="19">
        <f t="shared" si="90"/>
        <v>3</v>
      </c>
      <c r="V166" s="25">
        <f t="shared" si="91"/>
        <v>0</v>
      </c>
      <c r="W166" s="25">
        <f t="shared" si="92"/>
        <v>0</v>
      </c>
      <c r="X166" s="82">
        <f t="shared" si="77"/>
        <v>0</v>
      </c>
      <c r="Y166" s="12" t="str">
        <f t="shared" si="93"/>
        <v/>
      </c>
      <c r="Z166" s="9" t="str">
        <f>IF(OR($Y166="",$U$299="S"),"",IF(COUNT($Z$71:$Z165)&gt;=$U$297,"",1))</f>
        <v/>
      </c>
    </row>
    <row r="167" spans="1:33" ht="14.25" customHeight="1" thickBot="1" x14ac:dyDescent="0.25">
      <c r="B167" s="209" t="s">
        <v>20</v>
      </c>
      <c r="C167" s="207"/>
      <c r="D167" s="185"/>
      <c r="E167" s="185"/>
      <c r="F167" s="218">
        <f>SUM(F152:F166)</f>
        <v>7112000</v>
      </c>
      <c r="G167" s="215">
        <f>+F167+H167</f>
        <v>11112000</v>
      </c>
      <c r="H167" s="222">
        <f>SUM(H152:H166)</f>
        <v>4000000</v>
      </c>
      <c r="I167" s="233"/>
      <c r="J167" s="233"/>
      <c r="K167" s="9"/>
      <c r="L167" s="4" t="s">
        <v>23</v>
      </c>
      <c r="M167" s="114">
        <f>SUM(M152:M166)</f>
        <v>4000000</v>
      </c>
      <c r="N167" s="9"/>
      <c r="O167" s="115">
        <f>SUM(O152:O166)</f>
        <v>4000000</v>
      </c>
      <c r="P167" s="116">
        <f>SUM(P152:P166)</f>
        <v>4000000</v>
      </c>
      <c r="Q167" s="116">
        <f>SUM(Q152:Q166)</f>
        <v>4000000</v>
      </c>
      <c r="S167" s="117">
        <f>SUM(S152:S166)</f>
        <v>4000000</v>
      </c>
      <c r="T167" s="74"/>
      <c r="U167" s="74"/>
      <c r="V167" s="118">
        <f>SUM(V152:V166)</f>
        <v>4000000</v>
      </c>
      <c r="W167" s="118">
        <f>SUM(W152:W166)</f>
        <v>4000000</v>
      </c>
      <c r="X167" s="119">
        <f>SUM(X152:X166)</f>
        <v>4000000</v>
      </c>
      <c r="Y167" s="12" t="str">
        <f t="shared" si="93"/>
        <v/>
      </c>
      <c r="Z167" s="9" t="str">
        <f>IF(OR($Y167="",$U$299="S"),"",IF(COUNT($Z$71:$Z166)&gt;=$U$297,"",1))</f>
        <v/>
      </c>
    </row>
    <row r="168" spans="1:33" ht="14.25" customHeight="1" thickBot="1" x14ac:dyDescent="0.25">
      <c r="B168" s="210" t="s">
        <v>21</v>
      </c>
      <c r="C168" s="207"/>
      <c r="D168" s="185">
        <v>1</v>
      </c>
      <c r="E168" s="185" t="str">
        <f>IF($D168="","","式")</f>
        <v>式</v>
      </c>
      <c r="F168" s="218">
        <f>+F167*0.1</f>
        <v>711200</v>
      </c>
      <c r="G168" s="215">
        <f>+F168+H168</f>
        <v>1111200</v>
      </c>
      <c r="H168" s="222">
        <f>H167*0.1</f>
        <v>400000</v>
      </c>
      <c r="I168" s="233"/>
      <c r="J168" s="233"/>
      <c r="K168" s="9"/>
      <c r="L168" s="3" t="s">
        <v>21</v>
      </c>
      <c r="M168" s="107">
        <f>+M167*0.1</f>
        <v>400000</v>
      </c>
      <c r="N168" s="49"/>
      <c r="O168" s="63">
        <f>+O167*0.1</f>
        <v>400000</v>
      </c>
      <c r="P168" s="64">
        <f>+P167*0.1</f>
        <v>400000</v>
      </c>
      <c r="Q168" s="64">
        <f>+Q167*0.1</f>
        <v>400000</v>
      </c>
      <c r="R168" s="49"/>
      <c r="S168" s="23">
        <f>+S167*0.1</f>
        <v>400000</v>
      </c>
      <c r="T168" s="76"/>
      <c r="U168" s="76"/>
      <c r="V168" s="48">
        <f>+V167*0.1</f>
        <v>400000</v>
      </c>
      <c r="W168" s="48">
        <f>+W167*0.1</f>
        <v>400000</v>
      </c>
      <c r="X168" s="33">
        <f>+X167*0.1</f>
        <v>400000</v>
      </c>
      <c r="Y168" s="12" t="str">
        <f t="shared" si="93"/>
        <v/>
      </c>
      <c r="Z168" s="9" t="str">
        <f>IF(OR($Y168="",$U$299="S"),"",IF(COUNT($Z$71:$Z167)&gt;=$U$297,"",1))</f>
        <v/>
      </c>
      <c r="AA168" s="49"/>
      <c r="AB168" s="49"/>
      <c r="AC168" s="49"/>
      <c r="AD168" s="49"/>
      <c r="AE168" s="49"/>
      <c r="AF168" s="49"/>
      <c r="AG168" s="49"/>
    </row>
    <row r="169" spans="1:33" ht="14.25" customHeight="1" thickBot="1" x14ac:dyDescent="0.25">
      <c r="B169" s="189" t="s">
        <v>22</v>
      </c>
      <c r="C169" s="207"/>
      <c r="D169" s="185"/>
      <c r="E169" s="185"/>
      <c r="F169" s="218">
        <f>SUM(F167:F168)</f>
        <v>7823200</v>
      </c>
      <c r="G169" s="215">
        <f>+F169+H169</f>
        <v>12223200</v>
      </c>
      <c r="H169" s="222">
        <f>SUM(H167:H168)</f>
        <v>4400000</v>
      </c>
      <c r="I169" s="233"/>
      <c r="J169" s="233"/>
      <c r="K169" s="9"/>
      <c r="L169" s="5" t="s">
        <v>22</v>
      </c>
      <c r="M169" s="107">
        <f>+M167+M168</f>
        <v>4400000</v>
      </c>
      <c r="N169" s="49"/>
      <c r="O169" s="23">
        <f>SUM(O167:O168)</f>
        <v>4400000</v>
      </c>
      <c r="P169" s="64">
        <f>+P167+P168</f>
        <v>4400000</v>
      </c>
      <c r="Q169" s="64">
        <f>+Q167+Q168</f>
        <v>4400000</v>
      </c>
      <c r="R169" s="49"/>
      <c r="S169" s="23">
        <f>+S167+S168</f>
        <v>4400000</v>
      </c>
      <c r="T169" s="76"/>
      <c r="U169" s="76"/>
      <c r="V169" s="48">
        <f>+V167+V168</f>
        <v>4400000</v>
      </c>
      <c r="W169" s="48">
        <f>+W167+W168</f>
        <v>4400000</v>
      </c>
      <c r="X169" s="33">
        <f>+X167+X168</f>
        <v>4400000</v>
      </c>
      <c r="Y169" s="12" t="str">
        <f t="shared" si="93"/>
        <v/>
      </c>
      <c r="Z169" s="9" t="str">
        <f>IF(OR($Y169="",$U$299="S"),"",IF(COUNT($Z$71:$Z168)&gt;=$U$297,"",1))</f>
        <v/>
      </c>
      <c r="AA169" s="49"/>
      <c r="AB169" s="49"/>
      <c r="AC169" s="49"/>
      <c r="AD169" s="49"/>
      <c r="AE169" s="49"/>
      <c r="AF169" s="49"/>
      <c r="AG169" s="49"/>
    </row>
    <row r="170" spans="1:33" ht="14.25" hidden="1" customHeight="1" thickBot="1" x14ac:dyDescent="0.25">
      <c r="B170" s="189"/>
      <c r="C170" s="207"/>
      <c r="D170" s="185"/>
      <c r="E170" s="185"/>
      <c r="F170" s="218"/>
      <c r="G170" s="215"/>
      <c r="H170" s="222"/>
      <c r="I170" s="231"/>
      <c r="J170" s="232"/>
      <c r="K170" s="9"/>
      <c r="L170" s="5"/>
      <c r="M170" s="107"/>
      <c r="N170" s="49"/>
      <c r="O170" s="48"/>
      <c r="P170" s="64"/>
      <c r="Q170" s="64"/>
      <c r="R170" s="49"/>
      <c r="S170" s="23"/>
      <c r="T170" s="76"/>
      <c r="U170" s="76"/>
      <c r="V170" s="48"/>
      <c r="W170" s="48"/>
      <c r="X170" s="33"/>
      <c r="Y170" s="12"/>
      <c r="AA170" s="49"/>
      <c r="AB170" s="49"/>
      <c r="AC170" s="49"/>
      <c r="AD170" s="49"/>
      <c r="AE170" s="49"/>
      <c r="AF170" s="49"/>
      <c r="AG170" s="49"/>
    </row>
    <row r="171" spans="1:33" ht="14.25" hidden="1" customHeight="1" thickBot="1" x14ac:dyDescent="0.25">
      <c r="B171" s="211" t="s">
        <v>112</v>
      </c>
      <c r="C171" s="211"/>
      <c r="D171" s="185"/>
      <c r="E171" s="185"/>
      <c r="F171" s="218"/>
      <c r="G171" s="215"/>
      <c r="H171" s="222"/>
      <c r="I171" s="233"/>
      <c r="J171" s="233"/>
      <c r="K171" s="9"/>
      <c r="L171" s="99" t="str">
        <f t="shared" ref="L171:L180" si="98">IF(B171="","",B171)</f>
        <v>（カ）</v>
      </c>
      <c r="M171" s="107"/>
      <c r="N171" s="9"/>
      <c r="O171" s="21"/>
      <c r="P171" s="22"/>
      <c r="Q171" s="22"/>
      <c r="S171" s="23"/>
      <c r="T171" s="74"/>
      <c r="U171" s="74"/>
      <c r="V171" s="25"/>
      <c r="W171" s="25"/>
      <c r="X171" s="82">
        <f t="shared" ref="X171:X186" si="99">IF(AND($U$299="S",$Y171=1),$W171+($W$297/$U$297),IF(AND($U$299="O",$Y171=1,$Z171=1),$W171+($W$297/$U$297),$W171))</f>
        <v>0</v>
      </c>
      <c r="Y171" s="12" t="str">
        <f t="shared" si="93"/>
        <v/>
      </c>
      <c r="Z171" s="9" t="str">
        <f>IF(OR($Y171="",$U$299="S"),"",IF(COUNT($Z$71:$Z169)&gt;=$U$297,"",1))</f>
        <v/>
      </c>
    </row>
    <row r="172" spans="1:33" ht="14.25" hidden="1" customHeight="1" thickBot="1" x14ac:dyDescent="0.25">
      <c r="A172" s="7">
        <v>6</v>
      </c>
      <c r="B172" s="202" t="s">
        <v>111</v>
      </c>
      <c r="C172" s="207" t="str">
        <f t="shared" ref="C172:C186" si="100">IF($B172="","","図面・仕様書どおり")</f>
        <v>図面・仕様書どおり</v>
      </c>
      <c r="D172" s="185" t="str">
        <f t="shared" ref="D172:D186" si="101">IF($B172="","","1")</f>
        <v>1</v>
      </c>
      <c r="E172" s="185" t="str">
        <f t="shared" ref="E172:E186" si="102">IF($D172="","","式")</f>
        <v>式</v>
      </c>
      <c r="F172" s="218">
        <v>0</v>
      </c>
      <c r="G172" s="215">
        <f t="shared" ref="G172:G180" si="103">IF(F172="","",F172+H172)</f>
        <v>0</v>
      </c>
      <c r="H172" s="223">
        <f t="shared" ref="H172:H186" si="104">+X172</f>
        <v>0</v>
      </c>
      <c r="I172" s="233" t="str">
        <f>IF($B172="","","諸経費共")</f>
        <v>諸経費共</v>
      </c>
      <c r="J172" s="233"/>
      <c r="K172" s="98"/>
      <c r="L172" s="1" t="str">
        <f t="shared" si="98"/>
        <v>　○○工事</v>
      </c>
      <c r="M172" s="105"/>
      <c r="N172" s="52" t="str">
        <f t="shared" ref="N172:N186" si="105">IF(M172="","",IF(M172&lt;0,0,1))</f>
        <v/>
      </c>
      <c r="O172" s="21">
        <f t="shared" ref="O172:O180" si="106">+M172*$Q$66</f>
        <v>0</v>
      </c>
      <c r="P172" s="22">
        <f t="shared" ref="P172:P186" si="107">+ROUND(O172,-3)</f>
        <v>0</v>
      </c>
      <c r="Q172" s="22">
        <f t="shared" ref="Q172:Q186" si="108">+ROUND(P172,-4)</f>
        <v>0</v>
      </c>
      <c r="R172" s="9">
        <f t="shared" ref="R172:R186" si="109">IF(AND($Q$66&lt;1,$O172&gt;=0),0,IF(AND($Q$66&gt;=1,$O172&lt;0),0,1))</f>
        <v>1</v>
      </c>
      <c r="S172" s="85">
        <f t="shared" ref="S172:S180" si="110">+M172</f>
        <v>0</v>
      </c>
      <c r="T172" s="73">
        <f t="shared" ref="T172:T186" si="111">IF(R172=0,S172/$S$294,0)</f>
        <v>0</v>
      </c>
      <c r="U172" s="19">
        <f t="shared" ref="U172:U186" si="112">RANK(T172,$T$72:$T$289)</f>
        <v>3</v>
      </c>
      <c r="V172" s="25">
        <f t="shared" ref="V172:V186" si="113">INT($S172-$T$66*$T172)</f>
        <v>0</v>
      </c>
      <c r="W172" s="25">
        <f t="shared" ref="W172:W186" si="114">ROUND(V172,-3)</f>
        <v>0</v>
      </c>
      <c r="X172" s="82">
        <f t="shared" si="99"/>
        <v>0</v>
      </c>
      <c r="Y172" s="12" t="str">
        <f t="shared" si="93"/>
        <v/>
      </c>
      <c r="Z172" s="9" t="str">
        <f>IF(OR($Y172="",$U$299="S"),"",IF(COUNT($Z$71:$Z171)&gt;=$U$297,"",1))</f>
        <v/>
      </c>
    </row>
    <row r="173" spans="1:33" ht="14.25" hidden="1" customHeight="1" thickBot="1" x14ac:dyDescent="0.25">
      <c r="A173" s="7">
        <v>2</v>
      </c>
      <c r="B173" s="202" t="s">
        <v>111</v>
      </c>
      <c r="C173" s="207" t="str">
        <f t="shared" si="100"/>
        <v>図面・仕様書どおり</v>
      </c>
      <c r="D173" s="185" t="str">
        <f t="shared" si="101"/>
        <v>1</v>
      </c>
      <c r="E173" s="185" t="str">
        <f t="shared" si="102"/>
        <v>式</v>
      </c>
      <c r="F173" s="218"/>
      <c r="G173" s="215" t="str">
        <f t="shared" si="103"/>
        <v/>
      </c>
      <c r="H173" s="223">
        <f t="shared" si="104"/>
        <v>0</v>
      </c>
      <c r="I173" s="233" t="str">
        <f>IF($B173="","","諸経費共")</f>
        <v>諸経費共</v>
      </c>
      <c r="J173" s="233"/>
      <c r="K173" s="98"/>
      <c r="L173" s="1" t="str">
        <f t="shared" si="98"/>
        <v>　○○工事</v>
      </c>
      <c r="M173" s="105"/>
      <c r="N173" s="52" t="str">
        <f t="shared" si="105"/>
        <v/>
      </c>
      <c r="O173" s="21">
        <f t="shared" si="106"/>
        <v>0</v>
      </c>
      <c r="P173" s="22">
        <f t="shared" si="107"/>
        <v>0</v>
      </c>
      <c r="Q173" s="22">
        <f t="shared" si="108"/>
        <v>0</v>
      </c>
      <c r="R173" s="9">
        <f t="shared" si="109"/>
        <v>1</v>
      </c>
      <c r="S173" s="85">
        <f t="shared" si="110"/>
        <v>0</v>
      </c>
      <c r="T173" s="73">
        <f t="shared" si="111"/>
        <v>0</v>
      </c>
      <c r="U173" s="19">
        <f t="shared" si="112"/>
        <v>3</v>
      </c>
      <c r="V173" s="25">
        <f t="shared" si="113"/>
        <v>0</v>
      </c>
      <c r="W173" s="25">
        <f t="shared" si="114"/>
        <v>0</v>
      </c>
      <c r="X173" s="82">
        <f t="shared" si="99"/>
        <v>0</v>
      </c>
      <c r="Y173" s="12" t="str">
        <f t="shared" si="93"/>
        <v/>
      </c>
      <c r="Z173" s="9" t="str">
        <f>IF(OR($Y173="",$U$299="S"),"",IF(COUNT($Z$71:$Z172)&gt;=$U$297,"",1))</f>
        <v/>
      </c>
    </row>
    <row r="174" spans="1:33" ht="14.25" hidden="1" customHeight="1" thickBot="1" x14ac:dyDescent="0.25">
      <c r="A174" s="7">
        <v>3</v>
      </c>
      <c r="B174" s="202" t="s">
        <v>111</v>
      </c>
      <c r="C174" s="207" t="str">
        <f t="shared" si="100"/>
        <v>図面・仕様書どおり</v>
      </c>
      <c r="D174" s="185" t="str">
        <f t="shared" si="101"/>
        <v>1</v>
      </c>
      <c r="E174" s="185" t="str">
        <f t="shared" si="102"/>
        <v>式</v>
      </c>
      <c r="F174" s="218"/>
      <c r="G174" s="215" t="str">
        <f t="shared" si="103"/>
        <v/>
      </c>
      <c r="H174" s="223">
        <f t="shared" si="104"/>
        <v>0</v>
      </c>
      <c r="I174" s="233" t="str">
        <f>IF($B174="","","諸経費共")</f>
        <v>諸経費共</v>
      </c>
      <c r="J174" s="233"/>
      <c r="K174" s="98"/>
      <c r="L174" s="1" t="str">
        <f t="shared" si="98"/>
        <v>　○○工事</v>
      </c>
      <c r="M174" s="105"/>
      <c r="N174" s="52" t="str">
        <f t="shared" si="105"/>
        <v/>
      </c>
      <c r="O174" s="21">
        <f t="shared" si="106"/>
        <v>0</v>
      </c>
      <c r="P174" s="22">
        <f t="shared" si="107"/>
        <v>0</v>
      </c>
      <c r="Q174" s="22">
        <f t="shared" si="108"/>
        <v>0</v>
      </c>
      <c r="R174" s="9">
        <f t="shared" si="109"/>
        <v>1</v>
      </c>
      <c r="S174" s="85">
        <f t="shared" si="110"/>
        <v>0</v>
      </c>
      <c r="T174" s="73">
        <f t="shared" si="111"/>
        <v>0</v>
      </c>
      <c r="U174" s="19">
        <f t="shared" si="112"/>
        <v>3</v>
      </c>
      <c r="V174" s="25">
        <f t="shared" si="113"/>
        <v>0</v>
      </c>
      <c r="W174" s="25">
        <f t="shared" si="114"/>
        <v>0</v>
      </c>
      <c r="X174" s="82">
        <f t="shared" si="99"/>
        <v>0</v>
      </c>
      <c r="Y174" s="12" t="str">
        <f t="shared" si="93"/>
        <v/>
      </c>
      <c r="Z174" s="9" t="str">
        <f>IF(OR($Y174="",$U$299="S"),"",IF(COUNT($Z$71:$Z173)&gt;=$U$297,"",1))</f>
        <v/>
      </c>
    </row>
    <row r="175" spans="1:33" ht="14.25" hidden="1" customHeight="1" thickBot="1" x14ac:dyDescent="0.25">
      <c r="A175" s="7">
        <v>4</v>
      </c>
      <c r="B175" s="208"/>
      <c r="C175" s="207" t="str">
        <f t="shared" si="100"/>
        <v/>
      </c>
      <c r="D175" s="185" t="str">
        <f t="shared" si="101"/>
        <v/>
      </c>
      <c r="E175" s="185" t="str">
        <f t="shared" si="102"/>
        <v/>
      </c>
      <c r="F175" s="218"/>
      <c r="G175" s="215" t="str">
        <f t="shared" si="103"/>
        <v/>
      </c>
      <c r="H175" s="223">
        <f t="shared" si="104"/>
        <v>0</v>
      </c>
      <c r="I175" s="233" t="str">
        <f>IF($B175="","","諸経費共")</f>
        <v/>
      </c>
      <c r="J175" s="233"/>
      <c r="K175" s="98"/>
      <c r="L175" s="1" t="str">
        <f t="shared" si="98"/>
        <v/>
      </c>
      <c r="M175" s="105"/>
      <c r="N175" s="52" t="str">
        <f t="shared" si="105"/>
        <v/>
      </c>
      <c r="O175" s="21">
        <f t="shared" si="106"/>
        <v>0</v>
      </c>
      <c r="P175" s="22">
        <f t="shared" si="107"/>
        <v>0</v>
      </c>
      <c r="Q175" s="22">
        <f t="shared" si="108"/>
        <v>0</v>
      </c>
      <c r="R175" s="9">
        <f t="shared" si="109"/>
        <v>1</v>
      </c>
      <c r="S175" s="85">
        <f t="shared" si="110"/>
        <v>0</v>
      </c>
      <c r="T175" s="73">
        <f t="shared" si="111"/>
        <v>0</v>
      </c>
      <c r="U175" s="19">
        <f t="shared" si="112"/>
        <v>3</v>
      </c>
      <c r="V175" s="25">
        <f t="shared" si="113"/>
        <v>0</v>
      </c>
      <c r="W175" s="25">
        <f t="shared" si="114"/>
        <v>0</v>
      </c>
      <c r="X175" s="82">
        <f t="shared" si="99"/>
        <v>0</v>
      </c>
      <c r="Y175" s="12" t="str">
        <f t="shared" si="93"/>
        <v/>
      </c>
      <c r="Z175" s="9" t="str">
        <f>IF(OR($Y175="",$U$299="S"),"",IF(COUNT($Z$71:$Z174)&gt;=$U$297,"",1))</f>
        <v/>
      </c>
    </row>
    <row r="176" spans="1:33" ht="14.25" hidden="1" customHeight="1" thickBot="1" x14ac:dyDescent="0.25">
      <c r="A176" s="7">
        <v>5</v>
      </c>
      <c r="B176" s="208"/>
      <c r="C176" s="207" t="str">
        <f t="shared" si="100"/>
        <v/>
      </c>
      <c r="D176" s="185" t="str">
        <f t="shared" si="101"/>
        <v/>
      </c>
      <c r="E176" s="185" t="str">
        <f t="shared" si="102"/>
        <v/>
      </c>
      <c r="F176" s="218"/>
      <c r="G176" s="215" t="str">
        <f t="shared" si="103"/>
        <v/>
      </c>
      <c r="H176" s="223">
        <f t="shared" si="104"/>
        <v>0</v>
      </c>
      <c r="I176" s="233" t="str">
        <f>IF($B176="","","諸経費共")</f>
        <v/>
      </c>
      <c r="J176" s="233"/>
      <c r="K176" s="98"/>
      <c r="L176" s="1" t="str">
        <f t="shared" si="98"/>
        <v/>
      </c>
      <c r="M176" s="105"/>
      <c r="N176" s="52" t="str">
        <f t="shared" si="105"/>
        <v/>
      </c>
      <c r="O176" s="21">
        <f t="shared" si="106"/>
        <v>0</v>
      </c>
      <c r="P176" s="22">
        <f t="shared" si="107"/>
        <v>0</v>
      </c>
      <c r="Q176" s="22">
        <f t="shared" si="108"/>
        <v>0</v>
      </c>
      <c r="R176" s="9">
        <f t="shared" si="109"/>
        <v>1</v>
      </c>
      <c r="S176" s="85">
        <f t="shared" si="110"/>
        <v>0</v>
      </c>
      <c r="T176" s="73">
        <f t="shared" si="111"/>
        <v>0</v>
      </c>
      <c r="U176" s="19">
        <f t="shared" si="112"/>
        <v>3</v>
      </c>
      <c r="V176" s="25">
        <f t="shared" si="113"/>
        <v>0</v>
      </c>
      <c r="W176" s="25">
        <f t="shared" si="114"/>
        <v>0</v>
      </c>
      <c r="X176" s="82">
        <f t="shared" si="99"/>
        <v>0</v>
      </c>
      <c r="Y176" s="12" t="str">
        <f t="shared" si="93"/>
        <v/>
      </c>
      <c r="Z176" s="9" t="str">
        <f>IF(OR($Y176="",$U$299="S"),"",IF(COUNT($Z$71:$Z175)&gt;=$U$297,"",1))</f>
        <v/>
      </c>
    </row>
    <row r="177" spans="1:33" ht="14.25" hidden="1" customHeight="1" thickBot="1" x14ac:dyDescent="0.25">
      <c r="A177" s="7">
        <v>6</v>
      </c>
      <c r="B177" s="208"/>
      <c r="C177" s="207" t="str">
        <f t="shared" si="100"/>
        <v/>
      </c>
      <c r="D177" s="185" t="str">
        <f t="shared" si="101"/>
        <v/>
      </c>
      <c r="E177" s="185" t="str">
        <f t="shared" si="102"/>
        <v/>
      </c>
      <c r="F177" s="218"/>
      <c r="G177" s="215" t="str">
        <f t="shared" si="103"/>
        <v/>
      </c>
      <c r="H177" s="223">
        <f t="shared" si="104"/>
        <v>0</v>
      </c>
      <c r="I177" s="233" t="str">
        <f>IF($B177="","","諸経費共")</f>
        <v/>
      </c>
      <c r="J177" s="233"/>
      <c r="K177" s="98"/>
      <c r="L177" s="1" t="str">
        <f t="shared" si="98"/>
        <v/>
      </c>
      <c r="M177" s="105"/>
      <c r="N177" s="52" t="str">
        <f t="shared" si="105"/>
        <v/>
      </c>
      <c r="O177" s="21">
        <f t="shared" si="106"/>
        <v>0</v>
      </c>
      <c r="P177" s="22">
        <f t="shared" si="107"/>
        <v>0</v>
      </c>
      <c r="Q177" s="22">
        <f t="shared" si="108"/>
        <v>0</v>
      </c>
      <c r="R177" s="9">
        <f t="shared" si="109"/>
        <v>1</v>
      </c>
      <c r="S177" s="85">
        <f t="shared" si="110"/>
        <v>0</v>
      </c>
      <c r="T177" s="73">
        <f t="shared" si="111"/>
        <v>0</v>
      </c>
      <c r="U177" s="19">
        <f t="shared" si="112"/>
        <v>3</v>
      </c>
      <c r="V177" s="25">
        <f t="shared" si="113"/>
        <v>0</v>
      </c>
      <c r="W177" s="25">
        <f t="shared" si="114"/>
        <v>0</v>
      </c>
      <c r="X177" s="82">
        <f t="shared" si="99"/>
        <v>0</v>
      </c>
      <c r="Y177" s="12" t="str">
        <f t="shared" si="93"/>
        <v/>
      </c>
      <c r="Z177" s="9" t="str">
        <f>IF(OR($Y177="",$U$299="S"),"",IF(COUNT($Z$71:$Z176)&gt;=$U$297,"",1))</f>
        <v/>
      </c>
    </row>
    <row r="178" spans="1:33" ht="14.25" hidden="1" customHeight="1" thickBot="1" x14ac:dyDescent="0.25">
      <c r="A178" s="7">
        <v>7</v>
      </c>
      <c r="B178" s="208"/>
      <c r="C178" s="207" t="str">
        <f t="shared" si="100"/>
        <v/>
      </c>
      <c r="D178" s="185" t="str">
        <f t="shared" si="101"/>
        <v/>
      </c>
      <c r="E178" s="185" t="str">
        <f t="shared" si="102"/>
        <v/>
      </c>
      <c r="F178" s="218"/>
      <c r="G178" s="215" t="str">
        <f t="shared" si="103"/>
        <v/>
      </c>
      <c r="H178" s="223">
        <f t="shared" si="104"/>
        <v>0</v>
      </c>
      <c r="I178" s="233" t="str">
        <f>IF($B178="","","諸経費共")</f>
        <v/>
      </c>
      <c r="J178" s="233"/>
      <c r="K178" s="98"/>
      <c r="L178" s="1" t="str">
        <f t="shared" si="98"/>
        <v/>
      </c>
      <c r="M178" s="105"/>
      <c r="N178" s="52" t="str">
        <f t="shared" si="105"/>
        <v/>
      </c>
      <c r="O178" s="21">
        <f t="shared" si="106"/>
        <v>0</v>
      </c>
      <c r="P178" s="22">
        <f t="shared" si="107"/>
        <v>0</v>
      </c>
      <c r="Q178" s="22">
        <f t="shared" si="108"/>
        <v>0</v>
      </c>
      <c r="R178" s="9">
        <f t="shared" si="109"/>
        <v>1</v>
      </c>
      <c r="S178" s="85">
        <f t="shared" si="110"/>
        <v>0</v>
      </c>
      <c r="T178" s="73">
        <f t="shared" si="111"/>
        <v>0</v>
      </c>
      <c r="U178" s="19">
        <f t="shared" si="112"/>
        <v>3</v>
      </c>
      <c r="V178" s="25">
        <f t="shared" si="113"/>
        <v>0</v>
      </c>
      <c r="W178" s="25">
        <f t="shared" si="114"/>
        <v>0</v>
      </c>
      <c r="X178" s="82">
        <f t="shared" si="99"/>
        <v>0</v>
      </c>
      <c r="Y178" s="12" t="str">
        <f t="shared" si="93"/>
        <v/>
      </c>
      <c r="Z178" s="9" t="str">
        <f>IF(OR($Y178="",$U$299="S"),"",IF(COUNT($Z$71:$Z177)&gt;=$U$297,"",1))</f>
        <v/>
      </c>
    </row>
    <row r="179" spans="1:33" ht="14.25" hidden="1" customHeight="1" thickBot="1" x14ac:dyDescent="0.25">
      <c r="A179" s="7">
        <v>8</v>
      </c>
      <c r="B179" s="208"/>
      <c r="C179" s="207" t="str">
        <f t="shared" si="100"/>
        <v/>
      </c>
      <c r="D179" s="185" t="str">
        <f t="shared" si="101"/>
        <v/>
      </c>
      <c r="E179" s="185" t="str">
        <f t="shared" si="102"/>
        <v/>
      </c>
      <c r="F179" s="218"/>
      <c r="G179" s="215" t="str">
        <f t="shared" si="103"/>
        <v/>
      </c>
      <c r="H179" s="223">
        <f t="shared" si="104"/>
        <v>0</v>
      </c>
      <c r="I179" s="233" t="str">
        <f>IF($B179="","","諸経費共")</f>
        <v/>
      </c>
      <c r="J179" s="233"/>
      <c r="K179" s="98"/>
      <c r="L179" s="1" t="str">
        <f t="shared" si="98"/>
        <v/>
      </c>
      <c r="M179" s="105"/>
      <c r="N179" s="52" t="str">
        <f t="shared" si="105"/>
        <v/>
      </c>
      <c r="O179" s="21">
        <f t="shared" si="106"/>
        <v>0</v>
      </c>
      <c r="P179" s="22">
        <f t="shared" si="107"/>
        <v>0</v>
      </c>
      <c r="Q179" s="22">
        <f t="shared" si="108"/>
        <v>0</v>
      </c>
      <c r="R179" s="9">
        <f t="shared" si="109"/>
        <v>1</v>
      </c>
      <c r="S179" s="85">
        <f t="shared" si="110"/>
        <v>0</v>
      </c>
      <c r="T179" s="73">
        <f t="shared" si="111"/>
        <v>0</v>
      </c>
      <c r="U179" s="19">
        <f t="shared" si="112"/>
        <v>3</v>
      </c>
      <c r="V179" s="25">
        <f t="shared" si="113"/>
        <v>0</v>
      </c>
      <c r="W179" s="25">
        <f t="shared" si="114"/>
        <v>0</v>
      </c>
      <c r="X179" s="82">
        <f t="shared" si="99"/>
        <v>0</v>
      </c>
      <c r="Y179" s="12" t="str">
        <f t="shared" si="93"/>
        <v/>
      </c>
      <c r="Z179" s="9" t="str">
        <f>IF(OR($Y179="",$U$299="S"),"",IF(COUNT($Z$71:$Z178)&gt;=$U$297,"",1))</f>
        <v/>
      </c>
    </row>
    <row r="180" spans="1:33" ht="14.25" hidden="1" customHeight="1" thickBot="1" x14ac:dyDescent="0.25">
      <c r="A180" s="7">
        <v>9</v>
      </c>
      <c r="B180" s="208"/>
      <c r="C180" s="207" t="str">
        <f t="shared" si="100"/>
        <v/>
      </c>
      <c r="D180" s="185" t="str">
        <f t="shared" si="101"/>
        <v/>
      </c>
      <c r="E180" s="185" t="str">
        <f t="shared" si="102"/>
        <v/>
      </c>
      <c r="F180" s="218"/>
      <c r="G180" s="215" t="str">
        <f t="shared" si="103"/>
        <v/>
      </c>
      <c r="H180" s="223">
        <f t="shared" si="104"/>
        <v>0</v>
      </c>
      <c r="I180" s="233" t="str">
        <f>IF($B180="","","諸経費共")</f>
        <v/>
      </c>
      <c r="J180" s="233"/>
      <c r="K180" s="98"/>
      <c r="L180" s="1" t="str">
        <f t="shared" si="98"/>
        <v/>
      </c>
      <c r="M180" s="105"/>
      <c r="N180" s="52" t="str">
        <f t="shared" si="105"/>
        <v/>
      </c>
      <c r="O180" s="21">
        <f t="shared" si="106"/>
        <v>0</v>
      </c>
      <c r="P180" s="22">
        <f t="shared" si="107"/>
        <v>0</v>
      </c>
      <c r="Q180" s="22">
        <f t="shared" si="108"/>
        <v>0</v>
      </c>
      <c r="R180" s="9">
        <f t="shared" si="109"/>
        <v>1</v>
      </c>
      <c r="S180" s="85">
        <f t="shared" si="110"/>
        <v>0</v>
      </c>
      <c r="T180" s="73">
        <f t="shared" si="111"/>
        <v>0</v>
      </c>
      <c r="U180" s="19">
        <f t="shared" si="112"/>
        <v>3</v>
      </c>
      <c r="V180" s="25">
        <f t="shared" si="113"/>
        <v>0</v>
      </c>
      <c r="W180" s="25">
        <f t="shared" si="114"/>
        <v>0</v>
      </c>
      <c r="X180" s="82">
        <f t="shared" si="99"/>
        <v>0</v>
      </c>
      <c r="Y180" s="12" t="str">
        <f t="shared" si="93"/>
        <v/>
      </c>
      <c r="Z180" s="9" t="str">
        <f>IF(OR($Y180="",$U$299="S"),"",IF(COUNT($Z$71:$Z179)&gt;=$U$297,"",1))</f>
        <v/>
      </c>
    </row>
    <row r="181" spans="1:33" ht="14.25" hidden="1" customHeight="1" thickBot="1" x14ac:dyDescent="0.25">
      <c r="A181" s="7">
        <v>10</v>
      </c>
      <c r="B181" s="208"/>
      <c r="C181" s="207" t="str">
        <f t="shared" si="100"/>
        <v/>
      </c>
      <c r="D181" s="185" t="str">
        <f t="shared" si="101"/>
        <v/>
      </c>
      <c r="E181" s="185" t="str">
        <f t="shared" si="102"/>
        <v/>
      </c>
      <c r="F181" s="218"/>
      <c r="G181" s="215" t="str">
        <f t="shared" ref="G181:G186" si="115">IF(F181="","",F181+H181)</f>
        <v/>
      </c>
      <c r="H181" s="223">
        <f t="shared" si="104"/>
        <v>0</v>
      </c>
      <c r="I181" s="233" t="str">
        <f>IF($B181="","","諸経費共")</f>
        <v/>
      </c>
      <c r="J181" s="233"/>
      <c r="K181" s="98"/>
      <c r="L181" s="1" t="str">
        <f t="shared" ref="L181:L186" si="116">IF(B181="","",B181)</f>
        <v/>
      </c>
      <c r="M181" s="105"/>
      <c r="N181" s="52" t="str">
        <f t="shared" si="105"/>
        <v/>
      </c>
      <c r="O181" s="21">
        <f t="shared" ref="O181:O186" si="117">+M181*$Q$66</f>
        <v>0</v>
      </c>
      <c r="P181" s="22">
        <f t="shared" si="107"/>
        <v>0</v>
      </c>
      <c r="Q181" s="22">
        <f t="shared" si="108"/>
        <v>0</v>
      </c>
      <c r="R181" s="9">
        <f t="shared" si="109"/>
        <v>1</v>
      </c>
      <c r="S181" s="85">
        <f t="shared" ref="S181:S186" si="118">+M181</f>
        <v>0</v>
      </c>
      <c r="T181" s="73">
        <f t="shared" si="111"/>
        <v>0</v>
      </c>
      <c r="U181" s="19">
        <f t="shared" si="112"/>
        <v>3</v>
      </c>
      <c r="V181" s="25">
        <f t="shared" si="113"/>
        <v>0</v>
      </c>
      <c r="W181" s="25">
        <f t="shared" si="114"/>
        <v>0</v>
      </c>
      <c r="X181" s="82">
        <f t="shared" si="99"/>
        <v>0</v>
      </c>
      <c r="Y181" s="12" t="str">
        <f t="shared" si="93"/>
        <v/>
      </c>
      <c r="Z181" s="9" t="str">
        <f>IF(OR($Y181="",$U$299="S"),"",IF(COUNT($Z$71:$Z180)&gt;=$U$297,"",1))</f>
        <v/>
      </c>
    </row>
    <row r="182" spans="1:33" ht="14.25" hidden="1" customHeight="1" thickBot="1" x14ac:dyDescent="0.25">
      <c r="A182" s="7">
        <v>11</v>
      </c>
      <c r="B182" s="208"/>
      <c r="C182" s="207" t="str">
        <f t="shared" si="100"/>
        <v/>
      </c>
      <c r="D182" s="185" t="str">
        <f t="shared" si="101"/>
        <v/>
      </c>
      <c r="E182" s="185" t="str">
        <f t="shared" si="102"/>
        <v/>
      </c>
      <c r="F182" s="218"/>
      <c r="G182" s="215" t="str">
        <f t="shared" si="115"/>
        <v/>
      </c>
      <c r="H182" s="223">
        <f t="shared" si="104"/>
        <v>0</v>
      </c>
      <c r="I182" s="233" t="str">
        <f>IF($B182="","","諸経費共")</f>
        <v/>
      </c>
      <c r="J182" s="233"/>
      <c r="K182" s="98"/>
      <c r="L182" s="1" t="str">
        <f t="shared" si="116"/>
        <v/>
      </c>
      <c r="M182" s="105"/>
      <c r="N182" s="52" t="str">
        <f t="shared" si="105"/>
        <v/>
      </c>
      <c r="O182" s="21">
        <f t="shared" si="117"/>
        <v>0</v>
      </c>
      <c r="P182" s="22">
        <f t="shared" si="107"/>
        <v>0</v>
      </c>
      <c r="Q182" s="22">
        <f t="shared" si="108"/>
        <v>0</v>
      </c>
      <c r="R182" s="9">
        <f t="shared" si="109"/>
        <v>1</v>
      </c>
      <c r="S182" s="85">
        <f t="shared" si="118"/>
        <v>0</v>
      </c>
      <c r="T182" s="73">
        <f t="shared" si="111"/>
        <v>0</v>
      </c>
      <c r="U182" s="19">
        <f t="shared" si="112"/>
        <v>3</v>
      </c>
      <c r="V182" s="25">
        <f t="shared" si="113"/>
        <v>0</v>
      </c>
      <c r="W182" s="25">
        <f t="shared" si="114"/>
        <v>0</v>
      </c>
      <c r="X182" s="82">
        <f t="shared" si="99"/>
        <v>0</v>
      </c>
      <c r="Y182" s="12" t="str">
        <f t="shared" si="93"/>
        <v/>
      </c>
      <c r="Z182" s="9" t="str">
        <f>IF(OR($Y182="",$U$299="S"),"",IF(COUNT($Z$71:$Z181)&gt;=$U$297,"",1))</f>
        <v/>
      </c>
    </row>
    <row r="183" spans="1:33" ht="14.25" hidden="1" customHeight="1" thickBot="1" x14ac:dyDescent="0.25">
      <c r="A183" s="7">
        <v>12</v>
      </c>
      <c r="B183" s="208"/>
      <c r="C183" s="207" t="str">
        <f t="shared" si="100"/>
        <v/>
      </c>
      <c r="D183" s="185" t="str">
        <f t="shared" si="101"/>
        <v/>
      </c>
      <c r="E183" s="185" t="str">
        <f t="shared" si="102"/>
        <v/>
      </c>
      <c r="F183" s="218"/>
      <c r="G183" s="215" t="str">
        <f t="shared" si="115"/>
        <v/>
      </c>
      <c r="H183" s="223">
        <f t="shared" si="104"/>
        <v>0</v>
      </c>
      <c r="I183" s="234" t="str">
        <f>IF($B183="","","諸経費共")</f>
        <v/>
      </c>
      <c r="J183" s="235"/>
      <c r="K183" s="98"/>
      <c r="L183" s="1" t="str">
        <f t="shared" si="116"/>
        <v/>
      </c>
      <c r="M183" s="105"/>
      <c r="N183" s="52" t="str">
        <f t="shared" si="105"/>
        <v/>
      </c>
      <c r="O183" s="21">
        <f t="shared" si="117"/>
        <v>0</v>
      </c>
      <c r="P183" s="22">
        <f t="shared" si="107"/>
        <v>0</v>
      </c>
      <c r="Q183" s="22">
        <f t="shared" si="108"/>
        <v>0</v>
      </c>
      <c r="R183" s="9">
        <f t="shared" si="109"/>
        <v>1</v>
      </c>
      <c r="S183" s="85">
        <f t="shared" si="118"/>
        <v>0</v>
      </c>
      <c r="T183" s="73">
        <f t="shared" si="111"/>
        <v>0</v>
      </c>
      <c r="U183" s="19">
        <f t="shared" si="112"/>
        <v>3</v>
      </c>
      <c r="V183" s="25">
        <f t="shared" si="113"/>
        <v>0</v>
      </c>
      <c r="W183" s="25">
        <f t="shared" si="114"/>
        <v>0</v>
      </c>
      <c r="X183" s="82">
        <f t="shared" si="99"/>
        <v>0</v>
      </c>
      <c r="Y183" s="12" t="str">
        <f t="shared" si="93"/>
        <v/>
      </c>
      <c r="Z183" s="9" t="str">
        <f>IF(OR($Y183="",$U$299="S"),"",IF(COUNT($Z$71:$Z182)&gt;=$U$297,"",1))</f>
        <v/>
      </c>
    </row>
    <row r="184" spans="1:33" ht="14.25" hidden="1" customHeight="1" thickBot="1" x14ac:dyDescent="0.25">
      <c r="A184" s="7">
        <v>13</v>
      </c>
      <c r="B184" s="208"/>
      <c r="C184" s="207" t="str">
        <f t="shared" si="100"/>
        <v/>
      </c>
      <c r="D184" s="185" t="str">
        <f t="shared" si="101"/>
        <v/>
      </c>
      <c r="E184" s="185" t="str">
        <f t="shared" si="102"/>
        <v/>
      </c>
      <c r="F184" s="218"/>
      <c r="G184" s="215" t="str">
        <f t="shared" si="115"/>
        <v/>
      </c>
      <c r="H184" s="223">
        <f t="shared" si="104"/>
        <v>0</v>
      </c>
      <c r="I184" s="233" t="str">
        <f>IF($B184="","","諸経費共")</f>
        <v/>
      </c>
      <c r="J184" s="233"/>
      <c r="K184" s="98"/>
      <c r="L184" s="1" t="str">
        <f t="shared" si="116"/>
        <v/>
      </c>
      <c r="M184" s="105"/>
      <c r="N184" s="52" t="str">
        <f t="shared" si="105"/>
        <v/>
      </c>
      <c r="O184" s="21">
        <f t="shared" si="117"/>
        <v>0</v>
      </c>
      <c r="P184" s="22">
        <f t="shared" si="107"/>
        <v>0</v>
      </c>
      <c r="Q184" s="22">
        <f t="shared" si="108"/>
        <v>0</v>
      </c>
      <c r="R184" s="9">
        <f t="shared" si="109"/>
        <v>1</v>
      </c>
      <c r="S184" s="85">
        <f t="shared" si="118"/>
        <v>0</v>
      </c>
      <c r="T184" s="73">
        <f t="shared" si="111"/>
        <v>0</v>
      </c>
      <c r="U184" s="19">
        <f t="shared" si="112"/>
        <v>3</v>
      </c>
      <c r="V184" s="25">
        <f t="shared" si="113"/>
        <v>0</v>
      </c>
      <c r="W184" s="25">
        <f t="shared" si="114"/>
        <v>0</v>
      </c>
      <c r="X184" s="82">
        <f t="shared" si="99"/>
        <v>0</v>
      </c>
      <c r="Y184" s="12" t="str">
        <f t="shared" si="93"/>
        <v/>
      </c>
      <c r="Z184" s="9" t="str">
        <f>IF(OR($Y184="",$U$299="S"),"",IF(COUNT($Z$71:$Z183)&gt;=$U$297,"",1))</f>
        <v/>
      </c>
    </row>
    <row r="185" spans="1:33" ht="14.25" hidden="1" customHeight="1" thickBot="1" x14ac:dyDescent="0.25">
      <c r="A185" s="7">
        <v>14</v>
      </c>
      <c r="B185" s="208"/>
      <c r="C185" s="207" t="str">
        <f t="shared" si="100"/>
        <v/>
      </c>
      <c r="D185" s="185" t="str">
        <f t="shared" si="101"/>
        <v/>
      </c>
      <c r="E185" s="185" t="str">
        <f t="shared" si="102"/>
        <v/>
      </c>
      <c r="F185" s="218"/>
      <c r="G185" s="215" t="str">
        <f t="shared" si="115"/>
        <v/>
      </c>
      <c r="H185" s="223">
        <f t="shared" si="104"/>
        <v>0</v>
      </c>
      <c r="I185" s="233" t="str">
        <f>IF($B185="","","諸経費共")</f>
        <v/>
      </c>
      <c r="J185" s="233"/>
      <c r="K185" s="98"/>
      <c r="L185" s="1" t="str">
        <f t="shared" si="116"/>
        <v/>
      </c>
      <c r="M185" s="105"/>
      <c r="N185" s="52" t="str">
        <f t="shared" si="105"/>
        <v/>
      </c>
      <c r="O185" s="21">
        <f t="shared" si="117"/>
        <v>0</v>
      </c>
      <c r="P185" s="22">
        <f t="shared" si="107"/>
        <v>0</v>
      </c>
      <c r="Q185" s="22">
        <f t="shared" si="108"/>
        <v>0</v>
      </c>
      <c r="R185" s="9">
        <f t="shared" si="109"/>
        <v>1</v>
      </c>
      <c r="S185" s="85">
        <f t="shared" si="118"/>
        <v>0</v>
      </c>
      <c r="T185" s="73">
        <f t="shared" si="111"/>
        <v>0</v>
      </c>
      <c r="U185" s="19">
        <f t="shared" si="112"/>
        <v>3</v>
      </c>
      <c r="V185" s="25">
        <f t="shared" si="113"/>
        <v>0</v>
      </c>
      <c r="W185" s="25">
        <f t="shared" si="114"/>
        <v>0</v>
      </c>
      <c r="X185" s="82">
        <f t="shared" si="99"/>
        <v>0</v>
      </c>
      <c r="Y185" s="12" t="str">
        <f t="shared" si="93"/>
        <v/>
      </c>
      <c r="Z185" s="9" t="str">
        <f>IF(OR($Y185="",$U$299="S"),"",IF(COUNT($Z$71:$Z184)&gt;=$U$297,"",1))</f>
        <v/>
      </c>
    </row>
    <row r="186" spans="1:33" ht="14.25" hidden="1" customHeight="1" thickBot="1" x14ac:dyDescent="0.25">
      <c r="A186" s="7">
        <v>15</v>
      </c>
      <c r="B186" s="208"/>
      <c r="C186" s="207" t="str">
        <f t="shared" si="100"/>
        <v/>
      </c>
      <c r="D186" s="185" t="str">
        <f t="shared" si="101"/>
        <v/>
      </c>
      <c r="E186" s="185" t="str">
        <f t="shared" si="102"/>
        <v/>
      </c>
      <c r="F186" s="218"/>
      <c r="G186" s="215" t="str">
        <f t="shared" si="115"/>
        <v/>
      </c>
      <c r="H186" s="223">
        <f t="shared" si="104"/>
        <v>0</v>
      </c>
      <c r="I186" s="233" t="str">
        <f>IF($B186="","","諸経費共")</f>
        <v/>
      </c>
      <c r="J186" s="233"/>
      <c r="K186" s="98"/>
      <c r="L186" s="1" t="str">
        <f t="shared" si="116"/>
        <v/>
      </c>
      <c r="M186" s="105"/>
      <c r="N186" s="52" t="str">
        <f t="shared" si="105"/>
        <v/>
      </c>
      <c r="O186" s="21">
        <f t="shared" si="117"/>
        <v>0</v>
      </c>
      <c r="P186" s="22">
        <f t="shared" si="107"/>
        <v>0</v>
      </c>
      <c r="Q186" s="22">
        <f t="shared" si="108"/>
        <v>0</v>
      </c>
      <c r="R186" s="9">
        <f t="shared" si="109"/>
        <v>1</v>
      </c>
      <c r="S186" s="85">
        <f t="shared" si="118"/>
        <v>0</v>
      </c>
      <c r="T186" s="73">
        <f t="shared" si="111"/>
        <v>0</v>
      </c>
      <c r="U186" s="19">
        <f t="shared" si="112"/>
        <v>3</v>
      </c>
      <c r="V186" s="25">
        <f t="shared" si="113"/>
        <v>0</v>
      </c>
      <c r="W186" s="25">
        <f t="shared" si="114"/>
        <v>0</v>
      </c>
      <c r="X186" s="82">
        <f t="shared" si="99"/>
        <v>0</v>
      </c>
      <c r="Y186" s="12" t="str">
        <f t="shared" si="93"/>
        <v/>
      </c>
      <c r="Z186" s="9" t="str">
        <f>IF(OR($Y186="",$U$299="S"),"",IF(COUNT($Z$71:$Z185)&gt;=$U$297,"",1))</f>
        <v/>
      </c>
    </row>
    <row r="187" spans="1:33" ht="14.25" hidden="1" customHeight="1" thickBot="1" x14ac:dyDescent="0.25">
      <c r="B187" s="209" t="s">
        <v>20</v>
      </c>
      <c r="C187" s="207"/>
      <c r="D187" s="185"/>
      <c r="E187" s="185"/>
      <c r="F187" s="218">
        <f>SUM(F172:F186)</f>
        <v>0</v>
      </c>
      <c r="G187" s="215">
        <f>+F187+H187</f>
        <v>0</v>
      </c>
      <c r="H187" s="222">
        <f>SUM(H172:H186)</f>
        <v>0</v>
      </c>
      <c r="I187" s="233"/>
      <c r="J187" s="233"/>
      <c r="K187" s="9"/>
      <c r="L187" s="4" t="s">
        <v>23</v>
      </c>
      <c r="M187" s="111">
        <f>SUM(M172:M186)</f>
        <v>0</v>
      </c>
      <c r="N187" s="9"/>
      <c r="O187" s="103">
        <f>SUM(O172:O186)</f>
        <v>0</v>
      </c>
      <c r="P187" s="104">
        <f>SUM(P172:P186)</f>
        <v>0</v>
      </c>
      <c r="Q187" s="104">
        <f>SUM(Q172:Q186)</f>
        <v>0</v>
      </c>
      <c r="S187" s="102">
        <f>SUM(S172:S186)</f>
        <v>0</v>
      </c>
      <c r="T187" s="74"/>
      <c r="U187" s="74"/>
      <c r="V187" s="100">
        <f>SUM(V172:V186)</f>
        <v>0</v>
      </c>
      <c r="W187" s="100">
        <f>SUM(W172:W186)</f>
        <v>0</v>
      </c>
      <c r="X187" s="101">
        <f>SUM(X172:X186)</f>
        <v>0</v>
      </c>
      <c r="Y187" s="12" t="str">
        <f t="shared" si="93"/>
        <v/>
      </c>
      <c r="Z187" s="9" t="str">
        <f>IF(OR($Y187="",$U$299="S"),"",IF(COUNT($Z$71:$Z186)&gt;=$U$297,"",1))</f>
        <v/>
      </c>
    </row>
    <row r="188" spans="1:33" ht="14.25" hidden="1" customHeight="1" thickBot="1" x14ac:dyDescent="0.25">
      <c r="B188" s="210" t="s">
        <v>21</v>
      </c>
      <c r="C188" s="207"/>
      <c r="D188" s="185">
        <v>1</v>
      </c>
      <c r="E188" s="185" t="str">
        <f>IF($D188="","","式")</f>
        <v>式</v>
      </c>
      <c r="F188" s="215"/>
      <c r="G188" s="215">
        <f>+F188+H188</f>
        <v>0</v>
      </c>
      <c r="H188" s="222">
        <f>H187*0.1</f>
        <v>0</v>
      </c>
      <c r="I188" s="233"/>
      <c r="J188" s="233"/>
      <c r="K188" s="9"/>
      <c r="L188" s="3" t="s">
        <v>21</v>
      </c>
      <c r="M188" s="107">
        <f>+M187*0.1</f>
        <v>0</v>
      </c>
      <c r="N188" s="49"/>
      <c r="O188" s="63">
        <f>+O187*0.1</f>
        <v>0</v>
      </c>
      <c r="P188" s="64">
        <f>+P187*0.1</f>
        <v>0</v>
      </c>
      <c r="Q188" s="64">
        <f>+Q187*0.1</f>
        <v>0</v>
      </c>
      <c r="R188" s="49"/>
      <c r="S188" s="23">
        <f>+S187*0.1</f>
        <v>0</v>
      </c>
      <c r="T188" s="76"/>
      <c r="U188" s="76"/>
      <c r="V188" s="48">
        <f>+V187*0.1</f>
        <v>0</v>
      </c>
      <c r="W188" s="48">
        <f>+W187*0.1</f>
        <v>0</v>
      </c>
      <c r="X188" s="33">
        <f>+X187*0.1</f>
        <v>0</v>
      </c>
      <c r="Y188" s="12" t="str">
        <f t="shared" si="93"/>
        <v/>
      </c>
      <c r="Z188" s="9" t="str">
        <f>IF(OR($Y188="",$U$299="S"),"",IF(COUNT($Z$71:$Z187)&gt;=$U$297,"",1))</f>
        <v/>
      </c>
      <c r="AA188" s="49"/>
      <c r="AB188" s="49"/>
      <c r="AC188" s="49"/>
      <c r="AD188" s="49"/>
      <c r="AE188" s="49"/>
      <c r="AF188" s="49"/>
      <c r="AG188" s="49"/>
    </row>
    <row r="189" spans="1:33" ht="14.25" hidden="1" customHeight="1" thickBot="1" x14ac:dyDescent="0.25">
      <c r="B189" s="189" t="s">
        <v>22</v>
      </c>
      <c r="C189" s="207"/>
      <c r="D189" s="185"/>
      <c r="E189" s="185"/>
      <c r="F189" s="215">
        <f>SUM(F187:F188)</f>
        <v>0</v>
      </c>
      <c r="G189" s="215">
        <f>+F189+H189</f>
        <v>0</v>
      </c>
      <c r="H189" s="222">
        <f>SUM(H187:H188)</f>
        <v>0</v>
      </c>
      <c r="I189" s="233"/>
      <c r="J189" s="233"/>
      <c r="K189" s="9"/>
      <c r="L189" s="5" t="s">
        <v>22</v>
      </c>
      <c r="M189" s="107">
        <f>+M187+M188</f>
        <v>0</v>
      </c>
      <c r="N189" s="49"/>
      <c r="O189" s="23">
        <f>SUM(O187:O188)</f>
        <v>0</v>
      </c>
      <c r="P189" s="64">
        <f>+P187+P188</f>
        <v>0</v>
      </c>
      <c r="Q189" s="64">
        <f>+Q187+Q188</f>
        <v>0</v>
      </c>
      <c r="R189" s="49"/>
      <c r="S189" s="23">
        <f>+S187+S188</f>
        <v>0</v>
      </c>
      <c r="T189" s="76"/>
      <c r="U189" s="76"/>
      <c r="V189" s="48">
        <f>+V187+V188</f>
        <v>0</v>
      </c>
      <c r="W189" s="48">
        <f>+W187+W188</f>
        <v>0</v>
      </c>
      <c r="X189" s="33">
        <f>+X187+X188</f>
        <v>0</v>
      </c>
      <c r="Y189" s="12" t="str">
        <f t="shared" si="93"/>
        <v/>
      </c>
      <c r="Z189" s="9" t="str">
        <f>IF(OR($Y189="",$U$299="S"),"",IF(COUNT($Z$71:$Z188)&gt;=$U$297,"",1))</f>
        <v/>
      </c>
      <c r="AA189" s="49"/>
      <c r="AB189" s="49"/>
      <c r="AC189" s="49"/>
      <c r="AD189" s="49"/>
      <c r="AE189" s="49"/>
      <c r="AF189" s="49"/>
      <c r="AG189" s="49"/>
    </row>
    <row r="190" spans="1:33" ht="14.25" hidden="1" customHeight="1" thickBot="1" x14ac:dyDescent="0.25">
      <c r="B190" s="189"/>
      <c r="C190" s="207"/>
      <c r="D190" s="185"/>
      <c r="E190" s="185"/>
      <c r="F190" s="215"/>
      <c r="G190" s="215"/>
      <c r="H190" s="222"/>
      <c r="I190" s="231"/>
      <c r="J190" s="232"/>
      <c r="K190" s="9"/>
      <c r="L190" s="5"/>
      <c r="M190" s="107"/>
      <c r="N190" s="49"/>
      <c r="O190" s="48"/>
      <c r="P190" s="64"/>
      <c r="Q190" s="64"/>
      <c r="R190" s="49"/>
      <c r="S190" s="23"/>
      <c r="T190" s="76"/>
      <c r="U190" s="76"/>
      <c r="V190" s="48"/>
      <c r="W190" s="48"/>
      <c r="X190" s="33"/>
      <c r="Y190" s="12"/>
      <c r="AA190" s="49"/>
      <c r="AB190" s="49"/>
      <c r="AC190" s="49"/>
      <c r="AD190" s="49"/>
      <c r="AE190" s="49"/>
      <c r="AF190" s="49"/>
      <c r="AG190" s="49"/>
    </row>
    <row r="191" spans="1:33" ht="14.25" hidden="1" customHeight="1" thickBot="1" x14ac:dyDescent="0.25">
      <c r="B191" s="212" t="s">
        <v>113</v>
      </c>
      <c r="C191" s="212"/>
      <c r="D191" s="185"/>
      <c r="E191" s="185"/>
      <c r="F191" s="218"/>
      <c r="G191" s="215"/>
      <c r="H191" s="222"/>
      <c r="I191" s="233"/>
      <c r="J191" s="233"/>
      <c r="K191" s="9"/>
      <c r="L191" s="113" t="str">
        <f t="shared" ref="L191:L206" si="119">IF(B191="","",B191)</f>
        <v>（キ）</v>
      </c>
      <c r="M191" s="107"/>
      <c r="N191" s="9"/>
      <c r="O191" s="21"/>
      <c r="P191" s="22"/>
      <c r="Q191" s="22"/>
      <c r="S191" s="23"/>
      <c r="T191" s="74"/>
      <c r="U191" s="74"/>
      <c r="V191" s="25"/>
      <c r="W191" s="25"/>
      <c r="X191" s="82">
        <f t="shared" ref="X191:X206" si="120">IF(AND($U$299="S",$Y191=1),$W191+($W$297/$U$297),IF(AND($U$299="O",$Y191=1,$Z191=1),$W191+($W$297/$U$297),$W191))</f>
        <v>0</v>
      </c>
      <c r="Y191" s="12" t="str">
        <f t="shared" si="93"/>
        <v/>
      </c>
      <c r="Z191" s="9" t="str">
        <f>IF(OR($Y191="",$U$299="S"),"",IF(COUNT($Z$71:$Z189)&gt;=$U$297,"",1))</f>
        <v/>
      </c>
    </row>
    <row r="192" spans="1:33" ht="14.25" hidden="1" customHeight="1" thickBot="1" x14ac:dyDescent="0.25">
      <c r="A192" s="7">
        <v>7</v>
      </c>
      <c r="B192" s="202" t="s">
        <v>111</v>
      </c>
      <c r="C192" s="207" t="str">
        <f t="shared" ref="C192:C206" si="121">IF($B192="","","図面・仕様書どおり")</f>
        <v>図面・仕様書どおり</v>
      </c>
      <c r="D192" s="185" t="str">
        <f t="shared" ref="D192:D206" si="122">IF($B192="","","1")</f>
        <v>1</v>
      </c>
      <c r="E192" s="185" t="str">
        <f t="shared" ref="E192:E206" si="123">IF($D192="","","式")</f>
        <v>式</v>
      </c>
      <c r="F192" s="218">
        <v>0</v>
      </c>
      <c r="G192" s="215">
        <f t="shared" ref="G192:G206" si="124">IF(F192="","",F192+H192)</f>
        <v>0</v>
      </c>
      <c r="H192" s="223">
        <f t="shared" ref="H192:H206" si="125">+X192</f>
        <v>0</v>
      </c>
      <c r="I192" s="233" t="str">
        <f>IF($B192="","","諸経費共")</f>
        <v>諸経費共</v>
      </c>
      <c r="J192" s="233"/>
      <c r="K192" s="98"/>
      <c r="L192" s="1" t="str">
        <f t="shared" si="119"/>
        <v>　○○工事</v>
      </c>
      <c r="M192" s="105">
        <v>0</v>
      </c>
      <c r="N192" s="52">
        <f t="shared" ref="N192:N206" si="126">IF(M192="","",IF(M192&lt;0,0,1))</f>
        <v>1</v>
      </c>
      <c r="O192" s="21">
        <f t="shared" ref="O192:O206" si="127">+M192*$Q$66</f>
        <v>0</v>
      </c>
      <c r="P192" s="22">
        <f t="shared" ref="P192:P206" si="128">+ROUND(O192,-3)</f>
        <v>0</v>
      </c>
      <c r="Q192" s="22">
        <f t="shared" ref="Q192:Q206" si="129">+ROUND(P192,-4)</f>
        <v>0</v>
      </c>
      <c r="R192" s="9">
        <f t="shared" ref="R192:R206" si="130">IF(AND($Q$66&lt;1,$O192&gt;=0),0,IF(AND($Q$66&gt;=1,$O192&lt;0),0,1))</f>
        <v>1</v>
      </c>
      <c r="S192" s="85">
        <f t="shared" ref="S192:S206" si="131">+M192</f>
        <v>0</v>
      </c>
      <c r="T192" s="73">
        <f t="shared" ref="T192:T206" si="132">IF(R192=0,S192/$S$294,0)</f>
        <v>0</v>
      </c>
      <c r="U192" s="19">
        <f t="shared" ref="U192:U206" si="133">RANK(T192,$T$72:$T$289)</f>
        <v>3</v>
      </c>
      <c r="V192" s="25">
        <f t="shared" ref="V192:V206" si="134">INT($S192-$T$66*$T192)</f>
        <v>0</v>
      </c>
      <c r="W192" s="25">
        <f t="shared" ref="W192:W206" si="135">ROUND(V192,-3)</f>
        <v>0</v>
      </c>
      <c r="X192" s="82">
        <f t="shared" si="120"/>
        <v>0</v>
      </c>
      <c r="Y192" s="12" t="str">
        <f t="shared" si="93"/>
        <v/>
      </c>
      <c r="Z192" s="9" t="str">
        <f>IF(OR($Y192="",$U$299="S"),"",IF(COUNT($Z$71:$Z191)&gt;=$U$297,"",1))</f>
        <v/>
      </c>
    </row>
    <row r="193" spans="1:33" ht="14.25" hidden="1" customHeight="1" thickBot="1" x14ac:dyDescent="0.25">
      <c r="A193" s="7">
        <v>2</v>
      </c>
      <c r="B193" s="202" t="s">
        <v>111</v>
      </c>
      <c r="C193" s="207" t="str">
        <f t="shared" si="121"/>
        <v>図面・仕様書どおり</v>
      </c>
      <c r="D193" s="185" t="str">
        <f t="shared" si="122"/>
        <v>1</v>
      </c>
      <c r="E193" s="185" t="str">
        <f t="shared" si="123"/>
        <v>式</v>
      </c>
      <c r="F193" s="218"/>
      <c r="G193" s="215" t="str">
        <f t="shared" si="124"/>
        <v/>
      </c>
      <c r="H193" s="223">
        <f t="shared" si="125"/>
        <v>0</v>
      </c>
      <c r="I193" s="233" t="str">
        <f>IF($B193="","","諸経費共")</f>
        <v>諸経費共</v>
      </c>
      <c r="J193" s="233"/>
      <c r="K193" s="98"/>
      <c r="L193" s="1" t="str">
        <f t="shared" si="119"/>
        <v>　○○工事</v>
      </c>
      <c r="M193" s="105"/>
      <c r="N193" s="52" t="str">
        <f t="shared" si="126"/>
        <v/>
      </c>
      <c r="O193" s="21">
        <f t="shared" si="127"/>
        <v>0</v>
      </c>
      <c r="P193" s="22">
        <f t="shared" si="128"/>
        <v>0</v>
      </c>
      <c r="Q193" s="22">
        <f t="shared" si="129"/>
        <v>0</v>
      </c>
      <c r="R193" s="9">
        <f t="shared" si="130"/>
        <v>1</v>
      </c>
      <c r="S193" s="85">
        <f t="shared" si="131"/>
        <v>0</v>
      </c>
      <c r="T193" s="73">
        <f t="shared" si="132"/>
        <v>0</v>
      </c>
      <c r="U193" s="19">
        <f t="shared" si="133"/>
        <v>3</v>
      </c>
      <c r="V193" s="25">
        <f t="shared" si="134"/>
        <v>0</v>
      </c>
      <c r="W193" s="25">
        <f t="shared" si="135"/>
        <v>0</v>
      </c>
      <c r="X193" s="82">
        <f t="shared" si="120"/>
        <v>0</v>
      </c>
      <c r="Y193" s="12" t="str">
        <f t="shared" si="93"/>
        <v/>
      </c>
      <c r="Z193" s="9" t="str">
        <f>IF(OR($Y193="",$U$299="S"),"",IF(COUNT($Z$71:$Z192)&gt;=$U$297,"",1))</f>
        <v/>
      </c>
    </row>
    <row r="194" spans="1:33" ht="14.25" hidden="1" customHeight="1" thickBot="1" x14ac:dyDescent="0.25">
      <c r="A194" s="7">
        <v>3</v>
      </c>
      <c r="B194" s="202" t="s">
        <v>111</v>
      </c>
      <c r="C194" s="207" t="str">
        <f t="shared" si="121"/>
        <v>図面・仕様書どおり</v>
      </c>
      <c r="D194" s="185" t="str">
        <f t="shared" si="122"/>
        <v>1</v>
      </c>
      <c r="E194" s="185" t="str">
        <f t="shared" si="123"/>
        <v>式</v>
      </c>
      <c r="F194" s="218"/>
      <c r="G194" s="215" t="str">
        <f t="shared" si="124"/>
        <v/>
      </c>
      <c r="H194" s="223">
        <f t="shared" si="125"/>
        <v>0</v>
      </c>
      <c r="I194" s="233" t="str">
        <f>IF($B194="","","諸経費共")</f>
        <v>諸経費共</v>
      </c>
      <c r="J194" s="233"/>
      <c r="K194" s="98"/>
      <c r="L194" s="1" t="str">
        <f t="shared" si="119"/>
        <v>　○○工事</v>
      </c>
      <c r="M194" s="105"/>
      <c r="N194" s="52" t="str">
        <f t="shared" si="126"/>
        <v/>
      </c>
      <c r="O194" s="21">
        <f t="shared" si="127"/>
        <v>0</v>
      </c>
      <c r="P194" s="22">
        <f t="shared" si="128"/>
        <v>0</v>
      </c>
      <c r="Q194" s="22">
        <f t="shared" si="129"/>
        <v>0</v>
      </c>
      <c r="R194" s="9">
        <f t="shared" si="130"/>
        <v>1</v>
      </c>
      <c r="S194" s="85">
        <f t="shared" si="131"/>
        <v>0</v>
      </c>
      <c r="T194" s="73">
        <f t="shared" si="132"/>
        <v>0</v>
      </c>
      <c r="U194" s="19">
        <f t="shared" si="133"/>
        <v>3</v>
      </c>
      <c r="V194" s="25">
        <f t="shared" si="134"/>
        <v>0</v>
      </c>
      <c r="W194" s="25">
        <f t="shared" si="135"/>
        <v>0</v>
      </c>
      <c r="X194" s="82">
        <f t="shared" si="120"/>
        <v>0</v>
      </c>
      <c r="Y194" s="12" t="str">
        <f t="shared" si="93"/>
        <v/>
      </c>
      <c r="Z194" s="9" t="str">
        <f>IF(OR($Y194="",$U$299="S"),"",IF(COUNT($Z$71:$Z193)&gt;=$U$297,"",1))</f>
        <v/>
      </c>
    </row>
    <row r="195" spans="1:33" ht="14.25" hidden="1" customHeight="1" thickBot="1" x14ac:dyDescent="0.25">
      <c r="A195" s="7">
        <v>4</v>
      </c>
      <c r="B195" s="208"/>
      <c r="C195" s="207" t="str">
        <f t="shared" si="121"/>
        <v/>
      </c>
      <c r="D195" s="185" t="str">
        <f t="shared" si="122"/>
        <v/>
      </c>
      <c r="E195" s="185" t="str">
        <f t="shared" si="123"/>
        <v/>
      </c>
      <c r="F195" s="218"/>
      <c r="G195" s="215" t="str">
        <f t="shared" si="124"/>
        <v/>
      </c>
      <c r="H195" s="223">
        <f t="shared" si="125"/>
        <v>0</v>
      </c>
      <c r="I195" s="233" t="str">
        <f>IF($B195="","","諸経費共")</f>
        <v/>
      </c>
      <c r="J195" s="233"/>
      <c r="K195" s="98"/>
      <c r="L195" s="1" t="str">
        <f t="shared" si="119"/>
        <v/>
      </c>
      <c r="M195" s="105"/>
      <c r="N195" s="52" t="str">
        <f t="shared" si="126"/>
        <v/>
      </c>
      <c r="O195" s="21">
        <f t="shared" si="127"/>
        <v>0</v>
      </c>
      <c r="P195" s="22">
        <f t="shared" si="128"/>
        <v>0</v>
      </c>
      <c r="Q195" s="22">
        <f t="shared" si="129"/>
        <v>0</v>
      </c>
      <c r="R195" s="9">
        <f t="shared" si="130"/>
        <v>1</v>
      </c>
      <c r="S195" s="85">
        <f t="shared" si="131"/>
        <v>0</v>
      </c>
      <c r="T195" s="73">
        <f t="shared" si="132"/>
        <v>0</v>
      </c>
      <c r="U195" s="19">
        <f t="shared" si="133"/>
        <v>3</v>
      </c>
      <c r="V195" s="25">
        <f t="shared" si="134"/>
        <v>0</v>
      </c>
      <c r="W195" s="25">
        <f t="shared" si="135"/>
        <v>0</v>
      </c>
      <c r="X195" s="82">
        <f t="shared" si="120"/>
        <v>0</v>
      </c>
      <c r="Y195" s="12" t="str">
        <f t="shared" si="93"/>
        <v/>
      </c>
      <c r="Z195" s="9" t="str">
        <f>IF(OR($Y195="",$U$299="S"),"",IF(COUNT($Z$71:$Z194)&gt;=$U$297,"",1))</f>
        <v/>
      </c>
    </row>
    <row r="196" spans="1:33" ht="14.25" hidden="1" customHeight="1" thickBot="1" x14ac:dyDescent="0.25">
      <c r="A196" s="7">
        <v>5</v>
      </c>
      <c r="B196" s="208"/>
      <c r="C196" s="207" t="str">
        <f t="shared" si="121"/>
        <v/>
      </c>
      <c r="D196" s="185" t="str">
        <f t="shared" si="122"/>
        <v/>
      </c>
      <c r="E196" s="185" t="str">
        <f t="shared" si="123"/>
        <v/>
      </c>
      <c r="F196" s="218"/>
      <c r="G196" s="215" t="str">
        <f t="shared" si="124"/>
        <v/>
      </c>
      <c r="H196" s="223">
        <f t="shared" si="125"/>
        <v>0</v>
      </c>
      <c r="I196" s="233" t="str">
        <f>IF($B196="","","諸経費共")</f>
        <v/>
      </c>
      <c r="J196" s="233"/>
      <c r="K196" s="98"/>
      <c r="L196" s="1" t="str">
        <f t="shared" si="119"/>
        <v/>
      </c>
      <c r="M196" s="105"/>
      <c r="N196" s="52" t="str">
        <f t="shared" si="126"/>
        <v/>
      </c>
      <c r="O196" s="21">
        <f t="shared" si="127"/>
        <v>0</v>
      </c>
      <c r="P196" s="22">
        <f t="shared" si="128"/>
        <v>0</v>
      </c>
      <c r="Q196" s="22">
        <f t="shared" si="129"/>
        <v>0</v>
      </c>
      <c r="R196" s="9">
        <f t="shared" si="130"/>
        <v>1</v>
      </c>
      <c r="S196" s="85">
        <f t="shared" si="131"/>
        <v>0</v>
      </c>
      <c r="T196" s="73">
        <f t="shared" si="132"/>
        <v>0</v>
      </c>
      <c r="U196" s="19">
        <f t="shared" si="133"/>
        <v>3</v>
      </c>
      <c r="V196" s="25">
        <f t="shared" si="134"/>
        <v>0</v>
      </c>
      <c r="W196" s="25">
        <f t="shared" si="135"/>
        <v>0</v>
      </c>
      <c r="X196" s="82">
        <f t="shared" si="120"/>
        <v>0</v>
      </c>
      <c r="Y196" s="12" t="str">
        <f t="shared" si="93"/>
        <v/>
      </c>
      <c r="Z196" s="9" t="str">
        <f>IF(OR($Y196="",$U$299="S"),"",IF(COUNT($Z$71:$Z195)&gt;=$U$297,"",1))</f>
        <v/>
      </c>
    </row>
    <row r="197" spans="1:33" ht="14.25" hidden="1" customHeight="1" thickBot="1" x14ac:dyDescent="0.25">
      <c r="A197" s="7">
        <v>6</v>
      </c>
      <c r="B197" s="208"/>
      <c r="C197" s="207" t="str">
        <f t="shared" si="121"/>
        <v/>
      </c>
      <c r="D197" s="185" t="str">
        <f t="shared" si="122"/>
        <v/>
      </c>
      <c r="E197" s="185" t="str">
        <f t="shared" si="123"/>
        <v/>
      </c>
      <c r="F197" s="218"/>
      <c r="G197" s="215" t="str">
        <f t="shared" si="124"/>
        <v/>
      </c>
      <c r="H197" s="223">
        <f t="shared" si="125"/>
        <v>0</v>
      </c>
      <c r="I197" s="233" t="str">
        <f>IF($B197="","","諸経費共")</f>
        <v/>
      </c>
      <c r="J197" s="233"/>
      <c r="K197" s="98"/>
      <c r="L197" s="1" t="str">
        <f t="shared" si="119"/>
        <v/>
      </c>
      <c r="M197" s="105"/>
      <c r="N197" s="52" t="str">
        <f t="shared" si="126"/>
        <v/>
      </c>
      <c r="O197" s="21">
        <f t="shared" si="127"/>
        <v>0</v>
      </c>
      <c r="P197" s="22">
        <f t="shared" si="128"/>
        <v>0</v>
      </c>
      <c r="Q197" s="22">
        <f t="shared" si="129"/>
        <v>0</v>
      </c>
      <c r="R197" s="9">
        <f t="shared" si="130"/>
        <v>1</v>
      </c>
      <c r="S197" s="85">
        <f t="shared" si="131"/>
        <v>0</v>
      </c>
      <c r="T197" s="73">
        <f t="shared" si="132"/>
        <v>0</v>
      </c>
      <c r="U197" s="19">
        <f t="shared" si="133"/>
        <v>3</v>
      </c>
      <c r="V197" s="25">
        <f t="shared" si="134"/>
        <v>0</v>
      </c>
      <c r="W197" s="25">
        <f t="shared" si="135"/>
        <v>0</v>
      </c>
      <c r="X197" s="82">
        <f t="shared" si="120"/>
        <v>0</v>
      </c>
      <c r="Y197" s="12" t="str">
        <f t="shared" si="93"/>
        <v/>
      </c>
      <c r="Z197" s="9" t="str">
        <f>IF(OR($Y197="",$U$299="S"),"",IF(COUNT($Z$71:$Z196)&gt;=$U$297,"",1))</f>
        <v/>
      </c>
    </row>
    <row r="198" spans="1:33" ht="14.25" hidden="1" customHeight="1" thickBot="1" x14ac:dyDescent="0.25">
      <c r="A198" s="7">
        <v>7</v>
      </c>
      <c r="B198" s="208"/>
      <c r="C198" s="207" t="str">
        <f t="shared" si="121"/>
        <v/>
      </c>
      <c r="D198" s="185" t="str">
        <f t="shared" si="122"/>
        <v/>
      </c>
      <c r="E198" s="185" t="str">
        <f t="shared" si="123"/>
        <v/>
      </c>
      <c r="F198" s="218"/>
      <c r="G198" s="215" t="str">
        <f t="shared" si="124"/>
        <v/>
      </c>
      <c r="H198" s="223">
        <f t="shared" si="125"/>
        <v>0</v>
      </c>
      <c r="I198" s="233" t="str">
        <f>IF($B198="","","諸経費共")</f>
        <v/>
      </c>
      <c r="J198" s="233"/>
      <c r="K198" s="98"/>
      <c r="L198" s="1" t="str">
        <f t="shared" si="119"/>
        <v/>
      </c>
      <c r="M198" s="105"/>
      <c r="N198" s="52" t="str">
        <f t="shared" si="126"/>
        <v/>
      </c>
      <c r="O198" s="21">
        <f t="shared" si="127"/>
        <v>0</v>
      </c>
      <c r="P198" s="22">
        <f t="shared" si="128"/>
        <v>0</v>
      </c>
      <c r="Q198" s="22">
        <f t="shared" si="129"/>
        <v>0</v>
      </c>
      <c r="R198" s="9">
        <f t="shared" si="130"/>
        <v>1</v>
      </c>
      <c r="S198" s="85">
        <f t="shared" si="131"/>
        <v>0</v>
      </c>
      <c r="T198" s="73">
        <f t="shared" si="132"/>
        <v>0</v>
      </c>
      <c r="U198" s="19">
        <f t="shared" si="133"/>
        <v>3</v>
      </c>
      <c r="V198" s="25">
        <f t="shared" si="134"/>
        <v>0</v>
      </c>
      <c r="W198" s="25">
        <f t="shared" si="135"/>
        <v>0</v>
      </c>
      <c r="X198" s="82">
        <f t="shared" si="120"/>
        <v>0</v>
      </c>
      <c r="Y198" s="12" t="str">
        <f t="shared" si="93"/>
        <v/>
      </c>
      <c r="Z198" s="9" t="str">
        <f>IF(OR($Y198="",$U$299="S"),"",IF(COUNT($Z$71:$Z197)&gt;=$U$297,"",1))</f>
        <v/>
      </c>
    </row>
    <row r="199" spans="1:33" ht="14.25" hidden="1" customHeight="1" thickBot="1" x14ac:dyDescent="0.25">
      <c r="A199" s="7">
        <v>8</v>
      </c>
      <c r="B199" s="208"/>
      <c r="C199" s="207" t="str">
        <f t="shared" si="121"/>
        <v/>
      </c>
      <c r="D199" s="185" t="str">
        <f t="shared" si="122"/>
        <v/>
      </c>
      <c r="E199" s="185" t="str">
        <f t="shared" si="123"/>
        <v/>
      </c>
      <c r="F199" s="218"/>
      <c r="G199" s="215" t="str">
        <f t="shared" si="124"/>
        <v/>
      </c>
      <c r="H199" s="223">
        <f t="shared" si="125"/>
        <v>0</v>
      </c>
      <c r="I199" s="233" t="str">
        <f>IF($B199="","","諸経費共")</f>
        <v/>
      </c>
      <c r="J199" s="233"/>
      <c r="K199" s="98"/>
      <c r="L199" s="1" t="str">
        <f t="shared" si="119"/>
        <v/>
      </c>
      <c r="M199" s="105"/>
      <c r="N199" s="52" t="str">
        <f t="shared" si="126"/>
        <v/>
      </c>
      <c r="O199" s="21">
        <f t="shared" si="127"/>
        <v>0</v>
      </c>
      <c r="P199" s="22">
        <f t="shared" si="128"/>
        <v>0</v>
      </c>
      <c r="Q199" s="22">
        <f t="shared" si="129"/>
        <v>0</v>
      </c>
      <c r="R199" s="9">
        <f t="shared" si="130"/>
        <v>1</v>
      </c>
      <c r="S199" s="85">
        <f t="shared" si="131"/>
        <v>0</v>
      </c>
      <c r="T199" s="73">
        <f t="shared" si="132"/>
        <v>0</v>
      </c>
      <c r="U199" s="19">
        <f t="shared" si="133"/>
        <v>3</v>
      </c>
      <c r="V199" s="25">
        <f t="shared" si="134"/>
        <v>0</v>
      </c>
      <c r="W199" s="25">
        <f t="shared" si="135"/>
        <v>0</v>
      </c>
      <c r="X199" s="82">
        <f t="shared" si="120"/>
        <v>0</v>
      </c>
      <c r="Y199" s="12" t="str">
        <f t="shared" si="93"/>
        <v/>
      </c>
      <c r="Z199" s="9" t="str">
        <f>IF(OR($Y199="",$U$299="S"),"",IF(COUNT($Z$71:$Z198)&gt;=$U$297,"",1))</f>
        <v/>
      </c>
    </row>
    <row r="200" spans="1:33" ht="14.25" hidden="1" customHeight="1" thickBot="1" x14ac:dyDescent="0.25">
      <c r="A200" s="7">
        <v>9</v>
      </c>
      <c r="B200" s="208"/>
      <c r="C200" s="207" t="str">
        <f t="shared" si="121"/>
        <v/>
      </c>
      <c r="D200" s="185" t="str">
        <f t="shared" si="122"/>
        <v/>
      </c>
      <c r="E200" s="185" t="str">
        <f t="shared" si="123"/>
        <v/>
      </c>
      <c r="F200" s="218"/>
      <c r="G200" s="215" t="str">
        <f t="shared" si="124"/>
        <v/>
      </c>
      <c r="H200" s="223">
        <f t="shared" si="125"/>
        <v>0</v>
      </c>
      <c r="I200" s="233" t="str">
        <f>IF($B200="","","諸経費共")</f>
        <v/>
      </c>
      <c r="J200" s="233"/>
      <c r="K200" s="98"/>
      <c r="L200" s="1" t="str">
        <f t="shared" si="119"/>
        <v/>
      </c>
      <c r="M200" s="105"/>
      <c r="N200" s="52" t="str">
        <f t="shared" si="126"/>
        <v/>
      </c>
      <c r="O200" s="21">
        <f t="shared" si="127"/>
        <v>0</v>
      </c>
      <c r="P200" s="22">
        <f t="shared" si="128"/>
        <v>0</v>
      </c>
      <c r="Q200" s="22">
        <f t="shared" si="129"/>
        <v>0</v>
      </c>
      <c r="R200" s="9">
        <f t="shared" si="130"/>
        <v>1</v>
      </c>
      <c r="S200" s="85">
        <f t="shared" si="131"/>
        <v>0</v>
      </c>
      <c r="T200" s="73">
        <f t="shared" si="132"/>
        <v>0</v>
      </c>
      <c r="U200" s="19">
        <f t="shared" si="133"/>
        <v>3</v>
      </c>
      <c r="V200" s="25">
        <f t="shared" si="134"/>
        <v>0</v>
      </c>
      <c r="W200" s="25">
        <f t="shared" si="135"/>
        <v>0</v>
      </c>
      <c r="X200" s="82">
        <f t="shared" si="120"/>
        <v>0</v>
      </c>
      <c r="Y200" s="12" t="str">
        <f t="shared" si="93"/>
        <v/>
      </c>
      <c r="Z200" s="9" t="str">
        <f>IF(OR($Y200="",$U$299="S"),"",IF(COUNT($Z$71:$Z199)&gt;=$U$297,"",1))</f>
        <v/>
      </c>
    </row>
    <row r="201" spans="1:33" ht="14.25" hidden="1" customHeight="1" thickBot="1" x14ac:dyDescent="0.25">
      <c r="A201" s="7">
        <v>10</v>
      </c>
      <c r="B201" s="208"/>
      <c r="C201" s="207" t="str">
        <f t="shared" si="121"/>
        <v/>
      </c>
      <c r="D201" s="185" t="str">
        <f t="shared" si="122"/>
        <v/>
      </c>
      <c r="E201" s="185" t="str">
        <f t="shared" si="123"/>
        <v/>
      </c>
      <c r="F201" s="218"/>
      <c r="G201" s="215" t="str">
        <f t="shared" si="124"/>
        <v/>
      </c>
      <c r="H201" s="223">
        <f t="shared" si="125"/>
        <v>0</v>
      </c>
      <c r="I201" s="233" t="str">
        <f>IF($B201="","","諸経費共")</f>
        <v/>
      </c>
      <c r="J201" s="233"/>
      <c r="K201" s="98"/>
      <c r="L201" s="1" t="str">
        <f t="shared" si="119"/>
        <v/>
      </c>
      <c r="M201" s="105"/>
      <c r="N201" s="52" t="str">
        <f t="shared" si="126"/>
        <v/>
      </c>
      <c r="O201" s="21">
        <f t="shared" si="127"/>
        <v>0</v>
      </c>
      <c r="P201" s="22">
        <f t="shared" si="128"/>
        <v>0</v>
      </c>
      <c r="Q201" s="22">
        <f t="shared" si="129"/>
        <v>0</v>
      </c>
      <c r="R201" s="9">
        <f t="shared" si="130"/>
        <v>1</v>
      </c>
      <c r="S201" s="85">
        <f t="shared" si="131"/>
        <v>0</v>
      </c>
      <c r="T201" s="73">
        <f t="shared" si="132"/>
        <v>0</v>
      </c>
      <c r="U201" s="19">
        <f t="shared" si="133"/>
        <v>3</v>
      </c>
      <c r="V201" s="25">
        <f t="shared" si="134"/>
        <v>0</v>
      </c>
      <c r="W201" s="25">
        <f t="shared" si="135"/>
        <v>0</v>
      </c>
      <c r="X201" s="82">
        <f t="shared" si="120"/>
        <v>0</v>
      </c>
      <c r="Y201" s="12" t="str">
        <f t="shared" si="93"/>
        <v/>
      </c>
      <c r="Z201" s="9" t="str">
        <f>IF(OR($Y201="",$U$299="S"),"",IF(COUNT($Z$71:$Z200)&gt;=$U$297,"",1))</f>
        <v/>
      </c>
    </row>
    <row r="202" spans="1:33" ht="14.25" hidden="1" customHeight="1" thickBot="1" x14ac:dyDescent="0.25">
      <c r="A202" s="7">
        <v>11</v>
      </c>
      <c r="B202" s="208"/>
      <c r="C202" s="207" t="str">
        <f t="shared" si="121"/>
        <v/>
      </c>
      <c r="D202" s="185" t="str">
        <f t="shared" si="122"/>
        <v/>
      </c>
      <c r="E202" s="185" t="str">
        <f t="shared" si="123"/>
        <v/>
      </c>
      <c r="F202" s="218"/>
      <c r="G202" s="215" t="str">
        <f t="shared" si="124"/>
        <v/>
      </c>
      <c r="H202" s="223">
        <f t="shared" si="125"/>
        <v>0</v>
      </c>
      <c r="I202" s="233" t="str">
        <f>IF($B202="","","諸経費共")</f>
        <v/>
      </c>
      <c r="J202" s="233"/>
      <c r="K202" s="98"/>
      <c r="L202" s="1" t="str">
        <f t="shared" si="119"/>
        <v/>
      </c>
      <c r="M202" s="105"/>
      <c r="N202" s="52" t="str">
        <f t="shared" si="126"/>
        <v/>
      </c>
      <c r="O202" s="21">
        <f t="shared" si="127"/>
        <v>0</v>
      </c>
      <c r="P202" s="22">
        <f t="shared" si="128"/>
        <v>0</v>
      </c>
      <c r="Q202" s="22">
        <f t="shared" si="129"/>
        <v>0</v>
      </c>
      <c r="R202" s="9">
        <f t="shared" si="130"/>
        <v>1</v>
      </c>
      <c r="S202" s="85">
        <f t="shared" si="131"/>
        <v>0</v>
      </c>
      <c r="T202" s="73">
        <f t="shared" si="132"/>
        <v>0</v>
      </c>
      <c r="U202" s="19">
        <f t="shared" si="133"/>
        <v>3</v>
      </c>
      <c r="V202" s="25">
        <f t="shared" si="134"/>
        <v>0</v>
      </c>
      <c r="W202" s="25">
        <f t="shared" si="135"/>
        <v>0</v>
      </c>
      <c r="X202" s="82">
        <f t="shared" si="120"/>
        <v>0</v>
      </c>
      <c r="Y202" s="12" t="str">
        <f t="shared" si="93"/>
        <v/>
      </c>
      <c r="Z202" s="9" t="str">
        <f>IF(OR($Y202="",$U$299="S"),"",IF(COUNT($Z$71:$Z201)&gt;=$U$297,"",1))</f>
        <v/>
      </c>
    </row>
    <row r="203" spans="1:33" ht="14.25" hidden="1" customHeight="1" thickBot="1" x14ac:dyDescent="0.25">
      <c r="A203" s="7">
        <v>12</v>
      </c>
      <c r="B203" s="208"/>
      <c r="C203" s="207" t="str">
        <f t="shared" si="121"/>
        <v/>
      </c>
      <c r="D203" s="185" t="str">
        <f t="shared" si="122"/>
        <v/>
      </c>
      <c r="E203" s="185" t="str">
        <f t="shared" si="123"/>
        <v/>
      </c>
      <c r="F203" s="218"/>
      <c r="G203" s="215" t="str">
        <f t="shared" si="124"/>
        <v/>
      </c>
      <c r="H203" s="223">
        <f t="shared" si="125"/>
        <v>0</v>
      </c>
      <c r="I203" s="234" t="str">
        <f>IF($B203="","","諸経費共")</f>
        <v/>
      </c>
      <c r="J203" s="235"/>
      <c r="K203" s="98"/>
      <c r="L203" s="1" t="str">
        <f t="shared" si="119"/>
        <v/>
      </c>
      <c r="M203" s="105"/>
      <c r="N203" s="52" t="str">
        <f t="shared" si="126"/>
        <v/>
      </c>
      <c r="O203" s="21">
        <f t="shared" si="127"/>
        <v>0</v>
      </c>
      <c r="P203" s="22">
        <f t="shared" si="128"/>
        <v>0</v>
      </c>
      <c r="Q203" s="22">
        <f t="shared" si="129"/>
        <v>0</v>
      </c>
      <c r="R203" s="9">
        <f t="shared" si="130"/>
        <v>1</v>
      </c>
      <c r="S203" s="85">
        <f t="shared" si="131"/>
        <v>0</v>
      </c>
      <c r="T203" s="73">
        <f t="shared" si="132"/>
        <v>0</v>
      </c>
      <c r="U203" s="19">
        <f t="shared" si="133"/>
        <v>3</v>
      </c>
      <c r="V203" s="25">
        <f t="shared" si="134"/>
        <v>0</v>
      </c>
      <c r="W203" s="25">
        <f t="shared" si="135"/>
        <v>0</v>
      </c>
      <c r="X203" s="82">
        <f t="shared" si="120"/>
        <v>0</v>
      </c>
      <c r="Y203" s="12" t="str">
        <f t="shared" si="93"/>
        <v/>
      </c>
      <c r="Z203" s="9" t="str">
        <f>IF(OR($Y203="",$U$299="S"),"",IF(COUNT($Z$71:$Z202)&gt;=$U$297,"",1))</f>
        <v/>
      </c>
    </row>
    <row r="204" spans="1:33" ht="14.25" hidden="1" customHeight="1" thickBot="1" x14ac:dyDescent="0.25">
      <c r="A204" s="7">
        <v>13</v>
      </c>
      <c r="B204" s="208"/>
      <c r="C204" s="207" t="str">
        <f t="shared" si="121"/>
        <v/>
      </c>
      <c r="D204" s="185" t="str">
        <f t="shared" si="122"/>
        <v/>
      </c>
      <c r="E204" s="185" t="str">
        <f t="shared" si="123"/>
        <v/>
      </c>
      <c r="F204" s="218"/>
      <c r="G204" s="215" t="str">
        <f t="shared" si="124"/>
        <v/>
      </c>
      <c r="H204" s="223">
        <f t="shared" si="125"/>
        <v>0</v>
      </c>
      <c r="I204" s="233" t="str">
        <f>IF($B204="","","諸経費共")</f>
        <v/>
      </c>
      <c r="J204" s="233"/>
      <c r="K204" s="98"/>
      <c r="L204" s="1" t="str">
        <f t="shared" si="119"/>
        <v/>
      </c>
      <c r="M204" s="105"/>
      <c r="N204" s="52" t="str">
        <f t="shared" si="126"/>
        <v/>
      </c>
      <c r="O204" s="21">
        <f t="shared" si="127"/>
        <v>0</v>
      </c>
      <c r="P204" s="22">
        <f t="shared" si="128"/>
        <v>0</v>
      </c>
      <c r="Q204" s="22">
        <f t="shared" si="129"/>
        <v>0</v>
      </c>
      <c r="R204" s="9">
        <f t="shared" si="130"/>
        <v>1</v>
      </c>
      <c r="S204" s="85">
        <f t="shared" si="131"/>
        <v>0</v>
      </c>
      <c r="T204" s="73">
        <f t="shared" si="132"/>
        <v>0</v>
      </c>
      <c r="U204" s="19">
        <f t="shared" si="133"/>
        <v>3</v>
      </c>
      <c r="V204" s="25">
        <f t="shared" si="134"/>
        <v>0</v>
      </c>
      <c r="W204" s="25">
        <f t="shared" si="135"/>
        <v>0</v>
      </c>
      <c r="X204" s="82">
        <f t="shared" si="120"/>
        <v>0</v>
      </c>
      <c r="Y204" s="12" t="str">
        <f t="shared" si="93"/>
        <v/>
      </c>
      <c r="Z204" s="9" t="str">
        <f>IF(OR($Y204="",$U$299="S"),"",IF(COUNT($Z$71:$Z203)&gt;=$U$297,"",1))</f>
        <v/>
      </c>
    </row>
    <row r="205" spans="1:33" ht="14.25" hidden="1" customHeight="1" thickBot="1" x14ac:dyDescent="0.25">
      <c r="A205" s="7">
        <v>14</v>
      </c>
      <c r="B205" s="208"/>
      <c r="C205" s="207" t="str">
        <f t="shared" si="121"/>
        <v/>
      </c>
      <c r="D205" s="185" t="str">
        <f t="shared" si="122"/>
        <v/>
      </c>
      <c r="E205" s="185" t="str">
        <f t="shared" si="123"/>
        <v/>
      </c>
      <c r="F205" s="218"/>
      <c r="G205" s="215" t="str">
        <f t="shared" si="124"/>
        <v/>
      </c>
      <c r="H205" s="223">
        <f t="shared" si="125"/>
        <v>0</v>
      </c>
      <c r="I205" s="233" t="str">
        <f>IF($B205="","","諸経費共")</f>
        <v/>
      </c>
      <c r="J205" s="233"/>
      <c r="K205" s="98"/>
      <c r="L205" s="1" t="str">
        <f t="shared" si="119"/>
        <v/>
      </c>
      <c r="M205" s="105"/>
      <c r="N205" s="52" t="str">
        <f t="shared" si="126"/>
        <v/>
      </c>
      <c r="O205" s="21">
        <f t="shared" si="127"/>
        <v>0</v>
      </c>
      <c r="P205" s="22">
        <f t="shared" si="128"/>
        <v>0</v>
      </c>
      <c r="Q205" s="22">
        <f t="shared" si="129"/>
        <v>0</v>
      </c>
      <c r="R205" s="9">
        <f t="shared" si="130"/>
        <v>1</v>
      </c>
      <c r="S205" s="85">
        <f t="shared" si="131"/>
        <v>0</v>
      </c>
      <c r="T205" s="73">
        <f t="shared" si="132"/>
        <v>0</v>
      </c>
      <c r="U205" s="19">
        <f t="shared" si="133"/>
        <v>3</v>
      </c>
      <c r="V205" s="25">
        <f t="shared" si="134"/>
        <v>0</v>
      </c>
      <c r="W205" s="25">
        <f t="shared" si="135"/>
        <v>0</v>
      </c>
      <c r="X205" s="82">
        <f t="shared" si="120"/>
        <v>0</v>
      </c>
      <c r="Y205" s="12" t="str">
        <f t="shared" si="93"/>
        <v/>
      </c>
      <c r="Z205" s="9" t="str">
        <f>IF(OR($Y205="",$U$299="S"),"",IF(COUNT($Z$71:$Z204)&gt;=$U$297,"",1))</f>
        <v/>
      </c>
    </row>
    <row r="206" spans="1:33" ht="14.25" hidden="1" customHeight="1" thickBot="1" x14ac:dyDescent="0.25">
      <c r="A206" s="7">
        <v>15</v>
      </c>
      <c r="B206" s="208"/>
      <c r="C206" s="207" t="str">
        <f t="shared" si="121"/>
        <v/>
      </c>
      <c r="D206" s="185" t="str">
        <f t="shared" si="122"/>
        <v/>
      </c>
      <c r="E206" s="185" t="str">
        <f t="shared" si="123"/>
        <v/>
      </c>
      <c r="F206" s="218"/>
      <c r="G206" s="215" t="str">
        <f t="shared" si="124"/>
        <v/>
      </c>
      <c r="H206" s="223">
        <f t="shared" si="125"/>
        <v>0</v>
      </c>
      <c r="I206" s="233" t="str">
        <f>IF($B206="","","諸経費共")</f>
        <v/>
      </c>
      <c r="J206" s="233"/>
      <c r="K206" s="98"/>
      <c r="L206" s="1" t="str">
        <f t="shared" si="119"/>
        <v/>
      </c>
      <c r="M206" s="105"/>
      <c r="N206" s="52" t="str">
        <f t="shared" si="126"/>
        <v/>
      </c>
      <c r="O206" s="21">
        <f t="shared" si="127"/>
        <v>0</v>
      </c>
      <c r="P206" s="22">
        <f t="shared" si="128"/>
        <v>0</v>
      </c>
      <c r="Q206" s="22">
        <f t="shared" si="129"/>
        <v>0</v>
      </c>
      <c r="R206" s="9">
        <f t="shared" si="130"/>
        <v>1</v>
      </c>
      <c r="S206" s="85">
        <f t="shared" si="131"/>
        <v>0</v>
      </c>
      <c r="T206" s="73">
        <f t="shared" si="132"/>
        <v>0</v>
      </c>
      <c r="U206" s="19">
        <f t="shared" si="133"/>
        <v>3</v>
      </c>
      <c r="V206" s="25">
        <f t="shared" si="134"/>
        <v>0</v>
      </c>
      <c r="W206" s="25">
        <f t="shared" si="135"/>
        <v>0</v>
      </c>
      <c r="X206" s="82">
        <f t="shared" si="120"/>
        <v>0</v>
      </c>
      <c r="Y206" s="12" t="str">
        <f t="shared" si="93"/>
        <v/>
      </c>
      <c r="Z206" s="9" t="str">
        <f>IF(OR($Y206="",$U$299="S"),"",IF(COUNT($Z$71:$Z205)&gt;=$U$297,"",1))</f>
        <v/>
      </c>
    </row>
    <row r="207" spans="1:33" ht="14.25" hidden="1" customHeight="1" thickBot="1" x14ac:dyDescent="0.25">
      <c r="B207" s="209" t="s">
        <v>20</v>
      </c>
      <c r="C207" s="207"/>
      <c r="D207" s="185"/>
      <c r="E207" s="185"/>
      <c r="F207" s="218">
        <f>SUM(F192:F206)</f>
        <v>0</v>
      </c>
      <c r="G207" s="215">
        <f>+F207+H207</f>
        <v>0</v>
      </c>
      <c r="H207" s="222">
        <f>SUM(H192:H206)</f>
        <v>0</v>
      </c>
      <c r="I207" s="233"/>
      <c r="J207" s="233"/>
      <c r="K207" s="9"/>
      <c r="L207" s="4" t="s">
        <v>23</v>
      </c>
      <c r="M207" s="114">
        <f>SUM(M192:M206)</f>
        <v>0</v>
      </c>
      <c r="N207" s="9"/>
      <c r="O207" s="115">
        <f>SUM(O192:O206)</f>
        <v>0</v>
      </c>
      <c r="P207" s="116">
        <f>SUM(P192:P206)</f>
        <v>0</v>
      </c>
      <c r="Q207" s="116">
        <f>SUM(Q192:Q206)</f>
        <v>0</v>
      </c>
      <c r="S207" s="117">
        <f>SUM(S192:S206)</f>
        <v>0</v>
      </c>
      <c r="T207" s="74"/>
      <c r="U207" s="74"/>
      <c r="V207" s="118">
        <f>SUM(V192:V206)</f>
        <v>0</v>
      </c>
      <c r="W207" s="118">
        <f>SUM(W192:W206)</f>
        <v>0</v>
      </c>
      <c r="X207" s="119">
        <f>SUM(X192:X206)</f>
        <v>0</v>
      </c>
      <c r="Y207" s="12" t="str">
        <f t="shared" si="93"/>
        <v/>
      </c>
      <c r="Z207" s="9" t="str">
        <f>IF(OR($Y207="",$U$299="S"),"",IF(COUNT($Z$71:$Z206)&gt;=$U$297,"",1))</f>
        <v/>
      </c>
    </row>
    <row r="208" spans="1:33" ht="14.25" hidden="1" customHeight="1" thickBot="1" x14ac:dyDescent="0.25">
      <c r="B208" s="210" t="s">
        <v>21</v>
      </c>
      <c r="C208" s="207"/>
      <c r="D208" s="185">
        <v>1</v>
      </c>
      <c r="E208" s="185" t="str">
        <f>IF($D208="","","式")</f>
        <v>式</v>
      </c>
      <c r="F208" s="218"/>
      <c r="G208" s="215">
        <f>+F208+H208</f>
        <v>0</v>
      </c>
      <c r="H208" s="222">
        <f>H207*0.1</f>
        <v>0</v>
      </c>
      <c r="I208" s="233"/>
      <c r="J208" s="233"/>
      <c r="K208" s="9"/>
      <c r="L208" s="3" t="s">
        <v>21</v>
      </c>
      <c r="M208" s="107">
        <f>+M207*0.1</f>
        <v>0</v>
      </c>
      <c r="N208" s="49"/>
      <c r="O208" s="63">
        <f>+O207*0.1</f>
        <v>0</v>
      </c>
      <c r="P208" s="64">
        <f>+P207*0.1</f>
        <v>0</v>
      </c>
      <c r="Q208" s="64">
        <f>+Q207*0.1</f>
        <v>0</v>
      </c>
      <c r="R208" s="49"/>
      <c r="S208" s="23">
        <f>+S207*0.1</f>
        <v>0</v>
      </c>
      <c r="T208" s="76"/>
      <c r="U208" s="76"/>
      <c r="V208" s="48">
        <f>+V207*0.1</f>
        <v>0</v>
      </c>
      <c r="W208" s="48">
        <f>+W207*0.1</f>
        <v>0</v>
      </c>
      <c r="X208" s="33">
        <f>+X207*0.1</f>
        <v>0</v>
      </c>
      <c r="Y208" s="12" t="str">
        <f t="shared" si="93"/>
        <v/>
      </c>
      <c r="Z208" s="9" t="str">
        <f>IF(OR($Y208="",$U$299="S"),"",IF(COUNT($Z$71:$Z207)&gt;=$U$297,"",1))</f>
        <v/>
      </c>
      <c r="AA208" s="49"/>
      <c r="AB208" s="49"/>
      <c r="AC208" s="49"/>
      <c r="AD208" s="49"/>
      <c r="AE208" s="49"/>
      <c r="AF208" s="49"/>
      <c r="AG208" s="49"/>
    </row>
    <row r="209" spans="1:33" ht="14.25" hidden="1" customHeight="1" thickBot="1" x14ac:dyDescent="0.25">
      <c r="B209" s="189" t="s">
        <v>22</v>
      </c>
      <c r="C209" s="207"/>
      <c r="D209" s="185"/>
      <c r="E209" s="185"/>
      <c r="F209" s="218">
        <f>SUM(F207:F208)</f>
        <v>0</v>
      </c>
      <c r="G209" s="215">
        <f>+F209+H209</f>
        <v>0</v>
      </c>
      <c r="H209" s="222">
        <f>SUM(H207:H208)</f>
        <v>0</v>
      </c>
      <c r="I209" s="233"/>
      <c r="J209" s="233"/>
      <c r="K209" s="9"/>
      <c r="L209" s="5" t="s">
        <v>22</v>
      </c>
      <c r="M209" s="107">
        <f>+M207+M208</f>
        <v>0</v>
      </c>
      <c r="N209" s="49"/>
      <c r="O209" s="23">
        <f>SUM(O207:O208)</f>
        <v>0</v>
      </c>
      <c r="P209" s="64">
        <f>+P207+P208</f>
        <v>0</v>
      </c>
      <c r="Q209" s="64">
        <f>+Q207+Q208</f>
        <v>0</v>
      </c>
      <c r="R209" s="49"/>
      <c r="S209" s="23">
        <f>+S207+S208</f>
        <v>0</v>
      </c>
      <c r="T209" s="76"/>
      <c r="U209" s="76"/>
      <c r="V209" s="48">
        <f>+V207+V208</f>
        <v>0</v>
      </c>
      <c r="W209" s="48">
        <f>+W207+W208</f>
        <v>0</v>
      </c>
      <c r="X209" s="33">
        <f>+X207+X208</f>
        <v>0</v>
      </c>
      <c r="Y209" s="12" t="str">
        <f t="shared" si="93"/>
        <v/>
      </c>
      <c r="Z209" s="9" t="str">
        <f>IF(OR($Y209="",$U$299="S"),"",IF(COUNT($Z$71:$Z208)&gt;=$U$297,"",1))</f>
        <v/>
      </c>
      <c r="AA209" s="49"/>
      <c r="AB209" s="49"/>
      <c r="AC209" s="49"/>
      <c r="AD209" s="49"/>
      <c r="AE209" s="49"/>
      <c r="AF209" s="49"/>
      <c r="AG209" s="49"/>
    </row>
    <row r="210" spans="1:33" ht="14.25" hidden="1" customHeight="1" thickBot="1" x14ac:dyDescent="0.25">
      <c r="B210" s="189"/>
      <c r="C210" s="207"/>
      <c r="D210" s="185"/>
      <c r="E210" s="185"/>
      <c r="F210" s="218"/>
      <c r="G210" s="215"/>
      <c r="H210" s="222"/>
      <c r="I210" s="231"/>
      <c r="J210" s="232"/>
      <c r="K210" s="9"/>
      <c r="L210" s="5"/>
      <c r="M210" s="107"/>
      <c r="N210" s="49"/>
      <c r="O210" s="48"/>
      <c r="P210" s="64"/>
      <c r="Q210" s="64"/>
      <c r="R210" s="49"/>
      <c r="S210" s="23"/>
      <c r="T210" s="76"/>
      <c r="U210" s="76"/>
      <c r="V210" s="48"/>
      <c r="W210" s="48"/>
      <c r="X210" s="33"/>
      <c r="Y210" s="12"/>
      <c r="AA210" s="49"/>
      <c r="AB210" s="49"/>
      <c r="AC210" s="49"/>
      <c r="AD210" s="49"/>
      <c r="AE210" s="49"/>
      <c r="AF210" s="49"/>
      <c r="AG210" s="49"/>
    </row>
    <row r="211" spans="1:33" ht="14.25" hidden="1" customHeight="1" thickBot="1" x14ac:dyDescent="0.25">
      <c r="B211" s="212" t="s">
        <v>114</v>
      </c>
      <c r="C211" s="212"/>
      <c r="D211" s="185"/>
      <c r="E211" s="185"/>
      <c r="F211" s="218"/>
      <c r="G211" s="215"/>
      <c r="H211" s="222"/>
      <c r="I211" s="233"/>
      <c r="J211" s="233"/>
      <c r="K211" s="9"/>
      <c r="L211" s="113" t="str">
        <f t="shared" ref="L211:L226" si="136">IF(B211="","",B211)</f>
        <v>（ク）</v>
      </c>
      <c r="M211" s="107"/>
      <c r="N211" s="9"/>
      <c r="O211" s="21"/>
      <c r="P211" s="22"/>
      <c r="Q211" s="22"/>
      <c r="S211" s="23"/>
      <c r="T211" s="74"/>
      <c r="U211" s="74"/>
      <c r="V211" s="25"/>
      <c r="W211" s="25"/>
      <c r="X211" s="82">
        <f t="shared" ref="X211:X226" si="137">IF(AND($U$299="S",$Y211=1),$W211+($W$297/$U$297),IF(AND($U$299="O",$Y211=1,$Z211=1),$W211+($W$297/$U$297),$W211))</f>
        <v>0</v>
      </c>
      <c r="Y211" s="12" t="str">
        <f t="shared" si="93"/>
        <v/>
      </c>
      <c r="Z211" s="9" t="str">
        <f>IF(OR($Y211="",$U$299="S"),"",IF(COUNT($Z$71:$Z209)&gt;=$U$297,"",1))</f>
        <v/>
      </c>
    </row>
    <row r="212" spans="1:33" ht="14.25" hidden="1" customHeight="1" thickBot="1" x14ac:dyDescent="0.25">
      <c r="A212" s="7">
        <v>8</v>
      </c>
      <c r="B212" s="202" t="s">
        <v>111</v>
      </c>
      <c r="C212" s="207" t="str">
        <f t="shared" ref="C212:C226" si="138">IF($B212="","","図面・仕様書どおり")</f>
        <v>図面・仕様書どおり</v>
      </c>
      <c r="D212" s="185" t="str">
        <f t="shared" ref="D212:D226" si="139">IF($B212="","","1")</f>
        <v>1</v>
      </c>
      <c r="E212" s="185" t="str">
        <f t="shared" ref="E212:E226" si="140">IF($D212="","","式")</f>
        <v>式</v>
      </c>
      <c r="F212" s="218">
        <v>0</v>
      </c>
      <c r="G212" s="215">
        <f t="shared" ref="G212:G226" si="141">IF(F212="","",F212+H212)</f>
        <v>0</v>
      </c>
      <c r="H212" s="223">
        <f t="shared" ref="H212:H226" si="142">+X212</f>
        <v>0</v>
      </c>
      <c r="I212" s="233" t="str">
        <f>IF($B212="","","諸経費共")</f>
        <v>諸経費共</v>
      </c>
      <c r="J212" s="233"/>
      <c r="K212" s="98"/>
      <c r="L212" s="1" t="str">
        <f t="shared" si="136"/>
        <v>　○○工事</v>
      </c>
      <c r="M212" s="105"/>
      <c r="N212" s="52" t="str">
        <f t="shared" ref="N212:N226" si="143">IF(M212="","",IF(M212&lt;0,0,1))</f>
        <v/>
      </c>
      <c r="O212" s="21">
        <f t="shared" ref="O212:O226" si="144">+M212*$Q$66</f>
        <v>0</v>
      </c>
      <c r="P212" s="22">
        <f t="shared" ref="P212:P226" si="145">+ROUND(O212,-3)</f>
        <v>0</v>
      </c>
      <c r="Q212" s="22">
        <f t="shared" ref="Q212:Q226" si="146">+ROUND(P212,-4)</f>
        <v>0</v>
      </c>
      <c r="R212" s="9">
        <f t="shared" ref="R212:R226" si="147">IF(AND($Q$66&lt;1,$O212&gt;=0),0,IF(AND($Q$66&gt;=1,$O212&lt;0),0,1))</f>
        <v>1</v>
      </c>
      <c r="S212" s="85">
        <f t="shared" ref="S212:S226" si="148">+M212</f>
        <v>0</v>
      </c>
      <c r="T212" s="73">
        <f t="shared" ref="T212:T226" si="149">IF(R212=0,S212/$S$294,0)</f>
        <v>0</v>
      </c>
      <c r="U212" s="19">
        <f t="shared" ref="U212:U226" si="150">RANK(T212,$T$72:$T$289)</f>
        <v>3</v>
      </c>
      <c r="V212" s="25">
        <f t="shared" ref="V212:V226" si="151">INT($S212-$T$66*$T212)</f>
        <v>0</v>
      </c>
      <c r="W212" s="25">
        <f t="shared" ref="W212:W226" si="152">ROUND(V212,-3)</f>
        <v>0</v>
      </c>
      <c r="X212" s="82">
        <f t="shared" si="137"/>
        <v>0</v>
      </c>
      <c r="Y212" s="12" t="str">
        <f t="shared" si="93"/>
        <v/>
      </c>
      <c r="Z212" s="9" t="str">
        <f>IF(OR($Y212="",$U$299="S"),"",IF(COUNT($Z$71:$Z211)&gt;=$U$297,"",1))</f>
        <v/>
      </c>
    </row>
    <row r="213" spans="1:33" ht="14.25" hidden="1" customHeight="1" thickBot="1" x14ac:dyDescent="0.25">
      <c r="A213" s="7">
        <v>2</v>
      </c>
      <c r="B213" s="202" t="s">
        <v>111</v>
      </c>
      <c r="C213" s="207" t="str">
        <f t="shared" si="138"/>
        <v>図面・仕様書どおり</v>
      </c>
      <c r="D213" s="185" t="str">
        <f t="shared" si="139"/>
        <v>1</v>
      </c>
      <c r="E213" s="185" t="str">
        <f t="shared" si="140"/>
        <v>式</v>
      </c>
      <c r="F213" s="218"/>
      <c r="G213" s="215" t="str">
        <f t="shared" si="141"/>
        <v/>
      </c>
      <c r="H213" s="223">
        <f t="shared" si="142"/>
        <v>0</v>
      </c>
      <c r="I213" s="233" t="str">
        <f>IF($B213="","","諸経費共")</f>
        <v>諸経費共</v>
      </c>
      <c r="J213" s="233"/>
      <c r="K213" s="98"/>
      <c r="L213" s="1" t="str">
        <f t="shared" si="136"/>
        <v>　○○工事</v>
      </c>
      <c r="M213" s="105"/>
      <c r="N213" s="52" t="str">
        <f t="shared" si="143"/>
        <v/>
      </c>
      <c r="O213" s="21">
        <f t="shared" si="144"/>
        <v>0</v>
      </c>
      <c r="P213" s="22">
        <f t="shared" si="145"/>
        <v>0</v>
      </c>
      <c r="Q213" s="22">
        <f t="shared" si="146"/>
        <v>0</v>
      </c>
      <c r="R213" s="9">
        <f t="shared" si="147"/>
        <v>1</v>
      </c>
      <c r="S213" s="85">
        <f t="shared" si="148"/>
        <v>0</v>
      </c>
      <c r="T213" s="73">
        <f t="shared" si="149"/>
        <v>0</v>
      </c>
      <c r="U213" s="19">
        <f t="shared" si="150"/>
        <v>3</v>
      </c>
      <c r="V213" s="25">
        <f t="shared" si="151"/>
        <v>0</v>
      </c>
      <c r="W213" s="25">
        <f t="shared" si="152"/>
        <v>0</v>
      </c>
      <c r="X213" s="82">
        <f t="shared" si="137"/>
        <v>0</v>
      </c>
      <c r="Y213" s="12" t="str">
        <f t="shared" si="93"/>
        <v/>
      </c>
      <c r="Z213" s="9" t="str">
        <f>IF(OR($Y213="",$U$299="S"),"",IF(COUNT($Z$71:$Z212)&gt;=$U$297,"",1))</f>
        <v/>
      </c>
    </row>
    <row r="214" spans="1:33" ht="14.25" hidden="1" customHeight="1" thickBot="1" x14ac:dyDescent="0.25">
      <c r="A214" s="7">
        <v>3</v>
      </c>
      <c r="B214" s="202" t="s">
        <v>111</v>
      </c>
      <c r="C214" s="207" t="str">
        <f t="shared" si="138"/>
        <v>図面・仕様書どおり</v>
      </c>
      <c r="D214" s="185" t="str">
        <f t="shared" si="139"/>
        <v>1</v>
      </c>
      <c r="E214" s="185" t="str">
        <f t="shared" si="140"/>
        <v>式</v>
      </c>
      <c r="F214" s="218"/>
      <c r="G214" s="215" t="str">
        <f t="shared" si="141"/>
        <v/>
      </c>
      <c r="H214" s="223">
        <f t="shared" si="142"/>
        <v>0</v>
      </c>
      <c r="I214" s="233" t="str">
        <f>IF($B214="","","諸経費共")</f>
        <v>諸経費共</v>
      </c>
      <c r="J214" s="233"/>
      <c r="K214" s="98"/>
      <c r="L214" s="1" t="str">
        <f t="shared" si="136"/>
        <v>　○○工事</v>
      </c>
      <c r="M214" s="105"/>
      <c r="N214" s="52" t="str">
        <f t="shared" si="143"/>
        <v/>
      </c>
      <c r="O214" s="21">
        <f t="shared" si="144"/>
        <v>0</v>
      </c>
      <c r="P214" s="22">
        <f t="shared" si="145"/>
        <v>0</v>
      </c>
      <c r="Q214" s="22">
        <f t="shared" si="146"/>
        <v>0</v>
      </c>
      <c r="R214" s="9">
        <f t="shared" si="147"/>
        <v>1</v>
      </c>
      <c r="S214" s="85">
        <f t="shared" si="148"/>
        <v>0</v>
      </c>
      <c r="T214" s="73">
        <f t="shared" si="149"/>
        <v>0</v>
      </c>
      <c r="U214" s="19">
        <f t="shared" si="150"/>
        <v>3</v>
      </c>
      <c r="V214" s="25">
        <f t="shared" si="151"/>
        <v>0</v>
      </c>
      <c r="W214" s="25">
        <f t="shared" si="152"/>
        <v>0</v>
      </c>
      <c r="X214" s="82">
        <f t="shared" si="137"/>
        <v>0</v>
      </c>
      <c r="Y214" s="12" t="str">
        <f t="shared" si="93"/>
        <v/>
      </c>
      <c r="Z214" s="9" t="str">
        <f>IF(OR($Y214="",$U$299="S"),"",IF(COUNT($Z$71:$Z213)&gt;=$U$297,"",1))</f>
        <v/>
      </c>
    </row>
    <row r="215" spans="1:33" ht="14.25" hidden="1" customHeight="1" thickBot="1" x14ac:dyDescent="0.25">
      <c r="A215" s="7">
        <v>4</v>
      </c>
      <c r="B215" s="208"/>
      <c r="C215" s="207" t="str">
        <f t="shared" si="138"/>
        <v/>
      </c>
      <c r="D215" s="185" t="str">
        <f t="shared" si="139"/>
        <v/>
      </c>
      <c r="E215" s="185" t="str">
        <f t="shared" si="140"/>
        <v/>
      </c>
      <c r="F215" s="218"/>
      <c r="G215" s="215" t="str">
        <f t="shared" si="141"/>
        <v/>
      </c>
      <c r="H215" s="223">
        <f t="shared" si="142"/>
        <v>0</v>
      </c>
      <c r="I215" s="233" t="str">
        <f>IF($B215="","","諸経費共")</f>
        <v/>
      </c>
      <c r="J215" s="233"/>
      <c r="K215" s="98"/>
      <c r="L215" s="1" t="str">
        <f t="shared" si="136"/>
        <v/>
      </c>
      <c r="M215" s="105"/>
      <c r="N215" s="52" t="str">
        <f t="shared" si="143"/>
        <v/>
      </c>
      <c r="O215" s="21">
        <f t="shared" si="144"/>
        <v>0</v>
      </c>
      <c r="P215" s="22">
        <f t="shared" si="145"/>
        <v>0</v>
      </c>
      <c r="Q215" s="22">
        <f t="shared" si="146"/>
        <v>0</v>
      </c>
      <c r="R215" s="9">
        <f t="shared" si="147"/>
        <v>1</v>
      </c>
      <c r="S215" s="85">
        <f t="shared" si="148"/>
        <v>0</v>
      </c>
      <c r="T215" s="73">
        <f t="shared" si="149"/>
        <v>0</v>
      </c>
      <c r="U215" s="19">
        <f t="shared" si="150"/>
        <v>3</v>
      </c>
      <c r="V215" s="25">
        <f t="shared" si="151"/>
        <v>0</v>
      </c>
      <c r="W215" s="25">
        <f t="shared" si="152"/>
        <v>0</v>
      </c>
      <c r="X215" s="82">
        <f t="shared" si="137"/>
        <v>0</v>
      </c>
      <c r="Y215" s="12" t="str">
        <f t="shared" si="93"/>
        <v/>
      </c>
      <c r="Z215" s="9" t="str">
        <f>IF(OR($Y215="",$U$299="S"),"",IF(COUNT($Z$71:$Z214)&gt;=$U$297,"",1))</f>
        <v/>
      </c>
    </row>
    <row r="216" spans="1:33" ht="14.25" hidden="1" customHeight="1" thickBot="1" x14ac:dyDescent="0.25">
      <c r="A216" s="7">
        <v>5</v>
      </c>
      <c r="B216" s="208"/>
      <c r="C216" s="207" t="str">
        <f t="shared" si="138"/>
        <v/>
      </c>
      <c r="D216" s="185" t="str">
        <f t="shared" si="139"/>
        <v/>
      </c>
      <c r="E216" s="185" t="str">
        <f t="shared" si="140"/>
        <v/>
      </c>
      <c r="F216" s="218"/>
      <c r="G216" s="215" t="str">
        <f t="shared" si="141"/>
        <v/>
      </c>
      <c r="H216" s="223">
        <f t="shared" si="142"/>
        <v>0</v>
      </c>
      <c r="I216" s="233" t="str">
        <f>IF($B216="","","諸経費共")</f>
        <v/>
      </c>
      <c r="J216" s="233"/>
      <c r="K216" s="98"/>
      <c r="L216" s="1" t="str">
        <f t="shared" si="136"/>
        <v/>
      </c>
      <c r="M216" s="105"/>
      <c r="N216" s="52" t="str">
        <f t="shared" si="143"/>
        <v/>
      </c>
      <c r="O216" s="21">
        <f t="shared" si="144"/>
        <v>0</v>
      </c>
      <c r="P216" s="22">
        <f t="shared" si="145"/>
        <v>0</v>
      </c>
      <c r="Q216" s="22">
        <f t="shared" si="146"/>
        <v>0</v>
      </c>
      <c r="R216" s="9">
        <f t="shared" si="147"/>
        <v>1</v>
      </c>
      <c r="S216" s="85">
        <f t="shared" si="148"/>
        <v>0</v>
      </c>
      <c r="T216" s="73">
        <f t="shared" si="149"/>
        <v>0</v>
      </c>
      <c r="U216" s="19">
        <f t="shared" si="150"/>
        <v>3</v>
      </c>
      <c r="V216" s="25">
        <f t="shared" si="151"/>
        <v>0</v>
      </c>
      <c r="W216" s="25">
        <f t="shared" si="152"/>
        <v>0</v>
      </c>
      <c r="X216" s="82">
        <f t="shared" si="137"/>
        <v>0</v>
      </c>
      <c r="Y216" s="12" t="str">
        <f t="shared" si="93"/>
        <v/>
      </c>
      <c r="Z216" s="9" t="str">
        <f>IF(OR($Y216="",$U$299="S"),"",IF(COUNT($Z$71:$Z215)&gt;=$U$297,"",1))</f>
        <v/>
      </c>
    </row>
    <row r="217" spans="1:33" ht="14.25" hidden="1" customHeight="1" thickBot="1" x14ac:dyDescent="0.25">
      <c r="A217" s="7">
        <v>6</v>
      </c>
      <c r="B217" s="208"/>
      <c r="C217" s="207" t="str">
        <f t="shared" si="138"/>
        <v/>
      </c>
      <c r="D217" s="185" t="str">
        <f t="shared" si="139"/>
        <v/>
      </c>
      <c r="E217" s="185" t="str">
        <f t="shared" si="140"/>
        <v/>
      </c>
      <c r="F217" s="218"/>
      <c r="G217" s="215" t="str">
        <f t="shared" si="141"/>
        <v/>
      </c>
      <c r="H217" s="223">
        <f t="shared" si="142"/>
        <v>0</v>
      </c>
      <c r="I217" s="233" t="str">
        <f>IF($B217="","","諸経費共")</f>
        <v/>
      </c>
      <c r="J217" s="233"/>
      <c r="K217" s="98"/>
      <c r="L217" s="1" t="str">
        <f t="shared" si="136"/>
        <v/>
      </c>
      <c r="M217" s="105"/>
      <c r="N217" s="52" t="str">
        <f t="shared" si="143"/>
        <v/>
      </c>
      <c r="O217" s="21">
        <f t="shared" si="144"/>
        <v>0</v>
      </c>
      <c r="P217" s="22">
        <f t="shared" si="145"/>
        <v>0</v>
      </c>
      <c r="Q217" s="22">
        <f t="shared" si="146"/>
        <v>0</v>
      </c>
      <c r="R217" s="9">
        <f t="shared" si="147"/>
        <v>1</v>
      </c>
      <c r="S217" s="85">
        <f t="shared" si="148"/>
        <v>0</v>
      </c>
      <c r="T217" s="73">
        <f t="shared" si="149"/>
        <v>0</v>
      </c>
      <c r="U217" s="19">
        <f t="shared" si="150"/>
        <v>3</v>
      </c>
      <c r="V217" s="25">
        <f t="shared" si="151"/>
        <v>0</v>
      </c>
      <c r="W217" s="25">
        <f t="shared" si="152"/>
        <v>0</v>
      </c>
      <c r="X217" s="82">
        <f t="shared" si="137"/>
        <v>0</v>
      </c>
      <c r="Y217" s="12" t="str">
        <f t="shared" si="93"/>
        <v/>
      </c>
      <c r="Z217" s="9" t="str">
        <f>IF(OR($Y217="",$U$299="S"),"",IF(COUNT($Z$71:$Z216)&gt;=$U$297,"",1))</f>
        <v/>
      </c>
    </row>
    <row r="218" spans="1:33" ht="14.25" hidden="1" customHeight="1" thickBot="1" x14ac:dyDescent="0.25">
      <c r="A218" s="7">
        <v>7</v>
      </c>
      <c r="B218" s="208"/>
      <c r="C218" s="207" t="str">
        <f t="shared" si="138"/>
        <v/>
      </c>
      <c r="D218" s="185" t="str">
        <f t="shared" si="139"/>
        <v/>
      </c>
      <c r="E218" s="185" t="str">
        <f t="shared" si="140"/>
        <v/>
      </c>
      <c r="F218" s="218"/>
      <c r="G218" s="215" t="str">
        <f t="shared" si="141"/>
        <v/>
      </c>
      <c r="H218" s="223">
        <f t="shared" si="142"/>
        <v>0</v>
      </c>
      <c r="I218" s="233" t="str">
        <f>IF($B218="","","諸経費共")</f>
        <v/>
      </c>
      <c r="J218" s="233"/>
      <c r="K218" s="98"/>
      <c r="L218" s="1" t="str">
        <f t="shared" si="136"/>
        <v/>
      </c>
      <c r="M218" s="105"/>
      <c r="N218" s="52" t="str">
        <f t="shared" si="143"/>
        <v/>
      </c>
      <c r="O218" s="21">
        <f t="shared" si="144"/>
        <v>0</v>
      </c>
      <c r="P218" s="22">
        <f t="shared" si="145"/>
        <v>0</v>
      </c>
      <c r="Q218" s="22">
        <f t="shared" si="146"/>
        <v>0</v>
      </c>
      <c r="R218" s="9">
        <f t="shared" si="147"/>
        <v>1</v>
      </c>
      <c r="S218" s="85">
        <f t="shared" si="148"/>
        <v>0</v>
      </c>
      <c r="T218" s="73">
        <f t="shared" si="149"/>
        <v>0</v>
      </c>
      <c r="U218" s="19">
        <f t="shared" si="150"/>
        <v>3</v>
      </c>
      <c r="V218" s="25">
        <f t="shared" si="151"/>
        <v>0</v>
      </c>
      <c r="W218" s="25">
        <f t="shared" si="152"/>
        <v>0</v>
      </c>
      <c r="X218" s="82">
        <f t="shared" si="137"/>
        <v>0</v>
      </c>
      <c r="Y218" s="12" t="str">
        <f t="shared" si="93"/>
        <v/>
      </c>
      <c r="Z218" s="9" t="str">
        <f>IF(OR($Y218="",$U$299="S"),"",IF(COUNT($Z$71:$Z217)&gt;=$U$297,"",1))</f>
        <v/>
      </c>
    </row>
    <row r="219" spans="1:33" ht="14.25" hidden="1" customHeight="1" thickBot="1" x14ac:dyDescent="0.25">
      <c r="A219" s="7">
        <v>8</v>
      </c>
      <c r="B219" s="208"/>
      <c r="C219" s="207" t="str">
        <f t="shared" si="138"/>
        <v/>
      </c>
      <c r="D219" s="185" t="str">
        <f t="shared" si="139"/>
        <v/>
      </c>
      <c r="E219" s="185" t="str">
        <f t="shared" si="140"/>
        <v/>
      </c>
      <c r="F219" s="218"/>
      <c r="G219" s="215" t="str">
        <f t="shared" si="141"/>
        <v/>
      </c>
      <c r="H219" s="223">
        <f t="shared" si="142"/>
        <v>0</v>
      </c>
      <c r="I219" s="233" t="str">
        <f>IF($B219="","","諸経費共")</f>
        <v/>
      </c>
      <c r="J219" s="233"/>
      <c r="K219" s="98"/>
      <c r="L219" s="1" t="str">
        <f t="shared" si="136"/>
        <v/>
      </c>
      <c r="M219" s="105"/>
      <c r="N219" s="52" t="str">
        <f t="shared" si="143"/>
        <v/>
      </c>
      <c r="O219" s="21">
        <f t="shared" si="144"/>
        <v>0</v>
      </c>
      <c r="P219" s="22">
        <f t="shared" si="145"/>
        <v>0</v>
      </c>
      <c r="Q219" s="22">
        <f t="shared" si="146"/>
        <v>0</v>
      </c>
      <c r="R219" s="9">
        <f t="shared" si="147"/>
        <v>1</v>
      </c>
      <c r="S219" s="85">
        <f t="shared" si="148"/>
        <v>0</v>
      </c>
      <c r="T219" s="73">
        <f t="shared" si="149"/>
        <v>0</v>
      </c>
      <c r="U219" s="19">
        <f t="shared" si="150"/>
        <v>3</v>
      </c>
      <c r="V219" s="25">
        <f t="shared" si="151"/>
        <v>0</v>
      </c>
      <c r="W219" s="25">
        <f t="shared" si="152"/>
        <v>0</v>
      </c>
      <c r="X219" s="82">
        <f t="shared" si="137"/>
        <v>0</v>
      </c>
      <c r="Y219" s="12" t="str">
        <f t="shared" ref="Y219:Y285" si="153">IF(U219="","",IF($U219&lt;=$U$297,1,""))</f>
        <v/>
      </c>
      <c r="Z219" s="9" t="str">
        <f>IF(OR($Y219="",$U$299="S"),"",IF(COUNT($Z$71:$Z218)&gt;=$U$297,"",1))</f>
        <v/>
      </c>
    </row>
    <row r="220" spans="1:33" ht="14.25" hidden="1" customHeight="1" thickBot="1" x14ac:dyDescent="0.25">
      <c r="A220" s="7">
        <v>9</v>
      </c>
      <c r="B220" s="208"/>
      <c r="C220" s="207" t="str">
        <f t="shared" si="138"/>
        <v/>
      </c>
      <c r="D220" s="185" t="str">
        <f t="shared" si="139"/>
        <v/>
      </c>
      <c r="E220" s="185" t="str">
        <f t="shared" si="140"/>
        <v/>
      </c>
      <c r="F220" s="218"/>
      <c r="G220" s="215" t="str">
        <f t="shared" si="141"/>
        <v/>
      </c>
      <c r="H220" s="223">
        <f t="shared" si="142"/>
        <v>0</v>
      </c>
      <c r="I220" s="233" t="str">
        <f>IF($B220="","","諸経費共")</f>
        <v/>
      </c>
      <c r="J220" s="233"/>
      <c r="K220" s="98"/>
      <c r="L220" s="1" t="str">
        <f t="shared" si="136"/>
        <v/>
      </c>
      <c r="M220" s="105"/>
      <c r="N220" s="52" t="str">
        <f t="shared" si="143"/>
        <v/>
      </c>
      <c r="O220" s="21">
        <f t="shared" si="144"/>
        <v>0</v>
      </c>
      <c r="P220" s="22">
        <f t="shared" si="145"/>
        <v>0</v>
      </c>
      <c r="Q220" s="22">
        <f t="shared" si="146"/>
        <v>0</v>
      </c>
      <c r="R220" s="9">
        <f t="shared" si="147"/>
        <v>1</v>
      </c>
      <c r="S220" s="85">
        <f t="shared" si="148"/>
        <v>0</v>
      </c>
      <c r="T220" s="73">
        <f t="shared" si="149"/>
        <v>0</v>
      </c>
      <c r="U220" s="19">
        <f t="shared" si="150"/>
        <v>3</v>
      </c>
      <c r="V220" s="25">
        <f t="shared" si="151"/>
        <v>0</v>
      </c>
      <c r="W220" s="25">
        <f t="shared" si="152"/>
        <v>0</v>
      </c>
      <c r="X220" s="82">
        <f t="shared" si="137"/>
        <v>0</v>
      </c>
      <c r="Y220" s="12" t="str">
        <f t="shared" si="153"/>
        <v/>
      </c>
      <c r="Z220" s="9" t="str">
        <f>IF(OR($Y220="",$U$299="S"),"",IF(COUNT($Z$71:$Z219)&gt;=$U$297,"",1))</f>
        <v/>
      </c>
    </row>
    <row r="221" spans="1:33" ht="14.25" hidden="1" customHeight="1" thickBot="1" x14ac:dyDescent="0.25">
      <c r="A221" s="7">
        <v>10</v>
      </c>
      <c r="B221" s="208"/>
      <c r="C221" s="207" t="str">
        <f t="shared" si="138"/>
        <v/>
      </c>
      <c r="D221" s="185" t="str">
        <f t="shared" si="139"/>
        <v/>
      </c>
      <c r="E221" s="185" t="str">
        <f t="shared" si="140"/>
        <v/>
      </c>
      <c r="F221" s="218"/>
      <c r="G221" s="215" t="str">
        <f t="shared" si="141"/>
        <v/>
      </c>
      <c r="H221" s="223">
        <f t="shared" si="142"/>
        <v>0</v>
      </c>
      <c r="I221" s="233" t="str">
        <f>IF($B221="","","諸経費共")</f>
        <v/>
      </c>
      <c r="J221" s="233"/>
      <c r="K221" s="98"/>
      <c r="L221" s="1" t="str">
        <f t="shared" si="136"/>
        <v/>
      </c>
      <c r="M221" s="105"/>
      <c r="N221" s="52" t="str">
        <f t="shared" si="143"/>
        <v/>
      </c>
      <c r="O221" s="21">
        <f t="shared" si="144"/>
        <v>0</v>
      </c>
      <c r="P221" s="22">
        <f t="shared" si="145"/>
        <v>0</v>
      </c>
      <c r="Q221" s="22">
        <f t="shared" si="146"/>
        <v>0</v>
      </c>
      <c r="R221" s="9">
        <f t="shared" si="147"/>
        <v>1</v>
      </c>
      <c r="S221" s="85">
        <f t="shared" si="148"/>
        <v>0</v>
      </c>
      <c r="T221" s="73">
        <f t="shared" si="149"/>
        <v>0</v>
      </c>
      <c r="U221" s="19">
        <f t="shared" si="150"/>
        <v>3</v>
      </c>
      <c r="V221" s="25">
        <f t="shared" si="151"/>
        <v>0</v>
      </c>
      <c r="W221" s="25">
        <f t="shared" si="152"/>
        <v>0</v>
      </c>
      <c r="X221" s="82">
        <f t="shared" si="137"/>
        <v>0</v>
      </c>
      <c r="Y221" s="12" t="str">
        <f t="shared" si="153"/>
        <v/>
      </c>
      <c r="Z221" s="9" t="str">
        <f>IF(OR($Y221="",$U$299="S"),"",IF(COUNT($Z$71:$Z220)&gt;=$U$297,"",1))</f>
        <v/>
      </c>
    </row>
    <row r="222" spans="1:33" ht="14.25" hidden="1" customHeight="1" thickBot="1" x14ac:dyDescent="0.25">
      <c r="A222" s="7">
        <v>11</v>
      </c>
      <c r="B222" s="208"/>
      <c r="C222" s="207" t="str">
        <f t="shared" si="138"/>
        <v/>
      </c>
      <c r="D222" s="185" t="str">
        <f t="shared" si="139"/>
        <v/>
      </c>
      <c r="E222" s="185" t="str">
        <f t="shared" si="140"/>
        <v/>
      </c>
      <c r="F222" s="218"/>
      <c r="G222" s="215" t="str">
        <f t="shared" si="141"/>
        <v/>
      </c>
      <c r="H222" s="223">
        <f t="shared" si="142"/>
        <v>0</v>
      </c>
      <c r="I222" s="233" t="str">
        <f>IF($B222="","","諸経費共")</f>
        <v/>
      </c>
      <c r="J222" s="233"/>
      <c r="K222" s="98"/>
      <c r="L222" s="1" t="str">
        <f t="shared" si="136"/>
        <v/>
      </c>
      <c r="M222" s="105"/>
      <c r="N222" s="52" t="str">
        <f t="shared" si="143"/>
        <v/>
      </c>
      <c r="O222" s="21">
        <f t="shared" si="144"/>
        <v>0</v>
      </c>
      <c r="P222" s="22">
        <f t="shared" si="145"/>
        <v>0</v>
      </c>
      <c r="Q222" s="22">
        <f t="shared" si="146"/>
        <v>0</v>
      </c>
      <c r="R222" s="9">
        <f t="shared" si="147"/>
        <v>1</v>
      </c>
      <c r="S222" s="85">
        <f t="shared" si="148"/>
        <v>0</v>
      </c>
      <c r="T222" s="73">
        <f t="shared" si="149"/>
        <v>0</v>
      </c>
      <c r="U222" s="19">
        <f t="shared" si="150"/>
        <v>3</v>
      </c>
      <c r="V222" s="25">
        <f t="shared" si="151"/>
        <v>0</v>
      </c>
      <c r="W222" s="25">
        <f t="shared" si="152"/>
        <v>0</v>
      </c>
      <c r="X222" s="82">
        <f t="shared" si="137"/>
        <v>0</v>
      </c>
      <c r="Y222" s="12" t="str">
        <f t="shared" si="153"/>
        <v/>
      </c>
      <c r="Z222" s="9" t="str">
        <f>IF(OR($Y222="",$U$299="S"),"",IF(COUNT($Z$71:$Z221)&gt;=$U$297,"",1))</f>
        <v/>
      </c>
    </row>
    <row r="223" spans="1:33" ht="14.25" hidden="1" customHeight="1" thickBot="1" x14ac:dyDescent="0.25">
      <c r="A223" s="7">
        <v>12</v>
      </c>
      <c r="B223" s="208"/>
      <c r="C223" s="207" t="str">
        <f t="shared" si="138"/>
        <v/>
      </c>
      <c r="D223" s="185" t="str">
        <f t="shared" si="139"/>
        <v/>
      </c>
      <c r="E223" s="185" t="str">
        <f t="shared" si="140"/>
        <v/>
      </c>
      <c r="F223" s="218"/>
      <c r="G223" s="215" t="str">
        <f t="shared" si="141"/>
        <v/>
      </c>
      <c r="H223" s="223">
        <f t="shared" si="142"/>
        <v>0</v>
      </c>
      <c r="I223" s="234" t="str">
        <f>IF($B223="","","諸経費共")</f>
        <v/>
      </c>
      <c r="J223" s="235"/>
      <c r="K223" s="98"/>
      <c r="L223" s="1" t="str">
        <f t="shared" si="136"/>
        <v/>
      </c>
      <c r="M223" s="105"/>
      <c r="N223" s="52" t="str">
        <f t="shared" si="143"/>
        <v/>
      </c>
      <c r="O223" s="21">
        <f t="shared" si="144"/>
        <v>0</v>
      </c>
      <c r="P223" s="22">
        <f t="shared" si="145"/>
        <v>0</v>
      </c>
      <c r="Q223" s="22">
        <f t="shared" si="146"/>
        <v>0</v>
      </c>
      <c r="R223" s="9">
        <f t="shared" si="147"/>
        <v>1</v>
      </c>
      <c r="S223" s="85">
        <f t="shared" si="148"/>
        <v>0</v>
      </c>
      <c r="T223" s="73">
        <f t="shared" si="149"/>
        <v>0</v>
      </c>
      <c r="U223" s="19">
        <f t="shared" si="150"/>
        <v>3</v>
      </c>
      <c r="V223" s="25">
        <f t="shared" si="151"/>
        <v>0</v>
      </c>
      <c r="W223" s="25">
        <f t="shared" si="152"/>
        <v>0</v>
      </c>
      <c r="X223" s="82">
        <f t="shared" si="137"/>
        <v>0</v>
      </c>
      <c r="Y223" s="12" t="str">
        <f t="shared" si="153"/>
        <v/>
      </c>
      <c r="Z223" s="9" t="str">
        <f>IF(OR($Y223="",$U$299="S"),"",IF(COUNT($Z$71:$Z222)&gt;=$U$297,"",1))</f>
        <v/>
      </c>
    </row>
    <row r="224" spans="1:33" ht="14.25" hidden="1" customHeight="1" thickBot="1" x14ac:dyDescent="0.25">
      <c r="A224" s="7">
        <v>13</v>
      </c>
      <c r="B224" s="208"/>
      <c r="C224" s="207" t="str">
        <f t="shared" si="138"/>
        <v/>
      </c>
      <c r="D224" s="185" t="str">
        <f t="shared" si="139"/>
        <v/>
      </c>
      <c r="E224" s="185" t="str">
        <f t="shared" si="140"/>
        <v/>
      </c>
      <c r="F224" s="218"/>
      <c r="G224" s="215" t="str">
        <f t="shared" si="141"/>
        <v/>
      </c>
      <c r="H224" s="223">
        <f t="shared" si="142"/>
        <v>0</v>
      </c>
      <c r="I224" s="233" t="str">
        <f>IF($B224="","","諸経費共")</f>
        <v/>
      </c>
      <c r="J224" s="233"/>
      <c r="K224" s="98"/>
      <c r="L224" s="1" t="str">
        <f t="shared" si="136"/>
        <v/>
      </c>
      <c r="M224" s="105"/>
      <c r="N224" s="52" t="str">
        <f t="shared" si="143"/>
        <v/>
      </c>
      <c r="O224" s="21">
        <f t="shared" si="144"/>
        <v>0</v>
      </c>
      <c r="P224" s="22">
        <f t="shared" si="145"/>
        <v>0</v>
      </c>
      <c r="Q224" s="22">
        <f t="shared" si="146"/>
        <v>0</v>
      </c>
      <c r="R224" s="9">
        <f t="shared" si="147"/>
        <v>1</v>
      </c>
      <c r="S224" s="85">
        <f t="shared" si="148"/>
        <v>0</v>
      </c>
      <c r="T224" s="73">
        <f t="shared" si="149"/>
        <v>0</v>
      </c>
      <c r="U224" s="19">
        <f t="shared" si="150"/>
        <v>3</v>
      </c>
      <c r="V224" s="25">
        <f t="shared" si="151"/>
        <v>0</v>
      </c>
      <c r="W224" s="25">
        <f t="shared" si="152"/>
        <v>0</v>
      </c>
      <c r="X224" s="82">
        <f t="shared" si="137"/>
        <v>0</v>
      </c>
      <c r="Y224" s="12" t="str">
        <f t="shared" si="153"/>
        <v/>
      </c>
      <c r="Z224" s="9" t="str">
        <f>IF(OR($Y224="",$U$299="S"),"",IF(COUNT($Z$71:$Z223)&gt;=$U$297,"",1))</f>
        <v/>
      </c>
    </row>
    <row r="225" spans="1:33" ht="14.25" hidden="1" customHeight="1" thickBot="1" x14ac:dyDescent="0.25">
      <c r="A225" s="7">
        <v>14</v>
      </c>
      <c r="B225" s="208"/>
      <c r="C225" s="207" t="str">
        <f t="shared" si="138"/>
        <v/>
      </c>
      <c r="D225" s="185" t="str">
        <f t="shared" si="139"/>
        <v/>
      </c>
      <c r="E225" s="185" t="str">
        <f t="shared" si="140"/>
        <v/>
      </c>
      <c r="F225" s="218"/>
      <c r="G225" s="215" t="str">
        <f t="shared" si="141"/>
        <v/>
      </c>
      <c r="H225" s="223">
        <f t="shared" si="142"/>
        <v>0</v>
      </c>
      <c r="I225" s="233" t="str">
        <f>IF($B225="","","諸経費共")</f>
        <v/>
      </c>
      <c r="J225" s="233"/>
      <c r="K225" s="98"/>
      <c r="L225" s="1" t="str">
        <f t="shared" si="136"/>
        <v/>
      </c>
      <c r="M225" s="105"/>
      <c r="N225" s="52" t="str">
        <f t="shared" si="143"/>
        <v/>
      </c>
      <c r="O225" s="21">
        <f t="shared" si="144"/>
        <v>0</v>
      </c>
      <c r="P225" s="22">
        <f t="shared" si="145"/>
        <v>0</v>
      </c>
      <c r="Q225" s="22">
        <f t="shared" si="146"/>
        <v>0</v>
      </c>
      <c r="R225" s="9">
        <f t="shared" si="147"/>
        <v>1</v>
      </c>
      <c r="S225" s="85">
        <f t="shared" si="148"/>
        <v>0</v>
      </c>
      <c r="T225" s="73">
        <f t="shared" si="149"/>
        <v>0</v>
      </c>
      <c r="U225" s="19">
        <f t="shared" si="150"/>
        <v>3</v>
      </c>
      <c r="V225" s="25">
        <f t="shared" si="151"/>
        <v>0</v>
      </c>
      <c r="W225" s="25">
        <f t="shared" si="152"/>
        <v>0</v>
      </c>
      <c r="X225" s="82">
        <f t="shared" si="137"/>
        <v>0</v>
      </c>
      <c r="Y225" s="12" t="str">
        <f t="shared" si="153"/>
        <v/>
      </c>
      <c r="Z225" s="9" t="str">
        <f>IF(OR($Y225="",$U$299="S"),"",IF(COUNT($Z$71:$Z224)&gt;=$U$297,"",1))</f>
        <v/>
      </c>
    </row>
    <row r="226" spans="1:33" ht="14.25" hidden="1" customHeight="1" thickBot="1" x14ac:dyDescent="0.25">
      <c r="A226" s="7">
        <v>15</v>
      </c>
      <c r="B226" s="208"/>
      <c r="C226" s="207" t="str">
        <f t="shared" si="138"/>
        <v/>
      </c>
      <c r="D226" s="185" t="str">
        <f t="shared" si="139"/>
        <v/>
      </c>
      <c r="E226" s="185" t="str">
        <f t="shared" si="140"/>
        <v/>
      </c>
      <c r="F226" s="218"/>
      <c r="G226" s="215" t="str">
        <f t="shared" si="141"/>
        <v/>
      </c>
      <c r="H226" s="223">
        <f t="shared" si="142"/>
        <v>0</v>
      </c>
      <c r="I226" s="233" t="str">
        <f>IF($B226="","","諸経費共")</f>
        <v/>
      </c>
      <c r="J226" s="233"/>
      <c r="K226" s="98"/>
      <c r="L226" s="1" t="str">
        <f t="shared" si="136"/>
        <v/>
      </c>
      <c r="M226" s="105"/>
      <c r="N226" s="52" t="str">
        <f t="shared" si="143"/>
        <v/>
      </c>
      <c r="O226" s="21">
        <f t="shared" si="144"/>
        <v>0</v>
      </c>
      <c r="P226" s="22">
        <f t="shared" si="145"/>
        <v>0</v>
      </c>
      <c r="Q226" s="22">
        <f t="shared" si="146"/>
        <v>0</v>
      </c>
      <c r="R226" s="9">
        <f t="shared" si="147"/>
        <v>1</v>
      </c>
      <c r="S226" s="85">
        <f t="shared" si="148"/>
        <v>0</v>
      </c>
      <c r="T226" s="73">
        <f t="shared" si="149"/>
        <v>0</v>
      </c>
      <c r="U226" s="19">
        <f t="shared" si="150"/>
        <v>3</v>
      </c>
      <c r="V226" s="25">
        <f t="shared" si="151"/>
        <v>0</v>
      </c>
      <c r="W226" s="25">
        <f t="shared" si="152"/>
        <v>0</v>
      </c>
      <c r="X226" s="82">
        <f t="shared" si="137"/>
        <v>0</v>
      </c>
      <c r="Y226" s="12" t="str">
        <f t="shared" si="153"/>
        <v/>
      </c>
      <c r="Z226" s="9" t="str">
        <f>IF(OR($Y226="",$U$299="S"),"",IF(COUNT($Z$71:$Z225)&gt;=$U$297,"",1))</f>
        <v/>
      </c>
    </row>
    <row r="227" spans="1:33" ht="14.25" hidden="1" customHeight="1" thickBot="1" x14ac:dyDescent="0.25">
      <c r="B227" s="209" t="s">
        <v>20</v>
      </c>
      <c r="C227" s="207"/>
      <c r="D227" s="185"/>
      <c r="E227" s="185"/>
      <c r="F227" s="218">
        <f>SUM(F212:F226)</f>
        <v>0</v>
      </c>
      <c r="G227" s="215">
        <f>+F227+H227</f>
        <v>0</v>
      </c>
      <c r="H227" s="222">
        <f>SUM(H212:H226)</f>
        <v>0</v>
      </c>
      <c r="I227" s="233"/>
      <c r="J227" s="233"/>
      <c r="K227" s="9"/>
      <c r="L227" s="4" t="s">
        <v>23</v>
      </c>
      <c r="M227" s="114">
        <f>SUM(M212:M226)</f>
        <v>0</v>
      </c>
      <c r="N227" s="9"/>
      <c r="O227" s="115">
        <f>SUM(O212:O226)</f>
        <v>0</v>
      </c>
      <c r="P227" s="116">
        <f>SUM(P212:P226)</f>
        <v>0</v>
      </c>
      <c r="Q227" s="116">
        <f>SUM(Q212:Q226)</f>
        <v>0</v>
      </c>
      <c r="S227" s="117">
        <f>SUM(S212:S226)</f>
        <v>0</v>
      </c>
      <c r="T227" s="74"/>
      <c r="U227" s="74"/>
      <c r="V227" s="118">
        <f>SUM(V212:V226)</f>
        <v>0</v>
      </c>
      <c r="W227" s="118">
        <f>SUM(W212:W226)</f>
        <v>0</v>
      </c>
      <c r="X227" s="119">
        <f>SUM(X212:X226)</f>
        <v>0</v>
      </c>
      <c r="Y227" s="12" t="str">
        <f t="shared" si="153"/>
        <v/>
      </c>
      <c r="Z227" s="9" t="str">
        <f>IF(OR($Y227="",$U$299="S"),"",IF(COUNT($Z$71:$Z226)&gt;=$U$297,"",1))</f>
        <v/>
      </c>
    </row>
    <row r="228" spans="1:33" ht="14.25" hidden="1" customHeight="1" thickBot="1" x14ac:dyDescent="0.25">
      <c r="B228" s="210" t="s">
        <v>21</v>
      </c>
      <c r="C228" s="207"/>
      <c r="D228" s="185">
        <v>1</v>
      </c>
      <c r="E228" s="185" t="str">
        <f>IF($D228="","","式")</f>
        <v>式</v>
      </c>
      <c r="F228" s="218"/>
      <c r="G228" s="215">
        <f>+F228+H228</f>
        <v>0</v>
      </c>
      <c r="H228" s="222">
        <f>H227*0.1</f>
        <v>0</v>
      </c>
      <c r="I228" s="233"/>
      <c r="J228" s="233"/>
      <c r="K228" s="9"/>
      <c r="L228" s="3" t="s">
        <v>21</v>
      </c>
      <c r="M228" s="107">
        <f>+M227*0.1</f>
        <v>0</v>
      </c>
      <c r="N228" s="49"/>
      <c r="O228" s="63">
        <f>+O227*0.1</f>
        <v>0</v>
      </c>
      <c r="P228" s="64">
        <f>+P227*0.1</f>
        <v>0</v>
      </c>
      <c r="Q228" s="64">
        <f>+Q227*0.1</f>
        <v>0</v>
      </c>
      <c r="R228" s="49"/>
      <c r="S228" s="23">
        <f>+S227*0.1</f>
        <v>0</v>
      </c>
      <c r="T228" s="76"/>
      <c r="U228" s="76"/>
      <c r="V228" s="48">
        <f>+V227*0.1</f>
        <v>0</v>
      </c>
      <c r="W228" s="48">
        <f>+W227*0.1</f>
        <v>0</v>
      </c>
      <c r="X228" s="33">
        <f>+X227*0.1</f>
        <v>0</v>
      </c>
      <c r="Y228" s="12" t="str">
        <f t="shared" si="153"/>
        <v/>
      </c>
      <c r="Z228" s="9" t="str">
        <f>IF(OR($Y228="",$U$299="S"),"",IF(COUNT($Z$71:$Z227)&gt;=$U$297,"",1))</f>
        <v/>
      </c>
      <c r="AA228" s="49"/>
      <c r="AB228" s="49"/>
      <c r="AC228" s="49"/>
      <c r="AD228" s="49"/>
      <c r="AE228" s="49"/>
      <c r="AF228" s="49"/>
      <c r="AG228" s="49"/>
    </row>
    <row r="229" spans="1:33" ht="14.25" hidden="1" customHeight="1" thickBot="1" x14ac:dyDescent="0.25">
      <c r="B229" s="189" t="s">
        <v>22</v>
      </c>
      <c r="C229" s="207"/>
      <c r="D229" s="185"/>
      <c r="E229" s="185"/>
      <c r="F229" s="218">
        <f>SUM(F227:F228)</f>
        <v>0</v>
      </c>
      <c r="G229" s="215">
        <f>+F229+H229</f>
        <v>0</v>
      </c>
      <c r="H229" s="222">
        <f>SUM(H227:H228)</f>
        <v>0</v>
      </c>
      <c r="I229" s="233"/>
      <c r="J229" s="233"/>
      <c r="K229" s="9"/>
      <c r="L229" s="5" t="s">
        <v>22</v>
      </c>
      <c r="M229" s="107">
        <f>+M227+M228</f>
        <v>0</v>
      </c>
      <c r="N229" s="49"/>
      <c r="O229" s="23">
        <f>SUM(O227:O228)</f>
        <v>0</v>
      </c>
      <c r="P229" s="64">
        <f>+P227+P228</f>
        <v>0</v>
      </c>
      <c r="Q229" s="64">
        <f>+Q227+Q228</f>
        <v>0</v>
      </c>
      <c r="R229" s="49"/>
      <c r="S229" s="23">
        <f>+S227+S228</f>
        <v>0</v>
      </c>
      <c r="T229" s="76"/>
      <c r="U229" s="76"/>
      <c r="V229" s="48">
        <f>+V227+V228</f>
        <v>0</v>
      </c>
      <c r="W229" s="48">
        <f>+W227+W228</f>
        <v>0</v>
      </c>
      <c r="X229" s="33">
        <f>+X227+X228</f>
        <v>0</v>
      </c>
      <c r="Y229" s="12" t="str">
        <f t="shared" si="153"/>
        <v/>
      </c>
      <c r="Z229" s="9" t="str">
        <f>IF(OR($Y229="",$U$299="S"),"",IF(COUNT($Z$71:$Z228)&gt;=$U$297,"",1))</f>
        <v/>
      </c>
      <c r="AA229" s="49"/>
      <c r="AB229" s="49"/>
      <c r="AC229" s="49"/>
      <c r="AD229" s="49"/>
      <c r="AE229" s="49"/>
      <c r="AF229" s="49"/>
      <c r="AG229" s="49"/>
    </row>
    <row r="230" spans="1:33" ht="14.25" hidden="1" customHeight="1" thickBot="1" x14ac:dyDescent="0.25">
      <c r="B230" s="189"/>
      <c r="C230" s="207"/>
      <c r="D230" s="185"/>
      <c r="E230" s="185"/>
      <c r="F230" s="218"/>
      <c r="G230" s="215"/>
      <c r="H230" s="222"/>
      <c r="I230" s="231"/>
      <c r="J230" s="232"/>
      <c r="K230" s="9"/>
      <c r="L230" s="5"/>
      <c r="M230" s="107"/>
      <c r="N230" s="49"/>
      <c r="O230" s="48"/>
      <c r="P230" s="64"/>
      <c r="Q230" s="64"/>
      <c r="R230" s="49"/>
      <c r="S230" s="23"/>
      <c r="T230" s="76"/>
      <c r="U230" s="76"/>
      <c r="V230" s="48"/>
      <c r="W230" s="48"/>
      <c r="X230" s="33"/>
      <c r="Y230" s="12"/>
      <c r="AA230" s="49"/>
      <c r="AB230" s="49"/>
      <c r="AC230" s="49"/>
      <c r="AD230" s="49"/>
      <c r="AE230" s="49"/>
      <c r="AF230" s="49"/>
      <c r="AG230" s="49"/>
    </row>
    <row r="231" spans="1:33" ht="14.25" hidden="1" customHeight="1" thickBot="1" x14ac:dyDescent="0.25">
      <c r="B231" s="212" t="s">
        <v>115</v>
      </c>
      <c r="C231" s="212"/>
      <c r="D231" s="185"/>
      <c r="E231" s="185"/>
      <c r="F231" s="218"/>
      <c r="G231" s="215"/>
      <c r="H231" s="222"/>
      <c r="I231" s="233"/>
      <c r="J231" s="233"/>
      <c r="K231" s="9"/>
      <c r="L231" s="113" t="str">
        <f t="shared" ref="L231:L246" si="154">IF(B231="","",B231)</f>
        <v>（ケ）</v>
      </c>
      <c r="M231" s="107"/>
      <c r="N231" s="9"/>
      <c r="O231" s="21"/>
      <c r="P231" s="22"/>
      <c r="Q231" s="22"/>
      <c r="S231" s="23"/>
      <c r="T231" s="74"/>
      <c r="U231" s="74"/>
      <c r="V231" s="25"/>
      <c r="W231" s="25"/>
      <c r="X231" s="82">
        <f t="shared" ref="X231:X246" si="155">IF(AND($U$299="S",$Y231=1),$W231+($W$297/$U$297),IF(AND($U$299="O",$Y231=1,$Z231=1),$W231+($W$297/$U$297),$W231))</f>
        <v>0</v>
      </c>
      <c r="Y231" s="12" t="str">
        <f t="shared" si="153"/>
        <v/>
      </c>
      <c r="Z231" s="9" t="str">
        <f>IF(OR($Y231="",$U$299="S"),"",IF(COUNT($Z$71:$Z229)&gt;=$U$297,"",1))</f>
        <v/>
      </c>
    </row>
    <row r="232" spans="1:33" ht="14.25" hidden="1" customHeight="1" thickBot="1" x14ac:dyDescent="0.25">
      <c r="A232" s="7">
        <v>9</v>
      </c>
      <c r="B232" s="202" t="s">
        <v>111</v>
      </c>
      <c r="C232" s="207" t="str">
        <f t="shared" ref="C232:C246" si="156">IF($B232="","","図面・仕様書どおり")</f>
        <v>図面・仕様書どおり</v>
      </c>
      <c r="D232" s="185" t="str">
        <f t="shared" ref="D232:D246" si="157">IF($B232="","","1")</f>
        <v>1</v>
      </c>
      <c r="E232" s="185" t="str">
        <f t="shared" ref="E232:E246" si="158">IF($D232="","","式")</f>
        <v>式</v>
      </c>
      <c r="F232" s="218">
        <v>0</v>
      </c>
      <c r="G232" s="215">
        <f t="shared" ref="G232:G246" si="159">IF(F232="","",F232+H232)</f>
        <v>0</v>
      </c>
      <c r="H232" s="223">
        <f t="shared" ref="H232:H246" si="160">+X232</f>
        <v>0</v>
      </c>
      <c r="I232" s="233" t="str">
        <f>IF($B232="","","諸経費共")</f>
        <v>諸経費共</v>
      </c>
      <c r="J232" s="233"/>
      <c r="K232" s="98"/>
      <c r="L232" s="1" t="str">
        <f t="shared" si="154"/>
        <v>　○○工事</v>
      </c>
      <c r="M232" s="105"/>
      <c r="N232" s="52" t="str">
        <f t="shared" ref="N232:N246" si="161">IF(M232="","",IF(M232&lt;0,0,1))</f>
        <v/>
      </c>
      <c r="O232" s="21">
        <f t="shared" ref="O232:O246" si="162">+M232*$Q$66</f>
        <v>0</v>
      </c>
      <c r="P232" s="22">
        <f t="shared" ref="P232:P246" si="163">+ROUND(O232,-3)</f>
        <v>0</v>
      </c>
      <c r="Q232" s="22">
        <f t="shared" ref="Q232:Q246" si="164">+ROUND(P232,-4)</f>
        <v>0</v>
      </c>
      <c r="R232" s="9">
        <f t="shared" ref="R232:R246" si="165">IF(AND($Q$66&lt;1,$O232&gt;=0),0,IF(AND($Q$66&gt;=1,$O232&lt;0),0,1))</f>
        <v>1</v>
      </c>
      <c r="S232" s="85">
        <f t="shared" ref="S232:S246" si="166">+M232</f>
        <v>0</v>
      </c>
      <c r="T232" s="73">
        <f t="shared" ref="T232:T246" si="167">IF(R232=0,S232/$S$294,0)</f>
        <v>0</v>
      </c>
      <c r="U232" s="19">
        <f t="shared" ref="U232:U246" si="168">RANK(T232,$T$72:$T$289)</f>
        <v>3</v>
      </c>
      <c r="V232" s="25">
        <f t="shared" ref="V232:V246" si="169">INT($S232-$T$66*$T232)</f>
        <v>0</v>
      </c>
      <c r="W232" s="25">
        <f t="shared" ref="W232:W246" si="170">ROUND(V232,-3)</f>
        <v>0</v>
      </c>
      <c r="X232" s="82">
        <f t="shared" si="155"/>
        <v>0</v>
      </c>
      <c r="Y232" s="12" t="str">
        <f t="shared" si="153"/>
        <v/>
      </c>
      <c r="Z232" s="9" t="str">
        <f>IF(OR($Y232="",$U$299="S"),"",IF(COUNT($Z$71:$Z231)&gt;=$U$297,"",1))</f>
        <v/>
      </c>
    </row>
    <row r="233" spans="1:33" ht="14.25" hidden="1" customHeight="1" thickBot="1" x14ac:dyDescent="0.25">
      <c r="A233" s="7">
        <v>2</v>
      </c>
      <c r="B233" s="202" t="s">
        <v>111</v>
      </c>
      <c r="C233" s="207" t="str">
        <f t="shared" si="156"/>
        <v>図面・仕様書どおり</v>
      </c>
      <c r="D233" s="185" t="str">
        <f t="shared" si="157"/>
        <v>1</v>
      </c>
      <c r="E233" s="185" t="str">
        <f t="shared" si="158"/>
        <v>式</v>
      </c>
      <c r="F233" s="218"/>
      <c r="G233" s="215" t="str">
        <f t="shared" si="159"/>
        <v/>
      </c>
      <c r="H233" s="223">
        <f t="shared" si="160"/>
        <v>0</v>
      </c>
      <c r="I233" s="233" t="str">
        <f>IF($B233="","","諸経費共")</f>
        <v>諸経費共</v>
      </c>
      <c r="J233" s="233"/>
      <c r="K233" s="98"/>
      <c r="L233" s="1" t="str">
        <f t="shared" si="154"/>
        <v>　○○工事</v>
      </c>
      <c r="M233" s="105"/>
      <c r="N233" s="52" t="str">
        <f t="shared" si="161"/>
        <v/>
      </c>
      <c r="O233" s="21">
        <f t="shared" si="162"/>
        <v>0</v>
      </c>
      <c r="P233" s="22">
        <f t="shared" si="163"/>
        <v>0</v>
      </c>
      <c r="Q233" s="22">
        <f t="shared" si="164"/>
        <v>0</v>
      </c>
      <c r="R233" s="9">
        <f t="shared" si="165"/>
        <v>1</v>
      </c>
      <c r="S233" s="85">
        <f t="shared" si="166"/>
        <v>0</v>
      </c>
      <c r="T233" s="73">
        <f t="shared" si="167"/>
        <v>0</v>
      </c>
      <c r="U233" s="19">
        <f t="shared" si="168"/>
        <v>3</v>
      </c>
      <c r="V233" s="25">
        <f t="shared" si="169"/>
        <v>0</v>
      </c>
      <c r="W233" s="25">
        <f t="shared" si="170"/>
        <v>0</v>
      </c>
      <c r="X233" s="82">
        <f t="shared" si="155"/>
        <v>0</v>
      </c>
      <c r="Y233" s="12" t="str">
        <f t="shared" si="153"/>
        <v/>
      </c>
      <c r="Z233" s="9" t="str">
        <f>IF(OR($Y233="",$U$299="S"),"",IF(COUNT($Z$71:$Z232)&gt;=$U$297,"",1))</f>
        <v/>
      </c>
    </row>
    <row r="234" spans="1:33" ht="14.25" hidden="1" customHeight="1" thickBot="1" x14ac:dyDescent="0.25">
      <c r="A234" s="7">
        <v>3</v>
      </c>
      <c r="B234" s="202" t="s">
        <v>111</v>
      </c>
      <c r="C234" s="207" t="str">
        <f t="shared" si="156"/>
        <v>図面・仕様書どおり</v>
      </c>
      <c r="D234" s="185" t="str">
        <f t="shared" si="157"/>
        <v>1</v>
      </c>
      <c r="E234" s="185" t="str">
        <f t="shared" si="158"/>
        <v>式</v>
      </c>
      <c r="F234" s="218"/>
      <c r="G234" s="215" t="str">
        <f t="shared" si="159"/>
        <v/>
      </c>
      <c r="H234" s="223">
        <f t="shared" si="160"/>
        <v>0</v>
      </c>
      <c r="I234" s="233" t="str">
        <f>IF($B234="","","諸経費共")</f>
        <v>諸経費共</v>
      </c>
      <c r="J234" s="233"/>
      <c r="K234" s="98"/>
      <c r="L234" s="1" t="str">
        <f t="shared" si="154"/>
        <v>　○○工事</v>
      </c>
      <c r="M234" s="105"/>
      <c r="N234" s="52" t="str">
        <f t="shared" si="161"/>
        <v/>
      </c>
      <c r="O234" s="21">
        <f t="shared" si="162"/>
        <v>0</v>
      </c>
      <c r="P234" s="22">
        <f t="shared" si="163"/>
        <v>0</v>
      </c>
      <c r="Q234" s="22">
        <f t="shared" si="164"/>
        <v>0</v>
      </c>
      <c r="R234" s="9">
        <f t="shared" si="165"/>
        <v>1</v>
      </c>
      <c r="S234" s="85">
        <f t="shared" si="166"/>
        <v>0</v>
      </c>
      <c r="T234" s="73">
        <f t="shared" si="167"/>
        <v>0</v>
      </c>
      <c r="U234" s="19">
        <f t="shared" si="168"/>
        <v>3</v>
      </c>
      <c r="V234" s="25">
        <f t="shared" si="169"/>
        <v>0</v>
      </c>
      <c r="W234" s="25">
        <f t="shared" si="170"/>
        <v>0</v>
      </c>
      <c r="X234" s="82">
        <f t="shared" si="155"/>
        <v>0</v>
      </c>
      <c r="Y234" s="12" t="str">
        <f t="shared" si="153"/>
        <v/>
      </c>
      <c r="Z234" s="9" t="str">
        <f>IF(OR($Y234="",$U$299="S"),"",IF(COUNT($Z$71:$Z233)&gt;=$U$297,"",1))</f>
        <v/>
      </c>
    </row>
    <row r="235" spans="1:33" ht="14.25" hidden="1" customHeight="1" thickBot="1" x14ac:dyDescent="0.25">
      <c r="A235" s="7">
        <v>4</v>
      </c>
      <c r="B235" s="208"/>
      <c r="C235" s="207" t="str">
        <f t="shared" si="156"/>
        <v/>
      </c>
      <c r="D235" s="185" t="str">
        <f t="shared" si="157"/>
        <v/>
      </c>
      <c r="E235" s="185" t="str">
        <f t="shared" si="158"/>
        <v/>
      </c>
      <c r="F235" s="218"/>
      <c r="G235" s="215" t="str">
        <f t="shared" si="159"/>
        <v/>
      </c>
      <c r="H235" s="223">
        <f t="shared" si="160"/>
        <v>0</v>
      </c>
      <c r="I235" s="233" t="str">
        <f>IF($B235="","","諸経費共")</f>
        <v/>
      </c>
      <c r="J235" s="233"/>
      <c r="K235" s="98"/>
      <c r="L235" s="1" t="str">
        <f t="shared" si="154"/>
        <v/>
      </c>
      <c r="M235" s="105"/>
      <c r="N235" s="52" t="str">
        <f t="shared" si="161"/>
        <v/>
      </c>
      <c r="O235" s="21">
        <f t="shared" si="162"/>
        <v>0</v>
      </c>
      <c r="P235" s="22">
        <f t="shared" si="163"/>
        <v>0</v>
      </c>
      <c r="Q235" s="22">
        <f t="shared" si="164"/>
        <v>0</v>
      </c>
      <c r="R235" s="9">
        <f t="shared" si="165"/>
        <v>1</v>
      </c>
      <c r="S235" s="85">
        <f t="shared" si="166"/>
        <v>0</v>
      </c>
      <c r="T235" s="73">
        <f t="shared" si="167"/>
        <v>0</v>
      </c>
      <c r="U235" s="19">
        <f t="shared" si="168"/>
        <v>3</v>
      </c>
      <c r="V235" s="25">
        <f t="shared" si="169"/>
        <v>0</v>
      </c>
      <c r="W235" s="25">
        <f t="shared" si="170"/>
        <v>0</v>
      </c>
      <c r="X235" s="82">
        <f t="shared" si="155"/>
        <v>0</v>
      </c>
      <c r="Y235" s="12" t="str">
        <f t="shared" si="153"/>
        <v/>
      </c>
      <c r="Z235" s="9" t="str">
        <f>IF(OR($Y235="",$U$299="S"),"",IF(COUNT($Z$71:$Z234)&gt;=$U$297,"",1))</f>
        <v/>
      </c>
    </row>
    <row r="236" spans="1:33" ht="14.25" hidden="1" customHeight="1" thickBot="1" x14ac:dyDescent="0.25">
      <c r="A236" s="7">
        <v>5</v>
      </c>
      <c r="B236" s="208"/>
      <c r="C236" s="207" t="str">
        <f t="shared" si="156"/>
        <v/>
      </c>
      <c r="D236" s="185" t="str">
        <f t="shared" si="157"/>
        <v/>
      </c>
      <c r="E236" s="185" t="str">
        <f t="shared" si="158"/>
        <v/>
      </c>
      <c r="F236" s="218"/>
      <c r="G236" s="215" t="str">
        <f t="shared" si="159"/>
        <v/>
      </c>
      <c r="H236" s="223">
        <f t="shared" si="160"/>
        <v>0</v>
      </c>
      <c r="I236" s="233" t="str">
        <f>IF($B236="","","諸経費共")</f>
        <v/>
      </c>
      <c r="J236" s="233"/>
      <c r="K236" s="98"/>
      <c r="L236" s="1" t="str">
        <f t="shared" si="154"/>
        <v/>
      </c>
      <c r="M236" s="105"/>
      <c r="N236" s="52" t="str">
        <f t="shared" si="161"/>
        <v/>
      </c>
      <c r="O236" s="21">
        <f t="shared" si="162"/>
        <v>0</v>
      </c>
      <c r="P236" s="22">
        <f t="shared" si="163"/>
        <v>0</v>
      </c>
      <c r="Q236" s="22">
        <f t="shared" si="164"/>
        <v>0</v>
      </c>
      <c r="R236" s="9">
        <f t="shared" si="165"/>
        <v>1</v>
      </c>
      <c r="S236" s="85">
        <f t="shared" si="166"/>
        <v>0</v>
      </c>
      <c r="T236" s="73">
        <f t="shared" si="167"/>
        <v>0</v>
      </c>
      <c r="U236" s="19">
        <f t="shared" si="168"/>
        <v>3</v>
      </c>
      <c r="V236" s="25">
        <f t="shared" si="169"/>
        <v>0</v>
      </c>
      <c r="W236" s="25">
        <f t="shared" si="170"/>
        <v>0</v>
      </c>
      <c r="X236" s="82">
        <f t="shared" si="155"/>
        <v>0</v>
      </c>
      <c r="Y236" s="12" t="str">
        <f t="shared" si="153"/>
        <v/>
      </c>
      <c r="Z236" s="9" t="str">
        <f>IF(OR($Y236="",$U$299="S"),"",IF(COUNT($Z$71:$Z235)&gt;=$U$297,"",1))</f>
        <v/>
      </c>
    </row>
    <row r="237" spans="1:33" ht="14.25" hidden="1" customHeight="1" thickBot="1" x14ac:dyDescent="0.25">
      <c r="A237" s="7">
        <v>6</v>
      </c>
      <c r="B237" s="208"/>
      <c r="C237" s="207" t="str">
        <f t="shared" si="156"/>
        <v/>
      </c>
      <c r="D237" s="185" t="str">
        <f t="shared" si="157"/>
        <v/>
      </c>
      <c r="E237" s="185" t="str">
        <f t="shared" si="158"/>
        <v/>
      </c>
      <c r="F237" s="218"/>
      <c r="G237" s="215" t="str">
        <f t="shared" si="159"/>
        <v/>
      </c>
      <c r="H237" s="223">
        <f t="shared" si="160"/>
        <v>0</v>
      </c>
      <c r="I237" s="233" t="str">
        <f>IF($B237="","","諸経費共")</f>
        <v/>
      </c>
      <c r="J237" s="233"/>
      <c r="K237" s="98"/>
      <c r="L237" s="1" t="str">
        <f t="shared" si="154"/>
        <v/>
      </c>
      <c r="M237" s="105"/>
      <c r="N237" s="52" t="str">
        <f t="shared" si="161"/>
        <v/>
      </c>
      <c r="O237" s="21">
        <f t="shared" si="162"/>
        <v>0</v>
      </c>
      <c r="P237" s="22">
        <f t="shared" si="163"/>
        <v>0</v>
      </c>
      <c r="Q237" s="22">
        <f t="shared" si="164"/>
        <v>0</v>
      </c>
      <c r="R237" s="9">
        <f t="shared" si="165"/>
        <v>1</v>
      </c>
      <c r="S237" s="85">
        <f t="shared" si="166"/>
        <v>0</v>
      </c>
      <c r="T237" s="73">
        <f t="shared" si="167"/>
        <v>0</v>
      </c>
      <c r="U237" s="19">
        <f t="shared" si="168"/>
        <v>3</v>
      </c>
      <c r="V237" s="25">
        <f t="shared" si="169"/>
        <v>0</v>
      </c>
      <c r="W237" s="25">
        <f t="shared" si="170"/>
        <v>0</v>
      </c>
      <c r="X237" s="82">
        <f t="shared" si="155"/>
        <v>0</v>
      </c>
      <c r="Y237" s="12" t="str">
        <f t="shared" si="153"/>
        <v/>
      </c>
      <c r="Z237" s="9" t="str">
        <f>IF(OR($Y237="",$U$299="S"),"",IF(COUNT($Z$71:$Z236)&gt;=$U$297,"",1))</f>
        <v/>
      </c>
    </row>
    <row r="238" spans="1:33" ht="14.25" hidden="1" customHeight="1" thickBot="1" x14ac:dyDescent="0.25">
      <c r="A238" s="7">
        <v>7</v>
      </c>
      <c r="B238" s="208"/>
      <c r="C238" s="207" t="str">
        <f t="shared" si="156"/>
        <v/>
      </c>
      <c r="D238" s="185" t="str">
        <f t="shared" si="157"/>
        <v/>
      </c>
      <c r="E238" s="185" t="str">
        <f t="shared" si="158"/>
        <v/>
      </c>
      <c r="F238" s="218"/>
      <c r="G238" s="215" t="str">
        <f t="shared" si="159"/>
        <v/>
      </c>
      <c r="H238" s="223">
        <f t="shared" si="160"/>
        <v>0</v>
      </c>
      <c r="I238" s="233" t="str">
        <f>IF($B238="","","諸経費共")</f>
        <v/>
      </c>
      <c r="J238" s="233"/>
      <c r="K238" s="98"/>
      <c r="L238" s="1" t="str">
        <f t="shared" si="154"/>
        <v/>
      </c>
      <c r="M238" s="105"/>
      <c r="N238" s="52" t="str">
        <f t="shared" si="161"/>
        <v/>
      </c>
      <c r="O238" s="21">
        <f t="shared" si="162"/>
        <v>0</v>
      </c>
      <c r="P238" s="22">
        <f t="shared" si="163"/>
        <v>0</v>
      </c>
      <c r="Q238" s="22">
        <f t="shared" si="164"/>
        <v>0</v>
      </c>
      <c r="R238" s="9">
        <f t="shared" si="165"/>
        <v>1</v>
      </c>
      <c r="S238" s="85">
        <f t="shared" si="166"/>
        <v>0</v>
      </c>
      <c r="T238" s="73">
        <f t="shared" si="167"/>
        <v>0</v>
      </c>
      <c r="U238" s="19">
        <f t="shared" si="168"/>
        <v>3</v>
      </c>
      <c r="V238" s="25">
        <f t="shared" si="169"/>
        <v>0</v>
      </c>
      <c r="W238" s="25">
        <f t="shared" si="170"/>
        <v>0</v>
      </c>
      <c r="X238" s="82">
        <f t="shared" si="155"/>
        <v>0</v>
      </c>
      <c r="Y238" s="12" t="str">
        <f t="shared" si="153"/>
        <v/>
      </c>
      <c r="Z238" s="9" t="str">
        <f>IF(OR($Y238="",$U$299="S"),"",IF(COUNT($Z$71:$Z237)&gt;=$U$297,"",1))</f>
        <v/>
      </c>
    </row>
    <row r="239" spans="1:33" ht="14.25" hidden="1" customHeight="1" thickBot="1" x14ac:dyDescent="0.25">
      <c r="A239" s="7">
        <v>8</v>
      </c>
      <c r="B239" s="208"/>
      <c r="C239" s="207" t="str">
        <f t="shared" si="156"/>
        <v/>
      </c>
      <c r="D239" s="185" t="str">
        <f t="shared" si="157"/>
        <v/>
      </c>
      <c r="E239" s="185" t="str">
        <f t="shared" si="158"/>
        <v/>
      </c>
      <c r="F239" s="218"/>
      <c r="G239" s="215" t="str">
        <f t="shared" si="159"/>
        <v/>
      </c>
      <c r="H239" s="223">
        <f t="shared" si="160"/>
        <v>0</v>
      </c>
      <c r="I239" s="233" t="str">
        <f>IF($B239="","","諸経費共")</f>
        <v/>
      </c>
      <c r="J239" s="233"/>
      <c r="K239" s="98"/>
      <c r="L239" s="1" t="str">
        <f t="shared" si="154"/>
        <v/>
      </c>
      <c r="M239" s="105"/>
      <c r="N239" s="52" t="str">
        <f t="shared" si="161"/>
        <v/>
      </c>
      <c r="O239" s="21">
        <f t="shared" si="162"/>
        <v>0</v>
      </c>
      <c r="P239" s="22">
        <f t="shared" si="163"/>
        <v>0</v>
      </c>
      <c r="Q239" s="22">
        <f t="shared" si="164"/>
        <v>0</v>
      </c>
      <c r="R239" s="9">
        <f t="shared" si="165"/>
        <v>1</v>
      </c>
      <c r="S239" s="85">
        <f t="shared" si="166"/>
        <v>0</v>
      </c>
      <c r="T239" s="73">
        <f t="shared" si="167"/>
        <v>0</v>
      </c>
      <c r="U239" s="19">
        <f t="shared" si="168"/>
        <v>3</v>
      </c>
      <c r="V239" s="25">
        <f t="shared" si="169"/>
        <v>0</v>
      </c>
      <c r="W239" s="25">
        <f t="shared" si="170"/>
        <v>0</v>
      </c>
      <c r="X239" s="82">
        <f t="shared" si="155"/>
        <v>0</v>
      </c>
      <c r="Y239" s="12" t="str">
        <f t="shared" si="153"/>
        <v/>
      </c>
      <c r="Z239" s="9" t="str">
        <f>IF(OR($Y239="",$U$299="S"),"",IF(COUNT($Z$71:$Z238)&gt;=$U$297,"",1))</f>
        <v/>
      </c>
    </row>
    <row r="240" spans="1:33" ht="14.25" hidden="1" customHeight="1" thickBot="1" x14ac:dyDescent="0.25">
      <c r="A240" s="7">
        <v>9</v>
      </c>
      <c r="B240" s="208"/>
      <c r="C240" s="207" t="str">
        <f t="shared" si="156"/>
        <v/>
      </c>
      <c r="D240" s="185" t="str">
        <f t="shared" si="157"/>
        <v/>
      </c>
      <c r="E240" s="185" t="str">
        <f t="shared" si="158"/>
        <v/>
      </c>
      <c r="F240" s="218"/>
      <c r="G240" s="215" t="str">
        <f t="shared" si="159"/>
        <v/>
      </c>
      <c r="H240" s="223">
        <f t="shared" si="160"/>
        <v>0</v>
      </c>
      <c r="I240" s="233" t="str">
        <f>IF($B240="","","諸経費共")</f>
        <v/>
      </c>
      <c r="J240" s="233"/>
      <c r="K240" s="98"/>
      <c r="L240" s="1" t="str">
        <f t="shared" si="154"/>
        <v/>
      </c>
      <c r="M240" s="105"/>
      <c r="N240" s="52" t="str">
        <f t="shared" si="161"/>
        <v/>
      </c>
      <c r="O240" s="21">
        <f t="shared" si="162"/>
        <v>0</v>
      </c>
      <c r="P240" s="22">
        <f t="shared" si="163"/>
        <v>0</v>
      </c>
      <c r="Q240" s="22">
        <f t="shared" si="164"/>
        <v>0</v>
      </c>
      <c r="R240" s="9">
        <f t="shared" si="165"/>
        <v>1</v>
      </c>
      <c r="S240" s="85">
        <f t="shared" si="166"/>
        <v>0</v>
      </c>
      <c r="T240" s="73">
        <f t="shared" si="167"/>
        <v>0</v>
      </c>
      <c r="U240" s="19">
        <f t="shared" si="168"/>
        <v>3</v>
      </c>
      <c r="V240" s="25">
        <f t="shared" si="169"/>
        <v>0</v>
      </c>
      <c r="W240" s="25">
        <f t="shared" si="170"/>
        <v>0</v>
      </c>
      <c r="X240" s="82">
        <f t="shared" si="155"/>
        <v>0</v>
      </c>
      <c r="Y240" s="12" t="str">
        <f t="shared" si="153"/>
        <v/>
      </c>
      <c r="Z240" s="9" t="str">
        <f>IF(OR($Y240="",$U$299="S"),"",IF(COUNT($Z$71:$Z239)&gt;=$U$297,"",1))</f>
        <v/>
      </c>
    </row>
    <row r="241" spans="1:33" ht="14.25" hidden="1" customHeight="1" thickBot="1" x14ac:dyDescent="0.25">
      <c r="A241" s="7">
        <v>10</v>
      </c>
      <c r="B241" s="208"/>
      <c r="C241" s="207" t="str">
        <f t="shared" si="156"/>
        <v/>
      </c>
      <c r="D241" s="185" t="str">
        <f t="shared" si="157"/>
        <v/>
      </c>
      <c r="E241" s="185" t="str">
        <f t="shared" si="158"/>
        <v/>
      </c>
      <c r="F241" s="218"/>
      <c r="G241" s="215" t="str">
        <f t="shared" si="159"/>
        <v/>
      </c>
      <c r="H241" s="223">
        <f t="shared" si="160"/>
        <v>0</v>
      </c>
      <c r="I241" s="233" t="str">
        <f>IF($B241="","","諸経費共")</f>
        <v/>
      </c>
      <c r="J241" s="233"/>
      <c r="K241" s="98"/>
      <c r="L241" s="1" t="str">
        <f t="shared" si="154"/>
        <v/>
      </c>
      <c r="M241" s="105"/>
      <c r="N241" s="52" t="str">
        <f t="shared" si="161"/>
        <v/>
      </c>
      <c r="O241" s="21">
        <f t="shared" si="162"/>
        <v>0</v>
      </c>
      <c r="P241" s="22">
        <f t="shared" si="163"/>
        <v>0</v>
      </c>
      <c r="Q241" s="22">
        <f t="shared" si="164"/>
        <v>0</v>
      </c>
      <c r="R241" s="9">
        <f t="shared" si="165"/>
        <v>1</v>
      </c>
      <c r="S241" s="85">
        <f t="shared" si="166"/>
        <v>0</v>
      </c>
      <c r="T241" s="73">
        <f t="shared" si="167"/>
        <v>0</v>
      </c>
      <c r="U241" s="19">
        <f t="shared" si="168"/>
        <v>3</v>
      </c>
      <c r="V241" s="25">
        <f t="shared" si="169"/>
        <v>0</v>
      </c>
      <c r="W241" s="25">
        <f t="shared" si="170"/>
        <v>0</v>
      </c>
      <c r="X241" s="82">
        <f t="shared" si="155"/>
        <v>0</v>
      </c>
      <c r="Y241" s="12" t="str">
        <f t="shared" si="153"/>
        <v/>
      </c>
      <c r="Z241" s="9" t="str">
        <f>IF(OR($Y241="",$U$299="S"),"",IF(COUNT($Z$71:$Z240)&gt;=$U$297,"",1))</f>
        <v/>
      </c>
    </row>
    <row r="242" spans="1:33" ht="14.25" hidden="1" customHeight="1" thickBot="1" x14ac:dyDescent="0.25">
      <c r="A242" s="7">
        <v>11</v>
      </c>
      <c r="B242" s="208"/>
      <c r="C242" s="207" t="str">
        <f t="shared" si="156"/>
        <v/>
      </c>
      <c r="D242" s="185" t="str">
        <f t="shared" si="157"/>
        <v/>
      </c>
      <c r="E242" s="185" t="str">
        <f t="shared" si="158"/>
        <v/>
      </c>
      <c r="F242" s="218"/>
      <c r="G242" s="215" t="str">
        <f t="shared" si="159"/>
        <v/>
      </c>
      <c r="H242" s="223">
        <f t="shared" si="160"/>
        <v>0</v>
      </c>
      <c r="I242" s="233" t="str">
        <f>IF($B242="","","諸経費共")</f>
        <v/>
      </c>
      <c r="J242" s="233"/>
      <c r="K242" s="98"/>
      <c r="L242" s="1" t="str">
        <f t="shared" si="154"/>
        <v/>
      </c>
      <c r="M242" s="105"/>
      <c r="N242" s="52" t="str">
        <f t="shared" si="161"/>
        <v/>
      </c>
      <c r="O242" s="21">
        <f t="shared" si="162"/>
        <v>0</v>
      </c>
      <c r="P242" s="22">
        <f t="shared" si="163"/>
        <v>0</v>
      </c>
      <c r="Q242" s="22">
        <f t="shared" si="164"/>
        <v>0</v>
      </c>
      <c r="R242" s="9">
        <f t="shared" si="165"/>
        <v>1</v>
      </c>
      <c r="S242" s="85">
        <f t="shared" si="166"/>
        <v>0</v>
      </c>
      <c r="T242" s="73">
        <f t="shared" si="167"/>
        <v>0</v>
      </c>
      <c r="U242" s="19">
        <f t="shared" si="168"/>
        <v>3</v>
      </c>
      <c r="V242" s="25">
        <f t="shared" si="169"/>
        <v>0</v>
      </c>
      <c r="W242" s="25">
        <f t="shared" si="170"/>
        <v>0</v>
      </c>
      <c r="X242" s="82">
        <f t="shared" si="155"/>
        <v>0</v>
      </c>
      <c r="Y242" s="12" t="str">
        <f t="shared" si="153"/>
        <v/>
      </c>
      <c r="Z242" s="9" t="str">
        <f>IF(OR($Y242="",$U$299="S"),"",IF(COUNT($Z$71:$Z241)&gt;=$U$297,"",1))</f>
        <v/>
      </c>
    </row>
    <row r="243" spans="1:33" ht="14.25" hidden="1" customHeight="1" thickBot="1" x14ac:dyDescent="0.25">
      <c r="A243" s="7">
        <v>12</v>
      </c>
      <c r="B243" s="208"/>
      <c r="C243" s="207" t="str">
        <f t="shared" si="156"/>
        <v/>
      </c>
      <c r="D243" s="185" t="str">
        <f t="shared" si="157"/>
        <v/>
      </c>
      <c r="E243" s="185" t="str">
        <f t="shared" si="158"/>
        <v/>
      </c>
      <c r="F243" s="218"/>
      <c r="G243" s="215" t="str">
        <f t="shared" si="159"/>
        <v/>
      </c>
      <c r="H243" s="223">
        <f t="shared" si="160"/>
        <v>0</v>
      </c>
      <c r="I243" s="234" t="str">
        <f>IF($B243="","","諸経費共")</f>
        <v/>
      </c>
      <c r="J243" s="235"/>
      <c r="K243" s="98"/>
      <c r="L243" s="1" t="str">
        <f t="shared" si="154"/>
        <v/>
      </c>
      <c r="M243" s="105"/>
      <c r="N243" s="52" t="str">
        <f t="shared" si="161"/>
        <v/>
      </c>
      <c r="O243" s="21">
        <f t="shared" si="162"/>
        <v>0</v>
      </c>
      <c r="P243" s="22">
        <f t="shared" si="163"/>
        <v>0</v>
      </c>
      <c r="Q243" s="22">
        <f t="shared" si="164"/>
        <v>0</v>
      </c>
      <c r="R243" s="9">
        <f t="shared" si="165"/>
        <v>1</v>
      </c>
      <c r="S243" s="85">
        <f t="shared" si="166"/>
        <v>0</v>
      </c>
      <c r="T243" s="73">
        <f t="shared" si="167"/>
        <v>0</v>
      </c>
      <c r="U243" s="19">
        <f t="shared" si="168"/>
        <v>3</v>
      </c>
      <c r="V243" s="25">
        <f t="shared" si="169"/>
        <v>0</v>
      </c>
      <c r="W243" s="25">
        <f t="shared" si="170"/>
        <v>0</v>
      </c>
      <c r="X243" s="82">
        <f t="shared" si="155"/>
        <v>0</v>
      </c>
      <c r="Y243" s="12" t="str">
        <f t="shared" si="153"/>
        <v/>
      </c>
      <c r="Z243" s="9" t="str">
        <f>IF(OR($Y243="",$U$299="S"),"",IF(COUNT($Z$71:$Z242)&gt;=$U$297,"",1))</f>
        <v/>
      </c>
    </row>
    <row r="244" spans="1:33" ht="14.25" hidden="1" customHeight="1" thickBot="1" x14ac:dyDescent="0.25">
      <c r="A244" s="7">
        <v>13</v>
      </c>
      <c r="B244" s="208"/>
      <c r="C244" s="207" t="str">
        <f t="shared" si="156"/>
        <v/>
      </c>
      <c r="D244" s="185" t="str">
        <f t="shared" si="157"/>
        <v/>
      </c>
      <c r="E244" s="185" t="str">
        <f t="shared" si="158"/>
        <v/>
      </c>
      <c r="F244" s="218"/>
      <c r="G244" s="215" t="str">
        <f t="shared" si="159"/>
        <v/>
      </c>
      <c r="H244" s="223">
        <f t="shared" si="160"/>
        <v>0</v>
      </c>
      <c r="I244" s="233" t="str">
        <f>IF($B244="","","諸経費共")</f>
        <v/>
      </c>
      <c r="J244" s="233"/>
      <c r="K244" s="98"/>
      <c r="L244" s="1" t="str">
        <f t="shared" si="154"/>
        <v/>
      </c>
      <c r="M244" s="105"/>
      <c r="N244" s="52" t="str">
        <f t="shared" si="161"/>
        <v/>
      </c>
      <c r="O244" s="21">
        <f t="shared" si="162"/>
        <v>0</v>
      </c>
      <c r="P244" s="22">
        <f t="shared" si="163"/>
        <v>0</v>
      </c>
      <c r="Q244" s="22">
        <f t="shared" si="164"/>
        <v>0</v>
      </c>
      <c r="R244" s="9">
        <f t="shared" si="165"/>
        <v>1</v>
      </c>
      <c r="S244" s="85">
        <f t="shared" si="166"/>
        <v>0</v>
      </c>
      <c r="T244" s="73">
        <f t="shared" si="167"/>
        <v>0</v>
      </c>
      <c r="U244" s="19">
        <f t="shared" si="168"/>
        <v>3</v>
      </c>
      <c r="V244" s="25">
        <f t="shared" si="169"/>
        <v>0</v>
      </c>
      <c r="W244" s="25">
        <f t="shared" si="170"/>
        <v>0</v>
      </c>
      <c r="X244" s="82">
        <f t="shared" si="155"/>
        <v>0</v>
      </c>
      <c r="Y244" s="12" t="str">
        <f t="shared" si="153"/>
        <v/>
      </c>
      <c r="Z244" s="9" t="str">
        <f>IF(OR($Y244="",$U$299="S"),"",IF(COUNT($Z$71:$Z243)&gt;=$U$297,"",1))</f>
        <v/>
      </c>
    </row>
    <row r="245" spans="1:33" ht="14.25" hidden="1" customHeight="1" thickBot="1" x14ac:dyDescent="0.25">
      <c r="A245" s="7">
        <v>14</v>
      </c>
      <c r="B245" s="208"/>
      <c r="C245" s="207" t="str">
        <f t="shared" si="156"/>
        <v/>
      </c>
      <c r="D245" s="185" t="str">
        <f t="shared" si="157"/>
        <v/>
      </c>
      <c r="E245" s="185" t="str">
        <f t="shared" si="158"/>
        <v/>
      </c>
      <c r="F245" s="218"/>
      <c r="G245" s="215" t="str">
        <f t="shared" si="159"/>
        <v/>
      </c>
      <c r="H245" s="223">
        <f t="shared" si="160"/>
        <v>0</v>
      </c>
      <c r="I245" s="233" t="str">
        <f>IF($B245="","","諸経費共")</f>
        <v/>
      </c>
      <c r="J245" s="233"/>
      <c r="K245" s="98"/>
      <c r="L245" s="1" t="str">
        <f t="shared" si="154"/>
        <v/>
      </c>
      <c r="M245" s="105"/>
      <c r="N245" s="52" t="str">
        <f t="shared" si="161"/>
        <v/>
      </c>
      <c r="O245" s="21">
        <f t="shared" si="162"/>
        <v>0</v>
      </c>
      <c r="P245" s="22">
        <f t="shared" si="163"/>
        <v>0</v>
      </c>
      <c r="Q245" s="22">
        <f t="shared" si="164"/>
        <v>0</v>
      </c>
      <c r="R245" s="9">
        <f t="shared" si="165"/>
        <v>1</v>
      </c>
      <c r="S245" s="85">
        <f t="shared" si="166"/>
        <v>0</v>
      </c>
      <c r="T245" s="73">
        <f t="shared" si="167"/>
        <v>0</v>
      </c>
      <c r="U245" s="19">
        <f t="shared" si="168"/>
        <v>3</v>
      </c>
      <c r="V245" s="25">
        <f t="shared" si="169"/>
        <v>0</v>
      </c>
      <c r="W245" s="25">
        <f t="shared" si="170"/>
        <v>0</v>
      </c>
      <c r="X245" s="82">
        <f t="shared" si="155"/>
        <v>0</v>
      </c>
      <c r="Y245" s="12" t="str">
        <f t="shared" si="153"/>
        <v/>
      </c>
      <c r="Z245" s="9" t="str">
        <f>IF(OR($Y245="",$U$299="S"),"",IF(COUNT($Z$71:$Z244)&gt;=$U$297,"",1))</f>
        <v/>
      </c>
    </row>
    <row r="246" spans="1:33" ht="14.25" hidden="1" customHeight="1" thickBot="1" x14ac:dyDescent="0.25">
      <c r="A246" s="7">
        <v>15</v>
      </c>
      <c r="B246" s="208"/>
      <c r="C246" s="207" t="str">
        <f t="shared" si="156"/>
        <v/>
      </c>
      <c r="D246" s="185" t="str">
        <f t="shared" si="157"/>
        <v/>
      </c>
      <c r="E246" s="185" t="str">
        <f t="shared" si="158"/>
        <v/>
      </c>
      <c r="F246" s="218"/>
      <c r="G246" s="215" t="str">
        <f t="shared" si="159"/>
        <v/>
      </c>
      <c r="H246" s="223">
        <f t="shared" si="160"/>
        <v>0</v>
      </c>
      <c r="I246" s="233" t="str">
        <f>IF($B246="","","諸経費共")</f>
        <v/>
      </c>
      <c r="J246" s="233"/>
      <c r="K246" s="98"/>
      <c r="L246" s="1" t="str">
        <f t="shared" si="154"/>
        <v/>
      </c>
      <c r="M246" s="105"/>
      <c r="N246" s="52" t="str">
        <f t="shared" si="161"/>
        <v/>
      </c>
      <c r="O246" s="21">
        <f t="shared" si="162"/>
        <v>0</v>
      </c>
      <c r="P246" s="22">
        <f t="shared" si="163"/>
        <v>0</v>
      </c>
      <c r="Q246" s="22">
        <f t="shared" si="164"/>
        <v>0</v>
      </c>
      <c r="R246" s="9">
        <f t="shared" si="165"/>
        <v>1</v>
      </c>
      <c r="S246" s="85">
        <f t="shared" si="166"/>
        <v>0</v>
      </c>
      <c r="T246" s="73">
        <f t="shared" si="167"/>
        <v>0</v>
      </c>
      <c r="U246" s="19">
        <f t="shared" si="168"/>
        <v>3</v>
      </c>
      <c r="V246" s="25">
        <f t="shared" si="169"/>
        <v>0</v>
      </c>
      <c r="W246" s="25">
        <f t="shared" si="170"/>
        <v>0</v>
      </c>
      <c r="X246" s="82">
        <f t="shared" si="155"/>
        <v>0</v>
      </c>
      <c r="Y246" s="12" t="str">
        <f t="shared" si="153"/>
        <v/>
      </c>
      <c r="Z246" s="9" t="str">
        <f>IF(OR($Y246="",$U$299="S"),"",IF(COUNT($Z$71:$Z245)&gt;=$U$297,"",1))</f>
        <v/>
      </c>
    </row>
    <row r="247" spans="1:33" ht="14.25" hidden="1" customHeight="1" thickBot="1" x14ac:dyDescent="0.25">
      <c r="B247" s="209" t="s">
        <v>20</v>
      </c>
      <c r="C247" s="207"/>
      <c r="D247" s="185"/>
      <c r="E247" s="185"/>
      <c r="F247" s="218">
        <f>SUM(F232:F246)</f>
        <v>0</v>
      </c>
      <c r="G247" s="215">
        <f>+F247+H247</f>
        <v>0</v>
      </c>
      <c r="H247" s="222">
        <f>SUM(H232:H246)</f>
        <v>0</v>
      </c>
      <c r="I247" s="233"/>
      <c r="J247" s="233"/>
      <c r="K247" s="9"/>
      <c r="L247" s="4" t="s">
        <v>23</v>
      </c>
      <c r="M247" s="114">
        <f>SUM(M232:M246)</f>
        <v>0</v>
      </c>
      <c r="N247" s="9"/>
      <c r="O247" s="115">
        <f>SUM(O232:O246)</f>
        <v>0</v>
      </c>
      <c r="P247" s="116">
        <f>SUM(P232:P246)</f>
        <v>0</v>
      </c>
      <c r="Q247" s="116">
        <f>SUM(Q232:Q246)</f>
        <v>0</v>
      </c>
      <c r="S247" s="117">
        <f>SUM(S232:S246)</f>
        <v>0</v>
      </c>
      <c r="T247" s="74"/>
      <c r="U247" s="74"/>
      <c r="V247" s="118">
        <f>SUM(V232:V246)</f>
        <v>0</v>
      </c>
      <c r="W247" s="118">
        <f>SUM(W232:W246)</f>
        <v>0</v>
      </c>
      <c r="X247" s="119">
        <f>SUM(X232:X246)</f>
        <v>0</v>
      </c>
      <c r="Y247" s="12" t="str">
        <f t="shared" si="153"/>
        <v/>
      </c>
      <c r="Z247" s="9" t="str">
        <f>IF(OR($Y247="",$U$299="S"),"",IF(COUNT($Z$71:$Z246)&gt;=$U$297,"",1))</f>
        <v/>
      </c>
    </row>
    <row r="248" spans="1:33" ht="14.25" hidden="1" customHeight="1" thickBot="1" x14ac:dyDescent="0.25">
      <c r="B248" s="210" t="s">
        <v>21</v>
      </c>
      <c r="C248" s="207"/>
      <c r="D248" s="185">
        <v>1</v>
      </c>
      <c r="E248" s="185" t="str">
        <f>IF($D248="","","式")</f>
        <v>式</v>
      </c>
      <c r="F248" s="218"/>
      <c r="G248" s="215">
        <f>+F248+H248</f>
        <v>0</v>
      </c>
      <c r="H248" s="222">
        <f>H247*0.1</f>
        <v>0</v>
      </c>
      <c r="I248" s="233"/>
      <c r="J248" s="233"/>
      <c r="K248" s="9"/>
      <c r="L248" s="3" t="s">
        <v>21</v>
      </c>
      <c r="M248" s="107">
        <f>+M247*0.1</f>
        <v>0</v>
      </c>
      <c r="N248" s="49"/>
      <c r="O248" s="63">
        <f>+O247*0.1</f>
        <v>0</v>
      </c>
      <c r="P248" s="64">
        <f>+P247*0.1</f>
        <v>0</v>
      </c>
      <c r="Q248" s="64">
        <f>+Q247*0.1</f>
        <v>0</v>
      </c>
      <c r="R248" s="49"/>
      <c r="S248" s="23">
        <f>+S247*0.1</f>
        <v>0</v>
      </c>
      <c r="T248" s="76"/>
      <c r="U248" s="76"/>
      <c r="V248" s="48">
        <f>+V247*0.1</f>
        <v>0</v>
      </c>
      <c r="W248" s="48">
        <f>+W247*0.1</f>
        <v>0</v>
      </c>
      <c r="X248" s="33">
        <f>+X247*0.1</f>
        <v>0</v>
      </c>
      <c r="Y248" s="12" t="str">
        <f t="shared" si="153"/>
        <v/>
      </c>
      <c r="Z248" s="9" t="str">
        <f>IF(OR($Y248="",$U$299="S"),"",IF(COUNT($Z$71:$Z247)&gt;=$U$297,"",1))</f>
        <v/>
      </c>
      <c r="AA248" s="49"/>
      <c r="AB248" s="49"/>
      <c r="AC248" s="49"/>
      <c r="AD248" s="49"/>
      <c r="AE248" s="49"/>
      <c r="AF248" s="49"/>
      <c r="AG248" s="49"/>
    </row>
    <row r="249" spans="1:33" ht="14.25" hidden="1" customHeight="1" thickBot="1" x14ac:dyDescent="0.25">
      <c r="B249" s="189" t="s">
        <v>22</v>
      </c>
      <c r="C249" s="207"/>
      <c r="D249" s="185"/>
      <c r="E249" s="185"/>
      <c r="F249" s="218">
        <f>SUM(F247:F248)</f>
        <v>0</v>
      </c>
      <c r="G249" s="215">
        <f>+F249+H249</f>
        <v>0</v>
      </c>
      <c r="H249" s="222">
        <f>SUM(H247:H248)</f>
        <v>0</v>
      </c>
      <c r="I249" s="233"/>
      <c r="J249" s="233"/>
      <c r="K249" s="9"/>
      <c r="L249" s="5" t="s">
        <v>22</v>
      </c>
      <c r="M249" s="107">
        <f>+M247+M248</f>
        <v>0</v>
      </c>
      <c r="N249" s="49"/>
      <c r="O249" s="23">
        <f>SUM(O247:O248)</f>
        <v>0</v>
      </c>
      <c r="P249" s="64">
        <f>+P247+P248</f>
        <v>0</v>
      </c>
      <c r="Q249" s="64">
        <f>+Q247+Q248</f>
        <v>0</v>
      </c>
      <c r="R249" s="49"/>
      <c r="S249" s="23">
        <f>+S247+S248</f>
        <v>0</v>
      </c>
      <c r="T249" s="76"/>
      <c r="U249" s="76"/>
      <c r="V249" s="48">
        <f>+V247+V248</f>
        <v>0</v>
      </c>
      <c r="W249" s="48">
        <f>+W247+W248</f>
        <v>0</v>
      </c>
      <c r="X249" s="33">
        <f>+X247+X248</f>
        <v>0</v>
      </c>
      <c r="Y249" s="12" t="str">
        <f t="shared" si="153"/>
        <v/>
      </c>
      <c r="Z249" s="9" t="str">
        <f>IF(OR($Y249="",$U$299="S"),"",IF(COUNT($Z$71:$Z248)&gt;=$U$297,"",1))</f>
        <v/>
      </c>
      <c r="AA249" s="49"/>
      <c r="AB249" s="49"/>
      <c r="AC249" s="49"/>
      <c r="AD249" s="49"/>
      <c r="AE249" s="49"/>
      <c r="AF249" s="49"/>
      <c r="AG249" s="49"/>
    </row>
    <row r="250" spans="1:33" ht="14.25" hidden="1" customHeight="1" thickBot="1" x14ac:dyDescent="0.25">
      <c r="B250" s="189"/>
      <c r="C250" s="207"/>
      <c r="D250" s="185"/>
      <c r="E250" s="185"/>
      <c r="F250" s="218"/>
      <c r="G250" s="215"/>
      <c r="H250" s="222"/>
      <c r="I250" s="231"/>
      <c r="J250" s="232"/>
      <c r="K250" s="9"/>
      <c r="L250" s="5"/>
      <c r="M250" s="107"/>
      <c r="N250" s="49"/>
      <c r="O250" s="48"/>
      <c r="P250" s="64"/>
      <c r="Q250" s="64"/>
      <c r="R250" s="49"/>
      <c r="S250" s="23"/>
      <c r="T250" s="76"/>
      <c r="U250" s="76"/>
      <c r="V250" s="48"/>
      <c r="W250" s="48"/>
      <c r="X250" s="33"/>
      <c r="Y250" s="12"/>
      <c r="AA250" s="49"/>
      <c r="AB250" s="49"/>
      <c r="AC250" s="49"/>
      <c r="AD250" s="49"/>
      <c r="AE250" s="49"/>
      <c r="AF250" s="49"/>
      <c r="AG250" s="49"/>
    </row>
    <row r="251" spans="1:33" ht="14.25" hidden="1" customHeight="1" thickBot="1" x14ac:dyDescent="0.25">
      <c r="B251" s="212" t="s">
        <v>116</v>
      </c>
      <c r="C251" s="212"/>
      <c r="D251" s="185"/>
      <c r="E251" s="185"/>
      <c r="F251" s="218"/>
      <c r="G251" s="215"/>
      <c r="H251" s="222"/>
      <c r="I251" s="233"/>
      <c r="J251" s="233"/>
      <c r="K251" s="9"/>
      <c r="L251" s="113" t="str">
        <f t="shared" ref="L251:L266" si="171">IF(B251="","",B251)</f>
        <v>（コ）</v>
      </c>
      <c r="M251" s="107"/>
      <c r="N251" s="9"/>
      <c r="O251" s="21"/>
      <c r="P251" s="22"/>
      <c r="Q251" s="22"/>
      <c r="S251" s="23"/>
      <c r="T251" s="74"/>
      <c r="U251" s="74"/>
      <c r="V251" s="25"/>
      <c r="W251" s="25"/>
      <c r="X251" s="82">
        <f t="shared" ref="X251:X266" si="172">IF(AND($U$299="S",$Y251=1),$W251+($W$297/$U$297),IF(AND($U$299="O",$Y251=1,$Z251=1),$W251+($W$297/$U$297),$W251))</f>
        <v>0</v>
      </c>
      <c r="Y251" s="12" t="str">
        <f t="shared" si="153"/>
        <v/>
      </c>
      <c r="Z251" s="9" t="str">
        <f>IF(OR($Y251="",$U$299="S"),"",IF(COUNT($Z$71:$Z249)&gt;=$U$297,"",1))</f>
        <v/>
      </c>
    </row>
    <row r="252" spans="1:33" ht="14.25" hidden="1" customHeight="1" thickBot="1" x14ac:dyDescent="0.25">
      <c r="A252" s="7">
        <v>10</v>
      </c>
      <c r="B252" s="202" t="s">
        <v>111</v>
      </c>
      <c r="C252" s="207" t="str">
        <f t="shared" ref="C252:C266" si="173">IF($B252="","","図面・仕様書どおり")</f>
        <v>図面・仕様書どおり</v>
      </c>
      <c r="D252" s="185" t="str">
        <f t="shared" ref="D252:D266" si="174">IF($B252="","","1")</f>
        <v>1</v>
      </c>
      <c r="E252" s="185" t="str">
        <f t="shared" ref="E252:E266" si="175">IF($D252="","","式")</f>
        <v>式</v>
      </c>
      <c r="F252" s="218">
        <v>0</v>
      </c>
      <c r="G252" s="215">
        <f t="shared" ref="G252:G266" si="176">IF(F252="","",F252+H252)</f>
        <v>0</v>
      </c>
      <c r="H252" s="223">
        <f t="shared" ref="H252:H266" si="177">+X252</f>
        <v>0</v>
      </c>
      <c r="I252" s="233" t="str">
        <f>IF($B252="","","諸経費共")</f>
        <v>諸経費共</v>
      </c>
      <c r="J252" s="233"/>
      <c r="K252" s="98"/>
      <c r="L252" s="1" t="str">
        <f t="shared" si="171"/>
        <v>　○○工事</v>
      </c>
      <c r="M252" s="105"/>
      <c r="N252" s="52" t="str">
        <f t="shared" ref="N252:N266" si="178">IF(M252="","",IF(M252&lt;0,0,1))</f>
        <v/>
      </c>
      <c r="O252" s="21">
        <f t="shared" ref="O252:O266" si="179">+M252*$Q$66</f>
        <v>0</v>
      </c>
      <c r="P252" s="22">
        <f t="shared" ref="P252:P266" si="180">+ROUND(O252,-3)</f>
        <v>0</v>
      </c>
      <c r="Q252" s="22">
        <f t="shared" ref="Q252:Q266" si="181">+ROUND(P252,-4)</f>
        <v>0</v>
      </c>
      <c r="R252" s="9">
        <f t="shared" ref="R252:R266" si="182">IF(AND($Q$66&lt;1,$O252&gt;=0),0,IF(AND($Q$66&gt;=1,$O252&lt;0),0,1))</f>
        <v>1</v>
      </c>
      <c r="S252" s="85">
        <f t="shared" ref="S252:S266" si="183">+M252</f>
        <v>0</v>
      </c>
      <c r="T252" s="73">
        <f t="shared" ref="T252:T266" si="184">IF(R252=0,S252/$S$294,0)</f>
        <v>0</v>
      </c>
      <c r="U252" s="19">
        <f t="shared" ref="U252:U266" si="185">RANK(T252,$T$72:$T$289)</f>
        <v>3</v>
      </c>
      <c r="V252" s="25">
        <f t="shared" ref="V252:V266" si="186">INT($S252-$T$66*$T252)</f>
        <v>0</v>
      </c>
      <c r="W252" s="25">
        <f t="shared" ref="W252:W266" si="187">ROUND(V252,-3)</f>
        <v>0</v>
      </c>
      <c r="X252" s="82">
        <f t="shared" si="172"/>
        <v>0</v>
      </c>
      <c r="Y252" s="12" t="str">
        <f t="shared" si="153"/>
        <v/>
      </c>
      <c r="Z252" s="9" t="str">
        <f>IF(OR($Y252="",$U$299="S"),"",IF(COUNT($Z$71:$Z251)&gt;=$U$297,"",1))</f>
        <v/>
      </c>
    </row>
    <row r="253" spans="1:33" ht="14.25" hidden="1" customHeight="1" thickBot="1" x14ac:dyDescent="0.25">
      <c r="A253" s="7">
        <v>2</v>
      </c>
      <c r="B253" s="202" t="s">
        <v>111</v>
      </c>
      <c r="C253" s="207" t="str">
        <f t="shared" si="173"/>
        <v>図面・仕様書どおり</v>
      </c>
      <c r="D253" s="185" t="str">
        <f t="shared" si="174"/>
        <v>1</v>
      </c>
      <c r="E253" s="185" t="str">
        <f t="shared" si="175"/>
        <v>式</v>
      </c>
      <c r="F253" s="218"/>
      <c r="G253" s="215" t="str">
        <f t="shared" si="176"/>
        <v/>
      </c>
      <c r="H253" s="223">
        <f t="shared" si="177"/>
        <v>0</v>
      </c>
      <c r="I253" s="233" t="str">
        <f>IF($B253="","","諸経費共")</f>
        <v>諸経費共</v>
      </c>
      <c r="J253" s="233"/>
      <c r="K253" s="98"/>
      <c r="L253" s="1" t="str">
        <f t="shared" si="171"/>
        <v>　○○工事</v>
      </c>
      <c r="M253" s="105"/>
      <c r="N253" s="52" t="str">
        <f t="shared" si="178"/>
        <v/>
      </c>
      <c r="O253" s="21">
        <f t="shared" si="179"/>
        <v>0</v>
      </c>
      <c r="P253" s="22">
        <f t="shared" si="180"/>
        <v>0</v>
      </c>
      <c r="Q253" s="22">
        <f t="shared" si="181"/>
        <v>0</v>
      </c>
      <c r="R253" s="9">
        <f t="shared" si="182"/>
        <v>1</v>
      </c>
      <c r="S253" s="85">
        <f t="shared" si="183"/>
        <v>0</v>
      </c>
      <c r="T253" s="73">
        <f t="shared" si="184"/>
        <v>0</v>
      </c>
      <c r="U253" s="19">
        <f t="shared" si="185"/>
        <v>3</v>
      </c>
      <c r="V253" s="25">
        <f t="shared" si="186"/>
        <v>0</v>
      </c>
      <c r="W253" s="25">
        <f t="shared" si="187"/>
        <v>0</v>
      </c>
      <c r="X253" s="82">
        <f t="shared" si="172"/>
        <v>0</v>
      </c>
      <c r="Y253" s="12" t="str">
        <f t="shared" si="153"/>
        <v/>
      </c>
      <c r="Z253" s="9" t="str">
        <f>IF(OR($Y253="",$U$299="S"),"",IF(COUNT($Z$71:$Z252)&gt;=$U$297,"",1))</f>
        <v/>
      </c>
    </row>
    <row r="254" spans="1:33" ht="14.25" hidden="1" customHeight="1" thickBot="1" x14ac:dyDescent="0.25">
      <c r="A254" s="7">
        <v>3</v>
      </c>
      <c r="B254" s="202" t="s">
        <v>111</v>
      </c>
      <c r="C254" s="207" t="str">
        <f t="shared" si="173"/>
        <v>図面・仕様書どおり</v>
      </c>
      <c r="D254" s="185" t="str">
        <f t="shared" si="174"/>
        <v>1</v>
      </c>
      <c r="E254" s="185" t="str">
        <f t="shared" si="175"/>
        <v>式</v>
      </c>
      <c r="F254" s="218"/>
      <c r="G254" s="215" t="str">
        <f t="shared" si="176"/>
        <v/>
      </c>
      <c r="H254" s="223">
        <f t="shared" si="177"/>
        <v>0</v>
      </c>
      <c r="I254" s="233" t="str">
        <f>IF($B254="","","諸経費共")</f>
        <v>諸経費共</v>
      </c>
      <c r="J254" s="233"/>
      <c r="K254" s="98"/>
      <c r="L254" s="1" t="str">
        <f t="shared" si="171"/>
        <v>　○○工事</v>
      </c>
      <c r="M254" s="105"/>
      <c r="N254" s="52" t="str">
        <f t="shared" si="178"/>
        <v/>
      </c>
      <c r="O254" s="21">
        <f t="shared" si="179"/>
        <v>0</v>
      </c>
      <c r="P254" s="22">
        <f t="shared" si="180"/>
        <v>0</v>
      </c>
      <c r="Q254" s="22">
        <f t="shared" si="181"/>
        <v>0</v>
      </c>
      <c r="R254" s="9">
        <f t="shared" si="182"/>
        <v>1</v>
      </c>
      <c r="S254" s="85">
        <f t="shared" si="183"/>
        <v>0</v>
      </c>
      <c r="T254" s="73">
        <f t="shared" si="184"/>
        <v>0</v>
      </c>
      <c r="U254" s="19">
        <f t="shared" si="185"/>
        <v>3</v>
      </c>
      <c r="V254" s="25">
        <f t="shared" si="186"/>
        <v>0</v>
      </c>
      <c r="W254" s="25">
        <f t="shared" si="187"/>
        <v>0</v>
      </c>
      <c r="X254" s="82">
        <f t="shared" si="172"/>
        <v>0</v>
      </c>
      <c r="Y254" s="12" t="str">
        <f t="shared" si="153"/>
        <v/>
      </c>
      <c r="Z254" s="9" t="str">
        <f>IF(OR($Y254="",$U$299="S"),"",IF(COUNT($Z$71:$Z253)&gt;=$U$297,"",1))</f>
        <v/>
      </c>
    </row>
    <row r="255" spans="1:33" ht="14.25" hidden="1" customHeight="1" thickBot="1" x14ac:dyDescent="0.25">
      <c r="A255" s="7">
        <v>4</v>
      </c>
      <c r="B255" s="208"/>
      <c r="C255" s="207" t="str">
        <f t="shared" si="173"/>
        <v/>
      </c>
      <c r="D255" s="185" t="str">
        <f t="shared" si="174"/>
        <v/>
      </c>
      <c r="E255" s="185" t="str">
        <f t="shared" si="175"/>
        <v/>
      </c>
      <c r="F255" s="218"/>
      <c r="G255" s="215" t="str">
        <f t="shared" si="176"/>
        <v/>
      </c>
      <c r="H255" s="223">
        <f t="shared" si="177"/>
        <v>0</v>
      </c>
      <c r="I255" s="233" t="str">
        <f>IF($B255="","","諸経費共")</f>
        <v/>
      </c>
      <c r="J255" s="233"/>
      <c r="K255" s="98"/>
      <c r="L255" s="1" t="str">
        <f t="shared" si="171"/>
        <v/>
      </c>
      <c r="M255" s="105"/>
      <c r="N255" s="52" t="str">
        <f t="shared" si="178"/>
        <v/>
      </c>
      <c r="O255" s="21">
        <f t="shared" si="179"/>
        <v>0</v>
      </c>
      <c r="P255" s="22">
        <f t="shared" si="180"/>
        <v>0</v>
      </c>
      <c r="Q255" s="22">
        <f t="shared" si="181"/>
        <v>0</v>
      </c>
      <c r="R255" s="9">
        <f t="shared" si="182"/>
        <v>1</v>
      </c>
      <c r="S255" s="85">
        <f t="shared" si="183"/>
        <v>0</v>
      </c>
      <c r="T255" s="73">
        <f t="shared" si="184"/>
        <v>0</v>
      </c>
      <c r="U255" s="19">
        <f t="shared" si="185"/>
        <v>3</v>
      </c>
      <c r="V255" s="25">
        <f t="shared" si="186"/>
        <v>0</v>
      </c>
      <c r="W255" s="25">
        <f t="shared" si="187"/>
        <v>0</v>
      </c>
      <c r="X255" s="82">
        <f t="shared" si="172"/>
        <v>0</v>
      </c>
      <c r="Y255" s="12" t="str">
        <f t="shared" si="153"/>
        <v/>
      </c>
      <c r="Z255" s="9" t="str">
        <f>IF(OR($Y255="",$U$299="S"),"",IF(COUNT($Z$71:$Z254)&gt;=$U$297,"",1))</f>
        <v/>
      </c>
    </row>
    <row r="256" spans="1:33" ht="14.25" hidden="1" customHeight="1" thickBot="1" x14ac:dyDescent="0.25">
      <c r="A256" s="7">
        <v>5</v>
      </c>
      <c r="B256" s="208"/>
      <c r="C256" s="207" t="str">
        <f t="shared" si="173"/>
        <v/>
      </c>
      <c r="D256" s="185" t="str">
        <f t="shared" si="174"/>
        <v/>
      </c>
      <c r="E256" s="185" t="str">
        <f t="shared" si="175"/>
        <v/>
      </c>
      <c r="F256" s="218"/>
      <c r="G256" s="215" t="str">
        <f t="shared" si="176"/>
        <v/>
      </c>
      <c r="H256" s="223">
        <f t="shared" si="177"/>
        <v>0</v>
      </c>
      <c r="I256" s="233" t="str">
        <f>IF($B256="","","諸経費共")</f>
        <v/>
      </c>
      <c r="J256" s="233"/>
      <c r="K256" s="98"/>
      <c r="L256" s="1" t="str">
        <f t="shared" si="171"/>
        <v/>
      </c>
      <c r="M256" s="105"/>
      <c r="N256" s="52" t="str">
        <f t="shared" si="178"/>
        <v/>
      </c>
      <c r="O256" s="21">
        <f t="shared" si="179"/>
        <v>0</v>
      </c>
      <c r="P256" s="22">
        <f t="shared" si="180"/>
        <v>0</v>
      </c>
      <c r="Q256" s="22">
        <f t="shared" si="181"/>
        <v>0</v>
      </c>
      <c r="R256" s="9">
        <f t="shared" si="182"/>
        <v>1</v>
      </c>
      <c r="S256" s="85">
        <f t="shared" si="183"/>
        <v>0</v>
      </c>
      <c r="T256" s="73">
        <f t="shared" si="184"/>
        <v>0</v>
      </c>
      <c r="U256" s="19">
        <f t="shared" si="185"/>
        <v>3</v>
      </c>
      <c r="V256" s="25">
        <f t="shared" si="186"/>
        <v>0</v>
      </c>
      <c r="W256" s="25">
        <f t="shared" si="187"/>
        <v>0</v>
      </c>
      <c r="X256" s="82">
        <f t="shared" si="172"/>
        <v>0</v>
      </c>
      <c r="Y256" s="12" t="str">
        <f t="shared" si="153"/>
        <v/>
      </c>
      <c r="Z256" s="9" t="str">
        <f>IF(OR($Y256="",$U$299="S"),"",IF(COUNT($Z$71:$Z255)&gt;=$U$297,"",1))</f>
        <v/>
      </c>
    </row>
    <row r="257" spans="1:33" ht="14.25" hidden="1" customHeight="1" thickBot="1" x14ac:dyDescent="0.25">
      <c r="A257" s="7">
        <v>6</v>
      </c>
      <c r="B257" s="208"/>
      <c r="C257" s="207" t="str">
        <f t="shared" si="173"/>
        <v/>
      </c>
      <c r="D257" s="185" t="str">
        <f t="shared" si="174"/>
        <v/>
      </c>
      <c r="E257" s="185" t="str">
        <f t="shared" si="175"/>
        <v/>
      </c>
      <c r="F257" s="218"/>
      <c r="G257" s="215" t="str">
        <f t="shared" si="176"/>
        <v/>
      </c>
      <c r="H257" s="223">
        <f t="shared" si="177"/>
        <v>0</v>
      </c>
      <c r="I257" s="233" t="str">
        <f>IF($B257="","","諸経費共")</f>
        <v/>
      </c>
      <c r="J257" s="233"/>
      <c r="K257" s="98"/>
      <c r="L257" s="1" t="str">
        <f t="shared" si="171"/>
        <v/>
      </c>
      <c r="M257" s="105"/>
      <c r="N257" s="52" t="str">
        <f t="shared" si="178"/>
        <v/>
      </c>
      <c r="O257" s="21">
        <f t="shared" si="179"/>
        <v>0</v>
      </c>
      <c r="P257" s="22">
        <f t="shared" si="180"/>
        <v>0</v>
      </c>
      <c r="Q257" s="22">
        <f t="shared" si="181"/>
        <v>0</v>
      </c>
      <c r="R257" s="9">
        <f t="shared" si="182"/>
        <v>1</v>
      </c>
      <c r="S257" s="85">
        <f t="shared" si="183"/>
        <v>0</v>
      </c>
      <c r="T257" s="73">
        <f t="shared" si="184"/>
        <v>0</v>
      </c>
      <c r="U257" s="19">
        <f t="shared" si="185"/>
        <v>3</v>
      </c>
      <c r="V257" s="25">
        <f t="shared" si="186"/>
        <v>0</v>
      </c>
      <c r="W257" s="25">
        <f t="shared" si="187"/>
        <v>0</v>
      </c>
      <c r="X257" s="82">
        <f t="shared" si="172"/>
        <v>0</v>
      </c>
      <c r="Y257" s="12" t="str">
        <f t="shared" si="153"/>
        <v/>
      </c>
      <c r="Z257" s="9" t="str">
        <f>IF(OR($Y257="",$U$299="S"),"",IF(COUNT($Z$71:$Z256)&gt;=$U$297,"",1))</f>
        <v/>
      </c>
    </row>
    <row r="258" spans="1:33" ht="14.25" hidden="1" customHeight="1" thickBot="1" x14ac:dyDescent="0.25">
      <c r="A258" s="7">
        <v>7</v>
      </c>
      <c r="B258" s="208"/>
      <c r="C258" s="207" t="str">
        <f t="shared" si="173"/>
        <v/>
      </c>
      <c r="D258" s="185" t="str">
        <f t="shared" si="174"/>
        <v/>
      </c>
      <c r="E258" s="185" t="str">
        <f t="shared" si="175"/>
        <v/>
      </c>
      <c r="F258" s="218"/>
      <c r="G258" s="215" t="str">
        <f t="shared" si="176"/>
        <v/>
      </c>
      <c r="H258" s="223">
        <f t="shared" si="177"/>
        <v>0</v>
      </c>
      <c r="I258" s="233" t="str">
        <f>IF($B258="","","諸経費共")</f>
        <v/>
      </c>
      <c r="J258" s="233"/>
      <c r="K258" s="98"/>
      <c r="L258" s="1" t="str">
        <f t="shared" si="171"/>
        <v/>
      </c>
      <c r="M258" s="105"/>
      <c r="N258" s="52" t="str">
        <f t="shared" si="178"/>
        <v/>
      </c>
      <c r="O258" s="21">
        <f t="shared" si="179"/>
        <v>0</v>
      </c>
      <c r="P258" s="22">
        <f t="shared" si="180"/>
        <v>0</v>
      </c>
      <c r="Q258" s="22">
        <f t="shared" si="181"/>
        <v>0</v>
      </c>
      <c r="R258" s="9">
        <f t="shared" si="182"/>
        <v>1</v>
      </c>
      <c r="S258" s="85">
        <f t="shared" si="183"/>
        <v>0</v>
      </c>
      <c r="T258" s="73">
        <f t="shared" si="184"/>
        <v>0</v>
      </c>
      <c r="U258" s="19">
        <f t="shared" si="185"/>
        <v>3</v>
      </c>
      <c r="V258" s="25">
        <f t="shared" si="186"/>
        <v>0</v>
      </c>
      <c r="W258" s="25">
        <f t="shared" si="187"/>
        <v>0</v>
      </c>
      <c r="X258" s="82">
        <f t="shared" si="172"/>
        <v>0</v>
      </c>
      <c r="Y258" s="12" t="str">
        <f t="shared" si="153"/>
        <v/>
      </c>
      <c r="Z258" s="9" t="str">
        <f>IF(OR($Y258="",$U$299="S"),"",IF(COUNT($Z$71:$Z257)&gt;=$U$297,"",1))</f>
        <v/>
      </c>
    </row>
    <row r="259" spans="1:33" ht="14.25" hidden="1" customHeight="1" thickBot="1" x14ac:dyDescent="0.25">
      <c r="A259" s="7">
        <v>8</v>
      </c>
      <c r="B259" s="208"/>
      <c r="C259" s="207" t="str">
        <f t="shared" si="173"/>
        <v/>
      </c>
      <c r="D259" s="185" t="str">
        <f t="shared" si="174"/>
        <v/>
      </c>
      <c r="E259" s="185" t="str">
        <f t="shared" si="175"/>
        <v/>
      </c>
      <c r="F259" s="218"/>
      <c r="G259" s="215" t="str">
        <f t="shared" si="176"/>
        <v/>
      </c>
      <c r="H259" s="223">
        <f t="shared" si="177"/>
        <v>0</v>
      </c>
      <c r="I259" s="233" t="str">
        <f>IF($B259="","","諸経費共")</f>
        <v/>
      </c>
      <c r="J259" s="233"/>
      <c r="K259" s="98"/>
      <c r="L259" s="1" t="str">
        <f t="shared" si="171"/>
        <v/>
      </c>
      <c r="M259" s="105"/>
      <c r="N259" s="52" t="str">
        <f t="shared" si="178"/>
        <v/>
      </c>
      <c r="O259" s="21">
        <f t="shared" si="179"/>
        <v>0</v>
      </c>
      <c r="P259" s="22">
        <f t="shared" si="180"/>
        <v>0</v>
      </c>
      <c r="Q259" s="22">
        <f t="shared" si="181"/>
        <v>0</v>
      </c>
      <c r="R259" s="9">
        <f t="shared" si="182"/>
        <v>1</v>
      </c>
      <c r="S259" s="85">
        <f t="shared" si="183"/>
        <v>0</v>
      </c>
      <c r="T259" s="73">
        <f t="shared" si="184"/>
        <v>0</v>
      </c>
      <c r="U259" s="19">
        <f t="shared" si="185"/>
        <v>3</v>
      </c>
      <c r="V259" s="25">
        <f t="shared" si="186"/>
        <v>0</v>
      </c>
      <c r="W259" s="25">
        <f t="shared" si="187"/>
        <v>0</v>
      </c>
      <c r="X259" s="82">
        <f t="shared" si="172"/>
        <v>0</v>
      </c>
      <c r="Y259" s="12" t="str">
        <f t="shared" si="153"/>
        <v/>
      </c>
      <c r="Z259" s="9" t="str">
        <f>IF(OR($Y259="",$U$299="S"),"",IF(COUNT($Z$71:$Z258)&gt;=$U$297,"",1))</f>
        <v/>
      </c>
    </row>
    <row r="260" spans="1:33" ht="14.25" hidden="1" customHeight="1" thickBot="1" x14ac:dyDescent="0.25">
      <c r="A260" s="7">
        <v>9</v>
      </c>
      <c r="B260" s="208"/>
      <c r="C260" s="207" t="str">
        <f t="shared" si="173"/>
        <v/>
      </c>
      <c r="D260" s="185" t="str">
        <f t="shared" si="174"/>
        <v/>
      </c>
      <c r="E260" s="185" t="str">
        <f t="shared" si="175"/>
        <v/>
      </c>
      <c r="F260" s="218"/>
      <c r="G260" s="215" t="str">
        <f t="shared" si="176"/>
        <v/>
      </c>
      <c r="H260" s="223">
        <f t="shared" si="177"/>
        <v>0</v>
      </c>
      <c r="I260" s="233" t="str">
        <f>IF($B260="","","諸経費共")</f>
        <v/>
      </c>
      <c r="J260" s="233"/>
      <c r="K260" s="98"/>
      <c r="L260" s="1" t="str">
        <f t="shared" si="171"/>
        <v/>
      </c>
      <c r="M260" s="105"/>
      <c r="N260" s="52" t="str">
        <f t="shared" si="178"/>
        <v/>
      </c>
      <c r="O260" s="21">
        <f t="shared" si="179"/>
        <v>0</v>
      </c>
      <c r="P260" s="22">
        <f t="shared" si="180"/>
        <v>0</v>
      </c>
      <c r="Q260" s="22">
        <f t="shared" si="181"/>
        <v>0</v>
      </c>
      <c r="R260" s="9">
        <f t="shared" si="182"/>
        <v>1</v>
      </c>
      <c r="S260" s="85">
        <f t="shared" si="183"/>
        <v>0</v>
      </c>
      <c r="T260" s="73">
        <f t="shared" si="184"/>
        <v>0</v>
      </c>
      <c r="U260" s="19">
        <f t="shared" si="185"/>
        <v>3</v>
      </c>
      <c r="V260" s="25">
        <f t="shared" si="186"/>
        <v>0</v>
      </c>
      <c r="W260" s="25">
        <f t="shared" si="187"/>
        <v>0</v>
      </c>
      <c r="X260" s="82">
        <f t="shared" si="172"/>
        <v>0</v>
      </c>
      <c r="Y260" s="12" t="str">
        <f t="shared" si="153"/>
        <v/>
      </c>
      <c r="Z260" s="9" t="str">
        <f>IF(OR($Y260="",$U$299="S"),"",IF(COUNT($Z$71:$Z259)&gt;=$U$297,"",1))</f>
        <v/>
      </c>
    </row>
    <row r="261" spans="1:33" ht="14.25" hidden="1" customHeight="1" thickBot="1" x14ac:dyDescent="0.25">
      <c r="A261" s="7">
        <v>10</v>
      </c>
      <c r="B261" s="208"/>
      <c r="C261" s="207" t="str">
        <f t="shared" si="173"/>
        <v/>
      </c>
      <c r="D261" s="185" t="str">
        <f t="shared" si="174"/>
        <v/>
      </c>
      <c r="E261" s="185" t="str">
        <f t="shared" si="175"/>
        <v/>
      </c>
      <c r="F261" s="218"/>
      <c r="G261" s="215" t="str">
        <f t="shared" si="176"/>
        <v/>
      </c>
      <c r="H261" s="223">
        <f t="shared" si="177"/>
        <v>0</v>
      </c>
      <c r="I261" s="233" t="str">
        <f>IF($B261="","","諸経費共")</f>
        <v/>
      </c>
      <c r="J261" s="233"/>
      <c r="K261" s="98"/>
      <c r="L261" s="1" t="str">
        <f t="shared" si="171"/>
        <v/>
      </c>
      <c r="M261" s="105"/>
      <c r="N261" s="52" t="str">
        <f t="shared" si="178"/>
        <v/>
      </c>
      <c r="O261" s="21">
        <f t="shared" si="179"/>
        <v>0</v>
      </c>
      <c r="P261" s="22">
        <f t="shared" si="180"/>
        <v>0</v>
      </c>
      <c r="Q261" s="22">
        <f t="shared" si="181"/>
        <v>0</v>
      </c>
      <c r="R261" s="9">
        <f t="shared" si="182"/>
        <v>1</v>
      </c>
      <c r="S261" s="85">
        <f t="shared" si="183"/>
        <v>0</v>
      </c>
      <c r="T261" s="73">
        <f t="shared" si="184"/>
        <v>0</v>
      </c>
      <c r="U261" s="19">
        <f t="shared" si="185"/>
        <v>3</v>
      </c>
      <c r="V261" s="25">
        <f t="shared" si="186"/>
        <v>0</v>
      </c>
      <c r="W261" s="25">
        <f t="shared" si="187"/>
        <v>0</v>
      </c>
      <c r="X261" s="82">
        <f t="shared" si="172"/>
        <v>0</v>
      </c>
      <c r="Y261" s="12" t="str">
        <f t="shared" si="153"/>
        <v/>
      </c>
      <c r="Z261" s="9" t="str">
        <f>IF(OR($Y261="",$U$299="S"),"",IF(COUNT($Z$71:$Z260)&gt;=$U$297,"",1))</f>
        <v/>
      </c>
    </row>
    <row r="262" spans="1:33" ht="14.25" hidden="1" customHeight="1" thickBot="1" x14ac:dyDescent="0.25">
      <c r="A262" s="7">
        <v>11</v>
      </c>
      <c r="B262" s="208"/>
      <c r="C262" s="207" t="str">
        <f t="shared" si="173"/>
        <v/>
      </c>
      <c r="D262" s="185" t="str">
        <f t="shared" si="174"/>
        <v/>
      </c>
      <c r="E262" s="185" t="str">
        <f t="shared" si="175"/>
        <v/>
      </c>
      <c r="F262" s="218"/>
      <c r="G262" s="215" t="str">
        <f t="shared" si="176"/>
        <v/>
      </c>
      <c r="H262" s="223">
        <f t="shared" si="177"/>
        <v>0</v>
      </c>
      <c r="I262" s="233" t="str">
        <f>IF($B262="","","諸経費共")</f>
        <v/>
      </c>
      <c r="J262" s="233"/>
      <c r="K262" s="98"/>
      <c r="L262" s="1" t="str">
        <f t="shared" si="171"/>
        <v/>
      </c>
      <c r="M262" s="105"/>
      <c r="N262" s="52" t="str">
        <f t="shared" si="178"/>
        <v/>
      </c>
      <c r="O262" s="21">
        <f t="shared" si="179"/>
        <v>0</v>
      </c>
      <c r="P262" s="22">
        <f t="shared" si="180"/>
        <v>0</v>
      </c>
      <c r="Q262" s="22">
        <f t="shared" si="181"/>
        <v>0</v>
      </c>
      <c r="R262" s="9">
        <f t="shared" si="182"/>
        <v>1</v>
      </c>
      <c r="S262" s="85">
        <f t="shared" si="183"/>
        <v>0</v>
      </c>
      <c r="T262" s="73">
        <f t="shared" si="184"/>
        <v>0</v>
      </c>
      <c r="U262" s="19">
        <f t="shared" si="185"/>
        <v>3</v>
      </c>
      <c r="V262" s="25">
        <f t="shared" si="186"/>
        <v>0</v>
      </c>
      <c r="W262" s="25">
        <f t="shared" si="187"/>
        <v>0</v>
      </c>
      <c r="X262" s="82">
        <f t="shared" si="172"/>
        <v>0</v>
      </c>
      <c r="Y262" s="12" t="str">
        <f t="shared" si="153"/>
        <v/>
      </c>
      <c r="Z262" s="9" t="str">
        <f>IF(OR($Y262="",$U$299="S"),"",IF(COUNT($Z$71:$Z261)&gt;=$U$297,"",1))</f>
        <v/>
      </c>
    </row>
    <row r="263" spans="1:33" ht="14.25" hidden="1" customHeight="1" thickBot="1" x14ac:dyDescent="0.25">
      <c r="A263" s="7">
        <v>12</v>
      </c>
      <c r="B263" s="208"/>
      <c r="C263" s="207" t="str">
        <f t="shared" si="173"/>
        <v/>
      </c>
      <c r="D263" s="185" t="str">
        <f t="shared" si="174"/>
        <v/>
      </c>
      <c r="E263" s="185" t="str">
        <f t="shared" si="175"/>
        <v/>
      </c>
      <c r="F263" s="218"/>
      <c r="G263" s="215" t="str">
        <f t="shared" si="176"/>
        <v/>
      </c>
      <c r="H263" s="223">
        <f t="shared" si="177"/>
        <v>0</v>
      </c>
      <c r="I263" s="234" t="str">
        <f>IF($B263="","","諸経費共")</f>
        <v/>
      </c>
      <c r="J263" s="235"/>
      <c r="K263" s="98"/>
      <c r="L263" s="1" t="str">
        <f t="shared" si="171"/>
        <v/>
      </c>
      <c r="M263" s="105"/>
      <c r="N263" s="52" t="str">
        <f t="shared" si="178"/>
        <v/>
      </c>
      <c r="O263" s="21">
        <f t="shared" si="179"/>
        <v>0</v>
      </c>
      <c r="P263" s="22">
        <f t="shared" si="180"/>
        <v>0</v>
      </c>
      <c r="Q263" s="22">
        <f t="shared" si="181"/>
        <v>0</v>
      </c>
      <c r="R263" s="9">
        <f t="shared" si="182"/>
        <v>1</v>
      </c>
      <c r="S263" s="85">
        <f t="shared" si="183"/>
        <v>0</v>
      </c>
      <c r="T263" s="73">
        <f t="shared" si="184"/>
        <v>0</v>
      </c>
      <c r="U263" s="19">
        <f t="shared" si="185"/>
        <v>3</v>
      </c>
      <c r="V263" s="25">
        <f t="shared" si="186"/>
        <v>0</v>
      </c>
      <c r="W263" s="25">
        <f t="shared" si="187"/>
        <v>0</v>
      </c>
      <c r="X263" s="82">
        <f t="shared" si="172"/>
        <v>0</v>
      </c>
      <c r="Y263" s="12" t="str">
        <f t="shared" si="153"/>
        <v/>
      </c>
      <c r="Z263" s="9" t="str">
        <f>IF(OR($Y263="",$U$299="S"),"",IF(COUNT($Z$71:$Z262)&gt;=$U$297,"",1))</f>
        <v/>
      </c>
    </row>
    <row r="264" spans="1:33" ht="14.25" hidden="1" customHeight="1" thickBot="1" x14ac:dyDescent="0.25">
      <c r="A264" s="7">
        <v>13</v>
      </c>
      <c r="B264" s="208"/>
      <c r="C264" s="207" t="str">
        <f t="shared" si="173"/>
        <v/>
      </c>
      <c r="D264" s="185" t="str">
        <f t="shared" si="174"/>
        <v/>
      </c>
      <c r="E264" s="185" t="str">
        <f t="shared" si="175"/>
        <v/>
      </c>
      <c r="F264" s="218"/>
      <c r="G264" s="215" t="str">
        <f t="shared" si="176"/>
        <v/>
      </c>
      <c r="H264" s="223">
        <f t="shared" si="177"/>
        <v>0</v>
      </c>
      <c r="I264" s="233" t="str">
        <f>IF($B264="","","諸経費共")</f>
        <v/>
      </c>
      <c r="J264" s="233"/>
      <c r="K264" s="98"/>
      <c r="L264" s="1" t="str">
        <f t="shared" si="171"/>
        <v/>
      </c>
      <c r="M264" s="105"/>
      <c r="N264" s="52" t="str">
        <f t="shared" si="178"/>
        <v/>
      </c>
      <c r="O264" s="21">
        <f t="shared" si="179"/>
        <v>0</v>
      </c>
      <c r="P264" s="22">
        <f t="shared" si="180"/>
        <v>0</v>
      </c>
      <c r="Q264" s="22">
        <f t="shared" si="181"/>
        <v>0</v>
      </c>
      <c r="R264" s="9">
        <f t="shared" si="182"/>
        <v>1</v>
      </c>
      <c r="S264" s="85">
        <f t="shared" si="183"/>
        <v>0</v>
      </c>
      <c r="T264" s="73">
        <f t="shared" si="184"/>
        <v>0</v>
      </c>
      <c r="U264" s="19">
        <f t="shared" si="185"/>
        <v>3</v>
      </c>
      <c r="V264" s="25">
        <f t="shared" si="186"/>
        <v>0</v>
      </c>
      <c r="W264" s="25">
        <f t="shared" si="187"/>
        <v>0</v>
      </c>
      <c r="X264" s="82">
        <f t="shared" si="172"/>
        <v>0</v>
      </c>
      <c r="Y264" s="12" t="str">
        <f t="shared" si="153"/>
        <v/>
      </c>
      <c r="Z264" s="9" t="str">
        <f>IF(OR($Y264="",$U$299="S"),"",IF(COUNT($Z$71:$Z263)&gt;=$U$297,"",1))</f>
        <v/>
      </c>
    </row>
    <row r="265" spans="1:33" ht="14.25" hidden="1" customHeight="1" thickBot="1" x14ac:dyDescent="0.25">
      <c r="A265" s="7">
        <v>14</v>
      </c>
      <c r="B265" s="208"/>
      <c r="C265" s="207" t="str">
        <f t="shared" si="173"/>
        <v/>
      </c>
      <c r="D265" s="185" t="str">
        <f t="shared" si="174"/>
        <v/>
      </c>
      <c r="E265" s="185" t="str">
        <f t="shared" si="175"/>
        <v/>
      </c>
      <c r="F265" s="218"/>
      <c r="G265" s="215" t="str">
        <f t="shared" si="176"/>
        <v/>
      </c>
      <c r="H265" s="223">
        <f t="shared" si="177"/>
        <v>0</v>
      </c>
      <c r="I265" s="233" t="str">
        <f>IF($B265="","","諸経費共")</f>
        <v/>
      </c>
      <c r="J265" s="233"/>
      <c r="K265" s="98"/>
      <c r="L265" s="1" t="str">
        <f t="shared" si="171"/>
        <v/>
      </c>
      <c r="M265" s="105"/>
      <c r="N265" s="52" t="str">
        <f t="shared" si="178"/>
        <v/>
      </c>
      <c r="O265" s="21">
        <f t="shared" si="179"/>
        <v>0</v>
      </c>
      <c r="P265" s="22">
        <f t="shared" si="180"/>
        <v>0</v>
      </c>
      <c r="Q265" s="22">
        <f t="shared" si="181"/>
        <v>0</v>
      </c>
      <c r="R265" s="9">
        <f t="shared" si="182"/>
        <v>1</v>
      </c>
      <c r="S265" s="85">
        <f t="shared" si="183"/>
        <v>0</v>
      </c>
      <c r="T265" s="73">
        <f t="shared" si="184"/>
        <v>0</v>
      </c>
      <c r="U265" s="19">
        <f t="shared" si="185"/>
        <v>3</v>
      </c>
      <c r="V265" s="25">
        <f t="shared" si="186"/>
        <v>0</v>
      </c>
      <c r="W265" s="25">
        <f t="shared" si="187"/>
        <v>0</v>
      </c>
      <c r="X265" s="82">
        <f t="shared" si="172"/>
        <v>0</v>
      </c>
      <c r="Y265" s="12" t="str">
        <f t="shared" si="153"/>
        <v/>
      </c>
      <c r="Z265" s="9" t="str">
        <f>IF(OR($Y265="",$U$299="S"),"",IF(COUNT($Z$71:$Z264)&gt;=$U$297,"",1))</f>
        <v/>
      </c>
    </row>
    <row r="266" spans="1:33" ht="14.25" hidden="1" customHeight="1" thickBot="1" x14ac:dyDescent="0.25">
      <c r="A266" s="7">
        <v>15</v>
      </c>
      <c r="B266" s="208"/>
      <c r="C266" s="207" t="str">
        <f t="shared" si="173"/>
        <v/>
      </c>
      <c r="D266" s="185" t="str">
        <f t="shared" si="174"/>
        <v/>
      </c>
      <c r="E266" s="185" t="str">
        <f t="shared" si="175"/>
        <v/>
      </c>
      <c r="F266" s="218"/>
      <c r="G266" s="215" t="str">
        <f t="shared" si="176"/>
        <v/>
      </c>
      <c r="H266" s="223">
        <f t="shared" si="177"/>
        <v>0</v>
      </c>
      <c r="I266" s="233" t="str">
        <f>IF($B266="","","諸経費共")</f>
        <v/>
      </c>
      <c r="J266" s="233"/>
      <c r="K266" s="98"/>
      <c r="L266" s="1" t="str">
        <f t="shared" si="171"/>
        <v/>
      </c>
      <c r="M266" s="105"/>
      <c r="N266" s="52" t="str">
        <f t="shared" si="178"/>
        <v/>
      </c>
      <c r="O266" s="21">
        <f t="shared" si="179"/>
        <v>0</v>
      </c>
      <c r="P266" s="22">
        <f t="shared" si="180"/>
        <v>0</v>
      </c>
      <c r="Q266" s="22">
        <f t="shared" si="181"/>
        <v>0</v>
      </c>
      <c r="R266" s="9">
        <f t="shared" si="182"/>
        <v>1</v>
      </c>
      <c r="S266" s="85">
        <f t="shared" si="183"/>
        <v>0</v>
      </c>
      <c r="T266" s="73">
        <f t="shared" si="184"/>
        <v>0</v>
      </c>
      <c r="U266" s="19">
        <f t="shared" si="185"/>
        <v>3</v>
      </c>
      <c r="V266" s="25">
        <f t="shared" si="186"/>
        <v>0</v>
      </c>
      <c r="W266" s="25">
        <f t="shared" si="187"/>
        <v>0</v>
      </c>
      <c r="X266" s="82">
        <f t="shared" si="172"/>
        <v>0</v>
      </c>
      <c r="Y266" s="12" t="str">
        <f t="shared" si="153"/>
        <v/>
      </c>
      <c r="Z266" s="9" t="str">
        <f>IF(OR($Y266="",$U$299="S"),"",IF(COUNT($Z$71:$Z265)&gt;=$U$297,"",1))</f>
        <v/>
      </c>
    </row>
    <row r="267" spans="1:33" ht="14.25" hidden="1" customHeight="1" thickBot="1" x14ac:dyDescent="0.25">
      <c r="B267" s="209" t="s">
        <v>20</v>
      </c>
      <c r="C267" s="207"/>
      <c r="D267" s="185"/>
      <c r="E267" s="185"/>
      <c r="F267" s="218">
        <f>SUM(F252:F266)</f>
        <v>0</v>
      </c>
      <c r="G267" s="215">
        <f>+F267+H267</f>
        <v>0</v>
      </c>
      <c r="H267" s="222">
        <f>SUM(H252:H266)</f>
        <v>0</v>
      </c>
      <c r="I267" s="233"/>
      <c r="J267" s="233"/>
      <c r="K267" s="9"/>
      <c r="L267" s="4" t="s">
        <v>23</v>
      </c>
      <c r="M267" s="114">
        <f>SUM(M252:M266)</f>
        <v>0</v>
      </c>
      <c r="N267" s="9"/>
      <c r="O267" s="115">
        <f>SUM(O252:O266)</f>
        <v>0</v>
      </c>
      <c r="P267" s="116">
        <f>SUM(P252:P266)</f>
        <v>0</v>
      </c>
      <c r="Q267" s="116">
        <f>SUM(Q252:Q266)</f>
        <v>0</v>
      </c>
      <c r="S267" s="117">
        <f>SUM(S252:S266)</f>
        <v>0</v>
      </c>
      <c r="T267" s="74"/>
      <c r="U267" s="74"/>
      <c r="V267" s="118">
        <f>SUM(V252:V266)</f>
        <v>0</v>
      </c>
      <c r="W267" s="118">
        <f>SUM(W252:W266)</f>
        <v>0</v>
      </c>
      <c r="X267" s="119">
        <f>SUM(X252:X266)</f>
        <v>0</v>
      </c>
      <c r="Y267" s="12" t="str">
        <f t="shared" si="153"/>
        <v/>
      </c>
      <c r="Z267" s="9" t="str">
        <f>IF(OR($Y267="",$U$299="S"),"",IF(COUNT($Z$71:$Z266)&gt;=$U$297,"",1))</f>
        <v/>
      </c>
    </row>
    <row r="268" spans="1:33" ht="14.25" hidden="1" customHeight="1" thickBot="1" x14ac:dyDescent="0.25">
      <c r="B268" s="210" t="s">
        <v>21</v>
      </c>
      <c r="C268" s="207"/>
      <c r="D268" s="185">
        <v>1</v>
      </c>
      <c r="E268" s="185" t="str">
        <f>IF($D268="","","式")</f>
        <v>式</v>
      </c>
      <c r="F268" s="218"/>
      <c r="G268" s="215">
        <f>+F268+H268</f>
        <v>0</v>
      </c>
      <c r="H268" s="222">
        <f>H267*0.1</f>
        <v>0</v>
      </c>
      <c r="I268" s="233"/>
      <c r="J268" s="233"/>
      <c r="K268" s="9"/>
      <c r="L268" s="3" t="s">
        <v>21</v>
      </c>
      <c r="M268" s="107">
        <f>+M267*0.1</f>
        <v>0</v>
      </c>
      <c r="N268" s="49"/>
      <c r="O268" s="63">
        <f>+O267*0.1</f>
        <v>0</v>
      </c>
      <c r="P268" s="64">
        <f>+P267*0.1</f>
        <v>0</v>
      </c>
      <c r="Q268" s="64">
        <f>+Q267*0.1</f>
        <v>0</v>
      </c>
      <c r="R268" s="49"/>
      <c r="S268" s="23">
        <f>+S267*0.1</f>
        <v>0</v>
      </c>
      <c r="T268" s="76"/>
      <c r="U268" s="76"/>
      <c r="V268" s="48">
        <f>+V267*0.1</f>
        <v>0</v>
      </c>
      <c r="W268" s="48">
        <f>+W267*0.1</f>
        <v>0</v>
      </c>
      <c r="X268" s="33">
        <f>+X267*0.1</f>
        <v>0</v>
      </c>
      <c r="Y268" s="12" t="str">
        <f t="shared" si="153"/>
        <v/>
      </c>
      <c r="Z268" s="9" t="str">
        <f>IF(OR($Y268="",$U$299="S"),"",IF(COUNT($Z$71:$Z267)&gt;=$U$297,"",1))</f>
        <v/>
      </c>
      <c r="AA268" s="49"/>
      <c r="AB268" s="49"/>
      <c r="AC268" s="49"/>
      <c r="AD268" s="49"/>
      <c r="AE268" s="49"/>
      <c r="AF268" s="49"/>
      <c r="AG268" s="49"/>
    </row>
    <row r="269" spans="1:33" ht="14.25" hidden="1" customHeight="1" thickBot="1" x14ac:dyDescent="0.25">
      <c r="B269" s="189" t="s">
        <v>22</v>
      </c>
      <c r="C269" s="207"/>
      <c r="D269" s="185"/>
      <c r="E269" s="185"/>
      <c r="F269" s="218">
        <f>SUM(F267:F268)</f>
        <v>0</v>
      </c>
      <c r="G269" s="215">
        <f>+F269+H269</f>
        <v>0</v>
      </c>
      <c r="H269" s="222">
        <f>SUM(H267:H268)</f>
        <v>0</v>
      </c>
      <c r="I269" s="233"/>
      <c r="J269" s="233"/>
      <c r="K269" s="9"/>
      <c r="L269" s="5" t="s">
        <v>22</v>
      </c>
      <c r="M269" s="107">
        <f>+M267+M268</f>
        <v>0</v>
      </c>
      <c r="N269" s="49"/>
      <c r="O269" s="23">
        <f>SUM(O267:O268)</f>
        <v>0</v>
      </c>
      <c r="P269" s="64">
        <f>+P267+P268</f>
        <v>0</v>
      </c>
      <c r="Q269" s="64">
        <f>+Q267+Q268</f>
        <v>0</v>
      </c>
      <c r="R269" s="49"/>
      <c r="S269" s="23">
        <f>+S267+S268</f>
        <v>0</v>
      </c>
      <c r="T269" s="76"/>
      <c r="U269" s="76"/>
      <c r="V269" s="48">
        <f>+V267+V268</f>
        <v>0</v>
      </c>
      <c r="W269" s="48">
        <f>+W267+W268</f>
        <v>0</v>
      </c>
      <c r="X269" s="33">
        <f>+X267+X268</f>
        <v>0</v>
      </c>
      <c r="Y269" s="12" t="str">
        <f t="shared" si="153"/>
        <v/>
      </c>
      <c r="Z269" s="9" t="str">
        <f>IF(OR($Y269="",$U$299="S"),"",IF(COUNT($Z$71:$Z268)&gt;=$U$297,"",1))</f>
        <v/>
      </c>
      <c r="AA269" s="49"/>
      <c r="AB269" s="49"/>
      <c r="AC269" s="49"/>
      <c r="AD269" s="49"/>
      <c r="AE269" s="49"/>
      <c r="AF269" s="49"/>
      <c r="AG269" s="49"/>
    </row>
    <row r="270" spans="1:33" ht="14.25" hidden="1" customHeight="1" thickBot="1" x14ac:dyDescent="0.25">
      <c r="B270" s="189"/>
      <c r="C270" s="207"/>
      <c r="D270" s="185"/>
      <c r="E270" s="185"/>
      <c r="F270" s="218"/>
      <c r="G270" s="215"/>
      <c r="H270" s="222"/>
      <c r="I270" s="231"/>
      <c r="J270" s="232"/>
      <c r="K270" s="9"/>
      <c r="L270" s="5"/>
      <c r="M270" s="107"/>
      <c r="N270" s="49"/>
      <c r="O270" s="48"/>
      <c r="P270" s="64"/>
      <c r="Q270" s="64"/>
      <c r="R270" s="49"/>
      <c r="S270" s="23"/>
      <c r="T270" s="76"/>
      <c r="U270" s="76"/>
      <c r="V270" s="48"/>
      <c r="W270" s="48"/>
      <c r="X270" s="33"/>
      <c r="Y270" s="12"/>
      <c r="AA270" s="49"/>
      <c r="AB270" s="49"/>
      <c r="AC270" s="49"/>
      <c r="AD270" s="49"/>
      <c r="AE270" s="49"/>
      <c r="AF270" s="49"/>
      <c r="AG270" s="49"/>
    </row>
    <row r="271" spans="1:33" ht="14.25" hidden="1" customHeight="1" thickBot="1" x14ac:dyDescent="0.25">
      <c r="B271" s="212" t="s">
        <v>117</v>
      </c>
      <c r="C271" s="212"/>
      <c r="D271" s="185"/>
      <c r="E271" s="185"/>
      <c r="F271" s="218"/>
      <c r="G271" s="215"/>
      <c r="H271" s="222"/>
      <c r="I271" s="233"/>
      <c r="J271" s="233"/>
      <c r="K271" s="9"/>
      <c r="L271" s="113" t="str">
        <f t="shared" ref="L271:L286" si="188">IF(B271="","",B271)</f>
        <v>（サ）</v>
      </c>
      <c r="M271" s="107"/>
      <c r="N271" s="9"/>
      <c r="O271" s="21"/>
      <c r="P271" s="22"/>
      <c r="Q271" s="22"/>
      <c r="S271" s="23"/>
      <c r="T271" s="74"/>
      <c r="U271" s="74"/>
      <c r="V271" s="25"/>
      <c r="W271" s="25"/>
      <c r="X271" s="82">
        <f t="shared" ref="X271:X286" si="189">IF(AND($U$299="S",$Y271=1),$W271+($W$297/$U$297),IF(AND($U$299="O",$Y271=1,$Z271=1),$W271+($W$297/$U$297),$W271))</f>
        <v>0</v>
      </c>
      <c r="Y271" s="12" t="str">
        <f t="shared" si="153"/>
        <v/>
      </c>
      <c r="Z271" s="9" t="str">
        <f>IF(OR($Y271="",$U$299="S"),"",IF(COUNT($Z$71:$Z269)&gt;=$U$297,"",1))</f>
        <v/>
      </c>
    </row>
    <row r="272" spans="1:33" ht="14.25" hidden="1" customHeight="1" thickBot="1" x14ac:dyDescent="0.25">
      <c r="A272" s="7">
        <v>11</v>
      </c>
      <c r="B272" s="202" t="s">
        <v>111</v>
      </c>
      <c r="C272" s="207" t="str">
        <f t="shared" ref="C272:C286" si="190">IF($B272="","","図面・仕様書どおり")</f>
        <v>図面・仕様書どおり</v>
      </c>
      <c r="D272" s="185" t="str">
        <f t="shared" ref="D272:D286" si="191">IF($B272="","","1")</f>
        <v>1</v>
      </c>
      <c r="E272" s="185" t="str">
        <f t="shared" ref="E272:E286" si="192">IF($D272="","","式")</f>
        <v>式</v>
      </c>
      <c r="F272" s="218">
        <v>0</v>
      </c>
      <c r="G272" s="215">
        <f t="shared" ref="G272:G286" si="193">IF(F272="","",F272+H272)</f>
        <v>0</v>
      </c>
      <c r="H272" s="223">
        <f t="shared" ref="H272:H286" si="194">+X272</f>
        <v>0</v>
      </c>
      <c r="I272" s="233" t="str">
        <f>IF($B272="","","諸経費共")</f>
        <v>諸経費共</v>
      </c>
      <c r="J272" s="233"/>
      <c r="K272" s="98"/>
      <c r="L272" s="1" t="str">
        <f t="shared" si="188"/>
        <v>　○○工事</v>
      </c>
      <c r="M272" s="105"/>
      <c r="N272" s="52" t="str">
        <f t="shared" ref="N272:N286" si="195">IF(M272="","",IF(M272&lt;0,0,1))</f>
        <v/>
      </c>
      <c r="O272" s="21">
        <f t="shared" ref="O272:O286" si="196">+M272*$Q$66</f>
        <v>0</v>
      </c>
      <c r="P272" s="22">
        <f t="shared" ref="P272:P286" si="197">+ROUND(O272,-3)</f>
        <v>0</v>
      </c>
      <c r="Q272" s="22">
        <f t="shared" ref="Q272:Q286" si="198">+ROUND(P272,-4)</f>
        <v>0</v>
      </c>
      <c r="R272" s="9">
        <f t="shared" ref="R272:R286" si="199">IF(AND($Q$66&lt;1,$O272&gt;=0),0,IF(AND($Q$66&gt;=1,$O272&lt;0),0,1))</f>
        <v>1</v>
      </c>
      <c r="S272" s="85">
        <f t="shared" ref="S272:S286" si="200">+M272</f>
        <v>0</v>
      </c>
      <c r="T272" s="73">
        <f t="shared" ref="T272:T286" si="201">IF(R272=0,S272/$S$294,0)</f>
        <v>0</v>
      </c>
      <c r="U272" s="19">
        <f t="shared" ref="U272:U286" si="202">RANK(T272,$T$72:$T$289)</f>
        <v>3</v>
      </c>
      <c r="V272" s="25">
        <f t="shared" ref="V272:V286" si="203">INT($S272-$T$66*$T272)</f>
        <v>0</v>
      </c>
      <c r="W272" s="25">
        <f t="shared" ref="W272:W286" si="204">ROUND(V272,-3)</f>
        <v>0</v>
      </c>
      <c r="X272" s="82">
        <f t="shared" si="189"/>
        <v>0</v>
      </c>
      <c r="Y272" s="12" t="str">
        <f t="shared" si="153"/>
        <v/>
      </c>
      <c r="Z272" s="9" t="str">
        <f>IF(OR($Y272="",$U$299="S"),"",IF(COUNT($Z$71:$Z271)&gt;=$U$297,"",1))</f>
        <v/>
      </c>
    </row>
    <row r="273" spans="1:33" ht="14.25" hidden="1" customHeight="1" thickBot="1" x14ac:dyDescent="0.25">
      <c r="A273" s="7">
        <v>2</v>
      </c>
      <c r="B273" s="202" t="s">
        <v>111</v>
      </c>
      <c r="C273" s="207" t="str">
        <f t="shared" si="190"/>
        <v>図面・仕様書どおり</v>
      </c>
      <c r="D273" s="185" t="str">
        <f t="shared" si="191"/>
        <v>1</v>
      </c>
      <c r="E273" s="185" t="str">
        <f t="shared" si="192"/>
        <v>式</v>
      </c>
      <c r="F273" s="218"/>
      <c r="G273" s="215" t="str">
        <f t="shared" si="193"/>
        <v/>
      </c>
      <c r="H273" s="223">
        <f t="shared" si="194"/>
        <v>0</v>
      </c>
      <c r="I273" s="233" t="str">
        <f>IF($B273="","","諸経費共")</f>
        <v>諸経費共</v>
      </c>
      <c r="J273" s="233"/>
      <c r="K273" s="98"/>
      <c r="L273" s="1" t="str">
        <f t="shared" si="188"/>
        <v>　○○工事</v>
      </c>
      <c r="M273" s="105"/>
      <c r="N273" s="52" t="str">
        <f t="shared" si="195"/>
        <v/>
      </c>
      <c r="O273" s="21">
        <f t="shared" si="196"/>
        <v>0</v>
      </c>
      <c r="P273" s="22">
        <f t="shared" si="197"/>
        <v>0</v>
      </c>
      <c r="Q273" s="22">
        <f t="shared" si="198"/>
        <v>0</v>
      </c>
      <c r="R273" s="9">
        <f t="shared" si="199"/>
        <v>1</v>
      </c>
      <c r="S273" s="85">
        <f t="shared" si="200"/>
        <v>0</v>
      </c>
      <c r="T273" s="73">
        <f t="shared" si="201"/>
        <v>0</v>
      </c>
      <c r="U273" s="19">
        <f t="shared" si="202"/>
        <v>3</v>
      </c>
      <c r="V273" s="25">
        <f t="shared" si="203"/>
        <v>0</v>
      </c>
      <c r="W273" s="25">
        <f t="shared" si="204"/>
        <v>0</v>
      </c>
      <c r="X273" s="82">
        <f t="shared" si="189"/>
        <v>0</v>
      </c>
      <c r="Y273" s="12" t="str">
        <f t="shared" si="153"/>
        <v/>
      </c>
      <c r="Z273" s="9" t="str">
        <f>IF(OR($Y273="",$U$299="S"),"",IF(COUNT($Z$71:$Z272)&gt;=$U$297,"",1))</f>
        <v/>
      </c>
    </row>
    <row r="274" spans="1:33" ht="14.25" hidden="1" customHeight="1" thickBot="1" x14ac:dyDescent="0.25">
      <c r="A274" s="7">
        <v>3</v>
      </c>
      <c r="B274" s="202" t="s">
        <v>111</v>
      </c>
      <c r="C274" s="207" t="str">
        <f t="shared" si="190"/>
        <v>図面・仕様書どおり</v>
      </c>
      <c r="D274" s="185" t="str">
        <f t="shared" si="191"/>
        <v>1</v>
      </c>
      <c r="E274" s="185" t="str">
        <f t="shared" si="192"/>
        <v>式</v>
      </c>
      <c r="F274" s="218"/>
      <c r="G274" s="215" t="str">
        <f t="shared" si="193"/>
        <v/>
      </c>
      <c r="H274" s="223">
        <f t="shared" si="194"/>
        <v>0</v>
      </c>
      <c r="I274" s="233" t="str">
        <f>IF($B274="","","諸経費共")</f>
        <v>諸経費共</v>
      </c>
      <c r="J274" s="233"/>
      <c r="K274" s="98"/>
      <c r="L274" s="1" t="str">
        <f t="shared" si="188"/>
        <v>　○○工事</v>
      </c>
      <c r="M274" s="105"/>
      <c r="N274" s="52" t="str">
        <f t="shared" si="195"/>
        <v/>
      </c>
      <c r="O274" s="21">
        <f t="shared" si="196"/>
        <v>0</v>
      </c>
      <c r="P274" s="22">
        <f t="shared" si="197"/>
        <v>0</v>
      </c>
      <c r="Q274" s="22">
        <f t="shared" si="198"/>
        <v>0</v>
      </c>
      <c r="R274" s="9">
        <f t="shared" si="199"/>
        <v>1</v>
      </c>
      <c r="S274" s="85">
        <f t="shared" si="200"/>
        <v>0</v>
      </c>
      <c r="T274" s="73">
        <f t="shared" si="201"/>
        <v>0</v>
      </c>
      <c r="U274" s="19">
        <f t="shared" si="202"/>
        <v>3</v>
      </c>
      <c r="V274" s="25">
        <f t="shared" si="203"/>
        <v>0</v>
      </c>
      <c r="W274" s="25">
        <f t="shared" si="204"/>
        <v>0</v>
      </c>
      <c r="X274" s="82">
        <f t="shared" si="189"/>
        <v>0</v>
      </c>
      <c r="Y274" s="12" t="str">
        <f t="shared" si="153"/>
        <v/>
      </c>
      <c r="Z274" s="9" t="str">
        <f>IF(OR($Y274="",$U$299="S"),"",IF(COUNT($Z$71:$Z273)&gt;=$U$297,"",1))</f>
        <v/>
      </c>
    </row>
    <row r="275" spans="1:33" ht="14.25" hidden="1" customHeight="1" thickBot="1" x14ac:dyDescent="0.25">
      <c r="A275" s="7">
        <v>4</v>
      </c>
      <c r="B275" s="208"/>
      <c r="C275" s="207" t="str">
        <f t="shared" si="190"/>
        <v/>
      </c>
      <c r="D275" s="185" t="str">
        <f t="shared" si="191"/>
        <v/>
      </c>
      <c r="E275" s="185" t="str">
        <f t="shared" si="192"/>
        <v/>
      </c>
      <c r="F275" s="218"/>
      <c r="G275" s="215" t="str">
        <f t="shared" si="193"/>
        <v/>
      </c>
      <c r="H275" s="223">
        <f t="shared" si="194"/>
        <v>0</v>
      </c>
      <c r="I275" s="233" t="str">
        <f>IF($B275="","","諸経費共")</f>
        <v/>
      </c>
      <c r="J275" s="233"/>
      <c r="K275" s="98"/>
      <c r="L275" s="1" t="str">
        <f t="shared" si="188"/>
        <v/>
      </c>
      <c r="M275" s="105"/>
      <c r="N275" s="52" t="str">
        <f t="shared" si="195"/>
        <v/>
      </c>
      <c r="O275" s="21">
        <f t="shared" si="196"/>
        <v>0</v>
      </c>
      <c r="P275" s="22">
        <f t="shared" si="197"/>
        <v>0</v>
      </c>
      <c r="Q275" s="22">
        <f t="shared" si="198"/>
        <v>0</v>
      </c>
      <c r="R275" s="9">
        <f t="shared" si="199"/>
        <v>1</v>
      </c>
      <c r="S275" s="85">
        <f t="shared" si="200"/>
        <v>0</v>
      </c>
      <c r="T275" s="73">
        <f t="shared" si="201"/>
        <v>0</v>
      </c>
      <c r="U275" s="19">
        <f t="shared" si="202"/>
        <v>3</v>
      </c>
      <c r="V275" s="25">
        <f t="shared" si="203"/>
        <v>0</v>
      </c>
      <c r="W275" s="25">
        <f t="shared" si="204"/>
        <v>0</v>
      </c>
      <c r="X275" s="82">
        <f t="shared" si="189"/>
        <v>0</v>
      </c>
      <c r="Y275" s="12" t="str">
        <f t="shared" si="153"/>
        <v/>
      </c>
      <c r="Z275" s="9" t="str">
        <f>IF(OR($Y275="",$U$299="S"),"",IF(COUNT($Z$71:$Z274)&gt;=$U$297,"",1))</f>
        <v/>
      </c>
    </row>
    <row r="276" spans="1:33" ht="14.25" hidden="1" customHeight="1" thickBot="1" x14ac:dyDescent="0.25">
      <c r="A276" s="7">
        <v>5</v>
      </c>
      <c r="B276" s="208"/>
      <c r="C276" s="207" t="str">
        <f t="shared" si="190"/>
        <v/>
      </c>
      <c r="D276" s="185" t="str">
        <f t="shared" si="191"/>
        <v/>
      </c>
      <c r="E276" s="185" t="str">
        <f t="shared" si="192"/>
        <v/>
      </c>
      <c r="F276" s="218"/>
      <c r="G276" s="215" t="str">
        <f t="shared" si="193"/>
        <v/>
      </c>
      <c r="H276" s="223">
        <f t="shared" si="194"/>
        <v>0</v>
      </c>
      <c r="I276" s="233" t="str">
        <f>IF($B276="","","諸経費共")</f>
        <v/>
      </c>
      <c r="J276" s="233"/>
      <c r="K276" s="98"/>
      <c r="L276" s="1" t="str">
        <f t="shared" si="188"/>
        <v/>
      </c>
      <c r="M276" s="105"/>
      <c r="N276" s="52" t="str">
        <f t="shared" si="195"/>
        <v/>
      </c>
      <c r="O276" s="21">
        <f t="shared" si="196"/>
        <v>0</v>
      </c>
      <c r="P276" s="22">
        <f t="shared" si="197"/>
        <v>0</v>
      </c>
      <c r="Q276" s="22">
        <f t="shared" si="198"/>
        <v>0</v>
      </c>
      <c r="R276" s="9">
        <f t="shared" si="199"/>
        <v>1</v>
      </c>
      <c r="S276" s="85">
        <f t="shared" si="200"/>
        <v>0</v>
      </c>
      <c r="T276" s="73">
        <f t="shared" si="201"/>
        <v>0</v>
      </c>
      <c r="U276" s="19">
        <f t="shared" si="202"/>
        <v>3</v>
      </c>
      <c r="V276" s="25">
        <f t="shared" si="203"/>
        <v>0</v>
      </c>
      <c r="W276" s="25">
        <f t="shared" si="204"/>
        <v>0</v>
      </c>
      <c r="X276" s="82">
        <f t="shared" si="189"/>
        <v>0</v>
      </c>
      <c r="Y276" s="12" t="str">
        <f t="shared" si="153"/>
        <v/>
      </c>
      <c r="Z276" s="9" t="str">
        <f>IF(OR($Y276="",$U$299="S"),"",IF(COUNT($Z$71:$Z275)&gt;=$U$297,"",1))</f>
        <v/>
      </c>
    </row>
    <row r="277" spans="1:33" ht="14.25" hidden="1" customHeight="1" thickBot="1" x14ac:dyDescent="0.25">
      <c r="A277" s="7">
        <v>6</v>
      </c>
      <c r="B277" s="208"/>
      <c r="C277" s="207" t="str">
        <f t="shared" si="190"/>
        <v/>
      </c>
      <c r="D277" s="185" t="str">
        <f t="shared" si="191"/>
        <v/>
      </c>
      <c r="E277" s="185" t="str">
        <f t="shared" si="192"/>
        <v/>
      </c>
      <c r="F277" s="218"/>
      <c r="G277" s="215" t="str">
        <f t="shared" si="193"/>
        <v/>
      </c>
      <c r="H277" s="223">
        <f t="shared" si="194"/>
        <v>0</v>
      </c>
      <c r="I277" s="233" t="str">
        <f>IF($B277="","","諸経費共")</f>
        <v/>
      </c>
      <c r="J277" s="233"/>
      <c r="K277" s="98"/>
      <c r="L277" s="1" t="str">
        <f t="shared" si="188"/>
        <v/>
      </c>
      <c r="M277" s="105"/>
      <c r="N277" s="52" t="str">
        <f t="shared" si="195"/>
        <v/>
      </c>
      <c r="O277" s="21">
        <f t="shared" si="196"/>
        <v>0</v>
      </c>
      <c r="P277" s="22">
        <f t="shared" si="197"/>
        <v>0</v>
      </c>
      <c r="Q277" s="22">
        <f t="shared" si="198"/>
        <v>0</v>
      </c>
      <c r="R277" s="9">
        <f t="shared" si="199"/>
        <v>1</v>
      </c>
      <c r="S277" s="85">
        <f t="shared" si="200"/>
        <v>0</v>
      </c>
      <c r="T277" s="73">
        <f t="shared" si="201"/>
        <v>0</v>
      </c>
      <c r="U277" s="19">
        <f t="shared" si="202"/>
        <v>3</v>
      </c>
      <c r="V277" s="25">
        <f t="shared" si="203"/>
        <v>0</v>
      </c>
      <c r="W277" s="25">
        <f t="shared" si="204"/>
        <v>0</v>
      </c>
      <c r="X277" s="82">
        <f t="shared" si="189"/>
        <v>0</v>
      </c>
      <c r="Y277" s="12" t="str">
        <f t="shared" si="153"/>
        <v/>
      </c>
      <c r="Z277" s="9" t="str">
        <f>IF(OR($Y277="",$U$299="S"),"",IF(COUNT($Z$71:$Z276)&gt;=$U$297,"",1))</f>
        <v/>
      </c>
    </row>
    <row r="278" spans="1:33" ht="14.25" hidden="1" customHeight="1" thickBot="1" x14ac:dyDescent="0.25">
      <c r="A278" s="7">
        <v>7</v>
      </c>
      <c r="B278" s="208"/>
      <c r="C278" s="207" t="str">
        <f t="shared" si="190"/>
        <v/>
      </c>
      <c r="D278" s="185" t="str">
        <f t="shared" si="191"/>
        <v/>
      </c>
      <c r="E278" s="185" t="str">
        <f t="shared" si="192"/>
        <v/>
      </c>
      <c r="F278" s="218"/>
      <c r="G278" s="215" t="str">
        <f t="shared" si="193"/>
        <v/>
      </c>
      <c r="H278" s="223">
        <f t="shared" si="194"/>
        <v>0</v>
      </c>
      <c r="I278" s="233" t="str">
        <f>IF($B278="","","諸経費共")</f>
        <v/>
      </c>
      <c r="J278" s="233"/>
      <c r="K278" s="98"/>
      <c r="L278" s="1" t="str">
        <f t="shared" si="188"/>
        <v/>
      </c>
      <c r="M278" s="105"/>
      <c r="N278" s="52" t="str">
        <f t="shared" si="195"/>
        <v/>
      </c>
      <c r="O278" s="21">
        <f t="shared" si="196"/>
        <v>0</v>
      </c>
      <c r="P278" s="22">
        <f t="shared" si="197"/>
        <v>0</v>
      </c>
      <c r="Q278" s="22">
        <f t="shared" si="198"/>
        <v>0</v>
      </c>
      <c r="R278" s="9">
        <f t="shared" si="199"/>
        <v>1</v>
      </c>
      <c r="S278" s="85">
        <f t="shared" si="200"/>
        <v>0</v>
      </c>
      <c r="T278" s="73">
        <f t="shared" si="201"/>
        <v>0</v>
      </c>
      <c r="U278" s="19">
        <f t="shared" si="202"/>
        <v>3</v>
      </c>
      <c r="V278" s="25">
        <f t="shared" si="203"/>
        <v>0</v>
      </c>
      <c r="W278" s="25">
        <f t="shared" si="204"/>
        <v>0</v>
      </c>
      <c r="X278" s="82">
        <f t="shared" si="189"/>
        <v>0</v>
      </c>
      <c r="Y278" s="12" t="str">
        <f t="shared" si="153"/>
        <v/>
      </c>
      <c r="Z278" s="9" t="str">
        <f>IF(OR($Y278="",$U$299="S"),"",IF(COUNT($Z$71:$Z277)&gt;=$U$297,"",1))</f>
        <v/>
      </c>
    </row>
    <row r="279" spans="1:33" ht="14.25" hidden="1" customHeight="1" thickBot="1" x14ac:dyDescent="0.25">
      <c r="A279" s="7">
        <v>8</v>
      </c>
      <c r="B279" s="208"/>
      <c r="C279" s="207" t="str">
        <f t="shared" si="190"/>
        <v/>
      </c>
      <c r="D279" s="185" t="str">
        <f t="shared" si="191"/>
        <v/>
      </c>
      <c r="E279" s="185" t="str">
        <f t="shared" si="192"/>
        <v/>
      </c>
      <c r="F279" s="218"/>
      <c r="G279" s="215" t="str">
        <f t="shared" si="193"/>
        <v/>
      </c>
      <c r="H279" s="223">
        <f t="shared" si="194"/>
        <v>0</v>
      </c>
      <c r="I279" s="233" t="str">
        <f>IF($B279="","","諸経費共")</f>
        <v/>
      </c>
      <c r="J279" s="233"/>
      <c r="K279" s="98"/>
      <c r="L279" s="1" t="str">
        <f t="shared" si="188"/>
        <v/>
      </c>
      <c r="M279" s="105"/>
      <c r="N279" s="52" t="str">
        <f t="shared" si="195"/>
        <v/>
      </c>
      <c r="O279" s="21">
        <f t="shared" si="196"/>
        <v>0</v>
      </c>
      <c r="P279" s="22">
        <f t="shared" si="197"/>
        <v>0</v>
      </c>
      <c r="Q279" s="22">
        <f t="shared" si="198"/>
        <v>0</v>
      </c>
      <c r="R279" s="9">
        <f t="shared" si="199"/>
        <v>1</v>
      </c>
      <c r="S279" s="85">
        <f t="shared" si="200"/>
        <v>0</v>
      </c>
      <c r="T279" s="73">
        <f t="shared" si="201"/>
        <v>0</v>
      </c>
      <c r="U279" s="19">
        <f t="shared" si="202"/>
        <v>3</v>
      </c>
      <c r="V279" s="25">
        <f t="shared" si="203"/>
        <v>0</v>
      </c>
      <c r="W279" s="25">
        <f t="shared" si="204"/>
        <v>0</v>
      </c>
      <c r="X279" s="82">
        <f t="shared" si="189"/>
        <v>0</v>
      </c>
      <c r="Y279" s="12" t="str">
        <f t="shared" si="153"/>
        <v/>
      </c>
      <c r="Z279" s="9" t="str">
        <f>IF(OR($Y279="",$U$299="S"),"",IF(COUNT($Z$71:$Z278)&gt;=$U$297,"",1))</f>
        <v/>
      </c>
    </row>
    <row r="280" spans="1:33" ht="14.25" hidden="1" customHeight="1" thickBot="1" x14ac:dyDescent="0.25">
      <c r="A280" s="7">
        <v>9</v>
      </c>
      <c r="B280" s="208"/>
      <c r="C280" s="207" t="str">
        <f t="shared" si="190"/>
        <v/>
      </c>
      <c r="D280" s="185" t="str">
        <f t="shared" si="191"/>
        <v/>
      </c>
      <c r="E280" s="185" t="str">
        <f t="shared" si="192"/>
        <v/>
      </c>
      <c r="F280" s="218"/>
      <c r="G280" s="215" t="str">
        <f t="shared" si="193"/>
        <v/>
      </c>
      <c r="H280" s="223">
        <f t="shared" si="194"/>
        <v>0</v>
      </c>
      <c r="I280" s="233" t="str">
        <f>IF($B280="","","諸経費共")</f>
        <v/>
      </c>
      <c r="J280" s="233"/>
      <c r="K280" s="98"/>
      <c r="L280" s="1" t="str">
        <f t="shared" si="188"/>
        <v/>
      </c>
      <c r="M280" s="105"/>
      <c r="N280" s="52" t="str">
        <f t="shared" si="195"/>
        <v/>
      </c>
      <c r="O280" s="21">
        <f t="shared" si="196"/>
        <v>0</v>
      </c>
      <c r="P280" s="22">
        <f t="shared" si="197"/>
        <v>0</v>
      </c>
      <c r="Q280" s="22">
        <f t="shared" si="198"/>
        <v>0</v>
      </c>
      <c r="R280" s="9">
        <f t="shared" si="199"/>
        <v>1</v>
      </c>
      <c r="S280" s="85">
        <f t="shared" si="200"/>
        <v>0</v>
      </c>
      <c r="T280" s="73">
        <f t="shared" si="201"/>
        <v>0</v>
      </c>
      <c r="U280" s="19">
        <f t="shared" si="202"/>
        <v>3</v>
      </c>
      <c r="V280" s="25">
        <f t="shared" si="203"/>
        <v>0</v>
      </c>
      <c r="W280" s="25">
        <f t="shared" si="204"/>
        <v>0</v>
      </c>
      <c r="X280" s="82">
        <f t="shared" si="189"/>
        <v>0</v>
      </c>
      <c r="Y280" s="12" t="str">
        <f t="shared" si="153"/>
        <v/>
      </c>
      <c r="Z280" s="9" t="str">
        <f>IF(OR($Y280="",$U$299="S"),"",IF(COUNT($Z$71:$Z279)&gt;=$U$297,"",1))</f>
        <v/>
      </c>
    </row>
    <row r="281" spans="1:33" ht="14.25" hidden="1" customHeight="1" thickBot="1" x14ac:dyDescent="0.25">
      <c r="A281" s="7">
        <v>10</v>
      </c>
      <c r="B281" s="208"/>
      <c r="C281" s="207" t="str">
        <f t="shared" si="190"/>
        <v/>
      </c>
      <c r="D281" s="185" t="str">
        <f t="shared" si="191"/>
        <v/>
      </c>
      <c r="E281" s="185" t="str">
        <f t="shared" si="192"/>
        <v/>
      </c>
      <c r="F281" s="218"/>
      <c r="G281" s="215" t="str">
        <f t="shared" si="193"/>
        <v/>
      </c>
      <c r="H281" s="223">
        <f t="shared" si="194"/>
        <v>0</v>
      </c>
      <c r="I281" s="233" t="str">
        <f>IF($B281="","","諸経費共")</f>
        <v/>
      </c>
      <c r="J281" s="233"/>
      <c r="K281" s="98"/>
      <c r="L281" s="1" t="str">
        <f t="shared" si="188"/>
        <v/>
      </c>
      <c r="M281" s="105"/>
      <c r="N281" s="52" t="str">
        <f t="shared" si="195"/>
        <v/>
      </c>
      <c r="O281" s="21">
        <f t="shared" si="196"/>
        <v>0</v>
      </c>
      <c r="P281" s="22">
        <f t="shared" si="197"/>
        <v>0</v>
      </c>
      <c r="Q281" s="22">
        <f t="shared" si="198"/>
        <v>0</v>
      </c>
      <c r="R281" s="9">
        <f t="shared" si="199"/>
        <v>1</v>
      </c>
      <c r="S281" s="85">
        <f t="shared" si="200"/>
        <v>0</v>
      </c>
      <c r="T281" s="73">
        <f t="shared" si="201"/>
        <v>0</v>
      </c>
      <c r="U281" s="19">
        <f t="shared" si="202"/>
        <v>3</v>
      </c>
      <c r="V281" s="25">
        <f t="shared" si="203"/>
        <v>0</v>
      </c>
      <c r="W281" s="25">
        <f t="shared" si="204"/>
        <v>0</v>
      </c>
      <c r="X281" s="82">
        <f t="shared" si="189"/>
        <v>0</v>
      </c>
      <c r="Y281" s="12" t="str">
        <f t="shared" si="153"/>
        <v/>
      </c>
      <c r="Z281" s="9" t="str">
        <f>IF(OR($Y281="",$U$299="S"),"",IF(COUNT($Z$71:$Z280)&gt;=$U$297,"",1))</f>
        <v/>
      </c>
    </row>
    <row r="282" spans="1:33" ht="14.25" hidden="1" customHeight="1" thickBot="1" x14ac:dyDescent="0.25">
      <c r="A282" s="7">
        <v>11</v>
      </c>
      <c r="B282" s="208"/>
      <c r="C282" s="207" t="str">
        <f t="shared" si="190"/>
        <v/>
      </c>
      <c r="D282" s="185" t="str">
        <f t="shared" si="191"/>
        <v/>
      </c>
      <c r="E282" s="185" t="str">
        <f t="shared" si="192"/>
        <v/>
      </c>
      <c r="F282" s="218"/>
      <c r="G282" s="215" t="str">
        <f t="shared" si="193"/>
        <v/>
      </c>
      <c r="H282" s="223">
        <f t="shared" si="194"/>
        <v>0</v>
      </c>
      <c r="I282" s="233" t="str">
        <f>IF($B282="","","諸経費共")</f>
        <v/>
      </c>
      <c r="J282" s="233"/>
      <c r="K282" s="98"/>
      <c r="L282" s="1" t="str">
        <f t="shared" si="188"/>
        <v/>
      </c>
      <c r="M282" s="105"/>
      <c r="N282" s="52" t="str">
        <f t="shared" si="195"/>
        <v/>
      </c>
      <c r="O282" s="21">
        <f t="shared" si="196"/>
        <v>0</v>
      </c>
      <c r="P282" s="22">
        <f t="shared" si="197"/>
        <v>0</v>
      </c>
      <c r="Q282" s="22">
        <f t="shared" si="198"/>
        <v>0</v>
      </c>
      <c r="R282" s="9">
        <f t="shared" si="199"/>
        <v>1</v>
      </c>
      <c r="S282" s="85">
        <f t="shared" si="200"/>
        <v>0</v>
      </c>
      <c r="T282" s="73">
        <f t="shared" si="201"/>
        <v>0</v>
      </c>
      <c r="U282" s="19">
        <f t="shared" si="202"/>
        <v>3</v>
      </c>
      <c r="V282" s="25">
        <f t="shared" si="203"/>
        <v>0</v>
      </c>
      <c r="W282" s="25">
        <f t="shared" si="204"/>
        <v>0</v>
      </c>
      <c r="X282" s="82">
        <f t="shared" si="189"/>
        <v>0</v>
      </c>
      <c r="Y282" s="12" t="str">
        <f t="shared" si="153"/>
        <v/>
      </c>
      <c r="Z282" s="9" t="str">
        <f>IF(OR($Y282="",$U$299="S"),"",IF(COUNT($Z$71:$Z281)&gt;=$U$297,"",1))</f>
        <v/>
      </c>
    </row>
    <row r="283" spans="1:33" ht="14.25" hidden="1" customHeight="1" thickBot="1" x14ac:dyDescent="0.25">
      <c r="A283" s="7">
        <v>12</v>
      </c>
      <c r="B283" s="208"/>
      <c r="C283" s="207" t="str">
        <f t="shared" si="190"/>
        <v/>
      </c>
      <c r="D283" s="185" t="str">
        <f t="shared" si="191"/>
        <v/>
      </c>
      <c r="E283" s="185" t="str">
        <f t="shared" si="192"/>
        <v/>
      </c>
      <c r="F283" s="218"/>
      <c r="G283" s="215" t="str">
        <f t="shared" si="193"/>
        <v/>
      </c>
      <c r="H283" s="223">
        <f t="shared" si="194"/>
        <v>0</v>
      </c>
      <c r="I283" s="234" t="str">
        <f>IF($B283="","","諸経費共")</f>
        <v/>
      </c>
      <c r="J283" s="235"/>
      <c r="K283" s="98"/>
      <c r="L283" s="1" t="str">
        <f t="shared" si="188"/>
        <v/>
      </c>
      <c r="M283" s="105"/>
      <c r="N283" s="52" t="str">
        <f t="shared" si="195"/>
        <v/>
      </c>
      <c r="O283" s="21">
        <f t="shared" si="196"/>
        <v>0</v>
      </c>
      <c r="P283" s="22">
        <f t="shared" si="197"/>
        <v>0</v>
      </c>
      <c r="Q283" s="22">
        <f t="shared" si="198"/>
        <v>0</v>
      </c>
      <c r="R283" s="9">
        <f t="shared" si="199"/>
        <v>1</v>
      </c>
      <c r="S283" s="85">
        <f t="shared" si="200"/>
        <v>0</v>
      </c>
      <c r="T283" s="73">
        <f t="shared" si="201"/>
        <v>0</v>
      </c>
      <c r="U283" s="19">
        <f t="shared" si="202"/>
        <v>3</v>
      </c>
      <c r="V283" s="25">
        <f t="shared" si="203"/>
        <v>0</v>
      </c>
      <c r="W283" s="25">
        <f t="shared" si="204"/>
        <v>0</v>
      </c>
      <c r="X283" s="82">
        <f t="shared" si="189"/>
        <v>0</v>
      </c>
      <c r="Y283" s="12" t="str">
        <f t="shared" si="153"/>
        <v/>
      </c>
      <c r="Z283" s="9" t="str">
        <f>IF(OR($Y283="",$U$299="S"),"",IF(COUNT($Z$71:$Z282)&gt;=$U$297,"",1))</f>
        <v/>
      </c>
    </row>
    <row r="284" spans="1:33" ht="14.25" hidden="1" customHeight="1" thickBot="1" x14ac:dyDescent="0.25">
      <c r="A284" s="7">
        <v>13</v>
      </c>
      <c r="B284" s="208"/>
      <c r="C284" s="207" t="str">
        <f t="shared" si="190"/>
        <v/>
      </c>
      <c r="D284" s="185" t="str">
        <f t="shared" si="191"/>
        <v/>
      </c>
      <c r="E284" s="185" t="str">
        <f t="shared" si="192"/>
        <v/>
      </c>
      <c r="F284" s="218"/>
      <c r="G284" s="215" t="str">
        <f t="shared" si="193"/>
        <v/>
      </c>
      <c r="H284" s="223">
        <f t="shared" si="194"/>
        <v>0</v>
      </c>
      <c r="I284" s="233" t="str">
        <f>IF($B284="","","諸経費共")</f>
        <v/>
      </c>
      <c r="J284" s="233"/>
      <c r="K284" s="98"/>
      <c r="L284" s="1" t="str">
        <f t="shared" si="188"/>
        <v/>
      </c>
      <c r="M284" s="105"/>
      <c r="N284" s="52" t="str">
        <f t="shared" si="195"/>
        <v/>
      </c>
      <c r="O284" s="21">
        <f t="shared" si="196"/>
        <v>0</v>
      </c>
      <c r="P284" s="22">
        <f t="shared" si="197"/>
        <v>0</v>
      </c>
      <c r="Q284" s="22">
        <f t="shared" si="198"/>
        <v>0</v>
      </c>
      <c r="R284" s="9">
        <f t="shared" si="199"/>
        <v>1</v>
      </c>
      <c r="S284" s="85">
        <f t="shared" si="200"/>
        <v>0</v>
      </c>
      <c r="T284" s="73">
        <f t="shared" si="201"/>
        <v>0</v>
      </c>
      <c r="U284" s="19">
        <f t="shared" si="202"/>
        <v>3</v>
      </c>
      <c r="V284" s="25">
        <f t="shared" si="203"/>
        <v>0</v>
      </c>
      <c r="W284" s="25">
        <f t="shared" si="204"/>
        <v>0</v>
      </c>
      <c r="X284" s="82">
        <f t="shared" si="189"/>
        <v>0</v>
      </c>
      <c r="Y284" s="12" t="str">
        <f t="shared" si="153"/>
        <v/>
      </c>
      <c r="Z284" s="9" t="str">
        <f>IF(OR($Y284="",$U$299="S"),"",IF(COUNT($Z$71:$Z283)&gt;=$U$297,"",1))</f>
        <v/>
      </c>
    </row>
    <row r="285" spans="1:33" ht="14.25" hidden="1" customHeight="1" thickBot="1" x14ac:dyDescent="0.25">
      <c r="A285" s="7">
        <v>14</v>
      </c>
      <c r="B285" s="208"/>
      <c r="C285" s="207" t="str">
        <f t="shared" si="190"/>
        <v/>
      </c>
      <c r="D285" s="185" t="str">
        <f t="shared" si="191"/>
        <v/>
      </c>
      <c r="E285" s="185" t="str">
        <f t="shared" si="192"/>
        <v/>
      </c>
      <c r="F285" s="218"/>
      <c r="G285" s="215" t="str">
        <f t="shared" si="193"/>
        <v/>
      </c>
      <c r="H285" s="223">
        <f t="shared" si="194"/>
        <v>0</v>
      </c>
      <c r="I285" s="233" t="str">
        <f>IF($B285="","","諸経費共")</f>
        <v/>
      </c>
      <c r="J285" s="233"/>
      <c r="K285" s="98"/>
      <c r="L285" s="1" t="str">
        <f t="shared" si="188"/>
        <v/>
      </c>
      <c r="M285" s="105"/>
      <c r="N285" s="52" t="str">
        <f t="shared" si="195"/>
        <v/>
      </c>
      <c r="O285" s="21">
        <f t="shared" si="196"/>
        <v>0</v>
      </c>
      <c r="P285" s="22">
        <f t="shared" si="197"/>
        <v>0</v>
      </c>
      <c r="Q285" s="22">
        <f t="shared" si="198"/>
        <v>0</v>
      </c>
      <c r="R285" s="9">
        <f t="shared" si="199"/>
        <v>1</v>
      </c>
      <c r="S285" s="85">
        <f t="shared" si="200"/>
        <v>0</v>
      </c>
      <c r="T285" s="73">
        <f t="shared" si="201"/>
        <v>0</v>
      </c>
      <c r="U285" s="19">
        <f t="shared" si="202"/>
        <v>3</v>
      </c>
      <c r="V285" s="25">
        <f t="shared" si="203"/>
        <v>0</v>
      </c>
      <c r="W285" s="25">
        <f t="shared" si="204"/>
        <v>0</v>
      </c>
      <c r="X285" s="82">
        <f t="shared" si="189"/>
        <v>0</v>
      </c>
      <c r="Y285" s="12" t="str">
        <f t="shared" si="153"/>
        <v/>
      </c>
      <c r="Z285" s="9" t="str">
        <f>IF(OR($Y285="",$U$299="S"),"",IF(COUNT($Z$71:$Z284)&gt;=$U$297,"",1))</f>
        <v/>
      </c>
    </row>
    <row r="286" spans="1:33" ht="14.25" hidden="1" customHeight="1" thickBot="1" x14ac:dyDescent="0.25">
      <c r="A286" s="7">
        <v>15</v>
      </c>
      <c r="B286" s="208"/>
      <c r="C286" s="207" t="str">
        <f t="shared" si="190"/>
        <v/>
      </c>
      <c r="D286" s="185" t="str">
        <f t="shared" si="191"/>
        <v/>
      </c>
      <c r="E286" s="185" t="str">
        <f t="shared" si="192"/>
        <v/>
      </c>
      <c r="F286" s="218"/>
      <c r="G286" s="215" t="str">
        <f t="shared" si="193"/>
        <v/>
      </c>
      <c r="H286" s="223">
        <f t="shared" si="194"/>
        <v>0</v>
      </c>
      <c r="I286" s="233" t="str">
        <f>IF($B286="","","諸経費共")</f>
        <v/>
      </c>
      <c r="J286" s="233"/>
      <c r="K286" s="98"/>
      <c r="L286" s="1" t="str">
        <f t="shared" si="188"/>
        <v/>
      </c>
      <c r="M286" s="105"/>
      <c r="N286" s="52" t="str">
        <f t="shared" si="195"/>
        <v/>
      </c>
      <c r="O286" s="21">
        <f t="shared" si="196"/>
        <v>0</v>
      </c>
      <c r="P286" s="22">
        <f t="shared" si="197"/>
        <v>0</v>
      </c>
      <c r="Q286" s="22">
        <f t="shared" si="198"/>
        <v>0</v>
      </c>
      <c r="R286" s="9">
        <f t="shared" si="199"/>
        <v>1</v>
      </c>
      <c r="S286" s="85">
        <f t="shared" si="200"/>
        <v>0</v>
      </c>
      <c r="T286" s="73">
        <f t="shared" si="201"/>
        <v>0</v>
      </c>
      <c r="U286" s="19">
        <f t="shared" si="202"/>
        <v>3</v>
      </c>
      <c r="V286" s="25">
        <f t="shared" si="203"/>
        <v>0</v>
      </c>
      <c r="W286" s="25">
        <f t="shared" si="204"/>
        <v>0</v>
      </c>
      <c r="X286" s="82">
        <f t="shared" si="189"/>
        <v>0</v>
      </c>
      <c r="Y286" s="12" t="str">
        <f>IF(U286="","",IF($U286&lt;=$U$297,1,""))</f>
        <v/>
      </c>
      <c r="Z286" s="9" t="str">
        <f>IF(OR($Y286="",$U$299="S"),"",IF(COUNT($Z$71:$Z285)&gt;=$U$297,"",1))</f>
        <v/>
      </c>
    </row>
    <row r="287" spans="1:33" ht="14.25" hidden="1" customHeight="1" thickBot="1" x14ac:dyDescent="0.25">
      <c r="B287" s="209" t="s">
        <v>20</v>
      </c>
      <c r="C287" s="207"/>
      <c r="D287" s="185"/>
      <c r="E287" s="185"/>
      <c r="F287" s="218">
        <f>SUM(F272:F286)</f>
        <v>0</v>
      </c>
      <c r="G287" s="215">
        <f>+F287+H287</f>
        <v>0</v>
      </c>
      <c r="H287" s="218">
        <f>SUM(H272:H286)</f>
        <v>0</v>
      </c>
      <c r="I287" s="233"/>
      <c r="J287" s="233"/>
      <c r="K287" s="9"/>
      <c r="L287" s="4" t="s">
        <v>23</v>
      </c>
      <c r="M287" s="114">
        <f>SUM(M272:M286)</f>
        <v>0</v>
      </c>
      <c r="N287" s="9"/>
      <c r="O287" s="115">
        <f>SUM(O272:O286)</f>
        <v>0</v>
      </c>
      <c r="P287" s="116">
        <f>SUM(P272:P286)</f>
        <v>0</v>
      </c>
      <c r="Q287" s="116">
        <f>SUM(Q272:Q286)</f>
        <v>0</v>
      </c>
      <c r="S287" s="117">
        <f>SUM(S272:S286)</f>
        <v>0</v>
      </c>
      <c r="T287" s="74"/>
      <c r="U287" s="74"/>
      <c r="V287" s="118">
        <f>SUM(V272:V286)</f>
        <v>0</v>
      </c>
      <c r="W287" s="118">
        <f>SUM(W272:W286)</f>
        <v>0</v>
      </c>
      <c r="X287" s="119">
        <f>SUM(X272:X286)</f>
        <v>0</v>
      </c>
      <c r="Y287" s="12" t="str">
        <f>IF(U287="","",IF($U287&lt;=$U$297,1,""))</f>
        <v/>
      </c>
      <c r="Z287" s="9" t="str">
        <f>IF(OR($Y287="",$U$299="S"),"",IF(COUNT($Z$71:$Z286)&gt;=$U$297,"",1))</f>
        <v/>
      </c>
    </row>
    <row r="288" spans="1:33" ht="14.25" hidden="1" customHeight="1" thickBot="1" x14ac:dyDescent="0.25">
      <c r="B288" s="210" t="s">
        <v>21</v>
      </c>
      <c r="C288" s="207"/>
      <c r="D288" s="185">
        <v>1</v>
      </c>
      <c r="E288" s="185" t="str">
        <f>IF($D288="","","式")</f>
        <v>式</v>
      </c>
      <c r="F288" s="218"/>
      <c r="G288" s="215">
        <f>+F288+H288</f>
        <v>0</v>
      </c>
      <c r="H288" s="218">
        <f>H287*0.1</f>
        <v>0</v>
      </c>
      <c r="I288" s="233"/>
      <c r="J288" s="233"/>
      <c r="K288" s="9"/>
      <c r="L288" s="3" t="s">
        <v>21</v>
      </c>
      <c r="M288" s="107">
        <f>+M287*0.1</f>
        <v>0</v>
      </c>
      <c r="N288" s="49"/>
      <c r="O288" s="63">
        <f>+O287*0.1</f>
        <v>0</v>
      </c>
      <c r="P288" s="64">
        <f>+P287*0.1</f>
        <v>0</v>
      </c>
      <c r="Q288" s="64">
        <f>+Q287*0.1</f>
        <v>0</v>
      </c>
      <c r="R288" s="49"/>
      <c r="S288" s="23">
        <f>+S287*0.1</f>
        <v>0</v>
      </c>
      <c r="T288" s="76"/>
      <c r="U288" s="76"/>
      <c r="V288" s="48">
        <f>+V287*0.1</f>
        <v>0</v>
      </c>
      <c r="W288" s="48">
        <f>+W287*0.1</f>
        <v>0</v>
      </c>
      <c r="X288" s="33">
        <f>+X287*0.1</f>
        <v>0</v>
      </c>
      <c r="Y288" s="12" t="str">
        <f>IF(U288="","",IF($U288&lt;=$U$297,1,""))</f>
        <v/>
      </c>
      <c r="Z288" s="9" t="str">
        <f>IF(OR($Y288="",$U$299="S"),"",IF(COUNT($Z$71:$Z287)&gt;=$U$297,"",1))</f>
        <v/>
      </c>
      <c r="AA288" s="49"/>
      <c r="AB288" s="49"/>
      <c r="AC288" s="49"/>
      <c r="AD288" s="49"/>
      <c r="AE288" s="49"/>
      <c r="AF288" s="49"/>
      <c r="AG288" s="49"/>
    </row>
    <row r="289" spans="2:33" ht="14.25" hidden="1" customHeight="1" thickBot="1" x14ac:dyDescent="0.25">
      <c r="B289" s="189" t="s">
        <v>22</v>
      </c>
      <c r="C289" s="207"/>
      <c r="D289" s="185"/>
      <c r="E289" s="185"/>
      <c r="F289" s="218">
        <f>SUM(F287:F288)</f>
        <v>0</v>
      </c>
      <c r="G289" s="215">
        <f>+F289+H289</f>
        <v>0</v>
      </c>
      <c r="H289" s="218">
        <f>SUM(H287:H288)</f>
        <v>0</v>
      </c>
      <c r="I289" s="233"/>
      <c r="J289" s="233"/>
      <c r="K289" s="9"/>
      <c r="L289" s="5" t="s">
        <v>22</v>
      </c>
      <c r="M289" s="107">
        <f>+M287+M288</f>
        <v>0</v>
      </c>
      <c r="N289" s="49"/>
      <c r="O289" s="23">
        <f>SUM(O287:O288)</f>
        <v>0</v>
      </c>
      <c r="P289" s="64">
        <f>+P287+P288</f>
        <v>0</v>
      </c>
      <c r="Q289" s="64">
        <f>+Q287+Q288</f>
        <v>0</v>
      </c>
      <c r="R289" s="49"/>
      <c r="S289" s="23">
        <f>+S287+S288</f>
        <v>0</v>
      </c>
      <c r="T289" s="76"/>
      <c r="U289" s="76"/>
      <c r="V289" s="48">
        <f>+V287+V288</f>
        <v>0</v>
      </c>
      <c r="W289" s="48">
        <f>+W287+W288</f>
        <v>0</v>
      </c>
      <c r="X289" s="33">
        <f>+X287+X288</f>
        <v>0</v>
      </c>
      <c r="Y289" s="12" t="str">
        <f>IF(U289="","",IF($U289&lt;=$U$297,1,""))</f>
        <v/>
      </c>
      <c r="Z289" s="9" t="str">
        <f>IF(OR($Y289="",$U$299="S"),"",IF(COUNT($Z$71:$Z288)&gt;=$U$297,"",1))</f>
        <v/>
      </c>
      <c r="AA289" s="49"/>
      <c r="AB289" s="49"/>
      <c r="AC289" s="49"/>
      <c r="AD289" s="49"/>
      <c r="AE289" s="49"/>
      <c r="AF289" s="49"/>
      <c r="AG289" s="49"/>
    </row>
    <row r="290" spans="2:33" ht="14.25" customHeight="1" thickBot="1" x14ac:dyDescent="0.25">
      <c r="B290" s="207"/>
      <c r="C290" s="207"/>
      <c r="D290" s="185"/>
      <c r="E290" s="185"/>
      <c r="F290" s="215"/>
      <c r="G290" s="215"/>
      <c r="H290" s="218"/>
      <c r="I290" s="233"/>
      <c r="J290" s="233"/>
      <c r="K290" s="9"/>
      <c r="L290" s="1"/>
      <c r="M290" s="107"/>
      <c r="N290" s="9"/>
      <c r="O290" s="21"/>
      <c r="P290" s="22"/>
      <c r="Q290" s="22"/>
      <c r="S290" s="23"/>
      <c r="T290" s="19"/>
      <c r="U290" s="19"/>
      <c r="V290" s="25"/>
      <c r="W290" s="25"/>
      <c r="X290" s="82"/>
    </row>
    <row r="291" spans="2:33" ht="14.25" customHeight="1" thickBot="1" x14ac:dyDescent="0.25">
      <c r="B291" s="5" t="s">
        <v>24</v>
      </c>
      <c r="C291" s="1"/>
      <c r="D291" s="17"/>
      <c r="E291" s="17"/>
      <c r="F291" s="226">
        <f>SUM(F89+F109+F129+F149+F189+F169+F209+F229+F249+F269+F289)</f>
        <v>44000000</v>
      </c>
      <c r="G291" s="226">
        <f>+F291+H291</f>
        <v>46505800</v>
      </c>
      <c r="H291" s="227">
        <v>2505800</v>
      </c>
      <c r="I291" s="262"/>
      <c r="J291" s="262"/>
      <c r="K291" s="9"/>
      <c r="L291" s="5" t="s">
        <v>24</v>
      </c>
      <c r="M291" s="107">
        <f>+M89+M109+M129+M149+M189+M169+M209+M229+M249+M269+M289</f>
        <v>2505800</v>
      </c>
      <c r="N291" s="52">
        <f>IF(M291="","",IF(M291&lt;0,0,1))</f>
        <v>1</v>
      </c>
      <c r="O291" s="21">
        <f>+O89+O109+O129+O149+O189+O169+O209+O229+O249+O269+O289</f>
        <v>2505800</v>
      </c>
      <c r="P291" s="26">
        <f>+P89+P109+P129+P149+P189+P169+P209+P229+P249+P269+P289</f>
        <v>2505800</v>
      </c>
      <c r="Q291" s="26">
        <f>+Q89+Q109+Q129+Q149+Q189+Q169+Q209+Q229+Q249+Q269+Q289</f>
        <v>2508000</v>
      </c>
      <c r="R291" s="27">
        <f>SUM(R72:R86,R92:R106,R132:R146,R152:R167,R172:R187,R192:R207,R212:R227,R232:R247,R252:R267,R272:R287)</f>
        <v>149</v>
      </c>
      <c r="S291" s="23">
        <f>+S89+S109+S129+S149+S189+S169+S209+S229+S249+S269+S289</f>
        <v>2505800</v>
      </c>
      <c r="T291" s="84">
        <f>SUM(T72:T289)</f>
        <v>1</v>
      </c>
      <c r="U291" s="84"/>
      <c r="V291" s="48">
        <f>+V89+V109+V129+V149+V189+V169+V209+V229+V249+V269+V289</f>
        <v>2505800</v>
      </c>
      <c r="W291" s="48">
        <f>+W89+W109+W129+W149+W189+W169+W209+W229+W249+W269+W289</f>
        <v>2505800</v>
      </c>
      <c r="X291" s="30">
        <f>+X89+X109+X129+X149+X189+X169+X209+X229+X249+X269+X289</f>
        <v>2505800</v>
      </c>
      <c r="Y291" s="49"/>
      <c r="Z291" s="49"/>
      <c r="AA291" s="49"/>
      <c r="AB291" s="49"/>
      <c r="AC291" s="49"/>
      <c r="AD291" s="49"/>
      <c r="AE291" s="49"/>
      <c r="AF291" s="49"/>
      <c r="AG291" s="49"/>
    </row>
    <row r="292" spans="2:33" ht="11.25" customHeight="1" x14ac:dyDescent="0.2">
      <c r="C292" s="9"/>
      <c r="D292" s="12"/>
      <c r="E292" s="12"/>
      <c r="F292" s="16"/>
      <c r="G292" s="31"/>
      <c r="H292" s="31" t="str">
        <f>IF(H291=SUM(H89,H109,H129,H149,H169,H189,H209,H229,H249,H269,H289),"",IF(H291&lt;=M291,"","NG"))</f>
        <v/>
      </c>
      <c r="I292" s="12"/>
      <c r="J292" s="12"/>
      <c r="K292" s="98"/>
      <c r="L292" s="9"/>
      <c r="M292" s="47">
        <f>IF(H291=M291,1,"")</f>
        <v>1</v>
      </c>
      <c r="N292" s="9"/>
      <c r="O292" s="9"/>
      <c r="P292" s="9"/>
      <c r="Q292" s="9"/>
    </row>
    <row r="293" spans="2:33" ht="11.25" customHeight="1" thickBot="1" x14ac:dyDescent="0.25">
      <c r="C293" s="9"/>
      <c r="D293" s="12"/>
      <c r="E293" s="12"/>
      <c r="F293" s="16"/>
      <c r="G293" s="16"/>
      <c r="H293" s="16"/>
      <c r="I293" s="12"/>
      <c r="J293" s="12"/>
      <c r="K293" s="9"/>
      <c r="L293" s="9"/>
      <c r="M293" s="16"/>
      <c r="N293" s="9"/>
      <c r="O293" s="9"/>
      <c r="P293" s="9"/>
      <c r="Q293" s="9"/>
    </row>
    <row r="294" spans="2:33" ht="11.25" customHeight="1" thickTop="1" thickBot="1" x14ac:dyDescent="0.25">
      <c r="C294" s="9"/>
      <c r="D294" s="9"/>
      <c r="E294" s="9" t="s">
        <v>13</v>
      </c>
      <c r="F294" s="16">
        <f>+F87+F107+F127+F147+F167+F187+F207+F227+F247+F267+F287</f>
        <v>40000000</v>
      </c>
      <c r="G294" s="16">
        <f>+G87+G107+G127+G147+G187+G167+G207+G227+G247+G267+G287</f>
        <v>42278000</v>
      </c>
      <c r="H294" s="30">
        <f>+H291-H295</f>
        <v>2278000</v>
      </c>
      <c r="I294" s="9"/>
      <c r="J294" s="9"/>
      <c r="K294" s="9"/>
      <c r="L294" s="9" t="s">
        <v>25</v>
      </c>
      <c r="M294" s="112">
        <f>+M87+M107+M127+M147+M187+M167+M207+M227+M247+M267+M287</f>
        <v>2278000</v>
      </c>
      <c r="N294" s="9"/>
      <c r="O294" s="24">
        <f>+O87+O107+O127+O147+O187+O167+O207+O227+O247+O267+O287</f>
        <v>2278000</v>
      </c>
      <c r="P294" s="32">
        <f>+P87+P107+P127+P147+P187+P167+P207+P227+P247+P267+P287</f>
        <v>2278000</v>
      </c>
      <c r="Q294" s="32">
        <f>+Q87+Q107+Q127+Q147+Q187+Q167+Q207+Q227+Q247+Q267+Q287</f>
        <v>2280000</v>
      </c>
      <c r="S294" s="18">
        <f>SUMIF(R72:R289,"0",S72:S289)</f>
        <v>-3222000</v>
      </c>
      <c r="V294" s="91">
        <f>+V87+V107+V147+V127+V187+V167+V207+V227+V247+V267+V287</f>
        <v>2278000</v>
      </c>
      <c r="W294" s="91">
        <f>+W87+W107+W127+W147+W187+W167+W207+W227+W247+W267+W287</f>
        <v>2278000</v>
      </c>
      <c r="X294" s="32">
        <f>+X87+X107+X127+X147+X187+X167+X207+X227+X247+X267+X287</f>
        <v>2278000</v>
      </c>
    </row>
    <row r="295" spans="2:33" ht="11.25" customHeight="1" thickTop="1" thickBot="1" x14ac:dyDescent="0.25">
      <c r="C295" s="9"/>
      <c r="D295" s="9"/>
      <c r="E295" s="9" t="s">
        <v>14</v>
      </c>
      <c r="F295" s="16">
        <f>+SUMIF(B70:B291,"消費税及び地方消費税相当額",F70:F291)</f>
        <v>4000000</v>
      </c>
      <c r="G295" s="16">
        <f>+F295+H295</f>
        <v>4227800</v>
      </c>
      <c r="H295" s="33">
        <f>+H291/1.1*0.1</f>
        <v>227800</v>
      </c>
      <c r="I295" s="9"/>
      <c r="J295" s="9"/>
      <c r="K295" s="9"/>
      <c r="L295" s="9" t="s">
        <v>26</v>
      </c>
      <c r="M295" s="112">
        <f>+M294*0.1</f>
        <v>227800</v>
      </c>
      <c r="N295" s="9"/>
      <c r="O295" s="24">
        <f>+O294*0.1</f>
        <v>227800</v>
      </c>
      <c r="P295" s="32">
        <f>+P294*0.1</f>
        <v>227800</v>
      </c>
      <c r="Q295" s="32">
        <f>+Q294*0.1</f>
        <v>228000</v>
      </c>
      <c r="S295" s="9" t="s">
        <v>35</v>
      </c>
      <c r="V295" s="91">
        <f>+V294*0.1</f>
        <v>227800</v>
      </c>
      <c r="W295" s="91">
        <f>+W294*0.1</f>
        <v>227800</v>
      </c>
      <c r="X295" s="32">
        <f>+X294*0.1</f>
        <v>227800</v>
      </c>
    </row>
    <row r="296" spans="2:33" ht="11.25" customHeight="1" x14ac:dyDescent="0.2">
      <c r="C296" s="9"/>
      <c r="D296" s="9"/>
      <c r="E296" s="9"/>
      <c r="F296" s="16"/>
      <c r="G296" s="16"/>
      <c r="H296" s="16"/>
      <c r="I296" s="9"/>
      <c r="J296" s="9"/>
      <c r="K296" s="9"/>
      <c r="L296" s="9"/>
      <c r="M296" s="16"/>
      <c r="N296" s="9"/>
      <c r="O296" s="9"/>
      <c r="P296" s="9"/>
      <c r="Q296" s="9"/>
      <c r="W296" s="17" t="s">
        <v>47</v>
      </c>
    </row>
    <row r="297" spans="2:33" s="9" customFormat="1" ht="11.25" customHeight="1" thickBot="1" x14ac:dyDescent="0.25">
      <c r="F297" s="16"/>
      <c r="G297" s="16"/>
      <c r="H297" s="16"/>
      <c r="M297" s="16"/>
      <c r="T297" s="65" t="s">
        <v>36</v>
      </c>
      <c r="U297" s="79">
        <f>IF(W297&gt;=0,W297/1000,W297/-1000)</f>
        <v>0</v>
      </c>
      <c r="V297" s="65" t="s">
        <v>33</v>
      </c>
      <c r="W297" s="28">
        <f>+H294-W294</f>
        <v>0</v>
      </c>
      <c r="X297" s="24">
        <f>+H294-X294</f>
        <v>0</v>
      </c>
    </row>
    <row r="298" spans="2:33" s="9" customFormat="1" ht="11.25" customHeight="1" x14ac:dyDescent="0.2">
      <c r="F298" s="246" t="s">
        <v>55</v>
      </c>
      <c r="G298" s="120" t="s">
        <v>56</v>
      </c>
      <c r="H298" s="121">
        <v>0.69599999999999995</v>
      </c>
      <c r="L298" s="72" t="s">
        <v>34</v>
      </c>
      <c r="M298" s="90">
        <f>+M294-H294</f>
        <v>0</v>
      </c>
      <c r="Q298" s="31"/>
      <c r="R298" s="65"/>
      <c r="S298" s="65"/>
      <c r="T298" s="65" t="s">
        <v>48</v>
      </c>
      <c r="U298" s="83">
        <f>SUM(Y71:Y291)</f>
        <v>0</v>
      </c>
      <c r="V298" s="65"/>
      <c r="W298" s="65"/>
      <c r="X298" s="65"/>
      <c r="Y298" s="65"/>
      <c r="Z298" s="65"/>
      <c r="AA298" s="65"/>
      <c r="AB298" s="65"/>
      <c r="AC298" s="65"/>
      <c r="AD298" s="65"/>
      <c r="AE298" s="65"/>
      <c r="AF298" s="65"/>
      <c r="AG298" s="65"/>
    </row>
    <row r="299" spans="2:33" s="9" customFormat="1" ht="11.25" customHeight="1" thickBot="1" x14ac:dyDescent="0.25">
      <c r="F299" s="247"/>
      <c r="G299" s="122" t="s">
        <v>57</v>
      </c>
      <c r="H299" s="123">
        <v>0.30399999999999999</v>
      </c>
      <c r="M299" s="9" t="s">
        <v>54</v>
      </c>
      <c r="R299" s="65"/>
      <c r="S299" s="65"/>
      <c r="T299" s="65" t="s">
        <v>49</v>
      </c>
      <c r="U299" s="83" t="str">
        <f>IF(U297=U298,"S","O")</f>
        <v>S</v>
      </c>
      <c r="V299" s="65"/>
      <c r="W299" s="65"/>
      <c r="X299" s="65"/>
      <c r="Y299" s="65"/>
      <c r="Z299" s="65"/>
      <c r="AA299" s="65"/>
      <c r="AB299" s="65"/>
      <c r="AC299" s="65"/>
      <c r="AD299" s="65"/>
      <c r="AE299" s="65"/>
      <c r="AF299" s="65"/>
      <c r="AG299" s="65"/>
    </row>
    <row r="300" spans="2:33" s="9" customFormat="1" ht="11.25" customHeight="1" thickBot="1" x14ac:dyDescent="0.25">
      <c r="F300" s="124"/>
      <c r="G300" s="31"/>
      <c r="H300" s="125"/>
      <c r="R300" s="65"/>
      <c r="S300" s="65"/>
      <c r="T300" s="65"/>
      <c r="U300" s="65"/>
      <c r="V300" s="65"/>
      <c r="W300" s="65"/>
      <c r="X300" s="65"/>
      <c r="Y300" s="65"/>
      <c r="Z300" s="65"/>
      <c r="AA300" s="65"/>
      <c r="AB300" s="65"/>
      <c r="AC300" s="65"/>
      <c r="AD300" s="65"/>
      <c r="AE300" s="65"/>
      <c r="AF300" s="65"/>
      <c r="AG300" s="65"/>
    </row>
    <row r="301" spans="2:33" s="9" customFormat="1" ht="11.25" customHeight="1" thickBot="1" x14ac:dyDescent="0.25">
      <c r="F301" s="246" t="s">
        <v>58</v>
      </c>
      <c r="G301" s="120" t="s">
        <v>56</v>
      </c>
      <c r="H301" s="121">
        <v>0.66100000000000003</v>
      </c>
      <c r="O301" s="24">
        <f>+ROUND(O87,-3)</f>
        <v>0</v>
      </c>
      <c r="P301" s="69">
        <f>IF($H$294=$O$304,O301,O301+O305)</f>
        <v>1778000</v>
      </c>
      <c r="R301" s="16"/>
      <c r="S301" s="16"/>
      <c r="T301" s="16"/>
      <c r="U301" s="16"/>
      <c r="V301" s="16"/>
      <c r="W301" s="16"/>
      <c r="X301" s="16"/>
      <c r="Y301" s="16"/>
      <c r="Z301" s="16"/>
      <c r="AA301" s="16"/>
      <c r="AB301" s="16"/>
      <c r="AC301" s="16"/>
      <c r="AD301" s="16"/>
      <c r="AE301" s="16"/>
      <c r="AF301" s="16"/>
      <c r="AG301" s="16"/>
    </row>
    <row r="302" spans="2:33" s="9" customFormat="1" ht="11.25" customHeight="1" thickBot="1" x14ac:dyDescent="0.25">
      <c r="F302" s="247"/>
      <c r="G302" s="122" t="s">
        <v>57</v>
      </c>
      <c r="H302" s="123">
        <v>0.33900000000000002</v>
      </c>
      <c r="O302" s="24">
        <f>IF(O107&gt;=0,ROUND(O107,-3),ROUNDUP(O107,-3))</f>
        <v>500000</v>
      </c>
      <c r="P302" s="50">
        <f>+O302</f>
        <v>500000</v>
      </c>
      <c r="R302" s="16"/>
      <c r="S302" s="16"/>
      <c r="T302" s="16"/>
      <c r="U302" s="16"/>
      <c r="V302" s="16"/>
      <c r="W302" s="16"/>
      <c r="X302" s="16"/>
      <c r="Y302" s="16"/>
      <c r="Z302" s="16"/>
      <c r="AA302" s="16"/>
      <c r="AB302" s="16"/>
      <c r="AC302" s="16"/>
      <c r="AD302" s="16"/>
      <c r="AE302" s="16"/>
      <c r="AF302" s="16"/>
      <c r="AG302" s="16"/>
    </row>
    <row r="303" spans="2:33" s="9" customFormat="1" ht="11.25" customHeight="1" thickBot="1" x14ac:dyDescent="0.25">
      <c r="F303" s="31"/>
      <c r="G303" s="16"/>
      <c r="H303" s="126"/>
      <c r="O303" s="24">
        <f>+ROUND(O147,-3)</f>
        <v>0</v>
      </c>
      <c r="P303" s="70">
        <f>+O303</f>
        <v>0</v>
      </c>
      <c r="R303" s="16"/>
      <c r="S303" s="16"/>
      <c r="T303" s="16"/>
      <c r="U303" s="16"/>
      <c r="V303" s="16"/>
      <c r="W303" s="16"/>
      <c r="X303" s="16"/>
      <c r="Y303" s="16"/>
      <c r="Z303" s="16"/>
      <c r="AA303" s="16"/>
      <c r="AB303" s="16"/>
      <c r="AC303" s="16"/>
      <c r="AD303" s="16"/>
      <c r="AE303" s="16"/>
      <c r="AF303" s="16"/>
      <c r="AG303" s="16"/>
    </row>
    <row r="304" spans="2:33" s="9" customFormat="1" ht="11.25" customHeight="1" thickBot="1" x14ac:dyDescent="0.25">
      <c r="F304" s="31"/>
      <c r="G304" s="16"/>
      <c r="H304" s="16"/>
      <c r="N304" s="65" t="s">
        <v>22</v>
      </c>
      <c r="O304" s="71">
        <f>SUM(O301:O303)</f>
        <v>500000</v>
      </c>
      <c r="P304" s="26">
        <f>SUM(P301:P303)</f>
        <v>2278000</v>
      </c>
      <c r="R304" s="16"/>
      <c r="S304" s="16"/>
      <c r="T304" s="16"/>
      <c r="U304" s="16"/>
      <c r="V304" s="16"/>
      <c r="W304" s="16"/>
      <c r="X304" s="16"/>
      <c r="Y304" s="16"/>
      <c r="Z304" s="16"/>
      <c r="AA304" s="16"/>
      <c r="AB304" s="16"/>
      <c r="AC304" s="16"/>
      <c r="AD304" s="16"/>
      <c r="AE304" s="16"/>
      <c r="AF304" s="16"/>
      <c r="AG304" s="16"/>
    </row>
    <row r="305" spans="6:33" s="9" customFormat="1" ht="11.25" customHeight="1" x14ac:dyDescent="0.2">
      <c r="F305" s="246" t="s">
        <v>59</v>
      </c>
      <c r="G305" s="120" t="s">
        <v>56</v>
      </c>
      <c r="H305" s="127">
        <f>INT(G291*H298)</f>
        <v>32368036</v>
      </c>
      <c r="N305" s="65" t="s">
        <v>33</v>
      </c>
      <c r="O305" s="24">
        <f>+H294-O304</f>
        <v>1778000</v>
      </c>
      <c r="R305" s="16"/>
      <c r="S305" s="16"/>
      <c r="T305" s="16"/>
      <c r="U305" s="16"/>
      <c r="V305" s="16"/>
      <c r="W305" s="16"/>
      <c r="X305" s="16"/>
      <c r="Y305" s="16"/>
      <c r="Z305" s="16"/>
      <c r="AA305" s="16"/>
      <c r="AB305" s="16"/>
      <c r="AC305" s="16"/>
      <c r="AD305" s="16"/>
      <c r="AE305" s="16"/>
      <c r="AF305" s="16"/>
      <c r="AG305" s="16"/>
    </row>
    <row r="306" spans="6:33" s="9" customFormat="1" ht="15" customHeight="1" thickBot="1" x14ac:dyDescent="0.25">
      <c r="F306" s="247"/>
      <c r="G306" s="122" t="s">
        <v>57</v>
      </c>
      <c r="H306" s="128">
        <f>G291-H305</f>
        <v>14137764</v>
      </c>
      <c r="R306" s="16"/>
      <c r="S306" s="16"/>
      <c r="T306" s="16"/>
      <c r="U306" s="16"/>
      <c r="V306" s="16"/>
      <c r="W306" s="16"/>
      <c r="X306" s="16"/>
      <c r="Y306" s="16"/>
      <c r="Z306" s="16"/>
      <c r="AA306" s="16"/>
      <c r="AB306" s="16"/>
      <c r="AC306" s="16"/>
      <c r="AD306" s="16"/>
      <c r="AE306" s="16"/>
      <c r="AF306" s="16"/>
      <c r="AG306" s="16"/>
    </row>
    <row r="307" spans="6:33" ht="15" customHeight="1" thickTop="1" thickBot="1" x14ac:dyDescent="0.25">
      <c r="F307" s="124"/>
      <c r="G307" s="31"/>
      <c r="H307" s="129"/>
      <c r="L307" s="34" t="s">
        <v>16</v>
      </c>
      <c r="M307" s="35"/>
      <c r="N307" s="36"/>
      <c r="O307" s="36"/>
      <c r="P307" s="37"/>
      <c r="R307" s="16"/>
      <c r="S307" s="16"/>
      <c r="T307" s="16"/>
      <c r="U307" s="16"/>
      <c r="V307" s="16"/>
      <c r="W307" s="16"/>
      <c r="X307" s="16"/>
      <c r="Y307" s="16"/>
      <c r="Z307" s="16"/>
      <c r="AA307" s="16"/>
      <c r="AB307" s="16"/>
      <c r="AC307" s="16"/>
      <c r="AD307" s="16"/>
      <c r="AE307" s="16"/>
      <c r="AF307" s="16"/>
      <c r="AG307" s="16"/>
    </row>
    <row r="308" spans="6:33" ht="15" customHeight="1" x14ac:dyDescent="0.2">
      <c r="F308" s="248" t="s">
        <v>60</v>
      </c>
      <c r="G308" s="120" t="s">
        <v>56</v>
      </c>
      <c r="H308" s="130">
        <f>INT(G291*H301)</f>
        <v>30740333</v>
      </c>
      <c r="L308" s="38" t="s">
        <v>147</v>
      </c>
      <c r="M308" s="39"/>
      <c r="N308" s="40"/>
      <c r="O308" s="40"/>
      <c r="P308" s="41"/>
      <c r="R308" s="16"/>
      <c r="S308" s="16"/>
      <c r="T308" s="16"/>
      <c r="U308" s="16"/>
      <c r="V308" s="16"/>
      <c r="W308" s="16"/>
      <c r="X308" s="16"/>
      <c r="Y308" s="16"/>
      <c r="Z308" s="16"/>
      <c r="AA308" s="16"/>
      <c r="AB308" s="16"/>
      <c r="AC308" s="16"/>
      <c r="AD308" s="16"/>
      <c r="AE308" s="16"/>
      <c r="AF308" s="16"/>
      <c r="AG308" s="16"/>
    </row>
    <row r="309" spans="6:33" ht="15" customHeight="1" thickBot="1" x14ac:dyDescent="0.25">
      <c r="F309" s="249"/>
      <c r="G309" s="122" t="s">
        <v>57</v>
      </c>
      <c r="H309" s="131">
        <f>G291-H308</f>
        <v>15765467</v>
      </c>
      <c r="L309" s="38" t="s">
        <v>1</v>
      </c>
      <c r="M309" s="39"/>
      <c r="N309" s="40"/>
      <c r="O309" s="40"/>
      <c r="P309" s="41"/>
    </row>
    <row r="310" spans="6:33" ht="15" customHeight="1" x14ac:dyDescent="0.2">
      <c r="F310" s="8"/>
      <c r="G310" s="8"/>
      <c r="H310" s="8"/>
      <c r="L310" s="38" t="s">
        <v>15</v>
      </c>
      <c r="M310" s="39"/>
      <c r="N310" s="40"/>
      <c r="O310" s="40"/>
      <c r="P310" s="41"/>
    </row>
    <row r="311" spans="6:33" ht="15" customHeight="1" x14ac:dyDescent="0.2">
      <c r="L311" s="42" t="s">
        <v>17</v>
      </c>
      <c r="M311" s="39"/>
      <c r="N311" s="40"/>
      <c r="O311" s="40"/>
      <c r="P311" s="41"/>
    </row>
    <row r="312" spans="6:33" ht="15" customHeight="1" x14ac:dyDescent="0.2">
      <c r="L312" s="42" t="s">
        <v>32</v>
      </c>
      <c r="M312" s="39"/>
      <c r="N312" s="40"/>
      <c r="O312" s="40"/>
      <c r="P312" s="41"/>
    </row>
    <row r="313" spans="6:33" ht="14.5" thickBot="1" x14ac:dyDescent="0.25">
      <c r="L313" s="43" t="s">
        <v>18</v>
      </c>
      <c r="M313" s="44"/>
      <c r="N313" s="45"/>
      <c r="O313" s="45"/>
      <c r="P313" s="46"/>
    </row>
    <row r="314" spans="6:33" ht="13.5" thickTop="1" x14ac:dyDescent="0.2"/>
  </sheetData>
  <mergeCells count="342">
    <mergeCell ref="I278:J278"/>
    <mergeCell ref="I279:J279"/>
    <mergeCell ref="I267:J267"/>
    <mergeCell ref="I268:J268"/>
    <mergeCell ref="I269:J269"/>
    <mergeCell ref="I271:J271"/>
    <mergeCell ref="I272:J272"/>
    <mergeCell ref="I273:J273"/>
    <mergeCell ref="I290:J290"/>
    <mergeCell ref="I280:J280"/>
    <mergeCell ref="I281:J281"/>
    <mergeCell ref="I282:J282"/>
    <mergeCell ref="I283:J283"/>
    <mergeCell ref="I284:J284"/>
    <mergeCell ref="I285:J285"/>
    <mergeCell ref="I286:J286"/>
    <mergeCell ref="I287:J287"/>
    <mergeCell ref="I288:J288"/>
    <mergeCell ref="I289:J289"/>
    <mergeCell ref="I274:J274"/>
    <mergeCell ref="I275:J275"/>
    <mergeCell ref="I276:J276"/>
    <mergeCell ref="I277:J277"/>
    <mergeCell ref="I258:J258"/>
    <mergeCell ref="I259:J259"/>
    <mergeCell ref="I260:J260"/>
    <mergeCell ref="I261:J261"/>
    <mergeCell ref="I262:J262"/>
    <mergeCell ref="I263:J263"/>
    <mergeCell ref="I264:J264"/>
    <mergeCell ref="I265:J265"/>
    <mergeCell ref="I266:J266"/>
    <mergeCell ref="I248:J248"/>
    <mergeCell ref="I249:J249"/>
    <mergeCell ref="I251:J251"/>
    <mergeCell ref="I252:J252"/>
    <mergeCell ref="I253:J253"/>
    <mergeCell ref="I254:J254"/>
    <mergeCell ref="I255:J255"/>
    <mergeCell ref="I256:J256"/>
    <mergeCell ref="I257:J257"/>
    <mergeCell ref="I239:J239"/>
    <mergeCell ref="I240:J240"/>
    <mergeCell ref="I241:J241"/>
    <mergeCell ref="I242:J242"/>
    <mergeCell ref="I243:J243"/>
    <mergeCell ref="I244:J244"/>
    <mergeCell ref="I245:J245"/>
    <mergeCell ref="I246:J246"/>
    <mergeCell ref="I247:J247"/>
    <mergeCell ref="I232:J232"/>
    <mergeCell ref="I233:J233"/>
    <mergeCell ref="I234:J234"/>
    <mergeCell ref="I235:J235"/>
    <mergeCell ref="I226:J226"/>
    <mergeCell ref="I227:J227"/>
    <mergeCell ref="I236:J236"/>
    <mergeCell ref="I237:J237"/>
    <mergeCell ref="I238:J238"/>
    <mergeCell ref="I228:J228"/>
    <mergeCell ref="I229:J229"/>
    <mergeCell ref="B60:C60"/>
    <mergeCell ref="D60:E60"/>
    <mergeCell ref="B62:C62"/>
    <mergeCell ref="D62:E62"/>
    <mergeCell ref="B61:C61"/>
    <mergeCell ref="D61:E61"/>
    <mergeCell ref="B46:C46"/>
    <mergeCell ref="D46:E46"/>
    <mergeCell ref="D47:E47"/>
    <mergeCell ref="B48:C48"/>
    <mergeCell ref="D48:E48"/>
    <mergeCell ref="B50:C50"/>
    <mergeCell ref="D55:E55"/>
    <mergeCell ref="B56:C56"/>
    <mergeCell ref="D56:E56"/>
    <mergeCell ref="B52:C52"/>
    <mergeCell ref="D52:E52"/>
    <mergeCell ref="D50:E50"/>
    <mergeCell ref="D51:E51"/>
    <mergeCell ref="B54:C54"/>
    <mergeCell ref="D54:E54"/>
    <mergeCell ref="I222:J222"/>
    <mergeCell ref="I223:J223"/>
    <mergeCell ref="I224:J224"/>
    <mergeCell ref="I225:J225"/>
    <mergeCell ref="I209:J209"/>
    <mergeCell ref="I211:J211"/>
    <mergeCell ref="I212:J212"/>
    <mergeCell ref="I213:J213"/>
    <mergeCell ref="I130:J130"/>
    <mergeCell ref="I150:J150"/>
    <mergeCell ref="I218:J218"/>
    <mergeCell ref="I219:J219"/>
    <mergeCell ref="I220:J220"/>
    <mergeCell ref="I221:J221"/>
    <mergeCell ref="I214:J214"/>
    <mergeCell ref="I215:J215"/>
    <mergeCell ref="I216:J216"/>
    <mergeCell ref="I217:J217"/>
    <mergeCell ref="I200:J200"/>
    <mergeCell ref="I201:J201"/>
    <mergeCell ref="I203:J203"/>
    <mergeCell ref="I204:J204"/>
    <mergeCell ref="I205:J205"/>
    <mergeCell ref="I206:J206"/>
    <mergeCell ref="I207:J207"/>
    <mergeCell ref="I208:J208"/>
    <mergeCell ref="I191:J191"/>
    <mergeCell ref="I192:J192"/>
    <mergeCell ref="I193:J193"/>
    <mergeCell ref="I194:J194"/>
    <mergeCell ref="I195:J195"/>
    <mergeCell ref="I196:J196"/>
    <mergeCell ref="I197:J197"/>
    <mergeCell ref="I198:J198"/>
    <mergeCell ref="I199:J199"/>
    <mergeCell ref="I167:J167"/>
    <mergeCell ref="I168:J168"/>
    <mergeCell ref="I157:J157"/>
    <mergeCell ref="I158:J158"/>
    <mergeCell ref="I159:J159"/>
    <mergeCell ref="I160:J160"/>
    <mergeCell ref="I161:J161"/>
    <mergeCell ref="I162:J162"/>
    <mergeCell ref="I202:J202"/>
    <mergeCell ref="B37:C37"/>
    <mergeCell ref="D37:E37"/>
    <mergeCell ref="D38:E38"/>
    <mergeCell ref="B39:C39"/>
    <mergeCell ref="D39:E39"/>
    <mergeCell ref="I163:J163"/>
    <mergeCell ref="I164:J164"/>
    <mergeCell ref="I165:J165"/>
    <mergeCell ref="I166:J166"/>
    <mergeCell ref="B51:C51"/>
    <mergeCell ref="B47:C47"/>
    <mergeCell ref="B43:C43"/>
    <mergeCell ref="B38:C38"/>
    <mergeCell ref="B45:C45"/>
    <mergeCell ref="I156:J156"/>
    <mergeCell ref="D63:E63"/>
    <mergeCell ref="B64:C64"/>
    <mergeCell ref="D64:E64"/>
    <mergeCell ref="B63:C63"/>
    <mergeCell ref="B58:C58"/>
    <mergeCell ref="D58:E58"/>
    <mergeCell ref="D59:E59"/>
    <mergeCell ref="B59:C59"/>
    <mergeCell ref="B55:C55"/>
    <mergeCell ref="I188:J188"/>
    <mergeCell ref="I189:J189"/>
    <mergeCell ref="I180:J180"/>
    <mergeCell ref="I181:J181"/>
    <mergeCell ref="I182:J182"/>
    <mergeCell ref="I183:J183"/>
    <mergeCell ref="I184:J184"/>
    <mergeCell ref="I185:J185"/>
    <mergeCell ref="I169:J169"/>
    <mergeCell ref="I73:J73"/>
    <mergeCell ref="I74:J74"/>
    <mergeCell ref="I134:J134"/>
    <mergeCell ref="I135:J135"/>
    <mergeCell ref="I144:J144"/>
    <mergeCell ref="I101:J101"/>
    <mergeCell ref="I102:J102"/>
    <mergeCell ref="I141:J141"/>
    <mergeCell ref="I131:J131"/>
    <mergeCell ref="I109:J109"/>
    <mergeCell ref="I133:J133"/>
    <mergeCell ref="I138:J138"/>
    <mergeCell ref="I142:J142"/>
    <mergeCell ref="I143:J143"/>
    <mergeCell ref="I137:J137"/>
    <mergeCell ref="I104:J104"/>
    <mergeCell ref="I82:J82"/>
    <mergeCell ref="I94:J94"/>
    <mergeCell ref="I95:J95"/>
    <mergeCell ref="I96:J96"/>
    <mergeCell ref="I97:J97"/>
    <mergeCell ref="I108:J108"/>
    <mergeCell ref="I107:J107"/>
    <mergeCell ref="B35:C35"/>
    <mergeCell ref="D35:E35"/>
    <mergeCell ref="B66:C66"/>
    <mergeCell ref="D66:E66"/>
    <mergeCell ref="I77:J77"/>
    <mergeCell ref="I78:J78"/>
    <mergeCell ref="I79:J79"/>
    <mergeCell ref="I80:J80"/>
    <mergeCell ref="D43:E43"/>
    <mergeCell ref="I72:J72"/>
    <mergeCell ref="I71:J71"/>
    <mergeCell ref="I69:J69"/>
    <mergeCell ref="D41:E41"/>
    <mergeCell ref="B41:C41"/>
    <mergeCell ref="B49:C49"/>
    <mergeCell ref="D49:E49"/>
    <mergeCell ref="B44:C44"/>
    <mergeCell ref="D44:E44"/>
    <mergeCell ref="B65:C65"/>
    <mergeCell ref="D65:E65"/>
    <mergeCell ref="B53:C53"/>
    <mergeCell ref="D53:E53"/>
    <mergeCell ref="B57:C57"/>
    <mergeCell ref="D57:E57"/>
    <mergeCell ref="B9:G9"/>
    <mergeCell ref="B19:C19"/>
    <mergeCell ref="D19:E19"/>
    <mergeCell ref="B21:C21"/>
    <mergeCell ref="D21:E21"/>
    <mergeCell ref="D11:G11"/>
    <mergeCell ref="B33:C33"/>
    <mergeCell ref="D27:E27"/>
    <mergeCell ref="D33:E33"/>
    <mergeCell ref="D31:E31"/>
    <mergeCell ref="D32:E32"/>
    <mergeCell ref="D26:E26"/>
    <mergeCell ref="B26:C26"/>
    <mergeCell ref="B22:C22"/>
    <mergeCell ref="B30:C30"/>
    <mergeCell ref="B27:C27"/>
    <mergeCell ref="I16:J16"/>
    <mergeCell ref="I100:J100"/>
    <mergeCell ref="I291:J291"/>
    <mergeCell ref="I231:J231"/>
    <mergeCell ref="I149:J149"/>
    <mergeCell ref="I148:J148"/>
    <mergeCell ref="I147:J147"/>
    <mergeCell ref="I146:J146"/>
    <mergeCell ref="I139:J139"/>
    <mergeCell ref="I136:J136"/>
    <mergeCell ref="I151:J151"/>
    <mergeCell ref="I174:J174"/>
    <mergeCell ref="I152:J152"/>
    <mergeCell ref="I153:J153"/>
    <mergeCell ref="I154:J154"/>
    <mergeCell ref="I155:J155"/>
    <mergeCell ref="I176:J176"/>
    <mergeCell ref="I177:J177"/>
    <mergeCell ref="I178:J178"/>
    <mergeCell ref="I250:J250"/>
    <mergeCell ref="I270:J270"/>
    <mergeCell ref="I230:J230"/>
    <mergeCell ref="I190:J190"/>
    <mergeCell ref="I171:J171"/>
    <mergeCell ref="F298:F299"/>
    <mergeCell ref="F301:F302"/>
    <mergeCell ref="F305:F306"/>
    <mergeCell ref="F308:F309"/>
    <mergeCell ref="B20:C20"/>
    <mergeCell ref="D20:E20"/>
    <mergeCell ref="B28:C28"/>
    <mergeCell ref="D22:E22"/>
    <mergeCell ref="B23:C23"/>
    <mergeCell ref="D23:E23"/>
    <mergeCell ref="B29:C29"/>
    <mergeCell ref="D29:E29"/>
    <mergeCell ref="D30:E30"/>
    <mergeCell ref="B31:C31"/>
    <mergeCell ref="B25:C25"/>
    <mergeCell ref="D25:E25"/>
    <mergeCell ref="B42:C42"/>
    <mergeCell ref="D42:E42"/>
    <mergeCell ref="B36:C36"/>
    <mergeCell ref="D36:E36"/>
    <mergeCell ref="B40:C40"/>
    <mergeCell ref="D34:E34"/>
    <mergeCell ref="B34:C34"/>
    <mergeCell ref="D45:E45"/>
    <mergeCell ref="B2:J2"/>
    <mergeCell ref="I110:J110"/>
    <mergeCell ref="I90:J90"/>
    <mergeCell ref="D24:E24"/>
    <mergeCell ref="B24:C24"/>
    <mergeCell ref="D28:E28"/>
    <mergeCell ref="B32:C32"/>
    <mergeCell ref="D40:E40"/>
    <mergeCell ref="C3:G3"/>
    <mergeCell ref="E4:F4"/>
    <mergeCell ref="E5:F5"/>
    <mergeCell ref="E7:F7"/>
    <mergeCell ref="E6:F6"/>
    <mergeCell ref="C5:D5"/>
    <mergeCell ref="C6:D6"/>
    <mergeCell ref="C7:D7"/>
    <mergeCell ref="I106:J106"/>
    <mergeCell ref="I105:J105"/>
    <mergeCell ref="I87:J87"/>
    <mergeCell ref="I86:J86"/>
    <mergeCell ref="I91:J91"/>
    <mergeCell ref="I92:J92"/>
    <mergeCell ref="I93:J93"/>
    <mergeCell ref="I98:J98"/>
    <mergeCell ref="H3:J3"/>
    <mergeCell ref="H4:J7"/>
    <mergeCell ref="I127:J127"/>
    <mergeCell ref="I128:J128"/>
    <mergeCell ref="I129:J129"/>
    <mergeCell ref="I123:J123"/>
    <mergeCell ref="I124:J124"/>
    <mergeCell ref="I118:J118"/>
    <mergeCell ref="I125:J125"/>
    <mergeCell ref="I126:J126"/>
    <mergeCell ref="I119:J119"/>
    <mergeCell ref="I120:J120"/>
    <mergeCell ref="I121:J121"/>
    <mergeCell ref="I122:J122"/>
    <mergeCell ref="I113:J113"/>
    <mergeCell ref="I114:J114"/>
    <mergeCell ref="I10:J10"/>
    <mergeCell ref="I15:J15"/>
    <mergeCell ref="I14:J14"/>
    <mergeCell ref="I13:J13"/>
    <mergeCell ref="I12:J12"/>
    <mergeCell ref="I76:J76"/>
    <mergeCell ref="I11:J11"/>
    <mergeCell ref="I75:J75"/>
    <mergeCell ref="I210:J210"/>
    <mergeCell ref="I115:J115"/>
    <mergeCell ref="I116:J116"/>
    <mergeCell ref="I117:J117"/>
    <mergeCell ref="I111:J111"/>
    <mergeCell ref="I112:J112"/>
    <mergeCell ref="I99:J99"/>
    <mergeCell ref="I103:J103"/>
    <mergeCell ref="I81:J81"/>
    <mergeCell ref="I83:J83"/>
    <mergeCell ref="I89:J89"/>
    <mergeCell ref="I88:J88"/>
    <mergeCell ref="I85:J85"/>
    <mergeCell ref="I145:J145"/>
    <mergeCell ref="I132:J132"/>
    <mergeCell ref="I140:J140"/>
    <mergeCell ref="I173:J173"/>
    <mergeCell ref="I175:J175"/>
    <mergeCell ref="I170:J170"/>
    <mergeCell ref="I172:J172"/>
    <mergeCell ref="I84:J84"/>
    <mergeCell ref="I179:J179"/>
    <mergeCell ref="I186:J186"/>
    <mergeCell ref="I187:J187"/>
  </mergeCells>
  <phoneticPr fontId="3"/>
  <conditionalFormatting sqref="H292">
    <cfRule type="cellIs" dxfId="10" priority="8" stopIfTrue="1" operator="equal">
      <formula>"NG"</formula>
    </cfRule>
  </conditionalFormatting>
  <conditionalFormatting sqref="M292">
    <cfRule type="cellIs" dxfId="9" priority="9" stopIfTrue="1" operator="equal">
      <formula>1</formula>
    </cfRule>
  </conditionalFormatting>
  <conditionalFormatting sqref="H112:H126 H92:H106 H72:H86 H132:H146">
    <cfRule type="cellIs" dxfId="8" priority="10" stopIfTrue="1" operator="equal">
      <formula>"自力で再計算"</formula>
    </cfRule>
  </conditionalFormatting>
  <conditionalFormatting sqref="F16:F17">
    <cfRule type="cellIs" dxfId="7" priority="11" stopIfTrue="1" operator="equal">
      <formula>"NG"</formula>
    </cfRule>
  </conditionalFormatting>
  <conditionalFormatting sqref="H172:H186">
    <cfRule type="cellIs" dxfId="6" priority="7" stopIfTrue="1" operator="equal">
      <formula>"自力で再計算"</formula>
    </cfRule>
  </conditionalFormatting>
  <conditionalFormatting sqref="H152:H166">
    <cfRule type="cellIs" dxfId="5" priority="6" stopIfTrue="1" operator="equal">
      <formula>"自力で再計算"</formula>
    </cfRule>
  </conditionalFormatting>
  <conditionalFormatting sqref="H192:H206">
    <cfRule type="cellIs" dxfId="4" priority="5" stopIfTrue="1" operator="equal">
      <formula>"自力で再計算"</formula>
    </cfRule>
  </conditionalFormatting>
  <conditionalFormatting sqref="H212:H226">
    <cfRule type="cellIs" dxfId="3" priority="4" stopIfTrue="1" operator="equal">
      <formula>"自力で再計算"</formula>
    </cfRule>
  </conditionalFormatting>
  <conditionalFormatting sqref="H232:H246">
    <cfRule type="cellIs" dxfId="2" priority="3" stopIfTrue="1" operator="equal">
      <formula>"自力で再計算"</formula>
    </cfRule>
  </conditionalFormatting>
  <conditionalFormatting sqref="H252:H266">
    <cfRule type="cellIs" dxfId="1" priority="2" stopIfTrue="1" operator="equal">
      <formula>"自力で再計算"</formula>
    </cfRule>
  </conditionalFormatting>
  <conditionalFormatting sqref="H272:H286">
    <cfRule type="cellIs" dxfId="0" priority="1" stopIfTrue="1" operator="equal">
      <formula>"自力で再計算"</formula>
    </cfRule>
  </conditionalFormatting>
  <dataValidations count="2">
    <dataValidation type="list" allowBlank="1" showInputMessage="1" showErrorMessage="1" sqref="J9" xr:uid="{00000000-0002-0000-0000-000000000000}">
      <formula1>"ﾟ,ﾟﾟ,ﾟﾟﾟ,ﾟﾟﾟﾟ,ﾟﾟﾟﾟﾟ,ﾟﾟﾟﾟﾟﾟ"</formula1>
    </dataValidation>
    <dataValidation type="list" allowBlank="1" showInputMessage="1" showErrorMessage="1" sqref="D4" xr:uid="{00000000-0002-0000-0000-000001000000}">
      <formula1>"ﾟ,ﾟﾟ,ﾟﾟﾟ,ﾟﾟﾟﾟ,ﾟﾟﾟﾟﾟ,ﾟﾟﾟﾟﾟﾟ,ﾟﾟﾟﾟﾟﾟﾟ,ﾟﾟﾟﾟﾟﾟﾟﾟ,ﾟﾟﾟﾟﾟﾟﾟﾟﾟ,ﾟﾟﾟﾟﾟﾟﾟﾟﾟﾟ"</formula1>
    </dataValidation>
  </dataValidations>
  <printOptions horizontalCentered="1" verticalCentered="1"/>
  <pageMargins left="0.15748031496062992" right="0.15748031496062992" top="0.31496062992125984" bottom="0.19685039370078741" header="0.27559055118110237" footer="0.15748031496062992"/>
  <pageSetup paperSize="9" scale="68"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64" r:id="rId4" name="Button 992">
              <controlPr defaultSize="0" print="0" autoFill="0" autoPict="0" macro="[0]!工事用から業務委託用に変換">
                <anchor moveWithCells="1" sizeWithCells="1">
                  <from>
                    <xdr:col>11</xdr:col>
                    <xdr:colOff>31750</xdr:colOff>
                    <xdr:row>1</xdr:row>
                    <xdr:rowOff>12700</xdr:rowOff>
                  </from>
                  <to>
                    <xdr:col>12</xdr:col>
                    <xdr:colOff>247650</xdr:colOff>
                    <xdr:row>3</xdr:row>
                    <xdr:rowOff>146050</xdr:rowOff>
                  </to>
                </anchor>
              </controlPr>
            </control>
          </mc:Choice>
        </mc:AlternateContent>
        <mc:AlternateContent xmlns:mc="http://schemas.openxmlformats.org/markup-compatibility/2006">
          <mc:Choice Requires="x14">
            <control shapeId="4065" r:id="rId5" name="Button 993">
              <controlPr defaultSize="0" print="0" autoFill="0" autoPict="0" macro="[0]!工事用から設計委託用に変換">
                <anchor moveWithCells="1" sizeWithCells="1">
                  <from>
                    <xdr:col>11</xdr:col>
                    <xdr:colOff>38100</xdr:colOff>
                    <xdr:row>4</xdr:row>
                    <xdr:rowOff>95250</xdr:rowOff>
                  </from>
                  <to>
                    <xdr:col>12</xdr:col>
                    <xdr:colOff>266700</xdr:colOff>
                    <xdr:row>7</xdr:row>
                    <xdr:rowOff>57150</xdr:rowOff>
                  </to>
                </anchor>
              </controlPr>
            </control>
          </mc:Choice>
        </mc:AlternateContent>
        <mc:AlternateContent xmlns:mc="http://schemas.openxmlformats.org/markup-compatibility/2006">
          <mc:Choice Requires="x14">
            <control shapeId="4066" r:id="rId6" name="Button 994">
              <controlPr defaultSize="0" print="0" autoFill="0" autoPict="0" macro="[0]!工事用に戻す">
                <anchor moveWithCells="1" sizeWithCells="1">
                  <from>
                    <xdr:col>11</xdr:col>
                    <xdr:colOff>38100</xdr:colOff>
                    <xdr:row>8</xdr:row>
                    <xdr:rowOff>0</xdr:rowOff>
                  </from>
                  <to>
                    <xdr:col>12</xdr:col>
                    <xdr:colOff>228600</xdr:colOff>
                    <xdr:row>11</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46"/>
  <sheetViews>
    <sheetView view="pageBreakPreview" zoomScale="115" zoomScaleNormal="70" zoomScaleSheetLayoutView="115" workbookViewId="0"/>
  </sheetViews>
  <sheetFormatPr defaultColWidth="9" defaultRowHeight="12.5" x14ac:dyDescent="0.2"/>
  <cols>
    <col min="1" max="9" width="9" style="132"/>
    <col min="10" max="10" width="17.36328125" style="132" customWidth="1"/>
    <col min="11" max="16384" width="9" style="132"/>
  </cols>
  <sheetData>
    <row r="1" spans="1:11" ht="12.75" customHeight="1" x14ac:dyDescent="0.2">
      <c r="F1" s="284" t="s">
        <v>61</v>
      </c>
      <c r="G1" s="284"/>
      <c r="H1" s="287" t="str">
        <f>科目複数!D11</f>
        <v>地下空間の大規模改革に伴う基本設計その他業務委託（4号線谷町四丁目外5駅の部）</v>
      </c>
      <c r="I1" s="288"/>
      <c r="J1" s="289"/>
      <c r="K1" s="133"/>
    </row>
    <row r="2" spans="1:11" ht="12.75" customHeight="1" x14ac:dyDescent="0.2">
      <c r="F2" s="285"/>
      <c r="G2" s="285"/>
      <c r="H2" s="290"/>
      <c r="I2" s="291"/>
      <c r="J2" s="292"/>
      <c r="K2" s="133"/>
    </row>
    <row r="3" spans="1:11" x14ac:dyDescent="0.2">
      <c r="F3" s="286"/>
      <c r="G3" s="286"/>
      <c r="H3" s="293"/>
      <c r="I3" s="294"/>
      <c r="J3" s="295"/>
      <c r="K3" s="133"/>
    </row>
    <row r="4" spans="1:11" x14ac:dyDescent="0.2">
      <c r="F4" s="134"/>
      <c r="G4" s="134"/>
      <c r="H4" s="135"/>
      <c r="I4" s="135"/>
      <c r="J4" s="135"/>
      <c r="K4" s="133"/>
    </row>
    <row r="6" spans="1:11" x14ac:dyDescent="0.2">
      <c r="A6" s="136" t="s">
        <v>62</v>
      </c>
    </row>
    <row r="7" spans="1:11" x14ac:dyDescent="0.2">
      <c r="A7" s="136"/>
    </row>
    <row r="9" spans="1:11" s="137" customFormat="1" ht="20.25" customHeight="1" x14ac:dyDescent="0.2">
      <c r="A9" s="280" t="s">
        <v>63</v>
      </c>
      <c r="B9" s="280"/>
      <c r="C9" s="280"/>
      <c r="D9" s="280"/>
      <c r="E9" s="280"/>
      <c r="F9" s="280"/>
      <c r="G9" s="280"/>
      <c r="H9" s="280"/>
      <c r="I9" s="280"/>
      <c r="J9" s="280"/>
    </row>
    <row r="10" spans="1:11" s="137" customFormat="1" ht="20.25" customHeight="1" x14ac:dyDescent="0.2">
      <c r="A10" s="296" t="s">
        <v>64</v>
      </c>
      <c r="B10" s="296"/>
      <c r="C10" s="296"/>
      <c r="D10" s="296"/>
      <c r="E10" s="296"/>
      <c r="F10" s="296"/>
      <c r="G10" s="296"/>
      <c r="H10" s="296"/>
      <c r="I10" s="296"/>
      <c r="J10" s="296"/>
    </row>
    <row r="11" spans="1:11" s="137" customFormat="1" ht="20.25" customHeight="1" x14ac:dyDescent="0.2">
      <c r="A11" s="280" t="s">
        <v>65</v>
      </c>
      <c r="B11" s="280"/>
      <c r="C11" s="280"/>
      <c r="D11" s="280"/>
      <c r="E11" s="280"/>
      <c r="F11" s="280"/>
      <c r="G11" s="280"/>
      <c r="H11" s="280"/>
      <c r="I11" s="280"/>
      <c r="J11" s="280"/>
    </row>
    <row r="12" spans="1:11" s="137" customFormat="1" ht="20.25" customHeight="1" x14ac:dyDescent="0.2">
      <c r="A12" s="280" t="s">
        <v>66</v>
      </c>
      <c r="B12" s="280"/>
      <c r="C12" s="280"/>
      <c r="D12" s="280"/>
      <c r="E12" s="280"/>
      <c r="F12" s="280"/>
      <c r="G12" s="280"/>
      <c r="H12" s="280"/>
      <c r="I12" s="280"/>
      <c r="J12" s="280"/>
    </row>
    <row r="13" spans="1:11" s="137" customFormat="1" ht="20.25" customHeight="1" x14ac:dyDescent="0.2">
      <c r="A13" s="138"/>
      <c r="B13" s="281" t="s">
        <v>125</v>
      </c>
      <c r="C13" s="281"/>
      <c r="D13" s="281"/>
      <c r="E13" s="138"/>
      <c r="F13" s="282" t="e">
        <f>'特約条項金額算出シート (2)'!D19:E19</f>
        <v>#VALUE!</v>
      </c>
      <c r="G13" s="283"/>
      <c r="H13" s="138" t="s">
        <v>67</v>
      </c>
      <c r="I13" s="138"/>
      <c r="J13" s="138"/>
    </row>
    <row r="14" spans="1:11" s="137" customFormat="1" ht="20.25" customHeight="1" x14ac:dyDescent="0.2">
      <c r="A14" s="138"/>
      <c r="B14" s="281" t="s">
        <v>128</v>
      </c>
      <c r="C14" s="281"/>
      <c r="D14" s="281"/>
      <c r="E14" s="138"/>
      <c r="F14" s="282" t="e">
        <f>'特約条項金額算出シート (2)'!D20:E20</f>
        <v>#VALUE!</v>
      </c>
      <c r="G14" s="283"/>
      <c r="H14" s="138" t="s">
        <v>67</v>
      </c>
      <c r="I14" s="138"/>
      <c r="J14" s="138"/>
    </row>
    <row r="15" spans="1:11" s="137" customFormat="1" ht="20.25" customHeight="1" x14ac:dyDescent="0.2">
      <c r="A15" s="280" t="s">
        <v>68</v>
      </c>
      <c r="B15" s="280"/>
      <c r="C15" s="280"/>
      <c r="D15" s="280"/>
      <c r="E15" s="280"/>
      <c r="F15" s="280"/>
      <c r="G15" s="280"/>
      <c r="H15" s="280"/>
      <c r="I15" s="280"/>
      <c r="J15" s="280"/>
    </row>
    <row r="16" spans="1:11" s="137" customFormat="1" ht="20.25" customHeight="1" x14ac:dyDescent="0.2">
      <c r="A16" s="138"/>
      <c r="B16" s="281" t="s">
        <v>125</v>
      </c>
      <c r="C16" s="281"/>
      <c r="D16" s="281"/>
      <c r="E16" s="138"/>
      <c r="F16" s="282" t="e">
        <f>'特約条項金額算出シート (2)'!D21:E21</f>
        <v>#VALUE!</v>
      </c>
      <c r="G16" s="283"/>
      <c r="H16" s="138" t="s">
        <v>67</v>
      </c>
      <c r="I16" s="138"/>
      <c r="J16" s="138"/>
    </row>
    <row r="17" spans="1:10" s="137" customFormat="1" ht="20.25" customHeight="1" x14ac:dyDescent="0.2">
      <c r="A17" s="138"/>
      <c r="B17" s="281" t="s">
        <v>128</v>
      </c>
      <c r="C17" s="281"/>
      <c r="D17" s="281"/>
      <c r="E17" s="138"/>
      <c r="F17" s="282" t="e">
        <f>'特約条項金額算出シート (2)'!D22:E22</f>
        <v>#VALUE!</v>
      </c>
      <c r="G17" s="283"/>
      <c r="H17" s="138" t="s">
        <v>67</v>
      </c>
      <c r="I17" s="138"/>
      <c r="J17" s="138"/>
    </row>
    <row r="18" spans="1:10" s="137" customFormat="1" ht="20.25" customHeight="1" x14ac:dyDescent="0.2">
      <c r="A18" s="280" t="s">
        <v>69</v>
      </c>
      <c r="B18" s="280"/>
      <c r="C18" s="280"/>
      <c r="D18" s="280"/>
      <c r="E18" s="280"/>
      <c r="F18" s="280"/>
      <c r="G18" s="280"/>
      <c r="H18" s="280"/>
      <c r="I18" s="280"/>
      <c r="J18" s="280"/>
    </row>
    <row r="19" spans="1:10" s="137" customFormat="1" ht="20.25" customHeight="1" x14ac:dyDescent="0.2">
      <c r="A19" s="280" t="s">
        <v>70</v>
      </c>
      <c r="B19" s="280"/>
      <c r="C19" s="280"/>
      <c r="D19" s="280"/>
      <c r="E19" s="280"/>
      <c r="F19" s="280"/>
      <c r="G19" s="280"/>
      <c r="H19" s="280"/>
      <c r="I19" s="280"/>
      <c r="J19" s="280"/>
    </row>
    <row r="20" spans="1:10" s="137" customFormat="1" ht="20.25" customHeight="1" x14ac:dyDescent="0.2">
      <c r="A20" s="280"/>
      <c r="B20" s="280"/>
      <c r="C20" s="280"/>
      <c r="D20" s="280"/>
      <c r="E20" s="280"/>
      <c r="F20" s="280"/>
      <c r="G20" s="280"/>
      <c r="H20" s="280"/>
      <c r="I20" s="280"/>
      <c r="J20" s="280"/>
    </row>
    <row r="21" spans="1:10" s="137" customFormat="1" ht="20.25" customHeight="1" x14ac:dyDescent="0.2">
      <c r="A21" s="280" t="s">
        <v>71</v>
      </c>
      <c r="B21" s="280"/>
      <c r="C21" s="280"/>
      <c r="D21" s="280"/>
      <c r="E21" s="280"/>
      <c r="F21" s="280"/>
      <c r="G21" s="280"/>
      <c r="H21" s="280"/>
      <c r="I21" s="280"/>
      <c r="J21" s="280"/>
    </row>
    <row r="22" spans="1:10" s="137" customFormat="1" ht="20.25" customHeight="1" x14ac:dyDescent="0.2">
      <c r="A22" s="280" t="s">
        <v>72</v>
      </c>
      <c r="B22" s="280"/>
      <c r="C22" s="280"/>
      <c r="D22" s="280"/>
      <c r="E22" s="280"/>
      <c r="F22" s="280"/>
      <c r="G22" s="280"/>
      <c r="H22" s="280"/>
      <c r="I22" s="280"/>
      <c r="J22" s="280"/>
    </row>
    <row r="23" spans="1:10" s="137" customFormat="1" ht="20.25" customHeight="1" x14ac:dyDescent="0.2">
      <c r="A23" s="280" t="s">
        <v>73</v>
      </c>
      <c r="B23" s="280"/>
      <c r="C23" s="280"/>
      <c r="D23" s="280"/>
      <c r="E23" s="280"/>
      <c r="F23" s="280"/>
      <c r="G23" s="280"/>
      <c r="H23" s="280"/>
      <c r="I23" s="280"/>
      <c r="J23" s="280"/>
    </row>
    <row r="24" spans="1:10" s="137" customFormat="1" ht="20.25" customHeight="1" x14ac:dyDescent="0.2">
      <c r="A24" s="280" t="s">
        <v>74</v>
      </c>
      <c r="B24" s="280"/>
      <c r="C24" s="280"/>
      <c r="D24" s="280"/>
      <c r="E24" s="280"/>
      <c r="F24" s="280"/>
      <c r="G24" s="280"/>
      <c r="H24" s="280"/>
      <c r="I24" s="280"/>
      <c r="J24" s="280"/>
    </row>
    <row r="25" spans="1:10" s="137" customFormat="1" ht="20.25" customHeight="1" x14ac:dyDescent="0.2">
      <c r="A25" s="280" t="s">
        <v>75</v>
      </c>
      <c r="B25" s="280"/>
      <c r="C25" s="280"/>
      <c r="D25" s="280"/>
      <c r="E25" s="280"/>
      <c r="F25" s="280"/>
      <c r="G25" s="280"/>
      <c r="H25" s="280"/>
      <c r="I25" s="280"/>
      <c r="J25" s="280"/>
    </row>
    <row r="26" spans="1:10" s="137" customFormat="1" ht="20.25" customHeight="1" x14ac:dyDescent="0.2">
      <c r="A26" s="280" t="s">
        <v>76</v>
      </c>
      <c r="B26" s="280"/>
      <c r="C26" s="280"/>
      <c r="D26" s="280"/>
      <c r="E26" s="280"/>
      <c r="F26" s="280"/>
      <c r="G26" s="280"/>
      <c r="H26" s="280"/>
      <c r="I26" s="280"/>
      <c r="J26" s="280"/>
    </row>
    <row r="27" spans="1:10" s="137" customFormat="1" ht="20.25" customHeight="1" x14ac:dyDescent="0.2">
      <c r="A27" s="280" t="s">
        <v>77</v>
      </c>
      <c r="B27" s="280"/>
      <c r="C27" s="280"/>
      <c r="D27" s="280"/>
      <c r="E27" s="280"/>
      <c r="F27" s="280"/>
      <c r="G27" s="280"/>
      <c r="H27" s="280"/>
      <c r="I27" s="280"/>
      <c r="J27" s="280"/>
    </row>
    <row r="28" spans="1:10" s="137" customFormat="1" ht="20.25" customHeight="1" x14ac:dyDescent="0.2">
      <c r="A28" s="280" t="s">
        <v>78</v>
      </c>
      <c r="B28" s="280"/>
      <c r="C28" s="280"/>
      <c r="D28" s="280"/>
      <c r="E28" s="280"/>
      <c r="F28" s="280"/>
      <c r="G28" s="280"/>
      <c r="H28" s="280"/>
      <c r="I28" s="280"/>
      <c r="J28" s="280"/>
    </row>
    <row r="29" spans="1:10" s="137" customFormat="1" ht="20.25" customHeight="1" x14ac:dyDescent="0.2">
      <c r="A29" s="280" t="s">
        <v>79</v>
      </c>
      <c r="B29" s="280"/>
      <c r="C29" s="280"/>
      <c r="D29" s="280"/>
      <c r="E29" s="280"/>
      <c r="F29" s="280"/>
      <c r="G29" s="280"/>
      <c r="H29" s="280"/>
      <c r="I29" s="280"/>
      <c r="J29" s="280"/>
    </row>
    <row r="30" spans="1:10" s="137" customFormat="1" ht="20.25" customHeight="1" x14ac:dyDescent="0.2">
      <c r="A30" s="280" t="s">
        <v>80</v>
      </c>
      <c r="B30" s="280"/>
      <c r="C30" s="280"/>
      <c r="D30" s="280"/>
      <c r="E30" s="280"/>
      <c r="F30" s="280"/>
      <c r="G30" s="280"/>
      <c r="H30" s="280"/>
      <c r="I30" s="280"/>
      <c r="J30" s="280"/>
    </row>
    <row r="31" spans="1:10" s="137" customFormat="1" ht="20.25" customHeight="1" x14ac:dyDescent="0.2">
      <c r="A31" s="280" t="s">
        <v>81</v>
      </c>
      <c r="B31" s="280"/>
      <c r="C31" s="280"/>
      <c r="D31" s="280"/>
      <c r="E31" s="280"/>
      <c r="F31" s="280"/>
      <c r="G31" s="280"/>
      <c r="H31" s="280"/>
      <c r="I31" s="280"/>
      <c r="J31" s="280"/>
    </row>
    <row r="32" spans="1:10" s="137" customFormat="1" ht="20.25" customHeight="1" x14ac:dyDescent="0.2">
      <c r="A32" s="280" t="s">
        <v>82</v>
      </c>
      <c r="B32" s="280"/>
      <c r="C32" s="280"/>
      <c r="D32" s="280"/>
      <c r="E32" s="280"/>
      <c r="F32" s="280"/>
      <c r="G32" s="280"/>
      <c r="H32" s="280"/>
      <c r="I32" s="280"/>
      <c r="J32" s="280"/>
    </row>
    <row r="33" spans="1:10" s="137" customFormat="1" ht="20.25" customHeight="1" x14ac:dyDescent="0.2">
      <c r="A33" s="280" t="s">
        <v>83</v>
      </c>
      <c r="B33" s="280"/>
      <c r="C33" s="280"/>
      <c r="D33" s="280"/>
      <c r="E33" s="280"/>
      <c r="F33" s="280"/>
      <c r="G33" s="280"/>
      <c r="H33" s="280"/>
      <c r="I33" s="280"/>
      <c r="J33" s="280"/>
    </row>
    <row r="34" spans="1:10" s="137" customFormat="1" ht="20.25" customHeight="1" x14ac:dyDescent="0.2">
      <c r="A34" s="280" t="s">
        <v>84</v>
      </c>
      <c r="B34" s="280"/>
      <c r="C34" s="280"/>
      <c r="D34" s="280"/>
      <c r="E34" s="280"/>
      <c r="F34" s="280"/>
      <c r="G34" s="280"/>
      <c r="H34" s="280"/>
      <c r="I34" s="280"/>
      <c r="J34" s="280"/>
    </row>
    <row r="35" spans="1:10" s="137" customFormat="1" ht="20.25" customHeight="1" x14ac:dyDescent="0.2">
      <c r="A35" s="280" t="s">
        <v>85</v>
      </c>
      <c r="B35" s="280"/>
      <c r="C35" s="280"/>
      <c r="D35" s="280"/>
      <c r="E35" s="280"/>
      <c r="F35" s="280"/>
      <c r="G35" s="280"/>
      <c r="H35" s="280"/>
      <c r="I35" s="280"/>
      <c r="J35" s="280"/>
    </row>
    <row r="36" spans="1:10" s="137" customFormat="1" ht="20.25" customHeight="1" x14ac:dyDescent="0.2">
      <c r="A36" s="280" t="s">
        <v>86</v>
      </c>
      <c r="B36" s="280"/>
      <c r="C36" s="280"/>
      <c r="D36" s="280"/>
      <c r="E36" s="280"/>
      <c r="F36" s="280"/>
      <c r="G36" s="280"/>
      <c r="H36" s="280"/>
      <c r="I36" s="280"/>
      <c r="J36" s="280"/>
    </row>
    <row r="37" spans="1:10" s="137" customFormat="1" ht="20.25" customHeight="1" x14ac:dyDescent="0.2">
      <c r="A37" s="280"/>
      <c r="B37" s="280"/>
      <c r="C37" s="280"/>
      <c r="D37" s="280"/>
      <c r="E37" s="280"/>
      <c r="F37" s="280"/>
      <c r="G37" s="280"/>
      <c r="H37" s="280"/>
      <c r="I37" s="280"/>
      <c r="J37" s="280"/>
    </row>
    <row r="38" spans="1:10" s="137" customFormat="1" ht="20.25" customHeight="1" x14ac:dyDescent="0.2">
      <c r="A38" s="280" t="s">
        <v>87</v>
      </c>
      <c r="B38" s="280"/>
      <c r="C38" s="280"/>
      <c r="D38" s="280"/>
      <c r="E38" s="280"/>
      <c r="F38" s="280"/>
      <c r="G38" s="280"/>
      <c r="H38" s="280"/>
      <c r="I38" s="280"/>
      <c r="J38" s="280"/>
    </row>
    <row r="39" spans="1:10" s="137" customFormat="1" ht="20.25" customHeight="1" x14ac:dyDescent="0.2">
      <c r="A39" s="280" t="s">
        <v>88</v>
      </c>
      <c r="B39" s="280"/>
      <c r="C39" s="280"/>
      <c r="D39" s="280"/>
      <c r="E39" s="280"/>
      <c r="F39" s="280"/>
      <c r="G39" s="280"/>
      <c r="H39" s="280"/>
      <c r="I39" s="280"/>
      <c r="J39" s="280"/>
    </row>
    <row r="40" spans="1:10" s="137" customFormat="1" ht="20.25" customHeight="1" x14ac:dyDescent="0.2">
      <c r="A40" s="280" t="s">
        <v>89</v>
      </c>
      <c r="B40" s="280"/>
      <c r="C40" s="280"/>
      <c r="D40" s="280"/>
      <c r="E40" s="280"/>
      <c r="F40" s="280"/>
      <c r="G40" s="280"/>
      <c r="H40" s="280"/>
      <c r="I40" s="280"/>
      <c r="J40" s="280"/>
    </row>
    <row r="41" spans="1:10" s="137" customFormat="1" ht="20.25" customHeight="1" x14ac:dyDescent="0.2">
      <c r="A41" s="280" t="s">
        <v>90</v>
      </c>
      <c r="B41" s="280"/>
      <c r="C41" s="280"/>
      <c r="D41" s="280"/>
      <c r="E41" s="280"/>
      <c r="F41" s="280"/>
      <c r="G41" s="280"/>
      <c r="H41" s="280"/>
      <c r="I41" s="280"/>
      <c r="J41" s="280"/>
    </row>
    <row r="42" spans="1:10" s="137" customFormat="1" ht="20.25" customHeight="1" x14ac:dyDescent="0.2">
      <c r="A42" s="280" t="s">
        <v>91</v>
      </c>
      <c r="B42" s="280"/>
      <c r="C42" s="280"/>
      <c r="D42" s="280"/>
      <c r="E42" s="280"/>
      <c r="F42" s="280"/>
      <c r="G42" s="280"/>
      <c r="H42" s="280"/>
      <c r="I42" s="280"/>
      <c r="J42" s="280"/>
    </row>
    <row r="43" spans="1:10" s="137" customFormat="1" ht="20.25" customHeight="1" x14ac:dyDescent="0.2">
      <c r="A43" s="280" t="s">
        <v>92</v>
      </c>
      <c r="B43" s="280"/>
      <c r="C43" s="280"/>
      <c r="D43" s="280"/>
      <c r="E43" s="280"/>
      <c r="F43" s="280"/>
      <c r="G43" s="280"/>
      <c r="H43" s="280"/>
      <c r="I43" s="280"/>
      <c r="J43" s="280"/>
    </row>
    <row r="44" spans="1:10" s="139" customFormat="1" ht="20.25" customHeight="1" x14ac:dyDescent="0.2">
      <c r="A44" s="279" t="s">
        <v>93</v>
      </c>
      <c r="B44" s="279"/>
      <c r="C44" s="279"/>
      <c r="D44" s="279"/>
      <c r="E44" s="279"/>
      <c r="F44" s="279"/>
      <c r="G44" s="279"/>
      <c r="H44" s="279"/>
      <c r="I44" s="279"/>
      <c r="J44" s="279"/>
    </row>
    <row r="45" spans="1:10" s="139" customFormat="1" ht="20.25" customHeight="1" x14ac:dyDescent="0.2">
      <c r="A45" s="279" t="s">
        <v>94</v>
      </c>
      <c r="B45" s="279"/>
      <c r="C45" s="279"/>
      <c r="D45" s="279"/>
      <c r="E45" s="279"/>
      <c r="F45" s="279"/>
      <c r="G45" s="279"/>
      <c r="H45" s="279"/>
      <c r="I45" s="279"/>
      <c r="J45" s="279"/>
    </row>
    <row r="46" spans="1:10" s="139" customFormat="1" ht="20.25" customHeight="1" x14ac:dyDescent="0.2">
      <c r="A46" s="279" t="s">
        <v>95</v>
      </c>
      <c r="B46" s="279"/>
      <c r="C46" s="279"/>
      <c r="D46" s="279"/>
      <c r="E46" s="279"/>
      <c r="F46" s="279"/>
      <c r="G46" s="279"/>
      <c r="H46" s="279"/>
      <c r="I46" s="279"/>
      <c r="J46" s="279"/>
    </row>
    <row r="47" spans="1:10" s="139" customFormat="1" ht="20.25" customHeight="1" x14ac:dyDescent="0.2">
      <c r="A47" s="279" t="s">
        <v>96</v>
      </c>
      <c r="B47" s="279"/>
      <c r="C47" s="279"/>
      <c r="D47" s="279"/>
      <c r="E47" s="279"/>
      <c r="F47" s="279"/>
      <c r="G47" s="279"/>
      <c r="H47" s="279"/>
      <c r="I47" s="279"/>
      <c r="J47" s="279"/>
    </row>
    <row r="48" spans="1:10" s="139" customFormat="1" ht="20.25" customHeight="1" x14ac:dyDescent="0.2">
      <c r="A48" s="279" t="s">
        <v>97</v>
      </c>
      <c r="B48" s="279"/>
      <c r="C48" s="279"/>
      <c r="D48" s="279"/>
      <c r="E48" s="279"/>
      <c r="F48" s="279"/>
      <c r="G48" s="279"/>
      <c r="H48" s="279"/>
      <c r="I48" s="279"/>
      <c r="J48" s="279"/>
    </row>
    <row r="49" spans="1:10" s="139" customFormat="1" ht="20.25" customHeight="1" x14ac:dyDescent="0.2">
      <c r="A49" s="279" t="s">
        <v>98</v>
      </c>
      <c r="B49" s="279"/>
      <c r="C49" s="279"/>
      <c r="D49" s="279"/>
      <c r="E49" s="279"/>
      <c r="F49" s="279"/>
      <c r="G49" s="279"/>
      <c r="H49" s="279"/>
      <c r="I49" s="279"/>
      <c r="J49" s="279"/>
    </row>
    <row r="50" spans="1:10" s="139" customFormat="1" ht="20.25" customHeight="1" x14ac:dyDescent="0.2">
      <c r="A50" s="279" t="s">
        <v>99</v>
      </c>
      <c r="B50" s="279"/>
      <c r="C50" s="279"/>
      <c r="D50" s="279"/>
      <c r="E50" s="279"/>
      <c r="F50" s="279"/>
      <c r="G50" s="279"/>
      <c r="H50" s="279"/>
      <c r="I50" s="279"/>
      <c r="J50" s="279"/>
    </row>
    <row r="51" spans="1:10" s="139" customFormat="1" ht="20.25" customHeight="1" x14ac:dyDescent="0.2">
      <c r="A51" s="279" t="s">
        <v>100</v>
      </c>
      <c r="B51" s="279"/>
      <c r="C51" s="279"/>
      <c r="D51" s="279"/>
      <c r="E51" s="279"/>
      <c r="F51" s="279"/>
      <c r="G51" s="279"/>
      <c r="H51" s="279"/>
      <c r="I51" s="279"/>
      <c r="J51" s="279"/>
    </row>
    <row r="52" spans="1:10" s="139" customFormat="1" ht="20.25" customHeight="1" x14ac:dyDescent="0.2">
      <c r="A52" s="279"/>
      <c r="B52" s="279"/>
      <c r="C52" s="279"/>
      <c r="D52" s="279"/>
      <c r="E52" s="279"/>
      <c r="F52" s="279"/>
      <c r="G52" s="279"/>
      <c r="H52" s="279"/>
      <c r="I52" s="279"/>
      <c r="J52" s="279"/>
    </row>
    <row r="53" spans="1:10" s="139" customFormat="1" ht="20.25" customHeight="1" x14ac:dyDescent="0.2">
      <c r="A53" s="279"/>
      <c r="B53" s="279"/>
      <c r="C53" s="279"/>
      <c r="D53" s="279"/>
      <c r="E53" s="279"/>
      <c r="F53" s="279"/>
      <c r="G53" s="279"/>
      <c r="H53" s="279"/>
      <c r="I53" s="279"/>
      <c r="J53" s="279"/>
    </row>
    <row r="54" spans="1:10" s="139" customFormat="1" ht="20.25" customHeight="1" x14ac:dyDescent="0.2">
      <c r="A54" s="279"/>
      <c r="B54" s="279"/>
      <c r="C54" s="279"/>
      <c r="D54" s="279"/>
      <c r="E54" s="279"/>
      <c r="F54" s="279"/>
      <c r="G54" s="279"/>
      <c r="H54" s="279"/>
      <c r="I54" s="279"/>
      <c r="J54" s="279"/>
    </row>
    <row r="55" spans="1:10" s="139" customFormat="1" ht="20.25" customHeight="1" x14ac:dyDescent="0.2">
      <c r="A55" s="279"/>
      <c r="B55" s="279"/>
      <c r="C55" s="279"/>
      <c r="D55" s="279"/>
      <c r="E55" s="279"/>
      <c r="F55" s="279"/>
      <c r="G55" s="279"/>
      <c r="H55" s="279"/>
      <c r="I55" s="279"/>
      <c r="J55" s="279"/>
    </row>
    <row r="56" spans="1:10" s="139" customFormat="1" ht="20.25" customHeight="1" x14ac:dyDescent="0.2">
      <c r="A56" s="279"/>
      <c r="B56" s="279"/>
      <c r="C56" s="279"/>
      <c r="D56" s="279"/>
      <c r="E56" s="279"/>
      <c r="F56" s="279"/>
      <c r="G56" s="279"/>
      <c r="H56" s="279"/>
      <c r="I56" s="279"/>
      <c r="J56" s="279"/>
    </row>
    <row r="57" spans="1:10" s="140" customFormat="1" ht="20.25" customHeight="1" x14ac:dyDescent="0.2">
      <c r="A57" s="279"/>
      <c r="B57" s="279"/>
      <c r="C57" s="279"/>
      <c r="D57" s="279"/>
      <c r="E57" s="279"/>
      <c r="F57" s="279"/>
      <c r="G57" s="279"/>
      <c r="H57" s="279"/>
      <c r="I57" s="279"/>
      <c r="J57" s="279"/>
    </row>
    <row r="58" spans="1:10" s="140" customFormat="1" ht="20.25" customHeight="1" x14ac:dyDescent="0.2">
      <c r="A58" s="279"/>
      <c r="B58" s="279"/>
      <c r="C58" s="279"/>
      <c r="D58" s="279"/>
      <c r="E58" s="279"/>
      <c r="F58" s="279"/>
      <c r="G58" s="279"/>
      <c r="H58" s="279"/>
      <c r="I58" s="279"/>
      <c r="J58" s="279"/>
    </row>
    <row r="59" spans="1:10" s="140" customFormat="1" ht="20.25" customHeight="1" x14ac:dyDescent="0.2">
      <c r="A59" s="279"/>
      <c r="B59" s="279"/>
      <c r="C59" s="279"/>
      <c r="D59" s="279"/>
      <c r="E59" s="279"/>
      <c r="F59" s="279"/>
      <c r="G59" s="279"/>
      <c r="H59" s="279"/>
      <c r="I59" s="279"/>
      <c r="J59" s="279"/>
    </row>
    <row r="60" spans="1:10" s="140" customFormat="1" x14ac:dyDescent="0.2">
      <c r="A60" s="279"/>
      <c r="B60" s="279"/>
      <c r="C60" s="279"/>
      <c r="D60" s="279"/>
      <c r="E60" s="279"/>
      <c r="F60" s="279"/>
      <c r="G60" s="279"/>
      <c r="H60" s="279"/>
      <c r="I60" s="279"/>
      <c r="J60" s="279"/>
    </row>
    <row r="61" spans="1:10" s="140" customFormat="1" x14ac:dyDescent="0.2">
      <c r="A61" s="279"/>
      <c r="B61" s="279"/>
      <c r="C61" s="279"/>
      <c r="D61" s="279"/>
      <c r="E61" s="279"/>
      <c r="F61" s="279"/>
      <c r="G61" s="279"/>
      <c r="H61" s="279"/>
      <c r="I61" s="279"/>
      <c r="J61" s="279"/>
    </row>
    <row r="62" spans="1:10" s="140" customFormat="1" x14ac:dyDescent="0.2">
      <c r="A62" s="279"/>
      <c r="B62" s="279"/>
      <c r="C62" s="279"/>
      <c r="D62" s="279"/>
      <c r="E62" s="279"/>
      <c r="F62" s="279"/>
      <c r="G62" s="279"/>
      <c r="H62" s="279"/>
      <c r="I62" s="279"/>
      <c r="J62" s="279"/>
    </row>
    <row r="63" spans="1:10" s="140" customFormat="1" x14ac:dyDescent="0.2">
      <c r="A63" s="279"/>
      <c r="B63" s="279"/>
      <c r="C63" s="279"/>
      <c r="D63" s="279"/>
      <c r="E63" s="279"/>
      <c r="F63" s="279"/>
      <c r="G63" s="279"/>
      <c r="H63" s="279"/>
      <c r="I63" s="279"/>
      <c r="J63" s="279"/>
    </row>
    <row r="64" spans="1:10" s="140" customFormat="1" x14ac:dyDescent="0.2">
      <c r="A64" s="279"/>
      <c r="B64" s="279"/>
      <c r="C64" s="279"/>
      <c r="D64" s="279"/>
      <c r="E64" s="279"/>
      <c r="F64" s="279"/>
      <c r="G64" s="279"/>
      <c r="H64" s="279"/>
      <c r="I64" s="279"/>
      <c r="J64" s="279"/>
    </row>
    <row r="65" spans="1:10" s="140" customFormat="1" x14ac:dyDescent="0.2">
      <c r="A65" s="278"/>
      <c r="B65" s="278"/>
      <c r="C65" s="278"/>
      <c r="D65" s="278"/>
      <c r="E65" s="278"/>
      <c r="F65" s="278"/>
      <c r="G65" s="278"/>
      <c r="H65" s="278"/>
      <c r="I65" s="278"/>
      <c r="J65" s="278"/>
    </row>
    <row r="66" spans="1:10" s="140" customFormat="1" x14ac:dyDescent="0.2">
      <c r="A66" s="278"/>
      <c r="B66" s="278"/>
      <c r="C66" s="278"/>
      <c r="D66" s="278"/>
      <c r="E66" s="278"/>
      <c r="F66" s="278"/>
      <c r="G66" s="278"/>
      <c r="H66" s="278"/>
      <c r="I66" s="278"/>
      <c r="J66" s="278"/>
    </row>
    <row r="67" spans="1:10" s="140" customFormat="1" x14ac:dyDescent="0.2">
      <c r="A67" s="278"/>
      <c r="B67" s="278"/>
      <c r="C67" s="278"/>
      <c r="D67" s="278"/>
      <c r="E67" s="278"/>
      <c r="F67" s="278"/>
      <c r="G67" s="278"/>
      <c r="H67" s="278"/>
      <c r="I67" s="278"/>
      <c r="J67" s="278"/>
    </row>
    <row r="68" spans="1:10" s="140" customFormat="1" x14ac:dyDescent="0.2">
      <c r="A68" s="278"/>
      <c r="B68" s="278"/>
      <c r="C68" s="278"/>
      <c r="D68" s="278"/>
      <c r="E68" s="278"/>
      <c r="F68" s="278"/>
      <c r="G68" s="278"/>
      <c r="H68" s="278"/>
      <c r="I68" s="278"/>
      <c r="J68" s="278"/>
    </row>
    <row r="69" spans="1:10" s="140" customFormat="1" x14ac:dyDescent="0.2">
      <c r="A69" s="278"/>
      <c r="B69" s="278"/>
      <c r="C69" s="278"/>
      <c r="D69" s="278"/>
      <c r="E69" s="278"/>
      <c r="F69" s="278"/>
      <c r="G69" s="278"/>
      <c r="H69" s="278"/>
      <c r="I69" s="278"/>
      <c r="J69" s="278"/>
    </row>
    <row r="70" spans="1:10" s="140" customFormat="1" x14ac:dyDescent="0.2">
      <c r="A70" s="278"/>
      <c r="B70" s="278"/>
      <c r="C70" s="278"/>
      <c r="D70" s="278"/>
      <c r="E70" s="278"/>
      <c r="F70" s="278"/>
      <c r="G70" s="278"/>
      <c r="H70" s="278"/>
      <c r="I70" s="278"/>
      <c r="J70" s="278"/>
    </row>
    <row r="71" spans="1:10" s="140" customFormat="1" x14ac:dyDescent="0.2">
      <c r="A71" s="278"/>
      <c r="B71" s="278"/>
      <c r="C71" s="278"/>
      <c r="D71" s="278"/>
      <c r="E71" s="278"/>
      <c r="F71" s="278"/>
      <c r="G71" s="278"/>
      <c r="H71" s="278"/>
      <c r="I71" s="278"/>
      <c r="J71" s="278"/>
    </row>
    <row r="72" spans="1:10" s="140" customFormat="1" x14ac:dyDescent="0.2">
      <c r="A72" s="278"/>
      <c r="B72" s="278"/>
      <c r="C72" s="278"/>
      <c r="D72" s="278"/>
      <c r="E72" s="278"/>
      <c r="F72" s="278"/>
      <c r="G72" s="278"/>
      <c r="H72" s="278"/>
      <c r="I72" s="278"/>
      <c r="J72" s="278"/>
    </row>
    <row r="73" spans="1:10" s="140" customFormat="1" x14ac:dyDescent="0.2">
      <c r="A73" s="278"/>
      <c r="B73" s="278"/>
      <c r="C73" s="278"/>
      <c r="D73" s="278"/>
      <c r="E73" s="278"/>
      <c r="F73" s="278"/>
      <c r="G73" s="278"/>
      <c r="H73" s="278"/>
      <c r="I73" s="278"/>
      <c r="J73" s="278"/>
    </row>
    <row r="74" spans="1:10" s="140" customFormat="1" x14ac:dyDescent="0.2">
      <c r="A74" s="278"/>
      <c r="B74" s="278"/>
      <c r="C74" s="278"/>
      <c r="D74" s="278"/>
      <c r="E74" s="278"/>
      <c r="F74" s="278"/>
      <c r="G74" s="278"/>
      <c r="H74" s="278"/>
      <c r="I74" s="278"/>
      <c r="J74" s="278"/>
    </row>
    <row r="75" spans="1:10" s="140" customFormat="1" x14ac:dyDescent="0.2">
      <c r="A75" s="278"/>
      <c r="B75" s="278"/>
      <c r="C75" s="278"/>
      <c r="D75" s="278"/>
      <c r="E75" s="278"/>
      <c r="F75" s="278"/>
      <c r="G75" s="278"/>
      <c r="H75" s="278"/>
      <c r="I75" s="278"/>
      <c r="J75" s="278"/>
    </row>
    <row r="76" spans="1:10" s="140" customFormat="1" x14ac:dyDescent="0.2">
      <c r="A76" s="278"/>
      <c r="B76" s="278"/>
      <c r="C76" s="278"/>
      <c r="D76" s="278"/>
      <c r="E76" s="278"/>
      <c r="F76" s="278"/>
      <c r="G76" s="278"/>
      <c r="H76" s="278"/>
      <c r="I76" s="278"/>
      <c r="J76" s="278"/>
    </row>
    <row r="77" spans="1:10" s="140" customFormat="1" x14ac:dyDescent="0.2">
      <c r="A77" s="278"/>
      <c r="B77" s="278"/>
      <c r="C77" s="278"/>
      <c r="D77" s="278"/>
      <c r="E77" s="278"/>
      <c r="F77" s="278"/>
      <c r="G77" s="278"/>
      <c r="H77" s="278"/>
      <c r="I77" s="278"/>
      <c r="J77" s="278"/>
    </row>
    <row r="78" spans="1:10" s="140" customFormat="1" x14ac:dyDescent="0.2">
      <c r="A78" s="278"/>
      <c r="B78" s="278"/>
      <c r="C78" s="278"/>
      <c r="D78" s="278"/>
      <c r="E78" s="278"/>
      <c r="F78" s="278"/>
      <c r="G78" s="278"/>
      <c r="H78" s="278"/>
      <c r="I78" s="278"/>
      <c r="J78" s="278"/>
    </row>
    <row r="79" spans="1:10" s="140" customFormat="1" x14ac:dyDescent="0.2">
      <c r="A79" s="278"/>
      <c r="B79" s="278"/>
      <c r="C79" s="278"/>
      <c r="D79" s="278"/>
      <c r="E79" s="278"/>
      <c r="F79" s="278"/>
      <c r="G79" s="278"/>
      <c r="H79" s="278"/>
      <c r="I79" s="278"/>
      <c r="J79" s="278"/>
    </row>
    <row r="80" spans="1:10" s="140" customFormat="1" x14ac:dyDescent="0.2">
      <c r="A80" s="278"/>
      <c r="B80" s="278"/>
      <c r="C80" s="278"/>
      <c r="D80" s="278"/>
      <c r="E80" s="278"/>
      <c r="F80" s="278"/>
      <c r="G80" s="278"/>
      <c r="H80" s="278"/>
      <c r="I80" s="278"/>
      <c r="J80" s="278"/>
    </row>
    <row r="81" spans="1:10" s="140" customFormat="1" x14ac:dyDescent="0.2">
      <c r="A81" s="278"/>
      <c r="B81" s="278"/>
      <c r="C81" s="278"/>
      <c r="D81" s="278"/>
      <c r="E81" s="278"/>
      <c r="F81" s="278"/>
      <c r="G81" s="278"/>
      <c r="H81" s="278"/>
      <c r="I81" s="278"/>
      <c r="J81" s="278"/>
    </row>
    <row r="82" spans="1:10" s="140" customFormat="1" x14ac:dyDescent="0.2">
      <c r="A82" s="278"/>
      <c r="B82" s="278"/>
      <c r="C82" s="278"/>
      <c r="D82" s="278"/>
      <c r="E82" s="278"/>
      <c r="F82" s="278"/>
      <c r="G82" s="278"/>
      <c r="H82" s="278"/>
      <c r="I82" s="278"/>
      <c r="J82" s="278"/>
    </row>
    <row r="83" spans="1:10" s="140" customFormat="1" x14ac:dyDescent="0.2">
      <c r="A83" s="278"/>
      <c r="B83" s="278"/>
      <c r="C83" s="278"/>
      <c r="D83" s="278"/>
      <c r="E83" s="278"/>
      <c r="F83" s="278"/>
      <c r="G83" s="278"/>
      <c r="H83" s="278"/>
      <c r="I83" s="278"/>
      <c r="J83" s="278"/>
    </row>
    <row r="84" spans="1:10" s="140" customFormat="1" x14ac:dyDescent="0.2">
      <c r="A84" s="278"/>
      <c r="B84" s="278"/>
      <c r="C84" s="278"/>
      <c r="D84" s="278"/>
      <c r="E84" s="278"/>
      <c r="F84" s="278"/>
      <c r="G84" s="278"/>
      <c r="H84" s="278"/>
      <c r="I84" s="278"/>
      <c r="J84" s="278"/>
    </row>
    <row r="85" spans="1:10" s="140" customFormat="1" x14ac:dyDescent="0.2">
      <c r="A85" s="278"/>
      <c r="B85" s="278"/>
      <c r="C85" s="278"/>
      <c r="D85" s="278"/>
      <c r="E85" s="278"/>
      <c r="F85" s="278"/>
      <c r="G85" s="278"/>
      <c r="H85" s="278"/>
      <c r="I85" s="278"/>
      <c r="J85" s="278"/>
    </row>
    <row r="86" spans="1:10" s="140" customFormat="1" x14ac:dyDescent="0.2">
      <c r="A86" s="278"/>
      <c r="B86" s="278"/>
      <c r="C86" s="278"/>
      <c r="D86" s="278"/>
      <c r="E86" s="278"/>
      <c r="F86" s="278"/>
      <c r="G86" s="278"/>
      <c r="H86" s="278"/>
      <c r="I86" s="278"/>
      <c r="J86" s="278"/>
    </row>
    <row r="87" spans="1:10" s="140" customFormat="1" x14ac:dyDescent="0.2">
      <c r="A87" s="278"/>
      <c r="B87" s="278"/>
      <c r="C87" s="278"/>
      <c r="D87" s="278"/>
      <c r="E87" s="278"/>
      <c r="F87" s="278"/>
      <c r="G87" s="278"/>
      <c r="H87" s="278"/>
      <c r="I87" s="278"/>
      <c r="J87" s="278"/>
    </row>
    <row r="88" spans="1:10" s="140" customFormat="1" x14ac:dyDescent="0.2">
      <c r="A88" s="278"/>
      <c r="B88" s="278"/>
      <c r="C88" s="278"/>
      <c r="D88" s="278"/>
      <c r="E88" s="278"/>
      <c r="F88" s="278"/>
      <c r="G88" s="278"/>
      <c r="H88" s="278"/>
      <c r="I88" s="278"/>
      <c r="J88" s="278"/>
    </row>
    <row r="89" spans="1:10" s="140" customFormat="1" x14ac:dyDescent="0.2">
      <c r="A89" s="278"/>
      <c r="B89" s="278"/>
      <c r="C89" s="278"/>
      <c r="D89" s="278"/>
      <c r="E89" s="278"/>
      <c r="F89" s="278"/>
      <c r="G89" s="278"/>
      <c r="H89" s="278"/>
      <c r="I89" s="278"/>
      <c r="J89" s="278"/>
    </row>
    <row r="90" spans="1:10" s="140" customFormat="1" x14ac:dyDescent="0.2">
      <c r="A90" s="278"/>
      <c r="B90" s="278"/>
      <c r="C90" s="278"/>
      <c r="D90" s="278"/>
      <c r="E90" s="278"/>
      <c r="F90" s="278"/>
      <c r="G90" s="278"/>
      <c r="H90" s="278"/>
      <c r="I90" s="278"/>
      <c r="J90" s="278"/>
    </row>
    <row r="91" spans="1:10" s="140" customFormat="1" x14ac:dyDescent="0.2">
      <c r="A91" s="278"/>
      <c r="B91" s="278"/>
      <c r="C91" s="278"/>
      <c r="D91" s="278"/>
      <c r="E91" s="278"/>
      <c r="F91" s="278"/>
      <c r="G91" s="278"/>
      <c r="H91" s="278"/>
      <c r="I91" s="278"/>
      <c r="J91" s="278"/>
    </row>
    <row r="92" spans="1:10" s="140" customFormat="1" x14ac:dyDescent="0.2">
      <c r="A92" s="278"/>
      <c r="B92" s="278"/>
      <c r="C92" s="278"/>
      <c r="D92" s="278"/>
      <c r="E92" s="278"/>
      <c r="F92" s="278"/>
      <c r="G92" s="278"/>
      <c r="H92" s="278"/>
      <c r="I92" s="278"/>
      <c r="J92" s="278"/>
    </row>
    <row r="93" spans="1:10" s="140" customFormat="1" x14ac:dyDescent="0.2">
      <c r="A93" s="278"/>
      <c r="B93" s="278"/>
      <c r="C93" s="278"/>
      <c r="D93" s="278"/>
      <c r="E93" s="278"/>
      <c r="F93" s="278"/>
      <c r="G93" s="278"/>
      <c r="H93" s="278"/>
      <c r="I93" s="278"/>
      <c r="J93" s="278"/>
    </row>
    <row r="94" spans="1:10" s="140" customFormat="1" x14ac:dyDescent="0.2">
      <c r="A94" s="278"/>
      <c r="B94" s="278"/>
      <c r="C94" s="278"/>
      <c r="D94" s="278"/>
      <c r="E94" s="278"/>
      <c r="F94" s="278"/>
      <c r="G94" s="278"/>
      <c r="H94" s="278"/>
      <c r="I94" s="278"/>
      <c r="J94" s="278"/>
    </row>
    <row r="95" spans="1:10" s="140" customFormat="1" x14ac:dyDescent="0.2">
      <c r="A95" s="278"/>
      <c r="B95" s="278"/>
      <c r="C95" s="278"/>
      <c r="D95" s="278"/>
      <c r="E95" s="278"/>
      <c r="F95" s="278"/>
      <c r="G95" s="278"/>
      <c r="H95" s="278"/>
      <c r="I95" s="278"/>
      <c r="J95" s="278"/>
    </row>
    <row r="96" spans="1:10" s="140" customFormat="1" x14ac:dyDescent="0.2">
      <c r="A96" s="278"/>
      <c r="B96" s="278"/>
      <c r="C96" s="278"/>
      <c r="D96" s="278"/>
      <c r="E96" s="278"/>
      <c r="F96" s="278"/>
      <c r="G96" s="278"/>
      <c r="H96" s="278"/>
      <c r="I96" s="278"/>
      <c r="J96" s="278"/>
    </row>
    <row r="97" spans="1:10" s="140" customFormat="1" x14ac:dyDescent="0.2">
      <c r="A97" s="278"/>
      <c r="B97" s="278"/>
      <c r="C97" s="278"/>
      <c r="D97" s="278"/>
      <c r="E97" s="278"/>
      <c r="F97" s="278"/>
      <c r="G97" s="278"/>
      <c r="H97" s="278"/>
      <c r="I97" s="278"/>
      <c r="J97" s="278"/>
    </row>
    <row r="98" spans="1:10" s="140" customFormat="1" x14ac:dyDescent="0.2">
      <c r="A98" s="278"/>
      <c r="B98" s="278"/>
      <c r="C98" s="278"/>
      <c r="D98" s="278"/>
      <c r="E98" s="278"/>
      <c r="F98" s="278"/>
      <c r="G98" s="278"/>
      <c r="H98" s="278"/>
      <c r="I98" s="278"/>
      <c r="J98" s="278"/>
    </row>
    <row r="99" spans="1:10" s="140" customFormat="1" x14ac:dyDescent="0.2">
      <c r="A99" s="278"/>
      <c r="B99" s="278"/>
      <c r="C99" s="278"/>
      <c r="D99" s="278"/>
      <c r="E99" s="278"/>
      <c r="F99" s="278"/>
      <c r="G99" s="278"/>
      <c r="H99" s="278"/>
      <c r="I99" s="278"/>
      <c r="J99" s="278"/>
    </row>
    <row r="100" spans="1:10" s="140" customFormat="1" x14ac:dyDescent="0.2">
      <c r="A100" s="278"/>
      <c r="B100" s="278"/>
      <c r="C100" s="278"/>
      <c r="D100" s="278"/>
      <c r="E100" s="278"/>
      <c r="F100" s="278"/>
      <c r="G100" s="278"/>
      <c r="H100" s="278"/>
      <c r="I100" s="278"/>
      <c r="J100" s="278"/>
    </row>
    <row r="101" spans="1:10" s="140" customFormat="1" x14ac:dyDescent="0.2">
      <c r="A101" s="278"/>
      <c r="B101" s="278"/>
      <c r="C101" s="278"/>
      <c r="D101" s="278"/>
      <c r="E101" s="278"/>
      <c r="F101" s="278"/>
      <c r="G101" s="278"/>
      <c r="H101" s="278"/>
      <c r="I101" s="278"/>
      <c r="J101" s="278"/>
    </row>
    <row r="102" spans="1:10" s="140" customFormat="1" x14ac:dyDescent="0.2">
      <c r="A102" s="278"/>
      <c r="B102" s="278"/>
      <c r="C102" s="278"/>
      <c r="D102" s="278"/>
      <c r="E102" s="278"/>
      <c r="F102" s="278"/>
      <c r="G102" s="278"/>
      <c r="H102" s="278"/>
      <c r="I102" s="278"/>
      <c r="J102" s="278"/>
    </row>
    <row r="103" spans="1:10" s="140" customFormat="1" x14ac:dyDescent="0.2">
      <c r="A103" s="278"/>
      <c r="B103" s="278"/>
      <c r="C103" s="278"/>
      <c r="D103" s="278"/>
      <c r="E103" s="278"/>
      <c r="F103" s="278"/>
      <c r="G103" s="278"/>
      <c r="H103" s="278"/>
      <c r="I103" s="278"/>
      <c r="J103" s="278"/>
    </row>
    <row r="104" spans="1:10" s="140" customFormat="1" x14ac:dyDescent="0.2">
      <c r="A104" s="278"/>
      <c r="B104" s="278"/>
      <c r="C104" s="278"/>
      <c r="D104" s="278"/>
      <c r="E104" s="278"/>
      <c r="F104" s="278"/>
      <c r="G104" s="278"/>
      <c r="H104" s="278"/>
      <c r="I104" s="278"/>
      <c r="J104" s="278"/>
    </row>
    <row r="105" spans="1:10" s="140" customFormat="1" x14ac:dyDescent="0.2">
      <c r="A105" s="278"/>
      <c r="B105" s="278"/>
      <c r="C105" s="278"/>
      <c r="D105" s="278"/>
      <c r="E105" s="278"/>
      <c r="F105" s="278"/>
      <c r="G105" s="278"/>
      <c r="H105" s="278"/>
      <c r="I105" s="278"/>
      <c r="J105" s="278"/>
    </row>
    <row r="106" spans="1:10" s="140" customFormat="1" x14ac:dyDescent="0.2">
      <c r="A106" s="278"/>
      <c r="B106" s="278"/>
      <c r="C106" s="278"/>
      <c r="D106" s="278"/>
      <c r="E106" s="278"/>
      <c r="F106" s="278"/>
      <c r="G106" s="278"/>
      <c r="H106" s="278"/>
      <c r="I106" s="278"/>
      <c r="J106" s="278"/>
    </row>
    <row r="107" spans="1:10" s="140" customFormat="1" x14ac:dyDescent="0.2">
      <c r="A107" s="278"/>
      <c r="B107" s="278"/>
      <c r="C107" s="278"/>
      <c r="D107" s="278"/>
      <c r="E107" s="278"/>
      <c r="F107" s="278"/>
      <c r="G107" s="278"/>
      <c r="H107" s="278"/>
      <c r="I107" s="278"/>
      <c r="J107" s="278"/>
    </row>
    <row r="108" spans="1:10" s="140" customFormat="1" x14ac:dyDescent="0.2">
      <c r="A108" s="278"/>
      <c r="B108" s="278"/>
      <c r="C108" s="278"/>
      <c r="D108" s="278"/>
      <c r="E108" s="278"/>
      <c r="F108" s="278"/>
      <c r="G108" s="278"/>
      <c r="H108" s="278"/>
      <c r="I108" s="278"/>
      <c r="J108" s="278"/>
    </row>
    <row r="109" spans="1:10" s="140" customFormat="1" x14ac:dyDescent="0.2">
      <c r="A109" s="278"/>
      <c r="B109" s="278"/>
      <c r="C109" s="278"/>
      <c r="D109" s="278"/>
      <c r="E109" s="278"/>
      <c r="F109" s="278"/>
      <c r="G109" s="278"/>
      <c r="H109" s="278"/>
      <c r="I109" s="278"/>
      <c r="J109" s="278"/>
    </row>
    <row r="110" spans="1:10" s="140" customFormat="1" x14ac:dyDescent="0.2">
      <c r="A110" s="278"/>
      <c r="B110" s="278"/>
      <c r="C110" s="278"/>
      <c r="D110" s="278"/>
      <c r="E110" s="278"/>
      <c r="F110" s="278"/>
      <c r="G110" s="278"/>
      <c r="H110" s="278"/>
      <c r="I110" s="278"/>
      <c r="J110" s="278"/>
    </row>
    <row r="111" spans="1:10" s="140" customFormat="1" x14ac:dyDescent="0.2">
      <c r="A111" s="278"/>
      <c r="B111" s="278"/>
      <c r="C111" s="278"/>
      <c r="D111" s="278"/>
      <c r="E111" s="278"/>
      <c r="F111" s="278"/>
      <c r="G111" s="278"/>
      <c r="H111" s="278"/>
      <c r="I111" s="278"/>
      <c r="J111" s="278"/>
    </row>
    <row r="112" spans="1:10" s="140" customFormat="1" x14ac:dyDescent="0.2">
      <c r="A112" s="278"/>
      <c r="B112" s="278"/>
      <c r="C112" s="278"/>
      <c r="D112" s="278"/>
      <c r="E112" s="278"/>
      <c r="F112" s="278"/>
      <c r="G112" s="278"/>
      <c r="H112" s="278"/>
      <c r="I112" s="278"/>
      <c r="J112" s="278"/>
    </row>
    <row r="113" spans="1:10" s="140" customFormat="1" x14ac:dyDescent="0.2">
      <c r="A113" s="278"/>
      <c r="B113" s="278"/>
      <c r="C113" s="278"/>
      <c r="D113" s="278"/>
      <c r="E113" s="278"/>
      <c r="F113" s="278"/>
      <c r="G113" s="278"/>
      <c r="H113" s="278"/>
      <c r="I113" s="278"/>
      <c r="J113" s="278"/>
    </row>
    <row r="114" spans="1:10" s="140" customFormat="1" x14ac:dyDescent="0.2">
      <c r="A114" s="278"/>
      <c r="B114" s="278"/>
      <c r="C114" s="278"/>
      <c r="D114" s="278"/>
      <c r="E114" s="278"/>
      <c r="F114" s="278"/>
      <c r="G114" s="278"/>
      <c r="H114" s="278"/>
      <c r="I114" s="278"/>
      <c r="J114" s="278"/>
    </row>
    <row r="115" spans="1:10" s="140" customFormat="1" x14ac:dyDescent="0.2">
      <c r="A115" s="278"/>
      <c r="B115" s="278"/>
      <c r="C115" s="278"/>
      <c r="D115" s="278"/>
      <c r="E115" s="278"/>
      <c r="F115" s="278"/>
      <c r="G115" s="278"/>
      <c r="H115" s="278"/>
      <c r="I115" s="278"/>
      <c r="J115" s="278"/>
    </row>
    <row r="116" spans="1:10" s="140" customFormat="1" x14ac:dyDescent="0.2">
      <c r="A116" s="278"/>
      <c r="B116" s="278"/>
      <c r="C116" s="278"/>
      <c r="D116" s="278"/>
      <c r="E116" s="278"/>
      <c r="F116" s="278"/>
      <c r="G116" s="278"/>
      <c r="H116" s="278"/>
      <c r="I116" s="278"/>
      <c r="J116" s="278"/>
    </row>
    <row r="117" spans="1:10" s="140" customFormat="1" x14ac:dyDescent="0.2">
      <c r="A117" s="278"/>
      <c r="B117" s="278"/>
      <c r="C117" s="278"/>
      <c r="D117" s="278"/>
      <c r="E117" s="278"/>
      <c r="F117" s="278"/>
      <c r="G117" s="278"/>
      <c r="H117" s="278"/>
      <c r="I117" s="278"/>
      <c r="J117" s="278"/>
    </row>
    <row r="118" spans="1:10" s="140" customFormat="1" x14ac:dyDescent="0.2">
      <c r="A118" s="278"/>
      <c r="B118" s="278"/>
      <c r="C118" s="278"/>
      <c r="D118" s="278"/>
      <c r="E118" s="278"/>
      <c r="F118" s="278"/>
      <c r="G118" s="278"/>
      <c r="H118" s="278"/>
      <c r="I118" s="278"/>
      <c r="J118" s="278"/>
    </row>
    <row r="119" spans="1:10" s="140" customFormat="1" x14ac:dyDescent="0.2">
      <c r="A119" s="278"/>
      <c r="B119" s="278"/>
      <c r="C119" s="278"/>
      <c r="D119" s="278"/>
      <c r="E119" s="278"/>
      <c r="F119" s="278"/>
      <c r="G119" s="278"/>
      <c r="H119" s="278"/>
      <c r="I119" s="278"/>
      <c r="J119" s="278"/>
    </row>
    <row r="120" spans="1:10" s="140" customFormat="1" x14ac:dyDescent="0.2">
      <c r="A120" s="278"/>
      <c r="B120" s="278"/>
      <c r="C120" s="278"/>
      <c r="D120" s="278"/>
      <c r="E120" s="278"/>
      <c r="F120" s="278"/>
      <c r="G120" s="278"/>
      <c r="H120" s="278"/>
      <c r="I120" s="278"/>
      <c r="J120" s="278"/>
    </row>
    <row r="121" spans="1:10" s="140" customFormat="1" x14ac:dyDescent="0.2">
      <c r="A121" s="278"/>
      <c r="B121" s="278"/>
      <c r="C121" s="278"/>
      <c r="D121" s="278"/>
      <c r="E121" s="278"/>
      <c r="F121" s="278"/>
      <c r="G121" s="278"/>
      <c r="H121" s="278"/>
      <c r="I121" s="278"/>
      <c r="J121" s="278"/>
    </row>
    <row r="122" spans="1:10" s="140" customFormat="1" x14ac:dyDescent="0.2">
      <c r="A122" s="278"/>
      <c r="B122" s="278"/>
      <c r="C122" s="278"/>
      <c r="D122" s="278"/>
      <c r="E122" s="278"/>
      <c r="F122" s="278"/>
      <c r="G122" s="278"/>
      <c r="H122" s="278"/>
      <c r="I122" s="278"/>
      <c r="J122" s="278"/>
    </row>
    <row r="123" spans="1:10" s="140" customFormat="1" x14ac:dyDescent="0.2">
      <c r="A123" s="278"/>
      <c r="B123" s="278"/>
      <c r="C123" s="278"/>
      <c r="D123" s="278"/>
      <c r="E123" s="278"/>
      <c r="F123" s="278"/>
      <c r="G123" s="278"/>
      <c r="H123" s="278"/>
      <c r="I123" s="278"/>
      <c r="J123" s="278"/>
    </row>
    <row r="124" spans="1:10" s="140" customFormat="1" x14ac:dyDescent="0.2">
      <c r="A124" s="278"/>
      <c r="B124" s="278"/>
      <c r="C124" s="278"/>
      <c r="D124" s="278"/>
      <c r="E124" s="278"/>
      <c r="F124" s="278"/>
      <c r="G124" s="278"/>
      <c r="H124" s="278"/>
      <c r="I124" s="278"/>
      <c r="J124" s="278"/>
    </row>
    <row r="125" spans="1:10" s="140" customFormat="1" x14ac:dyDescent="0.2">
      <c r="A125" s="278"/>
      <c r="B125" s="278"/>
      <c r="C125" s="278"/>
      <c r="D125" s="278"/>
      <c r="E125" s="278"/>
      <c r="F125" s="278"/>
      <c r="G125" s="278"/>
      <c r="H125" s="278"/>
      <c r="I125" s="278"/>
      <c r="J125" s="278"/>
    </row>
    <row r="126" spans="1:10" s="140" customFormat="1" x14ac:dyDescent="0.2">
      <c r="A126" s="278"/>
      <c r="B126" s="278"/>
      <c r="C126" s="278"/>
      <c r="D126" s="278"/>
      <c r="E126" s="278"/>
      <c r="F126" s="278"/>
      <c r="G126" s="278"/>
      <c r="H126" s="278"/>
      <c r="I126" s="278"/>
      <c r="J126" s="278"/>
    </row>
    <row r="127" spans="1:10" s="140" customFormat="1" x14ac:dyDescent="0.2">
      <c r="A127" s="278"/>
      <c r="B127" s="278"/>
      <c r="C127" s="278"/>
      <c r="D127" s="278"/>
      <c r="E127" s="278"/>
      <c r="F127" s="278"/>
      <c r="G127" s="278"/>
      <c r="H127" s="278"/>
      <c r="I127" s="278"/>
      <c r="J127" s="278"/>
    </row>
    <row r="128" spans="1:10" s="140" customFormat="1" x14ac:dyDescent="0.2">
      <c r="A128" s="278"/>
      <c r="B128" s="278"/>
      <c r="C128" s="278"/>
      <c r="D128" s="278"/>
      <c r="E128" s="278"/>
      <c r="F128" s="278"/>
      <c r="G128" s="278"/>
      <c r="H128" s="278"/>
      <c r="I128" s="278"/>
      <c r="J128" s="278"/>
    </row>
    <row r="129" spans="1:10" s="140" customFormat="1" x14ac:dyDescent="0.2">
      <c r="A129" s="278"/>
      <c r="B129" s="278"/>
      <c r="C129" s="278"/>
      <c r="D129" s="278"/>
      <c r="E129" s="278"/>
      <c r="F129" s="278"/>
      <c r="G129" s="278"/>
      <c r="H129" s="278"/>
      <c r="I129" s="278"/>
      <c r="J129" s="278"/>
    </row>
    <row r="130" spans="1:10" s="140" customFormat="1" x14ac:dyDescent="0.2">
      <c r="A130" s="278"/>
      <c r="B130" s="278"/>
      <c r="C130" s="278"/>
      <c r="D130" s="278"/>
      <c r="E130" s="278"/>
      <c r="F130" s="278"/>
      <c r="G130" s="278"/>
      <c r="H130" s="278"/>
      <c r="I130" s="278"/>
      <c r="J130" s="278"/>
    </row>
    <row r="131" spans="1:10" s="140" customFormat="1" x14ac:dyDescent="0.2">
      <c r="A131" s="278"/>
      <c r="B131" s="278"/>
      <c r="C131" s="278"/>
      <c r="D131" s="278"/>
      <c r="E131" s="278"/>
      <c r="F131" s="278"/>
      <c r="G131" s="278"/>
      <c r="H131" s="278"/>
      <c r="I131" s="278"/>
      <c r="J131" s="278"/>
    </row>
    <row r="132" spans="1:10" s="140" customFormat="1" x14ac:dyDescent="0.2">
      <c r="A132" s="278"/>
      <c r="B132" s="278"/>
      <c r="C132" s="278"/>
      <c r="D132" s="278"/>
      <c r="E132" s="278"/>
      <c r="F132" s="278"/>
      <c r="G132" s="278"/>
      <c r="H132" s="278"/>
      <c r="I132" s="278"/>
      <c r="J132" s="278"/>
    </row>
    <row r="133" spans="1:10" s="140" customFormat="1" x14ac:dyDescent="0.2">
      <c r="A133" s="278"/>
      <c r="B133" s="278"/>
      <c r="C133" s="278"/>
      <c r="D133" s="278"/>
      <c r="E133" s="278"/>
      <c r="F133" s="278"/>
      <c r="G133" s="278"/>
      <c r="H133" s="278"/>
      <c r="I133" s="278"/>
      <c r="J133" s="278"/>
    </row>
    <row r="134" spans="1:10" s="140" customFormat="1" x14ac:dyDescent="0.2">
      <c r="A134" s="278"/>
      <c r="B134" s="278"/>
      <c r="C134" s="278"/>
      <c r="D134" s="278"/>
      <c r="E134" s="278"/>
      <c r="F134" s="278"/>
      <c r="G134" s="278"/>
      <c r="H134" s="278"/>
      <c r="I134" s="278"/>
      <c r="J134" s="278"/>
    </row>
    <row r="135" spans="1:10" s="140" customFormat="1" x14ac:dyDescent="0.2">
      <c r="A135" s="278"/>
      <c r="B135" s="278"/>
      <c r="C135" s="278"/>
      <c r="D135" s="278"/>
      <c r="E135" s="278"/>
      <c r="F135" s="278"/>
      <c r="G135" s="278"/>
      <c r="H135" s="278"/>
      <c r="I135" s="278"/>
      <c r="J135" s="278"/>
    </row>
    <row r="136" spans="1:10" s="140" customFormat="1" x14ac:dyDescent="0.2">
      <c r="A136" s="278"/>
      <c r="B136" s="278"/>
      <c r="C136" s="278"/>
      <c r="D136" s="278"/>
      <c r="E136" s="278"/>
      <c r="F136" s="278"/>
      <c r="G136" s="278"/>
      <c r="H136" s="278"/>
      <c r="I136" s="278"/>
      <c r="J136" s="278"/>
    </row>
    <row r="137" spans="1:10" s="140" customFormat="1" x14ac:dyDescent="0.2">
      <c r="A137" s="278"/>
      <c r="B137" s="278"/>
      <c r="C137" s="278"/>
      <c r="D137" s="278"/>
      <c r="E137" s="278"/>
      <c r="F137" s="278"/>
      <c r="G137" s="278"/>
      <c r="H137" s="278"/>
      <c r="I137" s="278"/>
      <c r="J137" s="278"/>
    </row>
    <row r="138" spans="1:10" s="140" customFormat="1" x14ac:dyDescent="0.2">
      <c r="A138" s="278"/>
      <c r="B138" s="278"/>
      <c r="C138" s="278"/>
      <c r="D138" s="278"/>
      <c r="E138" s="278"/>
      <c r="F138" s="278"/>
      <c r="G138" s="278"/>
      <c r="H138" s="278"/>
      <c r="I138" s="278"/>
      <c r="J138" s="278"/>
    </row>
    <row r="139" spans="1:10" s="140" customFormat="1" x14ac:dyDescent="0.2">
      <c r="A139" s="278"/>
      <c r="B139" s="278"/>
      <c r="C139" s="278"/>
      <c r="D139" s="278"/>
      <c r="E139" s="278"/>
      <c r="F139" s="278"/>
      <c r="G139" s="278"/>
      <c r="H139" s="278"/>
      <c r="I139" s="278"/>
      <c r="J139" s="278"/>
    </row>
    <row r="140" spans="1:10" s="140" customFormat="1" x14ac:dyDescent="0.2">
      <c r="A140" s="278"/>
      <c r="B140" s="278"/>
      <c r="C140" s="278"/>
      <c r="D140" s="278"/>
      <c r="E140" s="278"/>
      <c r="F140" s="278"/>
      <c r="G140" s="278"/>
      <c r="H140" s="278"/>
      <c r="I140" s="278"/>
      <c r="J140" s="278"/>
    </row>
    <row r="141" spans="1:10" s="140" customFormat="1" x14ac:dyDescent="0.2">
      <c r="A141" s="278"/>
      <c r="B141" s="278"/>
      <c r="C141" s="278"/>
      <c r="D141" s="278"/>
      <c r="E141" s="278"/>
      <c r="F141" s="278"/>
      <c r="G141" s="278"/>
      <c r="H141" s="278"/>
      <c r="I141" s="278"/>
      <c r="J141" s="278"/>
    </row>
    <row r="142" spans="1:10" s="140" customFormat="1" x14ac:dyDescent="0.2">
      <c r="A142" s="278"/>
      <c r="B142" s="278"/>
      <c r="C142" s="278"/>
      <c r="D142" s="278"/>
      <c r="E142" s="278"/>
      <c r="F142" s="278"/>
      <c r="G142" s="278"/>
      <c r="H142" s="278"/>
      <c r="I142" s="278"/>
      <c r="J142" s="278"/>
    </row>
    <row r="143" spans="1:10" s="140" customFormat="1" x14ac:dyDescent="0.2"/>
    <row r="144" spans="1:10" s="140" customFormat="1" x14ac:dyDescent="0.2"/>
    <row r="145" s="140" customFormat="1" x14ac:dyDescent="0.2"/>
    <row r="146" s="140" customFormat="1" x14ac:dyDescent="0.2"/>
  </sheetData>
  <mergeCells count="140">
    <mergeCell ref="F1:G3"/>
    <mergeCell ref="H1:J3"/>
    <mergeCell ref="A9:J9"/>
    <mergeCell ref="A10:J10"/>
    <mergeCell ref="A11:J11"/>
    <mergeCell ref="A12:J12"/>
    <mergeCell ref="B17:D17"/>
    <mergeCell ref="F17:G17"/>
    <mergeCell ref="A18:J18"/>
    <mergeCell ref="A19:J19"/>
    <mergeCell ref="A20:J20"/>
    <mergeCell ref="A21:J21"/>
    <mergeCell ref="B13:D13"/>
    <mergeCell ref="F13:G13"/>
    <mergeCell ref="B14:D14"/>
    <mergeCell ref="F14:G14"/>
    <mergeCell ref="A15:J15"/>
    <mergeCell ref="B16:D16"/>
    <mergeCell ref="F16:G16"/>
    <mergeCell ref="A28:J28"/>
    <mergeCell ref="A29:J29"/>
    <mergeCell ref="A30:J30"/>
    <mergeCell ref="A31:J31"/>
    <mergeCell ref="A32:J32"/>
    <mergeCell ref="A33:J33"/>
    <mergeCell ref="A22:J22"/>
    <mergeCell ref="A23:J23"/>
    <mergeCell ref="A24:J24"/>
    <mergeCell ref="A25:J25"/>
    <mergeCell ref="A26:J26"/>
    <mergeCell ref="A27:J27"/>
    <mergeCell ref="A40:J40"/>
    <mergeCell ref="A41:J41"/>
    <mergeCell ref="A42:J42"/>
    <mergeCell ref="A43:J43"/>
    <mergeCell ref="A44:J44"/>
    <mergeCell ref="A45:J45"/>
    <mergeCell ref="A34:J34"/>
    <mergeCell ref="A35:J35"/>
    <mergeCell ref="A36:J36"/>
    <mergeCell ref="A37:J37"/>
    <mergeCell ref="A38:J38"/>
    <mergeCell ref="A39:J39"/>
    <mergeCell ref="A52:J52"/>
    <mergeCell ref="A53:J53"/>
    <mergeCell ref="A54:J54"/>
    <mergeCell ref="A55:J55"/>
    <mergeCell ref="A56:J56"/>
    <mergeCell ref="A57:J57"/>
    <mergeCell ref="A46:J46"/>
    <mergeCell ref="A47:J47"/>
    <mergeCell ref="A48:J48"/>
    <mergeCell ref="A49:J49"/>
    <mergeCell ref="A50:J50"/>
    <mergeCell ref="A51:J51"/>
    <mergeCell ref="A64:J64"/>
    <mergeCell ref="A65:J65"/>
    <mergeCell ref="A66:J66"/>
    <mergeCell ref="A67:J67"/>
    <mergeCell ref="A68:J68"/>
    <mergeCell ref="A69:J69"/>
    <mergeCell ref="A58:J58"/>
    <mergeCell ref="A59:J59"/>
    <mergeCell ref="A60:J60"/>
    <mergeCell ref="A61:J61"/>
    <mergeCell ref="A62:J62"/>
    <mergeCell ref="A63:J63"/>
    <mergeCell ref="A76:J76"/>
    <mergeCell ref="A77:J77"/>
    <mergeCell ref="A78:J78"/>
    <mergeCell ref="A79:J79"/>
    <mergeCell ref="A80:J80"/>
    <mergeCell ref="A81:J81"/>
    <mergeCell ref="A70:J70"/>
    <mergeCell ref="A71:J71"/>
    <mergeCell ref="A72:J72"/>
    <mergeCell ref="A73:J73"/>
    <mergeCell ref="A74:J74"/>
    <mergeCell ref="A75:J75"/>
    <mergeCell ref="A88:J88"/>
    <mergeCell ref="A89:J89"/>
    <mergeCell ref="A90:J90"/>
    <mergeCell ref="A91:J91"/>
    <mergeCell ref="A92:J92"/>
    <mergeCell ref="A93:J93"/>
    <mergeCell ref="A82:J82"/>
    <mergeCell ref="A83:J83"/>
    <mergeCell ref="A84:J84"/>
    <mergeCell ref="A85:J85"/>
    <mergeCell ref="A86:J86"/>
    <mergeCell ref="A87:J87"/>
    <mergeCell ref="A100:J100"/>
    <mergeCell ref="A101:J101"/>
    <mergeCell ref="A102:J102"/>
    <mergeCell ref="A103:J103"/>
    <mergeCell ref="A104:J104"/>
    <mergeCell ref="A105:J105"/>
    <mergeCell ref="A94:J94"/>
    <mergeCell ref="A95:J95"/>
    <mergeCell ref="A96:J96"/>
    <mergeCell ref="A97:J97"/>
    <mergeCell ref="A98:J98"/>
    <mergeCell ref="A99:J99"/>
    <mergeCell ref="A112:J112"/>
    <mergeCell ref="A113:J113"/>
    <mergeCell ref="A114:J114"/>
    <mergeCell ref="A115:J115"/>
    <mergeCell ref="A116:J116"/>
    <mergeCell ref="A117:J117"/>
    <mergeCell ref="A106:J106"/>
    <mergeCell ref="A107:J107"/>
    <mergeCell ref="A108:J108"/>
    <mergeCell ref="A109:J109"/>
    <mergeCell ref="A110:J110"/>
    <mergeCell ref="A111:J111"/>
    <mergeCell ref="A124:J124"/>
    <mergeCell ref="A125:J125"/>
    <mergeCell ref="A126:J126"/>
    <mergeCell ref="A127:J127"/>
    <mergeCell ref="A128:J128"/>
    <mergeCell ref="A129:J129"/>
    <mergeCell ref="A118:J118"/>
    <mergeCell ref="A119:J119"/>
    <mergeCell ref="A120:J120"/>
    <mergeCell ref="A121:J121"/>
    <mergeCell ref="A122:J122"/>
    <mergeCell ref="A123:J123"/>
    <mergeCell ref="A142:J142"/>
    <mergeCell ref="A136:J136"/>
    <mergeCell ref="A137:J137"/>
    <mergeCell ref="A138:J138"/>
    <mergeCell ref="A139:J139"/>
    <mergeCell ref="A140:J140"/>
    <mergeCell ref="A141:J141"/>
    <mergeCell ref="A130:J130"/>
    <mergeCell ref="A131:J131"/>
    <mergeCell ref="A132:J132"/>
    <mergeCell ref="A133:J133"/>
    <mergeCell ref="A134:J134"/>
    <mergeCell ref="A135:J135"/>
  </mergeCells>
  <phoneticPr fontId="3"/>
  <pageMargins left="0.39370078740157483" right="0.31496062992125984" top="0.74803149606299213" bottom="0.74803149606299213"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P68"/>
  <sheetViews>
    <sheetView zoomScale="85" zoomScaleNormal="85" zoomScaleSheetLayoutView="70" workbookViewId="0">
      <selection sqref="A1:L1"/>
    </sheetView>
  </sheetViews>
  <sheetFormatPr defaultColWidth="9" defaultRowHeight="12.5" x14ac:dyDescent="0.2"/>
  <cols>
    <col min="1" max="1" width="21.90625" style="132" bestFit="1" customWidth="1"/>
    <col min="2" max="2" width="12.6328125" style="132" customWidth="1"/>
    <col min="3" max="3" width="10.453125" style="132" bestFit="1" customWidth="1"/>
    <col min="4" max="4" width="11.7265625" style="132" bestFit="1" customWidth="1"/>
    <col min="5" max="5" width="10.7265625" style="132" bestFit="1" customWidth="1"/>
    <col min="6" max="6" width="6.08984375" style="132" bestFit="1" customWidth="1"/>
    <col min="7" max="7" width="9" style="132"/>
    <col min="8" max="8" width="19.26953125" style="132" bestFit="1" customWidth="1"/>
    <col min="9" max="9" width="10.453125" style="132" bestFit="1" customWidth="1"/>
    <col min="10" max="11" width="10.7265625" style="132" bestFit="1" customWidth="1"/>
    <col min="12" max="12" width="9.08984375" style="132" bestFit="1" customWidth="1"/>
    <col min="13" max="13" width="3.7265625" style="132" customWidth="1"/>
    <col min="14" max="15" width="15.6328125" style="132" customWidth="1"/>
    <col min="16" max="16" width="15.6328125" style="151" customWidth="1"/>
    <col min="17" max="16384" width="9" style="132"/>
  </cols>
  <sheetData>
    <row r="1" spans="1:16" ht="30.75" customHeight="1" x14ac:dyDescent="0.2">
      <c r="A1" s="317" t="s">
        <v>129</v>
      </c>
      <c r="B1" s="317"/>
      <c r="C1" s="317"/>
      <c r="D1" s="317"/>
      <c r="E1" s="317"/>
      <c r="F1" s="317"/>
      <c r="G1" s="317"/>
      <c r="H1" s="317"/>
      <c r="I1" s="317"/>
      <c r="J1" s="317"/>
      <c r="K1" s="317"/>
      <c r="L1" s="317"/>
    </row>
    <row r="2" spans="1:16" ht="13" thickBot="1" x14ac:dyDescent="0.25"/>
    <row r="3" spans="1:16" s="158" customFormat="1" ht="22.5" customHeight="1" thickBot="1" x14ac:dyDescent="0.25">
      <c r="A3" s="152" t="s">
        <v>118</v>
      </c>
      <c r="B3" s="152" t="s">
        <v>119</v>
      </c>
      <c r="C3" s="152" t="s">
        <v>120</v>
      </c>
      <c r="D3" s="152" t="s">
        <v>125</v>
      </c>
      <c r="E3" s="153" t="s">
        <v>126</v>
      </c>
      <c r="F3" s="152" t="s">
        <v>121</v>
      </c>
      <c r="G3" s="154"/>
      <c r="H3" s="152" t="s">
        <v>118</v>
      </c>
      <c r="I3" s="155" t="s">
        <v>120</v>
      </c>
      <c r="J3" s="155" t="s">
        <v>127</v>
      </c>
      <c r="K3" s="156" t="s">
        <v>126</v>
      </c>
      <c r="L3" s="155" t="s">
        <v>24</v>
      </c>
      <c r="M3" s="157"/>
      <c r="N3" s="318"/>
      <c r="O3" s="318"/>
      <c r="P3" s="318"/>
    </row>
    <row r="4" spans="1:16" s="165" customFormat="1" ht="22.5" customHeight="1" x14ac:dyDescent="0.2">
      <c r="A4" s="319" t="str">
        <f>科目複数!B71</f>
        <v>基本設計の部</v>
      </c>
      <c r="B4" s="314">
        <f>科目複数!G89</f>
        <v>17600000</v>
      </c>
      <c r="C4" s="159" t="s">
        <v>122</v>
      </c>
      <c r="D4" s="160">
        <v>0</v>
      </c>
      <c r="E4" s="160">
        <v>0</v>
      </c>
      <c r="F4" s="161">
        <f>SUM(D4:E4)</f>
        <v>0</v>
      </c>
      <c r="G4" s="162"/>
      <c r="H4" s="315" t="str">
        <f>A4</f>
        <v>基本設計の部</v>
      </c>
      <c r="I4" s="159" t="s">
        <v>122</v>
      </c>
      <c r="J4" s="163">
        <f>INT(D4*B4)</f>
        <v>0</v>
      </c>
      <c r="K4" s="163">
        <f>B4-J4</f>
        <v>17600000</v>
      </c>
      <c r="L4" s="164">
        <f>SUM(J4:K4)</f>
        <v>17600000</v>
      </c>
      <c r="N4" s="316"/>
      <c r="P4" s="166"/>
    </row>
    <row r="5" spans="1:16" s="165" customFormat="1" ht="22.5" customHeight="1" thickBot="1" x14ac:dyDescent="0.25">
      <c r="A5" s="305"/>
      <c r="B5" s="320"/>
      <c r="C5" s="167" t="s">
        <v>123</v>
      </c>
      <c r="D5" s="168">
        <v>0</v>
      </c>
      <c r="E5" s="168">
        <v>0</v>
      </c>
      <c r="F5" s="169">
        <f t="shared" ref="F5:F15" si="0">SUM(D5:E5)</f>
        <v>0</v>
      </c>
      <c r="G5" s="162"/>
      <c r="H5" s="309"/>
      <c r="I5" s="170" t="s">
        <v>123</v>
      </c>
      <c r="J5" s="171">
        <f>INT(B4*D5)</f>
        <v>0</v>
      </c>
      <c r="K5" s="171">
        <f>B4-J5</f>
        <v>17600000</v>
      </c>
      <c r="L5" s="172">
        <f t="shared" ref="L5:L15" si="1">SUM(J5:K5)</f>
        <v>17600000</v>
      </c>
      <c r="N5" s="316"/>
      <c r="P5" s="166"/>
    </row>
    <row r="6" spans="1:16" s="165" customFormat="1" ht="22.5" customHeight="1" x14ac:dyDescent="0.2">
      <c r="A6" s="313" t="str">
        <f>科目複数!B91</f>
        <v>設計企画の部</v>
      </c>
      <c r="B6" s="314">
        <f>科目複数!G109</f>
        <v>9350000</v>
      </c>
      <c r="C6" s="159" t="s">
        <v>122</v>
      </c>
      <c r="D6" s="160">
        <v>0</v>
      </c>
      <c r="E6" s="160">
        <v>0</v>
      </c>
      <c r="F6" s="161">
        <f t="shared" si="0"/>
        <v>0</v>
      </c>
      <c r="G6" s="162"/>
      <c r="H6" s="315" t="str">
        <f>A6</f>
        <v>設計企画の部</v>
      </c>
      <c r="I6" s="159" t="s">
        <v>122</v>
      </c>
      <c r="J6" s="163">
        <f>INT(D6*B6)</f>
        <v>0</v>
      </c>
      <c r="K6" s="163">
        <f>B6-J6</f>
        <v>9350000</v>
      </c>
      <c r="L6" s="164">
        <f t="shared" si="1"/>
        <v>9350000</v>
      </c>
      <c r="M6" s="173"/>
      <c r="N6" s="173"/>
      <c r="P6" s="166"/>
    </row>
    <row r="7" spans="1:16" s="165" customFormat="1" ht="22.5" customHeight="1" thickBot="1" x14ac:dyDescent="0.25">
      <c r="A7" s="305"/>
      <c r="B7" s="307"/>
      <c r="C7" s="167" t="s">
        <v>123</v>
      </c>
      <c r="D7" s="168">
        <v>0</v>
      </c>
      <c r="E7" s="168">
        <v>0</v>
      </c>
      <c r="F7" s="169">
        <f t="shared" si="0"/>
        <v>0</v>
      </c>
      <c r="G7" s="162"/>
      <c r="H7" s="309"/>
      <c r="I7" s="170" t="s">
        <v>123</v>
      </c>
      <c r="J7" s="171">
        <f>INT(B6*D7)</f>
        <v>0</v>
      </c>
      <c r="K7" s="171">
        <f>B6-J7</f>
        <v>9350000</v>
      </c>
      <c r="L7" s="172">
        <f t="shared" si="1"/>
        <v>9350000</v>
      </c>
      <c r="M7" s="173"/>
      <c r="N7" s="316"/>
      <c r="P7" s="166"/>
    </row>
    <row r="8" spans="1:16" s="165" customFormat="1" ht="22.5" customHeight="1" x14ac:dyDescent="0.2">
      <c r="A8" s="313" t="str">
        <f>科目複数!B111</f>
        <v>設計監修の部（その１）</v>
      </c>
      <c r="B8" s="314">
        <f>科目複数!G129</f>
        <v>2444200</v>
      </c>
      <c r="C8" s="159" t="s">
        <v>122</v>
      </c>
      <c r="D8" s="160">
        <v>0</v>
      </c>
      <c r="E8" s="160">
        <v>0</v>
      </c>
      <c r="F8" s="161">
        <f t="shared" si="0"/>
        <v>0</v>
      </c>
      <c r="G8" s="162"/>
      <c r="H8" s="315" t="str">
        <f>A8</f>
        <v>設計監修の部（その１）</v>
      </c>
      <c r="I8" s="159" t="s">
        <v>122</v>
      </c>
      <c r="J8" s="163">
        <f>INT(D8*B8)</f>
        <v>0</v>
      </c>
      <c r="K8" s="163">
        <f>B8-J8</f>
        <v>2444200</v>
      </c>
      <c r="L8" s="164">
        <f t="shared" si="1"/>
        <v>2444200</v>
      </c>
      <c r="N8" s="316"/>
      <c r="P8" s="166"/>
    </row>
    <row r="9" spans="1:16" s="165" customFormat="1" ht="22.5" customHeight="1" thickBot="1" x14ac:dyDescent="0.25">
      <c r="A9" s="305"/>
      <c r="B9" s="307"/>
      <c r="C9" s="167" t="s">
        <v>123</v>
      </c>
      <c r="D9" s="168">
        <v>0</v>
      </c>
      <c r="E9" s="168">
        <v>0</v>
      </c>
      <c r="F9" s="169">
        <f t="shared" si="0"/>
        <v>0</v>
      </c>
      <c r="G9" s="162"/>
      <c r="H9" s="309"/>
      <c r="I9" s="170" t="s">
        <v>123</v>
      </c>
      <c r="J9" s="171">
        <f>INT(B8*D9)</f>
        <v>0</v>
      </c>
      <c r="K9" s="171">
        <f>B8-J9</f>
        <v>2444200</v>
      </c>
      <c r="L9" s="172">
        <f t="shared" si="1"/>
        <v>2444200</v>
      </c>
      <c r="P9" s="166"/>
    </row>
    <row r="10" spans="1:16" s="165" customFormat="1" ht="22.5" customHeight="1" x14ac:dyDescent="0.2">
      <c r="A10" s="313" t="str">
        <f>科目複数!B131</f>
        <v>設計監修の部（その２）</v>
      </c>
      <c r="B10" s="314">
        <f>科目複数!G149</f>
        <v>4888400</v>
      </c>
      <c r="C10" s="159" t="s">
        <v>122</v>
      </c>
      <c r="D10" s="160">
        <v>0</v>
      </c>
      <c r="E10" s="160">
        <v>0</v>
      </c>
      <c r="F10" s="161">
        <f t="shared" si="0"/>
        <v>0</v>
      </c>
      <c r="G10" s="162"/>
      <c r="H10" s="315" t="str">
        <f>A10</f>
        <v>設計監修の部（その２）</v>
      </c>
      <c r="I10" s="159" t="s">
        <v>122</v>
      </c>
      <c r="J10" s="163">
        <f>INT(D10*B10)</f>
        <v>0</v>
      </c>
      <c r="K10" s="163">
        <f>B10-J10</f>
        <v>4888400</v>
      </c>
      <c r="L10" s="164">
        <f t="shared" si="1"/>
        <v>4888400</v>
      </c>
      <c r="P10" s="166"/>
    </row>
    <row r="11" spans="1:16" s="165" customFormat="1" ht="22.5" customHeight="1" thickBot="1" x14ac:dyDescent="0.25">
      <c r="A11" s="305"/>
      <c r="B11" s="307"/>
      <c r="C11" s="167" t="s">
        <v>123</v>
      </c>
      <c r="D11" s="168">
        <v>0</v>
      </c>
      <c r="E11" s="168">
        <v>0</v>
      </c>
      <c r="F11" s="169">
        <f t="shared" si="0"/>
        <v>0</v>
      </c>
      <c r="G11" s="162"/>
      <c r="H11" s="309"/>
      <c r="I11" s="170" t="s">
        <v>123</v>
      </c>
      <c r="J11" s="171">
        <f>INT(B10*D11)</f>
        <v>0</v>
      </c>
      <c r="K11" s="171">
        <f>B10-J11</f>
        <v>4888400</v>
      </c>
      <c r="L11" s="172">
        <f t="shared" si="1"/>
        <v>4888400</v>
      </c>
      <c r="P11" s="166"/>
    </row>
    <row r="12" spans="1:16" s="165" customFormat="1" ht="22.5" customHeight="1" x14ac:dyDescent="0.2">
      <c r="A12" s="313" t="str">
        <f>科目複数!B151</f>
        <v>設計監修の部（その３）</v>
      </c>
      <c r="B12" s="314">
        <f>科目複数!G169</f>
        <v>12223200</v>
      </c>
      <c r="C12" s="159" t="s">
        <v>122</v>
      </c>
      <c r="D12" s="160">
        <v>0</v>
      </c>
      <c r="E12" s="160">
        <v>0</v>
      </c>
      <c r="F12" s="161">
        <f t="shared" si="0"/>
        <v>0</v>
      </c>
      <c r="G12" s="162"/>
      <c r="H12" s="315" t="str">
        <f>A12</f>
        <v>設計監修の部（その３）</v>
      </c>
      <c r="I12" s="159" t="s">
        <v>122</v>
      </c>
      <c r="J12" s="163">
        <f>INT(D12*B12)</f>
        <v>0</v>
      </c>
      <c r="K12" s="163">
        <f>B12-J12</f>
        <v>12223200</v>
      </c>
      <c r="L12" s="164">
        <f t="shared" si="1"/>
        <v>12223200</v>
      </c>
      <c r="P12" s="166"/>
    </row>
    <row r="13" spans="1:16" s="165" customFormat="1" ht="22.5" customHeight="1" thickBot="1" x14ac:dyDescent="0.25">
      <c r="A13" s="305"/>
      <c r="B13" s="307"/>
      <c r="C13" s="167" t="s">
        <v>123</v>
      </c>
      <c r="D13" s="168">
        <v>0</v>
      </c>
      <c r="E13" s="168">
        <v>0</v>
      </c>
      <c r="F13" s="169">
        <f t="shared" si="0"/>
        <v>0</v>
      </c>
      <c r="G13" s="162"/>
      <c r="H13" s="309"/>
      <c r="I13" s="170" t="s">
        <v>123</v>
      </c>
      <c r="J13" s="171">
        <f>INT(B12*D13)</f>
        <v>0</v>
      </c>
      <c r="K13" s="171">
        <f>B12-J13</f>
        <v>12223200</v>
      </c>
      <c r="L13" s="172">
        <f t="shared" si="1"/>
        <v>12223200</v>
      </c>
      <c r="P13" s="166"/>
    </row>
    <row r="14" spans="1:16" s="165" customFormat="1" ht="22.5" customHeight="1" x14ac:dyDescent="0.2">
      <c r="A14" s="304" t="str">
        <f>科目複数!B171</f>
        <v>（カ）</v>
      </c>
      <c r="B14" s="306">
        <f>科目複数!G189</f>
        <v>0</v>
      </c>
      <c r="C14" s="159" t="s">
        <v>122</v>
      </c>
      <c r="D14" s="160">
        <v>0</v>
      </c>
      <c r="E14" s="160">
        <v>0</v>
      </c>
      <c r="F14" s="161">
        <f t="shared" si="0"/>
        <v>0</v>
      </c>
      <c r="G14" s="162"/>
      <c r="H14" s="308" t="str">
        <f>A14</f>
        <v>（カ）</v>
      </c>
      <c r="I14" s="159" t="s">
        <v>122</v>
      </c>
      <c r="J14" s="163">
        <f>INT(D14*B14)</f>
        <v>0</v>
      </c>
      <c r="K14" s="163">
        <f>B14-J14</f>
        <v>0</v>
      </c>
      <c r="L14" s="164">
        <f t="shared" si="1"/>
        <v>0</v>
      </c>
      <c r="P14" s="166"/>
    </row>
    <row r="15" spans="1:16" s="165" customFormat="1" ht="22.5" customHeight="1" thickBot="1" x14ac:dyDescent="0.25">
      <c r="A15" s="305"/>
      <c r="B15" s="307"/>
      <c r="C15" s="167" t="s">
        <v>123</v>
      </c>
      <c r="D15" s="168">
        <v>0</v>
      </c>
      <c r="E15" s="168">
        <v>0</v>
      </c>
      <c r="F15" s="169">
        <f t="shared" si="0"/>
        <v>0</v>
      </c>
      <c r="G15" s="162"/>
      <c r="H15" s="309"/>
      <c r="I15" s="170" t="s">
        <v>123</v>
      </c>
      <c r="J15" s="171">
        <f>INT(B14*D15)</f>
        <v>0</v>
      </c>
      <c r="K15" s="171">
        <f>B14-J15</f>
        <v>0</v>
      </c>
      <c r="L15" s="172">
        <f t="shared" si="1"/>
        <v>0</v>
      </c>
      <c r="P15" s="166"/>
    </row>
    <row r="16" spans="1:16" s="175" customFormat="1" ht="22.5" customHeight="1" x14ac:dyDescent="0.2">
      <c r="A16" s="310"/>
      <c r="B16" s="310"/>
      <c r="C16" s="310"/>
      <c r="D16" s="310"/>
      <c r="E16" s="310"/>
      <c r="F16" s="310"/>
      <c r="G16" s="310"/>
      <c r="H16" s="310"/>
      <c r="I16" s="310"/>
      <c r="J16" s="310"/>
      <c r="K16" s="310"/>
      <c r="L16" s="310"/>
      <c r="M16" s="310"/>
      <c r="N16" s="174"/>
      <c r="P16" s="176"/>
    </row>
    <row r="17" spans="1:16" s="180" customFormat="1" ht="22.5" customHeight="1" x14ac:dyDescent="0.25">
      <c r="A17" s="311" t="s">
        <v>124</v>
      </c>
      <c r="B17" s="311"/>
      <c r="C17" s="311"/>
      <c r="D17" s="311"/>
      <c r="E17" s="311"/>
      <c r="F17" s="177"/>
      <c r="G17" s="177"/>
      <c r="H17" s="312"/>
      <c r="I17" s="312"/>
      <c r="J17" s="312"/>
      <c r="K17" s="312"/>
      <c r="L17" s="312"/>
      <c r="M17" s="177"/>
      <c r="N17" s="179"/>
      <c r="P17" s="181"/>
    </row>
    <row r="18" spans="1:16" s="180" customFormat="1" ht="13.5" customHeight="1" thickBot="1" x14ac:dyDescent="0.3">
      <c r="A18" s="302"/>
      <c r="B18" s="302"/>
      <c r="C18" s="302"/>
      <c r="D18" s="302"/>
      <c r="E18" s="302"/>
      <c r="F18" s="177"/>
      <c r="G18" s="177"/>
      <c r="H18" s="178"/>
      <c r="I18" s="178"/>
      <c r="J18" s="178"/>
      <c r="K18" s="178"/>
      <c r="L18" s="178"/>
      <c r="M18" s="177"/>
      <c r="N18" s="179"/>
      <c r="P18" s="181"/>
    </row>
    <row r="19" spans="1:16" s="180" customFormat="1" ht="22.5" customHeight="1" x14ac:dyDescent="0.25">
      <c r="A19" s="299" t="s">
        <v>122</v>
      </c>
      <c r="B19" s="299" t="s">
        <v>125</v>
      </c>
      <c r="C19" s="299"/>
      <c r="D19" s="303">
        <f>SUMIF(I:I,$A$19,J:J)</f>
        <v>0</v>
      </c>
      <c r="E19" s="303"/>
      <c r="F19" s="177"/>
      <c r="G19" s="177"/>
      <c r="H19" s="178"/>
      <c r="I19" s="177"/>
      <c r="J19" s="177"/>
      <c r="K19" s="177"/>
      <c r="L19" s="177"/>
      <c r="M19" s="177"/>
      <c r="N19" s="179"/>
      <c r="P19" s="181"/>
    </row>
    <row r="20" spans="1:16" s="180" customFormat="1" ht="22.5" customHeight="1" thickBot="1" x14ac:dyDescent="0.3">
      <c r="A20" s="298"/>
      <c r="B20" s="298" t="s">
        <v>128</v>
      </c>
      <c r="C20" s="298"/>
      <c r="D20" s="301">
        <f>SUMIF(I:I,$A$19,K:K)</f>
        <v>46505800</v>
      </c>
      <c r="E20" s="301"/>
      <c r="F20" s="177"/>
      <c r="G20" s="177"/>
      <c r="H20" s="178"/>
      <c r="I20" s="177"/>
      <c r="J20" s="177"/>
      <c r="K20" s="177"/>
      <c r="L20" s="177"/>
      <c r="M20" s="177"/>
      <c r="N20" s="179"/>
      <c r="P20" s="181"/>
    </row>
    <row r="21" spans="1:16" s="180" customFormat="1" ht="22.5" customHeight="1" x14ac:dyDescent="0.25">
      <c r="A21" s="297" t="s">
        <v>123</v>
      </c>
      <c r="B21" s="299" t="s">
        <v>125</v>
      </c>
      <c r="C21" s="299"/>
      <c r="D21" s="300">
        <f>SUMIF(I:I,$A$21,J:J)</f>
        <v>0</v>
      </c>
      <c r="E21" s="300"/>
      <c r="F21" s="177"/>
      <c r="G21" s="177"/>
      <c r="H21" s="177"/>
      <c r="I21" s="177"/>
      <c r="J21" s="177"/>
      <c r="K21" s="177"/>
      <c r="L21" s="177"/>
      <c r="M21" s="177"/>
      <c r="N21" s="179"/>
      <c r="P21" s="181"/>
    </row>
    <row r="22" spans="1:16" s="180" customFormat="1" ht="22.5" customHeight="1" thickBot="1" x14ac:dyDescent="0.3">
      <c r="A22" s="298"/>
      <c r="B22" s="298" t="s">
        <v>128</v>
      </c>
      <c r="C22" s="298"/>
      <c r="D22" s="301">
        <f>SUMIF(I:I,$A$21,K:K)</f>
        <v>46505800</v>
      </c>
      <c r="E22" s="301"/>
      <c r="F22" s="177"/>
      <c r="G22" s="177"/>
      <c r="H22" s="177"/>
      <c r="I22" s="177"/>
      <c r="J22" s="177"/>
      <c r="K22" s="177"/>
      <c r="L22" s="177"/>
      <c r="M22" s="177"/>
      <c r="N22" s="179"/>
      <c r="P22" s="181"/>
    </row>
    <row r="23" spans="1:16" s="140" customFormat="1" ht="22.5" customHeight="1" x14ac:dyDescent="0.2">
      <c r="A23" s="182"/>
      <c r="B23" s="182"/>
      <c r="C23" s="182"/>
      <c r="D23" s="182"/>
      <c r="E23" s="182"/>
      <c r="F23" s="182"/>
      <c r="G23" s="182"/>
      <c r="H23" s="182"/>
      <c r="I23" s="182"/>
      <c r="J23" s="182"/>
      <c r="K23" s="182"/>
      <c r="L23" s="182"/>
      <c r="M23" s="182"/>
      <c r="N23" s="150"/>
      <c r="P23" s="183"/>
    </row>
    <row r="24" spans="1:16" s="140" customFormat="1" ht="22.5" customHeight="1" x14ac:dyDescent="0.2">
      <c r="A24" s="182"/>
      <c r="B24" s="182"/>
      <c r="C24" s="182"/>
      <c r="D24" s="182"/>
      <c r="E24" s="182"/>
      <c r="F24" s="182"/>
      <c r="G24" s="182"/>
      <c r="H24" s="182"/>
      <c r="I24" s="182"/>
      <c r="J24" s="182"/>
      <c r="K24" s="182"/>
      <c r="L24" s="182"/>
      <c r="M24" s="182"/>
      <c r="N24" s="150"/>
      <c r="P24" s="183"/>
    </row>
    <row r="25" spans="1:16" s="140" customFormat="1" ht="22.5" customHeight="1" x14ac:dyDescent="0.2">
      <c r="A25" s="182"/>
      <c r="B25" s="182"/>
      <c r="C25" s="182"/>
      <c r="D25" s="182"/>
      <c r="E25" s="182"/>
      <c r="F25" s="182"/>
      <c r="G25" s="182"/>
      <c r="H25" s="182"/>
      <c r="I25" s="182"/>
      <c r="J25" s="182"/>
      <c r="K25" s="182"/>
      <c r="L25" s="182"/>
      <c r="M25" s="182"/>
      <c r="N25" s="150"/>
      <c r="P25" s="183"/>
    </row>
    <row r="26" spans="1:16" s="140" customFormat="1" ht="22.5" customHeight="1" x14ac:dyDescent="0.2">
      <c r="A26" s="278"/>
      <c r="B26" s="278"/>
      <c r="C26" s="278"/>
      <c r="D26" s="278"/>
      <c r="E26" s="278"/>
      <c r="F26" s="278"/>
      <c r="G26" s="278"/>
      <c r="H26" s="278"/>
      <c r="I26" s="278"/>
      <c r="J26" s="278"/>
      <c r="K26" s="278"/>
      <c r="L26" s="278"/>
      <c r="M26" s="278"/>
      <c r="N26" s="150"/>
      <c r="P26" s="183"/>
    </row>
    <row r="27" spans="1:16" s="140" customFormat="1" ht="22.5" customHeight="1" x14ac:dyDescent="0.2">
      <c r="A27" s="278"/>
      <c r="B27" s="278"/>
      <c r="C27" s="278"/>
      <c r="D27" s="278"/>
      <c r="E27" s="278"/>
      <c r="F27" s="278"/>
      <c r="G27" s="278"/>
      <c r="H27" s="278"/>
      <c r="I27" s="278"/>
      <c r="J27" s="278"/>
      <c r="K27" s="278"/>
      <c r="L27" s="278"/>
      <c r="M27" s="278"/>
      <c r="N27" s="150"/>
      <c r="P27" s="183"/>
    </row>
    <row r="28" spans="1:16" s="140" customFormat="1" ht="22.5" customHeight="1" x14ac:dyDescent="0.2">
      <c r="A28" s="278"/>
      <c r="B28" s="278"/>
      <c r="C28" s="278"/>
      <c r="D28" s="278"/>
      <c r="E28" s="278"/>
      <c r="F28" s="278"/>
      <c r="G28" s="278"/>
      <c r="H28" s="278"/>
      <c r="I28" s="278"/>
      <c r="J28" s="278"/>
      <c r="K28" s="278"/>
      <c r="L28" s="278"/>
      <c r="M28" s="278"/>
      <c r="N28" s="150"/>
      <c r="P28" s="183"/>
    </row>
    <row r="29" spans="1:16" s="140" customFormat="1" ht="22.5" customHeight="1" x14ac:dyDescent="0.2">
      <c r="A29" s="278"/>
      <c r="B29" s="278"/>
      <c r="C29" s="278"/>
      <c r="D29" s="278"/>
      <c r="E29" s="278"/>
      <c r="F29" s="278"/>
      <c r="G29" s="278"/>
      <c r="H29" s="278"/>
      <c r="I29" s="278"/>
      <c r="J29" s="278"/>
      <c r="K29" s="278"/>
      <c r="L29" s="278"/>
      <c r="M29" s="278"/>
      <c r="N29" s="150"/>
      <c r="P29" s="183"/>
    </row>
    <row r="30" spans="1:16" s="140" customFormat="1" ht="22.5" customHeight="1" x14ac:dyDescent="0.2">
      <c r="A30" s="278"/>
      <c r="B30" s="278"/>
      <c r="C30" s="278"/>
      <c r="D30" s="278"/>
      <c r="E30" s="278"/>
      <c r="F30" s="278"/>
      <c r="G30" s="278"/>
      <c r="H30" s="278"/>
      <c r="I30" s="278"/>
      <c r="J30" s="278"/>
      <c r="K30" s="278"/>
      <c r="L30" s="278"/>
      <c r="M30" s="278"/>
      <c r="N30" s="150"/>
      <c r="P30" s="183"/>
    </row>
    <row r="31" spans="1:16" s="140" customFormat="1" ht="22.5" customHeight="1" x14ac:dyDescent="0.2">
      <c r="A31" s="278"/>
      <c r="B31" s="278"/>
      <c r="C31" s="278"/>
      <c r="D31" s="278"/>
      <c r="E31" s="278"/>
      <c r="F31" s="278"/>
      <c r="G31" s="278"/>
      <c r="H31" s="278"/>
      <c r="I31" s="278"/>
      <c r="J31" s="278"/>
      <c r="K31" s="278"/>
      <c r="L31" s="278"/>
      <c r="M31" s="278"/>
      <c r="N31" s="150"/>
      <c r="P31" s="183"/>
    </row>
    <row r="32" spans="1:16" s="140" customFormat="1" ht="22.5" customHeight="1" x14ac:dyDescent="0.2">
      <c r="A32" s="278"/>
      <c r="B32" s="278"/>
      <c r="C32" s="278"/>
      <c r="D32" s="278"/>
      <c r="E32" s="278"/>
      <c r="F32" s="278"/>
      <c r="G32" s="278"/>
      <c r="H32" s="278"/>
      <c r="I32" s="278"/>
      <c r="J32" s="278"/>
      <c r="K32" s="278"/>
      <c r="L32" s="278"/>
      <c r="M32" s="278"/>
      <c r="N32" s="150"/>
      <c r="P32" s="183"/>
    </row>
    <row r="33" spans="1:16" s="140" customFormat="1" ht="22.5" customHeight="1" x14ac:dyDescent="0.2">
      <c r="A33" s="278"/>
      <c r="B33" s="278"/>
      <c r="C33" s="278"/>
      <c r="D33" s="278"/>
      <c r="E33" s="278"/>
      <c r="F33" s="278"/>
      <c r="G33" s="278"/>
      <c r="H33" s="278"/>
      <c r="I33" s="278"/>
      <c r="J33" s="278"/>
      <c r="K33" s="278"/>
      <c r="L33" s="278"/>
      <c r="M33" s="278"/>
      <c r="N33" s="150"/>
      <c r="P33" s="183"/>
    </row>
    <row r="34" spans="1:16" s="140" customFormat="1" ht="22.5" customHeight="1" x14ac:dyDescent="0.2">
      <c r="A34" s="278"/>
      <c r="B34" s="278"/>
      <c r="C34" s="278"/>
      <c r="D34" s="278"/>
      <c r="E34" s="278"/>
      <c r="F34" s="278"/>
      <c r="G34" s="278"/>
      <c r="H34" s="278"/>
      <c r="I34" s="278"/>
      <c r="J34" s="278"/>
      <c r="K34" s="278"/>
      <c r="L34" s="278"/>
      <c r="M34" s="278"/>
      <c r="N34" s="150"/>
      <c r="P34" s="183"/>
    </row>
    <row r="35" spans="1:16" s="140" customFormat="1" x14ac:dyDescent="0.2">
      <c r="A35" s="278"/>
      <c r="B35" s="278"/>
      <c r="C35" s="278"/>
      <c r="D35" s="278"/>
      <c r="E35" s="278"/>
      <c r="F35" s="278"/>
      <c r="G35" s="278"/>
      <c r="H35" s="278"/>
      <c r="I35" s="278"/>
      <c r="J35" s="278"/>
      <c r="K35" s="278"/>
      <c r="L35" s="278"/>
      <c r="M35" s="278"/>
      <c r="N35" s="150"/>
      <c r="P35" s="183"/>
    </row>
    <row r="36" spans="1:16" s="140" customFormat="1" x14ac:dyDescent="0.2">
      <c r="A36" s="278"/>
      <c r="B36" s="278"/>
      <c r="C36" s="278"/>
      <c r="D36" s="278"/>
      <c r="E36" s="278"/>
      <c r="F36" s="278"/>
      <c r="G36" s="278"/>
      <c r="H36" s="278"/>
      <c r="I36" s="278"/>
      <c r="J36" s="278"/>
      <c r="K36" s="278"/>
      <c r="L36" s="278"/>
      <c r="M36" s="278"/>
      <c r="N36" s="150"/>
      <c r="P36" s="183"/>
    </row>
    <row r="37" spans="1:16" s="140" customFormat="1" x14ac:dyDescent="0.2">
      <c r="A37" s="278"/>
      <c r="B37" s="278"/>
      <c r="C37" s="278"/>
      <c r="D37" s="278"/>
      <c r="E37" s="278"/>
      <c r="F37" s="278"/>
      <c r="G37" s="278"/>
      <c r="H37" s="278"/>
      <c r="I37" s="278"/>
      <c r="J37" s="278"/>
      <c r="K37" s="278"/>
      <c r="L37" s="278"/>
      <c r="M37" s="278"/>
      <c r="N37" s="150"/>
      <c r="P37" s="183"/>
    </row>
    <row r="38" spans="1:16" s="140" customFormat="1" x14ac:dyDescent="0.2">
      <c r="A38" s="278"/>
      <c r="B38" s="278"/>
      <c r="C38" s="278"/>
      <c r="D38" s="278"/>
      <c r="E38" s="278"/>
      <c r="F38" s="278"/>
      <c r="G38" s="278"/>
      <c r="H38" s="278"/>
      <c r="I38" s="278"/>
      <c r="J38" s="278"/>
      <c r="K38" s="278"/>
      <c r="L38" s="278"/>
      <c r="M38" s="278"/>
      <c r="N38" s="150"/>
      <c r="P38" s="183"/>
    </row>
    <row r="39" spans="1:16" s="140" customFormat="1" x14ac:dyDescent="0.2">
      <c r="A39" s="278"/>
      <c r="B39" s="278"/>
      <c r="C39" s="278"/>
      <c r="D39" s="278"/>
      <c r="E39" s="278"/>
      <c r="F39" s="278"/>
      <c r="G39" s="278"/>
      <c r="H39" s="278"/>
      <c r="I39" s="278"/>
      <c r="J39" s="278"/>
      <c r="K39" s="278"/>
      <c r="L39" s="278"/>
      <c r="M39" s="278"/>
      <c r="N39" s="150"/>
      <c r="P39" s="183"/>
    </row>
    <row r="40" spans="1:16" s="140" customFormat="1" x14ac:dyDescent="0.2">
      <c r="A40" s="278"/>
      <c r="B40" s="278"/>
      <c r="C40" s="278"/>
      <c r="D40" s="278"/>
      <c r="E40" s="278"/>
      <c r="F40" s="278"/>
      <c r="G40" s="278"/>
      <c r="H40" s="278"/>
      <c r="I40" s="278"/>
      <c r="J40" s="278"/>
      <c r="K40" s="278"/>
      <c r="L40" s="278"/>
      <c r="M40" s="278"/>
      <c r="N40" s="150"/>
      <c r="P40" s="183"/>
    </row>
    <row r="41" spans="1:16" s="140" customFormat="1" x14ac:dyDescent="0.2">
      <c r="A41" s="278"/>
      <c r="B41" s="278"/>
      <c r="C41" s="278"/>
      <c r="D41" s="278"/>
      <c r="E41" s="278"/>
      <c r="F41" s="278"/>
      <c r="G41" s="278"/>
      <c r="H41" s="278"/>
      <c r="I41" s="278"/>
      <c r="J41" s="278"/>
      <c r="K41" s="278"/>
      <c r="L41" s="278"/>
      <c r="M41" s="278"/>
      <c r="N41" s="150"/>
      <c r="P41" s="183"/>
    </row>
    <row r="42" spans="1:16" s="140" customFormat="1" x14ac:dyDescent="0.2">
      <c r="A42" s="278"/>
      <c r="B42" s="278"/>
      <c r="C42" s="278"/>
      <c r="D42" s="278"/>
      <c r="E42" s="278"/>
      <c r="F42" s="278"/>
      <c r="G42" s="278"/>
      <c r="H42" s="278"/>
      <c r="I42" s="278"/>
      <c r="J42" s="278"/>
      <c r="K42" s="278"/>
      <c r="L42" s="278"/>
      <c r="M42" s="278"/>
      <c r="N42" s="150"/>
      <c r="P42" s="183"/>
    </row>
    <row r="43" spans="1:16" s="140" customFormat="1" x14ac:dyDescent="0.2">
      <c r="A43" s="278"/>
      <c r="B43" s="278"/>
      <c r="C43" s="278"/>
      <c r="D43" s="278"/>
      <c r="E43" s="278"/>
      <c r="F43" s="278"/>
      <c r="G43" s="278"/>
      <c r="H43" s="278"/>
      <c r="I43" s="278"/>
      <c r="J43" s="278"/>
      <c r="K43" s="278"/>
      <c r="L43" s="278"/>
      <c r="M43" s="278"/>
      <c r="N43" s="150"/>
      <c r="P43" s="183"/>
    </row>
    <row r="44" spans="1:16" s="140" customFormat="1" x14ac:dyDescent="0.2">
      <c r="A44" s="278"/>
      <c r="B44" s="278"/>
      <c r="C44" s="278"/>
      <c r="D44" s="278"/>
      <c r="E44" s="278"/>
      <c r="F44" s="278"/>
      <c r="G44" s="278"/>
      <c r="H44" s="278"/>
      <c r="I44" s="278"/>
      <c r="J44" s="278"/>
      <c r="K44" s="278"/>
      <c r="L44" s="278"/>
      <c r="M44" s="278"/>
      <c r="N44" s="150"/>
      <c r="P44" s="183"/>
    </row>
    <row r="45" spans="1:16" s="140" customFormat="1" x14ac:dyDescent="0.2">
      <c r="A45" s="278"/>
      <c r="B45" s="278"/>
      <c r="C45" s="278"/>
      <c r="D45" s="278"/>
      <c r="E45" s="278"/>
      <c r="F45" s="278"/>
      <c r="G45" s="278"/>
      <c r="H45" s="278"/>
      <c r="I45" s="278"/>
      <c r="J45" s="278"/>
      <c r="K45" s="278"/>
      <c r="L45" s="278"/>
      <c r="M45" s="278"/>
      <c r="N45" s="150"/>
      <c r="P45" s="183"/>
    </row>
    <row r="46" spans="1:16" s="140" customFormat="1" x14ac:dyDescent="0.2">
      <c r="A46" s="278"/>
      <c r="B46" s="278"/>
      <c r="C46" s="278"/>
      <c r="D46" s="278"/>
      <c r="E46" s="278"/>
      <c r="F46" s="278"/>
      <c r="G46" s="278"/>
      <c r="H46" s="278"/>
      <c r="I46" s="278"/>
      <c r="J46" s="278"/>
      <c r="K46" s="278"/>
      <c r="L46" s="278"/>
      <c r="M46" s="278"/>
      <c r="N46" s="150"/>
      <c r="P46" s="183"/>
    </row>
    <row r="47" spans="1:16" s="140" customFormat="1" x14ac:dyDescent="0.2">
      <c r="A47" s="278"/>
      <c r="B47" s="278"/>
      <c r="C47" s="278"/>
      <c r="D47" s="278"/>
      <c r="E47" s="278"/>
      <c r="F47" s="278"/>
      <c r="G47" s="278"/>
      <c r="H47" s="278"/>
      <c r="I47" s="278"/>
      <c r="J47" s="278"/>
      <c r="K47" s="278"/>
      <c r="L47" s="278"/>
      <c r="M47" s="278"/>
      <c r="N47" s="150"/>
      <c r="P47" s="183"/>
    </row>
    <row r="48" spans="1:16" s="140" customFormat="1" x14ac:dyDescent="0.2">
      <c r="A48" s="278"/>
      <c r="B48" s="278"/>
      <c r="C48" s="278"/>
      <c r="D48" s="278"/>
      <c r="E48" s="278"/>
      <c r="F48" s="278"/>
      <c r="G48" s="278"/>
      <c r="H48" s="278"/>
      <c r="I48" s="278"/>
      <c r="J48" s="278"/>
      <c r="K48" s="278"/>
      <c r="L48" s="278"/>
      <c r="M48" s="278"/>
      <c r="N48" s="150"/>
      <c r="P48" s="183"/>
    </row>
    <row r="49" spans="1:16" s="140" customFormat="1" x14ac:dyDescent="0.2">
      <c r="A49" s="278"/>
      <c r="B49" s="278"/>
      <c r="C49" s="278"/>
      <c r="D49" s="278"/>
      <c r="E49" s="278"/>
      <c r="F49" s="278"/>
      <c r="G49" s="278"/>
      <c r="H49" s="278"/>
      <c r="I49" s="278"/>
      <c r="J49" s="278"/>
      <c r="K49" s="278"/>
      <c r="L49" s="278"/>
      <c r="M49" s="278"/>
      <c r="N49" s="150"/>
      <c r="P49" s="183"/>
    </row>
    <row r="50" spans="1:16" s="140" customFormat="1" x14ac:dyDescent="0.2">
      <c r="A50" s="278"/>
      <c r="B50" s="278"/>
      <c r="C50" s="278"/>
      <c r="D50" s="278"/>
      <c r="E50" s="278"/>
      <c r="F50" s="278"/>
      <c r="G50" s="278"/>
      <c r="H50" s="278"/>
      <c r="I50" s="278"/>
      <c r="J50" s="278"/>
      <c r="K50" s="278"/>
      <c r="L50" s="278"/>
      <c r="M50" s="278"/>
      <c r="N50" s="150"/>
      <c r="P50" s="183"/>
    </row>
    <row r="51" spans="1:16" s="140" customFormat="1" x14ac:dyDescent="0.2">
      <c r="A51" s="278"/>
      <c r="B51" s="278"/>
      <c r="C51" s="278"/>
      <c r="D51" s="278"/>
      <c r="E51" s="278"/>
      <c r="F51" s="278"/>
      <c r="G51" s="278"/>
      <c r="H51" s="278"/>
      <c r="I51" s="278"/>
      <c r="J51" s="278"/>
      <c r="K51" s="278"/>
      <c r="L51" s="278"/>
      <c r="M51" s="278"/>
      <c r="N51" s="150"/>
      <c r="P51" s="183"/>
    </row>
    <row r="52" spans="1:16" s="140" customFormat="1" x14ac:dyDescent="0.2">
      <c r="A52" s="278"/>
      <c r="B52" s="278"/>
      <c r="C52" s="278"/>
      <c r="D52" s="278"/>
      <c r="E52" s="278"/>
      <c r="F52" s="278"/>
      <c r="G52" s="278"/>
      <c r="H52" s="278"/>
      <c r="I52" s="278"/>
      <c r="J52" s="278"/>
      <c r="K52" s="278"/>
      <c r="L52" s="278"/>
      <c r="M52" s="278"/>
      <c r="N52" s="150"/>
      <c r="P52" s="183"/>
    </row>
    <row r="53" spans="1:16" s="140" customFormat="1" x14ac:dyDescent="0.2">
      <c r="A53" s="278"/>
      <c r="B53" s="278"/>
      <c r="C53" s="278"/>
      <c r="D53" s="278"/>
      <c r="E53" s="278"/>
      <c r="F53" s="278"/>
      <c r="G53" s="278"/>
      <c r="H53" s="278"/>
      <c r="I53" s="278"/>
      <c r="J53" s="278"/>
      <c r="K53" s="278"/>
      <c r="L53" s="278"/>
      <c r="M53" s="278"/>
      <c r="N53" s="150"/>
      <c r="P53" s="183"/>
    </row>
    <row r="54" spans="1:16" s="140" customFormat="1" x14ac:dyDescent="0.2">
      <c r="A54" s="278"/>
      <c r="B54" s="278"/>
      <c r="C54" s="278"/>
      <c r="D54" s="278"/>
      <c r="E54" s="278"/>
      <c r="F54" s="278"/>
      <c r="G54" s="278"/>
      <c r="H54" s="278"/>
      <c r="I54" s="278"/>
      <c r="J54" s="278"/>
      <c r="K54" s="278"/>
      <c r="L54" s="278"/>
      <c r="M54" s="278"/>
      <c r="N54" s="150"/>
      <c r="P54" s="183"/>
    </row>
    <row r="55" spans="1:16" s="140" customFormat="1" x14ac:dyDescent="0.2">
      <c r="A55" s="278"/>
      <c r="B55" s="278"/>
      <c r="C55" s="278"/>
      <c r="D55" s="278"/>
      <c r="E55" s="278"/>
      <c r="F55" s="278"/>
      <c r="G55" s="278"/>
      <c r="H55" s="278"/>
      <c r="I55" s="278"/>
      <c r="J55" s="278"/>
      <c r="K55" s="278"/>
      <c r="L55" s="278"/>
      <c r="M55" s="278"/>
      <c r="N55" s="150"/>
      <c r="P55" s="183"/>
    </row>
    <row r="56" spans="1:16" s="140" customFormat="1" x14ac:dyDescent="0.2">
      <c r="A56" s="278"/>
      <c r="B56" s="278"/>
      <c r="C56" s="278"/>
      <c r="D56" s="278"/>
      <c r="E56" s="278"/>
      <c r="F56" s="278"/>
      <c r="G56" s="278"/>
      <c r="H56" s="278"/>
      <c r="I56" s="278"/>
      <c r="J56" s="278"/>
      <c r="K56" s="278"/>
      <c r="L56" s="278"/>
      <c r="M56" s="278"/>
      <c r="N56" s="150"/>
      <c r="P56" s="183"/>
    </row>
    <row r="57" spans="1:16" s="140" customFormat="1" x14ac:dyDescent="0.2">
      <c r="A57" s="278"/>
      <c r="B57" s="278"/>
      <c r="C57" s="278"/>
      <c r="D57" s="278"/>
      <c r="E57" s="278"/>
      <c r="F57" s="278"/>
      <c r="G57" s="278"/>
      <c r="H57" s="278"/>
      <c r="I57" s="278"/>
      <c r="J57" s="278"/>
      <c r="K57" s="278"/>
      <c r="L57" s="278"/>
      <c r="M57" s="278"/>
      <c r="N57" s="150"/>
      <c r="P57" s="183"/>
    </row>
    <row r="58" spans="1:16" s="140" customFormat="1" x14ac:dyDescent="0.2">
      <c r="A58" s="278"/>
      <c r="B58" s="278"/>
      <c r="C58" s="278"/>
      <c r="D58" s="278"/>
      <c r="E58" s="278"/>
      <c r="F58" s="278"/>
      <c r="G58" s="278"/>
      <c r="H58" s="278"/>
      <c r="I58" s="278"/>
      <c r="J58" s="278"/>
      <c r="K58" s="278"/>
      <c r="L58" s="278"/>
      <c r="M58" s="278"/>
      <c r="N58" s="150"/>
      <c r="P58" s="183"/>
    </row>
    <row r="59" spans="1:16" s="140" customFormat="1" x14ac:dyDescent="0.2">
      <c r="A59" s="278"/>
      <c r="B59" s="278"/>
      <c r="C59" s="278"/>
      <c r="D59" s="278"/>
      <c r="E59" s="278"/>
      <c r="F59" s="278"/>
      <c r="G59" s="278"/>
      <c r="H59" s="278"/>
      <c r="I59" s="278"/>
      <c r="J59" s="278"/>
      <c r="K59" s="278"/>
      <c r="L59" s="278"/>
      <c r="M59" s="278"/>
      <c r="N59" s="150"/>
      <c r="P59" s="183"/>
    </row>
    <row r="60" spans="1:16" s="140" customFormat="1" x14ac:dyDescent="0.2">
      <c r="A60" s="278"/>
      <c r="B60" s="278"/>
      <c r="C60" s="278"/>
      <c r="D60" s="278"/>
      <c r="E60" s="278"/>
      <c r="F60" s="278"/>
      <c r="G60" s="278"/>
      <c r="H60" s="278"/>
      <c r="I60" s="278"/>
      <c r="J60" s="278"/>
      <c r="K60" s="278"/>
      <c r="L60" s="278"/>
      <c r="M60" s="278"/>
      <c r="N60" s="150"/>
      <c r="P60" s="183"/>
    </row>
    <row r="61" spans="1:16" s="140" customFormat="1" x14ac:dyDescent="0.2">
      <c r="A61" s="278"/>
      <c r="B61" s="278"/>
      <c r="C61" s="278"/>
      <c r="D61" s="278"/>
      <c r="E61" s="278"/>
      <c r="F61" s="278"/>
      <c r="G61" s="278"/>
      <c r="H61" s="278"/>
      <c r="I61" s="278"/>
      <c r="J61" s="278"/>
      <c r="K61" s="278"/>
      <c r="L61" s="278"/>
      <c r="M61" s="278"/>
      <c r="N61" s="150"/>
      <c r="P61" s="183"/>
    </row>
    <row r="62" spans="1:16" s="140" customFormat="1" x14ac:dyDescent="0.2">
      <c r="A62" s="278"/>
      <c r="B62" s="278"/>
      <c r="C62" s="278"/>
      <c r="D62" s="278"/>
      <c r="E62" s="278"/>
      <c r="F62" s="278"/>
      <c r="G62" s="278"/>
      <c r="H62" s="278"/>
      <c r="I62" s="278"/>
      <c r="J62" s="278"/>
      <c r="K62" s="278"/>
      <c r="L62" s="278"/>
      <c r="M62" s="278"/>
      <c r="N62" s="150"/>
      <c r="P62" s="183"/>
    </row>
    <row r="63" spans="1:16" s="140" customFormat="1" x14ac:dyDescent="0.2">
      <c r="A63" s="278"/>
      <c r="B63" s="278"/>
      <c r="C63" s="278"/>
      <c r="D63" s="278"/>
      <c r="E63" s="278"/>
      <c r="F63" s="278"/>
      <c r="G63" s="278"/>
      <c r="H63" s="278"/>
      <c r="I63" s="278"/>
      <c r="J63" s="278"/>
      <c r="K63" s="278"/>
      <c r="L63" s="278"/>
      <c r="M63" s="278"/>
      <c r="N63" s="150"/>
      <c r="P63" s="183"/>
    </row>
    <row r="64" spans="1:16" s="140" customFormat="1" x14ac:dyDescent="0.2">
      <c r="A64" s="278"/>
      <c r="B64" s="278"/>
      <c r="C64" s="278"/>
      <c r="D64" s="278"/>
      <c r="E64" s="278"/>
      <c r="F64" s="278"/>
      <c r="G64" s="278"/>
      <c r="H64" s="278"/>
      <c r="I64" s="278"/>
      <c r="J64" s="278"/>
      <c r="K64" s="278"/>
      <c r="L64" s="278"/>
      <c r="M64" s="278"/>
      <c r="N64" s="150"/>
      <c r="P64" s="183"/>
    </row>
    <row r="65" spans="16:16" s="140" customFormat="1" x14ac:dyDescent="0.2">
      <c r="P65" s="183"/>
    </row>
    <row r="66" spans="16:16" s="140" customFormat="1" x14ac:dyDescent="0.2">
      <c r="P66" s="183"/>
    </row>
    <row r="67" spans="16:16" s="140" customFormat="1" x14ac:dyDescent="0.2">
      <c r="P67" s="183"/>
    </row>
    <row r="68" spans="16:16" s="140" customFormat="1" x14ac:dyDescent="0.2">
      <c r="P68" s="183"/>
    </row>
  </sheetData>
  <mergeCells count="75">
    <mergeCell ref="A1:L1"/>
    <mergeCell ref="N3:P3"/>
    <mergeCell ref="A4:A5"/>
    <mergeCell ref="B4:B5"/>
    <mergeCell ref="H4:H5"/>
    <mergeCell ref="N4:N5"/>
    <mergeCell ref="A6:A7"/>
    <mergeCell ref="B6:B7"/>
    <mergeCell ref="H6:H7"/>
    <mergeCell ref="N7:N8"/>
    <mergeCell ref="A8:A9"/>
    <mergeCell ref="B8:B9"/>
    <mergeCell ref="H8:H9"/>
    <mergeCell ref="A10:A11"/>
    <mergeCell ref="B10:B11"/>
    <mergeCell ref="H10:H11"/>
    <mergeCell ref="A12:A13"/>
    <mergeCell ref="B12:B13"/>
    <mergeCell ref="H12:H13"/>
    <mergeCell ref="A14:A15"/>
    <mergeCell ref="B14:B15"/>
    <mergeCell ref="H14:H15"/>
    <mergeCell ref="A16:M16"/>
    <mergeCell ref="A17:E17"/>
    <mergeCell ref="H17:L17"/>
    <mergeCell ref="A18:E18"/>
    <mergeCell ref="A19:A20"/>
    <mergeCell ref="B19:C19"/>
    <mergeCell ref="D19:E19"/>
    <mergeCell ref="B20:C20"/>
    <mergeCell ref="D20:E20"/>
    <mergeCell ref="A32:M32"/>
    <mergeCell ref="A21:A22"/>
    <mergeCell ref="B21:C21"/>
    <mergeCell ref="D21:E21"/>
    <mergeCell ref="B22:C22"/>
    <mergeCell ref="D22:E22"/>
    <mergeCell ref="A26:M26"/>
    <mergeCell ref="A27:M27"/>
    <mergeCell ref="A28:M28"/>
    <mergeCell ref="A29:M29"/>
    <mergeCell ref="A30:M30"/>
    <mergeCell ref="A31:M31"/>
    <mergeCell ref="A44:M44"/>
    <mergeCell ref="A33:M33"/>
    <mergeCell ref="A34:M34"/>
    <mergeCell ref="A35:M35"/>
    <mergeCell ref="A36:M36"/>
    <mergeCell ref="A37:M37"/>
    <mergeCell ref="A38:M38"/>
    <mergeCell ref="A39:M39"/>
    <mergeCell ref="A40:M40"/>
    <mergeCell ref="A41:M41"/>
    <mergeCell ref="A42:M42"/>
    <mergeCell ref="A43:M43"/>
    <mergeCell ref="A56:M56"/>
    <mergeCell ref="A45:M45"/>
    <mergeCell ref="A46:M46"/>
    <mergeCell ref="A47:M47"/>
    <mergeCell ref="A48:M48"/>
    <mergeCell ref="A49:M49"/>
    <mergeCell ref="A50:M50"/>
    <mergeCell ref="A51:M51"/>
    <mergeCell ref="A52:M52"/>
    <mergeCell ref="A53:M53"/>
    <mergeCell ref="A54:M54"/>
    <mergeCell ref="A55:M55"/>
    <mergeCell ref="A63:M63"/>
    <mergeCell ref="A64:M64"/>
    <mergeCell ref="A57:M57"/>
    <mergeCell ref="A58:M58"/>
    <mergeCell ref="A59:M59"/>
    <mergeCell ref="A60:M60"/>
    <mergeCell ref="A61:M61"/>
    <mergeCell ref="A62:M62"/>
  </mergeCells>
  <phoneticPr fontId="3"/>
  <pageMargins left="0.39370078740157483" right="0.31496062992125984" top="0.70866141732283472" bottom="0.70866141732283472" header="0.31496062992125984" footer="0.31496062992125984"/>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科目複数</vt:lpstr>
      <vt:lpstr>Sheet1</vt:lpstr>
      <vt:lpstr>特約条項金額算出シート (2)</vt:lpstr>
      <vt:lpstr>Sheet1!Print_Area</vt:lpstr>
      <vt:lpstr>科目複数!Print_Area</vt:lpstr>
      <vt:lpstr>'特約条項金額算出シート (2)'!Print_Area</vt:lpstr>
    </vt:vector>
  </TitlesOfParts>
  <Company>大阪市交通局</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工務課営繕係</dc:creator>
  <cp:lastModifiedBy>高橋　典之</cp:lastModifiedBy>
  <cp:lastPrinted>2019-10-08T08:33:50Z</cp:lastPrinted>
  <dcterms:created xsi:type="dcterms:W3CDTF">2003-06-02T01:42:07Z</dcterms:created>
  <dcterms:modified xsi:type="dcterms:W3CDTF">2022-03-07T05:25:38Z</dcterms:modified>
</cp:coreProperties>
</file>