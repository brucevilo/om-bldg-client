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myTab1" Type="http://schemas.microsoft.com/office/2006/relationships/ui/extensibility" Target="OriginalRibbon/OriginalRibbon.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51196F13-6AD0-C1B8-E2B4-A1F9AE17003E}"/>
  <workbookPr codeName="ThisWorkbook"/>
  <mc:AlternateContent xmlns:mc="http://schemas.openxmlformats.org/markup-compatibility/2006">
    <mc:Choice Requires="x15">
      <x15ac:absPath xmlns:x15ac="http://schemas.microsoft.com/office/spreadsheetml/2010/11/ac" url="C:\Users\horik\Documents\Internship\om\「設計」設計書登録　内訳書\"/>
    </mc:Choice>
  </mc:AlternateContent>
  <xr:revisionPtr revIDLastSave="0" documentId="13_ncr:1_{F77A46ED-F650-4A65-87B5-5691E8A4C78A}" xr6:coauthVersionLast="47" xr6:coauthVersionMax="47" xr10:uidLastSave="{00000000-0000-0000-0000-000000000000}"/>
  <bookViews>
    <workbookView xWindow="-110" yWindow="-110" windowWidth="22780" windowHeight="14540" tabRatio="749" activeTab="1" xr2:uid="{00000000-000D-0000-FFFF-FFFF00000000}"/>
  </bookViews>
  <sheets>
    <sheet name="数量内訳書表紙" sheetId="32" state="hidden" r:id="rId1"/>
    <sheet name="表紙" sheetId="6" r:id="rId2"/>
    <sheet name="資産管理明細書" sheetId="38" r:id="rId3"/>
    <sheet name="資産クラス" sheetId="36" state="hidden" r:id="rId4"/>
    <sheet name="工事1" sheetId="1" r:id="rId5"/>
    <sheet name="代価" sheetId="31" state="hidden" r:id="rId6"/>
    <sheet name="工事2" sheetId="47" r:id="rId7"/>
    <sheet name="見積比較" sheetId="3" r:id="rId8"/>
    <sheet name="小運搬" sheetId="30" r:id="rId9"/>
    <sheet name="代価一覧" sheetId="7" r:id="rId10"/>
    <sheet name="資産クラス一覧表" sheetId="43" r:id="rId11"/>
    <sheet name="work" sheetId="8" r:id="rId12"/>
    <sheet name="新規シート" sheetId="9" state="hidden" r:id="rId13"/>
  </sheets>
  <externalReferences>
    <externalReference r:id="rId14"/>
    <externalReference r:id="rId15"/>
  </externalReferences>
  <definedNames>
    <definedName name="_xlnm.Print_Area" localSheetId="11">work!$A$1:$K$136</definedName>
    <definedName name="_xlnm.Print_Area" localSheetId="7">見積比較!$A:$O</definedName>
    <definedName name="_xlnm.Print_Area" localSheetId="4">工事1!$A$3:$L$117</definedName>
    <definedName name="_xlnm.Print_Area" localSheetId="3">資産クラス!$A$1:$I$325</definedName>
    <definedName name="_xlnm.Print_Area" localSheetId="2">資産管理明細書!$A$3:$L$48</definedName>
    <definedName name="_xlnm.Print_Area" localSheetId="0">数量内訳書表紙!$A$1:$L$23</definedName>
    <definedName name="_xlnm.Print_Area" localSheetId="5">代価!$A:$L</definedName>
    <definedName name="_xlnm.Print_Area" localSheetId="1">表紙!$A$1:$W$117</definedName>
    <definedName name="区分" localSheetId="6">#REF!</definedName>
    <definedName name="区分">#REF!</definedName>
    <definedName name="区分1">[1]Sheet2!$D$1:$D$19</definedName>
    <definedName name="分類">[1]Sheet2!$A$1:$A$2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2" i="38" l="1"/>
  <c r="J30" i="38" l="1"/>
  <c r="J29" i="38"/>
  <c r="H40" i="38"/>
  <c r="H46" i="38" s="1"/>
  <c r="J33" i="38"/>
  <c r="J32" i="38"/>
  <c r="J31" i="38"/>
  <c r="J43" i="38"/>
  <c r="J41" i="38"/>
  <c r="J40" i="38"/>
  <c r="J39" i="38"/>
  <c r="J38" i="38"/>
  <c r="J37" i="38"/>
  <c r="J36" i="38"/>
  <c r="J21" i="38"/>
  <c r="J20" i="38"/>
  <c r="J19" i="38"/>
  <c r="J18" i="38"/>
  <c r="J17" i="38"/>
  <c r="J16" i="38"/>
  <c r="I109" i="6" l="1"/>
  <c r="I108" i="6"/>
  <c r="I111" i="6" s="1"/>
  <c r="I59" i="6" s="1"/>
  <c r="I101" i="6"/>
  <c r="I100" i="6"/>
  <c r="I99" i="6"/>
  <c r="I90" i="6"/>
  <c r="I89" i="6"/>
  <c r="I88" i="6"/>
  <c r="I87" i="6"/>
  <c r="I86" i="6"/>
  <c r="I60" i="6" l="1"/>
  <c r="I61" i="6" s="1"/>
  <c r="M71" i="6" l="1"/>
  <c r="I31" i="6" l="1"/>
  <c r="M94" i="6" l="1"/>
  <c r="J22" i="38" l="1"/>
  <c r="L26" i="38" l="1"/>
  <c r="J26" i="38"/>
  <c r="M25" i="38"/>
  <c r="J24" i="38"/>
  <c r="J23" i="38"/>
  <c r="J15" i="38"/>
  <c r="J14" i="38"/>
  <c r="J13" i="38"/>
  <c r="J12" i="38"/>
  <c r="J11" i="38"/>
  <c r="J10" i="38"/>
  <c r="J9" i="38"/>
  <c r="J8" i="38"/>
  <c r="J7" i="38"/>
  <c r="J6" i="38"/>
  <c r="J5" i="38"/>
  <c r="M117" i="1" l="1"/>
  <c r="L116" i="1"/>
  <c r="K116" i="1"/>
  <c r="J116" i="1"/>
  <c r="K27" i="8" l="1"/>
  <c r="J27" i="8"/>
  <c r="H5" i="8" l="1"/>
  <c r="H4" i="8"/>
  <c r="M71" i="47" l="1"/>
  <c r="I69" i="47"/>
  <c r="I68" i="47"/>
  <c r="I67" i="47"/>
  <c r="I66" i="47"/>
  <c r="I65" i="47"/>
  <c r="I64" i="47"/>
  <c r="I63" i="47"/>
  <c r="I62" i="47"/>
  <c r="I61" i="47"/>
  <c r="I60" i="47"/>
  <c r="I59" i="47"/>
  <c r="I58" i="47"/>
  <c r="I57" i="47"/>
  <c r="I56" i="47"/>
  <c r="I55" i="47"/>
  <c r="I54" i="47"/>
  <c r="I53" i="47"/>
  <c r="I52" i="47"/>
  <c r="M48" i="47"/>
  <c r="I46" i="47"/>
  <c r="I44" i="47"/>
  <c r="I43" i="47"/>
  <c r="I42" i="47"/>
  <c r="I41" i="47"/>
  <c r="I40" i="47"/>
  <c r="I39" i="47"/>
  <c r="I38" i="47"/>
  <c r="I37" i="47"/>
  <c r="I36" i="47"/>
  <c r="I35" i="47"/>
  <c r="I34" i="47"/>
  <c r="I33" i="47"/>
  <c r="I31" i="47"/>
  <c r="I30" i="47"/>
  <c r="I32" i="47" s="1"/>
  <c r="I29" i="47"/>
  <c r="M25" i="47"/>
  <c r="I16" i="47"/>
  <c r="C5" i="47"/>
  <c r="I45" i="47" l="1"/>
  <c r="I47" i="47" s="1"/>
  <c r="I22" i="47" s="1"/>
  <c r="I24" i="47" s="1"/>
  <c r="I70" i="47"/>
  <c r="R11" i="6"/>
  <c r="R12" i="6"/>
  <c r="I78" i="6" l="1"/>
  <c r="I16" i="9"/>
  <c r="I80" i="6" l="1"/>
  <c r="I79" i="6"/>
  <c r="I44" i="9"/>
  <c r="I43" i="9"/>
  <c r="I42" i="9"/>
  <c r="I41" i="9"/>
  <c r="I40" i="9"/>
  <c r="I39" i="9"/>
  <c r="I38" i="9"/>
  <c r="I37" i="9"/>
  <c r="I36" i="9"/>
  <c r="I35" i="9"/>
  <c r="I34" i="9"/>
  <c r="I33" i="9"/>
  <c r="I31" i="9"/>
  <c r="I30" i="9"/>
  <c r="I32" i="9" s="1"/>
  <c r="I29" i="9"/>
  <c r="K47" i="1"/>
  <c r="L47" i="1"/>
  <c r="I44" i="1"/>
  <c r="I31" i="1"/>
  <c r="I45" i="9" l="1"/>
  <c r="I47" i="9" s="1"/>
  <c r="I30" i="6"/>
  <c r="I35" i="6"/>
  <c r="I82" i="6"/>
  <c r="I83" i="6"/>
  <c r="H91" i="36"/>
  <c r="H33" i="38" l="1"/>
  <c r="H43" i="38"/>
  <c r="H41" i="38"/>
  <c r="H5" i="38"/>
  <c r="H24" i="38"/>
  <c r="H23" i="38"/>
  <c r="I84" i="6"/>
  <c r="H47" i="38"/>
  <c r="H28" i="38"/>
  <c r="I33" i="6" l="1"/>
  <c r="I85" i="6"/>
  <c r="I76" i="6"/>
  <c r="J47" i="38"/>
  <c r="J46" i="38"/>
  <c r="J28" i="38"/>
  <c r="I81" i="6" l="1"/>
  <c r="I30" i="1"/>
  <c r="I32" i="1" s="1"/>
  <c r="I33" i="1"/>
  <c r="I34" i="1"/>
  <c r="I35" i="1"/>
  <c r="I36" i="1"/>
  <c r="I37" i="1"/>
  <c r="I38" i="1"/>
  <c r="I39" i="1"/>
  <c r="I40" i="1"/>
  <c r="I41" i="1"/>
  <c r="I42" i="1"/>
  <c r="I43" i="1"/>
  <c r="I46" i="1"/>
  <c r="I29" i="1"/>
  <c r="I53" i="1"/>
  <c r="I54" i="1"/>
  <c r="I55" i="1"/>
  <c r="I56" i="1"/>
  <c r="I57" i="1"/>
  <c r="I58" i="1"/>
  <c r="I59" i="1"/>
  <c r="I60" i="1"/>
  <c r="I61" i="1"/>
  <c r="I62" i="1"/>
  <c r="I63" i="1"/>
  <c r="I64" i="1"/>
  <c r="I65" i="1"/>
  <c r="I66" i="1"/>
  <c r="I67" i="1"/>
  <c r="I68" i="1"/>
  <c r="I69" i="1"/>
  <c r="I52" i="1"/>
  <c r="I43" i="6" l="1"/>
  <c r="I45" i="6" s="1"/>
  <c r="I47" i="6" s="1"/>
  <c r="I45" i="1"/>
  <c r="I47" i="1"/>
  <c r="R13" i="6"/>
  <c r="M94" i="1"/>
  <c r="I115" i="1"/>
  <c r="I114" i="1"/>
  <c r="I113" i="1"/>
  <c r="I112" i="1"/>
  <c r="I111" i="1"/>
  <c r="I110" i="1"/>
  <c r="I109" i="1"/>
  <c r="I108" i="1"/>
  <c r="I107" i="1"/>
  <c r="I106" i="1"/>
  <c r="I105" i="1"/>
  <c r="I104" i="1"/>
  <c r="I103" i="1"/>
  <c r="I102" i="1"/>
  <c r="I101" i="1"/>
  <c r="I100" i="1"/>
  <c r="I99" i="1"/>
  <c r="I98" i="1"/>
  <c r="L93" i="1"/>
  <c r="K93" i="1"/>
  <c r="J93" i="1"/>
  <c r="H22" i="8"/>
  <c r="H21" i="8"/>
  <c r="H14" i="8"/>
  <c r="V13" i="6"/>
  <c r="U13" i="6"/>
  <c r="T13" i="6"/>
  <c r="S13" i="6"/>
  <c r="I116" i="1" l="1"/>
  <c r="I9" i="1" s="1"/>
  <c r="K70" i="1"/>
  <c r="I92" i="1" l="1"/>
  <c r="I91" i="1"/>
  <c r="I90" i="1"/>
  <c r="I89" i="1"/>
  <c r="I88" i="1"/>
  <c r="I87" i="1"/>
  <c r="I86" i="1"/>
  <c r="I85" i="1"/>
  <c r="I84" i="1"/>
  <c r="I83" i="1"/>
  <c r="I82" i="1"/>
  <c r="I81" i="1"/>
  <c r="I80" i="1"/>
  <c r="I79" i="1"/>
  <c r="I78" i="1"/>
  <c r="I77" i="1"/>
  <c r="I76" i="1"/>
  <c r="I75" i="1"/>
  <c r="M71" i="1" l="1"/>
  <c r="I93" i="1"/>
  <c r="I8" i="1" s="1"/>
  <c r="L70" i="1"/>
  <c r="J70" i="1"/>
  <c r="G5" i="36" l="1"/>
  <c r="G1" i="36" l="1"/>
  <c r="G86" i="36" l="1"/>
  <c r="G68" i="36"/>
  <c r="G67" i="36"/>
  <c r="G66" i="36"/>
  <c r="G65" i="36"/>
  <c r="G64" i="36"/>
  <c r="G63" i="36"/>
  <c r="G62" i="36"/>
  <c r="G61" i="36"/>
  <c r="G60" i="36"/>
  <c r="G59" i="36"/>
  <c r="G58" i="36"/>
  <c r="G48" i="36" l="1"/>
  <c r="G39" i="36"/>
  <c r="G38" i="36"/>
  <c r="G37" i="36"/>
  <c r="G36" i="36"/>
  <c r="G35" i="36"/>
  <c r="G34" i="36"/>
  <c r="G33" i="36"/>
  <c r="G32" i="36"/>
  <c r="G31" i="36"/>
  <c r="G30" i="36"/>
  <c r="G29" i="36"/>
  <c r="G28" i="36"/>
  <c r="G27" i="36"/>
  <c r="G26" i="36"/>
  <c r="G25" i="36"/>
  <c r="G24" i="36"/>
  <c r="G18" i="36"/>
  <c r="G17" i="36"/>
  <c r="L71" i="8" l="1"/>
  <c r="K71" i="8"/>
  <c r="J71" i="8"/>
  <c r="H7" i="36"/>
  <c r="G7" i="36" l="1"/>
  <c r="H316" i="36"/>
  <c r="G316" i="36" s="1"/>
  <c r="D312" i="36"/>
  <c r="D311" i="36"/>
  <c r="H309" i="36"/>
  <c r="G309" i="36" s="1"/>
  <c r="H308" i="36"/>
  <c r="G308" i="36" s="1"/>
  <c r="H307" i="36"/>
  <c r="G307" i="36" s="1"/>
  <c r="H306" i="36"/>
  <c r="G306" i="36" s="1"/>
  <c r="H305" i="36"/>
  <c r="G305" i="36" s="1"/>
  <c r="H304" i="36"/>
  <c r="G304" i="36" s="1"/>
  <c r="H303" i="36"/>
  <c r="G303" i="36" s="1"/>
  <c r="H302" i="36"/>
  <c r="G302" i="36" s="1"/>
  <c r="H301" i="36"/>
  <c r="G301" i="36" s="1"/>
  <c r="H300" i="36"/>
  <c r="G300" i="36" s="1"/>
  <c r="H299" i="36"/>
  <c r="G299" i="36" s="1"/>
  <c r="H298" i="36"/>
  <c r="G298" i="36" s="1"/>
  <c r="H297" i="36"/>
  <c r="G297" i="36" s="1"/>
  <c r="H296" i="36"/>
  <c r="G296" i="36" s="1"/>
  <c r="H295" i="36"/>
  <c r="G295" i="36" s="1"/>
  <c r="H294" i="36"/>
  <c r="G294" i="36" s="1"/>
  <c r="H293" i="36"/>
  <c r="G293" i="36" s="1"/>
  <c r="H292" i="36"/>
  <c r="G292" i="36" s="1"/>
  <c r="H291" i="36"/>
  <c r="G291" i="36" s="1"/>
  <c r="H290" i="36"/>
  <c r="G290" i="36" s="1"/>
  <c r="H289" i="36"/>
  <c r="G289" i="36" s="1"/>
  <c r="H288" i="36"/>
  <c r="G288" i="36" s="1"/>
  <c r="H287" i="36"/>
  <c r="G287" i="36" s="1"/>
  <c r="H286" i="36"/>
  <c r="G286" i="36" s="1"/>
  <c r="H285" i="36"/>
  <c r="G285" i="36" s="1"/>
  <c r="H284" i="36"/>
  <c r="G284" i="36" s="1"/>
  <c r="H283" i="36"/>
  <c r="G283" i="36" s="1"/>
  <c r="H282" i="36"/>
  <c r="G282" i="36" s="1"/>
  <c r="H281" i="36"/>
  <c r="G281" i="36" s="1"/>
  <c r="H280" i="36"/>
  <c r="G280" i="36" s="1"/>
  <c r="H279" i="36"/>
  <c r="G279" i="36" s="1"/>
  <c r="H278" i="36"/>
  <c r="G278" i="36" s="1"/>
  <c r="H277" i="36"/>
  <c r="G277" i="36" s="1"/>
  <c r="H276" i="36"/>
  <c r="G276" i="36" s="1"/>
  <c r="H275" i="36"/>
  <c r="G275" i="36" s="1"/>
  <c r="H273" i="36"/>
  <c r="G273" i="36" s="1"/>
  <c r="H272" i="36"/>
  <c r="G272" i="36" s="1"/>
  <c r="H271" i="36"/>
  <c r="G271" i="36" s="1"/>
  <c r="H270" i="36"/>
  <c r="G270" i="36" s="1"/>
  <c r="H269" i="36"/>
  <c r="G269" i="36" s="1"/>
  <c r="H268" i="36"/>
  <c r="G268" i="36" s="1"/>
  <c r="H267" i="36"/>
  <c r="G267" i="36" s="1"/>
  <c r="H266" i="36"/>
  <c r="G266" i="36" s="1"/>
  <c r="H265" i="36"/>
  <c r="G265" i="36" s="1"/>
  <c r="H264" i="36"/>
  <c r="G264" i="36" s="1"/>
  <c r="H263" i="36"/>
  <c r="G263" i="36" s="1"/>
  <c r="H262" i="36"/>
  <c r="G262" i="36" s="1"/>
  <c r="H261" i="36"/>
  <c r="G261" i="36" s="1"/>
  <c r="H260" i="36"/>
  <c r="G260" i="36" s="1"/>
  <c r="H259" i="36"/>
  <c r="G259" i="36" s="1"/>
  <c r="H258" i="36"/>
  <c r="G258" i="36" s="1"/>
  <c r="H257" i="36"/>
  <c r="G257" i="36" s="1"/>
  <c r="H256" i="36"/>
  <c r="G256" i="36" s="1"/>
  <c r="H255" i="36"/>
  <c r="G255" i="36" s="1"/>
  <c r="H254" i="36"/>
  <c r="G254" i="36" s="1"/>
  <c r="H253" i="36"/>
  <c r="G253" i="36" s="1"/>
  <c r="H252" i="36"/>
  <c r="G252" i="36" s="1"/>
  <c r="H251" i="36"/>
  <c r="G251" i="36" s="1"/>
  <c r="H250" i="36"/>
  <c r="G250" i="36" s="1"/>
  <c r="H249" i="36"/>
  <c r="G249" i="36" s="1"/>
  <c r="H248" i="36"/>
  <c r="G248" i="36" s="1"/>
  <c r="H221" i="36"/>
  <c r="G221" i="36" s="1"/>
  <c r="H220" i="36"/>
  <c r="G220" i="36" s="1"/>
  <c r="H219" i="36"/>
  <c r="G219" i="36" s="1"/>
  <c r="H218" i="36"/>
  <c r="G218" i="36" s="1"/>
  <c r="H217" i="36"/>
  <c r="G217" i="36" s="1"/>
  <c r="H216" i="36"/>
  <c r="G216" i="36" s="1"/>
  <c r="H215" i="36"/>
  <c r="G215" i="36" s="1"/>
  <c r="H214" i="36"/>
  <c r="G214" i="36" s="1"/>
  <c r="H213" i="36"/>
  <c r="G213" i="36" s="1"/>
  <c r="H212" i="36"/>
  <c r="G212" i="36" s="1"/>
  <c r="H211" i="36"/>
  <c r="G211" i="36" s="1"/>
  <c r="H210" i="36"/>
  <c r="G210" i="36" s="1"/>
  <c r="H209" i="36"/>
  <c r="G209" i="36" s="1"/>
  <c r="H208" i="36"/>
  <c r="G208" i="36" s="1"/>
  <c r="H207" i="36"/>
  <c r="G207" i="36" s="1"/>
  <c r="H206" i="36"/>
  <c r="G206" i="36" s="1"/>
  <c r="H205" i="36"/>
  <c r="G205" i="36" s="1"/>
  <c r="H204" i="36"/>
  <c r="G204" i="36" s="1"/>
  <c r="H203" i="36"/>
  <c r="G203" i="36" s="1"/>
  <c r="H202" i="36"/>
  <c r="G202" i="36" s="1"/>
  <c r="H201" i="36"/>
  <c r="G201" i="36" s="1"/>
  <c r="H200" i="36"/>
  <c r="G200" i="36" s="1"/>
  <c r="H199" i="36"/>
  <c r="G199" i="36" s="1"/>
  <c r="H198" i="36"/>
  <c r="G198" i="36" s="1"/>
  <c r="H197" i="36"/>
  <c r="G197" i="36" s="1"/>
  <c r="H196" i="36"/>
  <c r="G196" i="36" s="1"/>
  <c r="H195" i="36"/>
  <c r="G195" i="36" s="1"/>
  <c r="H194" i="36"/>
  <c r="G194" i="36" s="1"/>
  <c r="H193" i="36"/>
  <c r="G193" i="36" s="1"/>
  <c r="H192" i="36"/>
  <c r="G192" i="36" s="1"/>
  <c r="H191" i="36"/>
  <c r="G191" i="36" s="1"/>
  <c r="H190" i="36"/>
  <c r="G190" i="36" s="1"/>
  <c r="H189" i="36"/>
  <c r="G189" i="36" s="1"/>
  <c r="H188" i="36"/>
  <c r="G188" i="36" s="1"/>
  <c r="H187" i="36"/>
  <c r="G187" i="36" s="1"/>
  <c r="H186" i="36"/>
  <c r="G186" i="36" s="1"/>
  <c r="H185" i="36"/>
  <c r="G185" i="36" s="1"/>
  <c r="H184" i="36"/>
  <c r="G184" i="36" s="1"/>
  <c r="H183" i="36"/>
  <c r="G183" i="36" s="1"/>
  <c r="H182" i="36"/>
  <c r="G182" i="36" s="1"/>
  <c r="H181" i="36"/>
  <c r="G181" i="36" s="1"/>
  <c r="H180" i="36"/>
  <c r="G180" i="36" s="1"/>
  <c r="H179" i="36"/>
  <c r="G179" i="36" s="1"/>
  <c r="H178" i="36"/>
  <c r="G178" i="36" s="1"/>
  <c r="H177" i="36"/>
  <c r="G177" i="36" s="1"/>
  <c r="H176" i="36"/>
  <c r="G176" i="36" s="1"/>
  <c r="H175" i="36"/>
  <c r="G175" i="36" s="1"/>
  <c r="H174" i="36"/>
  <c r="G174" i="36" s="1"/>
  <c r="H173" i="36"/>
  <c r="G173" i="36" s="1"/>
  <c r="H172" i="36"/>
  <c r="G172" i="36" s="1"/>
  <c r="H171" i="36"/>
  <c r="G171" i="36" s="1"/>
  <c r="H170" i="36"/>
  <c r="G170" i="36" s="1"/>
  <c r="H169" i="36"/>
  <c r="G169" i="36" s="1"/>
  <c r="H168" i="36"/>
  <c r="G168" i="36" s="1"/>
  <c r="H167" i="36"/>
  <c r="G167" i="36" s="1"/>
  <c r="H166" i="36"/>
  <c r="G166" i="36" s="1"/>
  <c r="H165" i="36"/>
  <c r="G165" i="36" s="1"/>
  <c r="H164" i="36"/>
  <c r="G164" i="36" s="1"/>
  <c r="H163" i="36"/>
  <c r="G163" i="36" s="1"/>
  <c r="H162" i="36"/>
  <c r="G162" i="36" s="1"/>
  <c r="H161" i="36"/>
  <c r="G161" i="36" s="1"/>
  <c r="H160" i="36"/>
  <c r="G160" i="36" s="1"/>
  <c r="H159" i="36"/>
  <c r="G159" i="36" s="1"/>
  <c r="H158" i="36"/>
  <c r="G158" i="36" s="1"/>
  <c r="H157" i="36"/>
  <c r="G157" i="36" s="1"/>
  <c r="H156" i="36"/>
  <c r="G156" i="36" s="1"/>
  <c r="H155" i="36"/>
  <c r="G155" i="36" s="1"/>
  <c r="H154" i="36"/>
  <c r="G154" i="36" s="1"/>
  <c r="H153" i="36"/>
  <c r="G153" i="36" s="1"/>
  <c r="H152" i="36"/>
  <c r="G152" i="36" s="1"/>
  <c r="H151" i="36"/>
  <c r="G151" i="36" s="1"/>
  <c r="H150" i="36"/>
  <c r="G150" i="36" s="1"/>
  <c r="H149" i="36"/>
  <c r="G149" i="36" s="1"/>
  <c r="H148" i="36"/>
  <c r="G148" i="36" s="1"/>
  <c r="H147" i="36"/>
  <c r="G147" i="36" s="1"/>
  <c r="H146" i="36"/>
  <c r="G146" i="36" s="1"/>
  <c r="H145" i="36"/>
  <c r="G145" i="36" s="1"/>
  <c r="H144" i="36"/>
  <c r="G144" i="36" s="1"/>
  <c r="H52" i="36"/>
  <c r="G90" i="36"/>
  <c r="G52" i="36" l="1"/>
  <c r="H69" i="36"/>
  <c r="G69" i="36" s="1"/>
  <c r="H310" i="36"/>
  <c r="G310" i="36" s="1"/>
  <c r="M48" i="38" l="1"/>
  <c r="H16" i="36"/>
  <c r="G16" i="36" l="1"/>
  <c r="H15" i="36"/>
  <c r="G15" i="36" s="1"/>
  <c r="I22" i="1"/>
  <c r="BC46" i="31"/>
  <c r="F13" i="7"/>
  <c r="E13" i="7"/>
  <c r="D13" i="7"/>
  <c r="C13" i="7"/>
  <c r="F12" i="7"/>
  <c r="E12" i="7"/>
  <c r="D12" i="7"/>
  <c r="C12" i="7"/>
  <c r="M48" i="31"/>
  <c r="W27" i="30"/>
  <c r="V27" i="30"/>
  <c r="U27" i="30"/>
  <c r="T27" i="30"/>
  <c r="S27" i="30"/>
  <c r="R27" i="30"/>
  <c r="Q27" i="30"/>
  <c r="P27" i="30"/>
  <c r="O27" i="30"/>
  <c r="N27" i="30"/>
  <c r="M27" i="30"/>
  <c r="L27" i="30"/>
  <c r="K27" i="30"/>
  <c r="J27" i="30"/>
  <c r="I27" i="30"/>
  <c r="H27" i="30"/>
  <c r="G27" i="30"/>
  <c r="F27" i="30"/>
  <c r="E27" i="30"/>
  <c r="X16" i="30"/>
  <c r="T16" i="30"/>
  <c r="P16" i="30"/>
  <c r="L16" i="30"/>
  <c r="V26" i="30"/>
  <c r="U26" i="30"/>
  <c r="T26" i="30"/>
  <c r="S26" i="30"/>
  <c r="R26" i="30"/>
  <c r="Q26" i="30"/>
  <c r="P26" i="30"/>
  <c r="O26" i="30"/>
  <c r="N26" i="30"/>
  <c r="M26" i="30"/>
  <c r="L26" i="30"/>
  <c r="K26" i="30"/>
  <c r="J26" i="30"/>
  <c r="I26" i="30"/>
  <c r="H26" i="30"/>
  <c r="G26" i="30"/>
  <c r="F26" i="30"/>
  <c r="E26" i="30"/>
  <c r="X15" i="30"/>
  <c r="T15" i="30"/>
  <c r="P15" i="30"/>
  <c r="L15" i="30"/>
  <c r="H14" i="30"/>
  <c r="J13" i="30"/>
  <c r="H12" i="30"/>
  <c r="H11" i="30"/>
  <c r="C1" i="30"/>
  <c r="I30" i="31"/>
  <c r="BC29" i="31"/>
  <c r="BC47" i="31" s="1"/>
  <c r="AH47" i="31" s="1"/>
  <c r="BC30" i="31"/>
  <c r="BC31" i="31"/>
  <c r="BC32" i="31"/>
  <c r="BC33" i="31"/>
  <c r="BC34" i="31"/>
  <c r="BC35" i="31"/>
  <c r="BC36" i="31"/>
  <c r="BC37" i="31"/>
  <c r="BC38" i="31"/>
  <c r="BC39" i="31"/>
  <c r="BC40" i="31"/>
  <c r="BC41" i="31"/>
  <c r="BC42" i="31"/>
  <c r="BC43" i="31"/>
  <c r="BC44" i="31"/>
  <c r="BC45" i="31"/>
  <c r="BC6" i="31"/>
  <c r="BC7" i="31"/>
  <c r="BC8" i="31"/>
  <c r="BC9" i="31"/>
  <c r="BC10" i="31"/>
  <c r="BC11" i="31"/>
  <c r="BC12" i="31"/>
  <c r="BC13" i="31"/>
  <c r="BC14" i="31"/>
  <c r="BC15" i="31"/>
  <c r="BC16" i="31"/>
  <c r="BC17" i="31"/>
  <c r="BC18" i="31"/>
  <c r="BC19" i="31"/>
  <c r="BC20" i="31"/>
  <c r="BC21" i="31"/>
  <c r="BC22" i="31"/>
  <c r="BC23" i="31"/>
  <c r="BB23" i="31"/>
  <c r="AJ23" i="31"/>
  <c r="AJ29" i="31"/>
  <c r="AJ36" i="31"/>
  <c r="AJ31" i="31"/>
  <c r="AJ30" i="31"/>
  <c r="AJ32" i="31"/>
  <c r="AJ33" i="31"/>
  <c r="AJ34" i="31"/>
  <c r="AJ35" i="31"/>
  <c r="I31" i="31"/>
  <c r="AL22" i="31"/>
  <c r="BB6" i="31"/>
  <c r="AN32" i="31"/>
  <c r="AJ6" i="31"/>
  <c r="BC24" i="31" l="1"/>
  <c r="AH24" i="31" s="1"/>
  <c r="D9" i="32" l="1"/>
  <c r="C28" i="6" l="1"/>
  <c r="F48" i="6" l="1"/>
  <c r="F71" i="6" s="1"/>
  <c r="N71" i="6" l="1"/>
  <c r="F94" i="6"/>
  <c r="N94" i="6" s="1"/>
  <c r="F117" i="6"/>
  <c r="M48" i="6"/>
  <c r="M117" i="6"/>
  <c r="M48" i="1"/>
  <c r="I70" i="1" l="1"/>
  <c r="I7" i="1" s="1"/>
  <c r="H6" i="36"/>
  <c r="I16" i="1" l="1"/>
  <c r="H137" i="36"/>
  <c r="G137" i="36" s="1"/>
  <c r="H133" i="36"/>
  <c r="G133" i="36" s="1"/>
  <c r="H129" i="36"/>
  <c r="G129" i="36" s="1"/>
  <c r="H125" i="36"/>
  <c r="G125" i="36" s="1"/>
  <c r="H121" i="36"/>
  <c r="G121" i="36" s="1"/>
  <c r="H124" i="36"/>
  <c r="G124" i="36" s="1"/>
  <c r="H134" i="36"/>
  <c r="G134" i="36" s="1"/>
  <c r="H136" i="36"/>
  <c r="G136" i="36" s="1"/>
  <c r="H132" i="36"/>
  <c r="G132" i="36" s="1"/>
  <c r="H128" i="36"/>
  <c r="G128" i="36" s="1"/>
  <c r="H120" i="36"/>
  <c r="G120" i="36" s="1"/>
  <c r="H126" i="36"/>
  <c r="G126" i="36" s="1"/>
  <c r="H143" i="36"/>
  <c r="G143" i="36" s="1"/>
  <c r="H135" i="36"/>
  <c r="G135" i="36" s="1"/>
  <c r="H131" i="36"/>
  <c r="G131" i="36" s="1"/>
  <c r="H127" i="36"/>
  <c r="G127" i="36" s="1"/>
  <c r="H123" i="36"/>
  <c r="G123" i="36" s="1"/>
  <c r="H119" i="36"/>
  <c r="G119" i="36" s="1"/>
  <c r="H130" i="36"/>
  <c r="G130" i="36" s="1"/>
  <c r="H122" i="36"/>
  <c r="G122" i="36" s="1"/>
  <c r="H236" i="36"/>
  <c r="G236" i="36" s="1"/>
  <c r="H232" i="36"/>
  <c r="G232" i="36" s="1"/>
  <c r="H228" i="36"/>
  <c r="G228" i="36" s="1"/>
  <c r="H224" i="36"/>
  <c r="G224" i="36" s="1"/>
  <c r="H229" i="36"/>
  <c r="G229" i="36" s="1"/>
  <c r="H247" i="36"/>
  <c r="G247" i="36" s="1"/>
  <c r="H235" i="36"/>
  <c r="G235" i="36" s="1"/>
  <c r="H231" i="36"/>
  <c r="G231" i="36" s="1"/>
  <c r="H227" i="36"/>
  <c r="G227" i="36" s="1"/>
  <c r="H223" i="36"/>
  <c r="G223" i="36" s="1"/>
  <c r="H237" i="36"/>
  <c r="G237" i="36" s="1"/>
  <c r="H225" i="36"/>
  <c r="G225" i="36" s="1"/>
  <c r="H238" i="36"/>
  <c r="G238" i="36" s="1"/>
  <c r="H234" i="36"/>
  <c r="G234" i="36" s="1"/>
  <c r="H230" i="36"/>
  <c r="G230" i="36" s="1"/>
  <c r="H226" i="36"/>
  <c r="G226" i="36" s="1"/>
  <c r="H233" i="36"/>
  <c r="G233" i="36" s="1"/>
  <c r="G6" i="36"/>
  <c r="N48" i="6"/>
  <c r="W24" i="30" l="1"/>
  <c r="AA9" i="30"/>
  <c r="V5" i="30" s="1"/>
  <c r="Z9" i="30"/>
  <c r="U5" i="30" s="1"/>
  <c r="Y9" i="30"/>
  <c r="T5" i="30" s="1"/>
  <c r="X9" i="30"/>
  <c r="S5" i="30" s="1"/>
  <c r="N27" i="3" l="1"/>
  <c r="Q24" i="30"/>
  <c r="S24" i="30"/>
  <c r="M9" i="30"/>
  <c r="L4" i="30" s="1"/>
  <c r="M24" i="30"/>
  <c r="P9" i="30"/>
  <c r="Q9" i="30"/>
  <c r="R9" i="30"/>
  <c r="S9" i="30"/>
  <c r="T9" i="30"/>
  <c r="S4" i="30" s="1"/>
  <c r="U9" i="30"/>
  <c r="T4" i="30" s="1"/>
  <c r="V9" i="30"/>
  <c r="U4" i="30" s="1"/>
  <c r="W9" i="30"/>
  <c r="V4" i="30" s="1"/>
  <c r="N9" i="30"/>
  <c r="M4" i="30" s="1"/>
  <c r="O9" i="30"/>
  <c r="N4" i="30" s="1"/>
  <c r="L9" i="30"/>
  <c r="K4" i="30" s="1"/>
  <c r="BB29" i="31"/>
  <c r="BB30" i="31"/>
  <c r="BB31" i="31"/>
  <c r="BB32" i="31"/>
  <c r="BB33" i="31"/>
  <c r="BB34" i="31"/>
  <c r="BB35" i="31"/>
  <c r="BB36" i="31"/>
  <c r="BB37" i="31"/>
  <c r="BB38" i="31"/>
  <c r="BB39" i="31"/>
  <c r="BB40" i="31"/>
  <c r="BB41" i="31"/>
  <c r="BB42" i="31"/>
  <c r="BB43" i="31"/>
  <c r="BB44" i="31"/>
  <c r="BB45" i="31"/>
  <c r="BB46" i="31"/>
  <c r="BA29" i="31"/>
  <c r="BA30" i="31"/>
  <c r="BA31" i="31"/>
  <c r="BA32" i="31"/>
  <c r="BA33" i="31"/>
  <c r="BA34" i="31"/>
  <c r="BA35" i="31"/>
  <c r="BA36" i="31"/>
  <c r="BA37" i="31"/>
  <c r="BA38" i="31"/>
  <c r="BA39" i="31"/>
  <c r="BA40" i="31"/>
  <c r="BA41" i="31"/>
  <c r="BA42" i="31"/>
  <c r="BA43" i="31"/>
  <c r="BA44" i="31"/>
  <c r="BA45" i="31"/>
  <c r="BA46" i="31"/>
  <c r="AZ29" i="31"/>
  <c r="AZ30" i="31"/>
  <c r="AZ31" i="31"/>
  <c r="AZ32" i="31"/>
  <c r="AZ33" i="31"/>
  <c r="AZ34" i="31"/>
  <c r="AZ35" i="31"/>
  <c r="AZ36" i="31"/>
  <c r="AZ37" i="31"/>
  <c r="AZ38" i="31"/>
  <c r="AZ39" i="31"/>
  <c r="AZ40" i="31"/>
  <c r="AZ41" i="31"/>
  <c r="AZ42" i="31"/>
  <c r="AZ43" i="31"/>
  <c r="AZ44" i="31"/>
  <c r="AZ45" i="31"/>
  <c r="AZ46" i="31"/>
  <c r="AY29" i="31"/>
  <c r="AY30" i="31"/>
  <c r="AY31" i="31"/>
  <c r="AY32" i="31"/>
  <c r="AY33" i="31"/>
  <c r="AY34" i="31"/>
  <c r="AY35" i="31"/>
  <c r="AY36" i="31"/>
  <c r="AY37" i="31"/>
  <c r="AY38" i="31"/>
  <c r="AY39" i="31"/>
  <c r="AY40" i="31"/>
  <c r="AY41" i="31"/>
  <c r="AY42" i="31"/>
  <c r="AY43" i="31"/>
  <c r="AY44" i="31"/>
  <c r="AY45" i="31"/>
  <c r="AY46" i="31"/>
  <c r="AX29" i="31"/>
  <c r="AX30" i="31"/>
  <c r="AX31" i="31"/>
  <c r="AX32" i="31"/>
  <c r="AX33" i="31"/>
  <c r="AX34" i="31"/>
  <c r="AX35" i="31"/>
  <c r="AX36" i="31"/>
  <c r="AX37" i="31"/>
  <c r="AX38" i="31"/>
  <c r="AX39" i="31"/>
  <c r="AX40" i="31"/>
  <c r="AX41" i="31"/>
  <c r="AX42" i="31"/>
  <c r="AX43" i="31"/>
  <c r="AX44" i="31"/>
  <c r="AX45" i="31"/>
  <c r="AX46" i="31"/>
  <c r="AW29" i="31"/>
  <c r="AW30" i="31"/>
  <c r="AW31" i="31"/>
  <c r="AW32" i="31"/>
  <c r="AW33" i="31"/>
  <c r="AW34" i="31"/>
  <c r="AW35" i="31"/>
  <c r="AW36" i="31"/>
  <c r="AW37" i="31"/>
  <c r="AW38" i="31"/>
  <c r="AW39" i="31"/>
  <c r="AW40" i="31"/>
  <c r="AW41" i="31"/>
  <c r="AW42" i="31"/>
  <c r="AW43" i="31"/>
  <c r="AW44" i="31"/>
  <c r="AW45" i="31"/>
  <c r="AW46" i="31"/>
  <c r="AV29" i="31"/>
  <c r="AV30" i="31"/>
  <c r="AV31" i="31"/>
  <c r="AV32" i="31"/>
  <c r="AV33" i="31"/>
  <c r="AV34" i="31"/>
  <c r="AV35" i="31"/>
  <c r="AV36" i="31"/>
  <c r="AV37" i="31"/>
  <c r="AV38" i="31"/>
  <c r="AV39" i="31"/>
  <c r="AV40" i="31"/>
  <c r="AV41" i="31"/>
  <c r="AV42" i="31"/>
  <c r="AV43" i="31"/>
  <c r="AV44" i="31"/>
  <c r="AV45" i="31"/>
  <c r="AV46" i="31"/>
  <c r="AU29" i="31"/>
  <c r="AU30" i="31"/>
  <c r="AU31" i="31"/>
  <c r="AU32" i="31"/>
  <c r="AU33" i="31"/>
  <c r="AU34" i="31"/>
  <c r="AU35" i="31"/>
  <c r="AU36" i="31"/>
  <c r="AU37" i="31"/>
  <c r="AU38" i="31"/>
  <c r="AU39" i="31"/>
  <c r="AU40" i="31"/>
  <c r="AU41" i="31"/>
  <c r="AU42" i="31"/>
  <c r="AU43" i="31"/>
  <c r="AU44" i="31"/>
  <c r="AU45" i="31"/>
  <c r="AU46" i="31"/>
  <c r="AT29" i="31"/>
  <c r="AT30" i="31"/>
  <c r="AT31" i="31"/>
  <c r="AT32" i="31"/>
  <c r="AT33" i="31"/>
  <c r="AT34" i="31"/>
  <c r="AT35" i="31"/>
  <c r="AT36" i="31"/>
  <c r="AT37" i="31"/>
  <c r="AT38" i="31"/>
  <c r="AT39" i="31"/>
  <c r="AT40" i="31"/>
  <c r="AT41" i="31"/>
  <c r="AT42" i="31"/>
  <c r="AT43" i="31"/>
  <c r="AT44" i="31"/>
  <c r="AT45" i="31"/>
  <c r="AT46" i="31"/>
  <c r="AS29" i="31"/>
  <c r="AS30" i="31"/>
  <c r="AS31" i="31"/>
  <c r="AS32" i="31"/>
  <c r="AS33" i="31"/>
  <c r="AS34" i="31"/>
  <c r="AS35" i="31"/>
  <c r="AS36" i="31"/>
  <c r="AS37" i="31"/>
  <c r="AS38" i="31"/>
  <c r="AS39" i="31"/>
  <c r="AS40" i="31"/>
  <c r="AS41" i="31"/>
  <c r="AS42" i="31"/>
  <c r="AS43" i="31"/>
  <c r="AS44" i="31"/>
  <c r="AS45" i="31"/>
  <c r="AS46" i="31"/>
  <c r="AR29" i="31"/>
  <c r="AR30" i="31"/>
  <c r="AR31" i="31"/>
  <c r="AR32" i="31"/>
  <c r="AR33" i="31"/>
  <c r="AR34" i="31"/>
  <c r="AR35" i="31"/>
  <c r="AR36" i="31"/>
  <c r="AR37" i="31"/>
  <c r="AR38" i="31"/>
  <c r="AR39" i="31"/>
  <c r="AR40" i="31"/>
  <c r="AR41" i="31"/>
  <c r="AR42" i="31"/>
  <c r="AR43" i="31"/>
  <c r="AR44" i="31"/>
  <c r="AR45" i="31"/>
  <c r="AR46" i="31"/>
  <c r="AQ29" i="31"/>
  <c r="AQ30" i="31"/>
  <c r="AQ31" i="31"/>
  <c r="AQ32" i="31"/>
  <c r="AQ33" i="31"/>
  <c r="AQ34" i="31"/>
  <c r="AQ35" i="31"/>
  <c r="AQ36" i="31"/>
  <c r="AQ37" i="31"/>
  <c r="AQ38" i="31"/>
  <c r="AQ39" i="31"/>
  <c r="AQ40" i="31"/>
  <c r="AQ41" i="31"/>
  <c r="AQ42" i="31"/>
  <c r="AQ43" i="31"/>
  <c r="AQ44" i="31"/>
  <c r="AQ45" i="31"/>
  <c r="AQ46" i="31"/>
  <c r="AP29" i="31"/>
  <c r="AP30" i="31"/>
  <c r="AP31" i="31"/>
  <c r="AP32" i="31"/>
  <c r="AP33" i="31"/>
  <c r="AP34" i="31"/>
  <c r="AP35" i="31"/>
  <c r="AP36" i="31"/>
  <c r="AP37" i="31"/>
  <c r="AP38" i="31"/>
  <c r="AP39" i="31"/>
  <c r="AP40" i="31"/>
  <c r="AP41" i="31"/>
  <c r="AP42" i="31"/>
  <c r="AP43" i="31"/>
  <c r="AP44" i="31"/>
  <c r="AP45" i="31"/>
  <c r="AP46" i="31"/>
  <c r="AO29" i="31"/>
  <c r="AO30" i="31"/>
  <c r="AO31" i="31"/>
  <c r="AO32" i="31"/>
  <c r="AO33" i="31"/>
  <c r="AO34" i="31"/>
  <c r="AO35" i="31"/>
  <c r="AO36" i="31"/>
  <c r="AO37" i="31"/>
  <c r="AO38" i="31"/>
  <c r="AO39" i="31"/>
  <c r="AO40" i="31"/>
  <c r="AO41" i="31"/>
  <c r="AO42" i="31"/>
  <c r="AO43" i="31"/>
  <c r="AO44" i="31"/>
  <c r="AO45" i="31"/>
  <c r="AO46" i="31"/>
  <c r="AN29" i="31"/>
  <c r="AN30" i="31"/>
  <c r="AN31" i="31"/>
  <c r="AN33" i="31"/>
  <c r="AN34" i="31"/>
  <c r="AN35" i="31"/>
  <c r="AN36" i="31"/>
  <c r="AN37" i="31"/>
  <c r="AN38" i="31"/>
  <c r="AN39" i="31"/>
  <c r="AN40" i="31"/>
  <c r="AN41" i="31"/>
  <c r="AN42" i="31"/>
  <c r="AN43" i="31"/>
  <c r="AN44" i="31"/>
  <c r="AN45" i="31"/>
  <c r="AN46" i="31"/>
  <c r="AM29" i="31"/>
  <c r="AM30" i="31"/>
  <c r="AM31" i="31"/>
  <c r="AM32" i="31"/>
  <c r="AM33" i="31"/>
  <c r="AM34" i="31"/>
  <c r="AM35" i="31"/>
  <c r="AM36" i="31"/>
  <c r="AM37" i="31"/>
  <c r="AM38" i="31"/>
  <c r="AM39" i="31"/>
  <c r="AM40" i="31"/>
  <c r="AM41" i="31"/>
  <c r="AM42" i="31"/>
  <c r="AM43" i="31"/>
  <c r="AM44" i="31"/>
  <c r="AM45" i="31"/>
  <c r="AM46" i="31"/>
  <c r="AL29" i="31"/>
  <c r="AL30" i="31"/>
  <c r="AL31" i="31"/>
  <c r="AL32" i="31"/>
  <c r="AL33" i="31"/>
  <c r="AL34" i="31"/>
  <c r="AL35" i="31"/>
  <c r="AL36" i="31"/>
  <c r="AL37" i="31"/>
  <c r="AL38" i="31"/>
  <c r="AL39" i="31"/>
  <c r="AL40" i="31"/>
  <c r="AL41" i="31"/>
  <c r="AL42" i="31"/>
  <c r="AL43" i="31"/>
  <c r="AL44" i="31"/>
  <c r="AL45" i="31"/>
  <c r="AL46" i="31"/>
  <c r="AK29" i="31"/>
  <c r="AK30" i="31"/>
  <c r="AK31" i="31"/>
  <c r="AK32" i="31"/>
  <c r="AK33" i="31"/>
  <c r="AK34" i="31"/>
  <c r="AK35" i="31"/>
  <c r="AK36" i="31"/>
  <c r="AK37" i="31"/>
  <c r="AK38" i="31"/>
  <c r="AK39" i="31"/>
  <c r="AK40" i="31"/>
  <c r="AK41" i="31"/>
  <c r="AK42" i="31"/>
  <c r="AK43" i="31"/>
  <c r="AK44" i="31"/>
  <c r="AK45" i="31"/>
  <c r="AK46" i="31"/>
  <c r="AJ37" i="31"/>
  <c r="AJ38" i="31"/>
  <c r="AJ39" i="31"/>
  <c r="AJ40" i="31"/>
  <c r="AJ41" i="31"/>
  <c r="AJ42" i="31"/>
  <c r="AJ43" i="31"/>
  <c r="AJ44" i="31"/>
  <c r="AJ45" i="31"/>
  <c r="AJ46" i="31"/>
  <c r="I29" i="31"/>
  <c r="I32" i="31"/>
  <c r="I33" i="31"/>
  <c r="I34" i="31"/>
  <c r="I35" i="31"/>
  <c r="I36" i="31"/>
  <c r="I37" i="31"/>
  <c r="I38" i="31"/>
  <c r="I39" i="31"/>
  <c r="I40" i="31"/>
  <c r="I41" i="31"/>
  <c r="I42" i="31"/>
  <c r="I43" i="31"/>
  <c r="I45" i="31"/>
  <c r="BB7" i="31"/>
  <c r="BB8" i="31"/>
  <c r="BB9" i="31"/>
  <c r="BB10" i="31"/>
  <c r="BB11" i="31"/>
  <c r="BB12" i="31"/>
  <c r="BB13" i="31"/>
  <c r="BB14" i="31"/>
  <c r="BB15" i="31"/>
  <c r="BB16" i="31"/>
  <c r="BB17" i="31"/>
  <c r="BB18" i="31"/>
  <c r="BB19" i="31"/>
  <c r="BB20" i="31"/>
  <c r="BB21" i="31"/>
  <c r="BB22" i="31"/>
  <c r="BA6" i="31"/>
  <c r="BA7" i="31"/>
  <c r="BA8" i="31"/>
  <c r="BA9" i="31"/>
  <c r="BA10" i="31"/>
  <c r="BA11" i="31"/>
  <c r="BA12" i="31"/>
  <c r="BA13" i="31"/>
  <c r="BA14" i="31"/>
  <c r="BA15" i="31"/>
  <c r="BA16" i="31"/>
  <c r="BA17" i="31"/>
  <c r="BA18" i="31"/>
  <c r="BA19" i="31"/>
  <c r="BA20" i="31"/>
  <c r="BA21" i="31"/>
  <c r="BA22" i="31"/>
  <c r="BA23" i="31"/>
  <c r="AZ6" i="31"/>
  <c r="AZ7" i="31"/>
  <c r="AZ8" i="31"/>
  <c r="AZ9" i="31"/>
  <c r="AZ10" i="31"/>
  <c r="AZ11" i="31"/>
  <c r="AZ12" i="31"/>
  <c r="AZ13" i="31"/>
  <c r="AZ14" i="31"/>
  <c r="AZ15" i="31"/>
  <c r="AZ16" i="31"/>
  <c r="AZ17" i="31"/>
  <c r="AZ18" i="31"/>
  <c r="AZ19" i="31"/>
  <c r="AZ20" i="31"/>
  <c r="AZ21" i="31"/>
  <c r="AZ22" i="31"/>
  <c r="AZ23" i="31"/>
  <c r="AY6" i="31"/>
  <c r="AY7" i="31"/>
  <c r="AY8" i="31"/>
  <c r="AY9" i="31"/>
  <c r="AY10" i="31"/>
  <c r="AY11" i="31"/>
  <c r="AY12" i="31"/>
  <c r="AY13" i="31"/>
  <c r="AY14" i="31"/>
  <c r="AY15" i="31"/>
  <c r="AY16" i="31"/>
  <c r="AY17" i="31"/>
  <c r="AY18" i="31"/>
  <c r="AY19" i="31"/>
  <c r="AY20" i="31"/>
  <c r="AY21" i="31"/>
  <c r="AY22" i="31"/>
  <c r="AY23" i="31"/>
  <c r="AX6" i="31"/>
  <c r="AX7" i="31"/>
  <c r="AX8" i="31"/>
  <c r="AX9" i="31"/>
  <c r="AX10" i="31"/>
  <c r="AX11" i="31"/>
  <c r="AX12" i="31"/>
  <c r="AX13" i="31"/>
  <c r="AX14" i="31"/>
  <c r="AX15" i="31"/>
  <c r="AX16" i="31"/>
  <c r="AX17" i="31"/>
  <c r="AX18" i="31"/>
  <c r="AX19" i="31"/>
  <c r="AX20" i="31"/>
  <c r="AX21" i="31"/>
  <c r="AX22" i="31"/>
  <c r="AX23" i="31"/>
  <c r="AW6" i="31"/>
  <c r="AW7" i="31"/>
  <c r="AW8" i="31"/>
  <c r="AW9" i="31"/>
  <c r="AW10" i="31"/>
  <c r="AW11" i="31"/>
  <c r="AW12" i="31"/>
  <c r="AW13" i="31"/>
  <c r="AW14" i="31"/>
  <c r="AW15" i="31"/>
  <c r="AW16" i="31"/>
  <c r="AW17" i="31"/>
  <c r="AW18" i="31"/>
  <c r="AW19" i="31"/>
  <c r="AW20" i="31"/>
  <c r="AW21" i="31"/>
  <c r="AW22" i="31"/>
  <c r="AW23" i="31"/>
  <c r="AV6" i="31"/>
  <c r="AV7" i="31"/>
  <c r="AV8" i="31"/>
  <c r="AV9" i="31"/>
  <c r="AV10" i="31"/>
  <c r="AV11" i="31"/>
  <c r="AV12" i="31"/>
  <c r="AV13" i="31"/>
  <c r="AV14" i="31"/>
  <c r="AV15" i="31"/>
  <c r="AV16" i="31"/>
  <c r="AV17" i="31"/>
  <c r="AV18" i="31"/>
  <c r="AV19" i="31"/>
  <c r="AV20" i="31"/>
  <c r="AV21" i="31"/>
  <c r="AV22" i="31"/>
  <c r="AV23" i="31"/>
  <c r="AU6" i="31"/>
  <c r="AU7" i="31"/>
  <c r="AU8" i="31"/>
  <c r="AU9" i="31"/>
  <c r="AU10" i="31"/>
  <c r="AU11" i="31"/>
  <c r="AU12" i="31"/>
  <c r="AU13" i="31"/>
  <c r="AU14" i="31"/>
  <c r="AU15" i="31"/>
  <c r="AU16" i="31"/>
  <c r="AU17" i="31"/>
  <c r="AU18" i="31"/>
  <c r="AU19" i="31"/>
  <c r="AU20" i="31"/>
  <c r="AU21" i="31"/>
  <c r="AU22" i="31"/>
  <c r="AU23" i="31"/>
  <c r="AT6" i="31"/>
  <c r="AT7" i="31"/>
  <c r="AT8" i="31"/>
  <c r="AT9" i="31"/>
  <c r="AT10" i="31"/>
  <c r="AT11" i="31"/>
  <c r="AT12" i="31"/>
  <c r="AT13" i="31"/>
  <c r="AT14" i="31"/>
  <c r="AT15" i="31"/>
  <c r="AT16" i="31"/>
  <c r="AT17" i="31"/>
  <c r="AT18" i="31"/>
  <c r="AT19" i="31"/>
  <c r="AT20" i="31"/>
  <c r="AT21" i="31"/>
  <c r="AT22" i="31"/>
  <c r="AT23" i="31"/>
  <c r="AS6" i="31"/>
  <c r="AS7" i="31"/>
  <c r="AS8" i="31"/>
  <c r="AS9" i="31"/>
  <c r="AS10" i="31"/>
  <c r="AS11" i="31"/>
  <c r="AS12" i="31"/>
  <c r="AS13" i="31"/>
  <c r="AS14" i="31"/>
  <c r="AS15" i="31"/>
  <c r="AS16" i="31"/>
  <c r="AS17" i="31"/>
  <c r="AS18" i="31"/>
  <c r="AS19" i="31"/>
  <c r="AS20" i="31"/>
  <c r="AS21" i="31"/>
  <c r="AS22" i="31"/>
  <c r="AS23" i="31"/>
  <c r="AR6" i="31"/>
  <c r="AR7" i="31"/>
  <c r="AR8" i="31"/>
  <c r="AR9" i="31"/>
  <c r="AR10" i="31"/>
  <c r="AR11" i="31"/>
  <c r="AR12" i="31"/>
  <c r="AR13" i="31"/>
  <c r="AR14" i="31"/>
  <c r="AR15" i="31"/>
  <c r="AR16" i="31"/>
  <c r="AR17" i="31"/>
  <c r="AR18" i="31"/>
  <c r="AR19" i="31"/>
  <c r="AR20" i="31"/>
  <c r="AR21" i="31"/>
  <c r="AR22" i="31"/>
  <c r="AR23" i="31"/>
  <c r="AQ6" i="31"/>
  <c r="AQ7" i="31"/>
  <c r="AQ8" i="31"/>
  <c r="AQ9" i="31"/>
  <c r="AQ10" i="31"/>
  <c r="AQ11" i="31"/>
  <c r="AQ12" i="31"/>
  <c r="AQ13" i="31"/>
  <c r="AQ14" i="31"/>
  <c r="AQ15" i="31"/>
  <c r="AQ16" i="31"/>
  <c r="AQ17" i="31"/>
  <c r="AQ18" i="31"/>
  <c r="AQ19" i="31"/>
  <c r="AQ20" i="31"/>
  <c r="AQ21" i="31"/>
  <c r="AQ22" i="31"/>
  <c r="AQ23" i="31"/>
  <c r="AP6" i="31"/>
  <c r="AP7" i="31"/>
  <c r="AP8" i="31"/>
  <c r="AP9" i="31"/>
  <c r="AP10" i="31"/>
  <c r="AP11" i="31"/>
  <c r="AP12" i="31"/>
  <c r="AP13" i="31"/>
  <c r="AP14" i="31"/>
  <c r="AP15" i="31"/>
  <c r="AP16" i="31"/>
  <c r="AP17" i="31"/>
  <c r="AP18" i="31"/>
  <c r="AP19" i="31"/>
  <c r="AP20" i="31"/>
  <c r="AP21" i="31"/>
  <c r="AP22" i="31"/>
  <c r="AP23" i="31"/>
  <c r="AO6" i="31"/>
  <c r="AO7" i="31"/>
  <c r="AO8" i="31"/>
  <c r="AO9" i="31"/>
  <c r="AO10" i="31"/>
  <c r="AO11" i="31"/>
  <c r="AO12" i="31"/>
  <c r="AO13" i="31"/>
  <c r="AO14" i="31"/>
  <c r="AO15" i="31"/>
  <c r="AO16" i="31"/>
  <c r="AO17" i="31"/>
  <c r="AO18" i="31"/>
  <c r="AO19" i="31"/>
  <c r="AO20" i="31"/>
  <c r="AO21" i="31"/>
  <c r="AO22" i="31"/>
  <c r="AO23" i="31"/>
  <c r="AN6" i="31"/>
  <c r="AN7" i="31"/>
  <c r="AN8" i="31"/>
  <c r="AN9" i="31"/>
  <c r="AN10" i="31"/>
  <c r="AN11" i="31"/>
  <c r="AN12" i="31"/>
  <c r="AN13" i="31"/>
  <c r="AN14" i="31"/>
  <c r="AN15" i="31"/>
  <c r="AN16" i="31"/>
  <c r="AN17" i="31"/>
  <c r="AN18" i="31"/>
  <c r="AN19" i="31"/>
  <c r="AN20" i="31"/>
  <c r="AN21" i="31"/>
  <c r="AN22" i="31"/>
  <c r="AN23" i="31"/>
  <c r="AM6" i="31"/>
  <c r="AM7" i="31"/>
  <c r="AM8" i="31"/>
  <c r="AM9" i="31"/>
  <c r="AM10" i="31"/>
  <c r="AM11" i="31"/>
  <c r="AM12" i="31"/>
  <c r="AM13" i="31"/>
  <c r="AM14" i="31"/>
  <c r="AM15" i="31"/>
  <c r="AM16" i="31"/>
  <c r="AM17" i="31"/>
  <c r="AM18" i="31"/>
  <c r="AM19" i="31"/>
  <c r="AM20" i="31"/>
  <c r="AM21" i="31"/>
  <c r="AM22" i="31"/>
  <c r="AM23" i="31"/>
  <c r="AL6" i="31"/>
  <c r="AL7" i="31"/>
  <c r="AL8" i="31"/>
  <c r="AL9" i="31"/>
  <c r="AL10" i="31"/>
  <c r="AL11" i="31"/>
  <c r="AL12" i="31"/>
  <c r="AL13" i="31"/>
  <c r="AL14" i="31"/>
  <c r="AL15" i="31"/>
  <c r="AL16" i="31"/>
  <c r="AL17" i="31"/>
  <c r="AL18" i="31"/>
  <c r="AL19" i="31"/>
  <c r="AL20" i="31"/>
  <c r="AL21" i="31"/>
  <c r="AL23" i="31"/>
  <c r="AK6" i="31"/>
  <c r="AK7" i="31"/>
  <c r="AK8" i="31"/>
  <c r="AK9" i="31"/>
  <c r="AK10" i="31"/>
  <c r="AK11" i="31"/>
  <c r="AK12" i="31"/>
  <c r="AK13" i="31"/>
  <c r="AK14" i="31"/>
  <c r="AK15" i="31"/>
  <c r="AK16" i="31"/>
  <c r="AK17" i="31"/>
  <c r="AK18" i="31"/>
  <c r="AK19" i="31"/>
  <c r="AK20" i="31"/>
  <c r="AK21" i="31"/>
  <c r="AK22" i="31"/>
  <c r="AK23" i="31"/>
  <c r="AJ7" i="31"/>
  <c r="AJ8" i="31"/>
  <c r="AJ9" i="31"/>
  <c r="AJ10" i="31"/>
  <c r="AJ11" i="31"/>
  <c r="AJ12" i="31"/>
  <c r="AJ13" i="31"/>
  <c r="AJ14" i="31"/>
  <c r="AJ15" i="31"/>
  <c r="AJ16" i="31"/>
  <c r="AJ17" i="31"/>
  <c r="AJ18" i="31"/>
  <c r="AJ19" i="31"/>
  <c r="AJ20" i="31"/>
  <c r="AJ21" i="31"/>
  <c r="AJ22" i="31"/>
  <c r="I6" i="31"/>
  <c r="I7" i="31"/>
  <c r="I8" i="31"/>
  <c r="I9" i="31"/>
  <c r="I10" i="31"/>
  <c r="I11" i="31"/>
  <c r="I12" i="31"/>
  <c r="I13" i="31"/>
  <c r="I14" i="31"/>
  <c r="I15" i="31"/>
  <c r="I16" i="31"/>
  <c r="I17" i="31"/>
  <c r="I18" i="31"/>
  <c r="I19" i="31"/>
  <c r="I20" i="31"/>
  <c r="I22" i="31"/>
  <c r="I23" i="31"/>
  <c r="F25" i="31"/>
  <c r="F48" i="31" s="1"/>
  <c r="N48" i="31" s="1"/>
  <c r="H25" i="31"/>
  <c r="H48" i="31" s="1"/>
  <c r="M25" i="1"/>
  <c r="V30" i="30"/>
  <c r="U30" i="30"/>
  <c r="V29" i="30"/>
  <c r="U29" i="30"/>
  <c r="T24" i="30"/>
  <c r="R24" i="30"/>
  <c r="P24" i="30"/>
  <c r="O24" i="30"/>
  <c r="N24" i="30"/>
  <c r="L24" i="30"/>
  <c r="K24" i="30"/>
  <c r="J24" i="30"/>
  <c r="I24" i="30"/>
  <c r="H24" i="30"/>
  <c r="G24" i="30"/>
  <c r="F24" i="30"/>
  <c r="E24" i="30"/>
  <c r="H18" i="30"/>
  <c r="H9" i="30" s="1"/>
  <c r="K3" i="30" s="1"/>
  <c r="K9" i="30"/>
  <c r="N3" i="30" s="1"/>
  <c r="J9" i="30"/>
  <c r="M3" i="30" s="1"/>
  <c r="I9" i="30"/>
  <c r="L3" i="30" s="1"/>
  <c r="M25" i="31"/>
  <c r="Q135" i="8"/>
  <c r="Q134" i="8"/>
  <c r="Q133" i="8"/>
  <c r="Q132" i="8"/>
  <c r="Q131" i="8"/>
  <c r="Q130" i="8"/>
  <c r="Q129" i="8"/>
  <c r="Q128" i="8"/>
  <c r="Q127" i="8"/>
  <c r="Q126" i="8"/>
  <c r="Q125" i="8"/>
  <c r="Q124" i="8"/>
  <c r="Q123" i="8"/>
  <c r="Q122" i="8"/>
  <c r="Q121" i="8"/>
  <c r="Q120" i="8"/>
  <c r="Q119" i="8"/>
  <c r="Q118" i="8"/>
  <c r="Q117" i="8"/>
  <c r="Q116" i="8"/>
  <c r="Q115" i="8"/>
  <c r="I84" i="8"/>
  <c r="I85" i="8"/>
  <c r="I86" i="8"/>
  <c r="I87" i="8"/>
  <c r="I88" i="8"/>
  <c r="I89" i="8"/>
  <c r="I90" i="8"/>
  <c r="I91" i="8"/>
  <c r="I92" i="8"/>
  <c r="I93" i="8"/>
  <c r="I94" i="8"/>
  <c r="I95" i="8"/>
  <c r="I96" i="8"/>
  <c r="I97" i="8"/>
  <c r="I98" i="8"/>
  <c r="I99" i="8"/>
  <c r="I100" i="8"/>
  <c r="I101" i="8"/>
  <c r="I102" i="8"/>
  <c r="I103" i="8"/>
  <c r="I104" i="8"/>
  <c r="I105" i="8"/>
  <c r="K84" i="8"/>
  <c r="K85" i="8"/>
  <c r="K86" i="8"/>
  <c r="K87" i="8"/>
  <c r="K88" i="8"/>
  <c r="K89" i="8"/>
  <c r="K90" i="8"/>
  <c r="K91" i="8"/>
  <c r="K92" i="8"/>
  <c r="K93" i="8"/>
  <c r="K94" i="8"/>
  <c r="K95" i="8"/>
  <c r="K96" i="8"/>
  <c r="K97" i="8"/>
  <c r="K98" i="8"/>
  <c r="K99" i="8"/>
  <c r="K100" i="8"/>
  <c r="K101" i="8"/>
  <c r="K102" i="8"/>
  <c r="K103" i="8"/>
  <c r="K104" i="8"/>
  <c r="K105" i="8"/>
  <c r="M84" i="8"/>
  <c r="M85" i="8"/>
  <c r="M86" i="8"/>
  <c r="M87" i="8"/>
  <c r="M88" i="8"/>
  <c r="M89" i="8"/>
  <c r="M90" i="8"/>
  <c r="M91" i="8"/>
  <c r="M92" i="8"/>
  <c r="M93" i="8"/>
  <c r="M94" i="8"/>
  <c r="M95" i="8"/>
  <c r="M96" i="8"/>
  <c r="M97" i="8"/>
  <c r="M98" i="8"/>
  <c r="M99" i="8"/>
  <c r="M100" i="8"/>
  <c r="M101" i="8"/>
  <c r="M102" i="8"/>
  <c r="M103" i="8"/>
  <c r="M104" i="8"/>
  <c r="M105" i="8"/>
  <c r="N105" i="8"/>
  <c r="O105" i="8" s="1"/>
  <c r="N104" i="8"/>
  <c r="O104" i="8" s="1"/>
  <c r="N103" i="8"/>
  <c r="O103" i="8" s="1"/>
  <c r="N102" i="8"/>
  <c r="O102" i="8" s="1"/>
  <c r="N101" i="8"/>
  <c r="O101" i="8" s="1"/>
  <c r="N100" i="8"/>
  <c r="O100" i="8" s="1"/>
  <c r="N99" i="8"/>
  <c r="O99" i="8" s="1"/>
  <c r="N98" i="8"/>
  <c r="O98" i="8" s="1"/>
  <c r="N97" i="8"/>
  <c r="O97" i="8" s="1"/>
  <c r="N96" i="8"/>
  <c r="O96" i="8" s="1"/>
  <c r="N95" i="8"/>
  <c r="O95" i="8" s="1"/>
  <c r="N94" i="8"/>
  <c r="O94" i="8" s="1"/>
  <c r="N93" i="8"/>
  <c r="O93" i="8" s="1"/>
  <c r="N92" i="8"/>
  <c r="O92" i="8" s="1"/>
  <c r="N91" i="8"/>
  <c r="O91" i="8" s="1"/>
  <c r="N90" i="8"/>
  <c r="O90" i="8" s="1"/>
  <c r="N89" i="8"/>
  <c r="O89" i="8" s="1"/>
  <c r="N88" i="8"/>
  <c r="O88" i="8" s="1"/>
  <c r="N87" i="8"/>
  <c r="O87" i="8" s="1"/>
  <c r="N86" i="8"/>
  <c r="O86" i="8" s="1"/>
  <c r="N85" i="8"/>
  <c r="O85" i="8" s="1"/>
  <c r="N84" i="8"/>
  <c r="O84" i="8" s="1"/>
  <c r="I6" i="3"/>
  <c r="I4" i="3"/>
  <c r="I5" i="3"/>
  <c r="I7" i="3"/>
  <c r="I8" i="3"/>
  <c r="I9" i="3"/>
  <c r="I10" i="3"/>
  <c r="I11" i="3"/>
  <c r="I12" i="3"/>
  <c r="I13" i="3"/>
  <c r="I14" i="3"/>
  <c r="I15" i="3"/>
  <c r="I16" i="3"/>
  <c r="I17" i="3"/>
  <c r="I18" i="3"/>
  <c r="I19" i="3"/>
  <c r="I20" i="3"/>
  <c r="I21" i="3"/>
  <c r="I22" i="3"/>
  <c r="I23" i="3"/>
  <c r="I24" i="3"/>
  <c r="I25" i="3"/>
  <c r="K6" i="3"/>
  <c r="K4" i="3"/>
  <c r="K5" i="3"/>
  <c r="K7" i="3"/>
  <c r="K8" i="3"/>
  <c r="K9" i="3"/>
  <c r="K10" i="3"/>
  <c r="K11" i="3"/>
  <c r="K12" i="3"/>
  <c r="K13" i="3"/>
  <c r="K14" i="3"/>
  <c r="K15" i="3"/>
  <c r="K16" i="3"/>
  <c r="K17" i="3"/>
  <c r="K18" i="3"/>
  <c r="K19" i="3"/>
  <c r="K20" i="3"/>
  <c r="K21" i="3"/>
  <c r="K22" i="3"/>
  <c r="K23" i="3"/>
  <c r="K24" i="3"/>
  <c r="K25" i="3"/>
  <c r="M6" i="3"/>
  <c r="M4" i="3"/>
  <c r="M5" i="3"/>
  <c r="M7" i="3"/>
  <c r="M8" i="3"/>
  <c r="M9" i="3"/>
  <c r="M10" i="3"/>
  <c r="M11" i="3"/>
  <c r="M12" i="3"/>
  <c r="M13" i="3"/>
  <c r="M14" i="3"/>
  <c r="M15" i="3"/>
  <c r="M16" i="3"/>
  <c r="M17" i="3"/>
  <c r="M18" i="3"/>
  <c r="M19" i="3"/>
  <c r="M20" i="3"/>
  <c r="M21" i="3"/>
  <c r="M22" i="3"/>
  <c r="M23" i="3"/>
  <c r="M24" i="3"/>
  <c r="M25" i="3"/>
  <c r="N6" i="3"/>
  <c r="O6" i="3" s="1"/>
  <c r="N4" i="3"/>
  <c r="O4" i="3" s="1"/>
  <c r="N25" i="3"/>
  <c r="O25" i="3" s="1"/>
  <c r="N24" i="3"/>
  <c r="O24" i="3" s="1"/>
  <c r="N23" i="3"/>
  <c r="O23" i="3" s="1"/>
  <c r="N22" i="3"/>
  <c r="O22" i="3" s="1"/>
  <c r="N21" i="3"/>
  <c r="O21" i="3" s="1"/>
  <c r="N20" i="3"/>
  <c r="O20" i="3" s="1"/>
  <c r="N19" i="3"/>
  <c r="O19" i="3" s="1"/>
  <c r="N18" i="3"/>
  <c r="O18" i="3" s="1"/>
  <c r="N17" i="3"/>
  <c r="O17" i="3" s="1"/>
  <c r="N16" i="3"/>
  <c r="O16" i="3" s="1"/>
  <c r="N15" i="3"/>
  <c r="O15" i="3" s="1"/>
  <c r="N14" i="3"/>
  <c r="O14" i="3" s="1"/>
  <c r="N13" i="3"/>
  <c r="O13" i="3" s="1"/>
  <c r="N12" i="3"/>
  <c r="O12" i="3" s="1"/>
  <c r="N11" i="3"/>
  <c r="O11" i="3" s="1"/>
  <c r="N10" i="3"/>
  <c r="O10" i="3" s="1"/>
  <c r="N9" i="3"/>
  <c r="O9" i="3" s="1"/>
  <c r="N8" i="3"/>
  <c r="O8" i="3" s="1"/>
  <c r="N7" i="3"/>
  <c r="O7" i="3" s="1"/>
  <c r="O136" i="8"/>
  <c r="N136" i="8"/>
  <c r="Q113" i="8"/>
  <c r="I70" i="8"/>
  <c r="I69" i="8"/>
  <c r="I68" i="8"/>
  <c r="I67" i="8"/>
  <c r="I66" i="8"/>
  <c r="I65" i="8"/>
  <c r="I64" i="8"/>
  <c r="I63" i="8"/>
  <c r="I62" i="8"/>
  <c r="I61" i="8"/>
  <c r="I60" i="8"/>
  <c r="I59" i="8"/>
  <c r="I58" i="8"/>
  <c r="I57" i="8"/>
  <c r="I56" i="8"/>
  <c r="I55" i="8"/>
  <c r="I54" i="8"/>
  <c r="I53" i="8"/>
  <c r="O81" i="8"/>
  <c r="I27" i="8"/>
  <c r="H2" i="8"/>
  <c r="I76" i="8"/>
  <c r="O107" i="8"/>
  <c r="N107" i="8"/>
  <c r="D106" i="8"/>
  <c r="H72" i="8"/>
  <c r="F72" i="8"/>
  <c r="N72" i="8" s="1"/>
  <c r="M72" i="8"/>
  <c r="D26" i="3"/>
  <c r="C5" i="1"/>
  <c r="I46" i="9"/>
  <c r="I69" i="9"/>
  <c r="I68" i="9"/>
  <c r="I67" i="9"/>
  <c r="I66" i="9"/>
  <c r="I65" i="9"/>
  <c r="I64" i="9"/>
  <c r="I63" i="9"/>
  <c r="I62" i="9"/>
  <c r="I61" i="9"/>
  <c r="I60" i="9"/>
  <c r="I59" i="9"/>
  <c r="I58" i="9"/>
  <c r="I57" i="9"/>
  <c r="I56" i="9"/>
  <c r="I55" i="9"/>
  <c r="I54" i="9"/>
  <c r="I53" i="9"/>
  <c r="I52" i="9"/>
  <c r="M71" i="9"/>
  <c r="F25" i="9"/>
  <c r="F48" i="9" s="1"/>
  <c r="F71" i="9" s="1"/>
  <c r="N71" i="9" s="1"/>
  <c r="M25" i="9"/>
  <c r="M48" i="9"/>
  <c r="C5" i="9"/>
  <c r="N2" i="30" l="1"/>
  <c r="AK24" i="31"/>
  <c r="P24" i="31" s="1"/>
  <c r="O12" i="7" s="1"/>
  <c r="N25" i="31"/>
  <c r="BB24" i="31"/>
  <c r="V2" i="30"/>
  <c r="T2" i="30"/>
  <c r="U2" i="30"/>
  <c r="AX47" i="31"/>
  <c r="AC47" i="31" s="1"/>
  <c r="AB13" i="7" s="1"/>
  <c r="S2" i="30"/>
  <c r="BB47" i="31"/>
  <c r="AG47" i="31" s="1"/>
  <c r="AF13" i="7" s="1"/>
  <c r="H20" i="8"/>
  <c r="N25" i="9"/>
  <c r="AP47" i="31"/>
  <c r="U47" i="31" s="1"/>
  <c r="T13" i="7" s="1"/>
  <c r="AT47" i="31"/>
  <c r="Y47" i="31" s="1"/>
  <c r="X13" i="7" s="1"/>
  <c r="K106" i="8"/>
  <c r="I71" i="8"/>
  <c r="J2" i="31"/>
  <c r="I47" i="31"/>
  <c r="H13" i="7" s="1"/>
  <c r="AL47" i="31"/>
  <c r="Q47" i="31" s="1"/>
  <c r="P13" i="7" s="1"/>
  <c r="AM47" i="31"/>
  <c r="R47" i="31" s="1"/>
  <c r="Q13" i="7" s="1"/>
  <c r="AJ47" i="31"/>
  <c r="O47" i="31" s="1"/>
  <c r="N13" i="7" s="1"/>
  <c r="AO47" i="31"/>
  <c r="T47" i="31" s="1"/>
  <c r="S13" i="7" s="1"/>
  <c r="AU47" i="31"/>
  <c r="Z47" i="31" s="1"/>
  <c r="Y13" i="7" s="1"/>
  <c r="AZ47" i="31"/>
  <c r="AE47" i="31" s="1"/>
  <c r="AD13" i="7" s="1"/>
  <c r="AR47" i="31"/>
  <c r="W47" i="31" s="1"/>
  <c r="V13" i="7" s="1"/>
  <c r="AW47" i="31"/>
  <c r="AB47" i="31" s="1"/>
  <c r="AA13" i="7" s="1"/>
  <c r="BA47" i="31"/>
  <c r="AF47" i="31" s="1"/>
  <c r="AE13" i="7" s="1"/>
  <c r="AK47" i="31"/>
  <c r="P47" i="31" s="1"/>
  <c r="O13" i="7" s="1"/>
  <c r="AQ47" i="31"/>
  <c r="V47" i="31" s="1"/>
  <c r="U13" i="7" s="1"/>
  <c r="AV47" i="31"/>
  <c r="AA47" i="31" s="1"/>
  <c r="Z13" i="7" s="1"/>
  <c r="AN47" i="31"/>
  <c r="S47" i="31" s="1"/>
  <c r="R13" i="7" s="1"/>
  <c r="AS47" i="31"/>
  <c r="X47" i="31" s="1"/>
  <c r="W13" i="7" s="1"/>
  <c r="AY47" i="31"/>
  <c r="AD47" i="31" s="1"/>
  <c r="AC13" i="7" s="1"/>
  <c r="U24" i="30"/>
  <c r="M2" i="30"/>
  <c r="V24" i="30"/>
  <c r="S3" i="30"/>
  <c r="AM24" i="31"/>
  <c r="R24" i="31" s="1"/>
  <c r="Q12" i="7" s="1"/>
  <c r="AO24" i="31"/>
  <c r="T24" i="31" s="1"/>
  <c r="S12" i="7" s="1"/>
  <c r="AQ24" i="31"/>
  <c r="V24" i="31" s="1"/>
  <c r="U12" i="7" s="1"/>
  <c r="AS24" i="31"/>
  <c r="X24" i="31" s="1"/>
  <c r="W12" i="7" s="1"/>
  <c r="AU24" i="31"/>
  <c r="Z24" i="31" s="1"/>
  <c r="Y12" i="7" s="1"/>
  <c r="AW24" i="31"/>
  <c r="AB24" i="31" s="1"/>
  <c r="AA12" i="7" s="1"/>
  <c r="AY24" i="31"/>
  <c r="AD24" i="31" s="1"/>
  <c r="AC12" i="7" s="1"/>
  <c r="BA24" i="31"/>
  <c r="AF24" i="31" s="1"/>
  <c r="AE12" i="7" s="1"/>
  <c r="I106" i="8"/>
  <c r="J2" i="9"/>
  <c r="I24" i="31"/>
  <c r="H12" i="7" s="1"/>
  <c r="AJ24" i="31"/>
  <c r="O24" i="31" s="1"/>
  <c r="N12" i="7" s="1"/>
  <c r="AL24" i="31"/>
  <c r="Q24" i="31" s="1"/>
  <c r="P12" i="7" s="1"/>
  <c r="N48" i="9"/>
  <c r="I70" i="9"/>
  <c r="I19" i="9"/>
  <c r="I22" i="9" s="1"/>
  <c r="I24" i="9" s="1"/>
  <c r="M106" i="8"/>
  <c r="AN24" i="31"/>
  <c r="S24" i="31" s="1"/>
  <c r="R12" i="7" s="1"/>
  <c r="AP24" i="31"/>
  <c r="U24" i="31" s="1"/>
  <c r="T12" i="7" s="1"/>
  <c r="AR24" i="31"/>
  <c r="W24" i="31" s="1"/>
  <c r="V12" i="7" s="1"/>
  <c r="AT24" i="31"/>
  <c r="Y24" i="31" s="1"/>
  <c r="X12" i="7" s="1"/>
  <c r="AV24" i="31"/>
  <c r="AA24" i="31" s="1"/>
  <c r="Z12" i="7" s="1"/>
  <c r="AX24" i="31"/>
  <c r="AC24" i="31" s="1"/>
  <c r="AB12" i="7" s="1"/>
  <c r="AZ24" i="31"/>
  <c r="AE24" i="31" s="1"/>
  <c r="AD12" i="7" s="1"/>
  <c r="AG24" i="31"/>
  <c r="AF12" i="7" s="1"/>
  <c r="M26" i="3"/>
  <c r="K26" i="3"/>
  <c r="I26" i="3"/>
  <c r="L2" i="30"/>
  <c r="U3" i="30"/>
  <c r="V3" i="30"/>
  <c r="K2" i="30"/>
  <c r="T3" i="30"/>
  <c r="K16" i="9" l="1"/>
  <c r="J16" i="9"/>
  <c r="O106" i="8"/>
  <c r="N82" i="8" s="1"/>
  <c r="O26" i="3"/>
  <c r="N2" i="3" s="1"/>
  <c r="N5" i="3" s="1"/>
  <c r="O5" i="3" s="1"/>
  <c r="Q1" i="3"/>
  <c r="I24" i="1" l="1"/>
  <c r="N117" i="6"/>
  <c r="H101" i="36" l="1"/>
  <c r="G101" i="36" s="1"/>
  <c r="H93" i="36"/>
  <c r="G93" i="36" s="1"/>
  <c r="H106" i="36"/>
  <c r="G106" i="36" s="1"/>
  <c r="H96" i="36"/>
  <c r="G96" i="36" s="1"/>
  <c r="H99" i="36"/>
  <c r="G99" i="36" s="1"/>
  <c r="H100" i="36"/>
  <c r="G100" i="36" s="1"/>
  <c r="H94" i="36"/>
  <c r="H117" i="36"/>
  <c r="G117" i="36" s="1"/>
  <c r="H103" i="36"/>
  <c r="H95" i="36"/>
  <c r="G95" i="36" s="1"/>
  <c r="H102" i="36"/>
  <c r="H104" i="36"/>
  <c r="G104" i="36" s="1"/>
  <c r="H97" i="36"/>
  <c r="G97" i="36" s="1"/>
  <c r="H98" i="36"/>
  <c r="G98" i="36" s="1"/>
  <c r="H108" i="36"/>
  <c r="G108" i="36" s="1"/>
  <c r="H107" i="36"/>
  <c r="G107" i="36" s="1"/>
  <c r="H105" i="36"/>
  <c r="G105" i="36" s="1"/>
  <c r="H19" i="36"/>
  <c r="H8" i="36"/>
  <c r="G8" i="36" s="1"/>
  <c r="F2" i="38"/>
  <c r="F25" i="38" s="1"/>
  <c r="G102" i="36" l="1"/>
  <c r="G103" i="36"/>
  <c r="F48" i="38"/>
  <c r="G94" i="36"/>
  <c r="G19" i="36"/>
  <c r="H322" i="36"/>
  <c r="G322" i="36" s="1"/>
  <c r="N25" i="38" l="1"/>
  <c r="H243" i="36"/>
  <c r="G243" i="36" s="1"/>
  <c r="H241" i="36"/>
  <c r="G241" i="36" s="1"/>
  <c r="H245" i="36"/>
  <c r="G245" i="36" s="1"/>
  <c r="H242" i="36"/>
  <c r="G242" i="36" s="1"/>
  <c r="H244" i="36"/>
  <c r="G244" i="36" s="1"/>
  <c r="H239" i="36"/>
  <c r="G239" i="36" s="1"/>
  <c r="H240" i="36"/>
  <c r="G240" i="36" s="1"/>
  <c r="H246" i="36"/>
  <c r="G246" i="36" s="1"/>
  <c r="G42" i="36"/>
  <c r="G41" i="36"/>
  <c r="G40" i="36"/>
  <c r="H110" i="36"/>
  <c r="G110" i="36" s="1"/>
  <c r="H109" i="36"/>
  <c r="G109" i="36" s="1"/>
  <c r="H111" i="36"/>
  <c r="G111" i="36" s="1"/>
  <c r="N48" i="38" l="1"/>
  <c r="F2" i="1" l="1"/>
  <c r="F25" i="1" s="1"/>
  <c r="J2" i="38"/>
  <c r="N25" i="1" l="1"/>
  <c r="F48" i="1"/>
  <c r="H222" i="36"/>
  <c r="G222" i="36" s="1"/>
  <c r="F71" i="1" l="1"/>
  <c r="N48" i="1"/>
  <c r="N71" i="1" l="1"/>
  <c r="F94" i="1"/>
  <c r="F117" i="1" s="1"/>
  <c r="N117" i="1" s="1"/>
  <c r="N94" i="1" l="1"/>
  <c r="H78" i="36"/>
  <c r="H47" i="36"/>
  <c r="H75" i="36"/>
  <c r="H84" i="36"/>
  <c r="H76" i="36"/>
  <c r="H44" i="36"/>
  <c r="H43" i="36"/>
  <c r="H77" i="36"/>
  <c r="H83" i="36"/>
  <c r="H81" i="36"/>
  <c r="H85" i="36"/>
  <c r="H82" i="36"/>
  <c r="H46" i="36"/>
  <c r="H45" i="36"/>
  <c r="H79" i="36"/>
  <c r="H141" i="36" l="1"/>
  <c r="G141" i="36" s="1"/>
  <c r="H142" i="36"/>
  <c r="G142" i="36" s="1"/>
  <c r="H140" i="36"/>
  <c r="G140" i="36" s="1"/>
  <c r="H138" i="36"/>
  <c r="G138" i="36" s="1"/>
  <c r="H139" i="36"/>
  <c r="G139" i="36" s="1"/>
  <c r="G44" i="36"/>
  <c r="H113" i="36"/>
  <c r="G113" i="36" s="1"/>
  <c r="G47" i="36"/>
  <c r="H116" i="36"/>
  <c r="G116" i="36" s="1"/>
  <c r="G84" i="36"/>
  <c r="H314" i="36"/>
  <c r="G314" i="36" s="1"/>
  <c r="H74" i="36"/>
  <c r="H315" i="36"/>
  <c r="G315" i="36" s="1"/>
  <c r="G85" i="36"/>
  <c r="H114" i="36"/>
  <c r="G114" i="36" s="1"/>
  <c r="G45" i="36"/>
  <c r="G83" i="36"/>
  <c r="H313" i="36"/>
  <c r="G313" i="36" s="1"/>
  <c r="G43" i="36"/>
  <c r="H112" i="36"/>
  <c r="G112" i="36" s="1"/>
  <c r="H80" i="36"/>
  <c r="H115" i="36"/>
  <c r="G115" i="36" s="1"/>
  <c r="G46" i="36"/>
  <c r="H13" i="36"/>
  <c r="H12" i="36"/>
  <c r="J16" i="1" l="1"/>
  <c r="J2" i="1"/>
  <c r="F2" i="47" s="1"/>
  <c r="F25" i="47" s="1"/>
  <c r="K16" i="1"/>
  <c r="G12" i="36"/>
  <c r="H14" i="36"/>
  <c r="H9" i="36"/>
  <c r="G9" i="36" s="1"/>
  <c r="H10" i="36"/>
  <c r="G13" i="36"/>
  <c r="H319" i="36"/>
  <c r="G319" i="36" s="1"/>
  <c r="H312" i="36"/>
  <c r="G312" i="36" s="1"/>
  <c r="G80" i="36"/>
  <c r="G74" i="36"/>
  <c r="H87" i="36"/>
  <c r="G87" i="36" s="1"/>
  <c r="H311" i="36"/>
  <c r="F48" i="47" l="1"/>
  <c r="N25" i="47"/>
  <c r="H318" i="36"/>
  <c r="G10" i="36"/>
  <c r="H321" i="36"/>
  <c r="H11" i="36"/>
  <c r="G14" i="36"/>
  <c r="G311" i="36"/>
  <c r="H317" i="36"/>
  <c r="G317" i="36" s="1"/>
  <c r="F71" i="47" l="1"/>
  <c r="N71" i="47" s="1"/>
  <c r="J2" i="47" s="1"/>
  <c r="N48" i="47"/>
  <c r="K16" i="47" s="1"/>
  <c r="G321" i="36"/>
  <c r="H323" i="36"/>
  <c r="G323" i="36" s="1"/>
  <c r="G318" i="36"/>
  <c r="H320" i="36"/>
  <c r="G320" i="36" s="1"/>
  <c r="H23" i="36"/>
  <c r="H118" i="36" s="1"/>
  <c r="G118" i="36" s="1"/>
  <c r="G11" i="36"/>
  <c r="J16" i="47" l="1"/>
  <c r="H27" i="8"/>
  <c r="H25" i="6"/>
  <c r="G23" i="36"/>
  <c r="H92" i="36"/>
  <c r="H49" i="36"/>
  <c r="H94" i="6" l="1"/>
  <c r="H71" i="6"/>
  <c r="H2" i="47"/>
  <c r="H25" i="47" s="1"/>
  <c r="H2" i="9"/>
  <c r="H25" i="9" s="1"/>
  <c r="H117" i="6"/>
  <c r="H48" i="6"/>
  <c r="F22" i="32"/>
  <c r="H2" i="1"/>
  <c r="H25" i="1" s="1"/>
  <c r="H48" i="1" s="1"/>
  <c r="H71" i="1" s="1"/>
  <c r="H94" i="1" s="1"/>
  <c r="H117" i="1" s="1"/>
  <c r="H2" i="38"/>
  <c r="G49" i="36"/>
  <c r="H88" i="36"/>
  <c r="G88" i="36" s="1"/>
  <c r="G92" i="36"/>
  <c r="H274" i="36"/>
  <c r="H48" i="38" l="1"/>
  <c r="H25" i="38"/>
  <c r="H71" i="9"/>
  <c r="H48" i="9"/>
  <c r="H71" i="47"/>
  <c r="H48" i="47"/>
  <c r="H324" i="36"/>
  <c r="G274" i="36"/>
  <c r="G324" i="36" l="1"/>
  <c r="H20" i="36"/>
  <c r="H325" i="36"/>
  <c r="G325" i="36" l="1"/>
  <c r="G20" i="36"/>
  <c r="I77" i="6" l="1"/>
  <c r="I103" i="6" s="1"/>
  <c r="I115" i="6" s="1"/>
  <c r="I53" i="6" l="1"/>
  <c r="I54" i="6" s="1"/>
  <c r="I55" i="6" s="1"/>
  <c r="I70"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佐藤　裕孝</author>
  </authors>
  <commentList>
    <comment ref="K9" authorId="0" shapeId="0" xr:uid="{00000000-0006-0000-0100-000001000000}">
      <text>
        <r>
          <rPr>
            <sz val="9"/>
            <color indexed="81"/>
            <rFont val="MS P ゴシック"/>
            <family val="3"/>
            <charset val="128"/>
          </rPr>
          <t xml:space="preserve">設計書番号を入力
（2018-は自動で追記されるので入力不要）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若島　寛子</author>
  </authors>
  <commentList>
    <comment ref="I1" authorId="0" shapeId="0" xr:uid="{00000000-0006-0000-0300-000001000000}">
      <text>
        <r>
          <rPr>
            <b/>
            <sz val="14"/>
            <color indexed="10"/>
            <rFont val="MS P ゴシック"/>
            <family val="3"/>
            <charset val="128"/>
          </rPr>
          <t>Ｉ列は入力・削除等の操作を行わないでください。</t>
        </r>
      </text>
    </comment>
    <comment ref="I24" authorId="0" shapeId="0" xr:uid="{00000000-0006-0000-0300-000002000000}">
      <text>
        <r>
          <rPr>
            <b/>
            <sz val="9"/>
            <color indexed="81"/>
            <rFont val="MS P ゴシック"/>
            <family val="3"/>
            <charset val="128"/>
          </rPr>
          <t>クリーム色着色部分：
該当する場合のみ直接入力してください。</t>
        </r>
        <r>
          <rPr>
            <sz val="9"/>
            <color indexed="81"/>
            <rFont val="MS P ゴシック"/>
            <family val="3"/>
            <charset val="128"/>
          </rPr>
          <t xml:space="preserve">
</t>
        </r>
      </text>
    </comment>
    <comment ref="I43" authorId="0" shapeId="0" xr:uid="{00000000-0006-0000-0300-000003000000}">
      <text>
        <r>
          <rPr>
            <b/>
            <sz val="9"/>
            <color indexed="81"/>
            <rFont val="MS P ゴシック"/>
            <family val="3"/>
            <charset val="128"/>
          </rPr>
          <t>建物附属設備は、各工事シートで選択されたものが自動集計される。</t>
        </r>
      </text>
    </comment>
    <comment ref="I58" authorId="0" shapeId="0" xr:uid="{00000000-0006-0000-0300-000004000000}">
      <text>
        <r>
          <rPr>
            <b/>
            <sz val="9"/>
            <color indexed="81"/>
            <rFont val="MS P ゴシック"/>
            <family val="3"/>
            <charset val="128"/>
          </rPr>
          <t>クリーム色着色部分：
該当する場合のみ直接入力してください。</t>
        </r>
        <r>
          <rPr>
            <sz val="9"/>
            <color indexed="81"/>
            <rFont val="MS P ゴシック"/>
            <family val="3"/>
            <charset val="128"/>
          </rPr>
          <t xml:space="preserve">
</t>
        </r>
      </text>
    </comment>
    <comment ref="I75" authorId="0" shapeId="0" xr:uid="{00000000-0006-0000-0300-000005000000}">
      <text>
        <r>
          <rPr>
            <b/>
            <sz val="9"/>
            <color indexed="81"/>
            <rFont val="MS P ゴシック"/>
            <family val="3"/>
            <charset val="128"/>
          </rPr>
          <t>工具・器具・備品は、各工事シートで選択されたものが自動集計される。</t>
        </r>
        <r>
          <rPr>
            <sz val="9"/>
            <color indexed="81"/>
            <rFont val="MS P ゴシック"/>
            <family val="3"/>
            <charset val="128"/>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若島　寛子</author>
  </authors>
  <commentList>
    <comment ref="K16" authorId="0" shapeId="0" xr:uid="{00000000-0006-0000-0400-000001000000}">
      <text>
        <r>
          <rPr>
            <b/>
            <sz val="9"/>
            <color indexed="81"/>
            <rFont val="MS P ゴシック"/>
            <family val="3"/>
            <charset val="128"/>
          </rPr>
          <t>若島　SUMIF関数で自動算出</t>
        </r>
        <r>
          <rPr>
            <sz val="9"/>
            <color indexed="81"/>
            <rFont val="MS P ゴシック"/>
            <family val="3"/>
            <charset val="128"/>
          </rPr>
          <t xml:space="preserve">
</t>
        </r>
      </text>
    </comment>
  </commentList>
</comments>
</file>

<file path=xl/sharedStrings.xml><?xml version="1.0" encoding="utf-8"?>
<sst xmlns="http://schemas.openxmlformats.org/spreadsheetml/2006/main" count="7461" uniqueCount="4367">
  <si>
    <t>名             称</t>
  </si>
  <si>
    <t>形   状   寸   法</t>
  </si>
  <si>
    <t>数   量</t>
  </si>
  <si>
    <t>単 位</t>
  </si>
  <si>
    <t>単   価</t>
  </si>
  <si>
    <t>金    額</t>
  </si>
  <si>
    <t>摘            要</t>
  </si>
  <si>
    <t>式</t>
  </si>
  <si>
    <t>直接仮設工事</t>
  </si>
  <si>
    <t>小    計</t>
  </si>
  <si>
    <t>運搬時間</t>
  </si>
  <si>
    <t>作業時間</t>
    <phoneticPr fontId="2"/>
  </si>
  <si>
    <t>円</t>
    <rPh sb="0" eb="1">
      <t>エン</t>
    </rPh>
    <phoneticPr fontId="2"/>
  </si>
  <si>
    <t>作業時間</t>
    <phoneticPr fontId="2"/>
  </si>
  <si>
    <t>○○工事の部</t>
    <rPh sb="2" eb="4">
      <t>コウジ</t>
    </rPh>
    <rPh sb="5" eb="6">
      <t>ブ</t>
    </rPh>
    <phoneticPr fontId="2"/>
  </si>
  <si>
    <t>〇〇工事   見積り金額比較表</t>
  </si>
  <si>
    <t>作業</t>
    <rPh sb="0" eb="2">
      <t>サギョウ</t>
    </rPh>
    <phoneticPr fontId="2"/>
  </si>
  <si>
    <t>時間</t>
    <rPh sb="0" eb="2">
      <t>ジカン</t>
    </rPh>
    <phoneticPr fontId="2"/>
  </si>
  <si>
    <t>運搬</t>
    <rPh sb="0" eb="2">
      <t>ウンパン</t>
    </rPh>
    <phoneticPr fontId="2"/>
  </si>
  <si>
    <t>名　　　　称</t>
    <rPh sb="0" eb="1">
      <t>メイ</t>
    </rPh>
    <rPh sb="5" eb="6">
      <t>ショウ</t>
    </rPh>
    <phoneticPr fontId="2"/>
  </si>
  <si>
    <t>形　状　寸　法</t>
    <rPh sb="0" eb="1">
      <t>カタチ</t>
    </rPh>
    <rPh sb="2" eb="3">
      <t>ジョウ</t>
    </rPh>
    <rPh sb="4" eb="5">
      <t>スン</t>
    </rPh>
    <rPh sb="6" eb="7">
      <t>ホウ</t>
    </rPh>
    <phoneticPr fontId="2"/>
  </si>
  <si>
    <t>数量</t>
    <rPh sb="0" eb="2">
      <t>スウリョウ</t>
    </rPh>
    <phoneticPr fontId="2"/>
  </si>
  <si>
    <t>単位</t>
    <rPh sb="0" eb="2">
      <t>タンイ</t>
    </rPh>
    <phoneticPr fontId="2"/>
  </si>
  <si>
    <t>単　価</t>
    <rPh sb="0" eb="1">
      <t>タン</t>
    </rPh>
    <rPh sb="2" eb="3">
      <t>アタイ</t>
    </rPh>
    <phoneticPr fontId="2"/>
  </si>
  <si>
    <t>金　額</t>
    <rPh sb="0" eb="1">
      <t>キン</t>
    </rPh>
    <rPh sb="2" eb="3">
      <t>ガク</t>
    </rPh>
    <phoneticPr fontId="2"/>
  </si>
  <si>
    <t>A:</t>
    <phoneticPr fontId="2"/>
  </si>
  <si>
    <t>B:</t>
    <phoneticPr fontId="2"/>
  </si>
  <si>
    <t>C:</t>
    <phoneticPr fontId="2"/>
  </si>
  <si>
    <t>ｺｰﾄﾞNo</t>
    <phoneticPr fontId="2"/>
  </si>
  <si>
    <t>調整単価</t>
    <rPh sb="0" eb="2">
      <t>チョウセイ</t>
    </rPh>
    <rPh sb="2" eb="3">
      <t>タン</t>
    </rPh>
    <rPh sb="3" eb="4">
      <t>アタイ</t>
    </rPh>
    <phoneticPr fontId="2"/>
  </si>
  <si>
    <t>採用単価</t>
    <rPh sb="0" eb="2">
      <t>サイヨウ</t>
    </rPh>
    <rPh sb="2" eb="4">
      <t>タンカ</t>
    </rPh>
    <phoneticPr fontId="2"/>
  </si>
  <si>
    <t>最小値→</t>
    <rPh sb="0" eb="3">
      <t>サイショウチ</t>
    </rPh>
    <phoneticPr fontId="2"/>
  </si>
  <si>
    <t>単価ｺｰﾄﾞ</t>
  </si>
  <si>
    <t>形  状  寸  法</t>
  </si>
  <si>
    <t>単位</t>
  </si>
  <si>
    <t>材料費</t>
  </si>
  <si>
    <t>１Ａ</t>
  </si>
  <si>
    <t>２Ａ</t>
  </si>
  <si>
    <t>３Ａ</t>
  </si>
  <si>
    <t>４Ａ</t>
  </si>
  <si>
    <t>備    考</t>
  </si>
  <si>
    <t>工種</t>
    <rPh sb="0" eb="2">
      <t>コウシュ</t>
    </rPh>
    <phoneticPr fontId="2"/>
  </si>
  <si>
    <t>直接仮設工事</t>
    <rPh sb="0" eb="2">
      <t>チョクセツ</t>
    </rPh>
    <rPh sb="2" eb="4">
      <t>カセツ</t>
    </rPh>
    <rPh sb="4" eb="6">
      <t>コウジ</t>
    </rPh>
    <phoneticPr fontId="2"/>
  </si>
  <si>
    <t>金額欄計算式    =&gt;</t>
    <rPh sb="0" eb="2">
      <t>キンガク</t>
    </rPh>
    <rPh sb="2" eb="3">
      <t>ラン</t>
    </rPh>
    <rPh sb="3" eb="5">
      <t>ケイサン</t>
    </rPh>
    <rPh sb="5" eb="6">
      <t>シキ</t>
    </rPh>
    <phoneticPr fontId="2"/>
  </si>
  <si>
    <t>標準単価ファイル名</t>
    <rPh sb="0" eb="2">
      <t>ヒョウジュン</t>
    </rPh>
    <rPh sb="2" eb="4">
      <t>タンカ</t>
    </rPh>
    <rPh sb="8" eb="9">
      <t>メイ</t>
    </rPh>
    <phoneticPr fontId="2"/>
  </si>
  <si>
    <t>標準単価ﾌｧｲﾙ保管場所</t>
    <rPh sb="0" eb="2">
      <t>ヒョウジュン</t>
    </rPh>
    <rPh sb="2" eb="4">
      <t>タンカ</t>
    </rPh>
    <rPh sb="8" eb="10">
      <t>ホカン</t>
    </rPh>
    <rPh sb="10" eb="12">
      <t>バショ</t>
    </rPh>
    <phoneticPr fontId="2"/>
  </si>
  <si>
    <t>各シートの最大行数（単価挿入時にEOL無し時に実行する範囲。小さいと処理は早く終わるが、この行以降のデータに単価は挿入されない。）</t>
    <rPh sb="0" eb="1">
      <t>カク</t>
    </rPh>
    <rPh sb="5" eb="7">
      <t>サイダイ</t>
    </rPh>
    <rPh sb="7" eb="9">
      <t>ギョウスウ</t>
    </rPh>
    <rPh sb="10" eb="12">
      <t>タンカ</t>
    </rPh>
    <rPh sb="12" eb="14">
      <t>ソウニュウ</t>
    </rPh>
    <rPh sb="14" eb="15">
      <t>ジ</t>
    </rPh>
    <rPh sb="19" eb="20">
      <t>ナ</t>
    </rPh>
    <rPh sb="21" eb="22">
      <t>ジ</t>
    </rPh>
    <rPh sb="23" eb="25">
      <t>ジッコウ</t>
    </rPh>
    <rPh sb="27" eb="29">
      <t>ハンイ</t>
    </rPh>
    <rPh sb="30" eb="31">
      <t>チイ</t>
    </rPh>
    <rPh sb="34" eb="36">
      <t>ショリ</t>
    </rPh>
    <rPh sb="37" eb="38">
      <t>ハヤ</t>
    </rPh>
    <rPh sb="39" eb="40">
      <t>オ</t>
    </rPh>
    <rPh sb="46" eb="47">
      <t>ギョウ</t>
    </rPh>
    <rPh sb="47" eb="49">
      <t>イコウ</t>
    </rPh>
    <rPh sb="54" eb="56">
      <t>タンカ</t>
    </rPh>
    <rPh sb="57" eb="59">
      <t>ソウニュウ</t>
    </rPh>
    <phoneticPr fontId="2"/>
  </si>
  <si>
    <t>運搬時間</t>
    <phoneticPr fontId="2"/>
  </si>
  <si>
    <t>機械器具費</t>
    <rPh sb="0" eb="2">
      <t>キカイ</t>
    </rPh>
    <rPh sb="2" eb="4">
      <t>キグ</t>
    </rPh>
    <rPh sb="4" eb="5">
      <t>ヒ</t>
    </rPh>
    <phoneticPr fontId="2"/>
  </si>
  <si>
    <t>工事用電力電灯費</t>
    <rPh sb="0" eb="3">
      <t>コウジヨウ</t>
    </rPh>
    <rPh sb="3" eb="5">
      <t>デンリョク</t>
    </rPh>
    <rPh sb="5" eb="7">
      <t>デントウ</t>
    </rPh>
    <rPh sb="7" eb="8">
      <t>ヒ</t>
    </rPh>
    <phoneticPr fontId="2"/>
  </si>
  <si>
    <t>工事用用水費</t>
    <rPh sb="0" eb="3">
      <t>コウジヨウ</t>
    </rPh>
    <rPh sb="3" eb="5">
      <t>ヨウスイ</t>
    </rPh>
    <rPh sb="5" eb="6">
      <t>ヒ</t>
    </rPh>
    <phoneticPr fontId="2"/>
  </si>
  <si>
    <t>仮囲い</t>
    <rPh sb="0" eb="1">
      <t>カリ</t>
    </rPh>
    <rPh sb="1" eb="2">
      <t>カコ</t>
    </rPh>
    <phoneticPr fontId="2"/>
  </si>
  <si>
    <t>試験調査費</t>
    <rPh sb="0" eb="2">
      <t>シケン</t>
    </rPh>
    <rPh sb="2" eb="5">
      <t>チョウサヒ</t>
    </rPh>
    <phoneticPr fontId="2"/>
  </si>
  <si>
    <t>共通仮設材運搬費</t>
    <rPh sb="0" eb="2">
      <t>キョウツウ</t>
    </rPh>
    <rPh sb="2" eb="4">
      <t>カセツ</t>
    </rPh>
    <rPh sb="4" eb="5">
      <t>ザイ</t>
    </rPh>
    <rPh sb="5" eb="7">
      <t>ウンパン</t>
    </rPh>
    <rPh sb="7" eb="8">
      <t>ヒ</t>
    </rPh>
    <phoneticPr fontId="2"/>
  </si>
  <si>
    <t>警備員費</t>
    <rPh sb="0" eb="3">
      <t>ケイビイン</t>
    </rPh>
    <rPh sb="3" eb="4">
      <t>ヒ</t>
    </rPh>
    <phoneticPr fontId="2"/>
  </si>
  <si>
    <t>巡視員</t>
    <rPh sb="0" eb="3">
      <t>ジュンシイン</t>
    </rPh>
    <phoneticPr fontId="2"/>
  </si>
  <si>
    <t>墨出し</t>
    <rPh sb="0" eb="2">
      <t>スミダ</t>
    </rPh>
    <phoneticPr fontId="2"/>
  </si>
  <si>
    <t>片付清掃費</t>
    <rPh sb="0" eb="2">
      <t>カタヅ</t>
    </rPh>
    <rPh sb="2" eb="4">
      <t>セイソウ</t>
    </rPh>
    <rPh sb="4" eb="5">
      <t>ヒ</t>
    </rPh>
    <phoneticPr fontId="2"/>
  </si>
  <si>
    <t>外部足場</t>
    <rPh sb="0" eb="2">
      <t>ガイブ</t>
    </rPh>
    <rPh sb="2" eb="4">
      <t>アシバ</t>
    </rPh>
    <phoneticPr fontId="2"/>
  </si>
  <si>
    <t>内部足場</t>
    <rPh sb="0" eb="2">
      <t>ナイブ</t>
    </rPh>
    <rPh sb="2" eb="4">
      <t>アシバ</t>
    </rPh>
    <phoneticPr fontId="2"/>
  </si>
  <si>
    <t>直接仮設材運搬費</t>
    <rPh sb="0" eb="2">
      <t>チョクセツ</t>
    </rPh>
    <rPh sb="2" eb="4">
      <t>カセツ</t>
    </rPh>
    <rPh sb="4" eb="5">
      <t>ザイ</t>
    </rPh>
    <rPh sb="5" eb="7">
      <t>ウンパン</t>
    </rPh>
    <rPh sb="7" eb="8">
      <t>ヒ</t>
    </rPh>
    <phoneticPr fontId="2"/>
  </si>
  <si>
    <t>合    計</t>
    <rPh sb="0" eb="1">
      <t>ゴウ</t>
    </rPh>
    <phoneticPr fontId="2"/>
  </si>
  <si>
    <t>cells(8,8)</t>
    <phoneticPr fontId="2"/>
  </si>
  <si>
    <t>cells(10,8)</t>
    <phoneticPr fontId="2"/>
  </si>
  <si>
    <t>cells(12,8)</t>
    <phoneticPr fontId="2"/>
  </si>
  <si>
    <t>　計</t>
    <rPh sb="1" eb="2">
      <t>ケイ</t>
    </rPh>
    <phoneticPr fontId="2"/>
  </si>
  <si>
    <t>page</t>
    <phoneticPr fontId="2"/>
  </si>
  <si>
    <t>/</t>
    <phoneticPr fontId="2"/>
  </si>
  <si>
    <t>前シートのページ数</t>
    <rPh sb="0" eb="1">
      <t>ゼン</t>
    </rPh>
    <rPh sb="8" eb="9">
      <t>スウ</t>
    </rPh>
    <phoneticPr fontId="2"/>
  </si>
  <si>
    <t>各シートのトップページを常に書き換えるか(Yes=1 No=0)</t>
    <rPh sb="0" eb="1">
      <t>カク</t>
    </rPh>
    <rPh sb="12" eb="13">
      <t>ツネ</t>
    </rPh>
    <rPh sb="14" eb="15">
      <t>カ</t>
    </rPh>
    <rPh sb="16" eb="17">
      <t>カ</t>
    </rPh>
    <phoneticPr fontId="2"/>
  </si>
  <si>
    <t>cells(14,8)</t>
    <phoneticPr fontId="2"/>
  </si>
  <si>
    <r>
      <t>現在の工事部数（シートの数）</t>
    </r>
    <r>
      <rPr>
        <b/>
        <sz val="11"/>
        <rFont val="ＭＳ Ｐゴシック"/>
        <family val="3"/>
        <charset val="128"/>
      </rPr>
      <t>(！！書き換え厳禁！！）</t>
    </r>
    <rPh sb="0" eb="2">
      <t>ゲンザイ</t>
    </rPh>
    <rPh sb="3" eb="5">
      <t>コウジ</t>
    </rPh>
    <rPh sb="5" eb="6">
      <t>ブ</t>
    </rPh>
    <rPh sb="6" eb="7">
      <t>スウ</t>
    </rPh>
    <rPh sb="12" eb="13">
      <t>カズ</t>
    </rPh>
    <rPh sb="17" eb="18">
      <t>カ</t>
    </rPh>
    <rPh sb="19" eb="20">
      <t>カ</t>
    </rPh>
    <rPh sb="21" eb="23">
      <t>ゲンキン</t>
    </rPh>
    <phoneticPr fontId="2"/>
  </si>
  <si>
    <r>
      <t>最終ページ数</t>
    </r>
    <r>
      <rPr>
        <b/>
        <sz val="11"/>
        <rFont val="ＭＳ Ｐゴシック"/>
        <family val="3"/>
        <charset val="128"/>
      </rPr>
      <t>（！！書き換え厳禁！！）</t>
    </r>
    <rPh sb="0" eb="2">
      <t>サイシュウ</t>
    </rPh>
    <rPh sb="5" eb="6">
      <t>スウ</t>
    </rPh>
    <rPh sb="9" eb="10">
      <t>カ</t>
    </rPh>
    <rPh sb="11" eb="12">
      <t>カ</t>
    </rPh>
    <rPh sb="13" eb="15">
      <t>ゲンキン</t>
    </rPh>
    <phoneticPr fontId="2"/>
  </si>
  <si>
    <t>cells(18,8)</t>
    <phoneticPr fontId="2"/>
  </si>
  <si>
    <t>このシートの最終ページ数</t>
    <rPh sb="6" eb="8">
      <t>サイシュウ</t>
    </rPh>
    <rPh sb="11" eb="12">
      <t>スウ</t>
    </rPh>
    <phoneticPr fontId="2"/>
  </si>
  <si>
    <t>代価一覧のデータ数</t>
    <rPh sb="0" eb="2">
      <t>ダイカ</t>
    </rPh>
    <rPh sb="2" eb="4">
      <t>イチラン</t>
    </rPh>
    <rPh sb="8" eb="9">
      <t>スウ</t>
    </rPh>
    <phoneticPr fontId="2"/>
  </si>
  <si>
    <t>cells(20,8)</t>
    <phoneticPr fontId="2"/>
  </si>
  <si>
    <t>名称(空白は不可)</t>
    <rPh sb="3" eb="5">
      <t>クウハク</t>
    </rPh>
    <rPh sb="6" eb="8">
      <t>フカ</t>
    </rPh>
    <phoneticPr fontId="2"/>
  </si>
  <si>
    <t>m3</t>
  </si>
  <si>
    <t>前ﾍﾟｰｼﾞから続きの場合「１」を入力　→</t>
    <rPh sb="0" eb="1">
      <t>マエ</t>
    </rPh>
    <rPh sb="8" eb="9">
      <t>ツヅ</t>
    </rPh>
    <rPh sb="11" eb="13">
      <t>バアイ</t>
    </rPh>
    <rPh sb="17" eb="19">
      <t>ニュウリョク</t>
    </rPh>
    <phoneticPr fontId="2"/>
  </si>
  <si>
    <t>全ページ数</t>
    <rPh sb="0" eb="1">
      <t>ゼン</t>
    </rPh>
    <rPh sb="4" eb="5">
      <t>スウ</t>
    </rPh>
    <phoneticPr fontId="2"/>
  </si>
  <si>
    <t>この参考明細のバージョン</t>
    <rPh sb="2" eb="4">
      <t>サンコウ</t>
    </rPh>
    <rPh sb="4" eb="6">
      <t>メイサイ</t>
    </rPh>
    <phoneticPr fontId="2"/>
  </si>
  <si>
    <t>cells(25,8)</t>
    <phoneticPr fontId="2"/>
  </si>
  <si>
    <t>(</t>
  </si>
  <si>
    <t>)</t>
  </si>
  <si>
    <t>材料</t>
    <rPh sb="0" eb="2">
      <t>ザイリョウ</t>
    </rPh>
    <phoneticPr fontId="2"/>
  </si>
  <si>
    <t>形状寸法</t>
    <rPh sb="0" eb="2">
      <t>ケイジョウ</t>
    </rPh>
    <rPh sb="2" eb="4">
      <t>スンポウ</t>
    </rPh>
    <phoneticPr fontId="2"/>
  </si>
  <si>
    <t>重量</t>
    <rPh sb="0" eb="2">
      <t>ジュウリョウ</t>
    </rPh>
    <phoneticPr fontId="2"/>
  </si>
  <si>
    <t>(</t>
    <phoneticPr fontId="2"/>
  </si>
  <si>
    <t>)</t>
    <phoneticPr fontId="2"/>
  </si>
  <si>
    <t>(</t>
    <phoneticPr fontId="2"/>
  </si>
  <si>
    <t>)</t>
    <phoneticPr fontId="2"/>
  </si>
  <si>
    <t>Ｄ１３</t>
  </si>
  <si>
    <t>Ｄ１６</t>
  </si>
  <si>
    <t>Ｄ１９</t>
  </si>
  <si>
    <t>Ｄ２２</t>
  </si>
  <si>
    <t>生コンクリート</t>
  </si>
  <si>
    <t>Fc=18,sl=18</t>
  </si>
  <si>
    <t>Fc=21,sl=18</t>
  </si>
  <si>
    <t>建築工事</t>
    <rPh sb="0" eb="2">
      <t>ケンチク</t>
    </rPh>
    <rPh sb="2" eb="4">
      <t>コウジ</t>
    </rPh>
    <phoneticPr fontId="2"/>
  </si>
  <si>
    <t>c:\積算\</t>
    <rPh sb="3" eb="5">
      <t>セキサン</t>
    </rPh>
    <phoneticPr fontId="2"/>
  </si>
  <si>
    <t>各シートの明細書開始行数(拡張用につき、変更厳禁）</t>
    <rPh sb="0" eb="1">
      <t>カク</t>
    </rPh>
    <rPh sb="5" eb="8">
      <t>メイサイショ</t>
    </rPh>
    <rPh sb="8" eb="10">
      <t>カイシ</t>
    </rPh>
    <rPh sb="10" eb="12">
      <t>ギョウスウ</t>
    </rPh>
    <rPh sb="13" eb="15">
      <t>カクチョウ</t>
    </rPh>
    <rPh sb="15" eb="16">
      <t>ヨウ</t>
    </rPh>
    <rPh sb="20" eb="22">
      <t>ヘンコウ</t>
    </rPh>
    <rPh sb="22" eb="24">
      <t>ゲンキン</t>
    </rPh>
    <phoneticPr fontId="2"/>
  </si>
  <si>
    <t>シートの保護を有効にするか(Yes=1 No=0)</t>
    <rPh sb="4" eb="6">
      <t>ホゴ</t>
    </rPh>
    <rPh sb="7" eb="9">
      <t>ユウコウ</t>
    </rPh>
    <phoneticPr fontId="2"/>
  </si>
  <si>
    <t>cells(29,8)</t>
    <phoneticPr fontId="2"/>
  </si>
  <si>
    <t>Fc=24,sl=15</t>
  </si>
  <si>
    <t>調整率</t>
    <rPh sb="0" eb="2">
      <t>チョウセイ</t>
    </rPh>
    <rPh sb="2" eb="3">
      <t>リツ</t>
    </rPh>
    <phoneticPr fontId="2"/>
  </si>
  <si>
    <t>page</t>
    <phoneticPr fontId="2"/>
  </si>
  <si>
    <t>/</t>
    <phoneticPr fontId="2"/>
  </si>
  <si>
    <t>(</t>
    <phoneticPr fontId="2"/>
  </si>
  <si>
    <t>)</t>
    <phoneticPr fontId="2"/>
  </si>
  <si>
    <t>(</t>
    <phoneticPr fontId="2"/>
  </si>
  <si>
    <t>)</t>
    <phoneticPr fontId="2"/>
  </si>
  <si>
    <t>1A-3A</t>
    <phoneticPr fontId="2"/>
  </si>
  <si>
    <t>1A-4A</t>
    <phoneticPr fontId="2"/>
  </si>
  <si>
    <t>Ｄ１０</t>
    <phoneticPr fontId="2"/>
  </si>
  <si>
    <t>t</t>
    <phoneticPr fontId="2"/>
  </si>
  <si>
    <t>前回userform終了時の作業時間</t>
    <rPh sb="0" eb="2">
      <t>ゼンカイ</t>
    </rPh>
    <rPh sb="10" eb="13">
      <t>シュウリョウジ</t>
    </rPh>
    <rPh sb="14" eb="16">
      <t>サギョウ</t>
    </rPh>
    <rPh sb="16" eb="18">
      <t>ジカン</t>
    </rPh>
    <phoneticPr fontId="2"/>
  </si>
  <si>
    <t>cells(4,4)</t>
    <phoneticPr fontId="2"/>
  </si>
  <si>
    <t>前回userform終了時の運搬時間</t>
    <rPh sb="0" eb="2">
      <t>ゼンカイ</t>
    </rPh>
    <rPh sb="10" eb="13">
      <t>シュウリョウジ</t>
    </rPh>
    <rPh sb="14" eb="16">
      <t>ウンパン</t>
    </rPh>
    <rPh sb="16" eb="18">
      <t>ジカン</t>
    </rPh>
    <phoneticPr fontId="2"/>
  </si>
  <si>
    <t>前回userform終了時の工種番号</t>
    <rPh sb="0" eb="2">
      <t>ゼンカイ</t>
    </rPh>
    <rPh sb="10" eb="13">
      <t>シュウリョウジ</t>
    </rPh>
    <rPh sb="14" eb="15">
      <t>コウジ</t>
    </rPh>
    <rPh sb="15" eb="16">
      <t>シュルイ</t>
    </rPh>
    <rPh sb="16" eb="18">
      <t>バンゴウ</t>
    </rPh>
    <phoneticPr fontId="2"/>
  </si>
  <si>
    <t>前回userform終了時の選択行</t>
    <rPh sb="0" eb="2">
      <t>ゼンカイ</t>
    </rPh>
    <rPh sb="10" eb="13">
      <t>シュウリョウジ</t>
    </rPh>
    <rPh sb="14" eb="16">
      <t>センタク</t>
    </rPh>
    <rPh sb="16" eb="17">
      <t>ギョウ</t>
    </rPh>
    <phoneticPr fontId="2"/>
  </si>
  <si>
    <t>cells(6,4)</t>
    <phoneticPr fontId="2"/>
  </si>
  <si>
    <t>cells(8,4)</t>
    <phoneticPr fontId="2"/>
  </si>
  <si>
    <t>cells(10,4)</t>
    <phoneticPr fontId="2"/>
  </si>
  <si>
    <t>積算担当者編集時「１」（注：設計者は絶対に触らないで下さい。エラーの原因になります！！）</t>
    <rPh sb="0" eb="2">
      <t>セキサン</t>
    </rPh>
    <rPh sb="2" eb="5">
      <t>タントウシャ</t>
    </rPh>
    <rPh sb="5" eb="7">
      <t>ヘンシュウ</t>
    </rPh>
    <rPh sb="7" eb="8">
      <t>ジ</t>
    </rPh>
    <rPh sb="12" eb="13">
      <t>チュウ</t>
    </rPh>
    <rPh sb="14" eb="17">
      <t>セッケイシャ</t>
    </rPh>
    <rPh sb="18" eb="20">
      <t>ゼッタイ</t>
    </rPh>
    <rPh sb="21" eb="22">
      <t>サワ</t>
    </rPh>
    <rPh sb="26" eb="27">
      <t>クダ</t>
    </rPh>
    <rPh sb="34" eb="36">
      <t>ゲンイン</t>
    </rPh>
    <phoneticPr fontId="2"/>
  </si>
  <si>
    <t>金入用標準単価ファイル名</t>
    <rPh sb="0" eb="1">
      <t>キン</t>
    </rPh>
    <rPh sb="1" eb="2">
      <t>イ</t>
    </rPh>
    <rPh sb="2" eb="3">
      <t>ヨウ</t>
    </rPh>
    <rPh sb="3" eb="5">
      <t>ヒョウジュン</t>
    </rPh>
    <rPh sb="5" eb="7">
      <t>タンカ</t>
    </rPh>
    <rPh sb="11" eb="12">
      <t>メイ</t>
    </rPh>
    <phoneticPr fontId="2"/>
  </si>
  <si>
    <t>現在のEXCELのバージョン</t>
    <rPh sb="0" eb="2">
      <t>ゲンザイ</t>
    </rPh>
    <phoneticPr fontId="2"/>
  </si>
  <si>
    <t>cells(12,4)</t>
    <phoneticPr fontId="2"/>
  </si>
  <si>
    <t>Fc=24,sl=18</t>
  </si>
  <si>
    <t>cells(14,4)</t>
    <phoneticPr fontId="2"/>
  </si>
  <si>
    <t>前回userform終了時の選択単価</t>
    <rPh sb="0" eb="2">
      <t>ゼンカイ</t>
    </rPh>
    <rPh sb="10" eb="13">
      <t>シュウリョウジ</t>
    </rPh>
    <rPh sb="14" eb="16">
      <t>センタク</t>
    </rPh>
    <rPh sb="16" eb="18">
      <t>タンカ</t>
    </rPh>
    <phoneticPr fontId="2"/>
  </si>
  <si>
    <t>鉄筋 SD295A</t>
    <rPh sb="0" eb="2">
      <t>テッキン</t>
    </rPh>
    <phoneticPr fontId="2"/>
  </si>
  <si>
    <t>鉄筋 SD345</t>
    <rPh sb="0" eb="2">
      <t>テッキン</t>
    </rPh>
    <phoneticPr fontId="2"/>
  </si>
  <si>
    <t>cells(2,4)</t>
    <phoneticPr fontId="2"/>
  </si>
  <si>
    <t>前回userform終了時の画面サイズ</t>
    <rPh sb="0" eb="2">
      <t>ゼンカイ</t>
    </rPh>
    <rPh sb="10" eb="13">
      <t>シュウリョウジ</t>
    </rPh>
    <rPh sb="14" eb="16">
      <t>ガメン</t>
    </rPh>
    <phoneticPr fontId="2"/>
  </si>
  <si>
    <t>ヵ所</t>
    <rPh sb="1" eb="2">
      <t>ショ</t>
    </rPh>
    <phoneticPr fontId="2"/>
  </si>
  <si>
    <t>諸経費表ファイル名</t>
    <rPh sb="0" eb="3">
      <t>ショケイヒ</t>
    </rPh>
    <rPh sb="3" eb="4">
      <t>ヒョウ</t>
    </rPh>
    <rPh sb="8" eb="9">
      <t>メイ</t>
    </rPh>
    <phoneticPr fontId="2"/>
  </si>
  <si>
    <t>諸経費表ﾌｧｲﾙ保管場所</t>
    <rPh sb="0" eb="3">
      <t>ショケイヒ</t>
    </rPh>
    <rPh sb="3" eb="4">
      <t>ヒョウ</t>
    </rPh>
    <rPh sb="8" eb="10">
      <t>ホカン</t>
    </rPh>
    <rPh sb="10" eb="12">
      <t>バショ</t>
    </rPh>
    <phoneticPr fontId="2"/>
  </si>
  <si>
    <t>諸経費表のシート名（１－３）</t>
    <rPh sb="0" eb="3">
      <t>ショケイヒ</t>
    </rPh>
    <rPh sb="3" eb="4">
      <t>ヒョウ</t>
    </rPh>
    <rPh sb="8" eb="9">
      <t>メイ</t>
    </rPh>
    <phoneticPr fontId="2"/>
  </si>
  <si>
    <t>cells(31,8)</t>
    <phoneticPr fontId="2"/>
  </si>
  <si>
    <t>cells(32,8)</t>
    <phoneticPr fontId="2"/>
  </si>
  <si>
    <t>cells(33,8)</t>
    <phoneticPr fontId="2"/>
  </si>
  <si>
    <t>cells(27,8(9))</t>
    <phoneticPr fontId="2"/>
  </si>
  <si>
    <t>１工種で複数ページになったときの合計式(右は変更時)</t>
    <rPh sb="1" eb="3">
      <t>コウシュ</t>
    </rPh>
    <rPh sb="4" eb="6">
      <t>フクスウ</t>
    </rPh>
    <rPh sb="16" eb="18">
      <t>ゴウケイ</t>
    </rPh>
    <rPh sb="18" eb="19">
      <t>シキ</t>
    </rPh>
    <rPh sb="20" eb="21">
      <t>ミギ</t>
    </rPh>
    <rPh sb="22" eb="24">
      <t>ヘンコウ</t>
    </rPh>
    <rPh sb="24" eb="25">
      <t>ジ</t>
    </rPh>
    <phoneticPr fontId="2"/>
  </si>
  <si>
    <t>廃プラ</t>
  </si>
  <si>
    <t>がれき</t>
  </si>
  <si>
    <t>繊維くず</t>
  </si>
  <si>
    <t>繊維くず</t>
    <rPh sb="0" eb="2">
      <t>センイ</t>
    </rPh>
    <phoneticPr fontId="2"/>
  </si>
  <si>
    <t>ガラス
陶磁器</t>
    <rPh sb="4" eb="7">
      <t>トウジキ</t>
    </rPh>
    <phoneticPr fontId="2"/>
  </si>
  <si>
    <t>残材処分費</t>
    <rPh sb="0" eb="1">
      <t>ザン</t>
    </rPh>
    <rPh sb="1" eb="2">
      <t>ザイ</t>
    </rPh>
    <rPh sb="2" eb="4">
      <t>ショブン</t>
    </rPh>
    <rPh sb="4" eb="5">
      <t>ヒ</t>
    </rPh>
    <phoneticPr fontId="2"/>
  </si>
  <si>
    <t>鉄</t>
    <rPh sb="0" eb="1">
      <t>テツ</t>
    </rPh>
    <phoneticPr fontId="2"/>
  </si>
  <si>
    <t>アルミ</t>
    <phoneticPr fontId="2"/>
  </si>
  <si>
    <t>銅</t>
    <rPh sb="0" eb="1">
      <t>ドウ</t>
    </rPh>
    <phoneticPr fontId="2"/>
  </si>
  <si>
    <t>ｽﾃﾝﾚｽ</t>
    <phoneticPr fontId="2"/>
  </si>
  <si>
    <t>小運搬重量(単位重量(kg))</t>
    <rPh sb="0" eb="1">
      <t>コ</t>
    </rPh>
    <rPh sb="1" eb="3">
      <t>ウンパン</t>
    </rPh>
    <rPh sb="3" eb="5">
      <t>ジュウリョウ</t>
    </rPh>
    <rPh sb="6" eb="8">
      <t>タンイ</t>
    </rPh>
    <rPh sb="8" eb="10">
      <t>ジュウリョウ</t>
    </rPh>
    <phoneticPr fontId="2"/>
  </si>
  <si>
    <t>ガラス
陶磁器</t>
  </si>
  <si>
    <t>ｽﾃﾝﾚｽ</t>
  </si>
  <si>
    <t>アルミ</t>
  </si>
  <si>
    <t>処分費重量</t>
    <rPh sb="0" eb="2">
      <t>ショブン</t>
    </rPh>
    <rPh sb="2" eb="3">
      <t>ヒ</t>
    </rPh>
    <rPh sb="3" eb="5">
      <t>ジュウリョウ</t>
    </rPh>
    <phoneticPr fontId="2"/>
  </si>
  <si>
    <t>材料</t>
  </si>
  <si>
    <t>小運搬表（残材処分費）</t>
    <rPh sb="0" eb="1">
      <t>コ</t>
    </rPh>
    <rPh sb="1" eb="3">
      <t>ウンパン</t>
    </rPh>
    <rPh sb="3" eb="4">
      <t>ヒョウ</t>
    </rPh>
    <rPh sb="5" eb="6">
      <t>ザン</t>
    </rPh>
    <rPh sb="6" eb="7">
      <t>ザイ</t>
    </rPh>
    <rPh sb="7" eb="9">
      <t>ショブン</t>
    </rPh>
    <rPh sb="9" eb="10">
      <t>ヒ</t>
    </rPh>
    <phoneticPr fontId="2"/>
  </si>
  <si>
    <t>小運搬表（運搬費）</t>
    <rPh sb="0" eb="1">
      <t>コ</t>
    </rPh>
    <rPh sb="1" eb="3">
      <t>ウンパン</t>
    </rPh>
    <rPh sb="3" eb="4">
      <t>ヒョウ</t>
    </rPh>
    <rPh sb="5" eb="7">
      <t>ウンパン</t>
    </rPh>
    <rPh sb="7" eb="8">
      <t>ヒ</t>
    </rPh>
    <phoneticPr fontId="2"/>
  </si>
  <si>
    <t>ｽｸﾗｯﾌﾟ重量</t>
    <rPh sb="6" eb="8">
      <t>ジュウリョウ</t>
    </rPh>
    <phoneticPr fontId="2"/>
  </si>
  <si>
    <t>記入参考</t>
  </si>
  <si>
    <t>m2</t>
  </si>
  <si>
    <t>項目が赤くなります。</t>
    <rPh sb="0" eb="2">
      <t>コウモク</t>
    </rPh>
    <rPh sb="3" eb="4">
      <t>アカ</t>
    </rPh>
    <phoneticPr fontId="2"/>
  </si>
  <si>
    <t>☆★右に小運搬重量が入っていないと</t>
    <rPh sb="2" eb="3">
      <t>ミギ</t>
    </rPh>
    <rPh sb="4" eb="5">
      <t>コ</t>
    </rPh>
    <rPh sb="5" eb="7">
      <t>ウンパン</t>
    </rPh>
    <rPh sb="7" eb="9">
      <t>ジュウリョウ</t>
    </rPh>
    <rPh sb="10" eb="11">
      <t>ハイ</t>
    </rPh>
    <phoneticPr fontId="2"/>
  </si>
  <si>
    <t>☆★材料数量を入力すると、</t>
    <rPh sb="2" eb="4">
      <t>ザイリョウ</t>
    </rPh>
    <rPh sb="4" eb="6">
      <t>スウリョウ</t>
    </rPh>
    <rPh sb="7" eb="9">
      <t>ニュウリョク</t>
    </rPh>
    <phoneticPr fontId="2"/>
  </si>
  <si>
    <t>項目が黒く変わります。</t>
    <rPh sb="0" eb="2">
      <t>コウモク</t>
    </rPh>
    <rPh sb="3" eb="4">
      <t>クロ</t>
    </rPh>
    <rPh sb="5" eb="6">
      <t>カ</t>
    </rPh>
    <phoneticPr fontId="2"/>
  </si>
  <si>
    <t>☆★手間など運搬を伴わない時は</t>
    <rPh sb="2" eb="4">
      <t>テマ</t>
    </rPh>
    <rPh sb="6" eb="8">
      <t>ウンパン</t>
    </rPh>
    <rPh sb="9" eb="10">
      <t>トモナ</t>
    </rPh>
    <rPh sb="13" eb="14">
      <t>トキ</t>
    </rPh>
    <phoneticPr fontId="2"/>
  </si>
  <si>
    <t>材料欄に「０」を入力してください。</t>
    <rPh sb="0" eb="2">
      <t>ザイリョウ</t>
    </rPh>
    <rPh sb="2" eb="3">
      <t>ラン</t>
    </rPh>
    <rPh sb="8" eb="10">
      <t>ニュウリョク</t>
    </rPh>
    <phoneticPr fontId="2"/>
  </si>
  <si>
    <t>☆★撤去は発生する項目すべてに</t>
    <rPh sb="2" eb="4">
      <t>テッキョ</t>
    </rPh>
    <rPh sb="5" eb="7">
      <t>ハッセイ</t>
    </rPh>
    <rPh sb="9" eb="11">
      <t>コウモク</t>
    </rPh>
    <phoneticPr fontId="2"/>
  </si>
  <si>
    <t>書き込んでください。</t>
    <rPh sb="0" eb="1">
      <t>カ</t>
    </rPh>
    <rPh sb="2" eb="3">
      <t>コ</t>
    </rPh>
    <phoneticPr fontId="2"/>
  </si>
  <si>
    <t>☆★最終的には赤字がなくなるように</t>
    <rPh sb="2" eb="5">
      <t>サイシュウテキ</t>
    </rPh>
    <rPh sb="7" eb="9">
      <t>アカジ</t>
    </rPh>
    <phoneticPr fontId="2"/>
  </si>
  <si>
    <t>入力すれば小運搬表は完成します。</t>
    <rPh sb="0" eb="2">
      <t>ニュウリョク</t>
    </rPh>
    <rPh sb="5" eb="6">
      <t>コ</t>
    </rPh>
    <rPh sb="6" eb="8">
      <t>ウンパン</t>
    </rPh>
    <rPh sb="8" eb="9">
      <t>ヒョウ</t>
    </rPh>
    <rPh sb="10" eb="12">
      <t>カンセイ</t>
    </rPh>
    <phoneticPr fontId="2"/>
  </si>
  <si>
    <t>下地がスクラップで鉄2kgなど。</t>
    <rPh sb="0" eb="2">
      <t>シタジ</t>
    </rPh>
    <rPh sb="9" eb="10">
      <t>テツ</t>
    </rPh>
    <phoneticPr fontId="2"/>
  </si>
  <si>
    <t>１．直接工事費</t>
    <rPh sb="2" eb="4">
      <t>チョクセツ</t>
    </rPh>
    <rPh sb="4" eb="7">
      <t>コウジヒ</t>
    </rPh>
    <phoneticPr fontId="2"/>
  </si>
  <si>
    <t>２．共通費</t>
    <rPh sb="2" eb="4">
      <t>キョウツウ</t>
    </rPh>
    <rPh sb="4" eb="5">
      <t>ヒ</t>
    </rPh>
    <phoneticPr fontId="2"/>
  </si>
  <si>
    <t>現場管理費・一般管理費等</t>
    <rPh sb="0" eb="2">
      <t>ゲンバ</t>
    </rPh>
    <rPh sb="2" eb="5">
      <t>カンリヒ</t>
    </rPh>
    <rPh sb="6" eb="8">
      <t>イッパン</t>
    </rPh>
    <rPh sb="8" eb="11">
      <t>カンリヒ</t>
    </rPh>
    <rPh sb="11" eb="12">
      <t>トウ</t>
    </rPh>
    <phoneticPr fontId="2"/>
  </si>
  <si>
    <t>周辺安全対策費</t>
    <rPh sb="0" eb="2">
      <t>シュウヘン</t>
    </rPh>
    <rPh sb="2" eb="4">
      <t>アンゼン</t>
    </rPh>
    <rPh sb="4" eb="7">
      <t>タイサクヒ</t>
    </rPh>
    <phoneticPr fontId="2"/>
  </si>
  <si>
    <t>養生</t>
    <rPh sb="0" eb="2">
      <t>ヨウジョウ</t>
    </rPh>
    <phoneticPr fontId="2"/>
  </si>
  <si>
    <t>共通仮設費</t>
    <rPh sb="0" eb="2">
      <t>キョウツウ</t>
    </rPh>
    <rPh sb="2" eb="4">
      <t>カセツ</t>
    </rPh>
    <rPh sb="4" eb="5">
      <t>ヒ</t>
    </rPh>
    <phoneticPr fontId="2"/>
  </si>
  <si>
    <t>共通仮設費</t>
    <rPh sb="4" eb="5">
      <t>ヒ</t>
    </rPh>
    <phoneticPr fontId="2"/>
  </si>
  <si>
    <t>1A</t>
    <phoneticPr fontId="2"/>
  </si>
  <si>
    <t>2A</t>
    <phoneticPr fontId="2"/>
  </si>
  <si>
    <t>3A</t>
    <phoneticPr fontId="2"/>
  </si>
  <si>
    <t>4A</t>
    <phoneticPr fontId="2"/>
  </si>
  <si>
    <t>==&gt;&gt;</t>
    <phoneticPr fontId="2"/>
  </si>
  <si>
    <t>作業時間</t>
    <phoneticPr fontId="2"/>
  </si>
  <si>
    <t>会所４００角</t>
    <rPh sb="0" eb="2">
      <t>カイショ</t>
    </rPh>
    <rPh sb="5" eb="6">
      <t>カク</t>
    </rPh>
    <phoneticPr fontId="2"/>
  </si>
  <si>
    <t>代価2</t>
  </si>
  <si>
    <t>未記入</t>
  </si>
  <si>
    <t xml:space="preserve"> H=1200 根切共</t>
    <rPh sb="8" eb="9">
      <t>ネ</t>
    </rPh>
    <rPh sb="9" eb="10">
      <t>キリ</t>
    </rPh>
    <rPh sb="10" eb="11">
      <t>トモ</t>
    </rPh>
    <phoneticPr fontId="2"/>
  </si>
  <si>
    <t>残土積込費加算</t>
  </si>
  <si>
    <t>人力積込費</t>
  </si>
  <si>
    <t>残土処分費</t>
  </si>
  <si>
    <t>場外自由処分</t>
  </si>
  <si>
    <t>鉄筋 SD295A</t>
  </si>
  <si>
    <t>t</t>
  </si>
  <si>
    <t>鉄筋現場加工</t>
  </si>
  <si>
    <t>一般細物(D13以下)</t>
  </si>
  <si>
    <t>鉄筋組立</t>
  </si>
  <si>
    <t>RC造一般細物(D13以下)</t>
  </si>
  <si>
    <t>手練りコンクリ―ト</t>
  </si>
  <si>
    <t>練り手間含む</t>
  </si>
  <si>
    <t>打手間　　ｶｰﾄ打ち</t>
  </si>
  <si>
    <t>小型構造物</t>
  </si>
  <si>
    <t>型枠　普通型枠</t>
  </si>
  <si>
    <t>2層以下</t>
    <phoneticPr fontId="2"/>
  </si>
  <si>
    <t>m2</t>
    <phoneticPr fontId="2"/>
  </si>
  <si>
    <t>1,2階程度の転用率</t>
    <phoneticPr fontId="2"/>
  </si>
  <si>
    <t>SD-1 両面鋼製フラッシュ扉</t>
    <rPh sb="5" eb="7">
      <t>リョウメン</t>
    </rPh>
    <rPh sb="7" eb="9">
      <t>コウセイ</t>
    </rPh>
    <rPh sb="14" eb="15">
      <t>トビラ</t>
    </rPh>
    <phoneticPr fontId="2"/>
  </si>
  <si>
    <t>W900×H2000</t>
    <phoneticPr fontId="2"/>
  </si>
  <si>
    <t>箇所</t>
    <rPh sb="0" eb="2">
      <t>カショ</t>
    </rPh>
    <phoneticPr fontId="2"/>
  </si>
  <si>
    <t>A:三和シャッター工業㈱</t>
    <rPh sb="2" eb="4">
      <t>サンワ</t>
    </rPh>
    <rPh sb="9" eb="11">
      <t>コウギョウ</t>
    </rPh>
    <phoneticPr fontId="2"/>
  </si>
  <si>
    <t>B:YKKap㈱</t>
    <phoneticPr fontId="2"/>
  </si>
  <si>
    <t>諸経費ファイル名</t>
    <rPh sb="0" eb="3">
      <t>ショケイヒ</t>
    </rPh>
    <rPh sb="7" eb="8">
      <t>メイ</t>
    </rPh>
    <phoneticPr fontId="2"/>
  </si>
  <si>
    <t>諸経費ﾌｧｲﾙ保管場所</t>
    <rPh sb="0" eb="3">
      <t>ショケイヒ</t>
    </rPh>
    <rPh sb="7" eb="9">
      <t>ホカン</t>
    </rPh>
    <rPh sb="9" eb="11">
      <t>バショ</t>
    </rPh>
    <phoneticPr fontId="2"/>
  </si>
  <si>
    <t>Fc=27,sl=18</t>
  </si>
  <si>
    <t>代価1</t>
    <phoneticPr fontId="2"/>
  </si>
  <si>
    <t>1:02:04</t>
    <phoneticPr fontId="2"/>
  </si>
  <si>
    <t>☆★O列以降の小運搬を見てください。</t>
    <rPh sb="3" eb="4">
      <t>レツ</t>
    </rPh>
    <rPh sb="4" eb="6">
      <t>イコウ</t>
    </rPh>
    <rPh sb="7" eb="8">
      <t>コ</t>
    </rPh>
    <rPh sb="8" eb="10">
      <t>ウンパン</t>
    </rPh>
    <rPh sb="11" eb="12">
      <t>ミ</t>
    </rPh>
    <phoneticPr fontId="2"/>
  </si>
  <si>
    <t>代価番号は、１から順に自動に割り振られます。</t>
    <rPh sb="0" eb="2">
      <t>ダイカ</t>
    </rPh>
    <rPh sb="2" eb="4">
      <t>バンゴウ</t>
    </rPh>
    <rPh sb="9" eb="10">
      <t>ジュン</t>
    </rPh>
    <rPh sb="11" eb="13">
      <t>ジドウ</t>
    </rPh>
    <rPh sb="14" eb="15">
      <t>ワ</t>
    </rPh>
    <rPh sb="16" eb="17">
      <t>フ</t>
    </rPh>
    <phoneticPr fontId="2"/>
  </si>
  <si>
    <t>単価ファイルの設定（緑色のセルを必要に応じて書き換えてください。）</t>
    <rPh sb="0" eb="2">
      <t>タンカ</t>
    </rPh>
    <rPh sb="7" eb="9">
      <t>セッテイ</t>
    </rPh>
    <rPh sb="10" eb="12">
      <t>ミドリイロ</t>
    </rPh>
    <rPh sb="16" eb="18">
      <t>ヒツヨウ</t>
    </rPh>
    <rPh sb="19" eb="20">
      <t>オウ</t>
    </rPh>
    <rPh sb="22" eb="23">
      <t>カ</t>
    </rPh>
    <rPh sb="24" eb="25">
      <t>カ</t>
    </rPh>
    <phoneticPr fontId="2"/>
  </si>
  <si>
    <t>全項数</t>
    <rPh sb="0" eb="1">
      <t>ゼン</t>
    </rPh>
    <rPh sb="1" eb="2">
      <t>コウ</t>
    </rPh>
    <rPh sb="2" eb="3">
      <t>スウ</t>
    </rPh>
    <phoneticPr fontId="2"/>
  </si>
  <si>
    <t>cells(16,4)</t>
    <phoneticPr fontId="2"/>
  </si>
  <si>
    <t>変更点、新機能の紹介</t>
    <rPh sb="0" eb="3">
      <t>ヘンコウテン</t>
    </rPh>
    <rPh sb="4" eb="7">
      <t>シンキノウ</t>
    </rPh>
    <rPh sb="8" eb="10">
      <t>ショウカイ</t>
    </rPh>
    <phoneticPr fontId="2"/>
  </si>
  <si>
    <t>cells(18,4)</t>
    <phoneticPr fontId="2"/>
  </si>
  <si>
    <t>cells(19,4)</t>
    <phoneticPr fontId="2"/>
  </si>
  <si>
    <t>cells(25,4)</t>
    <phoneticPr fontId="2"/>
  </si>
  <si>
    <t>前回userform終了時のlistbox.fontサイズ</t>
    <rPh sb="0" eb="2">
      <t>ゼンカイ</t>
    </rPh>
    <rPh sb="10" eb="13">
      <t>シュウリョウジ</t>
    </rPh>
    <phoneticPr fontId="2"/>
  </si>
  <si>
    <t>前回userform終了時のlistbox.columWidth</t>
    <rPh sb="0" eb="2">
      <t>ゼンカイ</t>
    </rPh>
    <rPh sb="10" eb="13">
      <t>シュウリョウジ</t>
    </rPh>
    <phoneticPr fontId="2"/>
  </si>
  <si>
    <t>C045150150050170035035035035035035035</t>
    <phoneticPr fontId="2"/>
  </si>
  <si>
    <t>単価表の右下でマウスの形状が変わりますのでドラッグして大きさを調整してください。
同じ右下をダブルクリックすると，列幅が変更できます．
表左下の左右矢印でフォントの大きさを変更できます．
一覧表をダブルクリックすることでデータを入力できるようになりました．
また、Ver1.5以降で「代価」シートによる複合単価も作成できます。「代価」シートを参照して利用してみてください．代価コードは自動で入りますので、小運搬重量を埋めれば、工事シートでコード入力で使用できます．</t>
    <rPh sb="0" eb="2">
      <t>タンカ</t>
    </rPh>
    <rPh sb="2" eb="3">
      <t>オモテ</t>
    </rPh>
    <rPh sb="4" eb="6">
      <t>ミギシタ</t>
    </rPh>
    <rPh sb="11" eb="13">
      <t>ケイジョウ</t>
    </rPh>
    <rPh sb="14" eb="15">
      <t>カ</t>
    </rPh>
    <rPh sb="27" eb="28">
      <t>オオ</t>
    </rPh>
    <rPh sb="31" eb="33">
      <t>チョウセイ</t>
    </rPh>
    <rPh sb="41" eb="42">
      <t>オナ</t>
    </rPh>
    <rPh sb="43" eb="45">
      <t>ミギシタ</t>
    </rPh>
    <rPh sb="68" eb="69">
      <t>ヒョウ</t>
    </rPh>
    <rPh sb="69" eb="71">
      <t>ヒダリシタ</t>
    </rPh>
    <rPh sb="72" eb="74">
      <t>サユウ</t>
    </rPh>
    <rPh sb="74" eb="76">
      <t>ヤジルシ</t>
    </rPh>
    <rPh sb="82" eb="83">
      <t>オオ</t>
    </rPh>
    <rPh sb="86" eb="88">
      <t>ヘンコウ</t>
    </rPh>
    <rPh sb="94" eb="96">
      <t>イチラン</t>
    </rPh>
    <rPh sb="96" eb="97">
      <t>ヒョウ</t>
    </rPh>
    <rPh sb="114" eb="116">
      <t>ニュウリョク</t>
    </rPh>
    <rPh sb="138" eb="140">
      <t>イコウ</t>
    </rPh>
    <rPh sb="142" eb="144">
      <t>ダイカ</t>
    </rPh>
    <rPh sb="151" eb="153">
      <t>フクゴウ</t>
    </rPh>
    <rPh sb="153" eb="155">
      <t>タンカ</t>
    </rPh>
    <rPh sb="156" eb="158">
      <t>サクセイ</t>
    </rPh>
    <rPh sb="164" eb="166">
      <t>ダイカ</t>
    </rPh>
    <rPh sb="171" eb="173">
      <t>サンショウ</t>
    </rPh>
    <rPh sb="175" eb="177">
      <t>リヨウ</t>
    </rPh>
    <rPh sb="186" eb="188">
      <t>ダイカ</t>
    </rPh>
    <rPh sb="192" eb="194">
      <t>ジドウ</t>
    </rPh>
    <rPh sb="195" eb="196">
      <t>ハイ</t>
    </rPh>
    <rPh sb="202" eb="203">
      <t>コ</t>
    </rPh>
    <rPh sb="203" eb="205">
      <t>ウンパン</t>
    </rPh>
    <rPh sb="205" eb="207">
      <t>ジュウリョウ</t>
    </rPh>
    <rPh sb="208" eb="209">
      <t>ウ</t>
    </rPh>
    <rPh sb="213" eb="215">
      <t>コウジ</t>
    </rPh>
    <rPh sb="222" eb="224">
      <t>ニュウリョク</t>
    </rPh>
    <rPh sb="225" eb="227">
      <t>シヨウ</t>
    </rPh>
    <phoneticPr fontId="2"/>
  </si>
  <si>
    <t>このファイルを初使用？(yes=1 no=0)</t>
    <rPh sb="7" eb="8">
      <t>ハツ</t>
    </rPh>
    <rPh sb="8" eb="10">
      <t>シヨウ</t>
    </rPh>
    <phoneticPr fontId="2"/>
  </si>
  <si>
    <t>単価表がカスタマイズできるようになりました。また、項目のダブルクリックで書込みできます．</t>
    <rPh sb="0" eb="2">
      <t>タンカ</t>
    </rPh>
    <rPh sb="2" eb="3">
      <t>ヒョウ</t>
    </rPh>
    <rPh sb="25" eb="27">
      <t>コウモク</t>
    </rPh>
    <rPh sb="36" eb="37">
      <t>カ</t>
    </rPh>
    <rPh sb="37" eb="38">
      <t>コ</t>
    </rPh>
    <phoneticPr fontId="2"/>
  </si>
  <si>
    <t>この場合、ボードが瓦礫８kg</t>
    <rPh sb="2" eb="4">
      <t>バアイ</t>
    </rPh>
    <rPh sb="9" eb="11">
      <t>ガレキ</t>
    </rPh>
    <phoneticPr fontId="2"/>
  </si>
  <si>
    <t>cells(16,8)</t>
    <phoneticPr fontId="2"/>
  </si>
  <si>
    <t>見積業者：</t>
    <rPh sb="0" eb="2">
      <t>ミツモリ</t>
    </rPh>
    <rPh sb="2" eb="4">
      <t>ギョウシャ</t>
    </rPh>
    <phoneticPr fontId="2"/>
  </si>
  <si>
    <t>㈱</t>
    <phoneticPr fontId="2"/>
  </si>
  <si>
    <t>元　　設　　計</t>
    <rPh sb="0" eb="1">
      <t>モト</t>
    </rPh>
    <rPh sb="3" eb="4">
      <t>セツ</t>
    </rPh>
    <rPh sb="6" eb="7">
      <t>ケイ</t>
    </rPh>
    <phoneticPr fontId="2"/>
  </si>
  <si>
    <t>元設計当局単価</t>
    <rPh sb="0" eb="1">
      <t>モト</t>
    </rPh>
    <rPh sb="1" eb="3">
      <t>セッケイ</t>
    </rPh>
    <rPh sb="3" eb="5">
      <t>トウキョク</t>
    </rPh>
    <rPh sb="5" eb="7">
      <t>タンカ</t>
    </rPh>
    <phoneticPr fontId="2"/>
  </si>
  <si>
    <t>元設計今回業者見積</t>
    <rPh sb="0" eb="1">
      <t>モト</t>
    </rPh>
    <rPh sb="1" eb="3">
      <t>セッケイ</t>
    </rPh>
    <rPh sb="3" eb="5">
      <t>コンカイ</t>
    </rPh>
    <rPh sb="5" eb="7">
      <t>ギョウシャ</t>
    </rPh>
    <rPh sb="7" eb="9">
      <t>ミツモリ</t>
    </rPh>
    <phoneticPr fontId="2"/>
  </si>
  <si>
    <t>変　　更　　後</t>
    <rPh sb="0" eb="1">
      <t>ヘン</t>
    </rPh>
    <rPh sb="3" eb="4">
      <t>サラ</t>
    </rPh>
    <rPh sb="6" eb="7">
      <t>アト</t>
    </rPh>
    <phoneticPr fontId="2"/>
  </si>
  <si>
    <t>変更後今回業者見積</t>
    <rPh sb="0" eb="2">
      <t>ヘンコウ</t>
    </rPh>
    <rPh sb="2" eb="3">
      <t>ゴ</t>
    </rPh>
    <rPh sb="3" eb="5">
      <t>コンカイ</t>
    </rPh>
    <rPh sb="5" eb="7">
      <t>ギョウシャ</t>
    </rPh>
    <rPh sb="7" eb="9">
      <t>ミツモリ</t>
    </rPh>
    <phoneticPr fontId="2"/>
  </si>
  <si>
    <t>No</t>
    <phoneticPr fontId="2"/>
  </si>
  <si>
    <t>天井下地（鋼製）ボ－ド共</t>
    <phoneticPr fontId="2"/>
  </si>
  <si>
    <t>ｱｽﾌｧﾙﾄ</t>
  </si>
  <si>
    <t>木くず</t>
    <rPh sb="0" eb="1">
      <t>キ</t>
    </rPh>
    <phoneticPr fontId="2"/>
  </si>
  <si>
    <t>木くず
再生</t>
    <rPh sb="0" eb="1">
      <t>キ</t>
    </rPh>
    <rPh sb="4" eb="6">
      <t>サイセイ</t>
    </rPh>
    <phoneticPr fontId="2"/>
  </si>
  <si>
    <t>木くず
合板</t>
    <rPh sb="0" eb="1">
      <t>キ</t>
    </rPh>
    <rPh sb="4" eb="6">
      <t>ゴウハン</t>
    </rPh>
    <phoneticPr fontId="2"/>
  </si>
  <si>
    <t>がれき</t>
    <phoneticPr fontId="2"/>
  </si>
  <si>
    <t>石膏ボード</t>
    <rPh sb="0" eb="2">
      <t>セッコウ</t>
    </rPh>
    <phoneticPr fontId="2"/>
  </si>
  <si>
    <t>セメント板</t>
    <rPh sb="4" eb="5">
      <t>イタ</t>
    </rPh>
    <phoneticPr fontId="2"/>
  </si>
  <si>
    <t>家具・
備品</t>
    <rPh sb="0" eb="2">
      <t>カグ</t>
    </rPh>
    <rPh sb="4" eb="6">
      <t>ビヒン</t>
    </rPh>
    <phoneticPr fontId="2"/>
  </si>
  <si>
    <t>混合
廃棄物</t>
  </si>
  <si>
    <t>再生</t>
    <rPh sb="0" eb="2">
      <t>サイセイ</t>
    </rPh>
    <phoneticPr fontId="2"/>
  </si>
  <si>
    <t>合板</t>
    <rPh sb="0" eb="2">
      <t>ゴウハン</t>
    </rPh>
    <phoneticPr fontId="2"/>
  </si>
  <si>
    <t>陶磁器</t>
    <rPh sb="0" eb="3">
      <t>トウジキ</t>
    </rPh>
    <phoneticPr fontId="2"/>
  </si>
  <si>
    <t>繊維</t>
    <rPh sb="0" eb="2">
      <t>センイ</t>
    </rPh>
    <phoneticPr fontId="2"/>
  </si>
  <si>
    <t>石膏</t>
    <rPh sb="0" eb="2">
      <t>セッコウ</t>
    </rPh>
    <phoneticPr fontId="2"/>
  </si>
  <si>
    <t>家具・</t>
    <rPh sb="0" eb="2">
      <t>カグ</t>
    </rPh>
    <phoneticPr fontId="2"/>
  </si>
  <si>
    <t>備品</t>
    <rPh sb="0" eb="2">
      <t>ビヒン</t>
    </rPh>
    <phoneticPr fontId="2"/>
  </si>
  <si>
    <t>混合</t>
    <rPh sb="0" eb="2">
      <t>コンゴウ</t>
    </rPh>
    <phoneticPr fontId="2"/>
  </si>
  <si>
    <t>廃棄物</t>
    <rPh sb="0" eb="3">
      <t>ハイキブツ</t>
    </rPh>
    <phoneticPr fontId="2"/>
  </si>
  <si>
    <t>廃プラ</t>
    <phoneticPr fontId="2"/>
  </si>
  <si>
    <t>型枠　運搬費</t>
    <phoneticPr fontId="2"/>
  </si>
  <si>
    <t>木くず
再生</t>
  </si>
  <si>
    <t>木くず
合板</t>
  </si>
  <si>
    <t>石膏ボード</t>
  </si>
  <si>
    <t>セメント板</t>
  </si>
  <si>
    <t>家具・
備品</t>
  </si>
  <si>
    <t>金属工事   見積金額比較表</t>
    <rPh sb="0" eb="2">
      <t>キンゾク</t>
    </rPh>
    <phoneticPr fontId="2"/>
  </si>
  <si>
    <t>採用業者合計</t>
    <rPh sb="0" eb="2">
      <t>サイヨウ</t>
    </rPh>
    <rPh sb="2" eb="4">
      <t>ギョウシャ</t>
    </rPh>
    <rPh sb="4" eb="6">
      <t>ゴウケイ</t>
    </rPh>
    <phoneticPr fontId="2"/>
  </si>
  <si>
    <t>今回業者合計</t>
    <rPh sb="0" eb="2">
      <t>コンカイ</t>
    </rPh>
    <rPh sb="2" eb="4">
      <t>ギョウシャ</t>
    </rPh>
    <rPh sb="4" eb="6">
      <t>ゴウケイ</t>
    </rPh>
    <phoneticPr fontId="2"/>
  </si>
  <si>
    <t>調整率＝＞</t>
    <rPh sb="0" eb="2">
      <t>チョウセイ</t>
    </rPh>
    <rPh sb="2" eb="3">
      <t>リツ</t>
    </rPh>
    <phoneticPr fontId="2"/>
  </si>
  <si>
    <t>&lt;=変更見積業者が元設計見積業者なら、左に元設計の合計金額(調整無)を記入し、各項目のB-I列は無記入</t>
    <rPh sb="2" eb="4">
      <t>ヘンコウ</t>
    </rPh>
    <rPh sb="4" eb="6">
      <t>ミツ</t>
    </rPh>
    <rPh sb="6" eb="8">
      <t>ギョウシャ</t>
    </rPh>
    <rPh sb="9" eb="10">
      <t>モト</t>
    </rPh>
    <rPh sb="10" eb="12">
      <t>セッケイ</t>
    </rPh>
    <rPh sb="12" eb="14">
      <t>ミツモリ</t>
    </rPh>
    <rPh sb="14" eb="16">
      <t>ギョウシャ</t>
    </rPh>
    <rPh sb="19" eb="20">
      <t>ヒダリ</t>
    </rPh>
    <rPh sb="21" eb="22">
      <t>モト</t>
    </rPh>
    <rPh sb="22" eb="24">
      <t>セッケイ</t>
    </rPh>
    <rPh sb="25" eb="27">
      <t>ゴウケイ</t>
    </rPh>
    <rPh sb="27" eb="29">
      <t>キンガク</t>
    </rPh>
    <rPh sb="30" eb="32">
      <t>チョウセイ</t>
    </rPh>
    <rPh sb="32" eb="33">
      <t>ナ</t>
    </rPh>
    <rPh sb="35" eb="37">
      <t>キニュウ</t>
    </rPh>
    <rPh sb="39" eb="42">
      <t>カクコウモク</t>
    </rPh>
    <rPh sb="46" eb="47">
      <t>レツ</t>
    </rPh>
    <rPh sb="48" eb="49">
      <t>ム</t>
    </rPh>
    <rPh sb="49" eb="51">
      <t>キニュウ</t>
    </rPh>
    <phoneticPr fontId="2"/>
  </si>
  <si>
    <t>ｺｰﾄﾞ</t>
  </si>
  <si>
    <t>作業</t>
  </si>
  <si>
    <t>運搬</t>
  </si>
  <si>
    <t>調整後単価</t>
    <rPh sb="0" eb="3">
      <t>チョウセイゴ</t>
    </rPh>
    <rPh sb="3" eb="4">
      <t>タン</t>
    </rPh>
    <rPh sb="4" eb="5">
      <t>アタイ</t>
    </rPh>
    <phoneticPr fontId="2"/>
  </si>
  <si>
    <t>total　</t>
    <phoneticPr fontId="2"/>
  </si>
  <si>
    <t>内外装部分撤去</t>
    <phoneticPr fontId="2"/>
  </si>
  <si>
    <t>材料運搬重量</t>
    <rPh sb="0" eb="2">
      <t>ザイリョウ</t>
    </rPh>
    <rPh sb="2" eb="4">
      <t>ウンパン</t>
    </rPh>
    <rPh sb="4" eb="6">
      <t>ジュウリョウ</t>
    </rPh>
    <phoneticPr fontId="2"/>
  </si>
  <si>
    <t>小運搬重量（材料＋残材）</t>
    <phoneticPr fontId="2"/>
  </si>
  <si>
    <t>材料運搬重量</t>
    <phoneticPr fontId="2"/>
  </si>
  <si>
    <t>残材小運搬重量</t>
    <phoneticPr fontId="2"/>
  </si>
  <si>
    <t>EOL1</t>
    <phoneticPr fontId="2"/>
  </si>
  <si>
    <t>ｺﾝｸﾘｰﾄ</t>
    <phoneticPr fontId="2"/>
  </si>
  <si>
    <t>EOL2</t>
    <phoneticPr fontId="2"/>
  </si>
  <si>
    <t>※サンプルのため、数量内容は　適当に記載してます。</t>
    <rPh sb="9" eb="11">
      <t>スウリョウ</t>
    </rPh>
    <rPh sb="11" eb="13">
      <t>ナイヨウ</t>
    </rPh>
    <phoneticPr fontId="2"/>
  </si>
  <si>
    <t>※撤去と新設が混在しても小運搬は　重量さえいれてあれば機能します</t>
    <rPh sb="1" eb="3">
      <t>テッキョ</t>
    </rPh>
    <rPh sb="4" eb="6">
      <t>シンセツ</t>
    </rPh>
    <rPh sb="7" eb="9">
      <t>コンザイ</t>
    </rPh>
    <rPh sb="12" eb="13">
      <t>ショウ</t>
    </rPh>
    <rPh sb="13" eb="15">
      <t>ウンパン</t>
    </rPh>
    <phoneticPr fontId="2"/>
  </si>
  <si>
    <t>※施工、運搬時間は着色部のものになるため、内訳に異なる時間を入力した場合は小運搬の時間帯がおかしくなります。</t>
    <rPh sb="1" eb="3">
      <t>セコウ</t>
    </rPh>
    <rPh sb="4" eb="6">
      <t>ウンパン</t>
    </rPh>
    <rPh sb="6" eb="8">
      <t>ジカン</t>
    </rPh>
    <rPh sb="9" eb="11">
      <t>チャクショク</t>
    </rPh>
    <rPh sb="11" eb="12">
      <t>ブ</t>
    </rPh>
    <rPh sb="21" eb="23">
      <t>ウチワケ</t>
    </rPh>
    <rPh sb="24" eb="25">
      <t>コト</t>
    </rPh>
    <rPh sb="27" eb="29">
      <t>ジカン</t>
    </rPh>
    <rPh sb="30" eb="32">
      <t>ニュウリョク</t>
    </rPh>
    <rPh sb="34" eb="36">
      <t>バアイ</t>
    </rPh>
    <rPh sb="37" eb="38">
      <t>ショウ</t>
    </rPh>
    <rPh sb="38" eb="40">
      <t>ウンパン</t>
    </rPh>
    <rPh sb="41" eb="44">
      <t>ジカンタイ</t>
    </rPh>
    <phoneticPr fontId="2"/>
  </si>
  <si>
    <t>このページはメニューからページの削除で削除してから使用してください.</t>
    <phoneticPr fontId="2"/>
  </si>
  <si>
    <t>↑　サンプルは消してから使ってください</t>
    <rPh sb="7" eb="8">
      <t>ケ</t>
    </rPh>
    <rPh sb="12" eb="13">
      <t>ツカ</t>
    </rPh>
    <phoneticPr fontId="2"/>
  </si>
  <si>
    <t>積込加算(ｽｸﾗｯﾌﾟ含む)</t>
  </si>
  <si>
    <t>残材車両積載重量</t>
  </si>
  <si>
    <t>残材車両積載重量(ｽｸﾗｯﾌﾟ)</t>
  </si>
  <si>
    <t>このページは削除してから使用してください.</t>
    <phoneticPr fontId="2"/>
  </si>
  <si>
    <t>残材運搬車両積載重量(ｽｸﾗｯﾌﾟ)</t>
    <rPh sb="0" eb="1">
      <t>ザン</t>
    </rPh>
    <rPh sb="1" eb="2">
      <t>ザイ</t>
    </rPh>
    <rPh sb="2" eb="4">
      <t>ウンパン</t>
    </rPh>
    <rPh sb="4" eb="6">
      <t>シャリョウ</t>
    </rPh>
    <rPh sb="6" eb="8">
      <t>セキサイ</t>
    </rPh>
    <rPh sb="8" eb="10">
      <t>ジュウリョウ</t>
    </rPh>
    <phoneticPr fontId="2"/>
  </si>
  <si>
    <t>廃プラ
(ｱｽﾍﾞ)</t>
    <phoneticPr fontId="2"/>
  </si>
  <si>
    <t>両面用プリンターの名称</t>
    <rPh sb="0" eb="2">
      <t>リョウメン</t>
    </rPh>
    <rPh sb="2" eb="3">
      <t>ヨウ</t>
    </rPh>
    <rPh sb="9" eb="11">
      <t>メイショウ</t>
    </rPh>
    <phoneticPr fontId="2"/>
  </si>
  <si>
    <t>cells(2,11)</t>
    <phoneticPr fontId="2"/>
  </si>
  <si>
    <t>Brother HL-6050DN series (両面印刷用)</t>
    <phoneticPr fontId="2"/>
  </si>
  <si>
    <t>ｺﾝｸﾘｰﾄ</t>
    <phoneticPr fontId="2"/>
  </si>
  <si>
    <t>ｱｽﾌｧﾙﾄ</t>
    <phoneticPr fontId="2"/>
  </si>
  <si>
    <t>廃プラ</t>
    <phoneticPr fontId="2"/>
  </si>
  <si>
    <t>がれき</t>
    <phoneticPr fontId="2"/>
  </si>
  <si>
    <t>廃プラ
(ｱｽﾍﾞ)</t>
    <phoneticPr fontId="2"/>
  </si>
  <si>
    <t>石膏ボード（ｱｽﾍﾞ）</t>
    <rPh sb="0" eb="2">
      <t>セッコウ</t>
    </rPh>
    <phoneticPr fontId="2"/>
  </si>
  <si>
    <t>セメント板　　　（ｱｽﾍﾞ）</t>
    <rPh sb="4" eb="5">
      <t>バン</t>
    </rPh>
    <phoneticPr fontId="2"/>
  </si>
  <si>
    <t>ｽﾃﾝﾚｽ</t>
    <phoneticPr fontId="2"/>
  </si>
  <si>
    <t>アルミ</t>
    <phoneticPr fontId="2"/>
  </si>
  <si>
    <t>残材小運搬重量(全て含む)</t>
    <rPh sb="0" eb="1">
      <t>ザン</t>
    </rPh>
    <rPh sb="1" eb="2">
      <t>ザイ</t>
    </rPh>
    <rPh sb="2" eb="3">
      <t>コ</t>
    </rPh>
    <rPh sb="3" eb="5">
      <t>ウンパン</t>
    </rPh>
    <rPh sb="5" eb="7">
      <t>ジュウリョウ</t>
    </rPh>
    <rPh sb="8" eb="9">
      <t>スベ</t>
    </rPh>
    <phoneticPr fontId="2"/>
  </si>
  <si>
    <t>残材運搬車両積載重量(ｽｸﾗｯﾌﾟ・ｱｽﾍﾞ除く)</t>
    <rPh sb="0" eb="1">
      <t>ザン</t>
    </rPh>
    <rPh sb="1" eb="2">
      <t>ザイ</t>
    </rPh>
    <rPh sb="2" eb="4">
      <t>ウンパン</t>
    </rPh>
    <rPh sb="4" eb="6">
      <t>シャリョウ</t>
    </rPh>
    <rPh sb="6" eb="8">
      <t>セキサイ</t>
    </rPh>
    <rPh sb="8" eb="10">
      <t>ジュウリョウ</t>
    </rPh>
    <rPh sb="22" eb="23">
      <t>ノゾ</t>
    </rPh>
    <phoneticPr fontId="2"/>
  </si>
  <si>
    <t>残材運搬車両積載重量(ｱｽﾍﾞｽﾄ)</t>
    <rPh sb="0" eb="1">
      <t>ザン</t>
    </rPh>
    <rPh sb="1" eb="2">
      <t>ザイ</t>
    </rPh>
    <rPh sb="2" eb="4">
      <t>ウンパン</t>
    </rPh>
    <rPh sb="4" eb="6">
      <t>シャリョウ</t>
    </rPh>
    <rPh sb="6" eb="8">
      <t>セキサイ</t>
    </rPh>
    <rPh sb="8" eb="10">
      <t>ジュウリョウ</t>
    </rPh>
    <phoneticPr fontId="2"/>
  </si>
  <si>
    <t>残材車両積載重量（ｱｽﾍﾞｽﾄ）</t>
    <rPh sb="0" eb="2">
      <t>ザンザイ</t>
    </rPh>
    <rPh sb="2" eb="4">
      <t>シャリョウ</t>
    </rPh>
    <rPh sb="4" eb="6">
      <t>セキサイ</t>
    </rPh>
    <rPh sb="6" eb="8">
      <t>ジュウリョウ</t>
    </rPh>
    <phoneticPr fontId="2"/>
  </si>
  <si>
    <t>スクラップ</t>
    <phoneticPr fontId="2"/>
  </si>
  <si>
    <t>ガラス</t>
    <phoneticPr fontId="2"/>
  </si>
  <si>
    <t>セメン</t>
    <phoneticPr fontId="2"/>
  </si>
  <si>
    <t>ｱﾙﾐ</t>
    <phoneticPr fontId="2"/>
  </si>
  <si>
    <t>くず</t>
    <phoneticPr fontId="2"/>
  </si>
  <si>
    <t>ボード</t>
    <phoneticPr fontId="2"/>
  </si>
  <si>
    <t>　ト板</t>
    <phoneticPr fontId="2"/>
  </si>
  <si>
    <t>(ｱｽﾍﾞ)</t>
    <phoneticPr fontId="2"/>
  </si>
  <si>
    <t>（ｱｽﾍﾞ）</t>
    <phoneticPr fontId="2"/>
  </si>
  <si>
    <t>ｱｽﾍﾞ重量</t>
    <rPh sb="4" eb="6">
      <t>ジュウリョウ</t>
    </rPh>
    <phoneticPr fontId="2"/>
  </si>
  <si>
    <t>契約書に綴じ込まないこと</t>
    <rPh sb="0" eb="3">
      <t>ケイヤクショ</t>
    </rPh>
    <rPh sb="4" eb="5">
      <t>ト</t>
    </rPh>
    <rPh sb="6" eb="7">
      <t>コ</t>
    </rPh>
    <phoneticPr fontId="2"/>
  </si>
  <si>
    <t>数　量　内　訳　書　【参　考】</t>
    <rPh sb="0" eb="1">
      <t>スウリョウ</t>
    </rPh>
    <rPh sb="2" eb="3">
      <t>リョウ</t>
    </rPh>
    <rPh sb="4" eb="5">
      <t>ウチ</t>
    </rPh>
    <rPh sb="6" eb="7">
      <t>ヤク</t>
    </rPh>
    <rPh sb="8" eb="9">
      <t>ショ</t>
    </rPh>
    <rPh sb="10" eb="12">
      <t>サンコウ</t>
    </rPh>
    <phoneticPr fontId="2"/>
  </si>
  <si>
    <t>注記</t>
  </si>
  <si>
    <t>・数量質疑書の質疑用紙・記入要領・提出方法及び回答方法は、設計図書等の質疑書に準ずる。
　ただし、設計図書等の質疑書と別冊とする。</t>
    <phoneticPr fontId="2"/>
  </si>
  <si>
    <t>・数量内訳書に関して、当初の質疑期限後の異議は一切受け付けない。</t>
    <phoneticPr fontId="2"/>
  </si>
  <si>
    <t>・数量内訳書の内容に質疑のある場合は、「数量に関する質疑書」(以下「数量質疑書」という。）を作成し、提出すること。なお、数量質疑書には質疑内容に関する数量の根拠を参考資料として添付することとし、この参考資料の添付がない質疑は受け付けない。</t>
    <phoneticPr fontId="2"/>
  </si>
  <si>
    <t>・数量内訳書には工事費内訳書の数量を記載しているが、この数量は参考数量であって、設計変更に伴う数量変更以外の契約変更は行わない。</t>
    <phoneticPr fontId="2"/>
  </si>
  <si>
    <t>直接工事費</t>
    <rPh sb="0" eb="2">
      <t>チョクセツ</t>
    </rPh>
    <rPh sb="2" eb="5">
      <t>コウジヒ</t>
    </rPh>
    <phoneticPr fontId="2"/>
  </si>
  <si>
    <t>共通費</t>
    <rPh sb="0" eb="2">
      <t>キョウツウ</t>
    </rPh>
    <rPh sb="2" eb="3">
      <t>ヒ</t>
    </rPh>
    <phoneticPr fontId="2"/>
  </si>
  <si>
    <t>式</t>
    <rPh sb="0" eb="1">
      <t>シキ</t>
    </rPh>
    <phoneticPr fontId="2"/>
  </si>
  <si>
    <t>消費税及び地方消費税相当額</t>
    <rPh sb="0" eb="3">
      <t>ショウヒゼイ</t>
    </rPh>
    <rPh sb="3" eb="4">
      <t>オヨ</t>
    </rPh>
    <rPh sb="5" eb="7">
      <t>チホウ</t>
    </rPh>
    <rPh sb="7" eb="10">
      <t>ショウヒゼイ</t>
    </rPh>
    <rPh sb="10" eb="12">
      <t>ソウトウ</t>
    </rPh>
    <rPh sb="12" eb="13">
      <t>ガク</t>
    </rPh>
    <phoneticPr fontId="2"/>
  </si>
  <si>
    <t/>
  </si>
  <si>
    <t>総page数</t>
    <rPh sb="0" eb="1">
      <t>ソウ</t>
    </rPh>
    <rPh sb="5" eb="6">
      <t>スウ</t>
    </rPh>
    <phoneticPr fontId="2"/>
  </si>
  <si>
    <t>総内訳が２ﾍﾟｰｼﾞ以上になる場合、I２5ｾﾙに必要なﾍﾟｰｼﾞ数を記入。(3～15枚まで)</t>
    <rPh sb="0" eb="1">
      <t>ソウ</t>
    </rPh>
    <rPh sb="1" eb="3">
      <t>ウチワケショ</t>
    </rPh>
    <rPh sb="10" eb="12">
      <t>イジョウ</t>
    </rPh>
    <rPh sb="15" eb="17">
      <t>バアイ</t>
    </rPh>
    <rPh sb="24" eb="26">
      <t>ヒツヨウ</t>
    </rPh>
    <rPh sb="32" eb="33">
      <t>スウ</t>
    </rPh>
    <rPh sb="34" eb="36">
      <t>キニュウ</t>
    </rPh>
    <rPh sb="42" eb="43">
      <t>マイ</t>
    </rPh>
    <phoneticPr fontId="2"/>
  </si>
  <si>
    <t>○○工事</t>
    <rPh sb="2" eb="4">
      <t>コウジ</t>
    </rPh>
    <phoneticPr fontId="2"/>
  </si>
  <si>
    <t>工事種目</t>
    <rPh sb="0" eb="2">
      <t>コウジ</t>
    </rPh>
    <rPh sb="2" eb="4">
      <t>シュモク</t>
    </rPh>
    <phoneticPr fontId="2"/>
  </si>
  <si>
    <t>土木工事</t>
    <rPh sb="0" eb="2">
      <t>ドボク</t>
    </rPh>
    <rPh sb="2" eb="4">
      <t>コウジ</t>
    </rPh>
    <phoneticPr fontId="2"/>
  </si>
  <si>
    <t>プレハブ工事</t>
    <rPh sb="4" eb="6">
      <t>コウジ</t>
    </rPh>
    <phoneticPr fontId="2"/>
  </si>
  <si>
    <t>石工事</t>
    <rPh sb="0" eb="1">
      <t>イシ</t>
    </rPh>
    <rPh sb="1" eb="3">
      <t>コウジ</t>
    </rPh>
    <phoneticPr fontId="2"/>
  </si>
  <si>
    <t>屋根工事</t>
    <rPh sb="0" eb="2">
      <t>ヤネ</t>
    </rPh>
    <rPh sb="2" eb="4">
      <t>コウジ</t>
    </rPh>
    <phoneticPr fontId="2"/>
  </si>
  <si>
    <t>タイル工事</t>
    <rPh sb="3" eb="5">
      <t>コウジ</t>
    </rPh>
    <phoneticPr fontId="2"/>
  </si>
  <si>
    <t>水門・門扉工事</t>
    <rPh sb="0" eb="2">
      <t>スイモン</t>
    </rPh>
    <rPh sb="3" eb="5">
      <t>モンピ</t>
    </rPh>
    <rPh sb="5" eb="7">
      <t>コウジ</t>
    </rPh>
    <phoneticPr fontId="2"/>
  </si>
  <si>
    <t>ガラス工事</t>
    <rPh sb="3" eb="5">
      <t>コウジ</t>
    </rPh>
    <phoneticPr fontId="2"/>
  </si>
  <si>
    <t>塗装工事</t>
    <rPh sb="0" eb="2">
      <t>トソウ</t>
    </rPh>
    <rPh sb="2" eb="4">
      <t>コウジ</t>
    </rPh>
    <phoneticPr fontId="2"/>
  </si>
  <si>
    <t>防水工事</t>
    <rPh sb="0" eb="2">
      <t>ボウスイ</t>
    </rPh>
    <rPh sb="2" eb="4">
      <t>コウジ</t>
    </rPh>
    <phoneticPr fontId="2"/>
  </si>
  <si>
    <t>内装仕上げ工事</t>
    <rPh sb="0" eb="2">
      <t>ナイソウ</t>
    </rPh>
    <rPh sb="2" eb="4">
      <t>シア</t>
    </rPh>
    <rPh sb="5" eb="7">
      <t>コウジ</t>
    </rPh>
    <phoneticPr fontId="2"/>
  </si>
  <si>
    <t>建具工事</t>
    <rPh sb="0" eb="2">
      <t>タテグ</t>
    </rPh>
    <rPh sb="2" eb="4">
      <t>コウジ</t>
    </rPh>
    <phoneticPr fontId="2"/>
  </si>
  <si>
    <t>解体工事</t>
    <rPh sb="0" eb="2">
      <t>カイタイ</t>
    </rPh>
    <rPh sb="2" eb="4">
      <t>コウジ</t>
    </rPh>
    <phoneticPr fontId="2"/>
  </si>
  <si>
    <t>建築設備課付帯</t>
    <rPh sb="0" eb="2">
      <t>ケンチク</t>
    </rPh>
    <rPh sb="2" eb="4">
      <t>セツビ</t>
    </rPh>
    <rPh sb="4" eb="5">
      <t>カ</t>
    </rPh>
    <rPh sb="5" eb="7">
      <t>フタイ</t>
    </rPh>
    <phoneticPr fontId="2"/>
  </si>
  <si>
    <t>電気設計課付帯</t>
    <rPh sb="0" eb="2">
      <t>デンキ</t>
    </rPh>
    <rPh sb="2" eb="4">
      <t>セッケイ</t>
    </rPh>
    <rPh sb="4" eb="5">
      <t>カ</t>
    </rPh>
    <rPh sb="5" eb="7">
      <t>フタイ</t>
    </rPh>
    <phoneticPr fontId="2"/>
  </si>
  <si>
    <t>※専業工事の種目を選択</t>
    <rPh sb="1" eb="3">
      <t>センギョウ</t>
    </rPh>
    <rPh sb="3" eb="5">
      <t>コウジ</t>
    </rPh>
    <rPh sb="6" eb="8">
      <t>シュモク</t>
    </rPh>
    <rPh sb="9" eb="11">
      <t>センタク</t>
    </rPh>
    <phoneticPr fontId="2"/>
  </si>
  <si>
    <t>※物品契約の種目を選択</t>
    <rPh sb="1" eb="3">
      <t>ブッピン</t>
    </rPh>
    <rPh sb="3" eb="5">
      <t>ケイヤク</t>
    </rPh>
    <rPh sb="6" eb="8">
      <t>シュモク</t>
    </rPh>
    <rPh sb="9" eb="11">
      <t>センタク</t>
    </rPh>
    <phoneticPr fontId="2"/>
  </si>
  <si>
    <t>看板</t>
    <rPh sb="0" eb="2">
      <t>カンバン</t>
    </rPh>
    <phoneticPr fontId="2"/>
  </si>
  <si>
    <t>※業務委託の種目を選択</t>
    <rPh sb="1" eb="3">
      <t>ギョウム</t>
    </rPh>
    <rPh sb="3" eb="5">
      <t>イタク</t>
    </rPh>
    <rPh sb="6" eb="8">
      <t>シュモク</t>
    </rPh>
    <rPh sb="9" eb="11">
      <t>センタク</t>
    </rPh>
    <phoneticPr fontId="2"/>
  </si>
  <si>
    <t>機械設備等保守点検</t>
    <rPh sb="0" eb="2">
      <t>キカイ</t>
    </rPh>
    <rPh sb="2" eb="4">
      <t>セツビ</t>
    </rPh>
    <rPh sb="4" eb="5">
      <t>トウ</t>
    </rPh>
    <rPh sb="5" eb="7">
      <t>ホシュ</t>
    </rPh>
    <rPh sb="7" eb="9">
      <t>テンケン</t>
    </rPh>
    <phoneticPr fontId="2"/>
  </si>
  <si>
    <t>消防設備保守点検</t>
    <rPh sb="0" eb="2">
      <t>ショウボウ</t>
    </rPh>
    <rPh sb="2" eb="4">
      <t>セツビ</t>
    </rPh>
    <rPh sb="4" eb="6">
      <t>ホシュ</t>
    </rPh>
    <rPh sb="6" eb="8">
      <t>テンケン</t>
    </rPh>
    <phoneticPr fontId="2"/>
  </si>
  <si>
    <t>施設保守点検整備</t>
    <rPh sb="0" eb="2">
      <t>シセツ</t>
    </rPh>
    <rPh sb="2" eb="4">
      <t>ホシュ</t>
    </rPh>
    <rPh sb="4" eb="6">
      <t>テンケン</t>
    </rPh>
    <rPh sb="6" eb="8">
      <t>セイビ</t>
    </rPh>
    <phoneticPr fontId="2"/>
  </si>
  <si>
    <t>建物・構造物各種調査</t>
    <rPh sb="0" eb="2">
      <t>タテモノ</t>
    </rPh>
    <rPh sb="3" eb="6">
      <t>コウゾウブツ</t>
    </rPh>
    <rPh sb="6" eb="8">
      <t>カクシュ</t>
    </rPh>
    <rPh sb="8" eb="10">
      <t>チョウサ</t>
    </rPh>
    <phoneticPr fontId="2"/>
  </si>
  <si>
    <t>※測量・建設コンサル業務委託の種類を選択</t>
    <rPh sb="1" eb="3">
      <t>ソクリョウ</t>
    </rPh>
    <rPh sb="4" eb="6">
      <t>ケンセツ</t>
    </rPh>
    <rPh sb="10" eb="12">
      <t>ギョウム</t>
    </rPh>
    <rPh sb="12" eb="14">
      <t>イタク</t>
    </rPh>
    <rPh sb="15" eb="17">
      <t>シュルイ</t>
    </rPh>
    <rPh sb="18" eb="20">
      <t>センタク</t>
    </rPh>
    <phoneticPr fontId="2"/>
  </si>
  <si>
    <t>建築設計・監理（一級）</t>
    <rPh sb="0" eb="2">
      <t>ケンチク</t>
    </rPh>
    <rPh sb="2" eb="4">
      <t>セッケイ</t>
    </rPh>
    <rPh sb="5" eb="7">
      <t>カンリ</t>
    </rPh>
    <rPh sb="8" eb="9">
      <t>イチ</t>
    </rPh>
    <rPh sb="9" eb="10">
      <t>キュウ</t>
    </rPh>
    <phoneticPr fontId="2"/>
  </si>
  <si>
    <t>建築設計・監理（二級）</t>
    <rPh sb="0" eb="2">
      <t>ケンチク</t>
    </rPh>
    <rPh sb="2" eb="4">
      <t>セッケイ</t>
    </rPh>
    <rPh sb="5" eb="7">
      <t>カンリ</t>
    </rPh>
    <rPh sb="8" eb="9">
      <t>２</t>
    </rPh>
    <rPh sb="9" eb="10">
      <t>キュウ</t>
    </rPh>
    <phoneticPr fontId="2"/>
  </si>
  <si>
    <t>適用外</t>
  </si>
  <si>
    <t>工　　事　　費　　内　　訳　　書</t>
    <rPh sb="6" eb="7">
      <t>ヒ</t>
    </rPh>
    <rPh sb="9" eb="10">
      <t>ウチ</t>
    </rPh>
    <rPh sb="12" eb="13">
      <t>ヤク</t>
    </rPh>
    <phoneticPr fontId="2"/>
  </si>
  <si>
    <t>費用</t>
    <rPh sb="0" eb="2">
      <t>ヒヨウ</t>
    </rPh>
    <phoneticPr fontId="2"/>
  </si>
  <si>
    <t>当該課確認</t>
    <rPh sb="0" eb="2">
      <t>トウガイ</t>
    </rPh>
    <rPh sb="2" eb="3">
      <t>カ</t>
    </rPh>
    <rPh sb="3" eb="5">
      <t>カクニン</t>
    </rPh>
    <phoneticPr fontId="2"/>
  </si>
  <si>
    <t>工事名称：</t>
  </si>
  <si>
    <t>工事価格</t>
    <rPh sb="0" eb="2">
      <t>コウジ</t>
    </rPh>
    <rPh sb="2" eb="4">
      <t>カカク</t>
    </rPh>
    <phoneticPr fontId="2"/>
  </si>
  <si>
    <t>生ｺﾝｸﾘｰﾄ</t>
    <phoneticPr fontId="2"/>
  </si>
  <si>
    <t>夜間打ちﾌﾟﾗﾝﾄ運転加算</t>
    <phoneticPr fontId="2"/>
  </si>
  <si>
    <t>合計</t>
    <rPh sb="0" eb="2">
      <t>ゴウケイ</t>
    </rPh>
    <phoneticPr fontId="2"/>
  </si>
  <si>
    <t>10100101</t>
  </si>
  <si>
    <t>鉄有固-運送施設 土地-線路及び停車場用地</t>
  </si>
  <si>
    <t>10100201</t>
  </si>
  <si>
    <t>鉄有固-運送施設 土地-変電所用地</t>
  </si>
  <si>
    <t>10100301</t>
  </si>
  <si>
    <t>鉄有固-運送施設 土地-車庫及び工場用地</t>
  </si>
  <si>
    <t>10100401</t>
  </si>
  <si>
    <t>鉄有固-運送施設 土地-倉庫用地</t>
  </si>
  <si>
    <t>10100501</t>
  </si>
  <si>
    <t>鉄有固-運送施設 土地-事務所用地</t>
  </si>
  <si>
    <t>10100601</t>
  </si>
  <si>
    <t>鉄有固-運送施設 土地-社宅及び寮用地</t>
  </si>
  <si>
    <t>10199901</t>
  </si>
  <si>
    <t>鉄有固-運送施設 土地-雑用地</t>
  </si>
  <si>
    <t>鉄有固-運送施設 建物-鉄骨鉄筋コンクリート造又は鉄筋コンクリート造-停車場建物</t>
  </si>
  <si>
    <t>10500702</t>
  </si>
  <si>
    <t>鉄有固-運送施設 建物-れんが造、石造又はブロック造-停車場建物</t>
  </si>
  <si>
    <t>10500703</t>
  </si>
  <si>
    <t>鉄有固-運送施設 建物-金属造(骨格材の肉厚が4mm超)-停車場建物</t>
  </si>
  <si>
    <t>10500704</t>
  </si>
  <si>
    <t>鉄有固-運送施設 建物-金属造(骨格材の肉厚が3mm超4mm以下)-停車場建物</t>
  </si>
  <si>
    <t>10500705</t>
  </si>
  <si>
    <t>鉄有固-運送施設 建物-金属造(骨格材の肉厚が3mm以下)-停車場建物</t>
  </si>
  <si>
    <t>10500706</t>
  </si>
  <si>
    <t>鉄有固-運送施設 建物-木造又は合成樹脂造-停車場建物</t>
  </si>
  <si>
    <t>10500707</t>
  </si>
  <si>
    <t>鉄有固-運送施設 建物-木骨モルタル造-停車場建物</t>
  </si>
  <si>
    <t>10500708</t>
  </si>
  <si>
    <t>鉄有固-運送施設 建物-簡易建物(木製主要柱が10cm角以下で土居、杉皮ぶき等)-停車場建物</t>
  </si>
  <si>
    <t>10500709</t>
  </si>
  <si>
    <t>鉄有固-運送施設 建物-簡易建物(掘立造のもの及び仮設のもの)-停車場建物</t>
  </si>
  <si>
    <t>10500710</t>
  </si>
  <si>
    <t>鉄有固-運送施設 建物付属設備-電気設備(照明設備を含む)-蓄電池電源設備-停車場建物</t>
  </si>
  <si>
    <t>10500711</t>
  </si>
  <si>
    <t>鉄有固-運送施設 建物付属設備-電気設備(照明設備を含む)-その他のもの-停車場建物</t>
  </si>
  <si>
    <t>10500712</t>
  </si>
  <si>
    <t>鉄有固-運送施設 建物付属設備-給排水又は衛生設備及びガス設備-停車場建物</t>
  </si>
  <si>
    <t>10500713</t>
  </si>
  <si>
    <t>鉄有固-運送施設 建物付属設備-冷暖房・通風・ボイラー設備-22kw以下-停車場建物</t>
  </si>
  <si>
    <t>10500714</t>
  </si>
  <si>
    <t>鉄有固-運送施設 建物付属設備-冷暖房・通風・ボイラー設備-その他のもの-停車場建物</t>
  </si>
  <si>
    <t>10500715</t>
  </si>
  <si>
    <t>鉄有固-運送施設 建物付属設備-昇降機設備-エレベーター-停車場建物</t>
  </si>
  <si>
    <t>10500716</t>
  </si>
  <si>
    <t>鉄有固-運送施設 建物付属設備-昇降機設備-エスカレーター-停車場建物</t>
  </si>
  <si>
    <t>10500717</t>
  </si>
  <si>
    <t>鉄有固-運送施設 建物付属設備-消火・排煙・災害報知設備及び格納式避難設備-停車場建物</t>
  </si>
  <si>
    <t>10500718</t>
  </si>
  <si>
    <t>鉄有固-運送施設 建物付属設備-エヤーカーテン又はドアー自動開閉設備-停車場建物</t>
  </si>
  <si>
    <t>10500719</t>
  </si>
  <si>
    <t>鉄有固-運送施設 建物付属設備-アーケード又は日よけ設備-金属製-停車場建物</t>
  </si>
  <si>
    <t>10500720</t>
  </si>
  <si>
    <t>鉄有固-運送施設 建物付属設備-アーケード又は日よけ設備-その他のもの-停車場建物</t>
  </si>
  <si>
    <t>10500721</t>
  </si>
  <si>
    <t>鉄有固-運送施設 建物付属設備-店用簡易設備-停車場建物</t>
  </si>
  <si>
    <t>10500722</t>
  </si>
  <si>
    <t>鉄有固-運送施設 建物付属設備-可動簡易装備-簡易なもの-停車場建物</t>
  </si>
  <si>
    <t>10500723</t>
  </si>
  <si>
    <t>鉄有固-運送施設 建物付属設備-可動簡易装備-その他のもの-停車場建物</t>
  </si>
  <si>
    <t>10500724</t>
  </si>
  <si>
    <t>鉄有固-運送施設 建物付属設備-前掲以外・前掲区分外-主として金属製のもの-停車場建物</t>
  </si>
  <si>
    <t>10500725</t>
  </si>
  <si>
    <t>鉄有固-運送施設 建物付属設備-前掲以外・前掲区分外-その他のもの-停車場建物</t>
  </si>
  <si>
    <t>10500801</t>
  </si>
  <si>
    <t>鉄有固-運送施設 建物-鉄骨鉄筋コンクリート造又は鉄筋コンクリート造-変電所建物</t>
  </si>
  <si>
    <t>10500802</t>
  </si>
  <si>
    <t>鉄有固-運送施設 建物-れんが造、石造又はブロック造-変電所建物</t>
  </si>
  <si>
    <t>10500803</t>
  </si>
  <si>
    <t>鉄有固-運送施設 建物-金属造(骨格材の肉厚が4mm超)-変電所建物</t>
  </si>
  <si>
    <t>10500804</t>
  </si>
  <si>
    <t>鉄有固-運送施設 建物-金属造(骨格材の肉厚が3mm超4mm以下)-変電所建物</t>
  </si>
  <si>
    <t>10500805</t>
  </si>
  <si>
    <t>鉄有固-運送施設 建物-金属造(骨格材の肉厚が3mm以下)-変電所建物</t>
  </si>
  <si>
    <t>10500806</t>
  </si>
  <si>
    <t>鉄有固-運送施設 建物-木造又は合成樹脂造-変電所建物</t>
  </si>
  <si>
    <t>10500807</t>
  </si>
  <si>
    <t>鉄有固-運送施設 建物-木骨モルタル造-変電所建物</t>
  </si>
  <si>
    <t>10500808</t>
  </si>
  <si>
    <t>鉄有固-運送施設 建物-簡易建物(木製主要柱が10cm角以下で土居、杉皮ぶき等)-変電所建物</t>
  </si>
  <si>
    <t>10500809</t>
  </si>
  <si>
    <t>鉄有固-運送施設 建物-簡易建物(掘立造のもの及び仮設のもの)-変電所建物</t>
  </si>
  <si>
    <t>10500810</t>
  </si>
  <si>
    <t>鉄有固-運送施設 建物付属設備-電気設備(照明設備を含む)-蓄電池電源設備-変電所建物</t>
  </si>
  <si>
    <t>10500811</t>
  </si>
  <si>
    <t>鉄有固-運送施設 建物付属設備-電気設備(照明設備を含む)-その他のもの-変電所建物</t>
  </si>
  <si>
    <t>10500812</t>
  </si>
  <si>
    <t>鉄有固-運送施設 建物付属設備-給排水又は衛生設備及びガス設備-変電所建物</t>
  </si>
  <si>
    <t>10500813</t>
  </si>
  <si>
    <t>鉄有固-運送施設 建物付属設備-冷暖房・通風・ボイラー設備-22kw以下-変電所建物</t>
  </si>
  <si>
    <t>10500814</t>
  </si>
  <si>
    <t>鉄有固-運送施設 建物付属設備-冷暖房・通風・ボイラー設備-その他のもの-変電所建物</t>
  </si>
  <si>
    <t>10500815</t>
  </si>
  <si>
    <t>鉄有固-運送施設 建物付属設備-昇降機設備-エレベーター-変電所建物</t>
  </si>
  <si>
    <t>10500816</t>
  </si>
  <si>
    <t>鉄有固-運送施設 建物付属設備-昇降機設備-エスカレーター-変電所建物</t>
  </si>
  <si>
    <t>10500817</t>
  </si>
  <si>
    <t>鉄有固-運送施設 建物付属設備-消火・排煙・災害報知設備及び格納式避難設備-変電所建物</t>
  </si>
  <si>
    <t>10500818</t>
  </si>
  <si>
    <t>鉄有固-運送施設 建物付属設備-エヤーカーテン又はドアー自動開閉設備-変電所建物</t>
  </si>
  <si>
    <t>10500819</t>
  </si>
  <si>
    <t>鉄有固-運送施設 建物付属設備-アーケード又は日よけ設備-金属製-変電所建物</t>
  </si>
  <si>
    <t>10500820</t>
  </si>
  <si>
    <t>鉄有固-運送施設 建物付属設備-アーケード又は日よけ設備-その他のもの-変電所建物</t>
  </si>
  <si>
    <t>10500821</t>
  </si>
  <si>
    <t>鉄有固-運送施設 建物付属設備-店用簡易設備-変電所建物</t>
  </si>
  <si>
    <t>10500822</t>
  </si>
  <si>
    <t>鉄有固-運送施設 建物付属設備-可動簡易装備-簡易なもの-変電所建物</t>
  </si>
  <si>
    <t>10500823</t>
  </si>
  <si>
    <t>鉄有固-運送施設 建物付属設備-可動簡易装備-その他のもの-変電所建物</t>
  </si>
  <si>
    <t>10500824</t>
  </si>
  <si>
    <t>鉄有固-運送施設 建物付属設備-前掲以外・前掲区分外-主として金属製のもの-変電所建物</t>
  </si>
  <si>
    <t>10500825</t>
  </si>
  <si>
    <t>鉄有固-運送施設 建物付属設備-前掲以外・前掲区分外-その他のもの-変電所建物</t>
  </si>
  <si>
    <t>10500901</t>
  </si>
  <si>
    <t>鉄有固-運送施設 建物-鉄骨鉄筋コンクリート造又は鉄筋コンクリート造-車庫・工場</t>
  </si>
  <si>
    <t>10500902</t>
  </si>
  <si>
    <t>鉄有固-運送施設 建物-れんが造、石造又はブロック造-車庫・工場</t>
  </si>
  <si>
    <t>10500903</t>
  </si>
  <si>
    <t>鉄有固-運送施設 建物-金属造(骨格材の肉厚が4mm超)-車庫・工場</t>
  </si>
  <si>
    <t>10500904</t>
  </si>
  <si>
    <t>鉄有固-運送施設 建物-金属造(骨格材の肉厚が3mm超4mm以下)-車庫・工場</t>
  </si>
  <si>
    <t>10500905</t>
  </si>
  <si>
    <t>鉄有固-運送施設 建物-金属造(骨格材の肉厚が3mm以下)-車庫・工場</t>
  </si>
  <si>
    <t>10500906</t>
  </si>
  <si>
    <t>鉄有固-運送施設 建物-木造又は合成樹脂造-車庫・工場</t>
  </si>
  <si>
    <t>10500907</t>
  </si>
  <si>
    <t>鉄有固-運送施設 建物-木骨モルタル造-車庫・工場</t>
  </si>
  <si>
    <t>10500908</t>
  </si>
  <si>
    <t>鉄有固-運送施設 建物-簡易建物(木製主要柱が10cm角以下で土居、杉皮ぶき等)-車庫・工場</t>
  </si>
  <si>
    <t>10500909</t>
  </si>
  <si>
    <t>鉄有固-運送施設 建物-簡易建物(掘立造のもの及び仮設のもの)-車庫・工場</t>
  </si>
  <si>
    <t>10500910</t>
  </si>
  <si>
    <t>鉄有固-運送施設 建物付属設備-電気設備(照明設備を含む)-蓄電池電源設備-車庫・工場</t>
  </si>
  <si>
    <t>10500911</t>
  </si>
  <si>
    <t>鉄有固-運送施設 建物付属設備-電気設備(照明設備を含む)-その他のもの-車庫・工場</t>
  </si>
  <si>
    <t>10500912</t>
  </si>
  <si>
    <t>鉄有固-運送施設 建物付属設備-給排水又は衛生設備及びガス設備-車庫・工場</t>
  </si>
  <si>
    <t>10500913</t>
  </si>
  <si>
    <t>鉄有固-運送施設 建物付属設備-冷暖房・通風・ボイラー設備-22kw以下-車庫・工場</t>
  </si>
  <si>
    <t>10500914</t>
  </si>
  <si>
    <t>鉄有固-運送施設 建物付属設備-冷暖房・通風・ボイラー設備-その他のもの-車庫・工場</t>
  </si>
  <si>
    <t>10500915</t>
  </si>
  <si>
    <t>鉄有固-運送施設 建物付属設備-昇降機設備-エレベーター-車庫・工場</t>
  </si>
  <si>
    <t>10500916</t>
  </si>
  <si>
    <t>鉄有固-運送施設 建物付属設備-昇降機設備-エスカレーター-車庫・工場</t>
  </si>
  <si>
    <t>10500917</t>
  </si>
  <si>
    <t>鉄有固-運送施設 建物付属設備-消火・排煙・災害報知設備及び格納式避難設備-車庫・工場</t>
  </si>
  <si>
    <t>10500918</t>
  </si>
  <si>
    <t>鉄有固-運送施設 建物付属設備-エヤーカーテン又はドアー自動開閉設備-車庫・工場</t>
  </si>
  <si>
    <t>10500919</t>
  </si>
  <si>
    <t>鉄有固-運送施設 建物付属設備-アーケード又は日よけ設備-金属製-車庫・工場</t>
  </si>
  <si>
    <t>10500920</t>
  </si>
  <si>
    <t>鉄有固-運送施設 建物付属設備-アーケード又は日よけ設備-その他のもの-車庫・工場</t>
  </si>
  <si>
    <t>10500921</t>
  </si>
  <si>
    <t>鉄有固-運送施設 建物付属設備-店用簡易設備-車庫・工場</t>
  </si>
  <si>
    <t>10500922</t>
  </si>
  <si>
    <t>鉄有固-運送施設 建物付属設備-可動簡易装備-簡易なもの-車庫・工場</t>
  </si>
  <si>
    <t>10500923</t>
  </si>
  <si>
    <t>鉄有固-運送施設 建物付属設備-可動簡易装備-その他のもの-車庫・工場</t>
  </si>
  <si>
    <t>10500924</t>
  </si>
  <si>
    <t>鉄有固-運送施設 建物付属設備-前掲以外・前掲区分外-主として金属製のもの-車庫・工場</t>
  </si>
  <si>
    <t>10500925</t>
  </si>
  <si>
    <t>鉄有固-運送施設 建物付属設備-前掲以外・前掲区分外-その他のもの-車庫・工場</t>
  </si>
  <si>
    <t>10501001</t>
  </si>
  <si>
    <t>鉄有固-運送施設 建物-鉄骨鉄筋コンクリート造又は鉄筋コンクリート造-倉庫建物</t>
  </si>
  <si>
    <t>10501002</t>
  </si>
  <si>
    <t>鉄有固-運送施設 建物-れんが造、石造又はブロック造-倉庫建物</t>
  </si>
  <si>
    <t>10501003</t>
  </si>
  <si>
    <t>鉄有固-運送施設 建物-金属造(骨格材の肉厚が4mm超)-倉庫建物</t>
  </si>
  <si>
    <t>10501004</t>
  </si>
  <si>
    <t>鉄有固-運送施設 建物-金属造(骨格材の肉厚が3mm超4mm以下)-倉庫建物</t>
  </si>
  <si>
    <t>10501005</t>
  </si>
  <si>
    <t>鉄有固-運送施設 建物-金属造(骨格材の肉厚が3mm以下)-倉庫建物</t>
  </si>
  <si>
    <t>10501006</t>
  </si>
  <si>
    <t>鉄有固-運送施設 建物-木造又は合成樹脂造-倉庫建物</t>
  </si>
  <si>
    <t>10501007</t>
  </si>
  <si>
    <t>鉄有固-運送施設 建物-木骨モルタル造-倉庫建物</t>
  </si>
  <si>
    <t>10501008</t>
  </si>
  <si>
    <t>鉄有固-運送施設 建物-簡易建物(木製主要柱が10cm角以下で土居、杉皮ぶき等)-倉庫建物</t>
  </si>
  <si>
    <t>10501009</t>
  </si>
  <si>
    <t>鉄有固-運送施設 建物-簡易建物(掘立造のもの及び仮設のもの)-倉庫建物</t>
  </si>
  <si>
    <t>10501010</t>
  </si>
  <si>
    <t>鉄有固-運送施設 建物付属設備-電気設備(照明設備を含む)-蓄電池電源設備-倉庫建物</t>
  </si>
  <si>
    <t>10501011</t>
  </si>
  <si>
    <t>鉄有固-運送施設 建物付属設備-電気設備(照明設備を含む)-その他のもの-倉庫建物</t>
  </si>
  <si>
    <t>10501012</t>
  </si>
  <si>
    <t>鉄有固-運送施設 建物付属設備-給排水又は衛生設備及びガス設備-倉庫建物</t>
  </si>
  <si>
    <t>10501013</t>
  </si>
  <si>
    <t>鉄有固-運送施設 建物付属設備-冷暖房・通風・ボイラー設備-22kw以下-倉庫建物</t>
  </si>
  <si>
    <t>10501014</t>
  </si>
  <si>
    <t>鉄有固-運送施設 建物付属設備-冷暖房・通風・ボイラー設備-その他のもの-倉庫建物</t>
  </si>
  <si>
    <t>10501015</t>
  </si>
  <si>
    <t>鉄有固-運送施設 建物付属設備-昇降機設備-エレベーター-倉庫建物</t>
  </si>
  <si>
    <t>10501016</t>
  </si>
  <si>
    <t>鉄有固-運送施設 建物付属設備-昇降機設備-エスカレーター-倉庫建物</t>
  </si>
  <si>
    <t>10501017</t>
  </si>
  <si>
    <t>鉄有固-運送施設 建物付属設備-消火・排煙・災害報知設備及び格納式避難設備-倉庫建物</t>
  </si>
  <si>
    <t>10501018</t>
  </si>
  <si>
    <t>鉄有固-運送施設 建物付属設備-エヤーカーテン又はドアー自動開閉設備-倉庫建物</t>
  </si>
  <si>
    <t>10501019</t>
  </si>
  <si>
    <t>鉄有固-運送施設 建物付属設備-アーケード又は日よけ設備-金属製-倉庫建物</t>
  </si>
  <si>
    <t>10501020</t>
  </si>
  <si>
    <t>鉄有固-運送施設 建物付属設備-アーケード又は日よけ設備-その他のもの-倉庫建物</t>
  </si>
  <si>
    <t>10501021</t>
  </si>
  <si>
    <t>鉄有固-運送施設 建物付属設備-店用簡易設備-倉庫建物</t>
  </si>
  <si>
    <t>10501022</t>
  </si>
  <si>
    <t>鉄有固-運送施設 建物付属設備-可動簡易装備-簡易なもの-倉庫建物</t>
  </si>
  <si>
    <t>10501023</t>
  </si>
  <si>
    <t>鉄有固-運送施設 建物付属設備-可動簡易装備-その他のもの-倉庫建物</t>
  </si>
  <si>
    <t>10501024</t>
  </si>
  <si>
    <t>鉄有固-運送施設 建物付属設備-前掲以外・前掲区分外-主として金属製のもの-倉庫建物</t>
  </si>
  <si>
    <t>10501025</t>
  </si>
  <si>
    <t>鉄有固-運送施設 建物付属設備-前掲以外・前掲区分外-その他のもの-倉庫建物</t>
  </si>
  <si>
    <t>10501101</t>
  </si>
  <si>
    <t>鉄有固-運送施設 建物-鉄骨鉄筋コンクリート造又は鉄筋コンクリート造-詰所建物</t>
  </si>
  <si>
    <t>10501102</t>
  </si>
  <si>
    <t>鉄有固-運送施設 建物-れんが造、石造又はブロック造-詰所建物</t>
  </si>
  <si>
    <t>10501103</t>
  </si>
  <si>
    <t>鉄有固-運送施設 建物-金属造(骨格材の肉厚が4mm超)-詰所建物</t>
  </si>
  <si>
    <t>10501104</t>
  </si>
  <si>
    <t>鉄有固-運送施設 建物-金属造(骨格材の肉厚が3mm超4mm以下)-詰所建物</t>
  </si>
  <si>
    <t>10501105</t>
  </si>
  <si>
    <t>鉄有固-運送施設 建物-金属造(骨格材の肉厚が3mm以下)-詰所建物</t>
  </si>
  <si>
    <t>10501106</t>
  </si>
  <si>
    <t>鉄有固-運送施設 建物-木造又は合成樹脂造-詰所建物</t>
  </si>
  <si>
    <t>10501107</t>
  </si>
  <si>
    <t>鉄有固-運送施設 建物-木骨モルタル造-詰所建物</t>
  </si>
  <si>
    <t>10501108</t>
  </si>
  <si>
    <t>鉄有固-運送施設 建物-簡易建物(木製主要柱が10cm角以下で土居、杉皮ぶき等)-詰所建物</t>
  </si>
  <si>
    <t>10501109</t>
  </si>
  <si>
    <t>鉄有固-運送施設 建物-簡易建物(掘立造のもの及び仮設のもの)-詰所建物</t>
  </si>
  <si>
    <t>10501110</t>
  </si>
  <si>
    <t>鉄有固-運送施設 建物付属設備-電気設備(照明設備を含む)-蓄電池電源設備-詰所建物</t>
  </si>
  <si>
    <t>10501111</t>
  </si>
  <si>
    <t>鉄有固-運送施設 建物付属設備-電気設備(照明設備を含む)-その他のもの-詰所建物</t>
  </si>
  <si>
    <t>10501112</t>
  </si>
  <si>
    <t>鉄有固-運送施設 建物付属設備-給排水又は衛生設備及びガス設備-詰所建物</t>
  </si>
  <si>
    <t>10501113</t>
  </si>
  <si>
    <t>鉄有固-運送施設 建物付属設備-冷暖房・通風・ボイラー設備-22kw以下-詰所建物</t>
  </si>
  <si>
    <t>10501114</t>
  </si>
  <si>
    <t>鉄有固-運送施設 建物付属設備-冷暖房・通風・ボイラー設備-その他のもの-詰所建物</t>
  </si>
  <si>
    <t>10501115</t>
  </si>
  <si>
    <t>鉄有固-運送施設 建物付属設備-昇降機設備-エレベーター-詰所建物</t>
  </si>
  <si>
    <t>10501116</t>
  </si>
  <si>
    <t>鉄有固-運送施設 建物付属設備-昇降機設備-エスカレーター-詰所建物</t>
  </si>
  <si>
    <t>10501117</t>
  </si>
  <si>
    <t>鉄有固-運送施設 建物付属設備-消火・排煙・災害報知設備及び格納式避難設備-詰所建物</t>
  </si>
  <si>
    <t>10501118</t>
  </si>
  <si>
    <t>鉄有固-運送施設 建物付属設備-エヤーカーテン又はドアー自動開閉設備-詰所建物</t>
  </si>
  <si>
    <t>10501119</t>
  </si>
  <si>
    <t>鉄有固-運送施設 建物付属設備-アーケード又は日よけ設備-金属製-詰所建物</t>
  </si>
  <si>
    <t>10501120</t>
  </si>
  <si>
    <t>鉄有固-運送施設 建物付属設備-アーケード又は日よけ設備-その他のもの-詰所建物</t>
  </si>
  <si>
    <t>10501121</t>
  </si>
  <si>
    <t>鉄有固-運送施設 建物付属設備-店用簡易設備-詰所建物</t>
  </si>
  <si>
    <t>10501122</t>
  </si>
  <si>
    <t>鉄有固-運送施設 建物付属設備-可動簡易装備-簡易なもの-詰所建物</t>
  </si>
  <si>
    <t>10501123</t>
  </si>
  <si>
    <t>鉄有固-運送施設 建物付属設備-可動簡易装備-その他のもの-詰所建物</t>
  </si>
  <si>
    <t>10501124</t>
  </si>
  <si>
    <t>鉄有固-運送施設 建物付属設備-前掲以外・前掲区分外-主として金属製のもの-詰所建物</t>
  </si>
  <si>
    <t>10501125</t>
  </si>
  <si>
    <t>鉄有固-運送施設 建物付属設備-前掲以外・前掲区分外-その他のもの-詰所建物</t>
  </si>
  <si>
    <t>10501201</t>
  </si>
  <si>
    <t>鉄有固-運送施設 建物-鉄骨鉄筋コンクリート造又は鉄筋コンクリート造-事務所建物</t>
  </si>
  <si>
    <t>10501202</t>
  </si>
  <si>
    <t>鉄有固-運送施設 建物-れんが造、石造又はブロック造-事務所建物</t>
  </si>
  <si>
    <t>10501203</t>
  </si>
  <si>
    <t>鉄有固-運送施設 建物-金属造(骨格材の肉厚が4mm超)-事務所建物</t>
  </si>
  <si>
    <t>10501204</t>
  </si>
  <si>
    <t>鉄有固-運送施設 建物-金属造(骨格材の肉厚が3mm超4mm以下)-事務所建物</t>
  </si>
  <si>
    <t>10501205</t>
  </si>
  <si>
    <t>鉄有固-運送施設 建物-金属造(骨格材の肉厚が3mm以下)-事務所建物</t>
  </si>
  <si>
    <t>10501206</t>
  </si>
  <si>
    <t>鉄有固-運送施設 建物-木造又は合成樹脂造-事務所建物</t>
  </si>
  <si>
    <t>10501207</t>
  </si>
  <si>
    <t>鉄有固-運送施設 建物-木骨モルタル造-事務所建物</t>
  </si>
  <si>
    <t>10501208</t>
  </si>
  <si>
    <t>鉄有固-運送施設 建物-簡易建物(木製主要柱が10cm角以下で土居、杉皮ぶき等)-事務所建物</t>
  </si>
  <si>
    <t>10501209</t>
  </si>
  <si>
    <t>鉄有固-運送施設 建物-簡易建物(掘立造のもの及び仮設のもの)-事務所建物</t>
  </si>
  <si>
    <t>10501210</t>
  </si>
  <si>
    <t>鉄有固-運送施設 建物付属設備-電気設備(照明設備を含む)-蓄電池電源設備-事務所建物</t>
  </si>
  <si>
    <t>10501211</t>
  </si>
  <si>
    <t>鉄有固-運送施設 建物付属設備-電気設備(照明設備を含む)-その他のもの-事務所建物</t>
  </si>
  <si>
    <t>10501212</t>
  </si>
  <si>
    <t>鉄有固-運送施設 建物付属設備-給排水又は衛生設備及びガス設備-事務所建物</t>
  </si>
  <si>
    <t>10501213</t>
  </si>
  <si>
    <t>鉄有固-運送施設 建物付属設備-冷暖房・通風・ボイラー設備-22kw以下-事務所建物</t>
  </si>
  <si>
    <t>10501214</t>
  </si>
  <si>
    <t>鉄有固-運送施設 建物付属設備-冷暖房・通風・ボイラー設備-その他のもの-事務所建物</t>
  </si>
  <si>
    <t>10501215</t>
  </si>
  <si>
    <t>鉄有固-運送施設 建物付属設備-昇降機設備-エレベーター-事務所建物</t>
  </si>
  <si>
    <t>10501216</t>
  </si>
  <si>
    <t>鉄有固-運送施設 建物付属設備-昇降機設備-エスカレーター-事務所建物</t>
  </si>
  <si>
    <t>10501217</t>
  </si>
  <si>
    <t>鉄有固-運送施設 建物付属設備-消火・排煙・災害報知設備及び格納式避難設備-事務所建物</t>
  </si>
  <si>
    <t>10501218</t>
  </si>
  <si>
    <t>鉄有固-運送施設 建物付属設備-エヤーカーテン又はドアー自動開閉設備-事務所建物</t>
  </si>
  <si>
    <t>10501219</t>
  </si>
  <si>
    <t>鉄有固-運送施設 建物付属設備-アーケード又は日よけ設備-金属製-事務所建物</t>
  </si>
  <si>
    <t>10501220</t>
  </si>
  <si>
    <t>鉄有固-運送施設 建物付属設備-アーケード又は日よけ設備-その他のもの-事務所建物</t>
  </si>
  <si>
    <t>10501221</t>
  </si>
  <si>
    <t>鉄有固-運送施設 建物付属設備-店用簡易設備-事務所建物</t>
  </si>
  <si>
    <t>10501222</t>
  </si>
  <si>
    <t>鉄有固-運送施設 建物付属設備-可動簡易装備-簡易なもの-事務所建物</t>
  </si>
  <si>
    <t>10501223</t>
  </si>
  <si>
    <t>鉄有固-運送施設 建物付属設備-可動簡易装備-その他のもの-事務所建物</t>
  </si>
  <si>
    <t>10501224</t>
  </si>
  <si>
    <t>鉄有固-運送施設 建物付属設備-前掲以外・前掲区分外-主として金属製のもの-事務所建物</t>
  </si>
  <si>
    <t>10501225</t>
  </si>
  <si>
    <t>鉄有固-運送施設 建物付属設備-前掲以外・前掲区分外-その他のもの-事務所建物</t>
  </si>
  <si>
    <t>10501301</t>
  </si>
  <si>
    <t>鉄有固-運送施設 建物-鉄骨鉄筋コンクリート造又は鉄筋コンクリート造-社宅・寮建物</t>
  </si>
  <si>
    <t>10501302</t>
  </si>
  <si>
    <t>鉄有固-運送施設 建物-れんが造、石造又はブロック造-社宅・寮建物</t>
  </si>
  <si>
    <t>10501303</t>
  </si>
  <si>
    <t>鉄有固-運送施設 建物-金属造(骨格材の肉厚が4mm超)-社宅・寮建物</t>
  </si>
  <si>
    <t>10501304</t>
  </si>
  <si>
    <t>鉄有固-運送施設 建物-金属造(骨格材の肉厚が3mm超4mm以下)-社宅・寮建物</t>
  </si>
  <si>
    <t>10501305</t>
  </si>
  <si>
    <t>鉄有固-運送施設 建物-金属造(骨格材の肉厚が3mm以下)-社宅・寮建物</t>
  </si>
  <si>
    <t>10501306</t>
  </si>
  <si>
    <t>鉄有固-運送施設 建物-木造又は合成樹脂造-社宅・寮建物</t>
  </si>
  <si>
    <t>10501307</t>
  </si>
  <si>
    <t>鉄有固-運送施設 建物-木骨モルタル造-社宅・寮建物</t>
  </si>
  <si>
    <t>10501308</t>
  </si>
  <si>
    <t>鉄有固-運送施設 建物-簡易建物(木製主要柱が10cm角以下で土居、杉皮ぶき等)-社宅・寮建物</t>
  </si>
  <si>
    <t>10501309</t>
  </si>
  <si>
    <t>鉄有固-運送施設 建物-簡易建物(掘立造のもの及び仮設のもの)-社宅・寮建物</t>
  </si>
  <si>
    <t>10501310</t>
  </si>
  <si>
    <t>鉄有固-運送施設 建物付属設備-電気設備(照明設備を含む)-蓄電池電源設備-社宅・寮建物</t>
  </si>
  <si>
    <t>10501311</t>
  </si>
  <si>
    <t>鉄有固-運送施設 建物付属設備-電気設備(照明設備を含む)-その他のもの-社宅・寮建物</t>
  </si>
  <si>
    <t>10501312</t>
  </si>
  <si>
    <t>鉄有固-運送施設 建物付属設備-給排水又は衛生設備及びガス設備-社宅・寮建物</t>
  </si>
  <si>
    <t>10501313</t>
  </si>
  <si>
    <t>鉄有固-運送施設 建物付属設備-冷暖房・通風・ボイラー設備-22kw以下-社宅・寮建物</t>
  </si>
  <si>
    <t>10501314</t>
  </si>
  <si>
    <t>鉄有固-運送施設 建物付属設備-冷暖房・通風・ボイラー設備-その他のもの-社宅・寮建物</t>
  </si>
  <si>
    <t>10501315</t>
  </si>
  <si>
    <t>鉄有固-運送施設 建物付属設備-昇降機設備-エレベーター-社宅・寮建物</t>
  </si>
  <si>
    <t>10501316</t>
  </si>
  <si>
    <t>鉄有固-運送施設 建物付属設備-昇降機設備-エスカレーター-社宅・寮建物</t>
  </si>
  <si>
    <t>10501317</t>
  </si>
  <si>
    <t>鉄有固-運送施設 建物付属設備-消火・排煙・災害報知設備及び格納式避難設備-社宅・寮建物</t>
  </si>
  <si>
    <t>10501318</t>
  </si>
  <si>
    <t>鉄有固-運送施設 建物付属設備-エヤーカーテン又はドアー自動開閉設備-社宅・寮建物</t>
  </si>
  <si>
    <t>10501319</t>
  </si>
  <si>
    <t>鉄有固-運送施設 建物付属設備-アーケード又は日よけ設備-金属製-社宅・寮建物</t>
  </si>
  <si>
    <t>10501320</t>
  </si>
  <si>
    <t>鉄有固-運送施設 建物付属設備-アーケード又は日よけ設備-その他のもの-社宅・寮建物</t>
  </si>
  <si>
    <t>10501321</t>
  </si>
  <si>
    <t>鉄有固-運送施設 建物付属設備-店用簡易設備-社宅・寮建物</t>
  </si>
  <si>
    <t>10501322</t>
  </si>
  <si>
    <t>鉄有固-運送施設 建物付属設備-可動簡易装備-簡易なもの-社宅・寮建物</t>
  </si>
  <si>
    <t>10501323</t>
  </si>
  <si>
    <t>鉄有固-運送施設 建物付属設備-可動簡易装備-その他のもの-社宅・寮建物</t>
  </si>
  <si>
    <t>10501324</t>
  </si>
  <si>
    <t>鉄有固-運送施設 建物付属設備-前掲以外・前掲区分外-主として金属製のもの-社宅・寮建物</t>
  </si>
  <si>
    <t>10501325</t>
  </si>
  <si>
    <t>鉄有固-運送施設 建物付属設備-前掲以外・前掲区分外-その他のもの-社宅・寮建物</t>
  </si>
  <si>
    <t>10599901</t>
  </si>
  <si>
    <t>鉄有固-運送施設 建物-雑建物-定額50年</t>
  </si>
  <si>
    <t>10599902</t>
  </si>
  <si>
    <t>鉄有固-運送施設 建物-雑建物-定額47年</t>
  </si>
  <si>
    <t>10599903</t>
  </si>
  <si>
    <t>鉄有固-運送施設 建物-雑建物-定額41年</t>
  </si>
  <si>
    <t>10599904</t>
  </si>
  <si>
    <t>鉄有固-運送施設 建物-雑建物-定額39年</t>
  </si>
  <si>
    <t>10599905</t>
  </si>
  <si>
    <t>鉄有固-運送施設 建物-雑建物-定額38年</t>
  </si>
  <si>
    <t>10599906</t>
  </si>
  <si>
    <t>鉄有固-運送施設 建物-雑建物-定額36年</t>
  </si>
  <si>
    <t>10599907</t>
  </si>
  <si>
    <t>鉄有固-運送施設 建物-雑建物-定額34年</t>
  </si>
  <si>
    <t>10599908</t>
  </si>
  <si>
    <t>鉄有固-運送施設 建物-雑建物-定額31年</t>
  </si>
  <si>
    <t>10599909</t>
  </si>
  <si>
    <t>鉄有固-運送施設 建物-雑建物-定額30年</t>
  </si>
  <si>
    <t>10599910</t>
  </si>
  <si>
    <t>鉄有固-運送施設 建物-雑建物-定額29年</t>
  </si>
  <si>
    <t>10599911</t>
  </si>
  <si>
    <t>鉄有固-運送施設 建物-雑建物-定額28年</t>
  </si>
  <si>
    <t>10599912</t>
  </si>
  <si>
    <t>鉄有固-運送施設 建物-雑建物-定額27年</t>
  </si>
  <si>
    <t>10599913</t>
  </si>
  <si>
    <t>鉄有固-運送施設 建物-雑建物-定額26年</t>
  </si>
  <si>
    <t>10599914</t>
  </si>
  <si>
    <t>鉄有固-運送施設 建物-雑建物-定額25年</t>
  </si>
  <si>
    <t>10599915</t>
  </si>
  <si>
    <t>鉄有固-運送施設 建物-雑建物-定額24年</t>
  </si>
  <si>
    <t>10599916</t>
  </si>
  <si>
    <t>鉄有固-運送施設 建物-雑建物-定額22年</t>
  </si>
  <si>
    <t>10599917</t>
  </si>
  <si>
    <t>鉄有固-運送施設 建物-雑建物-定額21年</t>
  </si>
  <si>
    <t>10599918</t>
  </si>
  <si>
    <t>鉄有固-運送施設 建物-雑建物-定額20年</t>
  </si>
  <si>
    <t>10599919</t>
  </si>
  <si>
    <t>鉄有固-運送施設 建物-雑建物-定額19年</t>
  </si>
  <si>
    <t>10599920</t>
  </si>
  <si>
    <t>鉄有固-運送施設 建物-雑建物-定額17年</t>
  </si>
  <si>
    <t>10599921</t>
  </si>
  <si>
    <t>鉄有固-運送施設 建物-雑建物-定額15年</t>
  </si>
  <si>
    <t>10599922</t>
  </si>
  <si>
    <t>鉄有固-運送施設 建物-雑建物-定額14年</t>
  </si>
  <si>
    <t>10599923</t>
  </si>
  <si>
    <t>鉄有固-運送施設 建物-雑建物-定額12年</t>
  </si>
  <si>
    <t>10599924</t>
  </si>
  <si>
    <t>鉄有固-運送施設 建物-雑建物-定額11年</t>
  </si>
  <si>
    <t>10599925</t>
  </si>
  <si>
    <t>鉄有固-運送施設 建物-雑建物-定額10年</t>
  </si>
  <si>
    <t>10599926</t>
  </si>
  <si>
    <t>鉄有固-運送施設 建物-雑建物-定額09年</t>
  </si>
  <si>
    <t>10599927</t>
  </si>
  <si>
    <t>鉄有固-運送施設 建物-雑建物-定額07年</t>
  </si>
  <si>
    <t>10599928</t>
  </si>
  <si>
    <t>鉄有固-運送施設 建物付属設備-電気設備(照明設備を含む)-蓄電池電源設備-雑建物</t>
  </si>
  <si>
    <t>10599929</t>
  </si>
  <si>
    <t>鉄有固-運送施設 建物付属設備-電気設備(照明設備を含む)-その他のもの-雑建物</t>
  </si>
  <si>
    <t>10599930</t>
  </si>
  <si>
    <t>鉄有固-運送施設 建物付属設備-給排水又は衛生設備及びガス設備-雑建物</t>
  </si>
  <si>
    <t>10599931</t>
  </si>
  <si>
    <t>鉄有固-運送施設 建物付属設備-冷暖房・通風・ボイラー設備-22kw以下-雑建物</t>
  </si>
  <si>
    <t>10599932</t>
  </si>
  <si>
    <t>鉄有固-運送施設 建物付属設備-冷暖房・通風・ボイラー設備-その他のもの-雑建物</t>
  </si>
  <si>
    <t>10599933</t>
  </si>
  <si>
    <t>鉄有固-運送施設 建物付属設備-昇降機設備-エレベーター-雑建物</t>
  </si>
  <si>
    <t>10599934</t>
  </si>
  <si>
    <t>鉄有固-運送施設 建物付属設備-昇降機設備-エスカレーター-雑建物</t>
  </si>
  <si>
    <t>10599935</t>
  </si>
  <si>
    <t>鉄有固-運送施設 建物付属設備-消火・排煙・災害報知設備及び格納式避難設備-雑建物</t>
  </si>
  <si>
    <t>10599936</t>
  </si>
  <si>
    <t>鉄有固-運送施設 建物付属設備-エヤーカーテン又はドアー自動開閉設備-雑建物</t>
  </si>
  <si>
    <t>10599937</t>
  </si>
  <si>
    <t>鉄有固-運送施設 建物付属設備-アーケード又は日よけ設備-金属製-雑建物</t>
  </si>
  <si>
    <t>10599938</t>
  </si>
  <si>
    <t>鉄有固-運送施設 建物付属設備-アーケード又は日よけ設備-その他のもの-雑建物</t>
  </si>
  <si>
    <t>10599939</t>
  </si>
  <si>
    <t>鉄有固-運送施設 建物付属設備-店用簡易設備-雑建物</t>
  </si>
  <si>
    <t>10599940</t>
  </si>
  <si>
    <t>鉄有固-運送施設 建物付属設備-可動簡易装備-簡易なもの-雑建物</t>
  </si>
  <si>
    <t>10599941</t>
  </si>
  <si>
    <t>鉄有固-運送施設 建物付属設備-可動簡易装備-その他のもの-雑建物</t>
  </si>
  <si>
    <t>10599942</t>
  </si>
  <si>
    <t>鉄有固-運送施設 建物付属設備-前掲以外・前掲区分外-主として金属製のもの-雑建物</t>
  </si>
  <si>
    <t>10599943</t>
  </si>
  <si>
    <t>鉄有固-運送施設 建物付属設備-前掲以外・前掲区分外-その他のもの-雑建物</t>
  </si>
  <si>
    <t>11001401</t>
  </si>
  <si>
    <t>鉄有固-構築物-軌道-レール及び附属品</t>
  </si>
  <si>
    <t>11001402</t>
  </si>
  <si>
    <t>鉄有固-構築物-軌道-分岐器</t>
  </si>
  <si>
    <t>11001403</t>
  </si>
  <si>
    <t>鉄有固-構築物-軌道-まくら木(木製)</t>
  </si>
  <si>
    <t>11001404</t>
  </si>
  <si>
    <t>鉄有固-構築物-軌道-まくら木(コンクリート製)</t>
  </si>
  <si>
    <t>11001405</t>
  </si>
  <si>
    <t>鉄有固-構築物-軌道-まくら木(金属製)</t>
  </si>
  <si>
    <t>11001406</t>
  </si>
  <si>
    <t>鉄有固-構築物-軌道-道床</t>
  </si>
  <si>
    <t>11001407</t>
  </si>
  <si>
    <t>鉄有固-構築物-軌道-舗装</t>
  </si>
  <si>
    <t>11001408</t>
  </si>
  <si>
    <t>鉄有固-構築物-軌道-諸標及び車止め</t>
  </si>
  <si>
    <t>11001501</t>
  </si>
  <si>
    <t>鉄有固-構築物-土工-線路切取</t>
  </si>
  <si>
    <t>11001502</t>
  </si>
  <si>
    <t>鉄有固-構築物-土工-線路築堤</t>
  </si>
  <si>
    <t>11001503</t>
  </si>
  <si>
    <t>鉄有固-構築物-土工-川道付替</t>
  </si>
  <si>
    <t>11001504</t>
  </si>
  <si>
    <t>鉄有固-構築物-土工-土留め</t>
  </si>
  <si>
    <t>11001601</t>
  </si>
  <si>
    <t>鉄有固-構築物-橋りょう-鉄筋コンクリート造り</t>
  </si>
  <si>
    <t>11001602</t>
  </si>
  <si>
    <t>鉄有固-構築物-橋りょう-鉄骨造り</t>
  </si>
  <si>
    <t>11001603</t>
  </si>
  <si>
    <t>鉄有固-構築物-橋りょう-その他のもの</t>
    <rPh sb="2" eb="3">
      <t>カタム</t>
    </rPh>
    <rPh sb="15" eb="16">
      <t>タ</t>
    </rPh>
    <phoneticPr fontId="3"/>
  </si>
  <si>
    <t>11001701</t>
  </si>
  <si>
    <t>鉄有固-構築物-高架橋-鉄筋コンクリート造り</t>
  </si>
  <si>
    <t>11001702</t>
  </si>
  <si>
    <t>鉄有固-構築物-高架橋-鉄骨造り</t>
    <rPh sb="12" eb="14">
      <t>テッコツ</t>
    </rPh>
    <phoneticPr fontId="3"/>
  </si>
  <si>
    <t>11001703</t>
  </si>
  <si>
    <t>鉄有固-構築物-高架橋-その他のもの</t>
    <rPh sb="8" eb="11">
      <t>コウカキョウ</t>
    </rPh>
    <rPh sb="14" eb="15">
      <t>タ</t>
    </rPh>
    <phoneticPr fontId="3"/>
  </si>
  <si>
    <t>11001801</t>
  </si>
  <si>
    <t>鉄有固-構築物-トンネル-鉄筋コンクリート造り</t>
  </si>
  <si>
    <t>11001802</t>
  </si>
  <si>
    <t>鉄有固-構築物-トンネル-その他のもの</t>
    <rPh sb="15" eb="16">
      <t>タ</t>
    </rPh>
    <phoneticPr fontId="3"/>
  </si>
  <si>
    <t>11001901</t>
  </si>
  <si>
    <t>鉄有固-構築物-排水設備</t>
  </si>
  <si>
    <t>11002001</t>
  </si>
  <si>
    <t>鉄有固-構築物-機械保安設備-機械信号機</t>
  </si>
  <si>
    <t>11002002</t>
  </si>
  <si>
    <t>鉄有固-構築物-機械保安設備-諸設備</t>
  </si>
  <si>
    <t>11002101</t>
  </si>
  <si>
    <t>鉄有固-構築物-線路諸設備-防護設備</t>
    <rPh sb="0" eb="1">
      <t>テツ</t>
    </rPh>
    <rPh sb="1" eb="2">
      <t>ユウ</t>
    </rPh>
    <rPh sb="2" eb="3">
      <t>カタム</t>
    </rPh>
    <rPh sb="14" eb="16">
      <t>ボウゴ</t>
    </rPh>
    <phoneticPr fontId="3"/>
  </si>
  <si>
    <t>11002102</t>
  </si>
  <si>
    <t>鉄有固-構築物-線路諸設備-さくがき</t>
    <rPh sb="0" eb="1">
      <t>テツ</t>
    </rPh>
    <rPh sb="1" eb="2">
      <t>ユウ</t>
    </rPh>
    <rPh sb="2" eb="3">
      <t>カタム</t>
    </rPh>
    <phoneticPr fontId="3"/>
  </si>
  <si>
    <t>11002103</t>
  </si>
  <si>
    <t>鉄有固-構築物-線路諸設備-雑設備</t>
    <rPh sb="0" eb="1">
      <t>テツ</t>
    </rPh>
    <phoneticPr fontId="3"/>
  </si>
  <si>
    <t>11002201</t>
  </si>
  <si>
    <t>鉄有固-構築物-プラットホーム及び積卸し場</t>
  </si>
  <si>
    <t>11002301</t>
  </si>
  <si>
    <t>鉄有固-構築物-地下道</t>
  </si>
  <si>
    <t>11002401</t>
  </si>
  <si>
    <t>11002501</t>
  </si>
  <si>
    <t>鉄有固-構築物-通信線</t>
  </si>
  <si>
    <t>11002601</t>
  </si>
  <si>
    <t>鉄有固-構築物-電話機</t>
  </si>
  <si>
    <t>11002701</t>
  </si>
  <si>
    <t>鉄有固-構築物-電気時計</t>
  </si>
  <si>
    <t>11002801</t>
  </si>
  <si>
    <t>鉄有固-構築物-拡声装置</t>
  </si>
  <si>
    <t>11002901</t>
  </si>
  <si>
    <t>鉄有固-構築物-通信諸設備</t>
  </si>
  <si>
    <t>11003001</t>
  </si>
  <si>
    <t>鉄有固-構築物-信号線</t>
  </si>
  <si>
    <t>11003101</t>
  </si>
  <si>
    <t>鉄有固-構築物-閉そく装置</t>
  </si>
  <si>
    <t>11003201</t>
  </si>
  <si>
    <t>鉄有固-構築物-電気信号機</t>
  </si>
  <si>
    <t>11003301</t>
  </si>
  <si>
    <t>鉄有固-構築物-連動機</t>
  </si>
  <si>
    <t>11003401</t>
  </si>
  <si>
    <t>鉄有固-構築物-転てつ器</t>
  </si>
  <si>
    <t>11003501</t>
  </si>
  <si>
    <t>鉄有固-構築物-自動列車制御装置</t>
  </si>
  <si>
    <t>11003601</t>
  </si>
  <si>
    <t>鉄有固-構築物-自動列車運転装置</t>
  </si>
  <si>
    <t>11003701</t>
  </si>
  <si>
    <t>鉄有固-構築物-列車集中制御装置</t>
  </si>
  <si>
    <t>11003801</t>
  </si>
  <si>
    <t>鉄有固-構築物-自動列車進路制御装置</t>
  </si>
  <si>
    <t>11003901</t>
  </si>
  <si>
    <t>鉄有固-構築物-電気保安諸設備</t>
  </si>
  <si>
    <t>11004001</t>
  </si>
  <si>
    <t>鉄有固-構築物-送電線</t>
  </si>
  <si>
    <t>11004101</t>
  </si>
  <si>
    <t>鉄有固-構築物-配電線</t>
  </si>
  <si>
    <t>11004201</t>
  </si>
  <si>
    <t>鉄有固-構築物-き電線</t>
  </si>
  <si>
    <t>11004301</t>
  </si>
  <si>
    <t>鉄有固-構築物-電車線</t>
  </si>
  <si>
    <t>11004401</t>
  </si>
  <si>
    <t>鉄有固-構築物-サードレール</t>
  </si>
  <si>
    <t>11004501</t>
  </si>
  <si>
    <t>鉄有固-構築物-帰線ボンド</t>
  </si>
  <si>
    <t>11004601</t>
  </si>
  <si>
    <t>鉄有固-構築物-電灯電力線</t>
  </si>
  <si>
    <t>11004701</t>
  </si>
  <si>
    <t>鉄有固-構築物-電力線諸設備</t>
  </si>
  <si>
    <t>11004801</t>
  </si>
  <si>
    <t>鉄有固-構築物-支持物-鉄柱及びコンクリート柱</t>
  </si>
  <si>
    <t>11004802</t>
  </si>
  <si>
    <t>鉄有固-構築物-支持物-木柱</t>
  </si>
  <si>
    <t>11004803</t>
  </si>
  <si>
    <t>鉄有固-構築物-支持物-その他の支持物(電柱及び腕木を除く)</t>
  </si>
  <si>
    <t>11004804</t>
  </si>
  <si>
    <t>鉄有固-構築物-支持物-その他の支持物(腕木を含む)</t>
  </si>
  <si>
    <t>11004901</t>
  </si>
  <si>
    <t>鉄有固-構築物-車庫工場</t>
  </si>
  <si>
    <t>11005001</t>
  </si>
  <si>
    <t>鉄有固-構築物-変電所</t>
  </si>
  <si>
    <t>11007701</t>
  </si>
  <si>
    <t>鉄有固-構築物-転、遷車台</t>
  </si>
  <si>
    <t>11007801</t>
  </si>
  <si>
    <t>鉄有固-構築物-給油設備</t>
  </si>
  <si>
    <t>11007901</t>
  </si>
  <si>
    <t>鉄有固-構築物-検車洗浄設備</t>
  </si>
  <si>
    <t>11099901</t>
  </si>
  <si>
    <t>鉄有固-構築物-雑構築物</t>
  </si>
  <si>
    <t>11505101</t>
  </si>
  <si>
    <t>鉄有固-車両-電動客車</t>
  </si>
  <si>
    <t>11505201</t>
  </si>
  <si>
    <t>鉄有固-車両-制御客車</t>
  </si>
  <si>
    <t>11505301</t>
  </si>
  <si>
    <t>鉄有固-車両-付随客車</t>
  </si>
  <si>
    <t>11505401</t>
  </si>
  <si>
    <t>鉄有固-車両-特殊車両-線路建設保守用工作車</t>
  </si>
  <si>
    <t>12005501</t>
  </si>
  <si>
    <t>鉄有固-機械装置-変電所機械</t>
  </si>
  <si>
    <t>12005601</t>
  </si>
  <si>
    <t>鉄有固-機械装置-通信機械-交換設備</t>
  </si>
  <si>
    <t>12005602</t>
  </si>
  <si>
    <t>鉄有固-機械装置-通信機械-無線設備</t>
  </si>
  <si>
    <t>12005603</t>
  </si>
  <si>
    <t>鉄有固-機械装置-通信機械-搬送設備</t>
  </si>
  <si>
    <t>12005604</t>
  </si>
  <si>
    <t>鉄有固-機械装置-通信機械-諸設備</t>
  </si>
  <si>
    <t>12005701</t>
  </si>
  <si>
    <t>鉄有固-機械装置-停車場機械-その他の設備(主として金属製のもの)</t>
  </si>
  <si>
    <t>12005702</t>
  </si>
  <si>
    <t>鉄有固-機械装置-停車場機械-その他の設備(その他のもの)</t>
  </si>
  <si>
    <t>12005703</t>
  </si>
  <si>
    <t>鉄有固-機械装置-停車場機械-自動改札装置</t>
  </si>
  <si>
    <t>12005801</t>
  </si>
  <si>
    <t>鉄有固-機械装置-工場機械</t>
  </si>
  <si>
    <t>12099901</t>
  </si>
  <si>
    <t>鉄有固-機械装置-雑機械-その他の設備(主として金属製のもの)</t>
  </si>
  <si>
    <t>12099902</t>
  </si>
  <si>
    <t>鉄有固-機械装置-雑機械-その他の設備(その他のもの)</t>
  </si>
  <si>
    <t>12505901</t>
  </si>
  <si>
    <t>鉄有固-工具器具及び備品-工器備-測定工具・検査工具(電気・電子を利用するものを含む)</t>
  </si>
  <si>
    <t>12505902</t>
  </si>
  <si>
    <t>鉄有固-工具器具及び備品-工器備-治具及び取付工具</t>
  </si>
  <si>
    <t>12505903</t>
  </si>
  <si>
    <t>鉄有固-工具器具及び備品-工器備-ロール-金属圧延用のもの</t>
  </si>
  <si>
    <t>12505904</t>
  </si>
  <si>
    <t>鉄有固-工具器具及び備品-工器備-ロール-なつ染・粉砕・混錬ロールその他のもの</t>
  </si>
  <si>
    <t>12505905</t>
  </si>
  <si>
    <t>鉄有固-工具器具及び備品-工器備-型・鍛圧・打抜工具-ガラス成型用金型及び鋳造用型</t>
  </si>
  <si>
    <t>12505906</t>
  </si>
  <si>
    <t>鉄有固-工具器具及び備品-工器備-型・鍛圧・打抜工具-その他のもの</t>
  </si>
  <si>
    <t>12505907</t>
  </si>
  <si>
    <t>鉄有固-工具器具及び備品-工器備-切削工具</t>
  </si>
  <si>
    <t>12505908</t>
  </si>
  <si>
    <t>鉄有固-工具器具及び備品-工器備-金属製柱及びカッペ</t>
  </si>
  <si>
    <t>12505909</t>
  </si>
  <si>
    <t>鉄有固-工具器具及び備品-工器備-活字・活字に常用される金属-購入活字</t>
  </si>
  <si>
    <t>12505910</t>
  </si>
  <si>
    <t>鉄有固-工具器具及び備品-工器備-活字・活字に常用される金属-自製活字</t>
  </si>
  <si>
    <t>12505911</t>
  </si>
  <si>
    <t>鉄有固-工具器具及び備品-工器備-前掲以外-白金ノズル</t>
  </si>
  <si>
    <t>12505912</t>
  </si>
  <si>
    <t>鉄有固-工具器具及び備品-工器備-前掲以外-その他のもの</t>
  </si>
  <si>
    <t>12505913</t>
  </si>
  <si>
    <t>鉄有固-工具器具及び備品-工器備-前掲区分外-白金ノズル</t>
  </si>
  <si>
    <t>12505914</t>
  </si>
  <si>
    <t>鉄有固-工具器具及び備品-工器備-前掲区分外-その他の主として金属製のもの</t>
  </si>
  <si>
    <t>12505915</t>
  </si>
  <si>
    <t>鉄有固-工具器具及び備品-工器備-前掲区分外-その他のもの</t>
  </si>
  <si>
    <t>12505916</t>
  </si>
  <si>
    <t>鉄有固-工具器具及び備品-工器備-家具・電気・ガス・家庭用品-事務机・いす(金属)</t>
  </si>
  <si>
    <t>12505917</t>
  </si>
  <si>
    <t>鉄有固-工具器具及び備品-工器備-家具・電気・ガス・家庭用品-事務机・いす(その他)</t>
  </si>
  <si>
    <t>12505918</t>
  </si>
  <si>
    <t>鉄有固-工具器具及び備品-工器備-家具・電気・ガス・家庭用品-応接セット(接客業用)</t>
  </si>
  <si>
    <t>12505919</t>
  </si>
  <si>
    <t>鉄有固-工具器具及び備品-工器備-家具・電気・ガス・家庭用品-応接セット(その他)</t>
  </si>
  <si>
    <t>12505920</t>
  </si>
  <si>
    <t>鉄有固-工具器具及び備品-工器備-家具・電気・ガス・家庭用品-ベット</t>
  </si>
  <si>
    <t>12505921</t>
  </si>
  <si>
    <t>鉄有固-工具器具及び備品-工器備-家具・電気・ガス・家庭用品-児童用机及びいす</t>
  </si>
  <si>
    <t>12505922</t>
  </si>
  <si>
    <t>鉄有固-工具器具及び備品-工器備-家具・電気・ガス・家庭用品-陳列棚(冷凍・冷蔵機付)</t>
  </si>
  <si>
    <t>12505923</t>
  </si>
  <si>
    <t>鉄有固-工具器具及び備品-工器備-家具・電気・ガス・家庭用品-陳列棚(その他)</t>
  </si>
  <si>
    <t>12505924</t>
  </si>
  <si>
    <t>鉄有固-工具器具及び備品-工器備-家具・電気・ガス・家庭用品-その他の家具(接客業用)</t>
  </si>
  <si>
    <t>12505925</t>
  </si>
  <si>
    <t>鉄有固-工具器具及び備品-工器備-家具・電気・ガス・家庭用品-その他の家具(金属製)</t>
  </si>
  <si>
    <t>12505926</t>
  </si>
  <si>
    <t>鉄有固-工具器具及び備品-工器備-家具・電気・ガス・家庭用品-その他の家具(その他)</t>
  </si>
  <si>
    <t>12505927</t>
  </si>
  <si>
    <t>鉄有固-工具器具及び備品-工器備-家具・電気・ガス・家庭用品-その他の音響機器</t>
  </si>
  <si>
    <t>12505928</t>
  </si>
  <si>
    <t>鉄有固-工具器具及び備品-工器備-家具・電気・ガス・家庭用品-冷房用又は暖房用機器</t>
  </si>
  <si>
    <t>12505929</t>
  </si>
  <si>
    <t>鉄有固-工具器具及び備品-工器備-家具・電気・ガス・家庭用品-その他電気・ガス機器</t>
  </si>
  <si>
    <t>12505930</t>
  </si>
  <si>
    <t>鉄有固-工具器具及び備品-工器備-家具・電気・ガス・家庭用品-氷冷蔵庫・冷蔵ストッカー</t>
  </si>
  <si>
    <t>12505931</t>
  </si>
  <si>
    <t>鉄有固-工具器具及び備品-工器備-家具・電気・ガス・家庭用品-その他繊維製品</t>
  </si>
  <si>
    <t>12505932</t>
  </si>
  <si>
    <t>鉄有固-工具器具及び備品-工器備-家具・電気・ガス・家庭用品-床用敷物(業務用)</t>
  </si>
  <si>
    <t>12505933</t>
  </si>
  <si>
    <t>鉄有固-工具器具及び備品-工器備-家具・電気・ガス・家庭用品-床用敷物(その他)</t>
  </si>
  <si>
    <t>12505934</t>
  </si>
  <si>
    <t>鉄有固-工具器具及び備品-工器備-家具・電気・ガス・家庭用品-室内装飾品(金属製)</t>
  </si>
  <si>
    <t>12505935</t>
  </si>
  <si>
    <t>鉄有固-工具器具及び備品-工器備-家具・電気・ガス・家庭用品-室内装飾品(その他)</t>
  </si>
  <si>
    <t>12505936</t>
  </si>
  <si>
    <t>鉄有固-工具器具及び備品-工器備-家具・電気・ガス・家庭用品-食事・厨房用品(陶磁器)</t>
  </si>
  <si>
    <t>12505937</t>
  </si>
  <si>
    <t>鉄有固-工具器具及び備品-工器備-家具・電気・ガス・家庭用品-食事・厨房用品(その他)</t>
  </si>
  <si>
    <t>12505938</t>
  </si>
  <si>
    <t>鉄有固-工具器具及び備品-工器備-家具・電気・ガス・家庭用品-その他のもの(金属製)</t>
  </si>
  <si>
    <t>12505939</t>
  </si>
  <si>
    <t>鉄有固-工具器具及び備品-工器備-家具・電気・ガス・家庭用品-その他のもの(その他)</t>
  </si>
  <si>
    <t>12505940</t>
  </si>
  <si>
    <t>鉄有固-工具器具及び備品-工器備-事務・通信機器-謄写機器・タイプライター(印書業用)</t>
  </si>
  <si>
    <t>12505941</t>
  </si>
  <si>
    <t>鉄有固-工具器具及び備品-工器備-事務・通信機器-謄写機器・タイプライター(その他)</t>
  </si>
  <si>
    <t>12505942</t>
  </si>
  <si>
    <t>鉄有固-工具器具及び備品-工器備-事務・通信機器-電子計算機(PC(サーバ用を除く))</t>
  </si>
  <si>
    <t>12505943</t>
  </si>
  <si>
    <t>鉄有固-工具器具及び備品-工器備-事務・通信機器-電子計算機(その他)</t>
  </si>
  <si>
    <t>12505944</t>
  </si>
  <si>
    <t>鉄有固-工具器具及び備品-工器備-事務・通信機器-複写機・計算機・金銭登録機</t>
  </si>
  <si>
    <t>12505945</t>
  </si>
  <si>
    <t>鉄有固-工具器具及び備品-工器備-事務・通信機器-その他の事務機器</t>
  </si>
  <si>
    <t>12505946</t>
  </si>
  <si>
    <t>鉄有固-工具器具及び備品-工器備-事務・通信機器-テレタイプライター及びファクシミリ</t>
  </si>
  <si>
    <t>12505947</t>
  </si>
  <si>
    <t>鉄有固-工具器具及び備品-工器備-事務・通信機器-インターホーン及び放送用設備</t>
  </si>
  <si>
    <t>12505948</t>
  </si>
  <si>
    <t>鉄有固-工具器具及び備品-工器備-事務・通信機器-その他の通信機器(デジタル構内交換)</t>
  </si>
  <si>
    <t>12505949</t>
  </si>
  <si>
    <t>鉄有固-工具器具及び備品-工器備-事務・通信機器-その他の通信機器(その他のもの)</t>
  </si>
  <si>
    <t>12505950</t>
  </si>
  <si>
    <t>鉄有固-工具器具及び備品-工器備-時計、試験機器及び測定機器-時計</t>
  </si>
  <si>
    <t>12505951</t>
  </si>
  <si>
    <t>鉄有固-工具器具及び備品-工器備-時計、試験機器及び測定機器-度量衝器</t>
  </si>
  <si>
    <t>12505952</t>
  </si>
  <si>
    <t>鉄有固-工具器具及び備品-工器備-時計、試験機器及び測定機器-試験又は測定機器</t>
  </si>
  <si>
    <t>12505953</t>
  </si>
  <si>
    <t>鉄有固-工具器具及び備品-工器備-光学・写真製作機器-オペラグラス</t>
  </si>
  <si>
    <t>12505954</t>
  </si>
  <si>
    <t>鉄有固-工具器具及び備品-工器備-光学・写真製作機器-カメラ、映画撮影機、映写機</t>
  </si>
  <si>
    <t>12505955</t>
  </si>
  <si>
    <t>鉄有固-工具器具及び備品-工器備-光学・写真製作機器-その他の機器</t>
  </si>
  <si>
    <t>12505956</t>
  </si>
  <si>
    <t>鉄有固-工具器具及び備品-工器備-看板・広告機器-看板、ネオンサイン及び気球</t>
  </si>
  <si>
    <t>12505957</t>
  </si>
  <si>
    <t>鉄有固-工具器具及び備品-工器備-看板・広告機器-マネキン人形及び模型</t>
  </si>
  <si>
    <t>12505958</t>
  </si>
  <si>
    <t>鉄有固-工具器具及び備品-工器備-看板・広告機器-その他のもの(主として金属製のもの)</t>
  </si>
  <si>
    <t>12505959</t>
  </si>
  <si>
    <t>鉄有固-工具器具及び備品-工器備-看板・広告機器-その他のもの(その他のもの)</t>
  </si>
  <si>
    <t>12505960</t>
  </si>
  <si>
    <t>鉄有固-工具器具及び備品-工器備-容器・金庫-ボンベ(溶接製のもの</t>
  </si>
  <si>
    <t>12505961</t>
  </si>
  <si>
    <t>鉄有固-工具器具及び備品-工器備-容器・金庫-ボンベ(鍛造製)(塩素用のもの)</t>
  </si>
  <si>
    <t>12505962</t>
  </si>
  <si>
    <t>鉄有固-工具器具及び備品-工器備-容器・金庫-ボンベ(鍛造製)(その他のもの)</t>
  </si>
  <si>
    <t>12505963</t>
  </si>
  <si>
    <t>鉄有固-工具器具及び備品-工器備-容器・金庫-その他容器(コンテナ(長さが6m以上))</t>
  </si>
  <si>
    <t>12505964</t>
  </si>
  <si>
    <t>鉄有固-工具器具及び備品-工器備-容器・金庫-その他の容器(金属製のもの)</t>
  </si>
  <si>
    <t>12505965</t>
  </si>
  <si>
    <t>鉄有固-工具器具及び備品-工器備-容器・金庫-その他の容器(その他のもの)</t>
  </si>
  <si>
    <t>12505966</t>
  </si>
  <si>
    <t>鉄有固-工具器具及び備品-工器備-容器・金庫-金庫(手さげ金庫)</t>
  </si>
  <si>
    <t>12505967</t>
  </si>
  <si>
    <t>鉄有固-工具器具及び備品-工器備-容器・金庫-金庫(その他のもの)</t>
  </si>
  <si>
    <t>12505968</t>
  </si>
  <si>
    <t>鉄有固-工具器具及び備品-工器備-医療機器-消毒殺菌用機器</t>
  </si>
  <si>
    <t>12505969</t>
  </si>
  <si>
    <t>鉄有固-工具器具及び備品-工器備-医療機器-手術機器</t>
  </si>
  <si>
    <t>12505970</t>
  </si>
  <si>
    <t>鉄有固-工具器具及び備品-工器備-医療機器-血液透析又は血しょう交換用機器</t>
  </si>
  <si>
    <t>12505971</t>
  </si>
  <si>
    <t>鉄有固-工具器具及び備品-工器備-医療機器-その他の作動部分を有する機能回復訓練機器</t>
  </si>
  <si>
    <t>12505972</t>
  </si>
  <si>
    <t>鉄有固-工具器具及び備品-工器備-医療機器-調剤機器</t>
  </si>
  <si>
    <t>12505973</t>
  </si>
  <si>
    <t>鉄有固-工具器具及び備品-工器備-医療機器-歯科診療用ユニット</t>
  </si>
  <si>
    <t>12505974</t>
  </si>
  <si>
    <t>鉄有固-工具器具及び備品-工器備-医療機器-光学検査機器(ファイバースコープ)</t>
  </si>
  <si>
    <t>12505975</t>
  </si>
  <si>
    <t>鉄有固-工具器具及び備品-工器備-医療機器-光学検査機器(その他のもの)</t>
  </si>
  <si>
    <t>12505976</t>
  </si>
  <si>
    <t>鉄有固-工具器具及び備品-工器備-医療機器-その他の電子装置を使用する機器(移動式)</t>
  </si>
  <si>
    <t>12505977</t>
  </si>
  <si>
    <t>鉄有固-工具器具及び備品-工器備-医療機器-その他の電子装置を使用する機器(その他)</t>
  </si>
  <si>
    <t>12505978</t>
  </si>
  <si>
    <t>鉄有固-工具器具及び備品-工器備-医療機器-その他のもの(陶磁器製又はガラス製のもの)</t>
  </si>
  <si>
    <t>12505979</t>
  </si>
  <si>
    <t>鉄有固-工具器具及び備品-工器備-医療機器-その他のもの(主として金属製のもの)</t>
  </si>
  <si>
    <t>12505980</t>
  </si>
  <si>
    <t>鉄有固-工具器具及び備品-工器備-医療機器-その他のもの(その他のもの)</t>
  </si>
  <si>
    <t>12505981</t>
  </si>
  <si>
    <t>鉄有固-工具器具及び備品-工器備-前掲以外-映画フイルム・磁気テープ・レコード</t>
  </si>
  <si>
    <t>12505982</t>
  </si>
  <si>
    <t>鉄有固-工具器具及び備品-工器備-前掲以外-シート及びロープ</t>
  </si>
  <si>
    <t>12505983</t>
  </si>
  <si>
    <t>鉄有固-工具器具及び備品-工器備-前掲以外-きのこ栽培用ほだ木</t>
  </si>
  <si>
    <t>12505984</t>
  </si>
  <si>
    <t>鉄有固-工具器具及び備品-工器備-前掲以外-漁具</t>
  </si>
  <si>
    <t>12505985</t>
  </si>
  <si>
    <t>鉄有固-工具器具及び備品-工器備-前掲以外-葬儀用具</t>
  </si>
  <si>
    <t>12505986</t>
  </si>
  <si>
    <t>鉄有固-工具器具及び備品-工器備-前掲以外-楽器</t>
  </si>
  <si>
    <t>12505987</t>
  </si>
  <si>
    <t>鉄有固-工具器具及び備品-工器備-前掲以外-自動販売機(手動のものを含む。)</t>
  </si>
  <si>
    <t>12505988</t>
  </si>
  <si>
    <t>鉄有固-工具器具及び備品-工器備-前掲以外-無人駐車管理装置</t>
  </si>
  <si>
    <t>12505989</t>
  </si>
  <si>
    <t>鉄有固-工具器具及び備品-工器備-前掲以外-焼却炉</t>
  </si>
  <si>
    <t>12505990</t>
  </si>
  <si>
    <t>鉄有固-工具器具及び備品-工器備-前掲以外-その他のもの(主として金属製のもの)</t>
  </si>
  <si>
    <t>12505991</t>
  </si>
  <si>
    <t>鉄有固-工具器具及び備品-工器備-前掲以外-その他のもの(その他のもの)</t>
  </si>
  <si>
    <t>12505992</t>
  </si>
  <si>
    <t>鉄有固-工具器具及び備品-工器備-美術品(非償却)</t>
    <rPh sb="17" eb="19">
      <t>ビジュツ</t>
    </rPh>
    <rPh sb="19" eb="20">
      <t>ヒン</t>
    </rPh>
    <rPh sb="21" eb="22">
      <t>ヒ</t>
    </rPh>
    <rPh sb="22" eb="24">
      <t>ショウキャク</t>
    </rPh>
    <phoneticPr fontId="3"/>
  </si>
  <si>
    <t>12505993</t>
  </si>
  <si>
    <t>鉄有固-工具器具及び備品-工器備-美術品-償却(主として金属製のもの)</t>
    <rPh sb="17" eb="19">
      <t>ビジュツ</t>
    </rPh>
    <rPh sb="19" eb="20">
      <t>ヒン</t>
    </rPh>
    <phoneticPr fontId="3"/>
  </si>
  <si>
    <t>12505994</t>
  </si>
  <si>
    <t>鉄有固-工具器具及び備品-工器備-美術品-償却(その他のもの)</t>
    <rPh sb="17" eb="19">
      <t>ビジュツ</t>
    </rPh>
    <rPh sb="19" eb="20">
      <t>ヒン</t>
    </rPh>
    <phoneticPr fontId="3"/>
  </si>
  <si>
    <t>12506001</t>
  </si>
  <si>
    <t>鉄有固-工具器具及び備品-運搬具-前掲以外-自動車-小型車(総排気量が0.66l以下)</t>
  </si>
  <si>
    <t>12506002</t>
  </si>
  <si>
    <t>鉄有固-工具器具及び備品-運搬具-前掲以外-自動車-その他-貨物自動車-ダンプ式のもの</t>
  </si>
  <si>
    <t>12506003</t>
  </si>
  <si>
    <t>鉄有固-工具器具及び備品-運搬具-前掲以外-自動車-その他-貨物自動車-その他のもの</t>
  </si>
  <si>
    <t>12506004</t>
  </si>
  <si>
    <t>鉄有固-工具器具及び備品-運搬具-前掲以外-自動車-その他-報道通信用のもの</t>
  </si>
  <si>
    <t>12506005</t>
  </si>
  <si>
    <t>鉄有固-工具器具及び備品-運搬具-前掲以外-自動車-その他-その他</t>
  </si>
  <si>
    <t>12506006</t>
  </si>
  <si>
    <t>鉄有固-工具器具及び備品-運搬具-前掲以外-２輪又は３輪自動車</t>
  </si>
  <si>
    <t>12506007</t>
  </si>
  <si>
    <t>鉄有固-工具器具及び備品-運搬具-前掲以外-自転車</t>
  </si>
  <si>
    <t>12506008</t>
  </si>
  <si>
    <t>鉄有固-工具器具及び備品-運搬具-前掲以外-鉱山用人車、炭車、鉱車及び台車-金属製</t>
  </si>
  <si>
    <t>12506009</t>
  </si>
  <si>
    <t>鉄有固-工具器具及び備品-運搬具-前掲以外-鉱山用人車、炭車、鉱車及び台車-その他</t>
  </si>
  <si>
    <t>12506010</t>
  </si>
  <si>
    <t>鉄有固-工具器具及び備品-運搬具-前掲以外-フォークリフト</t>
  </si>
  <si>
    <t>12506011</t>
  </si>
  <si>
    <t>鉄有固-工具器具及び備品-運搬具-前掲以外-トロッコ-金属製のもの</t>
  </si>
  <si>
    <t>12506012</t>
  </si>
  <si>
    <t>鉄有固-工具器具及び備品-運搬具-前掲以外-トロッコ-その他のもの</t>
  </si>
  <si>
    <t>12506013</t>
  </si>
  <si>
    <t>鉄有固-工具器具及び備品-運搬具-前掲以外-その他のもの-自走能力を有するもの</t>
  </si>
  <si>
    <t>12506014</t>
  </si>
  <si>
    <t>鉄有固-工具器具及び備品-運搬具-前掲以外-その他のもの-その他のもの</t>
  </si>
  <si>
    <t>13006101</t>
  </si>
  <si>
    <t>鉄有固-リース資産-土地</t>
  </si>
  <si>
    <t>13006102</t>
  </si>
  <si>
    <t>鉄有固-リース資産-建物</t>
  </si>
  <si>
    <t>13006103</t>
  </si>
  <si>
    <t>鉄有固-リース資産-構築物</t>
  </si>
  <si>
    <t>13006104</t>
  </si>
  <si>
    <t>鉄有固-リース資産-車両</t>
  </si>
  <si>
    <t>13006105</t>
  </si>
  <si>
    <t>鉄有固-リース資産-機械装置</t>
  </si>
  <si>
    <t>13006106</t>
  </si>
  <si>
    <t>鉄有固-リース資産-工具器具及び備品</t>
  </si>
  <si>
    <t>13506201</t>
  </si>
  <si>
    <t>鉄有固-運送施設 雑施設</t>
  </si>
  <si>
    <t>14006301</t>
  </si>
  <si>
    <t>鉄有固-案内宣伝施設 土地-線路及び停車場用地</t>
  </si>
  <si>
    <t>14006401</t>
  </si>
  <si>
    <t>鉄有固-案内宣伝施設 土地-変電所用地</t>
  </si>
  <si>
    <t>14006501</t>
  </si>
  <si>
    <t>鉄有固-案内宣伝施設 土地-車庫及び工場用地</t>
  </si>
  <si>
    <t>14006601</t>
  </si>
  <si>
    <t>鉄有固-案内宣伝施設 土地-倉庫用地</t>
  </si>
  <si>
    <t>14006701</t>
  </si>
  <si>
    <t>鉄有固-案内宣伝施設 土地-事務所用地</t>
  </si>
  <si>
    <t>14006801</t>
  </si>
  <si>
    <t>鉄有固-案内宣伝施設 土地-社宅及び寮用地</t>
  </si>
  <si>
    <t>14099901</t>
  </si>
  <si>
    <t>鉄有固-案内宣伝施設 土地-雑用地</t>
  </si>
  <si>
    <t>14506901</t>
  </si>
  <si>
    <t>鉄有固-案内宣伝施設 建物-鉄骨鉄筋コンクリート造又は鉄筋コンクリート造-停車場建物</t>
  </si>
  <si>
    <t>14506902</t>
  </si>
  <si>
    <t>鉄有固-案内宣伝施設 建物-れんが造、石造又はブロック造-停車場建物</t>
  </si>
  <si>
    <t>14506903</t>
  </si>
  <si>
    <t>鉄有固-案内宣伝施設 建物-金属造(骨格材の肉厚が4mm超)-停車場建物</t>
  </si>
  <si>
    <t>14506904</t>
  </si>
  <si>
    <t>鉄有固-案内宣伝施設 建物-金属造(骨格材の肉厚が3mm超4mm以下)-停車場建物</t>
  </si>
  <si>
    <t>14506905</t>
  </si>
  <si>
    <t>鉄有固-案内宣伝施設 建物-金属造(骨格材の肉厚が3mm以下)-停車場建物</t>
  </si>
  <si>
    <t>14506906</t>
  </si>
  <si>
    <t>鉄有固-案内宣伝施設 建物-木造又は合成樹脂造-停車場建物</t>
  </si>
  <si>
    <t>14506907</t>
  </si>
  <si>
    <t>鉄有固-案内宣伝施設 建物-木骨モルタル造-停車場建物</t>
  </si>
  <si>
    <t>14506908</t>
  </si>
  <si>
    <t>鉄有固-案内宣伝施設 建物-簡易建物(木製主要柱が10cm角以下で土居、杉皮ぶき等)-停車場建物</t>
  </si>
  <si>
    <t>14506909</t>
  </si>
  <si>
    <t>鉄有固-案内宣伝施設 建物-簡易建物(掘立造のもの及び仮設のもの)-停車場建物</t>
  </si>
  <si>
    <t>14506910</t>
  </si>
  <si>
    <t>鉄有固-案内宣伝施設 建物付属-電気設備(照明設備を含む)-蓄電池電源設備-停車場建物</t>
  </si>
  <si>
    <t>14506911</t>
  </si>
  <si>
    <t>鉄有固-案内宣伝施設 建物付属-電気設備(照明設備を含む)-その他のもの-停車場建物</t>
  </si>
  <si>
    <t>14506912</t>
  </si>
  <si>
    <t>鉄有固-案内宣伝施設 建物付属-給排水又は衛生設備及びガス設備-停車場建物</t>
  </si>
  <si>
    <t>14506913</t>
  </si>
  <si>
    <t>鉄有固-案内宣伝施設 建物付属-冷暖房・通風・ボイラー設備-22kw以下-停車場建物</t>
  </si>
  <si>
    <t>14506914</t>
  </si>
  <si>
    <t>鉄有固-案内宣伝施設 建物付属-冷暖房・通風・ボイラー設備-その他のもの-停車場建物</t>
  </si>
  <si>
    <t>14506915</t>
  </si>
  <si>
    <t>鉄有固-案内宣伝施設 建物付属-昇降機設備-エレベーター-停車場建物</t>
  </si>
  <si>
    <t>14506916</t>
  </si>
  <si>
    <t>鉄有固-案内宣伝施設 建物付属-昇降機設備-エスカレーター-停車場建物</t>
  </si>
  <si>
    <t>14506917</t>
  </si>
  <si>
    <t>鉄有固-案内宣伝施設 建物付属-消火・排煙・災害報知設備及び格納式避難設備-停車場建物</t>
  </si>
  <si>
    <t>14506918</t>
  </si>
  <si>
    <t>鉄有固-案内宣伝施設 建物付属-エヤーカーテン又はドアー自動開閉設備-停車場建物</t>
  </si>
  <si>
    <t>14506919</t>
  </si>
  <si>
    <t>鉄有固-案内宣伝施設 建物付属-アーケード又は日よけ設備-金属製-停車場建物</t>
  </si>
  <si>
    <t>14506920</t>
  </si>
  <si>
    <t>鉄有固-案内宣伝施設 建物付属-アーケード又は日よけ設備-その他のもの-停車場建物</t>
  </si>
  <si>
    <t>14506921</t>
  </si>
  <si>
    <t>鉄有固-案内宣伝施設 建物付属-店用簡易設備-停車場建物</t>
  </si>
  <si>
    <t>14506922</t>
  </si>
  <si>
    <t>鉄有固-案内宣伝施設 建物付属-可動簡易装備-簡易なもの-停車場建物</t>
  </si>
  <si>
    <t>14506923</t>
  </si>
  <si>
    <t>鉄有固-案内宣伝施設 建物付属-可動簡易装備-その他のもの-停車場建物</t>
  </si>
  <si>
    <t>14506924</t>
  </si>
  <si>
    <t>鉄有固-案内宣伝施設 建物付属-前掲以外・前掲区分外-主として金属製のもの-停車場建物</t>
  </si>
  <si>
    <t>14506925</t>
  </si>
  <si>
    <t>鉄有固-案内宣伝施設 建物付属-前掲以外・前掲区分外-その他のもの-停車場建物</t>
  </si>
  <si>
    <t>14507001</t>
  </si>
  <si>
    <t>鉄有固-案内宣伝施設 建物-鉄骨鉄筋コンクリート造又は鉄筋コンクリート造-変電所建物</t>
  </si>
  <si>
    <t>14507002</t>
  </si>
  <si>
    <t>鉄有固-案内宣伝施設 建物-れんが造、石造又はブロック造-変電所建物</t>
  </si>
  <si>
    <t>14507003</t>
  </si>
  <si>
    <t>鉄有固-案内宣伝施設 建物-金属造(骨格材の肉厚が4mm超)-変電所建物</t>
  </si>
  <si>
    <t>14507004</t>
  </si>
  <si>
    <t>鉄有固-案内宣伝施設 建物-金属造(骨格材の肉厚が3mm超4mm以下)-変電所建物</t>
  </si>
  <si>
    <t>14507005</t>
  </si>
  <si>
    <t>鉄有固-案内宣伝施設 建物-金属造(骨格材の肉厚が3mm以下)-変電所建物</t>
  </si>
  <si>
    <t>14507006</t>
  </si>
  <si>
    <t>鉄有固-案内宣伝施設 建物-木造又は合成樹脂造-変電所建物</t>
  </si>
  <si>
    <t>14507007</t>
  </si>
  <si>
    <t>鉄有固-案内宣伝施設 建物-木骨モルタル造-変電所建物</t>
  </si>
  <si>
    <t>14507008</t>
  </si>
  <si>
    <t>鉄有固-案内宣伝施設 建物-簡易建物(木製主要柱が10cm角以下で土居、杉皮ぶき等)-変電所建物</t>
  </si>
  <si>
    <t>14507009</t>
  </si>
  <si>
    <t>鉄有固-案内宣伝施設 建物-簡易建物(掘立造のもの及び仮設のもの)-変電所建物</t>
  </si>
  <si>
    <t>14507010</t>
  </si>
  <si>
    <t>鉄有固-案内宣伝施設 建物付属-電気設備(照明設備を含む)-蓄電池電源設備-変電所建物</t>
  </si>
  <si>
    <t>14507011</t>
  </si>
  <si>
    <t>鉄有固-案内宣伝施設 建物付属-電気設備(照明設備を含む)-その他のもの-変電所建物</t>
  </si>
  <si>
    <t>14507012</t>
  </si>
  <si>
    <t>鉄有固-案内宣伝施設 建物付属-給排水又は衛生設備及びガス設備-変電所建物</t>
  </si>
  <si>
    <t>14507013</t>
  </si>
  <si>
    <t>鉄有固-案内宣伝施設 建物付属-冷暖房・通風・ボイラー設備-22kw以下-変電所建物</t>
  </si>
  <si>
    <t>14507014</t>
  </si>
  <si>
    <t>鉄有固-案内宣伝施設 建物付属-冷暖房・通風・ボイラー設備-その他のもの-変電所建物</t>
  </si>
  <si>
    <t>14507015</t>
  </si>
  <si>
    <t>鉄有固-案内宣伝施設 建物付属-昇降機設備-エレベーター-変電所建物</t>
  </si>
  <si>
    <t>14507016</t>
  </si>
  <si>
    <t>鉄有固-案内宣伝施設 建物付属-昇降機設備-エスカレーター-変電所建物</t>
  </si>
  <si>
    <t>14507017</t>
  </si>
  <si>
    <t>鉄有固-案内宣伝施設 建物付属-消火・排煙・災害報知設備及び格納式避難設備-変電所建物</t>
  </si>
  <si>
    <t>14507018</t>
  </si>
  <si>
    <t>鉄有固-案内宣伝施設 建物付属-エヤーカーテン又はドアー自動開閉設備-変電所建物</t>
  </si>
  <si>
    <t>14507019</t>
  </si>
  <si>
    <t>鉄有固-案内宣伝施設 建物付属-アーケード又は日よけ設備-金属製-変電所建物</t>
  </si>
  <si>
    <t>14507020</t>
  </si>
  <si>
    <t>鉄有固-案内宣伝施設 建物付属-アーケード又は日よけ設備-その他のもの-変電所建物</t>
  </si>
  <si>
    <t>14507021</t>
  </si>
  <si>
    <t>鉄有固-案内宣伝施設 建物付属-店用簡易設備-変電所建物</t>
  </si>
  <si>
    <t>14507022</t>
  </si>
  <si>
    <t>鉄有固-案内宣伝施設 建物付属-可動簡易装備-簡易なもの-変電所建物</t>
  </si>
  <si>
    <t>14507023</t>
  </si>
  <si>
    <t>鉄有固-案内宣伝施設 建物付属-可動簡易装備-その他のもの-変電所建物</t>
  </si>
  <si>
    <t>14507024</t>
  </si>
  <si>
    <t>鉄有固-案内宣伝施設 建物付属-前掲以外・前掲区分外-主として金属製のもの-変電所建物</t>
  </si>
  <si>
    <t>14507025</t>
  </si>
  <si>
    <t>鉄有固-案内宣伝施設 建物付属-前掲以外・前掲区分外-その他のもの-変電所建物</t>
  </si>
  <si>
    <t>14507101</t>
  </si>
  <si>
    <t>鉄有固-案内宣伝施設 建物-鉄骨鉄筋コンクリート造又は鉄筋コンクリート造-車庫・工場</t>
  </si>
  <si>
    <t>14507102</t>
  </si>
  <si>
    <t>鉄有固-案内宣伝施設 建物-れんが造、石造又はブロック造-車庫・工場</t>
  </si>
  <si>
    <t>14507103</t>
  </si>
  <si>
    <t>鉄有固-案内宣伝施設 建物-金属造(骨格材の肉厚が4mm超)-車庫・工場</t>
  </si>
  <si>
    <t>14507104</t>
  </si>
  <si>
    <t>鉄有固-案内宣伝施設 建物-金属造(骨格材の肉厚が3mm超4mm以下)-車庫・工場</t>
  </si>
  <si>
    <t>14507105</t>
  </si>
  <si>
    <t>鉄有固-案内宣伝施設 建物-金属造(骨格材の肉厚が3mm以下)-車庫・工場</t>
  </si>
  <si>
    <t>14507106</t>
  </si>
  <si>
    <t>鉄有固-案内宣伝施設 建物-木造又は合成樹脂造-車庫・工場</t>
  </si>
  <si>
    <t>14507107</t>
  </si>
  <si>
    <t>鉄有固-案内宣伝施設 建物-木骨モルタル造-車庫・工場</t>
  </si>
  <si>
    <t>14507108</t>
  </si>
  <si>
    <t>鉄有固-案内宣伝施設 建物-簡易建物(木製主要柱が10cm角以下で土居、杉皮ぶき等)-車庫・工場</t>
  </si>
  <si>
    <t>14507109</t>
  </si>
  <si>
    <t>鉄有固-案内宣伝施設 建物-簡易建物(掘立造のもの及び仮設のもの)-車庫・工場</t>
  </si>
  <si>
    <t>14507110</t>
  </si>
  <si>
    <t>鉄有固-案内宣伝施設 建物付属-電気設備(照明設備を含む)-蓄電池電源設備-車庫・工場</t>
  </si>
  <si>
    <t>14507111</t>
  </si>
  <si>
    <t>鉄有固-案内宣伝施設 建物付属-電気設備(照明設備を含む)-その他のもの-車庫・工場</t>
  </si>
  <si>
    <t>14507112</t>
  </si>
  <si>
    <t>鉄有固-案内宣伝施設 建物付属-給排水又は衛生設備及びガス設備-車庫・工場</t>
  </si>
  <si>
    <t>14507113</t>
  </si>
  <si>
    <t>鉄有固-案内宣伝施設 建物付属-冷暖房・通風・ボイラー設備-22kw以下-車庫・工場</t>
  </si>
  <si>
    <t>14507114</t>
  </si>
  <si>
    <t>鉄有固-案内宣伝施設 建物付属-冷暖房・通風・ボイラー設備-その他のもの-車庫・工場</t>
  </si>
  <si>
    <t>14507115</t>
  </si>
  <si>
    <t>鉄有固-案内宣伝施設 建物付属-昇降機設備-エレベーター-車庫・工場</t>
  </si>
  <si>
    <t>14507116</t>
  </si>
  <si>
    <t>鉄有固-案内宣伝施設 建物付属-昇降機設備-エスカレーター-車庫・工場</t>
  </si>
  <si>
    <t>14507117</t>
  </si>
  <si>
    <t>鉄有固-案内宣伝施設 建物付属-消火・排煙・災害報知設備及び格納式避難設備-車庫・工場</t>
  </si>
  <si>
    <t>14507118</t>
  </si>
  <si>
    <t>鉄有固-案内宣伝施設 建物付属-エヤーカーテン又はドアー自動開閉設備-車庫・工場</t>
  </si>
  <si>
    <t>14507119</t>
  </si>
  <si>
    <t>鉄有固-案内宣伝施設 建物付属-アーケード又は日よけ設備-金属製-車庫・工場</t>
  </si>
  <si>
    <t>14507120</t>
  </si>
  <si>
    <t>鉄有固-案内宣伝施設 建物付属-アーケード又は日よけ設備-その他のもの-車庫・工場</t>
  </si>
  <si>
    <t>14507121</t>
  </si>
  <si>
    <t>鉄有固-案内宣伝施設 建物付属-店用簡易設備-車庫・工場</t>
  </si>
  <si>
    <t>14507122</t>
  </si>
  <si>
    <t>鉄有固-案内宣伝施設 建物付属-可動簡易装備-簡易なもの-車庫・工場</t>
  </si>
  <si>
    <t>14507123</t>
  </si>
  <si>
    <t>鉄有固-案内宣伝施設 建物付属-可動簡易装備-その他のもの-車庫・工場</t>
  </si>
  <si>
    <t>14507124</t>
  </si>
  <si>
    <t>鉄有固-案内宣伝施設 建物付属-前掲以外・前掲区分外-主として金属製のもの-車庫・工場</t>
  </si>
  <si>
    <t>14507125</t>
  </si>
  <si>
    <t>鉄有固-案内宣伝施設 建物付属-前掲以外・前掲区分外-その他のもの-車庫・工場</t>
  </si>
  <si>
    <t>14507201</t>
  </si>
  <si>
    <t>鉄有固-案内宣伝施設 建物-鉄骨鉄筋コンクリート造又は鉄筋コンクリート造-倉庫建物</t>
  </si>
  <si>
    <t>14507202</t>
  </si>
  <si>
    <t>鉄有固-案内宣伝施設 建物-れんが造、石造又はブロック造-倉庫建物</t>
  </si>
  <si>
    <t>14507203</t>
  </si>
  <si>
    <t>鉄有固-案内宣伝施設 建物-金属造(骨格材の肉厚が4mm超)-倉庫建物</t>
  </si>
  <si>
    <t>14507204</t>
  </si>
  <si>
    <t>鉄有固-案内宣伝施設 建物-金属造(骨格材の肉厚が3mm超4mm以下)-倉庫建物</t>
  </si>
  <si>
    <t>14507205</t>
  </si>
  <si>
    <t>鉄有固-案内宣伝施設 建物-金属造(骨格材の肉厚が3mm以下)-倉庫建物</t>
  </si>
  <si>
    <t>14507206</t>
  </si>
  <si>
    <t>鉄有固-案内宣伝施設 建物-木造又は合成樹脂造-倉庫建物</t>
  </si>
  <si>
    <t>14507207</t>
  </si>
  <si>
    <t>鉄有固-案内宣伝施設 建物-木骨モルタル造-倉庫建物</t>
  </si>
  <si>
    <t>14507208</t>
  </si>
  <si>
    <t>鉄有固-案内宣伝施設 建物-簡易建物(木製主要柱が10cm角以下で土居、杉皮ぶき等)-倉庫建物</t>
  </si>
  <si>
    <t>14507209</t>
  </si>
  <si>
    <t>鉄有固-案内宣伝施設 建物-簡易建物(掘立造のもの及び仮設のもの)-倉庫建物</t>
  </si>
  <si>
    <t>14507210</t>
  </si>
  <si>
    <t>鉄有固-案内宣伝施設 建物付属-電気設備(照明設備を含む)-蓄電池電源設備-倉庫建物</t>
  </si>
  <si>
    <t>14507211</t>
  </si>
  <si>
    <t>鉄有固-案内宣伝施設 建物付属-電気設備(照明設備を含む)-その他のもの-倉庫建物</t>
  </si>
  <si>
    <t>14507212</t>
  </si>
  <si>
    <t>鉄有固-案内宣伝施設 建物付属-給排水又は衛生設備及びガス設備-倉庫建物</t>
  </si>
  <si>
    <t>14507213</t>
  </si>
  <si>
    <t>鉄有固-案内宣伝施設 建物付属-冷暖房・通風・ボイラー設備-22kw以下-倉庫建物</t>
  </si>
  <si>
    <t>14507214</t>
  </si>
  <si>
    <t>鉄有固-案内宣伝施設 建物付属-冷暖房・通風・ボイラー設備-その他のもの-倉庫建物</t>
  </si>
  <si>
    <t>14507215</t>
  </si>
  <si>
    <t>鉄有固-案内宣伝施設 建物付属-昇降機設備-エレベーター-倉庫建物</t>
  </si>
  <si>
    <t>14507216</t>
  </si>
  <si>
    <t>鉄有固-案内宣伝施設 建物付属-昇降機設備-エスカレーター-倉庫建物</t>
  </si>
  <si>
    <t>14507217</t>
  </si>
  <si>
    <t>鉄有固-案内宣伝施設 建物付属-消火・排煙・災害報知設備及び格納式避難設備-倉庫建物</t>
  </si>
  <si>
    <t>14507218</t>
  </si>
  <si>
    <t>鉄有固-案内宣伝施設 建物付属-エヤーカーテン又はドアー自動開閉設備-倉庫建物</t>
  </si>
  <si>
    <t>14507219</t>
  </si>
  <si>
    <t>鉄有固-案内宣伝施設 建物付属-アーケード又は日よけ設備-金属製-倉庫建物</t>
  </si>
  <si>
    <t>14507220</t>
  </si>
  <si>
    <t>鉄有固-案内宣伝施設 建物付属-アーケード又は日よけ設備-その他のもの-倉庫建物</t>
  </si>
  <si>
    <t>14507221</t>
  </si>
  <si>
    <t>鉄有固-案内宣伝施設 建物付属-店用簡易設備-倉庫建物</t>
  </si>
  <si>
    <t>14507222</t>
  </si>
  <si>
    <t>鉄有固-案内宣伝施設 建物付属-可動簡易装備-簡易なもの-倉庫建物</t>
  </si>
  <si>
    <t>14507223</t>
  </si>
  <si>
    <t>鉄有固-案内宣伝施設 建物付属-可動簡易装備-その他のもの-倉庫建物</t>
  </si>
  <si>
    <t>14507224</t>
  </si>
  <si>
    <t>鉄有固-案内宣伝施設 建物付属-前掲以外・前掲区分外-主として金属製のもの-倉庫建物</t>
  </si>
  <si>
    <t>14507225</t>
  </si>
  <si>
    <t>鉄有固-案内宣伝施設 建物付属-前掲以外・前掲区分外-その他のもの-倉庫建物</t>
  </si>
  <si>
    <t>14507301</t>
  </si>
  <si>
    <t>鉄有固-案内宣伝施設 建物-鉄骨鉄筋コンクリート造又は鉄筋コンクリート造-詰所建物</t>
  </si>
  <si>
    <t>14507302</t>
  </si>
  <si>
    <t>鉄有固-案内宣伝施設 建物-れんが造、石造又はブロック造-詰所建物</t>
  </si>
  <si>
    <t>14507303</t>
  </si>
  <si>
    <t>鉄有固-案内宣伝施設 建物-金属造(骨格材の肉厚が4mm超)-詰所建物</t>
  </si>
  <si>
    <t>14507304</t>
  </si>
  <si>
    <t>鉄有固-案内宣伝施設 建物-金属造(骨格材の肉厚が3mm超4mm以下)-詰所建物</t>
  </si>
  <si>
    <t>14507305</t>
  </si>
  <si>
    <t>鉄有固-案内宣伝施設 建物-金属造(骨格材の肉厚が3mm以下)-詰所建物</t>
  </si>
  <si>
    <t>14507306</t>
  </si>
  <si>
    <t>鉄有固-案内宣伝施設 建物-木造又は合成樹脂造-詰所建物</t>
  </si>
  <si>
    <t>14507307</t>
  </si>
  <si>
    <t>鉄有固-案内宣伝施設 建物-木骨モルタル造-詰所建物</t>
  </si>
  <si>
    <t>14507308</t>
  </si>
  <si>
    <t>鉄有固-案内宣伝施設 建物-簡易建物(木製主要柱が10cm角以下で土居、杉皮ぶき等)-詰所建物</t>
  </si>
  <si>
    <t>14507309</t>
  </si>
  <si>
    <t>鉄有固-案内宣伝施設 建物-簡易建物(掘立造のもの及び仮設のもの)-詰所建物</t>
  </si>
  <si>
    <t>14507310</t>
  </si>
  <si>
    <t>鉄有固-案内宣伝施設 建物付属-電気設備(照明設備を含む)-蓄電池電源設備-詰所建物</t>
  </si>
  <si>
    <t>14507311</t>
  </si>
  <si>
    <t>鉄有固-案内宣伝施設 建物付属-電気設備(照明設備を含む)-その他のもの-詰所建物</t>
  </si>
  <si>
    <t>14507312</t>
  </si>
  <si>
    <t>鉄有固-案内宣伝施設 建物付属-給排水又は衛生設備及びガス設備-詰所建物</t>
  </si>
  <si>
    <t>14507313</t>
  </si>
  <si>
    <t>鉄有固-案内宣伝施設 建物付属-冷暖房・通風・ボイラー設備-22kw以下-詰所建物</t>
  </si>
  <si>
    <t>14507314</t>
  </si>
  <si>
    <t>鉄有固-案内宣伝施設 建物付属-冷暖房・通風・ボイラー設備-その他のもの-詰所建物</t>
  </si>
  <si>
    <t>14507315</t>
  </si>
  <si>
    <t>鉄有固-案内宣伝施設 建物付属-昇降機設備-エレベーター-詰所建物</t>
  </si>
  <si>
    <t>14507316</t>
  </si>
  <si>
    <t>鉄有固-案内宣伝施設 建物付属-昇降機設備-エスカレーター-詰所建物</t>
  </si>
  <si>
    <t>14507317</t>
  </si>
  <si>
    <t>鉄有固-案内宣伝施設 建物付属-消火・排煙・災害報知設備及び格納式避難設備-詰所建物</t>
  </si>
  <si>
    <t>14507318</t>
  </si>
  <si>
    <t>鉄有固-案内宣伝施設 建物付属-エヤーカーテン又はドアー自動開閉設備-詰所建物</t>
  </si>
  <si>
    <t>14507319</t>
  </si>
  <si>
    <t>鉄有固-案内宣伝施設 建物付属-アーケード又は日よけ設備-金属製-詰所建物</t>
  </si>
  <si>
    <t>14507320</t>
  </si>
  <si>
    <t>鉄有固-案内宣伝施設 建物付属-アーケード又は日よけ設備-その他のもの-詰所建物</t>
  </si>
  <si>
    <t>14507321</t>
  </si>
  <si>
    <t>鉄有固-案内宣伝施設 建物付属-店用簡易設備-詰所建物</t>
  </si>
  <si>
    <t>14507322</t>
  </si>
  <si>
    <t>鉄有固-案内宣伝施設 建物付属-可動簡易装備-簡易なもの-詰所建物</t>
  </si>
  <si>
    <t>14507323</t>
  </si>
  <si>
    <t>鉄有固-案内宣伝施設 建物付属-可動簡易装備-その他のもの-詰所建物</t>
  </si>
  <si>
    <t>14507324</t>
  </si>
  <si>
    <t>鉄有固-案内宣伝施設 建物付属-前掲以外・前掲区分外-主として金属製のもの-詰所建物</t>
  </si>
  <si>
    <t>14507325</t>
  </si>
  <si>
    <t>鉄有固-案内宣伝施設 建物付属-前掲以外・前掲区分外-その他のもの-詰所建物</t>
  </si>
  <si>
    <t>14507401</t>
  </si>
  <si>
    <t>鉄有固-案内宣伝施設 建物-鉄骨鉄筋コンクリート造又は鉄筋コンクリート造-事務所建物</t>
  </si>
  <si>
    <t>14507402</t>
  </si>
  <si>
    <t>鉄有固-案内宣伝施設 建物-れんが造、石造又はブロック造-事務所建物</t>
  </si>
  <si>
    <t>14507403</t>
  </si>
  <si>
    <t>鉄有固-案内宣伝施設 建物-金属造(骨格材の肉厚が4mm超)-事務所建物</t>
  </si>
  <si>
    <t>14507404</t>
  </si>
  <si>
    <t>鉄有固-案内宣伝施設 建物-金属造(骨格材の肉厚が3mm超4mm以下)-事務所建物</t>
  </si>
  <si>
    <t>14507405</t>
  </si>
  <si>
    <t>鉄有固-案内宣伝施設 建物-金属造(骨格材の肉厚が3mm以下)-事務所建物</t>
  </si>
  <si>
    <t>14507406</t>
  </si>
  <si>
    <t>鉄有固-案内宣伝施設 建物-木造又は合成樹脂造-事務所建物</t>
  </si>
  <si>
    <t>14507407</t>
  </si>
  <si>
    <t>鉄有固-案内宣伝施設 建物-木骨モルタル造-事務所建物</t>
  </si>
  <si>
    <t>14507408</t>
  </si>
  <si>
    <t>鉄有固-案内宣伝施設 建物-簡易建物(木製主要柱が10cm角以下で土居、杉皮ぶき等)-事務所建物</t>
  </si>
  <si>
    <t>14507409</t>
  </si>
  <si>
    <t>鉄有固-案内宣伝施設 建物-簡易建物(掘立造のもの及び仮設のもの)-事務所建物</t>
  </si>
  <si>
    <t>14507410</t>
  </si>
  <si>
    <t>鉄有固-案内宣伝施設 建物付属-電気設備(照明設備を含む)-蓄電池電源設備-事務所建物</t>
  </si>
  <si>
    <t>14507411</t>
  </si>
  <si>
    <t>鉄有固-案内宣伝施設 建物付属-電気設備(照明設備を含む)-その他のもの-事務所建物</t>
  </si>
  <si>
    <t>14507412</t>
  </si>
  <si>
    <t>鉄有固-案内宣伝施設 建物付属-給排水又は衛生設備及びガス設備-事務所建物</t>
  </si>
  <si>
    <t>14507413</t>
  </si>
  <si>
    <t>鉄有固-案内宣伝施設 建物付属-冷暖房・通風・ボイラー設備-22kw以下-事務所建物</t>
  </si>
  <si>
    <t>14507414</t>
  </si>
  <si>
    <t>鉄有固-案内宣伝施設 建物付属-冷暖房・通風・ボイラー設備-その他のもの-事務所建物</t>
  </si>
  <si>
    <t>14507415</t>
  </si>
  <si>
    <t>鉄有固-案内宣伝施設 建物付属-昇降機設備-エレベーター-事務所建物</t>
  </si>
  <si>
    <t>14507416</t>
  </si>
  <si>
    <t>鉄有固-案内宣伝施設 建物付属-昇降機設備-エスカレーター-事務所建物</t>
  </si>
  <si>
    <t>14507417</t>
  </si>
  <si>
    <t>鉄有固-案内宣伝施設 建物付属-消火・排煙・災害報知設備及び格納式避難設備-事務所建物</t>
  </si>
  <si>
    <t>14507418</t>
  </si>
  <si>
    <t>鉄有固-案内宣伝施設 建物付属-エヤーカーテン又はドアー自動開閉設備-事務所建物</t>
  </si>
  <si>
    <t>14507419</t>
  </si>
  <si>
    <t>鉄有固-案内宣伝施設 建物付属-アーケード又は日よけ設備-金属製-事務所建物</t>
  </si>
  <si>
    <t>14507420</t>
  </si>
  <si>
    <t>鉄有固-案内宣伝施設 建物付属-アーケード又は日よけ設備-その他のもの-事務所建物</t>
  </si>
  <si>
    <t>14507421</t>
  </si>
  <si>
    <t>鉄有固-案内宣伝施設 建物付属-店用簡易設備-事務所建物</t>
  </si>
  <si>
    <t>14507422</t>
  </si>
  <si>
    <t>鉄有固-案内宣伝施設 建物付属-可動簡易装備-簡易なもの-事務所建物</t>
  </si>
  <si>
    <t>14507423</t>
  </si>
  <si>
    <t>鉄有固-案内宣伝施設 建物付属-可動簡易装備-その他のもの-事務所建物</t>
  </si>
  <si>
    <t>14507424</t>
  </si>
  <si>
    <t>鉄有固-案内宣伝施設 建物付属-前掲以外・前掲区分外-主として金属製のもの-事務所建物</t>
  </si>
  <si>
    <t>14507425</t>
  </si>
  <si>
    <t>鉄有固-案内宣伝施設 建物付属-前掲以外・前掲区分外-その他のもの-事務所建物</t>
  </si>
  <si>
    <t>14507501</t>
  </si>
  <si>
    <t>鉄有固-案内宣伝施設 建物-鉄骨鉄筋コンクリート造又は鉄筋コンクリート造-社宅・寮建物</t>
  </si>
  <si>
    <t>14507502</t>
  </si>
  <si>
    <t>鉄有固-案内宣伝施設 建物-れんが造、石造又はブロック造-社宅・寮建物</t>
  </si>
  <si>
    <t>14507503</t>
  </si>
  <si>
    <t>鉄有固-案内宣伝施設 建物-金属造(骨格材の肉厚が4mm超)-社宅・寮建物</t>
  </si>
  <si>
    <t>14507504</t>
  </si>
  <si>
    <t>鉄有固-案内宣伝施設 建物-金属造(骨格材の肉厚が3mm超4mm以下)-社宅・寮建物</t>
  </si>
  <si>
    <t>14507505</t>
  </si>
  <si>
    <t>鉄有固-案内宣伝施設 建物-金属造(骨格材の肉厚が3mm以下)-社宅・寮建物</t>
  </si>
  <si>
    <t>14507506</t>
  </si>
  <si>
    <t>鉄有固-案内宣伝施設 建物-木造又は合成樹脂造-社宅・寮建物</t>
  </si>
  <si>
    <t>14507507</t>
  </si>
  <si>
    <t>鉄有固-案内宣伝施設 建物-木骨モルタル造-社宅・寮建物</t>
  </si>
  <si>
    <t>14507508</t>
  </si>
  <si>
    <t>鉄有固-案内宣伝施設 建物-簡易建物(木製主要柱が10cm角以下で土居、杉皮ぶき等)-社宅・寮建物</t>
    <rPh sb="47" eb="49">
      <t>タテモノ</t>
    </rPh>
    <phoneticPr fontId="3"/>
  </si>
  <si>
    <t>14507509</t>
  </si>
  <si>
    <t>鉄有固-案内宣伝施設 建物-簡易建物(掘立造のもの及び仮設のもの)-社宅・寮建物</t>
  </si>
  <si>
    <t>14507510</t>
  </si>
  <si>
    <t>鉄有固-案内宣伝施設 建物付属-電気設備(照明設備を含む)-蓄電池電源設備-社宅・寮建物</t>
  </si>
  <si>
    <t>14507511</t>
  </si>
  <si>
    <t>鉄有固-案内宣伝施設 建物付属-電気設備(照明設備を含む)-その他のもの-社宅・寮建物</t>
  </si>
  <si>
    <t>14507512</t>
  </si>
  <si>
    <t>鉄有固-案内宣伝施設 建物付属-給排水又は衛生設備及びガス設備-社宅・寮建物</t>
  </si>
  <si>
    <t>14507513</t>
  </si>
  <si>
    <t>鉄有固-案内宣伝施設 建物付属-冷暖房・通風・ボイラー設備-22kw以下-社宅・寮建物</t>
  </si>
  <si>
    <t>14507514</t>
  </si>
  <si>
    <t>鉄有固-案内宣伝施設 建物付属-冷暖房・通風・ボイラー設備-その他のもの-社宅・寮建物</t>
  </si>
  <si>
    <t>14507515</t>
  </si>
  <si>
    <t>鉄有固-案内宣伝施設 建物付属-昇降機設備-エレベーター-社宅・寮建物</t>
  </si>
  <si>
    <t>14507516</t>
  </si>
  <si>
    <t>鉄有固-案内宣伝施設 建物付属-昇降機設備-エスカレーター-社宅・寮建物</t>
  </si>
  <si>
    <t>14507517</t>
  </si>
  <si>
    <t>鉄有固-案内宣伝施設 建物付属-消火・排煙・災害報知設備及び格納式避難設備-社宅・寮建物</t>
  </si>
  <si>
    <t>14507518</t>
  </si>
  <si>
    <t>鉄有固-案内宣伝施設 建物付属-エヤーカーテン又はドアー自動開閉設備-社宅・寮建物</t>
  </si>
  <si>
    <t>14507519</t>
  </si>
  <si>
    <t>鉄有固-案内宣伝施設 建物付属-アーケード又は日よけ設備-金属製-社宅・寮建物</t>
  </si>
  <si>
    <t>14507520</t>
  </si>
  <si>
    <t>鉄有固-案内宣伝施設 建物付属-アーケード又は日よけ設備-その他のもの-社宅・寮建物</t>
  </si>
  <si>
    <t>14507521</t>
  </si>
  <si>
    <t>鉄有固-案内宣伝施設 建物付属-店用簡易設備-社宅・寮建物</t>
  </si>
  <si>
    <t>14507522</t>
  </si>
  <si>
    <t>鉄有固-案内宣伝施設 建物付属-可動簡易装備-簡易なもの-社宅・寮建物</t>
  </si>
  <si>
    <t>14507523</t>
  </si>
  <si>
    <t>鉄有固-案内宣伝施設 建物付属-可動簡易装備-その他のもの-社宅・寮建物</t>
  </si>
  <si>
    <t>14507524</t>
  </si>
  <si>
    <t>鉄有固-案内宣伝施設 建物付属-前掲以外・前掲区分外-主として金属製のもの-社宅・寮建物</t>
  </si>
  <si>
    <t>14507525</t>
  </si>
  <si>
    <t>鉄有固-案内宣伝施設 建物付属-前掲以外・前掲区分外-その他のもの-社宅・寮建物</t>
  </si>
  <si>
    <t>14599901</t>
  </si>
  <si>
    <t>鉄有固-案内宣伝施設 建物-雑建物-定額50年</t>
  </si>
  <si>
    <t>14599902</t>
  </si>
  <si>
    <t>鉄有固-案内宣伝施設 建物-雑建物-定額47年</t>
  </si>
  <si>
    <t>14599903</t>
  </si>
  <si>
    <t>鉄有固-案内宣伝施設 建物-雑建物-定額41年</t>
  </si>
  <si>
    <t>14599904</t>
  </si>
  <si>
    <t>鉄有固-案内宣伝施設 建物-雑建物-定額39年</t>
  </si>
  <si>
    <t>14599905</t>
  </si>
  <si>
    <t>鉄有固-案内宣伝施設 建物-雑建物-定額38年</t>
  </si>
  <si>
    <t>14599906</t>
  </si>
  <si>
    <t>鉄有固-案内宣伝施設 建物-雑建物-定額36年</t>
  </si>
  <si>
    <t>14599907</t>
  </si>
  <si>
    <t>鉄有固-案内宣伝施設 建物-雑建物-定額34年</t>
  </si>
  <si>
    <t>14599908</t>
  </si>
  <si>
    <t>鉄有固-案内宣伝施設 建物-雑建物-定額31年</t>
  </si>
  <si>
    <t>14599909</t>
  </si>
  <si>
    <t>鉄有固-案内宣伝施設 建物-雑建物-定額30年</t>
  </si>
  <si>
    <t>14599910</t>
  </si>
  <si>
    <t>鉄有固-案内宣伝施設 建物-雑建物-定額29年</t>
  </si>
  <si>
    <t>14599911</t>
  </si>
  <si>
    <t>鉄有固-案内宣伝施設 建物-雑建物-定額28年</t>
  </si>
  <si>
    <t>14599912</t>
  </si>
  <si>
    <t>鉄有固-案内宣伝施設 建物-雑建物-定額27年</t>
  </si>
  <si>
    <t>14599913</t>
  </si>
  <si>
    <t>鉄有固-案内宣伝施設 建物-雑建物-定額26年</t>
  </si>
  <si>
    <t>14599914</t>
  </si>
  <si>
    <t>鉄有固-案内宣伝施設 建物-雑建物-定額25年</t>
  </si>
  <si>
    <t>14599915</t>
  </si>
  <si>
    <t>鉄有固-案内宣伝施設 建物-雑建物-定額24年</t>
  </si>
  <si>
    <t>14599916</t>
  </si>
  <si>
    <t>鉄有固-案内宣伝施設 建物-雑建物-定額22年</t>
  </si>
  <si>
    <t>14599917</t>
  </si>
  <si>
    <t>鉄有固-案内宣伝施設 建物-雑建物-定額21年</t>
  </si>
  <si>
    <t>14599918</t>
  </si>
  <si>
    <t>鉄有固-案内宣伝施設 建物-雑建物-定額20年</t>
  </si>
  <si>
    <t>14599919</t>
  </si>
  <si>
    <t>鉄有固-案内宣伝施設 建物-雑建物-定額19年</t>
  </si>
  <si>
    <t>14599920</t>
  </si>
  <si>
    <t>鉄有固-案内宣伝施設 建物-雑建物-定額17年</t>
  </si>
  <si>
    <t>14599921</t>
  </si>
  <si>
    <t>鉄有固-案内宣伝施設 建物-雑建物-定額15年</t>
  </si>
  <si>
    <t>14599922</t>
  </si>
  <si>
    <t>鉄有固-案内宣伝施設 建物-雑建物-定額14年</t>
  </si>
  <si>
    <t>14599923</t>
  </si>
  <si>
    <t>鉄有固-案内宣伝施設 建物-雑建物-定額12年</t>
  </si>
  <si>
    <t>14599924</t>
  </si>
  <si>
    <t>鉄有固-案内宣伝施設 建物-雑建物-定額11年</t>
  </si>
  <si>
    <t>14599925</t>
  </si>
  <si>
    <t>鉄有固-案内宣伝施設 建物-雑建物-定額10年</t>
  </si>
  <si>
    <t>14599926</t>
  </si>
  <si>
    <t>鉄有固-案内宣伝施設 建物-雑建物-定額09年</t>
  </si>
  <si>
    <t>14599927</t>
  </si>
  <si>
    <t>鉄有固-案内宣伝施設 建物-雑建物-定額07年</t>
  </si>
  <si>
    <t>14599928</t>
  </si>
  <si>
    <t>鉄有固-案内宣伝施設 建物付属-電気設備(照明設備を含む)-蓄電池電源設備-雑建物</t>
  </si>
  <si>
    <t>14599929</t>
  </si>
  <si>
    <t>鉄有固-案内宣伝施設 建物付属-電気設備(照明設備を含む)-その他のもの-雑建物</t>
  </si>
  <si>
    <t>14599930</t>
  </si>
  <si>
    <t>鉄有固-案内宣伝施設 建物付属-給排水又は衛生設備及びガス設備-雑建物</t>
  </si>
  <si>
    <t>14599931</t>
  </si>
  <si>
    <t>鉄有固-案内宣伝施設 建物付属-冷暖房・通風・ボイラー設備-22kw以下-雑建物</t>
  </si>
  <si>
    <t>14599932</t>
  </si>
  <si>
    <t>鉄有固-案内宣伝施設 建物付属-冷暖房・通風・ボイラー設備-その他のもの-雑建物</t>
  </si>
  <si>
    <t>14599933</t>
  </si>
  <si>
    <t>鉄有固-案内宣伝施設 建物付属-昇降機設備-エレベーター-雑建物</t>
  </si>
  <si>
    <t>14599934</t>
  </si>
  <si>
    <t>鉄有固-案内宣伝施設 建物付属-昇降機設備-エスカレーター-雑建物</t>
  </si>
  <si>
    <t>14599935</t>
  </si>
  <si>
    <t>鉄有固-案内宣伝施設 建物付属-消火・排煙・災害報知設備及び格納式避難設備-雑建物</t>
  </si>
  <si>
    <t>14599936</t>
  </si>
  <si>
    <t>鉄有固-案内宣伝施設 建物付属-エヤーカーテン又はドアー自動開閉設備-雑建物</t>
  </si>
  <si>
    <t>14599937</t>
  </si>
  <si>
    <t>鉄有固-案内宣伝施設 建物付属-アーケード又は日よけ設備-金属製-雑建物</t>
  </si>
  <si>
    <t>14599938</t>
  </si>
  <si>
    <t>鉄有固-案内宣伝施設 建物付属-アーケード又は日よけ設備-その他のもの-雑建物</t>
  </si>
  <si>
    <t>14599939</t>
  </si>
  <si>
    <t>鉄有固-案内宣伝施設 建物付属-店用簡易設備-雑建物</t>
  </si>
  <si>
    <t>14599940</t>
  </si>
  <si>
    <t>鉄有固-案内宣伝施設 建物付属-可動簡易装備-簡易なもの-雑建物</t>
  </si>
  <si>
    <t>14599941</t>
  </si>
  <si>
    <t>鉄有固-案内宣伝施設 建物付属-可動簡易装備-その他のもの-雑建物</t>
  </si>
  <si>
    <t>14599942</t>
  </si>
  <si>
    <t>鉄有固-案内宣伝施設 建物付属-前掲以外・前掲区分外-主として金属製のもの-雑建物</t>
  </si>
  <si>
    <t>14599943</t>
  </si>
  <si>
    <t>鉄有固-案内宣伝施設 建物付属-前掲以外・前掲区分外-その他のもの-雑建物</t>
  </si>
  <si>
    <t>15007601</t>
  </si>
  <si>
    <t>鉄有固-案内宣伝施設 雑施設</t>
  </si>
  <si>
    <t>20100101</t>
  </si>
  <si>
    <t>広告有固-土地-事務所</t>
  </si>
  <si>
    <t>20100201</t>
  </si>
  <si>
    <t>広告有固-土地-店舗</t>
  </si>
  <si>
    <t>20199901</t>
  </si>
  <si>
    <t>広告有固-土地-その他</t>
  </si>
  <si>
    <t>20500301</t>
  </si>
  <si>
    <t>広告有固-建物-事務所-定額50年</t>
  </si>
  <si>
    <t>20500302</t>
  </si>
  <si>
    <t>広告有固-建物-事務所-定額41年</t>
  </si>
  <si>
    <t>20500303</t>
  </si>
  <si>
    <t>広告有固-建物-事務所-定額38年</t>
  </si>
  <si>
    <t>20500304</t>
  </si>
  <si>
    <t>広告有固-建物-事務所-定額30年</t>
  </si>
  <si>
    <t>20500305</t>
  </si>
  <si>
    <t>広告有固-建物-事務所-定額22年</t>
  </si>
  <si>
    <t>20500306</t>
  </si>
  <si>
    <t>広告有固-建物-事務所-定額24年</t>
  </si>
  <si>
    <t>20500307</t>
  </si>
  <si>
    <t>20500308</t>
  </si>
  <si>
    <t>広告有固-建物-事務所-定額10年</t>
  </si>
  <si>
    <t>20500309</t>
  </si>
  <si>
    <t>広告有固-建物-事務所-定額07年</t>
  </si>
  <si>
    <t>20500310</t>
  </si>
  <si>
    <t>広告有固-建物付属設備-事務所-定率18年</t>
  </si>
  <si>
    <t>20500311</t>
  </si>
  <si>
    <t>広告有固-建物付属設備-事務所-定率17年</t>
  </si>
  <si>
    <t>20500312</t>
  </si>
  <si>
    <t>広告有固-建物付属設備-事務所-定率15年</t>
  </si>
  <si>
    <t>20500313</t>
  </si>
  <si>
    <t>広告有固-建物付属設備-事務所-定率13年</t>
  </si>
  <si>
    <t>20500314</t>
  </si>
  <si>
    <t>広告有固-建物付属設備-事務所-定率12年</t>
  </si>
  <si>
    <t>20500315</t>
  </si>
  <si>
    <t>広告有固-建物付属設備-事務所-定率10年</t>
  </si>
  <si>
    <t>20500316</t>
  </si>
  <si>
    <t>広告有固-建物付属設備-事務所-定率08年</t>
  </si>
  <si>
    <t>20500317</t>
  </si>
  <si>
    <t>広告有固-建物付属設備-事務所-定率03年</t>
  </si>
  <si>
    <t>20500401</t>
  </si>
  <si>
    <t>広告有固-建物-店舗-定額39年</t>
  </si>
  <si>
    <t>20500402</t>
  </si>
  <si>
    <t>広告有固-建物-店舗-定額38年</t>
  </si>
  <si>
    <t>20500403</t>
  </si>
  <si>
    <t>広告有固-建物-店舗-定額34年</t>
  </si>
  <si>
    <t>20500404</t>
  </si>
  <si>
    <t>広告有固-建物-店舗-定額27年</t>
  </si>
  <si>
    <t>20500405</t>
  </si>
  <si>
    <t>広告有固-建物-店舗-定額19年</t>
  </si>
  <si>
    <t>20500406</t>
  </si>
  <si>
    <t>広告有固-建物-店舗-定額22年</t>
  </si>
  <si>
    <t>20500407</t>
  </si>
  <si>
    <t>広告有固-建物-店舗-定額20年</t>
  </si>
  <si>
    <t>20500408</t>
  </si>
  <si>
    <t>広告有固-建物-店舗-定額10年</t>
  </si>
  <si>
    <t>20500409</t>
  </si>
  <si>
    <t>広告有固-建物-店舗-定額07年</t>
  </si>
  <si>
    <t>20500410</t>
  </si>
  <si>
    <t>広告有固-建物付属設備-店舗-定率18年</t>
  </si>
  <si>
    <t>20500411</t>
  </si>
  <si>
    <t>広告有固-建物付属設備-店舗-定率17年</t>
  </si>
  <si>
    <t>20500412</t>
  </si>
  <si>
    <t>広告有固-建物付属設備-店舗-定率15年</t>
  </si>
  <si>
    <t>20500413</t>
  </si>
  <si>
    <t>広告有固-建物付属設備-店舗-定率13年</t>
  </si>
  <si>
    <t>20500414</t>
  </si>
  <si>
    <t>広告有固-建物付属設備-店舗-定率12年</t>
  </si>
  <si>
    <t>20500415</t>
  </si>
  <si>
    <t>広告有固-建物付属設備-店舗-定率10年</t>
  </si>
  <si>
    <t>20500416</t>
  </si>
  <si>
    <t>広告有固-建物付属設備-店舗-定率08年</t>
  </si>
  <si>
    <t>20500417</t>
  </si>
  <si>
    <t>広告有固-建物付属設備-店舗-定率03年</t>
  </si>
  <si>
    <t>20599901</t>
  </si>
  <si>
    <t>広告有固-建物-その他-定額50年</t>
  </si>
  <si>
    <t>20599902</t>
  </si>
  <si>
    <t>広告有固-建物-その他-定額47年</t>
  </si>
  <si>
    <t>20599903</t>
  </si>
  <si>
    <t>広告有固-建物-その他-定額41年</t>
  </si>
  <si>
    <t>20599904</t>
  </si>
  <si>
    <t>広告有固-建物-その他-定額39年</t>
  </si>
  <si>
    <t>20599905</t>
  </si>
  <si>
    <t>広告有固-建物-その他-定額38年</t>
  </si>
  <si>
    <t>20599906</t>
  </si>
  <si>
    <t>広告有固-建物-その他-定額36年</t>
  </si>
  <si>
    <t>20599907</t>
  </si>
  <si>
    <t>広告有固-建物-その他-定額34年</t>
  </si>
  <si>
    <t>20599908</t>
  </si>
  <si>
    <t>広告有固-建物-その他-定額31年</t>
  </si>
  <si>
    <t>20599909</t>
  </si>
  <si>
    <t>広告有固-建物-その他-定額30年</t>
  </si>
  <si>
    <t>20599910</t>
  </si>
  <si>
    <t>広告有固-建物-その他-定額29年</t>
  </si>
  <si>
    <t>20599911</t>
  </si>
  <si>
    <t>広告有固-建物-その他-定額28年</t>
  </si>
  <si>
    <t>20599912</t>
  </si>
  <si>
    <t>広告有固-建物-その他-定額27年</t>
  </si>
  <si>
    <t>20599913</t>
  </si>
  <si>
    <t>広告有固-建物-その他-定額26年</t>
  </si>
  <si>
    <t>20599914</t>
  </si>
  <si>
    <t>広告有固-建物-その他-定額25年</t>
  </si>
  <si>
    <t>20599915</t>
  </si>
  <si>
    <t>広告有固-建物-その他-定額24年</t>
  </si>
  <si>
    <t>20599916</t>
  </si>
  <si>
    <t>広告有固-建物-その他-定額22年</t>
  </si>
  <si>
    <t>20599917</t>
  </si>
  <si>
    <t>広告有固-建物-その他-定額21年</t>
  </si>
  <si>
    <t>20599918</t>
  </si>
  <si>
    <t>広告有固-建物-その他-定額20年</t>
  </si>
  <si>
    <t>20599919</t>
  </si>
  <si>
    <t>広告有固-建物-その他-定額19年</t>
  </si>
  <si>
    <t>20599920</t>
  </si>
  <si>
    <t>広告有固-建物-その他-定額17年</t>
  </si>
  <si>
    <t>20599921</t>
  </si>
  <si>
    <t>広告有固-建物-その他-定額15年</t>
  </si>
  <si>
    <t>20599922</t>
  </si>
  <si>
    <t>広告有固-建物-その他-定額14年</t>
  </si>
  <si>
    <t>20599923</t>
  </si>
  <si>
    <t>広告有固-建物-その他-定額12年</t>
  </si>
  <si>
    <t>20599924</t>
  </si>
  <si>
    <t>広告有固-建物-その他-定額11年</t>
  </si>
  <si>
    <t>20599925</t>
  </si>
  <si>
    <t>広告有固-建物-その他-定額10年</t>
  </si>
  <si>
    <t>20599926</t>
  </si>
  <si>
    <t>広告有固-建物-その他-定額09年</t>
  </si>
  <si>
    <t>20599927</t>
  </si>
  <si>
    <t>広告有固-建物-その他-定額07年</t>
  </si>
  <si>
    <t>20599928</t>
  </si>
  <si>
    <t>広告有固-建物付属設備-その他-定率18年</t>
  </si>
  <si>
    <t>20599929</t>
  </si>
  <si>
    <t>広告有固-建物付属設備-その他-定率17年</t>
  </si>
  <si>
    <t>20599930</t>
  </si>
  <si>
    <t>広告有固-建物付属設備-その他-定率15年</t>
  </si>
  <si>
    <t>20599931</t>
  </si>
  <si>
    <t>広告有固-建物付属設備-その他-定率13年</t>
  </si>
  <si>
    <t>20599932</t>
  </si>
  <si>
    <t>広告有固-建物付属設備-その他-定率12年</t>
  </si>
  <si>
    <t>20599933</t>
  </si>
  <si>
    <t>広告有固-建物付属設備-その他-定率10年</t>
  </si>
  <si>
    <t>20599934</t>
  </si>
  <si>
    <t>広告有固-建物付属設備-その他-定率08年</t>
  </si>
  <si>
    <t>20599935</t>
  </si>
  <si>
    <t>広告有固-建物付属設備-その他-定率03年</t>
  </si>
  <si>
    <t>21000501</t>
  </si>
  <si>
    <t>広告有固-構築物-定率80年</t>
  </si>
  <si>
    <t>21000502</t>
  </si>
  <si>
    <t>広告有固-構築物-定率75年</t>
  </si>
  <si>
    <t>21000503</t>
  </si>
  <si>
    <t>広告有固-構築物-定率60年</t>
  </si>
  <si>
    <t>21000504</t>
  </si>
  <si>
    <t>広告有固-構築物-定率57年</t>
  </si>
  <si>
    <t>21000505</t>
  </si>
  <si>
    <t>広告有固-構築物-定率50年</t>
  </si>
  <si>
    <t>21000506</t>
  </si>
  <si>
    <t>広告有固-構築物-定率45年</t>
  </si>
  <si>
    <t>21000507</t>
  </si>
  <si>
    <t>広告有固-構築物-定率42年</t>
  </si>
  <si>
    <t>21000508</t>
  </si>
  <si>
    <t>広告有固-構築物-定率41年</t>
  </si>
  <si>
    <t>21000509</t>
  </si>
  <si>
    <t>広告有固-構築物-定率40年</t>
  </si>
  <si>
    <t>21000510</t>
  </si>
  <si>
    <t>広告有固-構築物-定率36年</t>
  </si>
  <si>
    <t>21000511</t>
  </si>
  <si>
    <t>広告有固-構築物-定率35年</t>
  </si>
  <si>
    <t>21000512</t>
  </si>
  <si>
    <t>広告有固-構築物-定率34年</t>
  </si>
  <si>
    <t>21000513</t>
  </si>
  <si>
    <t>広告有固-構築物-定率32年</t>
  </si>
  <si>
    <t>21000514</t>
  </si>
  <si>
    <t>広告有固-構築物-定率30年</t>
  </si>
  <si>
    <t>21000515</t>
  </si>
  <si>
    <t>広告有固-構築物-定率27年</t>
  </si>
  <si>
    <t>21000516</t>
  </si>
  <si>
    <t>広告有固-構築物-定率25年</t>
  </si>
  <si>
    <t>21000517</t>
  </si>
  <si>
    <t>広告有固-構築物-定率24年</t>
  </si>
  <si>
    <t>21000518</t>
  </si>
  <si>
    <t>広告有固-構築物-定率22年</t>
  </si>
  <si>
    <t>21000519</t>
  </si>
  <si>
    <t>広告有固-構築物-定率21年</t>
  </si>
  <si>
    <t>21000520</t>
  </si>
  <si>
    <t>広告有固-構築物-定率20年</t>
  </si>
  <si>
    <t>21000521</t>
  </si>
  <si>
    <t>広告有固-構築物-定率19年</t>
  </si>
  <si>
    <t>21000522</t>
  </si>
  <si>
    <t>広告有固-構築物-定率17年</t>
  </si>
  <si>
    <t>21000523</t>
  </si>
  <si>
    <t>広告有固-構築物-定率16年</t>
  </si>
  <si>
    <t>21000524</t>
  </si>
  <si>
    <t>広告有固-構築物-定率15年</t>
  </si>
  <si>
    <t>21000525</t>
  </si>
  <si>
    <t>広告有固-構築物-定率14年</t>
  </si>
  <si>
    <t>21000526</t>
  </si>
  <si>
    <t>広告有固-構築物-定率13年</t>
  </si>
  <si>
    <t>21000527</t>
  </si>
  <si>
    <t>広告有固-構築物-定率12年</t>
  </si>
  <si>
    <t>21000528</t>
  </si>
  <si>
    <t>広告有固-構築物-定率10年</t>
  </si>
  <si>
    <t>21000529</t>
  </si>
  <si>
    <t>広告有固-構築物-定率08年</t>
  </si>
  <si>
    <t>21000530</t>
  </si>
  <si>
    <t>広告有固-構築物-定率07年</t>
  </si>
  <si>
    <t>21000531</t>
  </si>
  <si>
    <t>広告有固-構築物-定率05年</t>
  </si>
  <si>
    <t>21000532</t>
  </si>
  <si>
    <t>広告有固-構築物-定率03年</t>
  </si>
  <si>
    <t>22000601</t>
  </si>
  <si>
    <t>広告有固-機械装置-定率22年</t>
  </si>
  <si>
    <t>22000602</t>
  </si>
  <si>
    <t>広告有固-機械装置-定率20年</t>
  </si>
  <si>
    <t>22000603</t>
  </si>
  <si>
    <t>広告有固-機械装置-定率18年</t>
  </si>
  <si>
    <t>22000604</t>
  </si>
  <si>
    <t>広告有固-機械装置-定率17年</t>
  </si>
  <si>
    <t>22000605</t>
  </si>
  <si>
    <t>広告有固-機械装置-定率15年</t>
  </si>
  <si>
    <t>22000606</t>
  </si>
  <si>
    <t>広告有固-機械装置-定率14年</t>
  </si>
  <si>
    <t>22000607</t>
  </si>
  <si>
    <t>広告有固-機械装置-定率13年</t>
  </si>
  <si>
    <t>22000608</t>
  </si>
  <si>
    <t>広告有固-機械装置-定率12年</t>
  </si>
  <si>
    <t>22000609</t>
  </si>
  <si>
    <t>広告有固-機械装置-定率11年</t>
  </si>
  <si>
    <t>22000610</t>
  </si>
  <si>
    <t>広告有固-機械装置-定率10年</t>
  </si>
  <si>
    <t>22000611</t>
  </si>
  <si>
    <t>広告有固-機械装置-定率09年</t>
  </si>
  <si>
    <t>22000612</t>
  </si>
  <si>
    <t>広告有固-機械装置-定率08年</t>
  </si>
  <si>
    <t>22000613</t>
  </si>
  <si>
    <t>広告有固-機械装置-定率07年</t>
  </si>
  <si>
    <t>22000614</t>
  </si>
  <si>
    <t>広告有固-機械装置-定率06年</t>
  </si>
  <si>
    <t>22000615</t>
  </si>
  <si>
    <t>広告有固-機械装置-定率05年</t>
  </si>
  <si>
    <t>22000616</t>
  </si>
  <si>
    <t>広告有固-機械装置-定率04年</t>
  </si>
  <si>
    <t>22000617</t>
  </si>
  <si>
    <t>広告有固-機械装置-定率03年</t>
  </si>
  <si>
    <t>22500701</t>
  </si>
  <si>
    <t>広告有固-工具器具及び備品-工器備-定率13年</t>
  </si>
  <si>
    <t>22500702</t>
  </si>
  <si>
    <t>広告有固-工具器具及び備品-工器備-定率08年</t>
  </si>
  <si>
    <t>22500703</t>
  </si>
  <si>
    <t>広告有固-工具器具及び備品-工器備-定率05年</t>
  </si>
  <si>
    <t>22500704</t>
  </si>
  <si>
    <t>広告有固-工具器具及び備品-工器備-定率04年</t>
  </si>
  <si>
    <t>22500705</t>
  </si>
  <si>
    <t>広告有固-工具器具及び備品-工器備-定率03年</t>
  </si>
  <si>
    <t>22500706</t>
  </si>
  <si>
    <t>広告有固-工具器具及び備品-工器備-定率02年</t>
  </si>
  <si>
    <t>22500707</t>
  </si>
  <si>
    <t>広告有固-工具器具及び備品-工器備-定率20年</t>
  </si>
  <si>
    <t>22500708</t>
  </si>
  <si>
    <t>広告有固-工具器具及び備品-工器備-定率15年</t>
  </si>
  <si>
    <t>22500709</t>
  </si>
  <si>
    <t>広告有固-工具器具及び備品-工器備-定率10年</t>
  </si>
  <si>
    <t>22500710</t>
  </si>
  <si>
    <t>22500711</t>
  </si>
  <si>
    <t>広告有固-工具器具及び備品-工器備-定率07年</t>
  </si>
  <si>
    <t>22500712</t>
  </si>
  <si>
    <t>広告有固-工具器具及び備品-工器備-定率06年</t>
  </si>
  <si>
    <t>22500713</t>
  </si>
  <si>
    <t>22500714</t>
  </si>
  <si>
    <t>22500715</t>
  </si>
  <si>
    <t>22500716</t>
  </si>
  <si>
    <t>22500801</t>
  </si>
  <si>
    <t>広告有固-工具器具及び備品-運搬具-定率07年</t>
  </si>
  <si>
    <t>22500802</t>
  </si>
  <si>
    <t>広告有固-工具器具及び備品-運搬具-定率06年</t>
  </si>
  <si>
    <t>22500803</t>
  </si>
  <si>
    <t>広告有固-工具器具及び備品-運搬具-定率05年</t>
  </si>
  <si>
    <t>22500804</t>
  </si>
  <si>
    <t>広告有固-工具器具及び備品-運搬具-定率04年</t>
  </si>
  <si>
    <t>22500805</t>
  </si>
  <si>
    <t>広告有固-工具器具及び備品-運搬具-定率03年</t>
  </si>
  <si>
    <t>22500806</t>
  </si>
  <si>
    <t>広告有固-工具器具及び備品-運搬具-定率02年</t>
  </si>
  <si>
    <t>23000901</t>
  </si>
  <si>
    <t>広告有固-リース資産-土地</t>
  </si>
  <si>
    <t>23000902</t>
  </si>
  <si>
    <t>広告有固-リース資産-建物</t>
  </si>
  <si>
    <t>23000903</t>
  </si>
  <si>
    <t>広告有固-リース資産-構築物</t>
  </si>
  <si>
    <t>23000904</t>
  </si>
  <si>
    <t>広告有固-リース資産-車両</t>
  </si>
  <si>
    <t>23000905</t>
  </si>
  <si>
    <t>広告有固-リース資産-機械装置</t>
  </si>
  <si>
    <t>23000906</t>
  </si>
  <si>
    <t>広告有固-リース資産-工具器具及び備品</t>
  </si>
  <si>
    <t>29901001</t>
  </si>
  <si>
    <t>広告有固-雑施設</t>
  </si>
  <si>
    <t>30100101</t>
  </si>
  <si>
    <t>不動産有固-土地-事務所</t>
  </si>
  <si>
    <t>30100201</t>
  </si>
  <si>
    <t>不動産有固-土地-店舗</t>
  </si>
  <si>
    <t>30199901</t>
  </si>
  <si>
    <t>不動産有固-土地-その他</t>
  </si>
  <si>
    <t>30500301</t>
  </si>
  <si>
    <t>不動産有固-建物-事務所-定額50年</t>
  </si>
  <si>
    <t>30500302</t>
  </si>
  <si>
    <t>不動産有固-建物-事務所-定額41年</t>
  </si>
  <si>
    <t>30500303</t>
  </si>
  <si>
    <t>不動産有固-建物-事務所-定額38年</t>
  </si>
  <si>
    <t>30500304</t>
  </si>
  <si>
    <t>不動産有固-建物-事務所-定額30年</t>
  </si>
  <si>
    <t>30500305</t>
  </si>
  <si>
    <t>不動産有固-建物-事務所-定額22年</t>
  </si>
  <si>
    <t>30500306</t>
  </si>
  <si>
    <t>不動産有固-建物-事務所-定額24年</t>
  </si>
  <si>
    <t>30500307</t>
  </si>
  <si>
    <t>30500308</t>
  </si>
  <si>
    <t>不動産有固-建物-事務所-定額10年</t>
  </si>
  <si>
    <t>30500309</t>
  </si>
  <si>
    <t>不動産有固-建物-事務所-定額07年</t>
  </si>
  <si>
    <t>30500310</t>
  </si>
  <si>
    <t>不動産有固-建物付属設備-事務所-定率18年</t>
  </si>
  <si>
    <t>30500311</t>
  </si>
  <si>
    <t>不動産有固-建物付属設備-事務所-定率17年</t>
  </si>
  <si>
    <t>30500312</t>
  </si>
  <si>
    <t>不動産有固-建物付属設備-事務所-定率15年</t>
  </si>
  <si>
    <t>30500313</t>
  </si>
  <si>
    <t>不動産有固-建物付属設備-事務所-定率13年</t>
  </si>
  <si>
    <t>30500314</t>
  </si>
  <si>
    <t>不動産有固-建物付属設備-事務所-定率12年</t>
  </si>
  <si>
    <t>30500315</t>
  </si>
  <si>
    <t>不動産有固-建物付属設備-事務所-定率10年</t>
  </si>
  <si>
    <t>30500316</t>
  </si>
  <si>
    <t>不動産有固-建物付属設備-事務所-定率08年</t>
  </si>
  <si>
    <t>30500317</t>
  </si>
  <si>
    <t>不動産有固-建物付属設備-事務所-定率03年</t>
  </si>
  <si>
    <t>30500401</t>
  </si>
  <si>
    <t>不動産有固-建物-店舗-定額39年</t>
  </si>
  <si>
    <t>30500402</t>
  </si>
  <si>
    <t>不動産有固-建物-店舗-定額38年</t>
  </si>
  <si>
    <t>30500403</t>
  </si>
  <si>
    <t>不動産有固-建物-店舗-定額34年</t>
  </si>
  <si>
    <t>30500404</t>
  </si>
  <si>
    <t>不動産有固-建物-店舗-定額27年</t>
  </si>
  <si>
    <t>30500405</t>
  </si>
  <si>
    <t>不動産有固-建物-店舗-定額19年</t>
  </si>
  <si>
    <t>30500406</t>
  </si>
  <si>
    <t>不動産有固-建物-店舗-定額22年</t>
  </si>
  <si>
    <t>30500407</t>
  </si>
  <si>
    <t>不動産有固-建物-店舗-定額20年</t>
  </si>
  <si>
    <t>30500408</t>
  </si>
  <si>
    <t>不動産有固-建物-店舗-定額10年</t>
  </si>
  <si>
    <t>30500409</t>
  </si>
  <si>
    <t>不動産有固-建物-店舗-定額07年</t>
  </si>
  <si>
    <t>30500410</t>
  </si>
  <si>
    <t>不動産有固-建物付属設備-店舗-定率18年</t>
  </si>
  <si>
    <t>30500411</t>
  </si>
  <si>
    <t>不動産有固-建物付属設備-店舗-定率17年</t>
  </si>
  <si>
    <t>30500412</t>
  </si>
  <si>
    <t>不動産有固-建物付属設備-店舗-定率15年</t>
  </si>
  <si>
    <t>30500413</t>
  </si>
  <si>
    <t>不動産有固-建物付属設備-店舗-定率13年</t>
  </si>
  <si>
    <t>30500414</t>
  </si>
  <si>
    <t>不動産有固-建物付属設備-店舗-定率12年</t>
  </si>
  <si>
    <t>30500415</t>
  </si>
  <si>
    <t>不動産有固-建物付属設備-店舗-定率10年</t>
  </si>
  <si>
    <t>30500416</t>
  </si>
  <si>
    <t>不動産有固-建物付属設備-店舗-定率08年</t>
  </si>
  <si>
    <t>30500417</t>
  </si>
  <si>
    <t>不動産有固-建物付属設備-店舗-定率03年</t>
  </si>
  <si>
    <t>30599901</t>
  </si>
  <si>
    <t>不動産有固-建物-その他-定額50年</t>
  </si>
  <si>
    <t>30599902</t>
  </si>
  <si>
    <t>不動産有固-建物-その他-定額47年</t>
  </si>
  <si>
    <t>30599903</t>
  </si>
  <si>
    <t>不動産有固-建物-その他-定額41年</t>
  </si>
  <si>
    <t>30599904</t>
  </si>
  <si>
    <t>不動産有固-建物-その他-定額39年</t>
  </si>
  <si>
    <t>30599905</t>
  </si>
  <si>
    <t>不動産有固-建物-その他-定額38年</t>
  </si>
  <si>
    <t>30599906</t>
  </si>
  <si>
    <t>不動産有固-建物-その他-定額36年</t>
  </si>
  <si>
    <t>30599907</t>
  </si>
  <si>
    <t>不動産有固-建物-その他-定額34年</t>
  </si>
  <si>
    <t>30599908</t>
  </si>
  <si>
    <t>不動産有固-建物-その他-定額31年</t>
  </si>
  <si>
    <t>30599909</t>
  </si>
  <si>
    <t>不動産有固-建物-その他-定額30年</t>
  </si>
  <si>
    <t>30599910</t>
  </si>
  <si>
    <t>不動産有固-建物-その他-定額29年</t>
  </si>
  <si>
    <t>30599911</t>
  </si>
  <si>
    <t>不動産有固-建物-その他-定額28年</t>
  </si>
  <si>
    <t>30599912</t>
  </si>
  <si>
    <t>不動産有固-建物-その他-定額27年</t>
  </si>
  <si>
    <t>30599913</t>
  </si>
  <si>
    <t>不動産有固-建物-その他-定額26年</t>
  </si>
  <si>
    <t>30599914</t>
  </si>
  <si>
    <t>不動産有固-建物-その他-定額25年</t>
  </si>
  <si>
    <t>30599915</t>
  </si>
  <si>
    <t>不動産有固-建物-その他-定額24年</t>
  </si>
  <si>
    <t>30599916</t>
  </si>
  <si>
    <t>不動産有固-建物-その他-定額22年</t>
  </si>
  <si>
    <t>30599917</t>
  </si>
  <si>
    <t>不動産有固-建物-その他-定額21年</t>
  </si>
  <si>
    <t>30599918</t>
  </si>
  <si>
    <t>不動産有固-建物-その他-定額20年</t>
  </si>
  <si>
    <t>30599919</t>
  </si>
  <si>
    <t>不動産有固-建物-その他-定額19年</t>
  </si>
  <si>
    <t>30599920</t>
  </si>
  <si>
    <t>不動産有固-建物-その他-定額17年</t>
  </si>
  <si>
    <t>30599921</t>
  </si>
  <si>
    <t>不動産有固-建物-その他-定額15年</t>
  </si>
  <si>
    <t>30599922</t>
  </si>
  <si>
    <t>不動産有固-建物-その他-定額14年</t>
  </si>
  <si>
    <t>30599923</t>
  </si>
  <si>
    <t>不動産有固-建物-その他-定額12年</t>
  </si>
  <si>
    <t>30599924</t>
  </si>
  <si>
    <t>不動産有固-建物-その他-定額11年</t>
  </si>
  <si>
    <t>30599925</t>
  </si>
  <si>
    <t>不動産有固-建物-その他-定額10年</t>
  </si>
  <si>
    <t>30599926</t>
  </si>
  <si>
    <t>不動産有固-建物-その他-定額09年</t>
  </si>
  <si>
    <t>30599927</t>
  </si>
  <si>
    <t>不動産有固-建物-その他-定額07年</t>
  </si>
  <si>
    <t>30599928</t>
  </si>
  <si>
    <t>不動産有固-建物付属設備-その他-定率18年</t>
  </si>
  <si>
    <t>30599929</t>
  </si>
  <si>
    <t>不動産有固-建物付属設備-その他-定率17年</t>
  </si>
  <si>
    <t>30599930</t>
  </si>
  <si>
    <t>不動産有固-建物付属設備-その他-定率15年</t>
  </si>
  <si>
    <t>30599931</t>
  </si>
  <si>
    <t>不動産有固-建物付属設備-その他-定率13年</t>
  </si>
  <si>
    <t>30599932</t>
  </si>
  <si>
    <t>不動産有固-建物付属設備-その他-定率12年</t>
  </si>
  <si>
    <t>30599933</t>
  </si>
  <si>
    <t>不動産有固-建物付属設備-その他-定率10年</t>
  </si>
  <si>
    <t>30599934</t>
  </si>
  <si>
    <t>不動産有固-建物付属設備-その他-定率08年</t>
  </si>
  <si>
    <t>30599935</t>
  </si>
  <si>
    <t>不動産有固-建物付属設備-その他-定率03年</t>
  </si>
  <si>
    <t>31000501</t>
  </si>
  <si>
    <t>不動産有固-構築物-定率80年</t>
  </si>
  <si>
    <t>31000502</t>
  </si>
  <si>
    <t>不動産有固-構築物-定率75年</t>
  </si>
  <si>
    <t>31000503</t>
  </si>
  <si>
    <t>不動産有固-構築物-定率60年</t>
  </si>
  <si>
    <t>31000504</t>
  </si>
  <si>
    <t>不動産有固-構築物-定率57年</t>
  </si>
  <si>
    <t>31000505</t>
  </si>
  <si>
    <t>不動産有固-構築物-定率50年</t>
  </si>
  <si>
    <t>31000506</t>
  </si>
  <si>
    <t>不動産有固-構築物-定率45年</t>
  </si>
  <si>
    <t>31000507</t>
  </si>
  <si>
    <t>不動産有固-構築物-定率42年</t>
  </si>
  <si>
    <t>31000508</t>
  </si>
  <si>
    <t>不動産有固-構築物-定率41年</t>
  </si>
  <si>
    <t>31000509</t>
  </si>
  <si>
    <t>不動産有固-構築物-定率40年</t>
  </si>
  <si>
    <t>31000510</t>
  </si>
  <si>
    <t>不動産有固-構築物-定率36年</t>
  </si>
  <si>
    <t>31000511</t>
  </si>
  <si>
    <t>不動産有固-構築物-定率35年</t>
  </si>
  <si>
    <t>31000512</t>
  </si>
  <si>
    <t>不動産有固-構築物-定率34年</t>
  </si>
  <si>
    <t>31000513</t>
  </si>
  <si>
    <t>不動産有固-構築物-定率32年</t>
  </si>
  <si>
    <t>31000514</t>
  </si>
  <si>
    <t>不動産有固-構築物-定率30年</t>
  </si>
  <si>
    <t>31000515</t>
  </si>
  <si>
    <t>不動産有固-構築物-定率27年</t>
  </si>
  <si>
    <t>31000516</t>
  </si>
  <si>
    <t>不動産有固-構築物-定率25年</t>
  </si>
  <si>
    <t>31000517</t>
  </si>
  <si>
    <t>不動産有固-構築物-定率24年</t>
  </si>
  <si>
    <t>31000518</t>
  </si>
  <si>
    <t>不動産有固-構築物-定率22年</t>
  </si>
  <si>
    <t>31000519</t>
  </si>
  <si>
    <t>不動産有固-構築物-定率21年</t>
  </si>
  <si>
    <t>31000520</t>
  </si>
  <si>
    <t>不動産有固-構築物-定率20年</t>
  </si>
  <si>
    <t>31000521</t>
  </si>
  <si>
    <t>不動産有固-構築物-定率19年</t>
  </si>
  <si>
    <t>31000522</t>
  </si>
  <si>
    <t>不動産有固-構築物-定率17年</t>
  </si>
  <si>
    <t>31000523</t>
  </si>
  <si>
    <t>不動産有固-構築物-定率16年</t>
  </si>
  <si>
    <t>31000524</t>
  </si>
  <si>
    <t>不動産有固-構築物-定率15年</t>
  </si>
  <si>
    <t>31000525</t>
  </si>
  <si>
    <t>不動産有固-構築物-定率14年</t>
  </si>
  <si>
    <t>31000526</t>
  </si>
  <si>
    <t>不動産有固-構築物-定率13年</t>
  </si>
  <si>
    <t>31000527</t>
  </si>
  <si>
    <t>不動産有固-構築物-定率12年</t>
  </si>
  <si>
    <t>31000528</t>
  </si>
  <si>
    <t>不動産有固-構築物-定率10年</t>
  </si>
  <si>
    <t>31000529</t>
  </si>
  <si>
    <t>不動産有固-構築物-定率08年</t>
  </si>
  <si>
    <t>31000530</t>
  </si>
  <si>
    <t>不動産有固-構築物-定率07年</t>
  </si>
  <si>
    <t>31000531</t>
  </si>
  <si>
    <t>不動産有固-構築物-定率05年</t>
  </si>
  <si>
    <t>31000532</t>
  </si>
  <si>
    <t>不動産有固-構築物-定率03年</t>
  </si>
  <si>
    <t>32000601</t>
  </si>
  <si>
    <t>不動産有固-機械装置-定率22年</t>
  </si>
  <si>
    <t>32000602</t>
  </si>
  <si>
    <t>不動産有固-機械装置-定率20年</t>
  </si>
  <si>
    <t>32000603</t>
  </si>
  <si>
    <t>不動産有固-機械装置-定率18年</t>
  </si>
  <si>
    <t>32000604</t>
  </si>
  <si>
    <t>不動産有固-機械装置-定率17年</t>
  </si>
  <si>
    <t>32000605</t>
  </si>
  <si>
    <t>不動産有固-機械装置-定率15年</t>
  </si>
  <si>
    <t>32000606</t>
  </si>
  <si>
    <t>不動産有固-機械装置-定率14年</t>
  </si>
  <si>
    <t>32000607</t>
  </si>
  <si>
    <t>不動産有固-機械装置-定率13年</t>
  </si>
  <si>
    <t>32000608</t>
  </si>
  <si>
    <t>不動産有固-機械装置-定率12年</t>
  </si>
  <si>
    <t>32000609</t>
  </si>
  <si>
    <t>不動産有固-機械装置-定率11年</t>
  </si>
  <si>
    <t>32000610</t>
  </si>
  <si>
    <t>不動産有固-機械装置-定率10年</t>
  </si>
  <si>
    <t>32000611</t>
  </si>
  <si>
    <t>不動産有固-機械装置-定率09年</t>
  </si>
  <si>
    <t>32000612</t>
  </si>
  <si>
    <t>不動産有固-機械装置-定率08年</t>
  </si>
  <si>
    <t>32000613</t>
  </si>
  <si>
    <t>不動産有固-機械装置-定率07年</t>
  </si>
  <si>
    <t>32000614</t>
  </si>
  <si>
    <t>不動産有固-機械装置-定率06年</t>
  </si>
  <si>
    <t>32000615</t>
  </si>
  <si>
    <t>不動産有固-機械装置-定率05年</t>
  </si>
  <si>
    <t>32000616</t>
  </si>
  <si>
    <t>不動産有固-機械装置-定率04年</t>
  </si>
  <si>
    <t>32000617</t>
  </si>
  <si>
    <t>不動産有固-機械装置-定率03年</t>
  </si>
  <si>
    <t>32500701</t>
  </si>
  <si>
    <t>不動産有固-工具器具及び備品-工器備-定率13年</t>
  </si>
  <si>
    <t>32500702</t>
  </si>
  <si>
    <t>不動産有固-工具器具及び備品-工器備-定率08年</t>
  </si>
  <si>
    <t>32500703</t>
  </si>
  <si>
    <t>不動産有固-工具器具及び備品-工器備-定率05年</t>
  </si>
  <si>
    <t>32500704</t>
  </si>
  <si>
    <t>不動産有固-工具器具及び備品-工器備-定率04年</t>
  </si>
  <si>
    <t>32500705</t>
  </si>
  <si>
    <t>不動産有固-工具器具及び備品-工器備-定率03年</t>
  </si>
  <si>
    <t>32500706</t>
  </si>
  <si>
    <t>不動産有固-工具器具及び備品-工器備-定率02年</t>
  </si>
  <si>
    <t>32500707</t>
  </si>
  <si>
    <t>不動産有固-工具器具及び備品-工器備-定率20年</t>
  </si>
  <si>
    <t>32500708</t>
  </si>
  <si>
    <t>不動産有固-工具器具及び備品-工器備-定率15年</t>
  </si>
  <si>
    <t>32500709</t>
  </si>
  <si>
    <t>不動産有固-工具器具及び備品-工器備-定率10年</t>
  </si>
  <si>
    <t>32500710</t>
  </si>
  <si>
    <t>32500711</t>
  </si>
  <si>
    <t>不動産有固-工具器具及び備品-工器備-定率07年</t>
  </si>
  <si>
    <t>32500712</t>
  </si>
  <si>
    <t>不動産有固-工具器具及び備品-工器備-定率06年</t>
  </si>
  <si>
    <t>32500713</t>
  </si>
  <si>
    <t>32500714</t>
  </si>
  <si>
    <t>32500715</t>
  </si>
  <si>
    <t>32500716</t>
  </si>
  <si>
    <t>32500801</t>
  </si>
  <si>
    <t>不動産有固-工具器具及び備品-運搬具-定率07年</t>
  </si>
  <si>
    <t>32500802</t>
  </si>
  <si>
    <t>不動産有固-工具器具及び備品-運搬具-定率06年</t>
  </si>
  <si>
    <t>32500803</t>
  </si>
  <si>
    <t>不動産有固-工具器具及び備品-運搬具-定率05年</t>
  </si>
  <si>
    <t>32500804</t>
  </si>
  <si>
    <t>不動産有固-工具器具及び備品-運搬具-定率04年</t>
  </si>
  <si>
    <t>32500805</t>
  </si>
  <si>
    <t>不動産有固-工具器具及び備品-運搬具-定率03年</t>
  </si>
  <si>
    <t>32500806</t>
  </si>
  <si>
    <t>不動産有固-工具器具及び備品-運搬具-定率02年</t>
  </si>
  <si>
    <t>33000901</t>
  </si>
  <si>
    <t>不動産有固-リース資産-土地</t>
  </si>
  <si>
    <t>33000902</t>
  </si>
  <si>
    <t>不動産有固-リース資産-建物</t>
  </si>
  <si>
    <t>33000903</t>
  </si>
  <si>
    <t>不動産有固-リース資産-構築物</t>
  </si>
  <si>
    <t>33000904</t>
  </si>
  <si>
    <t>不動産有固-リース資産-車両</t>
  </si>
  <si>
    <t>33000905</t>
  </si>
  <si>
    <t>不動産有固-リース資産-機械装置</t>
  </si>
  <si>
    <t>33000906</t>
  </si>
  <si>
    <t>不動産有固-リース資産-工具器具及び備品</t>
  </si>
  <si>
    <t>39901001</t>
  </si>
  <si>
    <t>不動産有固-雑施設</t>
  </si>
  <si>
    <t>40100101</t>
  </si>
  <si>
    <t>流通有固-土地-事務所</t>
  </si>
  <si>
    <t>40100201</t>
  </si>
  <si>
    <t>流通有固-土地-店舗</t>
  </si>
  <si>
    <t>40199901</t>
  </si>
  <si>
    <t>流通有固-土地-その他</t>
  </si>
  <si>
    <t>40500301</t>
  </si>
  <si>
    <t>流通有固-建物-事務所-定額50年</t>
  </si>
  <si>
    <t>40500302</t>
  </si>
  <si>
    <t>流通有固-建物-事務所-定額41年</t>
  </si>
  <si>
    <t>40500303</t>
  </si>
  <si>
    <t>流通有固-建物-事務所-定額38年</t>
  </si>
  <si>
    <t>40500304</t>
  </si>
  <si>
    <t>流通有固-建物-事務所-定額30年</t>
  </si>
  <si>
    <t>40500305</t>
  </si>
  <si>
    <t>流通有固-建物-事務所-定額22年</t>
  </si>
  <si>
    <t>40500306</t>
  </si>
  <si>
    <t>流通有固-建物-事務所-定額24年</t>
  </si>
  <si>
    <t>40500307</t>
  </si>
  <si>
    <t>40500308</t>
  </si>
  <si>
    <t>流通有固-建物-事務所-定額10年</t>
  </si>
  <si>
    <t>40500309</t>
  </si>
  <si>
    <t>流通有固-建物-事務所-定額07年</t>
  </si>
  <si>
    <t>40500310</t>
  </si>
  <si>
    <t>流通有固-建物付属設備-事務所-定率18年</t>
  </si>
  <si>
    <t>40500311</t>
  </si>
  <si>
    <t>流通有固-建物付属設備-事務所-定率17年</t>
  </si>
  <si>
    <t>40500312</t>
  </si>
  <si>
    <t>流通有固-建物付属設備-事務所-定率15年</t>
  </si>
  <si>
    <t>40500313</t>
  </si>
  <si>
    <t>流通有固-建物付属設備-事務所-定率13年</t>
  </si>
  <si>
    <t>40500314</t>
  </si>
  <si>
    <t>流通有固-建物付属設備-事務所-定率12年</t>
  </si>
  <si>
    <t>40500315</t>
  </si>
  <si>
    <t>流通有固-建物付属設備-事務所-定率10年</t>
  </si>
  <si>
    <t>40500316</t>
  </si>
  <si>
    <t>流通有固-建物付属設備-事務所-定率08年</t>
  </si>
  <si>
    <t>40500317</t>
  </si>
  <si>
    <t>流通有固-建物付属設備-事務所-定率03年</t>
  </si>
  <si>
    <t>40500401</t>
  </si>
  <si>
    <t>流通有固-建物-店舗-定額39年</t>
  </si>
  <si>
    <t>40500402</t>
  </si>
  <si>
    <t>流通有固-建物-店舗-定額38年</t>
  </si>
  <si>
    <t>40500403</t>
  </si>
  <si>
    <t>流通有固-建物-店舗-定額34年</t>
  </si>
  <si>
    <t>40500404</t>
  </si>
  <si>
    <t>流通有固-建物-店舗-定額27年</t>
  </si>
  <si>
    <t>40500405</t>
  </si>
  <si>
    <t>流通有固-建物-店舗-定額19年</t>
  </si>
  <si>
    <t>40500406</t>
  </si>
  <si>
    <t>流通有固-建物-店舗-定額22年</t>
  </si>
  <si>
    <t>40500407</t>
  </si>
  <si>
    <t>流通有固-建物-店舗-定額20年</t>
  </si>
  <si>
    <t>40500408</t>
  </si>
  <si>
    <t>流通有固-建物-店舗-定額10年</t>
  </si>
  <si>
    <t>40500409</t>
  </si>
  <si>
    <t>流通有固-建物-店舗-定額07年</t>
  </si>
  <si>
    <t>40500410</t>
  </si>
  <si>
    <t>流通有固-建物付属設備-店舗-定率18年</t>
  </si>
  <si>
    <t>40500411</t>
  </si>
  <si>
    <t>流通有固-建物付属設備-店舗-定率17年</t>
  </si>
  <si>
    <t>40500412</t>
  </si>
  <si>
    <t>流通有固-建物付属設備-店舗-定率15年</t>
  </si>
  <si>
    <t>40500413</t>
  </si>
  <si>
    <t>流通有固-建物付属設備-店舗-定率13年</t>
  </si>
  <si>
    <t>40500414</t>
  </si>
  <si>
    <t>流通有固-建物付属設備-店舗-定率12年</t>
  </si>
  <si>
    <t>40500415</t>
  </si>
  <si>
    <t>流通有固-建物付属設備-店舗-定率10年</t>
  </si>
  <si>
    <t>40500416</t>
  </si>
  <si>
    <t>流通有固-建物付属設備-店舗-定率08年</t>
  </si>
  <si>
    <t>40500417</t>
  </si>
  <si>
    <t>流通有固-建物付属設備-店舗-定率03年</t>
  </si>
  <si>
    <t>40599901</t>
  </si>
  <si>
    <t>流通有固-建物-その他-定額50年</t>
  </si>
  <si>
    <t>40599902</t>
  </si>
  <si>
    <t>流通有固-建物-その他-定額47年</t>
  </si>
  <si>
    <t>40599903</t>
  </si>
  <si>
    <t>流通有固-建物-その他-定額41年</t>
  </si>
  <si>
    <t>40599904</t>
  </si>
  <si>
    <t>流通有固-建物-その他-定額39年</t>
  </si>
  <si>
    <t>40599905</t>
  </si>
  <si>
    <t>流通有固-建物-その他-定額38年</t>
  </si>
  <si>
    <t>40599906</t>
  </si>
  <si>
    <t>流通有固-建物-その他-定額36年</t>
  </si>
  <si>
    <t>40599907</t>
  </si>
  <si>
    <t>流通有固-建物-その他-定額34年</t>
  </si>
  <si>
    <t>40599908</t>
  </si>
  <si>
    <t>流通有固-建物-その他-定額31年</t>
  </si>
  <si>
    <t>40599909</t>
  </si>
  <si>
    <t>流通有固-建物-その他-定額30年</t>
  </si>
  <si>
    <t>40599910</t>
  </si>
  <si>
    <t>流通有固-建物-その他-定額29年</t>
  </si>
  <si>
    <t>40599911</t>
  </si>
  <si>
    <t>流通有固-建物-その他-定額28年</t>
  </si>
  <si>
    <t>40599912</t>
  </si>
  <si>
    <t>流通有固-建物-その他-定額27年</t>
  </si>
  <si>
    <t>40599913</t>
  </si>
  <si>
    <t>流通有固-建物-その他-定額26年</t>
  </si>
  <si>
    <t>40599914</t>
  </si>
  <si>
    <t>流通有固-建物-その他-定額25年</t>
  </si>
  <si>
    <t>40599915</t>
  </si>
  <si>
    <t>流通有固-建物-その他-定額24年</t>
  </si>
  <si>
    <t>40599916</t>
  </si>
  <si>
    <t>流通有固-建物-その他-定額22年</t>
  </si>
  <si>
    <t>40599917</t>
  </si>
  <si>
    <t>流通有固-建物-その他-定額21年</t>
  </si>
  <si>
    <t>40599918</t>
  </si>
  <si>
    <t>流通有固-建物-その他-定額20年</t>
  </si>
  <si>
    <t>40599919</t>
  </si>
  <si>
    <t>流通有固-建物-その他-定額19年</t>
  </si>
  <si>
    <t>40599920</t>
  </si>
  <si>
    <t>流通有固-建物-その他-定額17年</t>
  </si>
  <si>
    <t>40599921</t>
  </si>
  <si>
    <t>流通有固-建物-その他-定額15年</t>
  </si>
  <si>
    <t>40599922</t>
  </si>
  <si>
    <t>流通有固-建物-その他-定額14年</t>
  </si>
  <si>
    <t>40599923</t>
  </si>
  <si>
    <t>流通有固-建物-その他-定額12年</t>
  </si>
  <si>
    <t>40599924</t>
  </si>
  <si>
    <t>流通有固-建物-その他-定額11年</t>
  </si>
  <si>
    <t>40599925</t>
  </si>
  <si>
    <t>流通有固-建物-その他-定額10年</t>
  </si>
  <si>
    <t>40599926</t>
  </si>
  <si>
    <t>流通有固-建物-その他-定額09年</t>
  </si>
  <si>
    <t>40599927</t>
  </si>
  <si>
    <t>流通有固-建物-その他-定額07年</t>
  </si>
  <si>
    <t>40599928</t>
  </si>
  <si>
    <t>流通有固-建物付属設備-その他-定率18年</t>
  </si>
  <si>
    <t>40599929</t>
  </si>
  <si>
    <t>流通有固-建物付属設備-その他-定率17年</t>
  </si>
  <si>
    <t>40599930</t>
  </si>
  <si>
    <t>流通有固-建物付属設備-その他-定率15年</t>
  </si>
  <si>
    <t>40599931</t>
  </si>
  <si>
    <t>流通有固-建物付属設備-その他-定率13年</t>
  </si>
  <si>
    <t>40599932</t>
  </si>
  <si>
    <t>流通有固-建物付属設備-その他-定率12年</t>
  </si>
  <si>
    <t>40599933</t>
  </si>
  <si>
    <t>流通有固-建物付属設備-その他-定率10年</t>
  </si>
  <si>
    <t>40599934</t>
  </si>
  <si>
    <t>流通有固-建物付属設備-その他-定率08年</t>
  </si>
  <si>
    <t>40599935</t>
  </si>
  <si>
    <t>流通有固-建物付属設備-その他-定率03年</t>
  </si>
  <si>
    <t>41000501</t>
  </si>
  <si>
    <t>流通有固-構築物-定率80年</t>
  </si>
  <si>
    <t>41000502</t>
  </si>
  <si>
    <t>流通有固-構築物-定率75年</t>
  </si>
  <si>
    <t>41000503</t>
  </si>
  <si>
    <t>流通有固-構築物-定率60年</t>
  </si>
  <si>
    <t>41000504</t>
  </si>
  <si>
    <t>流通有固-構築物-定率57年</t>
  </si>
  <si>
    <t>41000505</t>
  </si>
  <si>
    <t>流通有固-構築物-定率50年</t>
  </si>
  <si>
    <t>41000506</t>
  </si>
  <si>
    <t>流通有固-構築物-定率45年</t>
  </si>
  <si>
    <t>41000507</t>
  </si>
  <si>
    <t>流通有固-構築物-定率42年</t>
  </si>
  <si>
    <t>41000508</t>
  </si>
  <si>
    <t>流通有固-構築物-定率41年</t>
  </si>
  <si>
    <t>41000509</t>
  </si>
  <si>
    <t>流通有固-構築物-定率40年</t>
  </si>
  <si>
    <t>41000510</t>
  </si>
  <si>
    <t>流通有固-構築物-定率36年</t>
  </si>
  <si>
    <t>41000511</t>
  </si>
  <si>
    <t>流通有固-構築物-定率35年</t>
  </si>
  <si>
    <t>41000512</t>
  </si>
  <si>
    <t>流通有固-構築物-定率34年</t>
  </si>
  <si>
    <t>41000513</t>
  </si>
  <si>
    <t>流通有固-構築物-定率32年</t>
  </si>
  <si>
    <t>41000514</t>
  </si>
  <si>
    <t>流通有固-構築物-定率30年</t>
  </si>
  <si>
    <t>41000515</t>
  </si>
  <si>
    <t>流通有固-構築物-定率27年</t>
  </si>
  <si>
    <t>41000516</t>
  </si>
  <si>
    <t>流通有固-構築物-定率25年</t>
  </si>
  <si>
    <t>41000517</t>
  </si>
  <si>
    <t>流通有固-構築物-定率24年</t>
  </si>
  <si>
    <t>41000518</t>
  </si>
  <si>
    <t>流通有固-構築物-定率22年</t>
  </si>
  <si>
    <t>41000519</t>
  </si>
  <si>
    <t>流通有固-構築物-定率21年</t>
  </si>
  <si>
    <t>41000520</t>
  </si>
  <si>
    <t>流通有固-構築物-定率20年</t>
  </si>
  <si>
    <t>41000521</t>
  </si>
  <si>
    <t>流通有固-構築物-定率19年</t>
  </si>
  <si>
    <t>41000522</t>
  </si>
  <si>
    <t>流通有固-構築物-定率17年</t>
  </si>
  <si>
    <t>41000523</t>
  </si>
  <si>
    <t>流通有固-構築物-定率16年</t>
  </si>
  <si>
    <t>41000524</t>
  </si>
  <si>
    <t>流通有固-構築物-定率15年</t>
  </si>
  <si>
    <t>41000525</t>
  </si>
  <si>
    <t>流通有固-構築物-定率14年</t>
  </si>
  <si>
    <t>41000526</t>
  </si>
  <si>
    <t>流通有固-構築物-定率13年</t>
  </si>
  <si>
    <t>41000527</t>
  </si>
  <si>
    <t>流通有固-構築物-定率12年</t>
  </si>
  <si>
    <t>41000528</t>
  </si>
  <si>
    <t>流通有固-構築物-定率10年</t>
  </si>
  <si>
    <t>41000529</t>
  </si>
  <si>
    <t>流通有固-構築物-定率08年</t>
  </si>
  <si>
    <t>41000530</t>
  </si>
  <si>
    <t>流通有固-構築物-定率07年</t>
  </si>
  <si>
    <t>41000531</t>
  </si>
  <si>
    <t>流通有固-構築物-定率05年</t>
  </si>
  <si>
    <t>41000532</t>
  </si>
  <si>
    <t>流通有固-構築物-定率03年</t>
  </si>
  <si>
    <t>42000601</t>
  </si>
  <si>
    <t>流通有固-機械装置-定率22年</t>
  </si>
  <si>
    <t>42000602</t>
  </si>
  <si>
    <t>流通有固-機械装置-定率20年</t>
  </si>
  <si>
    <t>42000603</t>
  </si>
  <si>
    <t>流通有固-機械装置-定率18年</t>
  </si>
  <si>
    <t>42000604</t>
  </si>
  <si>
    <t>流通有固-機械装置-定率17年</t>
  </si>
  <si>
    <t>42000605</t>
  </si>
  <si>
    <t>流通有固-機械装置-定率15年</t>
  </si>
  <si>
    <t>42000606</t>
  </si>
  <si>
    <t>流通有固-機械装置-定率14年</t>
  </si>
  <si>
    <t>42000607</t>
  </si>
  <si>
    <t>流通有固-機械装置-定率13年</t>
  </si>
  <si>
    <t>42000608</t>
  </si>
  <si>
    <t>流通有固-機械装置-定率12年</t>
  </si>
  <si>
    <t>42000609</t>
  </si>
  <si>
    <t>流通有固-機械装置-定率11年</t>
  </si>
  <si>
    <t>42000610</t>
  </si>
  <si>
    <t>流通有固-機械装置-定率10年</t>
  </si>
  <si>
    <t>42000611</t>
  </si>
  <si>
    <t>流通有固-機械装置-定率09年</t>
  </si>
  <si>
    <t>42000612</t>
  </si>
  <si>
    <t>流通有固-機械装置-定率08年</t>
  </si>
  <si>
    <t>42000613</t>
  </si>
  <si>
    <t>流通有固-機械装置-定率07年</t>
  </si>
  <si>
    <t>42000614</t>
  </si>
  <si>
    <t>流通有固-機械装置-定率06年</t>
  </si>
  <si>
    <t>42000615</t>
  </si>
  <si>
    <t>流通有固-機械装置-定率05年</t>
  </si>
  <si>
    <t>42000616</t>
  </si>
  <si>
    <t>流通有固-機械装置-定率04年</t>
  </si>
  <si>
    <t>42000617</t>
  </si>
  <si>
    <t>流通有固-機械装置-定率03年</t>
  </si>
  <si>
    <t>42500701</t>
  </si>
  <si>
    <t>流通有固-工具器具及び備品-工器備-定率13年</t>
  </si>
  <si>
    <t>42500702</t>
  </si>
  <si>
    <t>流通有固-工具器具及び備品-工器備-定率08年</t>
  </si>
  <si>
    <t>42500703</t>
  </si>
  <si>
    <t>流通有固-工具器具及び備品-工器備-定率05年</t>
  </si>
  <si>
    <t>42500704</t>
  </si>
  <si>
    <t>流通有固-工具器具及び備品-工器備-定率04年</t>
  </si>
  <si>
    <t>42500705</t>
  </si>
  <si>
    <t>流通有固-工具器具及び備品-工器備-定率03年</t>
  </si>
  <si>
    <t>42500706</t>
  </si>
  <si>
    <t>流通有固-工具器具及び備品-工器備-定率02年</t>
  </si>
  <si>
    <t>42500707</t>
  </si>
  <si>
    <t>流通有固-工具器具及び備品-工器備-定率20年</t>
  </si>
  <si>
    <t>42500708</t>
  </si>
  <si>
    <t>流通有固-工具器具及び備品-工器備-定率15年</t>
  </si>
  <si>
    <t>42500709</t>
  </si>
  <si>
    <t>流通有固-工具器具及び備品-工器備-定率10年</t>
  </si>
  <si>
    <t>42500710</t>
  </si>
  <si>
    <t>42500711</t>
  </si>
  <si>
    <t>流通有固-工具器具及び備品-工器備-定率07年</t>
  </si>
  <si>
    <t>42500712</t>
  </si>
  <si>
    <t>流通有固-工具器具及び備品-工器備-定率06年</t>
  </si>
  <si>
    <t>42500713</t>
  </si>
  <si>
    <t>42500714</t>
  </si>
  <si>
    <t>42500715</t>
  </si>
  <si>
    <t>42500716</t>
  </si>
  <si>
    <t>42500801</t>
  </si>
  <si>
    <t>流通有固-工具器具及び備品-運搬具-定率07年</t>
  </si>
  <si>
    <t>42500802</t>
  </si>
  <si>
    <t>流通有固-工具器具及び備品-運搬具-定率06年</t>
  </si>
  <si>
    <t>42500803</t>
  </si>
  <si>
    <t>流通有固-工具器具及び備品-運搬具-定率05年</t>
  </si>
  <si>
    <t>42500804</t>
  </si>
  <si>
    <t>流通有固-工具器具及び備品-運搬具-定率04年</t>
  </si>
  <si>
    <t>42500805</t>
  </si>
  <si>
    <t>流通有固-工具器具及び備品-運搬具-定率03年</t>
  </si>
  <si>
    <t>42500806</t>
  </si>
  <si>
    <t>流通有固-工具器具及び備品-運搬具-定率02年</t>
  </si>
  <si>
    <t>43000901</t>
  </si>
  <si>
    <t>流通有固-リース資産-土地</t>
  </si>
  <si>
    <t>43000902</t>
  </si>
  <si>
    <t>流通有固-リース資産-建物</t>
  </si>
  <si>
    <t>43000903</t>
  </si>
  <si>
    <t>流通有固-リース資産-構築物</t>
  </si>
  <si>
    <t>43000904</t>
  </si>
  <si>
    <t>流通有固-リース資産-車両</t>
  </si>
  <si>
    <t>43000905</t>
  </si>
  <si>
    <t>流通有固-リース資産-機械装置</t>
  </si>
  <si>
    <t>43000906</t>
  </si>
  <si>
    <t>流通有固-リース資産-工具器具及び備品</t>
  </si>
  <si>
    <t>49901001</t>
  </si>
  <si>
    <t>流通有固-雑施設</t>
  </si>
  <si>
    <t>50100101</t>
  </si>
  <si>
    <t>サービス有固-土地-事務所</t>
  </si>
  <si>
    <t>50100201</t>
  </si>
  <si>
    <t>サービス有固-土地-店舗</t>
  </si>
  <si>
    <t>50199901</t>
  </si>
  <si>
    <t>サービス有固-土地-その他</t>
  </si>
  <si>
    <t>50500301</t>
  </si>
  <si>
    <t>サービス有固-建物-事務所-定額50年</t>
  </si>
  <si>
    <t>50500302</t>
  </si>
  <si>
    <t>サービス有固-建物-事務所-定額41年</t>
  </si>
  <si>
    <t>50500303</t>
  </si>
  <si>
    <t>サービス有固-建物-事務所-定額38年</t>
  </si>
  <si>
    <t>50500304</t>
  </si>
  <si>
    <t>サービス有固-建物-事務所-定額30年</t>
  </si>
  <si>
    <t>50500305</t>
  </si>
  <si>
    <t>サービス有固-建物-事務所-定額22年</t>
  </si>
  <si>
    <t>50500306</t>
  </si>
  <si>
    <t>サービス有固-建物-事務所-定額24年</t>
  </si>
  <si>
    <t>50500307</t>
  </si>
  <si>
    <t>50500308</t>
  </si>
  <si>
    <t>サービス有固-建物-事務所-定額10年</t>
  </si>
  <si>
    <t>50500309</t>
  </si>
  <si>
    <t>サービス有固-建物-事務所-定額07年</t>
  </si>
  <si>
    <t>50500310</t>
  </si>
  <si>
    <t>サービス有固-建物付属設備-事務所-定率18年</t>
  </si>
  <si>
    <t>50500311</t>
  </si>
  <si>
    <t>サービス有固-建物付属設備-事務所-定率17年</t>
  </si>
  <si>
    <t>50500312</t>
  </si>
  <si>
    <t>サービス有固-事務所-定率15年</t>
  </si>
  <si>
    <t>50500313</t>
  </si>
  <si>
    <t>サービス有固-建物付属設備-事務所-定率13年</t>
  </si>
  <si>
    <t>50500314</t>
  </si>
  <si>
    <t>サービス有固-建物付属設備-事務所-定率12年</t>
  </si>
  <si>
    <t>50500315</t>
  </si>
  <si>
    <t>サービス有固-建物付属設備-事務所-定率10年</t>
  </si>
  <si>
    <t>50500316</t>
  </si>
  <si>
    <t>サービス有固-建物付属設備-事務所-定率08年</t>
  </si>
  <si>
    <t>50500317</t>
  </si>
  <si>
    <t>サービス有固-建物付属設備-事務所-定率03年</t>
  </si>
  <si>
    <t>50500401</t>
  </si>
  <si>
    <t>サービス有固-建物-店舗-定額39年</t>
  </si>
  <si>
    <t>50500402</t>
  </si>
  <si>
    <t>サービス有固-建物-店舗-定額38年</t>
  </si>
  <si>
    <t>50500403</t>
  </si>
  <si>
    <t>サービス有固-建物-店舗-定額34年</t>
  </si>
  <si>
    <t>50500404</t>
  </si>
  <si>
    <t>サービス有固-建物-店舗-定額27年</t>
  </si>
  <si>
    <t>50500405</t>
  </si>
  <si>
    <t>サービス有固-建物-店舗-定額19年</t>
  </si>
  <si>
    <t>50500406</t>
  </si>
  <si>
    <t>サービス有固-建物-店舗-定額22年</t>
  </si>
  <si>
    <t>50500407</t>
  </si>
  <si>
    <t>サービス有固-建物-店舗-定額20年</t>
  </si>
  <si>
    <t>50500408</t>
  </si>
  <si>
    <t>サービス有固-建物-店舗-定額10年</t>
  </si>
  <si>
    <t>50500409</t>
  </si>
  <si>
    <t>サービス有固-建物-店舗-定額07年</t>
  </si>
  <si>
    <t>50500410</t>
  </si>
  <si>
    <t>サービス有固-建物付属設備-店舗-定率18年</t>
  </si>
  <si>
    <t>50500411</t>
  </si>
  <si>
    <t>サービス有固-建物付属設備-店舗-定率17年</t>
  </si>
  <si>
    <t>50500412</t>
  </si>
  <si>
    <t>サービス有固-建物付属設備-店舗-定率15年</t>
  </si>
  <si>
    <t>50500413</t>
  </si>
  <si>
    <t>サービス有固-建物付属設備-店舗-定率13年</t>
  </si>
  <si>
    <t>50500414</t>
  </si>
  <si>
    <t>サービス有固-建物付属設備-店舗-定率12年</t>
  </si>
  <si>
    <t>50500415</t>
  </si>
  <si>
    <t>サービス有固-建物付属設備-店舗-定率10年</t>
  </si>
  <si>
    <t>50500416</t>
  </si>
  <si>
    <t>サービス有固-建物付属設備-店舗-定率08年</t>
  </si>
  <si>
    <t>50500417</t>
  </si>
  <si>
    <t>サービス有固-建物付属設備-店舗-定率03年</t>
  </si>
  <si>
    <t>50599901</t>
  </si>
  <si>
    <t>サービス有固-建物-その他-定額50年</t>
  </si>
  <si>
    <t>50599902</t>
  </si>
  <si>
    <t>サービス有固-建物-その他-定額47年</t>
  </si>
  <si>
    <t>50599903</t>
  </si>
  <si>
    <t>サービス有固-建物-その他-定額41年</t>
  </si>
  <si>
    <t>50599904</t>
  </si>
  <si>
    <t>サービス有固-建物-その他-定額39年</t>
  </si>
  <si>
    <t>50599905</t>
  </si>
  <si>
    <t>サービス有固-建物-その他-定額38年</t>
  </si>
  <si>
    <t>50599906</t>
  </si>
  <si>
    <t>サービス有固-建物-その他-定額36年</t>
  </si>
  <si>
    <t>50599907</t>
  </si>
  <si>
    <t>サービス有固-建物-その他-定額34年</t>
  </si>
  <si>
    <t>50599908</t>
  </si>
  <si>
    <t>サービス有固-建物-その他-定額31年</t>
  </si>
  <si>
    <t>50599909</t>
  </si>
  <si>
    <t>サービス有固-建物-その他-定額30年</t>
  </si>
  <si>
    <t>50599910</t>
  </si>
  <si>
    <t>サービス有固-建物-その他-定額29年</t>
  </si>
  <si>
    <t>50599911</t>
  </si>
  <si>
    <t>サービス有固-建物-その他-定額28年</t>
  </si>
  <si>
    <t>50599912</t>
  </si>
  <si>
    <t>サービス有固-建物-その他-定額27年</t>
  </si>
  <si>
    <t>50599913</t>
  </si>
  <si>
    <t>サービス有固-建物-その他-定額26年</t>
  </si>
  <si>
    <t>50599914</t>
  </si>
  <si>
    <t>サービス有固-建物-その他-定額25年</t>
  </si>
  <si>
    <t>50599915</t>
  </si>
  <si>
    <t>サービス有固-建物-その他-定額24年</t>
  </si>
  <si>
    <t>50599916</t>
  </si>
  <si>
    <t>サービス有固-建物-その他-定額22年</t>
  </si>
  <si>
    <t>50599917</t>
  </si>
  <si>
    <t>サービス有固-建物-その他-定額21年</t>
  </si>
  <si>
    <t>50599918</t>
  </si>
  <si>
    <t>サービス有固-建物-その他-定額20年</t>
  </si>
  <si>
    <t>50599919</t>
  </si>
  <si>
    <t>サービス有固-建物-その他-定額19年</t>
  </si>
  <si>
    <t>50599920</t>
  </si>
  <si>
    <t>サービス有固-建物-その他-定額17年</t>
  </si>
  <si>
    <t>50599921</t>
  </si>
  <si>
    <t>サービス有固-建物-その他-定額15年</t>
  </si>
  <si>
    <t>50599922</t>
  </si>
  <si>
    <t>サービス有固-建物-その他-定額14年</t>
  </si>
  <si>
    <t>50599923</t>
  </si>
  <si>
    <t>サービス有固-建物-その他-定額12年</t>
  </si>
  <si>
    <t>50599924</t>
  </si>
  <si>
    <t>サービス有固-建物-その他-定額11年</t>
  </si>
  <si>
    <t>50599925</t>
  </si>
  <si>
    <t>サービス有固-建物-その他-定額10年</t>
  </si>
  <si>
    <t>50599926</t>
  </si>
  <si>
    <t>サービス有固-建物-その他-定額09年</t>
  </si>
  <si>
    <t>50599927</t>
  </si>
  <si>
    <t>サービス有固-建物-その他-定額07年</t>
  </si>
  <si>
    <t>50599928</t>
  </si>
  <si>
    <t>サービス有固-建物付属設備-その他-定率18年</t>
  </si>
  <si>
    <t>50599929</t>
  </si>
  <si>
    <t>サービス有固-建物付属設備-その他-定率17年</t>
  </si>
  <si>
    <t>50599930</t>
  </si>
  <si>
    <t>サービス有固-建物付属設備-その他-定率15年</t>
  </si>
  <si>
    <t>50599931</t>
  </si>
  <si>
    <t>サービス有固-建物付属設備-その他-定率13年</t>
  </si>
  <si>
    <t>50599932</t>
  </si>
  <si>
    <t>サービス有固-建物付属設備-その他-定率12年</t>
  </si>
  <si>
    <t>50599933</t>
  </si>
  <si>
    <t>サービス有固-建物付属設備-その他-定率10年</t>
  </si>
  <si>
    <t>50599934</t>
  </si>
  <si>
    <t>サービス有固-建物付属設備-その他-定率08年</t>
  </si>
  <si>
    <t>50599935</t>
  </si>
  <si>
    <t>サービス有固-建物付属設備-その他-定率03年</t>
  </si>
  <si>
    <t>51000501</t>
  </si>
  <si>
    <t>サービス有固-構築物-定率80年</t>
  </si>
  <si>
    <t>51000502</t>
  </si>
  <si>
    <t>サービス有固-構築物-定率75年</t>
  </si>
  <si>
    <t>51000503</t>
  </si>
  <si>
    <t>サービス有固-構築物-定率60年</t>
  </si>
  <si>
    <t>51000504</t>
  </si>
  <si>
    <t>サービス有固-構築物-定率57年</t>
  </si>
  <si>
    <t>51000505</t>
  </si>
  <si>
    <t>サービス有固-構築物-定率50年</t>
  </si>
  <si>
    <t>51000506</t>
  </si>
  <si>
    <t>サービス有固-構築物-定率45年</t>
  </si>
  <si>
    <t>51000507</t>
  </si>
  <si>
    <t>サービス有固-構築物-定率42年</t>
  </si>
  <si>
    <t>51000508</t>
  </si>
  <si>
    <t>サービス有固-構築物-定率41年</t>
  </si>
  <si>
    <t>51000509</t>
  </si>
  <si>
    <t>サービス有固-構築物-定率40年</t>
  </si>
  <si>
    <t>51000510</t>
  </si>
  <si>
    <t>サービス有固-構築物-定率36年</t>
  </si>
  <si>
    <t>51000511</t>
  </si>
  <si>
    <t>サービス有固-構築物-定率35年</t>
  </si>
  <si>
    <t>51000512</t>
  </si>
  <si>
    <t>サービス有固-構築物-定率34年</t>
  </si>
  <si>
    <t>51000513</t>
  </si>
  <si>
    <t>サービス有固-構築物-定率32年</t>
  </si>
  <si>
    <t>51000514</t>
  </si>
  <si>
    <t>サービス有固-構築物-定率30年</t>
  </si>
  <si>
    <t>51000515</t>
  </si>
  <si>
    <t>サービス有固-構築物-定率27年</t>
  </si>
  <si>
    <t>51000516</t>
  </si>
  <si>
    <t>サービス有固-構築物-定率25年</t>
  </si>
  <si>
    <t>51000517</t>
  </si>
  <si>
    <t>サービス有固-構築物-定率24年</t>
  </si>
  <si>
    <t>51000518</t>
  </si>
  <si>
    <t>サービス有固-構築物-定率22年</t>
  </si>
  <si>
    <t>51000519</t>
  </si>
  <si>
    <t>サービス有固-構築物-定率21年</t>
  </si>
  <si>
    <t>51000520</t>
  </si>
  <si>
    <t>サービス有固-構築物-定率20年</t>
  </si>
  <si>
    <t>51000521</t>
  </si>
  <si>
    <t>サービス有固-構築物-定率19年</t>
  </si>
  <si>
    <t>51000522</t>
  </si>
  <si>
    <t>サービス有固-構築物-定率17年</t>
  </si>
  <si>
    <t>51000523</t>
  </si>
  <si>
    <t>サービス有固-構築物-定率16年</t>
  </si>
  <si>
    <t>51000524</t>
  </si>
  <si>
    <t>サービス有固-構築物-定率15年</t>
  </si>
  <si>
    <t>51000525</t>
  </si>
  <si>
    <t>サービス有固-構築物-定率14年</t>
  </si>
  <si>
    <t>51000526</t>
  </si>
  <si>
    <t>サービス有固-構築物-定率13年</t>
  </si>
  <si>
    <t>51000527</t>
  </si>
  <si>
    <t>サービス有固-構築物-定率12年</t>
  </si>
  <si>
    <t>51000528</t>
  </si>
  <si>
    <t>サービス有固-構築物-定率10年</t>
  </si>
  <si>
    <t>51000529</t>
  </si>
  <si>
    <t>サービス有固-構築物-定率08年</t>
  </si>
  <si>
    <t>51000530</t>
  </si>
  <si>
    <t>サービス有固-構築物-定率07年</t>
  </si>
  <si>
    <t>51000531</t>
  </si>
  <si>
    <t>サービス有固-構築物-定率05年</t>
  </si>
  <si>
    <t>51000532</t>
  </si>
  <si>
    <t>サービス有固-構築物-定率03年</t>
  </si>
  <si>
    <t>52000601</t>
  </si>
  <si>
    <t>サービス有固-機械装置-定率22年</t>
  </si>
  <si>
    <t>52000602</t>
  </si>
  <si>
    <t>サービス有固-機械装置-定率20年</t>
  </si>
  <si>
    <t>52000603</t>
  </si>
  <si>
    <t>サービス有固-機械装置-定率18年</t>
  </si>
  <si>
    <t>52000604</t>
  </si>
  <si>
    <t>サービス有固-機械装置-定率17年</t>
  </si>
  <si>
    <t>52000605</t>
  </si>
  <si>
    <t>サービス有固-機械装置-定率15年</t>
  </si>
  <si>
    <t>52000606</t>
  </si>
  <si>
    <t>サービス有固-機械装置-定率14年</t>
  </si>
  <si>
    <t>52000607</t>
  </si>
  <si>
    <t>サービス有固-機械装置-定率13年</t>
  </si>
  <si>
    <t>52000608</t>
  </si>
  <si>
    <t>サービス有固-機械装置-定率12年</t>
  </si>
  <si>
    <t>52000609</t>
  </si>
  <si>
    <t>サービス有固-機械装置-定率11年</t>
  </si>
  <si>
    <t>52000610</t>
  </si>
  <si>
    <t>サービス有固-機械装置-定率10年</t>
  </si>
  <si>
    <t>52000611</t>
  </si>
  <si>
    <t>サービス有固-機械装置-定率09年</t>
  </si>
  <si>
    <t>52000612</t>
  </si>
  <si>
    <t>サービス有固-機械装置-定率08年</t>
  </si>
  <si>
    <t>52000613</t>
  </si>
  <si>
    <t>サービス有固-機械装置-定率07年</t>
  </si>
  <si>
    <t>52000614</t>
  </si>
  <si>
    <t>サービス有固-機械装置-定率06年</t>
  </si>
  <si>
    <t>52000615</t>
  </si>
  <si>
    <t>サービス有固-機械装置-定率05年</t>
  </si>
  <si>
    <t>52000616</t>
  </si>
  <si>
    <t>サービス有固-機械装置-定率04年</t>
  </si>
  <si>
    <t>52000617</t>
  </si>
  <si>
    <t>サービス有固-機械装置-定率03年</t>
  </si>
  <si>
    <t>52500701</t>
  </si>
  <si>
    <t>サービス有固-工具器具及び備品-工器備-定率13年</t>
  </si>
  <si>
    <t>52500702</t>
  </si>
  <si>
    <t>サービス有固-工具器具及び備品-工器備-定率08年</t>
  </si>
  <si>
    <t>52500703</t>
  </si>
  <si>
    <t>サービス有固-工具器具及び備品-工器備-定率05年</t>
  </si>
  <si>
    <t>52500704</t>
  </si>
  <si>
    <t>サービス有固-工具器具及び備品-工器備-定率04年</t>
  </si>
  <si>
    <t>52500705</t>
  </si>
  <si>
    <t>サービス有固-工具器具及び備品-工器備-定率03年</t>
  </si>
  <si>
    <t>52500706</t>
  </si>
  <si>
    <t>サービス有固-工具器具及び備品-工器備-定率02年</t>
  </si>
  <si>
    <t>52500707</t>
  </si>
  <si>
    <t>サービス有固-工具器具及び備品-工器備-定率20年</t>
  </si>
  <si>
    <t>52500708</t>
  </si>
  <si>
    <t>サービス有固-工具器具及び備品-工器備-定率15年</t>
  </si>
  <si>
    <t>52500709</t>
  </si>
  <si>
    <t>サービス有固-工具器具及び備品-工器備-定率10年</t>
  </si>
  <si>
    <t>52500710</t>
  </si>
  <si>
    <t>52500711</t>
  </si>
  <si>
    <t>サービス有固-工具器具及び備品-工器備-定率07年</t>
  </si>
  <si>
    <t>52500712</t>
  </si>
  <si>
    <t>サービス有固-工具器具及び備品-工器備-定率06年</t>
  </si>
  <si>
    <t>52500713</t>
  </si>
  <si>
    <t>52500714</t>
  </si>
  <si>
    <t>52500715</t>
  </si>
  <si>
    <t>52500716</t>
  </si>
  <si>
    <t>52500801</t>
  </si>
  <si>
    <t>サービス有固-工具器具及び備品-運搬具-定率07年</t>
  </si>
  <si>
    <t>52500802</t>
  </si>
  <si>
    <t>サービス有固-工具器具及び備品-運搬具-定率06年</t>
  </si>
  <si>
    <t>52500803</t>
  </si>
  <si>
    <t>サービス有固-工具器具及び備品-運搬具-定率05年</t>
  </si>
  <si>
    <t>52500804</t>
  </si>
  <si>
    <t>サービス有固-工具器具及び備品-運搬具-定率04年</t>
  </si>
  <si>
    <t>52500805</t>
  </si>
  <si>
    <t>サービス有固-工具器具及び備品-運搬具-定率03年</t>
  </si>
  <si>
    <t>52500806</t>
  </si>
  <si>
    <t>サービス有固-工具器具及び備品-運搬具-定率02年</t>
  </si>
  <si>
    <t>53000901</t>
  </si>
  <si>
    <t>サービス有固-リース資産-土地</t>
  </si>
  <si>
    <t>53000902</t>
  </si>
  <si>
    <t>サービス有固-リース資産-建物</t>
  </si>
  <si>
    <t>53000903</t>
  </si>
  <si>
    <t>サービス有固-リース資産-構築物</t>
  </si>
  <si>
    <t>53000904</t>
  </si>
  <si>
    <t>サービス有固-リース資産-車両</t>
  </si>
  <si>
    <t>53000905</t>
  </si>
  <si>
    <t>サービス有固-リース資産-機械装置</t>
  </si>
  <si>
    <t>53000906</t>
  </si>
  <si>
    <t>サービス有固-リース資産-工具器具及び備品</t>
  </si>
  <si>
    <t>59901001</t>
  </si>
  <si>
    <t>サービス有固-雑施設</t>
  </si>
  <si>
    <t>60000001</t>
  </si>
  <si>
    <t>その他の固定資産</t>
  </si>
  <si>
    <t>70100101</t>
  </si>
  <si>
    <t>建設仮勘定-鉄道事業-直接費</t>
  </si>
  <si>
    <t>70100201</t>
  </si>
  <si>
    <t>建設仮勘定-鉄道事業-間接費</t>
  </si>
  <si>
    <t>70100301</t>
  </si>
  <si>
    <t>建設仮勘定-鉄道事業-ソフトウェア</t>
  </si>
  <si>
    <t>70500101</t>
  </si>
  <si>
    <t>建設仮勘定-広告事業-直接費</t>
  </si>
  <si>
    <t>70500201</t>
  </si>
  <si>
    <t>建設仮勘定-広告事業-間接費</t>
  </si>
  <si>
    <t>70500301</t>
  </si>
  <si>
    <t>建設仮勘定-広告事業-ソフトウェア</t>
    <rPh sb="6" eb="8">
      <t>コウコク</t>
    </rPh>
    <phoneticPr fontId="3"/>
  </si>
  <si>
    <t>71000101</t>
  </si>
  <si>
    <t>建設仮勘定-不動産事業-直接費</t>
  </si>
  <si>
    <t>71000201</t>
  </si>
  <si>
    <t>建設仮勘定-不動産事業-間接費</t>
  </si>
  <si>
    <t>71000301</t>
  </si>
  <si>
    <t>建設仮勘定-不動産事業-ソフトウェア</t>
  </si>
  <si>
    <t>71500101</t>
  </si>
  <si>
    <t>建設仮勘定-流通事業-直接費</t>
  </si>
  <si>
    <t>71500201</t>
  </si>
  <si>
    <t>建設仮勘定-流通事業-間接費</t>
  </si>
  <si>
    <t>71500301</t>
  </si>
  <si>
    <t>建設仮勘定-流通事業-ソフトウェア</t>
  </si>
  <si>
    <t>72000101</t>
  </si>
  <si>
    <t>建設仮勘定-サービス事業-直接費</t>
  </si>
  <si>
    <t>72000201</t>
  </si>
  <si>
    <t>建設仮勘定-サービス事業-間接費</t>
  </si>
  <si>
    <t>72000301</t>
  </si>
  <si>
    <t>建設仮勘定-サービス事業-ソフトウェア</t>
  </si>
  <si>
    <t>72500101</t>
  </si>
  <si>
    <t>建設仮勘定-各事業関連-直接費</t>
    <rPh sb="6" eb="9">
      <t>カクジギョウ</t>
    </rPh>
    <rPh sb="9" eb="11">
      <t>カンレン</t>
    </rPh>
    <rPh sb="12" eb="14">
      <t>チョクセツ</t>
    </rPh>
    <rPh sb="14" eb="15">
      <t>ヒ</t>
    </rPh>
    <phoneticPr fontId="3"/>
  </si>
  <si>
    <t>72500201</t>
  </si>
  <si>
    <t>建設仮勘定-各事業関連-間接費</t>
    <rPh sb="6" eb="9">
      <t>カクジギョウ</t>
    </rPh>
    <rPh sb="9" eb="11">
      <t>カンレン</t>
    </rPh>
    <rPh sb="12" eb="14">
      <t>カンセツ</t>
    </rPh>
    <rPh sb="14" eb="15">
      <t>ヒ</t>
    </rPh>
    <phoneticPr fontId="3"/>
  </si>
  <si>
    <t>72500301</t>
  </si>
  <si>
    <t>建設仮勘定-各事業関連-ソフトウェア</t>
  </si>
  <si>
    <t>90100401</t>
  </si>
  <si>
    <t>各事業有固-土地-倉庫用地</t>
  </si>
  <si>
    <t>90100501</t>
  </si>
  <si>
    <t>各事業有固-土地-事務所用地</t>
  </si>
  <si>
    <t>90100601</t>
  </si>
  <si>
    <t>各事業有固-土地-社宅及び寮用地</t>
  </si>
  <si>
    <t>90199901</t>
  </si>
  <si>
    <t>各事業有固-土地-雑用地</t>
  </si>
  <si>
    <t>90501001</t>
  </si>
  <si>
    <t>各事業有固-建物-鉄骨鉄筋コンクリート造又は鉄筋コンクリート造のもの(その他)-倉庫建物</t>
  </si>
  <si>
    <t>90501002</t>
  </si>
  <si>
    <t>各事業有固-建物-れんが造、石造又はブロック造のもの(その他)-倉庫建物</t>
  </si>
  <si>
    <t>90501003</t>
  </si>
  <si>
    <t>各事業有固-建物-金属造のもの(骨格材の肉厚が4mm超)(その他)-倉庫建物</t>
  </si>
  <si>
    <t>90501004</t>
  </si>
  <si>
    <t>各事業有固-建物-金属造のもの(骨格材の肉厚が3mm超4mm以下)(その他)-倉庫建物</t>
  </si>
  <si>
    <t>90501005</t>
  </si>
  <si>
    <t>各事業有固-建物-金属造のもの(骨格材の肉厚が3mm以下)(その他)-倉庫建物</t>
  </si>
  <si>
    <t>90501006</t>
  </si>
  <si>
    <t>各事業有固-建物-木造又は合成樹脂造のもの(その他)-倉庫建物</t>
  </si>
  <si>
    <t>90501007</t>
  </si>
  <si>
    <t>各事業有固-建物-木骨モルタル造のもの(その他)-倉庫建物</t>
  </si>
  <si>
    <t>90501008</t>
  </si>
  <si>
    <t>各事業有固-建物-簡易建物(木製主要柱10cm角以下で土居、杉皮ぶき等)-倉庫建物</t>
  </si>
  <si>
    <t>90501009</t>
  </si>
  <si>
    <t>各事業有固-建物-簡易建物(掘立造のもの及び仮設のもの)-倉庫建物</t>
  </si>
  <si>
    <t>90501010</t>
  </si>
  <si>
    <t>各事業有固-建物付属設備-電気設備(照明設備を含む。)-蓄電池電源設備</t>
  </si>
  <si>
    <t>90501011</t>
  </si>
  <si>
    <t>各事業有固-建物付属設備-電気設備(照明設備を含む。)-その他のもの</t>
  </si>
  <si>
    <t>90501012</t>
  </si>
  <si>
    <t>各事業有固-建物付属設備-給排水又は衛生設備及びガス設備</t>
  </si>
  <si>
    <t>90501013</t>
  </si>
  <si>
    <t>各事業有固-建物付属設備-冷房、暖房、通風又はボイラー設備-冷凍機の出力が22kw以下</t>
  </si>
  <si>
    <t>90501014</t>
  </si>
  <si>
    <t>各事業有固-建物付属設備-冷房、暖房、通風又はボイラー設備-その他のもの</t>
  </si>
  <si>
    <t>90501015</t>
  </si>
  <si>
    <t>各事業有固-建物付属設備-昇降機設備-エレベーター</t>
  </si>
  <si>
    <t>90501016</t>
  </si>
  <si>
    <t>各事業有固-建物付属設備-昇降機設備-エスカレーター</t>
  </si>
  <si>
    <t>90501017</t>
  </si>
  <si>
    <t>各事業有固-建物付属設備-消火、排煙又は災害報知設備及び格納式避難設備</t>
  </si>
  <si>
    <t>90501018</t>
  </si>
  <si>
    <t>各事業有固-建物付属設備-エヤーカーテン又はドアー自動開閉設備</t>
  </si>
  <si>
    <t>90501019</t>
  </si>
  <si>
    <t>各事業有固-建物付属設備-アーケード又は日よけ設備-金属製</t>
  </si>
  <si>
    <t>90501020</t>
  </si>
  <si>
    <t>各事業有固-建物付属設備-アーケード又は日よけ設備-その他のもの</t>
  </si>
  <si>
    <t>90501021</t>
  </si>
  <si>
    <t>各事業有固-建物付属設備-店用簡易設備</t>
  </si>
  <si>
    <t>90501022</t>
  </si>
  <si>
    <t>各事業有固-建物付属設備-可動簡易装備-簡易なもの</t>
  </si>
  <si>
    <t>90501023</t>
  </si>
  <si>
    <t>各事業有固-建物付属設備-可動簡易装備-その他のもの</t>
  </si>
  <si>
    <t>90501024</t>
  </si>
  <si>
    <t>各事業有固-建物付属設備-前掲のもの以外のもの及び前掲の区分によらないもの-主として金属製のもの</t>
  </si>
  <si>
    <t>90501025</t>
  </si>
  <si>
    <t>各事業有固-建物付属設備-前掲のもの以外のもの及び前掲の区分によらないもの-その他のもの</t>
  </si>
  <si>
    <t>90501101</t>
  </si>
  <si>
    <t>各事業有固-建物-鉄骨鉄筋コンクリート造又は鉄筋コンクリート造のもの-詰所建物</t>
  </si>
  <si>
    <t>90501102</t>
  </si>
  <si>
    <t>各事業有固-建物-れんが造、石造又はブロック造のもの-詰所建物</t>
  </si>
  <si>
    <t>90501103</t>
  </si>
  <si>
    <t>各事業有固-建物-金属造のもの(骨格材の肉厚が4mm超)-詰所建物</t>
  </si>
  <si>
    <t>90501104</t>
  </si>
  <si>
    <t>各事業有固-建物-金属造のもの(骨格材の肉厚が3mm超4mm以下)-詰所建物</t>
  </si>
  <si>
    <t>90501105</t>
  </si>
  <si>
    <t>各事業有固-建物-金属造のもの(骨格材の肉厚が3mm以下)-詰所建物</t>
  </si>
  <si>
    <t>90501106</t>
  </si>
  <si>
    <t>各事業有固-建物-木造又は合成樹脂造のもの-詰所建物</t>
  </si>
  <si>
    <t>90501107</t>
  </si>
  <si>
    <t>各事業有固-建物-木骨モルタル造のもの-詰所建物</t>
  </si>
  <si>
    <t>90501108</t>
  </si>
  <si>
    <t>各事業有固-建物-簡易建物(木製主要柱10cm角以下で土居、杉皮ぶき等)-詰所建物</t>
  </si>
  <si>
    <t>90501109</t>
  </si>
  <si>
    <t>各事業有固-建物-簡易建物(掘立造のもの及び仮設のもの)-詰所建物</t>
  </si>
  <si>
    <t>90501110</t>
  </si>
  <si>
    <t>90501111</t>
  </si>
  <si>
    <t>90501112</t>
  </si>
  <si>
    <t>90501113</t>
  </si>
  <si>
    <t>各事業有固-建物付属設備-冷房、暖房、通風又はボイラー設備-冷凍機の出力が22kw以下のもの</t>
  </si>
  <si>
    <t>90501114</t>
  </si>
  <si>
    <t>90501115</t>
  </si>
  <si>
    <t>90501116</t>
  </si>
  <si>
    <t>90501117</t>
  </si>
  <si>
    <t>90501118</t>
  </si>
  <si>
    <t>90501119</t>
  </si>
  <si>
    <t>90501120</t>
  </si>
  <si>
    <t>90501121</t>
  </si>
  <si>
    <t>90501122</t>
  </si>
  <si>
    <t>90501123</t>
  </si>
  <si>
    <t>90501124</t>
  </si>
  <si>
    <t>90501125</t>
  </si>
  <si>
    <t>90501201</t>
  </si>
  <si>
    <t>各事業有固-建物-鉄骨鉄筋コンクリート造又は鉄筋コンクリート造のもの-事務所建物</t>
  </si>
  <si>
    <t>90501202</t>
  </si>
  <si>
    <t>各事業有固-建物-れんが造、石造又はブロック造のもの-事務所建物</t>
  </si>
  <si>
    <t>90501203</t>
  </si>
  <si>
    <t>各事業有固-建物-金属造のもの(骨格材の肉厚が4mm超)-事務所建物</t>
  </si>
  <si>
    <t>90501204</t>
  </si>
  <si>
    <t>各事業有固-建物-金属造のもの(骨格材の肉厚が3mm超4mm以下)-事務所建物</t>
  </si>
  <si>
    <t>90501205</t>
  </si>
  <si>
    <t>各事業有固-建物-金属造のもの(骨格材の肉厚が3mm以下)-事務所建物</t>
  </si>
  <si>
    <t>90501206</t>
  </si>
  <si>
    <t>各事業有固-建物-木造又は合成樹脂造のもの-事務所建物</t>
  </si>
  <si>
    <t>90501207</t>
  </si>
  <si>
    <t>各事業有固-建物-木骨モルタル造のもの-事務所建物</t>
  </si>
  <si>
    <t>90501208</t>
  </si>
  <si>
    <t>各事業有固-建物-簡易建物(木製主要柱10cm角以下で土居、杉皮ぶき等)-事務所建物</t>
  </si>
  <si>
    <t>90501209</t>
  </si>
  <si>
    <t>各事業有固-建物-簡易建物(掘立造のもの及び仮設のもの)-事務所建物</t>
  </si>
  <si>
    <t>90501210</t>
  </si>
  <si>
    <t>90501211</t>
  </si>
  <si>
    <t>90501212</t>
  </si>
  <si>
    <t>90501213</t>
  </si>
  <si>
    <t>90501214</t>
  </si>
  <si>
    <t>90501215</t>
  </si>
  <si>
    <t>90501216</t>
  </si>
  <si>
    <t>90501217</t>
  </si>
  <si>
    <t>90501218</t>
  </si>
  <si>
    <t>90501219</t>
  </si>
  <si>
    <t>90501220</t>
  </si>
  <si>
    <t>90501221</t>
  </si>
  <si>
    <t>90501222</t>
  </si>
  <si>
    <t>90501223</t>
  </si>
  <si>
    <t>90501224</t>
  </si>
  <si>
    <t>90501225</t>
  </si>
  <si>
    <t>90501301</t>
  </si>
  <si>
    <t>各事業有固-建物-鉄骨鉄筋コンクリート造又は鉄筋コンクリート造のもの-社宅及び寮建物</t>
  </si>
  <si>
    <t>90501302</t>
  </si>
  <si>
    <t>各事業有固-建物-れんが造、石造又はブロック造のもの-社宅及び寮建物</t>
  </si>
  <si>
    <t>90501303</t>
  </si>
  <si>
    <t>各事業有固-建物-金属造のもの(骨格材の肉厚が4mm超)-社宅及び寮建物</t>
  </si>
  <si>
    <t>90501304</t>
  </si>
  <si>
    <t>各事業有固-建物-金属造のもの(骨格材の肉厚が3mm超4mm以下)-社宅及び寮建物</t>
  </si>
  <si>
    <t>90501305</t>
  </si>
  <si>
    <t>各事業有固-建物-金属造のもの(骨格材の肉厚が3mm以下)-社宅及び寮建物</t>
  </si>
  <si>
    <t>90501306</t>
  </si>
  <si>
    <t>各事業有固-建物-木造又は合成樹脂造のもの-社宅及び寮建物</t>
  </si>
  <si>
    <t>90501307</t>
  </si>
  <si>
    <t>各事業有固-建物-木骨モルタル造のもの-社宅及び寮建物</t>
  </si>
  <si>
    <t>90501308</t>
  </si>
  <si>
    <t>各事業有固-建物-簡易建物(木製主要柱10cm角以下で土居、杉皮ぶき等)-社宅及び寮建物</t>
  </si>
  <si>
    <t>90501309</t>
  </si>
  <si>
    <t>各事業有固産-建物-簡易建物(掘立造のもの及び仮設のもの)-社宅及び寮建物</t>
  </si>
  <si>
    <t>90501310</t>
  </si>
  <si>
    <t>90501311</t>
  </si>
  <si>
    <t>90501312</t>
  </si>
  <si>
    <t>90501313</t>
  </si>
  <si>
    <t>各事業有固-建物付属設備-冷房、暖房、通風又はボイラー設備-冷凍機の出力が22キロワット以下のもの</t>
  </si>
  <si>
    <t>90501314</t>
  </si>
  <si>
    <t>90501315</t>
  </si>
  <si>
    <t>90501316</t>
  </si>
  <si>
    <t>90501317</t>
  </si>
  <si>
    <t>90501318</t>
  </si>
  <si>
    <t>90501319</t>
  </si>
  <si>
    <t>90501320</t>
  </si>
  <si>
    <t>90501321</t>
  </si>
  <si>
    <t>90501322</t>
  </si>
  <si>
    <t>90501323</t>
  </si>
  <si>
    <t>90501324</t>
  </si>
  <si>
    <t>90501325</t>
  </si>
  <si>
    <t>90599901</t>
  </si>
  <si>
    <t>各事業有固-建物-雑建物-定額50年</t>
  </si>
  <si>
    <t>90599902</t>
  </si>
  <si>
    <t>各事業有固-建物-雑建物-定額47年</t>
  </si>
  <si>
    <t>90599903</t>
  </si>
  <si>
    <t>各事業有固-建物-雑建物-定額41年</t>
  </si>
  <si>
    <t>90599904</t>
  </si>
  <si>
    <t>各事業有固-建物-雑建物-定額39年</t>
  </si>
  <si>
    <t>90599905</t>
  </si>
  <si>
    <t>各事業有固-建物-雑建物-定額38年</t>
  </si>
  <si>
    <t>90599906</t>
  </si>
  <si>
    <t>各事業有固-建物-雑建物-定額36年</t>
  </si>
  <si>
    <t>90599907</t>
  </si>
  <si>
    <t>各事業有固-建物-雑建物-定額34年</t>
  </si>
  <si>
    <t>90599908</t>
  </si>
  <si>
    <t>各事業有固-建物-雑建物-定額31年</t>
  </si>
  <si>
    <t>90599909</t>
  </si>
  <si>
    <t>各事業有固-建物-雑建物-定額30年</t>
  </si>
  <si>
    <t>90599910</t>
  </si>
  <si>
    <t>各事業有固-建物-雑建物-定額29年</t>
  </si>
  <si>
    <t>90599911</t>
  </si>
  <si>
    <t>各事業有固-建物-雑建物-定額28年</t>
  </si>
  <si>
    <t>90599912</t>
  </si>
  <si>
    <t>各事業有固-建物-雑建物-定額27年</t>
  </si>
  <si>
    <t>90599913</t>
  </si>
  <si>
    <t>各事業有固-建物-雑建物-定額26年</t>
  </si>
  <si>
    <t>90599914</t>
  </si>
  <si>
    <t>各事業有固-建物-雑建物-定額25年</t>
  </si>
  <si>
    <t>90599915</t>
  </si>
  <si>
    <t>各事業有固-建物-雑建物-定額24年</t>
  </si>
  <si>
    <t>90599916</t>
  </si>
  <si>
    <t>各事業有固-建物-雑建物-定額22年</t>
  </si>
  <si>
    <t>90599917</t>
  </si>
  <si>
    <t>各事業有固-建物-雑建物-定額21年</t>
  </si>
  <si>
    <t>90599918</t>
  </si>
  <si>
    <t>各事業有固-建物-雑建物-定額20年</t>
  </si>
  <si>
    <t>90599919</t>
  </si>
  <si>
    <t>各事業有固-建物-雑建物-定額19年</t>
  </si>
  <si>
    <t>90599920</t>
  </si>
  <si>
    <t>各事業有固-建物-雑建物-定額17年</t>
  </si>
  <si>
    <t>90599921</t>
  </si>
  <si>
    <t>各事業有固-建物-雑建物-定額15年</t>
  </si>
  <si>
    <t>90599922</t>
  </si>
  <si>
    <t>各事業有固-建物-雑建物-定額14年</t>
  </si>
  <si>
    <t>90599923</t>
  </si>
  <si>
    <t>各事業有固-建物-雑建物-定額12年</t>
  </si>
  <si>
    <t>90599924</t>
  </si>
  <si>
    <t>各事業有固-建物-雑建物-定額11年</t>
  </si>
  <si>
    <t>90599925</t>
  </si>
  <si>
    <t>各事業有固-建物-雑建物-定額10年</t>
  </si>
  <si>
    <t>90599926</t>
  </si>
  <si>
    <t>各事業有固-建物-雑建物-定額09年</t>
  </si>
  <si>
    <t>90599927</t>
  </si>
  <si>
    <t>各事業有固-建物-雑建物-定額07年</t>
  </si>
  <si>
    <t>90599928</t>
  </si>
  <si>
    <t>各事業有固-建物付属設備-電気設備(照明設備を含む。)-蓄電池電源設備-雑建物</t>
    <rPh sb="36" eb="37">
      <t>ザツ</t>
    </rPh>
    <rPh sb="37" eb="39">
      <t>タテモノ</t>
    </rPh>
    <phoneticPr fontId="3"/>
  </si>
  <si>
    <t>90599929</t>
  </si>
  <si>
    <t>各事業有固-建物付属設備-電気設備(照明設備を含む。)-その他のもの-雑建物</t>
  </si>
  <si>
    <t>90599930</t>
  </si>
  <si>
    <t>各事業有固-建物付属設備-給排水又は衛生設備及びガス設備-雑建物</t>
  </si>
  <si>
    <t>90599931</t>
  </si>
  <si>
    <t>各事業有固-建物付属設備-冷房、暖房、通風又はボイラー設備-冷凍機の出力が22kw以下のもの-雑建物</t>
  </si>
  <si>
    <t>90599932</t>
  </si>
  <si>
    <t>各事業有固-建物付属設備-冷房、暖房、通風又はボイラー設備-その他のもの-雑建物</t>
  </si>
  <si>
    <t>90599933</t>
  </si>
  <si>
    <t>各事業有固-建物付属設備-昇降機設備-エレベーター-雑建物</t>
  </si>
  <si>
    <t>90599934</t>
  </si>
  <si>
    <t>各事業有固-建物付属設備-昇降機設備-エスカレーター-雑建物</t>
  </si>
  <si>
    <t>90599935</t>
  </si>
  <si>
    <t>各事業有固-建物付属設備-消火、排煙又は災害報知設備及び格納式避難設備-雑建物</t>
  </si>
  <si>
    <t>90599936</t>
  </si>
  <si>
    <t>各事業有固-建物付属設備-エヤーカーテン又はドアー自動開閉設備-雑建物</t>
  </si>
  <si>
    <t>90599937</t>
  </si>
  <si>
    <t>各事業有固-建物付属設備-アーケード又は日よけ設備-金属製-雑建物</t>
  </si>
  <si>
    <t>90599938</t>
  </si>
  <si>
    <t>各事業有固-建物付属設備-アーケード又は日よけ設備-その他のもの-雑建物</t>
  </si>
  <si>
    <t>90599939</t>
  </si>
  <si>
    <t>各事業有固-建物付属設備-店用簡易設備-雑建物</t>
  </si>
  <si>
    <t>90599940</t>
  </si>
  <si>
    <t>各事業有固-建物付属設備-可動簡易装備-簡易なもの-雑建物</t>
  </si>
  <si>
    <t>90599941</t>
  </si>
  <si>
    <t>各事業有固-建物付属設備-可動簡易装備-その他のもの-雑建物</t>
  </si>
  <si>
    <t>90599942</t>
  </si>
  <si>
    <t>各事業有固-建物付属設備-前掲以外-主として金属製のもの-雑建物</t>
  </si>
  <si>
    <t>90599943</t>
  </si>
  <si>
    <t>各事業有固-建物付属設備-前掲のもの以外のもの及び前掲の区分によらないもの-その他のもの-雑建物</t>
  </si>
  <si>
    <t>91002501</t>
  </si>
  <si>
    <t>各事業有固-構築物-通信線</t>
  </si>
  <si>
    <t>91002601</t>
  </si>
  <si>
    <t>各事業有固-構築物-電話機</t>
  </si>
  <si>
    <t>91002701</t>
  </si>
  <si>
    <t>各事業有固-構築物-電気時計</t>
  </si>
  <si>
    <t>91002801</t>
  </si>
  <si>
    <t>各事業有固-構築物-拡声装置</t>
  </si>
  <si>
    <t>91002901</t>
  </si>
  <si>
    <t>各事業有固-構築物-通信諸設備</t>
  </si>
  <si>
    <t>91004101</t>
  </si>
  <si>
    <t>各事業有固-構築物-配電線</t>
  </si>
  <si>
    <t>91004601</t>
  </si>
  <si>
    <t>各事業有固-構築物-電灯電力線</t>
  </si>
  <si>
    <t>91004803</t>
  </si>
  <si>
    <t>各事業有固-構築物-支持物-その他の支持物(電柱及び腕木を除く)</t>
  </si>
  <si>
    <t>91004804</t>
  </si>
  <si>
    <t>各事業有固-構築物-支持物-その他の支持物(腕木を含む)</t>
  </si>
  <si>
    <t>92005601</t>
  </si>
  <si>
    <t>各事業有固-機械装置-通信機械-交換設備</t>
  </si>
  <si>
    <t>92099901</t>
  </si>
  <si>
    <t>各事業有固-機械装置-雑機械-その他の設備(主として金属製のもの)</t>
  </si>
  <si>
    <t>92099902</t>
  </si>
  <si>
    <t>各事業有固-機械装置-雑機械-その他の設備(その他のもの)</t>
  </si>
  <si>
    <t>92505901</t>
  </si>
  <si>
    <t>各事業有固-工具器具及び備品-工器備-測定工具・検査工具(電気・電子を利用するものを含む)</t>
  </si>
  <si>
    <t>92505902</t>
  </si>
  <si>
    <t>各事業有固-工具器具及び備品-工器備-治具及び取付工具</t>
  </si>
  <si>
    <t>92505903</t>
  </si>
  <si>
    <t>各事業有固-工具器具及び備品-工器備-ロール-金属圧延用のもの</t>
  </si>
  <si>
    <t>92505904</t>
  </si>
  <si>
    <t>各事業有固-工具器具及び備品-工器備-ロール-なつ染・粉砕・混錬ロールその他のもの</t>
  </si>
  <si>
    <t>92505905</t>
  </si>
  <si>
    <t>各事業有固-工具器具及び備品-工器備-型・鍛圧・打抜工具-ガラス成型用金型及び鋳造用型</t>
  </si>
  <si>
    <t>92505906</t>
  </si>
  <si>
    <t>各事業有固-工具器具及び備品-工器備-型・鍛圧・打抜工具-その他のもの</t>
  </si>
  <si>
    <t>92505907</t>
  </si>
  <si>
    <t>各事業有固-工具器具及び備品-工器備-切削工具</t>
  </si>
  <si>
    <t>92505908</t>
  </si>
  <si>
    <t>各事業有固-工具器具及び備品-工器備-金属製柱及びカッペ</t>
  </si>
  <si>
    <t>92505909</t>
  </si>
  <si>
    <t>各事業有固-工具器具及び備品-工器備-活字・活字に常用される金属-購入活字</t>
  </si>
  <si>
    <t>92505910</t>
  </si>
  <si>
    <t>各事業有固-工具器具及び備品-工器備-活字・活字に常用される金属-自製活字</t>
  </si>
  <si>
    <t>92505911</t>
  </si>
  <si>
    <t>各事業有固-工具器具及び備品-工器備-前掲以外-白金ノズル</t>
  </si>
  <si>
    <t>92505912</t>
  </si>
  <si>
    <t>各事業有固-工具器具及び備品-工器備-前掲以外-その他のもの</t>
  </si>
  <si>
    <t>92505913</t>
  </si>
  <si>
    <t>各事業有固-工具器具及び備品-工器備-前掲区分外-白金ノズル</t>
  </si>
  <si>
    <t>92505914</t>
  </si>
  <si>
    <t>各事業有固-工具器具及び備品-工器備-前掲区分外-その他の主として金属製のもの</t>
  </si>
  <si>
    <t>92505915</t>
  </si>
  <si>
    <t>各事業有固-工具器具及び備品-工器備-前掲区分外-その他のもの</t>
  </si>
  <si>
    <t>92505916</t>
  </si>
  <si>
    <t>各事業有固-工具器具及び備品-工器備-家具・電気・ガス・家庭用品-事務机・いす(金属)</t>
  </si>
  <si>
    <t>92505917</t>
  </si>
  <si>
    <t>各事業有固-工具器具及び備品-工器備-家具・電気・ガス・家庭用品-事務机・いす(その他)</t>
  </si>
  <si>
    <t>92505918</t>
  </si>
  <si>
    <t>各事業有固-工具器具及び備品-工器備-家具・電気・ガス・家庭用品-応接セット(接客業用)</t>
  </si>
  <si>
    <t>92505919</t>
  </si>
  <si>
    <t>各事業有固-工具器具及び備品-工器備-家具・電気・ガス・家庭用品-応接セット(その他)</t>
  </si>
  <si>
    <t>92505920</t>
  </si>
  <si>
    <t>各事業有固-工具器具及び備品-工器備-家具・電気・ガス・家庭用品-ベット</t>
  </si>
  <si>
    <t>92505921</t>
  </si>
  <si>
    <t>各事業有固-工具器具及び備品-工器備-家具・電気・ガス・家庭用品-児童用机及びいす</t>
  </si>
  <si>
    <t>92505922</t>
  </si>
  <si>
    <t>各事業有固-工具器具及び備品-工器備-家具・電気・ガス・家庭用品-陳列棚(冷凍・冷蔵機付)</t>
  </si>
  <si>
    <t>92505923</t>
  </si>
  <si>
    <t>各事業有固-工具器具及び備品-工器備-家具・電気・ガス・家庭用品-陳列棚(その他)</t>
  </si>
  <si>
    <t>92505924</t>
  </si>
  <si>
    <t>各事業有固-工具器具及び備品-工器備-家具・電気・ガス・家庭用品-その他の家具(接客業用)</t>
  </si>
  <si>
    <t>92505925</t>
  </si>
  <si>
    <t>各事業有固-工具器具及び備品-工器備-家具・電気・ガス・家庭用品-その他の家具(金属製)</t>
  </si>
  <si>
    <t>92505926</t>
  </si>
  <si>
    <t>各事業有固-工具器具及び備品-工器備-家具・電気・ガス・家庭用品-その他の家具(その他)</t>
  </si>
  <si>
    <t>92505927</t>
  </si>
  <si>
    <t>各事業有固-工具器具及び備品-工器備-家具・電気・ガス・家庭用品-その他の音響機器</t>
  </si>
  <si>
    <t>92505928</t>
  </si>
  <si>
    <t>各事業有固-工具器具及び備品-工器備-家具・電気・ガス・家庭用品-冷房用又は暖房用機器</t>
  </si>
  <si>
    <t>92505929</t>
  </si>
  <si>
    <t>各事業有固-工具器具及び備品-工器備-家具・電気・ガス・家庭用品-その他電気・ガス機器</t>
  </si>
  <si>
    <t>92505930</t>
  </si>
  <si>
    <t>各事業有固-工具器具及び備品-工器備-家具・電気・ガス・家庭用品-氷冷蔵庫・冷蔵ストッカー</t>
  </si>
  <si>
    <t>92505931</t>
  </si>
  <si>
    <t>各事業有固-工具器具及び備品-工器備-家具・電気・ガス・家庭用品-その他繊維製品</t>
  </si>
  <si>
    <t>92505932</t>
  </si>
  <si>
    <t>各事業有固-工具器具及び備品-工器備-家具・電気・ガス・家庭用品-床用敷物(業務用)</t>
  </si>
  <si>
    <t>92505933</t>
  </si>
  <si>
    <t>各事業有固-工具器具及び備品-工器備-家具・電気・ガス・家庭用品-床用敷物(その他)</t>
  </si>
  <si>
    <t>92505934</t>
  </si>
  <si>
    <t>各事業有固-工具器具及び備品-工器備-家具・電気・ガス・家庭用品-室内装飾品(金属製)</t>
  </si>
  <si>
    <t>92505935</t>
  </si>
  <si>
    <t>各事業有固-工具器具及び備品-工器備-家具・電気・ガス・家庭用品-室内装飾品(その他)</t>
  </si>
  <si>
    <t>92505936</t>
  </si>
  <si>
    <t>各事業有固-工具器具及び備品-工器備-家具・電気・ガス・家庭用品-食事・厨房用品(陶磁器)</t>
  </si>
  <si>
    <t>92505937</t>
  </si>
  <si>
    <t>各事業有固-工具器具及び備品-工器備-家具・電気・ガス・家庭用品-食事・厨房用品(その他)</t>
  </si>
  <si>
    <t>92505938</t>
  </si>
  <si>
    <t>各事業有固-工具器具及び備品-工器備-家具・電気・ガス・家庭用品-その他のもの(金属製)</t>
  </si>
  <si>
    <t>92505939</t>
  </si>
  <si>
    <t>各事業有固-工具器具及び備品-工器備-家具・電気・ガス・家庭用品-その他のもの(その他)</t>
  </si>
  <si>
    <t>92505940</t>
  </si>
  <si>
    <t>各事業有固-工具器具及び備品-工器備-事務・通信機器-謄写機器・タイプライター(印書業用)</t>
  </si>
  <si>
    <t>92505941</t>
  </si>
  <si>
    <t>各事業有固-工具器具及び備品-工器備-事務・通信機器-謄写機器・タイプライター(その他)</t>
  </si>
  <si>
    <t>92505942</t>
  </si>
  <si>
    <t>各事業有固-工具器具及び備品-工器備-事務・通信機器-電子計算機(PC(サーバ用を除く))</t>
  </si>
  <si>
    <t>92505943</t>
  </si>
  <si>
    <t>各事業有固-工具器具及び備品-工器備-事務・通信機器-電子計算機(その他)</t>
  </si>
  <si>
    <t>92505944</t>
  </si>
  <si>
    <t>各事業有固-工具器具及び備品-工器備-事務・通信機器-複写機・計算機・金銭登録機</t>
  </si>
  <si>
    <t>92505945</t>
  </si>
  <si>
    <t>各事業有固-工具器具及び備品-工器備-事務・通信機器-その他の事務機器</t>
  </si>
  <si>
    <t>92505946</t>
  </si>
  <si>
    <t>各事業有固-工具器具及び備品-工器備-事務・通信機器-テレタイプライター及びファクシミリ</t>
  </si>
  <si>
    <t>92505947</t>
  </si>
  <si>
    <t>各事業有固-工具器具及び備品-工器備-事務・通信機器-インターホーン及び放送用設備</t>
  </si>
  <si>
    <t>92505948</t>
  </si>
  <si>
    <t>各事業有固-工具器具及び備品-工器備-事務・通信機器-その他の通信機器(デジタル構内交換)</t>
  </si>
  <si>
    <t>92505949</t>
  </si>
  <si>
    <t>各事業有固-工具器具及び備品-工器備-事務・通信機器-その他の通信機器(その他のもの)</t>
  </si>
  <si>
    <t>92505950</t>
  </si>
  <si>
    <t>各事業有固-工具器具及び備品-工器備-時計、試験機器及び測定機器-時計</t>
  </si>
  <si>
    <t>92505951</t>
  </si>
  <si>
    <t>各事業有固-工具器具及び備品-工器備-時計、試験機器及び測定機器-度量衝器</t>
  </si>
  <si>
    <t>92505952</t>
  </si>
  <si>
    <t>各事業有固-工具器具及び備品-工器備-時計、試験機器及び測定機器-試験又は測定機器</t>
  </si>
  <si>
    <t>92505953</t>
  </si>
  <si>
    <t>各事業有固-工具器具及び備品-工器備-光学・写真製作機器-オペラグラス</t>
  </si>
  <si>
    <t>92505954</t>
  </si>
  <si>
    <t>各事業有固-工具器具及び備品-工器備-光学・写真製作機器-カメラ、映画撮影機、映写機</t>
  </si>
  <si>
    <t>92505955</t>
  </si>
  <si>
    <t>各事業有固-工具器具及び備品-工器備-光学・写真製作機器-その他の機器</t>
  </si>
  <si>
    <t>92505956</t>
  </si>
  <si>
    <t>各事業有固-工具器具及び備品-工器備-看板・広告機器-看板、ネオンサイン及び気球</t>
  </si>
  <si>
    <t>92505957</t>
  </si>
  <si>
    <t>各事業有固-工具器具及び備品-工器備-看板・広告機器-マネキン人形及び模型</t>
  </si>
  <si>
    <t>92505958</t>
  </si>
  <si>
    <t>各事業有固-工具器具及び備品-工器備-看板・広告機器-その他のもの(主として金属製のもの)</t>
  </si>
  <si>
    <t>92505959</t>
  </si>
  <si>
    <t>各事業有固-工具器具及び備品-工器備-看板・広告機器-その他のもの(その他のもの)</t>
  </si>
  <si>
    <t>92505960</t>
  </si>
  <si>
    <t>各事業有固-工具器具及び備品-工器備-容器・金庫-ボンベ(溶接製のもの</t>
  </si>
  <si>
    <t>92505961</t>
  </si>
  <si>
    <t>各事業有固-工具器具及び備品-工器備-容器・金庫-ボンベ(鍛造製)(塩素用のもの)</t>
  </si>
  <si>
    <t>92505962</t>
  </si>
  <si>
    <t>各事業有固-工具器具及び備品-工器備-容器・金庫-ボンベ(鍛造製)(その他のもの)</t>
  </si>
  <si>
    <t>92505963</t>
  </si>
  <si>
    <t>各事業有固-工具器具及び備品-工器備-容器・金庫-その他容器(コンテナ(長さが6m以上))</t>
  </si>
  <si>
    <t>92505964</t>
  </si>
  <si>
    <t>各事業有固-工具器具及び備品-工器備-容器・金庫-その他の容器(金属製のもの)</t>
  </si>
  <si>
    <t>92505965</t>
  </si>
  <si>
    <t>各事業有固-工具器具及び備品-工器備-容器・金庫-その他の容器(その他のもの)</t>
  </si>
  <si>
    <t>92505966</t>
  </si>
  <si>
    <t>各事業有固-工具器具及び備品-工器備-容器・金庫-金庫(手さげ金庫)</t>
  </si>
  <si>
    <t>92505967</t>
  </si>
  <si>
    <t>各事業有固-工具器具及び備品-工器備-容器・金庫-金庫(その他のもの)</t>
  </si>
  <si>
    <t>92505968</t>
  </si>
  <si>
    <t>各事業有固-工具器具及び備品-工器備-医療機器-消毒殺菌用機器</t>
  </si>
  <si>
    <t>92505969</t>
  </si>
  <si>
    <t>各事業有固-工具器具及び備品-工器備-医療機器-手術機器</t>
  </si>
  <si>
    <t>92505970</t>
  </si>
  <si>
    <t>各事業有固-工具器具及び備品-工器備-医療機器-血液透析又は血しょう交換用機器</t>
  </si>
  <si>
    <t>92505971</t>
  </si>
  <si>
    <t>各事業有固-工具器具及び備品-工器備-医療機器-その他の作動部分を有する機能回復訓練機器</t>
  </si>
  <si>
    <t>92505972</t>
  </si>
  <si>
    <t>各事業有固-工具器具及び備品-工器備-医療機器-調剤機器</t>
  </si>
  <si>
    <t>92505973</t>
  </si>
  <si>
    <t>各事業有固-工具器具及び備品-工器備-医療機器-歯科診療用ユニット</t>
  </si>
  <si>
    <t>92505974</t>
  </si>
  <si>
    <t>各事業有固-工具器具及び備品-工器備-医療機器-光学検査機器(ファイバースコープ)</t>
  </si>
  <si>
    <t>92505975</t>
  </si>
  <si>
    <t>各事業有固-工具器具及び備品-工器備-医療機器-光学検査機器(その他のもの)</t>
  </si>
  <si>
    <t>92505976</t>
  </si>
  <si>
    <t>各事業有固-工具器具及び備品-工器備-医療機器-その他の電子装置を使用する機器(移動式)</t>
  </si>
  <si>
    <t>92505977</t>
  </si>
  <si>
    <t>各事業有固-工具器具及び備品-工器備-医療機器-その他の電子装置を使用する機器(その他)</t>
  </si>
  <si>
    <t>92505978</t>
  </si>
  <si>
    <t>各事業有固-工具器具及び備品-工器備-医療機器-その他のもの(陶磁器製又はガラス製のもの)</t>
  </si>
  <si>
    <t>92505979</t>
  </si>
  <si>
    <t>各事業有固-工具器具及び備品-工器備-医療機器-その他のもの(主として金属製のもの)</t>
  </si>
  <si>
    <t>92505980</t>
  </si>
  <si>
    <t>各事業有固-工具器具及び備品-工器備-医療機器-その他のもの(その他のもの)</t>
  </si>
  <si>
    <t>92505981</t>
  </si>
  <si>
    <t>各事業有固-工具器具及び備品-工器備-前掲以外-映画フイルム・磁気テープ・レコード</t>
  </si>
  <si>
    <t>92505982</t>
  </si>
  <si>
    <t>各事業有固-工具器具及び備品-工器備-前掲以外-シート及びロープ</t>
  </si>
  <si>
    <t>92505983</t>
  </si>
  <si>
    <t>各事業有固-工具器具及び備品-工器備-前掲以外-きのこ栽培用ほだ木</t>
  </si>
  <si>
    <t>92505984</t>
  </si>
  <si>
    <t>各事業有固-工具器具及び備品-工器備-前掲以外-漁具</t>
  </si>
  <si>
    <t>92505985</t>
  </si>
  <si>
    <t>各事業有固-工具器具及び備品-工器備-前掲以外-葬儀用具</t>
  </si>
  <si>
    <t>92505986</t>
  </si>
  <si>
    <t>各事業有固-工具器具及び備品-工器備-前掲以外-楽器</t>
  </si>
  <si>
    <t>92505987</t>
  </si>
  <si>
    <t>各事業有固-工具器具及び備品-工器備-前掲以外-自動販売機(手動のものを含む。)</t>
  </si>
  <si>
    <t>92505988</t>
  </si>
  <si>
    <t>各事業有固-工具器具及び備品-工器備-前掲以外-無人駐車管理装置</t>
  </si>
  <si>
    <t>92505989</t>
  </si>
  <si>
    <t>各事業有固-工具器具及び備品-工器備-前掲以外-焼却炉</t>
  </si>
  <si>
    <t>92505990</t>
  </si>
  <si>
    <t>各事業有固-工具器具及び備品-工器備-前掲以外-その他のもの(主として金属製のもの)</t>
  </si>
  <si>
    <t>92505991</t>
  </si>
  <si>
    <t>各事業有固-工具器具及び備品-工器備-前掲以外-その他のもの(その他のもの)</t>
  </si>
  <si>
    <t>92505992</t>
  </si>
  <si>
    <t>各事業有固-工具器具及び備品-工器備-美術品(非償却)</t>
    <rPh sb="19" eb="21">
      <t>ビジュツ</t>
    </rPh>
    <rPh sb="21" eb="22">
      <t>ヒン</t>
    </rPh>
    <rPh sb="23" eb="24">
      <t>ヒ</t>
    </rPh>
    <rPh sb="24" eb="26">
      <t>ショウキャク</t>
    </rPh>
    <phoneticPr fontId="3"/>
  </si>
  <si>
    <t>92505993</t>
  </si>
  <si>
    <t>各事業有固-工具器具及び備品-工器備-美術品-償却(主として金属製のもの)</t>
    <rPh sb="19" eb="21">
      <t>ビジュツ</t>
    </rPh>
    <rPh sb="21" eb="22">
      <t>ヒン</t>
    </rPh>
    <phoneticPr fontId="3"/>
  </si>
  <si>
    <t>92505994</t>
  </si>
  <si>
    <t>各事業有固-工具器具及び備品-工器備-美術品-償却(その他のもの)</t>
    <rPh sb="19" eb="21">
      <t>ビジュツ</t>
    </rPh>
    <rPh sb="21" eb="22">
      <t>ヒン</t>
    </rPh>
    <phoneticPr fontId="3"/>
  </si>
  <si>
    <t>92506001</t>
  </si>
  <si>
    <t>各事業有固-工具器具及び備品-運搬具-前掲以外-自動車-小型車(総排気量が0.66l以下)</t>
  </si>
  <si>
    <t>92506002</t>
  </si>
  <si>
    <t>各事業有固-工具器具及び備品-運搬具-前掲以外-自動車-その他-貨物自動車-ダンプ式のもの</t>
  </si>
  <si>
    <t>92506003</t>
  </si>
  <si>
    <t>各事業有固-工具器具及び備品-運搬具-前掲以外-自動車-その他-貨物自動車-その他のもの</t>
  </si>
  <si>
    <t>92506004</t>
  </si>
  <si>
    <t>各事業有固-工具器具及び備品-運搬具-前掲以外-自動車-その他-報道通信用のもの</t>
  </si>
  <si>
    <t>92506005</t>
  </si>
  <si>
    <t>各事業有固-工具器具及び備品-運搬具-前掲以外-自動車-その他-その他</t>
  </si>
  <si>
    <t>92506006</t>
  </si>
  <si>
    <t>各事業有固-工具器具及び備品-運搬具-前掲以外-２輪又は３輪自動車</t>
  </si>
  <si>
    <t>92506007</t>
  </si>
  <si>
    <t>各事業有固-工具器具及び備品-運搬具-前掲以外-自転車</t>
  </si>
  <si>
    <t>92506008</t>
  </si>
  <si>
    <t>各事業有固-工具器具及び備品-運搬具-前掲以外-鉱山用人車、炭車、鉱車及び台車-金属製</t>
  </si>
  <si>
    <t>92506009</t>
  </si>
  <si>
    <t>各事業有固-工具器具及び備品-運搬具-前掲以外-鉱山用人車、炭車、鉱車及び台車-その他</t>
  </si>
  <si>
    <t>92506010</t>
  </si>
  <si>
    <t>各事業有固-工具器具及び備品-運搬具-前掲以外-フォークリフト</t>
  </si>
  <si>
    <t>92506011</t>
  </si>
  <si>
    <t>各事業有固-工具器具及び備品-運搬具-前掲以外-トロッコ-金属製のもの</t>
  </si>
  <si>
    <t>92506012</t>
  </si>
  <si>
    <t>各事業有固-工具器具及び備品-運搬具-前掲以外-トロッコ-その他のもの</t>
  </si>
  <si>
    <t>92506013</t>
  </si>
  <si>
    <t>各事業有固-工具器具及び備品-運搬具-前掲以外-その他のもの-自走能力を有するもの</t>
  </si>
  <si>
    <t>92506014</t>
  </si>
  <si>
    <t>各事業有固-工具器具及び備品-運搬具-前掲以外-その他のもの-その他のもの</t>
  </si>
  <si>
    <t>93006101</t>
  </si>
  <si>
    <t>各事業有固-リース資産-土地</t>
  </si>
  <si>
    <t>93006102</t>
  </si>
  <si>
    <t>各事業有固-リース資産-建物</t>
  </si>
  <si>
    <t>93006103</t>
  </si>
  <si>
    <t>各事業有固-リース資産-構築物</t>
  </si>
  <si>
    <t>93006104</t>
  </si>
  <si>
    <t>各事業有固-リース資産-車両</t>
  </si>
  <si>
    <t>93006105</t>
  </si>
  <si>
    <t>各事業有固-リース資産-機械装置</t>
  </si>
  <si>
    <t>93006106</t>
  </si>
  <si>
    <t>各事業有固-リース資産-工具器具及び備品</t>
  </si>
  <si>
    <t>99906201</t>
  </si>
  <si>
    <t>各事業有固-雑施設</t>
  </si>
  <si>
    <t>A0100001</t>
  </si>
  <si>
    <t>鉄道無固-のれん</t>
  </si>
  <si>
    <t>A0500001</t>
  </si>
  <si>
    <t>鉄道無固-借地権</t>
  </si>
  <si>
    <t>A1000001</t>
  </si>
  <si>
    <t>鉄道無固-地上権</t>
  </si>
  <si>
    <t>A1500001</t>
  </si>
  <si>
    <t>鉄道無固-商標権</t>
  </si>
  <si>
    <t>A2000001</t>
  </si>
  <si>
    <t>鉄道無固-電話加入権</t>
  </si>
  <si>
    <t>A2500001</t>
  </si>
  <si>
    <t>鉄道無固-特許権</t>
  </si>
  <si>
    <t>A3000001</t>
  </si>
  <si>
    <t>鉄道無固-連絡通行施設利用権</t>
  </si>
  <si>
    <t>A3500001</t>
  </si>
  <si>
    <t>鉄道無固-電話施設利用権</t>
  </si>
  <si>
    <t>A4000001</t>
  </si>
  <si>
    <t>鉄道無固-電気供給施設利用権</t>
  </si>
  <si>
    <t>A4500001</t>
  </si>
  <si>
    <t>鉄道無固-ガス供給施設利用権</t>
  </si>
  <si>
    <t>A5000001</t>
  </si>
  <si>
    <t>鉄道無固-熱供給施設利用権</t>
  </si>
  <si>
    <t>A5500001</t>
  </si>
  <si>
    <t>鉄道無固-水道施設利用権</t>
  </si>
  <si>
    <t>A6000001</t>
  </si>
  <si>
    <t>鉄道無固-温泉利用権</t>
  </si>
  <si>
    <t>A6500001</t>
  </si>
  <si>
    <t>鉄道無固-水利権</t>
  </si>
  <si>
    <t>A7000001</t>
  </si>
  <si>
    <t>鉄道無固-ソフトウェア-販売目的</t>
  </si>
  <si>
    <t>A7000002</t>
  </si>
  <si>
    <t>鉄道無固-ソフトウェア-その他</t>
  </si>
  <si>
    <t>A7500001</t>
  </si>
  <si>
    <t>鉄道無固-リース資産</t>
  </si>
  <si>
    <t>A9900001</t>
  </si>
  <si>
    <t>鉄道無固-その他の施設利用権</t>
  </si>
  <si>
    <t>B0100001</t>
  </si>
  <si>
    <t>広告無固-のれん</t>
  </si>
  <si>
    <t>B0500001</t>
  </si>
  <si>
    <t>広告無固-借地権</t>
  </si>
  <si>
    <t>B1000001</t>
  </si>
  <si>
    <t>広告無固-地上権</t>
  </si>
  <si>
    <t>B1500001</t>
  </si>
  <si>
    <t>広告無固-商標権</t>
  </si>
  <si>
    <t>B2000001</t>
  </si>
  <si>
    <t>広告無固-電話加入権</t>
  </si>
  <si>
    <t>B2500001</t>
  </si>
  <si>
    <t>広告無固-特許権</t>
  </si>
  <si>
    <t>B3000001</t>
  </si>
  <si>
    <t>広告無固-連絡通行施設利用権</t>
  </si>
  <si>
    <t>B3500001</t>
  </si>
  <si>
    <t>広告無固-電話施設利用権</t>
  </si>
  <si>
    <t>B4000001</t>
  </si>
  <si>
    <t>広告無固-電気供給施設利用権</t>
  </si>
  <si>
    <t>B4500001</t>
  </si>
  <si>
    <t>広告無固-ガス供給施設利用権</t>
  </si>
  <si>
    <t>B5000001</t>
  </si>
  <si>
    <t>広告無固-熱供給施設利用権</t>
  </si>
  <si>
    <t>B5500001</t>
  </si>
  <si>
    <t>広告無固-水道施設利用権</t>
  </si>
  <si>
    <t>B6000001</t>
  </si>
  <si>
    <t>広告無固-温泉利用権</t>
  </si>
  <si>
    <t>B6500001</t>
  </si>
  <si>
    <t>広告無固-水利権</t>
  </si>
  <si>
    <t>B7000001</t>
  </si>
  <si>
    <t>広告無固-ソフトウェア-販売目的</t>
  </si>
  <si>
    <t>B7000002</t>
  </si>
  <si>
    <t>広告無固-ソフトウェア-その他</t>
  </si>
  <si>
    <t>B7500001</t>
  </si>
  <si>
    <t>広告無固-リース資産</t>
  </si>
  <si>
    <t>B9900001</t>
  </si>
  <si>
    <t>広告無固-その他の施設利用権</t>
  </si>
  <si>
    <t>C0100001</t>
  </si>
  <si>
    <t>不動産無固-のれん</t>
  </si>
  <si>
    <t>C0500001</t>
  </si>
  <si>
    <t>不動産無固-借地権</t>
  </si>
  <si>
    <t>C1000001</t>
  </si>
  <si>
    <t>不動産無固-地上権</t>
  </si>
  <si>
    <t>C1500001</t>
  </si>
  <si>
    <t>不動産無固-商標権</t>
  </si>
  <si>
    <t>C2000001</t>
  </si>
  <si>
    <t>不動産無固-電話加入権</t>
  </si>
  <si>
    <t>C2500001</t>
  </si>
  <si>
    <t>不動産無固-特許権</t>
  </si>
  <si>
    <t>C3000001</t>
  </si>
  <si>
    <t>不動産無固-連絡通行施設利用権</t>
  </si>
  <si>
    <t>C3500001</t>
  </si>
  <si>
    <t>不動産無固-電話施設利用権</t>
  </si>
  <si>
    <t>C4000001</t>
  </si>
  <si>
    <t>不動産無固-電気供給施設利用権</t>
  </si>
  <si>
    <t>C4500001</t>
  </si>
  <si>
    <t>不動産無固-ガス供給施設利用権</t>
  </si>
  <si>
    <t>C5000001</t>
  </si>
  <si>
    <t>不動産無固-熱供給施設利用権</t>
  </si>
  <si>
    <t>C5500001</t>
  </si>
  <si>
    <t>不動産無固-水道施設利用権</t>
  </si>
  <si>
    <t>C6000001</t>
  </si>
  <si>
    <t>不動産無固-温泉利用権</t>
  </si>
  <si>
    <t>C6500001</t>
  </si>
  <si>
    <t>不動産無固-水利権</t>
  </si>
  <si>
    <t>C7000001</t>
  </si>
  <si>
    <t>不動産無固-ソフトウェア-販売目的</t>
  </si>
  <si>
    <t>C7000002</t>
  </si>
  <si>
    <t>不動産無固-ソフトウェア-その他</t>
  </si>
  <si>
    <t>C7500001</t>
  </si>
  <si>
    <t>不動産無固-リース資産</t>
  </si>
  <si>
    <t>C9900001</t>
  </si>
  <si>
    <t>不動産無固-その他の施設利用権</t>
  </si>
  <si>
    <t>D0100001</t>
  </si>
  <si>
    <t>流通無固-のれん</t>
  </si>
  <si>
    <t>D0500001</t>
  </si>
  <si>
    <t>流通無固-借地権</t>
  </si>
  <si>
    <t>D1000001</t>
  </si>
  <si>
    <t>流通無固-地上権</t>
  </si>
  <si>
    <t>D1500001</t>
  </si>
  <si>
    <t>流通無固-商標権</t>
  </si>
  <si>
    <t>D2000001</t>
  </si>
  <si>
    <t>流通無固-電話加入権</t>
  </si>
  <si>
    <t>D2500001</t>
  </si>
  <si>
    <t>流通無固-特許権</t>
  </si>
  <si>
    <t>D3000001</t>
  </si>
  <si>
    <t>流通無固-連絡通行施設利用権</t>
  </si>
  <si>
    <t>D3500001</t>
  </si>
  <si>
    <t>流通無固-電話施設利用権</t>
  </si>
  <si>
    <t>D4000001</t>
  </si>
  <si>
    <t>流通無固-電気供給施設利用権</t>
  </si>
  <si>
    <t>D4500001</t>
  </si>
  <si>
    <t>流通無固-ガス供給施設利用権</t>
  </si>
  <si>
    <t>D5000001</t>
  </si>
  <si>
    <t>流通無固-熱供給施設利用権</t>
  </si>
  <si>
    <t>D5500001</t>
  </si>
  <si>
    <t>流通無固-水道施設利用権</t>
  </si>
  <si>
    <t>D6000001</t>
  </si>
  <si>
    <t>流通無固-温泉利用権</t>
  </si>
  <si>
    <t>D6500001</t>
  </si>
  <si>
    <t>流通無固-水利権</t>
  </si>
  <si>
    <t>D7000001</t>
  </si>
  <si>
    <t>流通無固-ソフトウェア-販売目的</t>
  </si>
  <si>
    <t>D7000002</t>
  </si>
  <si>
    <t>流通無固-ソフトウェア-その他</t>
  </si>
  <si>
    <t>D7500001</t>
  </si>
  <si>
    <t>流通無固-リース資産</t>
  </si>
  <si>
    <t>D9900001</t>
  </si>
  <si>
    <t>流通無固-その他の施設利用権</t>
  </si>
  <si>
    <t>E0100001</t>
  </si>
  <si>
    <t>サービス無固-のれん</t>
  </si>
  <si>
    <t>E0500001</t>
  </si>
  <si>
    <t>サービス無固-借地権</t>
  </si>
  <si>
    <t>E1000001</t>
  </si>
  <si>
    <t>サービス無固-地上権</t>
  </si>
  <si>
    <t>E1500001</t>
  </si>
  <si>
    <t>サービス無固-商標権</t>
  </si>
  <si>
    <t>E2000001</t>
  </si>
  <si>
    <t>サービス無固-電話加入権</t>
  </si>
  <si>
    <t>E2500001</t>
  </si>
  <si>
    <t>サービス無固-特許権</t>
  </si>
  <si>
    <t>E3000001</t>
  </si>
  <si>
    <t>サービス無固-連絡通行施設利用権</t>
  </si>
  <si>
    <t>E3500001</t>
  </si>
  <si>
    <t>サービス無固-電話施設利用権</t>
  </si>
  <si>
    <t>E4000001</t>
  </si>
  <si>
    <t>サービス無固-電気供給施設利用権</t>
  </si>
  <si>
    <t>E4500001</t>
  </si>
  <si>
    <t>サービス無固-ガス供給施設利用権</t>
  </si>
  <si>
    <t>E5000001</t>
  </si>
  <si>
    <t>サービス無固-熱供給施設利用権</t>
  </si>
  <si>
    <t>E5500001</t>
  </si>
  <si>
    <t>サービス無固-水道施設利用権</t>
  </si>
  <si>
    <t>E6000001</t>
  </si>
  <si>
    <t>サービス無固-温泉利用権</t>
  </si>
  <si>
    <t>E6500001</t>
  </si>
  <si>
    <t>サービス無固-水利権</t>
  </si>
  <si>
    <t>E7000001</t>
  </si>
  <si>
    <t>サービス無固-ソフトウェア-販売目的</t>
  </si>
  <si>
    <t>E7000002</t>
  </si>
  <si>
    <t>サービス無固-ソフトウェア-その他</t>
  </si>
  <si>
    <t>E7500001</t>
  </si>
  <si>
    <t>サービス無固-リース資産</t>
  </si>
  <si>
    <t>E9900001</t>
  </si>
  <si>
    <t>サービス無固-その他の施設利用権</t>
  </si>
  <si>
    <t>F0100001</t>
  </si>
  <si>
    <t>各事業無固-のれん</t>
  </si>
  <si>
    <t>F0500001</t>
  </si>
  <si>
    <t>各事業無固-借地権</t>
    <rPh sb="6" eb="8">
      <t>シャクチ</t>
    </rPh>
    <rPh sb="8" eb="9">
      <t>ケン</t>
    </rPh>
    <phoneticPr fontId="3"/>
  </si>
  <si>
    <t>F1000001</t>
  </si>
  <si>
    <t>各事業無固-地上権</t>
    <rPh sb="6" eb="9">
      <t>チジョウケン</t>
    </rPh>
    <phoneticPr fontId="3"/>
  </si>
  <si>
    <t>F1500001</t>
  </si>
  <si>
    <t>各事業無固-商標権</t>
    <rPh sb="6" eb="9">
      <t>ショウヒョウケン</t>
    </rPh>
    <phoneticPr fontId="3"/>
  </si>
  <si>
    <t>F2000001</t>
  </si>
  <si>
    <t>各事業無固-電話加入権</t>
  </si>
  <si>
    <t>F2500001</t>
  </si>
  <si>
    <t>各事業無固-特許権</t>
  </si>
  <si>
    <t>F3000001</t>
  </si>
  <si>
    <t>各事業無固-連絡通行施設利用権</t>
  </si>
  <si>
    <t>F3500001</t>
  </si>
  <si>
    <t>各事業無固-電話施設利用権</t>
  </si>
  <si>
    <t>F4000001</t>
  </si>
  <si>
    <t>各事業無固-電気供給施設利用権</t>
  </si>
  <si>
    <t>F4500001</t>
  </si>
  <si>
    <t>各事業無固-ガス供給施設利用権</t>
  </si>
  <si>
    <t>F5000001</t>
  </si>
  <si>
    <t>各事業無固-熱供給施設利用権</t>
  </si>
  <si>
    <t>F5500001</t>
  </si>
  <si>
    <t>各事業無固-水道施設利用権</t>
  </si>
  <si>
    <t>F6000001</t>
  </si>
  <si>
    <t>各事業無固-温泉利用権</t>
  </si>
  <si>
    <t>F6500001</t>
  </si>
  <si>
    <t>各事業無固-水利権</t>
  </si>
  <si>
    <t>F7000001</t>
  </si>
  <si>
    <t>各事業無固-ソフトウェア-販売目的</t>
  </si>
  <si>
    <t>F7000002</t>
  </si>
  <si>
    <t>各事業無固-ソフトウェア-その他</t>
  </si>
  <si>
    <t>F7500001</t>
  </si>
  <si>
    <t>各事業無固-リース資産</t>
  </si>
  <si>
    <t>F9900001</t>
  </si>
  <si>
    <t>各事業無固-その他の施設利用権</t>
  </si>
  <si>
    <t>鉄道事業有形固定資産</t>
    <rPh sb="0" eb="2">
      <t>テツドウ</t>
    </rPh>
    <rPh sb="2" eb="4">
      <t>ジギョウ</t>
    </rPh>
    <rPh sb="4" eb="6">
      <t>ユウケイ</t>
    </rPh>
    <rPh sb="6" eb="8">
      <t>コテイ</t>
    </rPh>
    <rPh sb="8" eb="10">
      <t>シサン</t>
    </rPh>
    <phoneticPr fontId="2"/>
  </si>
  <si>
    <t>広告事業有形固定資産</t>
    <rPh sb="0" eb="2">
      <t>コウコク</t>
    </rPh>
    <rPh sb="2" eb="4">
      <t>ジギョウ</t>
    </rPh>
    <rPh sb="4" eb="6">
      <t>ユウケイ</t>
    </rPh>
    <rPh sb="6" eb="8">
      <t>コテイ</t>
    </rPh>
    <rPh sb="8" eb="10">
      <t>シサン</t>
    </rPh>
    <phoneticPr fontId="2"/>
  </si>
  <si>
    <t>不動産事業有形固定資産</t>
    <rPh sb="0" eb="3">
      <t>フドウサン</t>
    </rPh>
    <rPh sb="3" eb="5">
      <t>ジギョウ</t>
    </rPh>
    <rPh sb="5" eb="7">
      <t>ユウケイ</t>
    </rPh>
    <rPh sb="7" eb="9">
      <t>コテイ</t>
    </rPh>
    <rPh sb="9" eb="11">
      <t>シサン</t>
    </rPh>
    <phoneticPr fontId="2"/>
  </si>
  <si>
    <t>項</t>
    <rPh sb="0" eb="1">
      <t>コウ</t>
    </rPh>
    <phoneticPr fontId="2"/>
  </si>
  <si>
    <t>土地</t>
  </si>
  <si>
    <t>建物</t>
  </si>
  <si>
    <t>構築物</t>
  </si>
  <si>
    <t>車両</t>
  </si>
  <si>
    <t>機械装置</t>
  </si>
  <si>
    <t>工具・器具・備品</t>
  </si>
  <si>
    <t>リース資産</t>
  </si>
  <si>
    <t>目</t>
    <rPh sb="0" eb="1">
      <t>メ</t>
    </rPh>
    <phoneticPr fontId="2"/>
  </si>
  <si>
    <t>節</t>
    <rPh sb="0" eb="1">
      <t>セツ</t>
    </rPh>
    <phoneticPr fontId="2"/>
  </si>
  <si>
    <t>土　地</t>
  </si>
  <si>
    <t>(運送施設)</t>
  </si>
  <si>
    <t>線路、停車場用地</t>
  </si>
  <si>
    <t>変電所用地</t>
  </si>
  <si>
    <t>車庫、工場用地</t>
  </si>
  <si>
    <t>倉庫用地</t>
  </si>
  <si>
    <t>事務所用地</t>
  </si>
  <si>
    <t>社宅、寮用地</t>
  </si>
  <si>
    <t>雑用地</t>
  </si>
  <si>
    <t>建　物</t>
  </si>
  <si>
    <t>停車場建物</t>
  </si>
  <si>
    <t>変電所建物</t>
  </si>
  <si>
    <t>車庫、工場建物</t>
  </si>
  <si>
    <t>倉庫建物</t>
  </si>
  <si>
    <t>詰所建物</t>
  </si>
  <si>
    <t>事務所建物</t>
  </si>
  <si>
    <t>社宅及び寮建物</t>
  </si>
  <si>
    <t>雑建物</t>
  </si>
  <si>
    <t>(線路設備)</t>
  </si>
  <si>
    <t>軌道</t>
  </si>
  <si>
    <t>レール及び附属品</t>
  </si>
  <si>
    <t>分岐器</t>
  </si>
  <si>
    <t>まくら木</t>
  </si>
  <si>
    <t>道床</t>
  </si>
  <si>
    <t>舗装</t>
  </si>
  <si>
    <t>諸標・車止め</t>
  </si>
  <si>
    <t>土工</t>
  </si>
  <si>
    <t>線路切取</t>
  </si>
  <si>
    <t>線路築堤</t>
  </si>
  <si>
    <t>川道付替</t>
  </si>
  <si>
    <t>土留め</t>
  </si>
  <si>
    <t>橋りょう</t>
  </si>
  <si>
    <t>鉄筋コンクリート造り</t>
  </si>
  <si>
    <t>鉄骨造り</t>
  </si>
  <si>
    <t>その他</t>
  </si>
  <si>
    <t>高架橋</t>
  </si>
  <si>
    <t>トンネル</t>
  </si>
  <si>
    <t>排水設備</t>
  </si>
  <si>
    <t>機械保安設備</t>
  </si>
  <si>
    <t>機械信号機</t>
  </si>
  <si>
    <t>諸設備</t>
  </si>
  <si>
    <t>線路諸設備</t>
  </si>
  <si>
    <t>防護設備</t>
  </si>
  <si>
    <t>さくがき</t>
  </si>
  <si>
    <t>雑設備</t>
  </si>
  <si>
    <t>(停車場設備)</t>
  </si>
  <si>
    <t>プラットホーム及び</t>
  </si>
  <si>
    <t>積卸し場</t>
  </si>
  <si>
    <t>地下道</t>
  </si>
  <si>
    <t>(電路設備)</t>
  </si>
  <si>
    <t>通信線</t>
  </si>
  <si>
    <t>電話機</t>
  </si>
  <si>
    <t>電気時計</t>
  </si>
  <si>
    <t>拡声装置</t>
  </si>
  <si>
    <t>通信諸設備</t>
  </si>
  <si>
    <t>信号線</t>
  </si>
  <si>
    <t>閉そく装置</t>
  </si>
  <si>
    <t>電気信号機</t>
  </si>
  <si>
    <t>連動機</t>
  </si>
  <si>
    <t>転てつ器</t>
  </si>
  <si>
    <t>自動列車制御装置</t>
  </si>
  <si>
    <t>自動列車運転装置</t>
  </si>
  <si>
    <t>列車集中制御装置</t>
  </si>
  <si>
    <t>自動列車進路制御装置</t>
  </si>
  <si>
    <t>電気保安諸設備</t>
  </si>
  <si>
    <t>送電線</t>
  </si>
  <si>
    <t>配電線</t>
  </si>
  <si>
    <t>き電線</t>
  </si>
  <si>
    <t>電車線</t>
  </si>
  <si>
    <t>サードレール</t>
  </si>
  <si>
    <t>帰線ボンド</t>
  </si>
  <si>
    <t>電灯電力線</t>
  </si>
  <si>
    <t>電力線諸設備</t>
  </si>
  <si>
    <t>支持物</t>
  </si>
  <si>
    <t>鉄柱・コンクリート柱</t>
  </si>
  <si>
    <t>木柱</t>
  </si>
  <si>
    <t>その他の支持物</t>
  </si>
  <si>
    <t>(諸構築物)</t>
  </si>
  <si>
    <t>車　両</t>
  </si>
  <si>
    <t>(なし)</t>
  </si>
  <si>
    <t>電動客車</t>
  </si>
  <si>
    <t>制御客車</t>
  </si>
  <si>
    <t>付随客車</t>
  </si>
  <si>
    <t>特殊車両</t>
  </si>
  <si>
    <t>変電所機械</t>
  </si>
  <si>
    <t>通信機械</t>
  </si>
  <si>
    <t>交換設備</t>
  </si>
  <si>
    <t>無線設備</t>
  </si>
  <si>
    <t>搬送設備</t>
  </si>
  <si>
    <t>停車場機械</t>
  </si>
  <si>
    <t>工場機械</t>
  </si>
  <si>
    <t>雑機械</t>
  </si>
  <si>
    <t>運搬具</t>
  </si>
  <si>
    <t>雑施設</t>
  </si>
  <si>
    <t>(案内宣伝施設)</t>
  </si>
  <si>
    <t>アーケード又は日よけ設備-その他のもの-停車場建物</t>
  </si>
  <si>
    <t>店用簡易設備-停車場建物</t>
  </si>
  <si>
    <t>建築仕上げ</t>
    <rPh sb="0" eb="2">
      <t>ケンチク</t>
    </rPh>
    <rPh sb="2" eb="4">
      <t>シア</t>
    </rPh>
    <phoneticPr fontId="2"/>
  </si>
  <si>
    <t>耐用年数</t>
    <rPh sb="0" eb="2">
      <t>タイヨウ</t>
    </rPh>
    <rPh sb="2" eb="4">
      <t>ネンスウ</t>
    </rPh>
    <phoneticPr fontId="2"/>
  </si>
  <si>
    <t>停車場</t>
    <rPh sb="0" eb="3">
      <t>テイシャジョウ</t>
    </rPh>
    <phoneticPr fontId="2"/>
  </si>
  <si>
    <t>変電所</t>
    <rPh sb="0" eb="3">
      <t>ヘンデンショ</t>
    </rPh>
    <phoneticPr fontId="2"/>
  </si>
  <si>
    <t>車庫</t>
    <rPh sb="0" eb="2">
      <t>シャコ</t>
    </rPh>
    <phoneticPr fontId="2"/>
  </si>
  <si>
    <t>倉庫</t>
    <rPh sb="0" eb="2">
      <t>ソウコ</t>
    </rPh>
    <phoneticPr fontId="2"/>
  </si>
  <si>
    <t>詰所</t>
    <rPh sb="0" eb="2">
      <t>ツメショ</t>
    </rPh>
    <phoneticPr fontId="2"/>
  </si>
  <si>
    <t>事務所</t>
    <rPh sb="0" eb="2">
      <t>ジム</t>
    </rPh>
    <rPh sb="2" eb="3">
      <t>ショ</t>
    </rPh>
    <phoneticPr fontId="2"/>
  </si>
  <si>
    <t>社宅</t>
    <rPh sb="0" eb="2">
      <t>シャタク</t>
    </rPh>
    <phoneticPr fontId="2"/>
  </si>
  <si>
    <t>雑</t>
    <rPh sb="0" eb="1">
      <t>ザツ</t>
    </rPh>
    <phoneticPr fontId="2"/>
  </si>
  <si>
    <t>＊器具本体・金属枠・板面共</t>
    <rPh sb="1" eb="3">
      <t>キグ</t>
    </rPh>
    <rPh sb="3" eb="5">
      <t>ホンタイ</t>
    </rPh>
    <rPh sb="6" eb="8">
      <t>キンゾク</t>
    </rPh>
    <rPh sb="8" eb="9">
      <t>ワク</t>
    </rPh>
    <rPh sb="10" eb="12">
      <t>バンメン</t>
    </rPh>
    <rPh sb="12" eb="13">
      <t>トモ</t>
    </rPh>
    <phoneticPr fontId="2"/>
  </si>
  <si>
    <t>＊枠無し板面のみ</t>
    <rPh sb="1" eb="2">
      <t>ワク</t>
    </rPh>
    <rPh sb="2" eb="3">
      <t>ナ</t>
    </rPh>
    <rPh sb="4" eb="5">
      <t>イタ</t>
    </rPh>
    <rPh sb="5" eb="6">
      <t>メン</t>
    </rPh>
    <phoneticPr fontId="2"/>
  </si>
  <si>
    <t>建物　工事価格　計</t>
    <rPh sb="0" eb="2">
      <t>タテモノ</t>
    </rPh>
    <rPh sb="3" eb="5">
      <t>コウジ</t>
    </rPh>
    <rPh sb="5" eb="7">
      <t>カカク</t>
    </rPh>
    <rPh sb="8" eb="9">
      <t>ケイ</t>
    </rPh>
    <phoneticPr fontId="2"/>
  </si>
  <si>
    <t>工具・器具・備品　工事価格　計</t>
    <rPh sb="0" eb="2">
      <t>コウグ</t>
    </rPh>
    <rPh sb="3" eb="5">
      <t>キグ</t>
    </rPh>
    <rPh sb="6" eb="8">
      <t>ビヒン</t>
    </rPh>
    <rPh sb="9" eb="11">
      <t>コウジ</t>
    </rPh>
    <rPh sb="11" eb="13">
      <t>カカク</t>
    </rPh>
    <rPh sb="14" eb="15">
      <t>ケイ</t>
    </rPh>
    <phoneticPr fontId="2"/>
  </si>
  <si>
    <t>工事価格合計</t>
    <rPh sb="0" eb="2">
      <t>コウジ</t>
    </rPh>
    <rPh sb="2" eb="4">
      <t>カカク</t>
    </rPh>
    <rPh sb="4" eb="6">
      <t>ゴウケイ</t>
    </rPh>
    <phoneticPr fontId="2"/>
  </si>
  <si>
    <t>資　産　ク　ラ　ス　分　割　表</t>
    <rPh sb="0" eb="1">
      <t>シ</t>
    </rPh>
    <rPh sb="2" eb="3">
      <t>サン</t>
    </rPh>
    <rPh sb="10" eb="11">
      <t>ブン</t>
    </rPh>
    <rPh sb="12" eb="13">
      <t>ワリ</t>
    </rPh>
    <rPh sb="14" eb="15">
      <t>ヒョウ</t>
    </rPh>
    <phoneticPr fontId="2"/>
  </si>
  <si>
    <t>電気設備(照明設備を含む)-その他のもの-倉庫建物</t>
    <phoneticPr fontId="2"/>
  </si>
  <si>
    <t>消火・排煙・災害報知設備及び格納式避難設備-倉庫建物</t>
    <phoneticPr fontId="2"/>
  </si>
  <si>
    <t>アーケード又は日よけ設備-その他のもの-倉庫建物</t>
    <phoneticPr fontId="2"/>
  </si>
  <si>
    <t>可動簡易装備-その他のもの-倉庫建物</t>
    <phoneticPr fontId="2"/>
  </si>
  <si>
    <t>簡易建物(木製主要柱が10cm角以下で土居、杉皮ぶき等)-事務所建物</t>
    <phoneticPr fontId="2"/>
  </si>
  <si>
    <t>資産計上建物　計</t>
    <rPh sb="0" eb="2">
      <t>シサン</t>
    </rPh>
    <rPh sb="2" eb="4">
      <t>ケイジョウ</t>
    </rPh>
    <rPh sb="4" eb="6">
      <t>タテモノ</t>
    </rPh>
    <rPh sb="7" eb="8">
      <t>ケイ</t>
    </rPh>
    <phoneticPr fontId="2"/>
  </si>
  <si>
    <t>資産計上工具・器具・備品計</t>
    <rPh sb="0" eb="2">
      <t>シサン</t>
    </rPh>
    <rPh sb="2" eb="4">
      <t>ケイジョウ</t>
    </rPh>
    <rPh sb="4" eb="6">
      <t>コウグ</t>
    </rPh>
    <rPh sb="7" eb="9">
      <t>キグ</t>
    </rPh>
    <rPh sb="10" eb="12">
      <t>ビヒン</t>
    </rPh>
    <rPh sb="12" eb="13">
      <t>ケイ</t>
    </rPh>
    <phoneticPr fontId="2"/>
  </si>
  <si>
    <t>勘定科目「目」を選択--&gt;</t>
    <rPh sb="5" eb="6">
      <t>モク</t>
    </rPh>
    <phoneticPr fontId="2"/>
  </si>
  <si>
    <t>勘定科目「項」--&gt;</t>
    <rPh sb="5" eb="6">
      <t>コウ</t>
    </rPh>
    <phoneticPr fontId="2"/>
  </si>
  <si>
    <t>勘定科目「目」--&gt;</t>
    <rPh sb="5" eb="6">
      <t>モク</t>
    </rPh>
    <phoneticPr fontId="2"/>
  </si>
  <si>
    <t>災害防止施設</t>
  </si>
  <si>
    <t>枠組用防護棚　　架払手間</t>
  </si>
  <si>
    <t>資産クラス</t>
  </si>
  <si>
    <t>024雑設備</t>
  </si>
  <si>
    <t>049車庫工場構築物</t>
  </si>
  <si>
    <t>050変電所構築物</t>
  </si>
  <si>
    <t>999雑構築物</t>
  </si>
  <si>
    <t>10構築物（抜粋）</t>
    <rPh sb="2" eb="5">
      <t>コウチクブツ</t>
    </rPh>
    <rPh sb="6" eb="8">
      <t>バッスイ</t>
    </rPh>
    <phoneticPr fontId="2"/>
  </si>
  <si>
    <t>資産計上構築物　計</t>
    <rPh sb="0" eb="2">
      <t>シサン</t>
    </rPh>
    <rPh sb="2" eb="4">
      <t>ケイジョウ</t>
    </rPh>
    <rPh sb="4" eb="7">
      <t>コウチクブツ</t>
    </rPh>
    <rPh sb="8" eb="9">
      <t>ケイ</t>
    </rPh>
    <phoneticPr fontId="2"/>
  </si>
  <si>
    <t>舗装</t>
    <rPh sb="0" eb="2">
      <t>ホソウ</t>
    </rPh>
    <phoneticPr fontId="2"/>
  </si>
  <si>
    <t>024雑設備</t>
    <rPh sb="3" eb="4">
      <t>ザツ</t>
    </rPh>
    <rPh sb="4" eb="6">
      <t>セツビ</t>
    </rPh>
    <phoneticPr fontId="2"/>
  </si>
  <si>
    <t>コンクリ・ブロック・レンガ・石敷</t>
    <rPh sb="14" eb="15">
      <t>イシ</t>
    </rPh>
    <rPh sb="15" eb="16">
      <t>シキ</t>
    </rPh>
    <phoneticPr fontId="2"/>
  </si>
  <si>
    <t>アスファルト・木れんか敷</t>
    <rPh sb="7" eb="8">
      <t>キ</t>
    </rPh>
    <rPh sb="11" eb="12">
      <t>シキ</t>
    </rPh>
    <phoneticPr fontId="2"/>
  </si>
  <si>
    <t>ビチューマルス敷</t>
    <rPh sb="7" eb="8">
      <t>シキ</t>
    </rPh>
    <phoneticPr fontId="2"/>
  </si>
  <si>
    <t>その他</t>
    <rPh sb="2" eb="3">
      <t>タ</t>
    </rPh>
    <phoneticPr fontId="2"/>
  </si>
  <si>
    <t>02</t>
  </si>
  <si>
    <t>03</t>
  </si>
  <si>
    <t>04</t>
  </si>
  <si>
    <t>05</t>
  </si>
  <si>
    <t>06</t>
  </si>
  <si>
    <t>07</t>
  </si>
  <si>
    <t>鉄骨鉄筋コン造・鉄コン造</t>
    <rPh sb="0" eb="2">
      <t>テッコツ</t>
    </rPh>
    <rPh sb="2" eb="4">
      <t>テッキン</t>
    </rPh>
    <rPh sb="6" eb="7">
      <t>ゾウ</t>
    </rPh>
    <rPh sb="8" eb="9">
      <t>テツ</t>
    </rPh>
    <rPh sb="11" eb="12">
      <t>ゾウ</t>
    </rPh>
    <phoneticPr fontId="2"/>
  </si>
  <si>
    <t>コン造・コンクリートブロック造</t>
    <rPh sb="2" eb="3">
      <t>ゾウ</t>
    </rPh>
    <rPh sb="14" eb="15">
      <t>ゾウ</t>
    </rPh>
    <phoneticPr fontId="2"/>
  </si>
  <si>
    <t>08</t>
  </si>
  <si>
    <t>09</t>
  </si>
  <si>
    <t>金属造</t>
    <rPh sb="0" eb="2">
      <t>キンゾク</t>
    </rPh>
    <rPh sb="2" eb="3">
      <t>ゾウ</t>
    </rPh>
    <phoneticPr fontId="2"/>
  </si>
  <si>
    <t>木造</t>
    <rPh sb="0" eb="1">
      <t>モク</t>
    </rPh>
    <rPh sb="1" eb="2">
      <t>ゾウ</t>
    </rPh>
    <phoneticPr fontId="2"/>
  </si>
  <si>
    <t>電照サイン</t>
    <rPh sb="0" eb="2">
      <t>デンショウ</t>
    </rPh>
    <phoneticPr fontId="2"/>
  </si>
  <si>
    <t>非電照サイン</t>
    <rPh sb="0" eb="1">
      <t>ヒ</t>
    </rPh>
    <rPh sb="1" eb="3">
      <t>デンショウ</t>
    </rPh>
    <phoneticPr fontId="2"/>
  </si>
  <si>
    <t>電照広告</t>
    <rPh sb="0" eb="2">
      <t>デンショウ</t>
    </rPh>
    <rPh sb="2" eb="4">
      <t>コウコク</t>
    </rPh>
    <phoneticPr fontId="2"/>
  </si>
  <si>
    <t>非電照広告</t>
    <rPh sb="0" eb="1">
      <t>ヒ</t>
    </rPh>
    <rPh sb="1" eb="2">
      <t>デン</t>
    </rPh>
    <rPh sb="2" eb="3">
      <t>テ</t>
    </rPh>
    <rPh sb="3" eb="5">
      <t>コウコク</t>
    </rPh>
    <phoneticPr fontId="2"/>
  </si>
  <si>
    <t>電気設備</t>
    <rPh sb="0" eb="2">
      <t>デンキ</t>
    </rPh>
    <rPh sb="2" eb="4">
      <t>セツビ</t>
    </rPh>
    <phoneticPr fontId="2"/>
  </si>
  <si>
    <t>構築物　工事価格　計</t>
    <rPh sb="0" eb="3">
      <t>コウチクブツ</t>
    </rPh>
    <rPh sb="4" eb="6">
      <t>コウジ</t>
    </rPh>
    <rPh sb="6" eb="8">
      <t>カカク</t>
    </rPh>
    <rPh sb="9" eb="10">
      <t>ケイ</t>
    </rPh>
    <phoneticPr fontId="2"/>
  </si>
  <si>
    <t>計上区分　資産or費用を選択⇒</t>
    <rPh sb="0" eb="2">
      <t>ケイジョウ</t>
    </rPh>
    <rPh sb="2" eb="4">
      <t>クブン</t>
    </rPh>
    <rPh sb="5" eb="7">
      <t>シサン</t>
    </rPh>
    <rPh sb="9" eb="11">
      <t>ヒヨウ</t>
    </rPh>
    <rPh sb="12" eb="14">
      <t>センタク</t>
    </rPh>
    <phoneticPr fontId="2"/>
  </si>
  <si>
    <t>費用計上した工事価格</t>
    <rPh sb="0" eb="2">
      <t>ヒヨウ</t>
    </rPh>
    <rPh sb="2" eb="4">
      <t>ケイジョウ</t>
    </rPh>
    <rPh sb="6" eb="8">
      <t>コウジ</t>
    </rPh>
    <rPh sb="8" eb="10">
      <t>カカク</t>
    </rPh>
    <phoneticPr fontId="2"/>
  </si>
  <si>
    <t>舗装道路・舗装路面-コンクリート敷、ブロック敷、煉瓦敷、石敷-車庫工場構築物</t>
    <rPh sb="0" eb="2">
      <t>ホソウ</t>
    </rPh>
    <rPh sb="2" eb="4">
      <t>ドウロ</t>
    </rPh>
    <rPh sb="5" eb="7">
      <t>ホソウ</t>
    </rPh>
    <rPh sb="7" eb="9">
      <t>ロメン</t>
    </rPh>
    <rPh sb="16" eb="17">
      <t>シキ</t>
    </rPh>
    <rPh sb="22" eb="23">
      <t>シキ</t>
    </rPh>
    <rPh sb="24" eb="26">
      <t>レンガ</t>
    </rPh>
    <rPh sb="26" eb="27">
      <t>シキ</t>
    </rPh>
    <rPh sb="28" eb="29">
      <t>イシ</t>
    </rPh>
    <rPh sb="29" eb="30">
      <t>シキ</t>
    </rPh>
    <phoneticPr fontId="2"/>
  </si>
  <si>
    <t>舗装道路・舗装路面-アスファルト敷又は木れんが敷のもの-車庫工場構築物</t>
    <rPh sb="0" eb="2">
      <t>ホソウ</t>
    </rPh>
    <rPh sb="2" eb="4">
      <t>ドウロ</t>
    </rPh>
    <rPh sb="5" eb="7">
      <t>ホソウ</t>
    </rPh>
    <rPh sb="7" eb="9">
      <t>ロメン</t>
    </rPh>
    <rPh sb="16" eb="17">
      <t>シキ</t>
    </rPh>
    <rPh sb="17" eb="18">
      <t>マタ</t>
    </rPh>
    <rPh sb="19" eb="20">
      <t>モク</t>
    </rPh>
    <rPh sb="23" eb="24">
      <t>シキ</t>
    </rPh>
    <phoneticPr fontId="2"/>
  </si>
  <si>
    <t>舗装道路・舗装路面-ビチューマルチ敷のもの-車庫工場構築物</t>
    <rPh sb="0" eb="2">
      <t>ホソウ</t>
    </rPh>
    <rPh sb="2" eb="4">
      <t>ドウロ</t>
    </rPh>
    <rPh sb="5" eb="7">
      <t>ホソウ</t>
    </rPh>
    <rPh sb="7" eb="9">
      <t>ロメン</t>
    </rPh>
    <rPh sb="17" eb="18">
      <t>シキ</t>
    </rPh>
    <phoneticPr fontId="2"/>
  </si>
  <si>
    <t>鉄骨鉄筋コン造・鉄コン造-へい-車庫工場構築物</t>
    <rPh sb="0" eb="2">
      <t>テッコツ</t>
    </rPh>
    <rPh sb="2" eb="4">
      <t>テッキン</t>
    </rPh>
    <rPh sb="6" eb="7">
      <t>ゾウ</t>
    </rPh>
    <rPh sb="8" eb="9">
      <t>テツ</t>
    </rPh>
    <rPh sb="11" eb="12">
      <t>ゾウ</t>
    </rPh>
    <phoneticPr fontId="2"/>
  </si>
  <si>
    <t>鉄骨鉄筋コン造・鉄コン造-その他-車庫工場構築物</t>
    <rPh sb="0" eb="2">
      <t>テッコツ</t>
    </rPh>
    <rPh sb="2" eb="4">
      <t>テッキン</t>
    </rPh>
    <rPh sb="6" eb="7">
      <t>ゾウ</t>
    </rPh>
    <rPh sb="8" eb="9">
      <t>テツ</t>
    </rPh>
    <rPh sb="11" eb="12">
      <t>ゾウ</t>
    </rPh>
    <rPh sb="15" eb="16">
      <t>タ</t>
    </rPh>
    <phoneticPr fontId="2"/>
  </si>
  <si>
    <t>コン造・コンクリートブロック造-へい-車庫工場構築物</t>
    <rPh sb="2" eb="3">
      <t>ゾウ</t>
    </rPh>
    <rPh sb="14" eb="15">
      <t>ゾウ</t>
    </rPh>
    <phoneticPr fontId="2"/>
  </si>
  <si>
    <t>コン造・コンクリートブロック造-その他-車庫工場構築物</t>
    <rPh sb="2" eb="3">
      <t>ゾウ</t>
    </rPh>
    <rPh sb="14" eb="15">
      <t>ゾウ</t>
    </rPh>
    <rPh sb="18" eb="19">
      <t>タ</t>
    </rPh>
    <phoneticPr fontId="2"/>
  </si>
  <si>
    <t>金属造-つり橋、煙突、焼却炉、打ち込み井戸、へい、街路及びガードレール-車庫工場構築物</t>
    <rPh sb="0" eb="2">
      <t>キンゾク</t>
    </rPh>
    <rPh sb="2" eb="3">
      <t>ゾウ</t>
    </rPh>
    <rPh sb="6" eb="7">
      <t>ハシ</t>
    </rPh>
    <rPh sb="8" eb="10">
      <t>エントツ</t>
    </rPh>
    <rPh sb="11" eb="14">
      <t>ショウキャクロ</t>
    </rPh>
    <rPh sb="15" eb="16">
      <t>ウ</t>
    </rPh>
    <rPh sb="17" eb="18">
      <t>コ</t>
    </rPh>
    <rPh sb="19" eb="21">
      <t>イド</t>
    </rPh>
    <rPh sb="25" eb="27">
      <t>ガイロ</t>
    </rPh>
    <rPh sb="27" eb="28">
      <t>オヨ</t>
    </rPh>
    <phoneticPr fontId="2"/>
  </si>
  <si>
    <t>金属造-その他-車庫工場構築物</t>
    <rPh sb="0" eb="2">
      <t>キンゾク</t>
    </rPh>
    <rPh sb="2" eb="3">
      <t>ゾウ</t>
    </rPh>
    <rPh sb="6" eb="7">
      <t>タ</t>
    </rPh>
    <phoneticPr fontId="2"/>
  </si>
  <si>
    <t>木造-へい-車庫工場構築物</t>
    <rPh sb="0" eb="2">
      <t>モクゾウ</t>
    </rPh>
    <phoneticPr fontId="2"/>
  </si>
  <si>
    <t>木造-その他-車庫工場構築物</t>
    <rPh sb="0" eb="2">
      <t>モクゾウ</t>
    </rPh>
    <rPh sb="5" eb="6">
      <t>タ</t>
    </rPh>
    <phoneticPr fontId="2"/>
  </si>
  <si>
    <t>舗装道路・舗装路面-コンクリート敷、ブロック敷、煉瓦敷、石敷-変電所構築物</t>
    <rPh sb="0" eb="2">
      <t>ホソウ</t>
    </rPh>
    <rPh sb="2" eb="4">
      <t>ドウロ</t>
    </rPh>
    <rPh sb="5" eb="7">
      <t>ホソウ</t>
    </rPh>
    <rPh sb="7" eb="9">
      <t>ロメン</t>
    </rPh>
    <rPh sb="16" eb="17">
      <t>シキ</t>
    </rPh>
    <rPh sb="22" eb="23">
      <t>シキ</t>
    </rPh>
    <rPh sb="24" eb="26">
      <t>レンガ</t>
    </rPh>
    <rPh sb="26" eb="27">
      <t>シキ</t>
    </rPh>
    <rPh sb="28" eb="29">
      <t>イシ</t>
    </rPh>
    <rPh sb="29" eb="30">
      <t>シキ</t>
    </rPh>
    <phoneticPr fontId="2"/>
  </si>
  <si>
    <t>舗装道路・舗装路面-アスファルト敷又は木れんが敷のもの-変電所構築物</t>
    <rPh sb="0" eb="2">
      <t>ホソウ</t>
    </rPh>
    <rPh sb="2" eb="4">
      <t>ドウロ</t>
    </rPh>
    <rPh sb="5" eb="7">
      <t>ホソウ</t>
    </rPh>
    <rPh sb="7" eb="9">
      <t>ロメン</t>
    </rPh>
    <rPh sb="16" eb="17">
      <t>シキ</t>
    </rPh>
    <rPh sb="17" eb="18">
      <t>マタ</t>
    </rPh>
    <rPh sb="19" eb="20">
      <t>モク</t>
    </rPh>
    <rPh sb="23" eb="24">
      <t>シキ</t>
    </rPh>
    <phoneticPr fontId="2"/>
  </si>
  <si>
    <t>舗装道路・舗装路面-ビチューマルチ敷のもの-変電所構築物</t>
    <rPh sb="0" eb="2">
      <t>ホソウ</t>
    </rPh>
    <rPh sb="2" eb="4">
      <t>ドウロ</t>
    </rPh>
    <rPh sb="5" eb="7">
      <t>ホソウ</t>
    </rPh>
    <rPh sb="7" eb="9">
      <t>ロメン</t>
    </rPh>
    <rPh sb="17" eb="18">
      <t>シキ</t>
    </rPh>
    <phoneticPr fontId="2"/>
  </si>
  <si>
    <t>鉄骨鉄筋コン造・鉄コン造-へい-変電所構築物</t>
    <rPh sb="0" eb="2">
      <t>テッコツ</t>
    </rPh>
    <rPh sb="2" eb="4">
      <t>テッキン</t>
    </rPh>
    <rPh sb="6" eb="7">
      <t>ゾウ</t>
    </rPh>
    <rPh sb="8" eb="9">
      <t>テツ</t>
    </rPh>
    <rPh sb="11" eb="12">
      <t>ゾウ</t>
    </rPh>
    <phoneticPr fontId="2"/>
  </si>
  <si>
    <t>鉄骨鉄筋コン造・鉄コン造-その他-変電所構築物</t>
    <rPh sb="0" eb="2">
      <t>テッコツ</t>
    </rPh>
    <rPh sb="2" eb="4">
      <t>テッキン</t>
    </rPh>
    <rPh sb="6" eb="7">
      <t>ゾウ</t>
    </rPh>
    <rPh sb="8" eb="9">
      <t>テツ</t>
    </rPh>
    <rPh sb="11" eb="12">
      <t>ゾウ</t>
    </rPh>
    <rPh sb="15" eb="16">
      <t>タ</t>
    </rPh>
    <phoneticPr fontId="2"/>
  </si>
  <si>
    <t>コン造・コンクリートブロック造-へい-変電所構築物</t>
    <rPh sb="2" eb="3">
      <t>ゾウ</t>
    </rPh>
    <rPh sb="14" eb="15">
      <t>ゾウ</t>
    </rPh>
    <phoneticPr fontId="2"/>
  </si>
  <si>
    <t>コン造・コンクリートブロック造-その他-変電所構築物</t>
    <rPh sb="2" eb="3">
      <t>ゾウ</t>
    </rPh>
    <rPh sb="14" eb="15">
      <t>ゾウ</t>
    </rPh>
    <rPh sb="18" eb="19">
      <t>タ</t>
    </rPh>
    <phoneticPr fontId="2"/>
  </si>
  <si>
    <t>金属造-つり橋、煙突、焼却炉、打ち込み井戸、へい、街路及びガードレール-変電所構築物</t>
    <rPh sb="0" eb="2">
      <t>キンゾク</t>
    </rPh>
    <rPh sb="2" eb="3">
      <t>ゾウ</t>
    </rPh>
    <rPh sb="6" eb="7">
      <t>ハシ</t>
    </rPh>
    <rPh sb="8" eb="10">
      <t>エントツ</t>
    </rPh>
    <rPh sb="11" eb="14">
      <t>ショウキャクロ</t>
    </rPh>
    <rPh sb="15" eb="16">
      <t>ウ</t>
    </rPh>
    <rPh sb="17" eb="18">
      <t>コ</t>
    </rPh>
    <rPh sb="19" eb="21">
      <t>イド</t>
    </rPh>
    <rPh sb="25" eb="27">
      <t>ガイロ</t>
    </rPh>
    <rPh sb="27" eb="28">
      <t>オヨ</t>
    </rPh>
    <phoneticPr fontId="2"/>
  </si>
  <si>
    <t>金属造-その他-変電所構築物</t>
    <rPh sb="0" eb="2">
      <t>キンゾク</t>
    </rPh>
    <rPh sb="2" eb="3">
      <t>ゾウ</t>
    </rPh>
    <rPh sb="6" eb="7">
      <t>タ</t>
    </rPh>
    <phoneticPr fontId="2"/>
  </si>
  <si>
    <t>木造-へい-変電所構築物</t>
    <rPh sb="0" eb="2">
      <t>モクゾウ</t>
    </rPh>
    <phoneticPr fontId="2"/>
  </si>
  <si>
    <t>木造-その他-変電所構築物</t>
    <rPh sb="0" eb="2">
      <t>モクゾウ</t>
    </rPh>
    <rPh sb="5" eb="6">
      <t>タ</t>
    </rPh>
    <phoneticPr fontId="2"/>
  </si>
  <si>
    <t>舗装道路・舗装路面-コンクリート敷、ブロック敷、煉瓦敷、石敷-雑構築物</t>
    <rPh sb="0" eb="2">
      <t>ホソウ</t>
    </rPh>
    <rPh sb="2" eb="4">
      <t>ドウロ</t>
    </rPh>
    <rPh sb="5" eb="7">
      <t>ホソウ</t>
    </rPh>
    <rPh sb="7" eb="9">
      <t>ロメン</t>
    </rPh>
    <rPh sb="16" eb="17">
      <t>シキ</t>
    </rPh>
    <rPh sb="22" eb="23">
      <t>シキ</t>
    </rPh>
    <rPh sb="24" eb="26">
      <t>レンガ</t>
    </rPh>
    <rPh sb="26" eb="27">
      <t>シキ</t>
    </rPh>
    <rPh sb="28" eb="29">
      <t>イシ</t>
    </rPh>
    <rPh sb="29" eb="30">
      <t>シキ</t>
    </rPh>
    <phoneticPr fontId="2"/>
  </si>
  <si>
    <t>舗装道路・舗装路面-アスファルト敷又は木れんが敷のもの-雑構築物</t>
    <rPh sb="0" eb="2">
      <t>ホソウ</t>
    </rPh>
    <rPh sb="2" eb="4">
      <t>ドウロ</t>
    </rPh>
    <rPh sb="5" eb="7">
      <t>ホソウ</t>
    </rPh>
    <rPh sb="7" eb="9">
      <t>ロメン</t>
    </rPh>
    <rPh sb="16" eb="17">
      <t>シキ</t>
    </rPh>
    <rPh sb="17" eb="18">
      <t>マタ</t>
    </rPh>
    <rPh sb="19" eb="20">
      <t>モク</t>
    </rPh>
    <rPh sb="23" eb="24">
      <t>シキ</t>
    </rPh>
    <phoneticPr fontId="2"/>
  </si>
  <si>
    <t>舗装道路・舗装路面-ビチューマルチ敷のもの-雑構築物</t>
    <rPh sb="0" eb="2">
      <t>ホソウ</t>
    </rPh>
    <rPh sb="2" eb="4">
      <t>ドウロ</t>
    </rPh>
    <rPh sb="5" eb="7">
      <t>ホソウ</t>
    </rPh>
    <rPh sb="7" eb="9">
      <t>ロメン</t>
    </rPh>
    <rPh sb="17" eb="18">
      <t>シキ</t>
    </rPh>
    <phoneticPr fontId="2"/>
  </si>
  <si>
    <t>鉄骨鉄筋コン造・鉄コン造-へい-雑構築物</t>
    <rPh sb="0" eb="2">
      <t>テッコツ</t>
    </rPh>
    <rPh sb="2" eb="4">
      <t>テッキン</t>
    </rPh>
    <rPh sb="6" eb="7">
      <t>ゾウ</t>
    </rPh>
    <rPh sb="8" eb="9">
      <t>テツ</t>
    </rPh>
    <rPh sb="11" eb="12">
      <t>ゾウ</t>
    </rPh>
    <phoneticPr fontId="2"/>
  </si>
  <si>
    <t>鉄骨鉄筋コン造・鉄コン造-その他-雑構築物</t>
    <rPh sb="0" eb="2">
      <t>テッコツ</t>
    </rPh>
    <rPh sb="2" eb="4">
      <t>テッキン</t>
    </rPh>
    <rPh sb="6" eb="7">
      <t>ゾウ</t>
    </rPh>
    <rPh sb="8" eb="9">
      <t>テツ</t>
    </rPh>
    <rPh sb="11" eb="12">
      <t>ゾウ</t>
    </rPh>
    <rPh sb="15" eb="16">
      <t>タ</t>
    </rPh>
    <phoneticPr fontId="2"/>
  </si>
  <si>
    <t>コン造・コンクリートブロック造-へい-雑構築物</t>
    <rPh sb="2" eb="3">
      <t>ゾウ</t>
    </rPh>
    <rPh sb="14" eb="15">
      <t>ゾウ</t>
    </rPh>
    <phoneticPr fontId="2"/>
  </si>
  <si>
    <t>コン造・コンクリートブロック造-その他-雑構築物</t>
    <rPh sb="2" eb="3">
      <t>ゾウ</t>
    </rPh>
    <rPh sb="14" eb="15">
      <t>ゾウ</t>
    </rPh>
    <rPh sb="18" eb="19">
      <t>タ</t>
    </rPh>
    <phoneticPr fontId="2"/>
  </si>
  <si>
    <t>金属造-つり橋、煙突、焼却炉、打ち込み井戸、へい、街路及びガードレール-雑構築物</t>
    <rPh sb="0" eb="2">
      <t>キンゾク</t>
    </rPh>
    <rPh sb="2" eb="3">
      <t>ゾウ</t>
    </rPh>
    <rPh sb="6" eb="7">
      <t>ハシ</t>
    </rPh>
    <rPh sb="8" eb="10">
      <t>エントツ</t>
    </rPh>
    <rPh sb="11" eb="14">
      <t>ショウキャクロ</t>
    </rPh>
    <rPh sb="15" eb="16">
      <t>ウ</t>
    </rPh>
    <rPh sb="17" eb="18">
      <t>コ</t>
    </rPh>
    <rPh sb="19" eb="21">
      <t>イド</t>
    </rPh>
    <rPh sb="25" eb="27">
      <t>ガイロ</t>
    </rPh>
    <rPh sb="27" eb="28">
      <t>オヨ</t>
    </rPh>
    <phoneticPr fontId="2"/>
  </si>
  <si>
    <t>金属造-その他-雑構築物</t>
    <rPh sb="0" eb="2">
      <t>キンゾク</t>
    </rPh>
    <rPh sb="2" eb="3">
      <t>ゾウ</t>
    </rPh>
    <rPh sb="6" eb="7">
      <t>タ</t>
    </rPh>
    <phoneticPr fontId="2"/>
  </si>
  <si>
    <t>木造-へい-雑構築物</t>
    <rPh sb="0" eb="2">
      <t>モクゾウ</t>
    </rPh>
    <phoneticPr fontId="2"/>
  </si>
  <si>
    <t>木造-その他-雑構築物</t>
    <rPh sb="0" eb="2">
      <t>モクゾウ</t>
    </rPh>
    <rPh sb="5" eb="6">
      <t>タ</t>
    </rPh>
    <phoneticPr fontId="2"/>
  </si>
  <si>
    <t>　　うち、一般管理費等</t>
    <rPh sb="5" eb="7">
      <t>イッパン</t>
    </rPh>
    <rPh sb="7" eb="10">
      <t>カンリヒ</t>
    </rPh>
    <rPh sb="10" eb="11">
      <t>トウ</t>
    </rPh>
    <phoneticPr fontId="2"/>
  </si>
  <si>
    <t>　　うち、共通仮設費 　</t>
    <rPh sb="5" eb="7">
      <t>キョウツウ</t>
    </rPh>
    <rPh sb="7" eb="9">
      <t>カセツ</t>
    </rPh>
    <rPh sb="9" eb="10">
      <t>ヒ</t>
    </rPh>
    <phoneticPr fontId="2"/>
  </si>
  <si>
    <t xml:space="preserve">　　うち、現場管理費　 </t>
    <rPh sb="5" eb="7">
      <t>ゲンバ</t>
    </rPh>
    <rPh sb="7" eb="10">
      <t>カンリヒ</t>
    </rPh>
    <phoneticPr fontId="2"/>
  </si>
  <si>
    <t>０５建物　直接工事費</t>
    <rPh sb="2" eb="4">
      <t>タテモノ</t>
    </rPh>
    <rPh sb="5" eb="7">
      <t>チョクセツ</t>
    </rPh>
    <rPh sb="7" eb="10">
      <t>コウジヒ</t>
    </rPh>
    <phoneticPr fontId="2"/>
  </si>
  <si>
    <t>１０構築物　直接工事費</t>
    <rPh sb="2" eb="5">
      <t>コウチクブツ</t>
    </rPh>
    <rPh sb="6" eb="8">
      <t>チョクセツ</t>
    </rPh>
    <rPh sb="8" eb="11">
      <t>コウジヒ</t>
    </rPh>
    <phoneticPr fontId="2"/>
  </si>
  <si>
    <t>２５工具・器具・備品　直接工事費</t>
    <rPh sb="2" eb="4">
      <t>コウグ</t>
    </rPh>
    <rPh sb="5" eb="7">
      <t>キグ</t>
    </rPh>
    <rPh sb="8" eb="10">
      <t>ビヒン</t>
    </rPh>
    <rPh sb="11" eb="13">
      <t>チョクセツ</t>
    </rPh>
    <rPh sb="13" eb="16">
      <t>コウジヒ</t>
    </rPh>
    <phoneticPr fontId="2"/>
  </si>
  <si>
    <t>資　産　ク　ラ　ス　・　計　上　区　分</t>
    <rPh sb="0" eb="1">
      <t>シ</t>
    </rPh>
    <rPh sb="2" eb="3">
      <t>サン</t>
    </rPh>
    <rPh sb="12" eb="13">
      <t>ケイ</t>
    </rPh>
    <rPh sb="14" eb="15">
      <t>ウエ</t>
    </rPh>
    <rPh sb="16" eb="17">
      <t>ク</t>
    </rPh>
    <rPh sb="18" eb="19">
      <t>ブン</t>
    </rPh>
    <phoneticPr fontId="2"/>
  </si>
  <si>
    <t>資産クラス</t>
    <rPh sb="0" eb="2">
      <t>シサン</t>
    </rPh>
    <phoneticPr fontId="2"/>
  </si>
  <si>
    <t>ＣＢ積  厚100</t>
  </si>
  <si>
    <t>野      積  D10  400*400</t>
  </si>
  <si>
    <t>廃プラ
(ｱｽﾍﾞ)</t>
  </si>
  <si>
    <t>資産ｸﾗｽ</t>
    <rPh sb="0" eb="2">
      <t>シサン</t>
    </rPh>
    <phoneticPr fontId="2"/>
  </si>
  <si>
    <t>根切り (人力)</t>
    <phoneticPr fontId="2"/>
  </si>
  <si>
    <t>人力根切り</t>
    <phoneticPr fontId="2"/>
  </si>
  <si>
    <t>m3</t>
    <phoneticPr fontId="2"/>
  </si>
  <si>
    <t>埋戻し</t>
    <phoneticPr fontId="2"/>
  </si>
  <si>
    <t>人力　締固め共</t>
    <phoneticPr fontId="2"/>
  </si>
  <si>
    <t>標準</t>
    <phoneticPr fontId="2"/>
  </si>
  <si>
    <t>---</t>
  </si>
  <si>
    <t>m3</t>
    <phoneticPr fontId="2"/>
  </si>
  <si>
    <t>掘削量≦２０m3の場合</t>
    <phoneticPr fontId="2"/>
  </si>
  <si>
    <t>05建物</t>
    <rPh sb="2" eb="4">
      <t>タテモノ</t>
    </rPh>
    <phoneticPr fontId="2"/>
  </si>
  <si>
    <t>10構築物</t>
    <rPh sb="2" eb="5">
      <t>コウチクブツ</t>
    </rPh>
    <phoneticPr fontId="2"/>
  </si>
  <si>
    <t>非電照広告</t>
    <rPh sb="0" eb="1">
      <t>ヒ</t>
    </rPh>
    <rPh sb="1" eb="3">
      <t>デンショウ</t>
    </rPh>
    <rPh sb="3" eb="5">
      <t>コウコク</t>
    </rPh>
    <phoneticPr fontId="2"/>
  </si>
  <si>
    <t>建物附属設備</t>
    <rPh sb="0" eb="2">
      <t>タテモノ</t>
    </rPh>
    <rPh sb="2" eb="4">
      <t>フゾク</t>
    </rPh>
    <rPh sb="4" eb="6">
      <t>セツビ</t>
    </rPh>
    <phoneticPr fontId="2"/>
  </si>
  <si>
    <t>作業時間</t>
    <phoneticPr fontId="2"/>
  </si>
  <si>
    <t>作業時間</t>
    <phoneticPr fontId="2"/>
  </si>
  <si>
    <t>page</t>
    <phoneticPr fontId="2"/>
  </si>
  <si>
    <t>このシートのページ数を変更したい場合は、必要ページ数を入力↓</t>
    <rPh sb="9" eb="10">
      <t>スウ</t>
    </rPh>
    <rPh sb="11" eb="13">
      <t>ヘンコウ</t>
    </rPh>
    <rPh sb="16" eb="18">
      <t>バアイ</t>
    </rPh>
    <rPh sb="20" eb="22">
      <t>ヒツヨウ</t>
    </rPh>
    <rPh sb="25" eb="26">
      <t>スウ</t>
    </rPh>
    <rPh sb="27" eb="29">
      <t>ニュウリョク</t>
    </rPh>
    <phoneticPr fontId="2"/>
  </si>
  <si>
    <t>駅前広場舗装等</t>
    <rPh sb="0" eb="1">
      <t>エキ</t>
    </rPh>
    <rPh sb="1" eb="2">
      <t>マエ</t>
    </rPh>
    <rPh sb="2" eb="4">
      <t>ヒロバ</t>
    </rPh>
    <rPh sb="4" eb="6">
      <t>ホソウ</t>
    </rPh>
    <rPh sb="6" eb="7">
      <t>トウ</t>
    </rPh>
    <phoneticPr fontId="2"/>
  </si>
  <si>
    <t>無人駐車管理装置</t>
    <rPh sb="0" eb="2">
      <t>ムジン</t>
    </rPh>
    <rPh sb="2" eb="4">
      <t>チュウシャ</t>
    </rPh>
    <rPh sb="4" eb="6">
      <t>カンリ</t>
    </rPh>
    <rPh sb="6" eb="8">
      <t>ソウチ</t>
    </rPh>
    <phoneticPr fontId="2"/>
  </si>
  <si>
    <t>その他（金造製）</t>
    <rPh sb="2" eb="3">
      <t>タ</t>
    </rPh>
    <rPh sb="4" eb="5">
      <t>キン</t>
    </rPh>
    <rPh sb="6" eb="7">
      <t>セイ</t>
    </rPh>
    <phoneticPr fontId="2"/>
  </si>
  <si>
    <t>その他（その他）</t>
    <rPh sb="2" eb="3">
      <t>タ</t>
    </rPh>
    <rPh sb="6" eb="7">
      <t>タ</t>
    </rPh>
    <phoneticPr fontId="2"/>
  </si>
  <si>
    <t>（停車場設備）</t>
    <rPh sb="1" eb="4">
      <t>テイシャジョウ</t>
    </rPh>
    <rPh sb="4" eb="6">
      <t>セツビ</t>
    </rPh>
    <phoneticPr fontId="2"/>
  </si>
  <si>
    <t>直接仮設費</t>
    <rPh sb="0" eb="2">
      <t>チョクセツ</t>
    </rPh>
    <rPh sb="2" eb="4">
      <t>カセツ</t>
    </rPh>
    <rPh sb="4" eb="5">
      <t>ヒ</t>
    </rPh>
    <phoneticPr fontId="2"/>
  </si>
  <si>
    <t>部分撤去工事</t>
    <rPh sb="0" eb="2">
      <t>ブブン</t>
    </rPh>
    <rPh sb="2" eb="4">
      <t>テッキョ</t>
    </rPh>
    <rPh sb="4" eb="6">
      <t>コウジ</t>
    </rPh>
    <phoneticPr fontId="2"/>
  </si>
  <si>
    <t>直接仮設及び部分撤去工事を除く直接工事費</t>
    <rPh sb="0" eb="2">
      <t>チョクセツ</t>
    </rPh>
    <rPh sb="2" eb="4">
      <t>カセツ</t>
    </rPh>
    <rPh sb="4" eb="5">
      <t>オヨ</t>
    </rPh>
    <rPh sb="6" eb="8">
      <t>ブブン</t>
    </rPh>
    <rPh sb="8" eb="10">
      <t>テッキョ</t>
    </rPh>
    <rPh sb="10" eb="12">
      <t>コウジ</t>
    </rPh>
    <rPh sb="13" eb="14">
      <t>ノゾ</t>
    </rPh>
    <rPh sb="15" eb="17">
      <t>チョクセツ</t>
    </rPh>
    <rPh sb="17" eb="19">
      <t>コウジ</t>
    </rPh>
    <rPh sb="19" eb="20">
      <t>ヒ</t>
    </rPh>
    <phoneticPr fontId="2"/>
  </si>
  <si>
    <t>資産</t>
    <rPh sb="0" eb="2">
      <t>シサン</t>
    </rPh>
    <phoneticPr fontId="2"/>
  </si>
  <si>
    <t>うち部分撤去工事</t>
    <rPh sb="2" eb="4">
      <t>ブブン</t>
    </rPh>
    <rPh sb="4" eb="6">
      <t>テッキョ</t>
    </rPh>
    <rPh sb="6" eb="8">
      <t>コウジ</t>
    </rPh>
    <phoneticPr fontId="2"/>
  </si>
  <si>
    <t>01</t>
    <phoneticPr fontId="2"/>
  </si>
  <si>
    <t>鉄コン造</t>
    <phoneticPr fontId="2"/>
  </si>
  <si>
    <t>02</t>
    <phoneticPr fontId="2"/>
  </si>
  <si>
    <t>れんが石ブロック造</t>
    <phoneticPr fontId="2"/>
  </si>
  <si>
    <t>03</t>
    <phoneticPr fontId="2"/>
  </si>
  <si>
    <t>金属造(4mm超)</t>
    <phoneticPr fontId="2"/>
  </si>
  <si>
    <t>04</t>
    <phoneticPr fontId="2"/>
  </si>
  <si>
    <t>金属造(3mm超4mm以下)</t>
    <phoneticPr fontId="2"/>
  </si>
  <si>
    <t>05</t>
    <phoneticPr fontId="2"/>
  </si>
  <si>
    <t>金属造(肉厚が3mm以下)</t>
    <phoneticPr fontId="2"/>
  </si>
  <si>
    <t>06</t>
    <phoneticPr fontId="2"/>
  </si>
  <si>
    <t>木造又は合成樹脂造</t>
    <phoneticPr fontId="2"/>
  </si>
  <si>
    <t>07</t>
    <phoneticPr fontId="2"/>
  </si>
  <si>
    <t>木骨モルタル造</t>
    <phoneticPr fontId="2"/>
  </si>
  <si>
    <t>08</t>
    <phoneticPr fontId="2"/>
  </si>
  <si>
    <t>簡易建物(木製主要柱10cm角以下)</t>
    <phoneticPr fontId="2"/>
  </si>
  <si>
    <t>09</t>
    <phoneticPr fontId="2"/>
  </si>
  <si>
    <t>簡易建物(掘立造　仮設のもの)</t>
    <phoneticPr fontId="2"/>
  </si>
  <si>
    <t>10</t>
    <phoneticPr fontId="2"/>
  </si>
  <si>
    <t>電気設備(照明設備を含む)-蓄電池電源設備</t>
    <phoneticPr fontId="2"/>
  </si>
  <si>
    <t>11</t>
    <phoneticPr fontId="2"/>
  </si>
  <si>
    <t>電気設備(照明設備を含む)-その他のもの</t>
    <phoneticPr fontId="2"/>
  </si>
  <si>
    <t>12</t>
    <phoneticPr fontId="2"/>
  </si>
  <si>
    <t>給排水又は衛生設備及びガス設備</t>
    <phoneticPr fontId="2"/>
  </si>
  <si>
    <t>13</t>
    <phoneticPr fontId="2"/>
  </si>
  <si>
    <t>冷暖房・通風・ボイラー設備-22kw以下</t>
    <phoneticPr fontId="2"/>
  </si>
  <si>
    <t>14</t>
    <phoneticPr fontId="2"/>
  </si>
  <si>
    <t>冷暖房・通風・ボイラー設備-その他のもの</t>
    <phoneticPr fontId="2"/>
  </si>
  <si>
    <t>15</t>
    <phoneticPr fontId="2"/>
  </si>
  <si>
    <t>昇降機設備-エレベーター</t>
    <phoneticPr fontId="2"/>
  </si>
  <si>
    <t>16</t>
    <phoneticPr fontId="2"/>
  </si>
  <si>
    <t>昇降機設備-エスカレーター</t>
    <phoneticPr fontId="2"/>
  </si>
  <si>
    <t>17</t>
    <phoneticPr fontId="2"/>
  </si>
  <si>
    <t>消火・排煙・災害報知設備及び格納式避難設備</t>
    <phoneticPr fontId="2"/>
  </si>
  <si>
    <t>18</t>
    <phoneticPr fontId="2"/>
  </si>
  <si>
    <t>エヤーカーテン又はドアー自動開閉設備</t>
    <phoneticPr fontId="2"/>
  </si>
  <si>
    <t>19</t>
    <phoneticPr fontId="2"/>
  </si>
  <si>
    <t>アーケード又は日よけ設備-金属製</t>
    <phoneticPr fontId="2"/>
  </si>
  <si>
    <t>20</t>
    <phoneticPr fontId="2"/>
  </si>
  <si>
    <t>21</t>
    <phoneticPr fontId="2"/>
  </si>
  <si>
    <t>22</t>
    <phoneticPr fontId="2"/>
  </si>
  <si>
    <t>可動簡易装備-簡易なもの</t>
    <phoneticPr fontId="2"/>
  </si>
  <si>
    <t>23</t>
    <phoneticPr fontId="2"/>
  </si>
  <si>
    <t>可動簡易装備-その他のもの</t>
    <phoneticPr fontId="2"/>
  </si>
  <si>
    <t>24</t>
    <phoneticPr fontId="2"/>
  </si>
  <si>
    <t>前掲以外・前掲区分外-主として金属製のもの</t>
    <phoneticPr fontId="2"/>
  </si>
  <si>
    <t>25</t>
    <phoneticPr fontId="2"/>
  </si>
  <si>
    <t>前掲以外・前掲区分外-その他のもの</t>
    <phoneticPr fontId="2"/>
  </si>
  <si>
    <t>その他</t>
    <phoneticPr fontId="2"/>
  </si>
  <si>
    <t>（諸構築物）</t>
    <phoneticPr fontId="2"/>
  </si>
  <si>
    <t>01</t>
    <phoneticPr fontId="2"/>
  </si>
  <si>
    <t>へい</t>
    <phoneticPr fontId="2"/>
  </si>
  <si>
    <t>10</t>
    <phoneticPr fontId="2"/>
  </si>
  <si>
    <t>11</t>
    <phoneticPr fontId="2"/>
  </si>
  <si>
    <t>25工具・器具・備品</t>
    <phoneticPr fontId="2"/>
  </si>
  <si>
    <t>059工具・器具・備品</t>
    <phoneticPr fontId="2"/>
  </si>
  <si>
    <t>看板・広告機器-(主として金属製)</t>
    <phoneticPr fontId="2"/>
  </si>
  <si>
    <t>看板・広告機器-その他のもの</t>
    <phoneticPr fontId="2"/>
  </si>
  <si>
    <t>12505988</t>
    <phoneticPr fontId="2"/>
  </si>
  <si>
    <t>12505990</t>
    <phoneticPr fontId="2"/>
  </si>
  <si>
    <t>12505991</t>
    <phoneticPr fontId="2"/>
  </si>
  <si>
    <t>資産　直接工事費（直接仮設・費用・部分撤去工事を除く）合計</t>
    <rPh sb="0" eb="2">
      <t>シサン</t>
    </rPh>
    <rPh sb="3" eb="5">
      <t>チョクセツ</t>
    </rPh>
    <rPh sb="5" eb="7">
      <t>コウジ</t>
    </rPh>
    <rPh sb="7" eb="8">
      <t>ヒ</t>
    </rPh>
    <rPh sb="9" eb="11">
      <t>チョクセツ</t>
    </rPh>
    <rPh sb="11" eb="13">
      <t>カセツ</t>
    </rPh>
    <rPh sb="14" eb="16">
      <t>ヒヨウ</t>
    </rPh>
    <rPh sb="17" eb="19">
      <t>ブブン</t>
    </rPh>
    <rPh sb="19" eb="21">
      <t>テッキョ</t>
    </rPh>
    <rPh sb="21" eb="23">
      <t>コウジ</t>
    </rPh>
    <rPh sb="24" eb="25">
      <t>ノゾ</t>
    </rPh>
    <rPh sb="27" eb="29">
      <t>ゴウケイ</t>
    </rPh>
    <phoneticPr fontId="2"/>
  </si>
  <si>
    <t>鉄骨鉄筋コンクリート造又は鉄筋コンクリート造-停車場建物</t>
    <phoneticPr fontId="2"/>
  </si>
  <si>
    <t>れんが造、石造又はブロック造-停車場建物</t>
    <phoneticPr fontId="2"/>
  </si>
  <si>
    <t>金属造(骨格材の肉厚が4mm超)-停車場建物</t>
    <phoneticPr fontId="2"/>
  </si>
  <si>
    <t>金属造(骨格材の肉厚が3mm超4mm以下)-停車場建物</t>
    <phoneticPr fontId="2"/>
  </si>
  <si>
    <t>金属造(骨格材の肉厚が3mm以下)-停車場建物</t>
    <phoneticPr fontId="2"/>
  </si>
  <si>
    <t>木造又は合成樹脂造-停車場建物</t>
    <phoneticPr fontId="2"/>
  </si>
  <si>
    <t>木骨モルタル造-停車場建物</t>
    <phoneticPr fontId="2"/>
  </si>
  <si>
    <t>簡易建物(木製主要柱が10cm角以下で土居、杉皮ぶき等)-停車場建物</t>
    <phoneticPr fontId="2"/>
  </si>
  <si>
    <t>簡易建物(掘立造のもの及び仮設のもの)-停車場建物</t>
    <phoneticPr fontId="2"/>
  </si>
  <si>
    <t>電気設備(照明設備を含む)-蓄電池電源設備-停車場建物</t>
    <phoneticPr fontId="2"/>
  </si>
  <si>
    <t>電気設備(照明設備を含む)-その他のもの-停車場建物</t>
    <phoneticPr fontId="2"/>
  </si>
  <si>
    <t>給排水又は衛生設備及びガス設備-停車場建物</t>
    <phoneticPr fontId="2"/>
  </si>
  <si>
    <t>冷暖房・通風・ボイラー設備-22kw以下-停車場建物</t>
    <phoneticPr fontId="2"/>
  </si>
  <si>
    <t>冷暖房・通風・ボイラー設備-その他のもの-停車場建物</t>
    <phoneticPr fontId="2"/>
  </si>
  <si>
    <t>昇降機設備-エレベーター-停車場建物</t>
    <phoneticPr fontId="2"/>
  </si>
  <si>
    <t>昇降機設備-エスカレーター-停車場建物</t>
    <phoneticPr fontId="2"/>
  </si>
  <si>
    <t>消火・排煙・災害報知設備及び格納式避難設備-停車場建物</t>
    <phoneticPr fontId="2"/>
  </si>
  <si>
    <t>エヤーカーテン又はドアー自動開閉設備-停車場建物</t>
    <phoneticPr fontId="2"/>
  </si>
  <si>
    <t>アーケード又は日よけ設備-金属製-停車場建物</t>
    <phoneticPr fontId="2"/>
  </si>
  <si>
    <t>アーケード又は日よけ設備-その他のもの-停車場建物</t>
    <phoneticPr fontId="2"/>
  </si>
  <si>
    <t>店用簡易設備-停車場建物</t>
    <phoneticPr fontId="2"/>
  </si>
  <si>
    <t>可動簡易装備-簡易なもの-停車場建物</t>
    <phoneticPr fontId="2"/>
  </si>
  <si>
    <t>可動簡易装備-その他のもの-停車場建物</t>
    <phoneticPr fontId="2"/>
  </si>
  <si>
    <t>前掲以外・前掲区分外-主として金属製のもの-停車場建物</t>
    <phoneticPr fontId="2"/>
  </si>
  <si>
    <t>前掲以外・前掲区分外-その他のもの-停車場建物</t>
    <phoneticPr fontId="2"/>
  </si>
  <si>
    <t>鉄骨鉄筋コンクリート造又は鉄筋コンクリート造-変電所建物</t>
    <phoneticPr fontId="2"/>
  </si>
  <si>
    <t>れんが造、石造又はブロック造-変電所建物</t>
    <phoneticPr fontId="2"/>
  </si>
  <si>
    <t>金属造(骨格材の肉厚が4mm超)-変電所建物</t>
    <phoneticPr fontId="2"/>
  </si>
  <si>
    <t>金属造(骨格材の肉厚が3mm超4mm以下)-変電所建物</t>
    <phoneticPr fontId="2"/>
  </si>
  <si>
    <t>金属造(骨格材の肉厚が3mm以下)-変電所建物</t>
    <phoneticPr fontId="2"/>
  </si>
  <si>
    <t>木造又は合成樹脂造-変電所建物</t>
    <phoneticPr fontId="2"/>
  </si>
  <si>
    <t>木骨モルタル造-変電所建物</t>
    <phoneticPr fontId="2"/>
  </si>
  <si>
    <t>簡易建物(木製主要柱が10cm角以下で土居、杉皮ぶき等)-変電所建物</t>
    <phoneticPr fontId="2"/>
  </si>
  <si>
    <t>簡易建物(掘立造のもの及び仮設のもの)-変電所建物</t>
    <phoneticPr fontId="2"/>
  </si>
  <si>
    <t>電気設備(照明設備を含む)-蓄電池電源設備-変電所建物</t>
    <phoneticPr fontId="2"/>
  </si>
  <si>
    <t>電気設備(照明設備を含む)-その他のもの-変電所建物</t>
    <phoneticPr fontId="2"/>
  </si>
  <si>
    <t>給排水又は衛生設備及びガス設備-変電所建物</t>
    <phoneticPr fontId="2"/>
  </si>
  <si>
    <t>冷暖房・通風・ボイラー設備-22kw以下-変電所建物</t>
    <phoneticPr fontId="2"/>
  </si>
  <si>
    <t>冷暖房・通風・ボイラー設備-その他のもの-変電所建物</t>
    <phoneticPr fontId="2"/>
  </si>
  <si>
    <t>昇降機設備-エレベーター-変電所建物</t>
    <phoneticPr fontId="2"/>
  </si>
  <si>
    <t>昇降機設備-エスカレーター-変電所建物</t>
    <phoneticPr fontId="2"/>
  </si>
  <si>
    <t>消火・排煙・災害報知設備及び格納式避難設備-変電所建物</t>
    <phoneticPr fontId="2"/>
  </si>
  <si>
    <t>エヤーカーテン又はドアー自動開閉設備-変電所建物</t>
    <phoneticPr fontId="2"/>
  </si>
  <si>
    <t>アーケード又は日よけ設備-金属製-変電所建物</t>
    <phoneticPr fontId="2"/>
  </si>
  <si>
    <t>アーケード又は日よけ設備-その他のもの-変電所建物</t>
    <phoneticPr fontId="2"/>
  </si>
  <si>
    <t>店用簡易設備-変電所建物</t>
    <phoneticPr fontId="2"/>
  </si>
  <si>
    <t>可動簡易装備-簡易なもの-変電所建物</t>
    <phoneticPr fontId="2"/>
  </si>
  <si>
    <t>可動簡易装備-その他のもの-変電所建物</t>
    <phoneticPr fontId="2"/>
  </si>
  <si>
    <t>前掲以外・前掲区分外-主として金属製のもの-変電所建物</t>
    <phoneticPr fontId="2"/>
  </si>
  <si>
    <t>前掲以外・前掲区分外-その他のもの-変電所建物</t>
    <phoneticPr fontId="2"/>
  </si>
  <si>
    <t>鉄骨鉄筋コンクリート造又は鉄筋コンクリート造-車庫・工場</t>
    <phoneticPr fontId="2"/>
  </si>
  <si>
    <t>れんが造、石造又はブロック造-車庫・工場</t>
    <phoneticPr fontId="2"/>
  </si>
  <si>
    <t>金属造(骨格材の肉厚が4mm超)-車庫・工場</t>
    <phoneticPr fontId="2"/>
  </si>
  <si>
    <t>金属造(骨格材の肉厚が3mm超4mm以下)-車庫・工場</t>
    <phoneticPr fontId="2"/>
  </si>
  <si>
    <t>金属造(骨格材の肉厚が3mm以下)-車庫・工場</t>
    <phoneticPr fontId="2"/>
  </si>
  <si>
    <t>木造又は合成樹脂造-車庫・工場</t>
    <phoneticPr fontId="2"/>
  </si>
  <si>
    <t>木骨モルタル造-車庫・工場</t>
    <phoneticPr fontId="2"/>
  </si>
  <si>
    <t>簡易建物(木製主要柱が10cm角以下で土居、杉皮ぶき等)-車庫・工場</t>
    <phoneticPr fontId="2"/>
  </si>
  <si>
    <t>簡易建物(掘立造のもの及び仮設のもの)-車庫・工場</t>
    <phoneticPr fontId="2"/>
  </si>
  <si>
    <t>電気設備(照明設備を含む)-蓄電池電源設備-車庫・工場</t>
    <phoneticPr fontId="2"/>
  </si>
  <si>
    <t>電気設備(照明設備を含む)-その他のもの-車庫・工場</t>
    <phoneticPr fontId="2"/>
  </si>
  <si>
    <t>給排水又は衛生設備及びガス設備-車庫・工場</t>
    <phoneticPr fontId="2"/>
  </si>
  <si>
    <t>冷暖房・通風・ボイラー設備-22kw以下-車庫・工場</t>
    <phoneticPr fontId="2"/>
  </si>
  <si>
    <t>冷暖房・通風・ボイラー設備-その他のもの-車庫・工場</t>
    <phoneticPr fontId="2"/>
  </si>
  <si>
    <t>鉄有固-運送施設 建物付属設備-</t>
    <phoneticPr fontId="2"/>
  </si>
  <si>
    <t>昇降機設備-エスカレーター-車庫・工場</t>
    <phoneticPr fontId="2"/>
  </si>
  <si>
    <t>消火・排煙・災害報知設備及び格納式避難設備-車庫・工場</t>
    <phoneticPr fontId="2"/>
  </si>
  <si>
    <t>エヤーカーテン又はドアー自動開閉設備-車庫・工場</t>
    <phoneticPr fontId="2"/>
  </si>
  <si>
    <t>アーケード又は日よけ設備-金属製-車庫・工場</t>
    <phoneticPr fontId="2"/>
  </si>
  <si>
    <t>アーケード又は日よけ設備-その他のもの-車庫・工場</t>
    <phoneticPr fontId="2"/>
  </si>
  <si>
    <t>店用簡易設備-車庫・工場</t>
    <phoneticPr fontId="2"/>
  </si>
  <si>
    <t>可動簡易装備-簡易なもの-車庫・工場</t>
    <phoneticPr fontId="2"/>
  </si>
  <si>
    <t>可動簡易装備-その他のもの-車庫・工場</t>
    <phoneticPr fontId="2"/>
  </si>
  <si>
    <t>前掲以外・前掲区分外-主として金属製のもの-車庫・工場</t>
    <phoneticPr fontId="2"/>
  </si>
  <si>
    <t>前掲以外・前掲区分外-その他のもの-車庫・工場</t>
    <phoneticPr fontId="2"/>
  </si>
  <si>
    <t>鉄骨鉄筋コンクリート造又は鉄筋コンクリート造-倉庫建物</t>
    <phoneticPr fontId="2"/>
  </si>
  <si>
    <t>れんが造、石造又はブロック造-倉庫建物</t>
    <phoneticPr fontId="2"/>
  </si>
  <si>
    <t>金属造(骨格材の肉厚が4mm超)-倉庫建物</t>
    <phoneticPr fontId="2"/>
  </si>
  <si>
    <t>金属造(骨格材の肉厚が3mm超4mm以下)-倉庫建物</t>
    <phoneticPr fontId="2"/>
  </si>
  <si>
    <t>金属造(骨格材の肉厚が3mm以下)-倉庫建物</t>
    <phoneticPr fontId="2"/>
  </si>
  <si>
    <t>木造又は合成樹脂造-倉庫建物</t>
    <phoneticPr fontId="2"/>
  </si>
  <si>
    <t>木骨モルタル造-倉庫建物</t>
    <phoneticPr fontId="2"/>
  </si>
  <si>
    <t>簡易建物(木製主要柱が10cm角以下で土居、杉皮ぶき等)-倉庫建物</t>
    <phoneticPr fontId="2"/>
  </si>
  <si>
    <t>簡易建物(掘立造のもの及び仮設のもの)-倉庫建物</t>
    <phoneticPr fontId="2"/>
  </si>
  <si>
    <t>電気設備(照明設備を含む)-蓄電池電源設備-倉庫建物</t>
    <phoneticPr fontId="2"/>
  </si>
  <si>
    <t>給排水又は衛生設備及びガス設備-倉庫建物</t>
    <phoneticPr fontId="2"/>
  </si>
  <si>
    <t>冷暖房・通風・ボイラー設備-22kw以下-倉庫建物</t>
    <phoneticPr fontId="2"/>
  </si>
  <si>
    <t>冷暖房・通風・ボイラー設備-その他のもの-倉庫建物</t>
    <phoneticPr fontId="2"/>
  </si>
  <si>
    <t>昇降機設備-エレベーター-倉庫建物</t>
    <phoneticPr fontId="2"/>
  </si>
  <si>
    <t>昇降機設備-エスカレーター-倉庫建物</t>
    <phoneticPr fontId="2"/>
  </si>
  <si>
    <t>エヤーカーテン又はドアー自動開閉設備-倉庫建物</t>
    <phoneticPr fontId="2"/>
  </si>
  <si>
    <t>アーケード又は日よけ設備-金属製-倉庫建物</t>
    <phoneticPr fontId="2"/>
  </si>
  <si>
    <t>店用簡易設備-倉庫建物</t>
    <phoneticPr fontId="2"/>
  </si>
  <si>
    <t>可動簡易装備-簡易なもの-倉庫建物</t>
    <phoneticPr fontId="2"/>
  </si>
  <si>
    <t>前掲以外・前掲区分外-主として金属製のもの-倉庫建物</t>
    <phoneticPr fontId="2"/>
  </si>
  <si>
    <t>前掲以外・前掲区分外-その他のもの-倉庫建物</t>
    <phoneticPr fontId="2"/>
  </si>
  <si>
    <t>鉄骨鉄筋コンクリート造又は鉄筋コンクリート造-詰所建物</t>
    <phoneticPr fontId="2"/>
  </si>
  <si>
    <t>れんが造、石造又はブロック造-詰所建物</t>
    <phoneticPr fontId="2"/>
  </si>
  <si>
    <t>金属造(骨格材の肉厚が4mm超)-詰所建物</t>
    <phoneticPr fontId="2"/>
  </si>
  <si>
    <t>金属造(骨格材の肉厚が3mm超4mm以下)-詰所建物</t>
    <phoneticPr fontId="2"/>
  </si>
  <si>
    <t>金属造(骨格材の肉厚が3mm以下)-詰所建物</t>
    <phoneticPr fontId="2"/>
  </si>
  <si>
    <t>木造又は合成樹脂造-詰所建物</t>
    <phoneticPr fontId="2"/>
  </si>
  <si>
    <t>木骨モルタル造-詰所建物</t>
    <phoneticPr fontId="2"/>
  </si>
  <si>
    <t>簡易建物(木製主要柱が10cm角以下で土居、杉皮ぶき等)-詰所建物</t>
    <phoneticPr fontId="2"/>
  </si>
  <si>
    <t>簡易建物(掘立造のもの及び仮設のもの)-詰所建物</t>
    <phoneticPr fontId="2"/>
  </si>
  <si>
    <t>電気設備(照明設備を含む)-蓄電池電源設備-詰所建物</t>
    <phoneticPr fontId="2"/>
  </si>
  <si>
    <t>電気設備(照明設備を含む)-その他のもの-詰所建物</t>
    <phoneticPr fontId="2"/>
  </si>
  <si>
    <t>給排水又は衛生設備及びガス設備-詰所建物</t>
    <phoneticPr fontId="2"/>
  </si>
  <si>
    <t>冷暖房・通風・ボイラー設備-22kw以下-詰所建物</t>
    <phoneticPr fontId="2"/>
  </si>
  <si>
    <t>冷暖房・通風・ボイラー設備-その他のもの-詰所建物</t>
    <phoneticPr fontId="2"/>
  </si>
  <si>
    <t>昇降機設備-エレベーター-詰所建物</t>
    <phoneticPr fontId="2"/>
  </si>
  <si>
    <t>昇降機設備-エスカレーター-詰所建物</t>
    <phoneticPr fontId="2"/>
  </si>
  <si>
    <t>消火・排煙・災害報知設備及び格納式避難設備-詰所建物</t>
    <phoneticPr fontId="2"/>
  </si>
  <si>
    <t>エヤーカーテン又はドアー自動開閉設備-詰所建物</t>
    <phoneticPr fontId="2"/>
  </si>
  <si>
    <t>アーケード又は日よけ設備-金属製-詰所建物</t>
    <phoneticPr fontId="2"/>
  </si>
  <si>
    <t>アーケード又は日よけ設備-その他のもの-詰所建物</t>
    <phoneticPr fontId="2"/>
  </si>
  <si>
    <t>店用簡易設備-詰所建物</t>
    <phoneticPr fontId="2"/>
  </si>
  <si>
    <t>可動簡易装備-簡易なもの-詰所建物</t>
    <phoneticPr fontId="2"/>
  </si>
  <si>
    <t>可動簡易装備-その他のもの-詰所建物</t>
    <phoneticPr fontId="2"/>
  </si>
  <si>
    <t>前掲以外・前掲区分外-主として金属製のもの-詰所建物</t>
    <phoneticPr fontId="2"/>
  </si>
  <si>
    <t>前掲以外・前掲区分外-その他のもの-詰所建物</t>
    <phoneticPr fontId="2"/>
  </si>
  <si>
    <t>鉄骨鉄筋コンクリート造又は鉄筋コンクリート造-事務所建物</t>
    <phoneticPr fontId="2"/>
  </si>
  <si>
    <t>れんが造、石造又はブロック造-事務所建物</t>
    <phoneticPr fontId="2"/>
  </si>
  <si>
    <t>金属造(骨格材の肉厚が4mm超)-事務所建物</t>
    <phoneticPr fontId="2"/>
  </si>
  <si>
    <t>金属造(骨格材の肉厚が3mm超4mm以下)-事務所建物</t>
    <phoneticPr fontId="2"/>
  </si>
  <si>
    <t>金属造(骨格材の肉厚が3mm以下)-事務所建物</t>
    <phoneticPr fontId="2"/>
  </si>
  <si>
    <t>木造又は合成樹脂造-事務所建物</t>
    <phoneticPr fontId="2"/>
  </si>
  <si>
    <t>木骨モルタル造-事務所建物</t>
    <phoneticPr fontId="2"/>
  </si>
  <si>
    <t>簡易建物(掘立造のもの及び仮設のもの)-事務所建物</t>
    <phoneticPr fontId="2"/>
  </si>
  <si>
    <t>電気設備(照明設備を含む)-蓄電池電源設備-事務所建物</t>
    <phoneticPr fontId="2"/>
  </si>
  <si>
    <t>電気設備(照明設備を含む)-その他のもの-事務所建物</t>
    <phoneticPr fontId="2"/>
  </si>
  <si>
    <t>給排水又は衛生設備及びガス設備-事務所建物</t>
    <phoneticPr fontId="2"/>
  </si>
  <si>
    <t>冷暖房・通風・ボイラー設備-22kw以下-事務所建物</t>
    <phoneticPr fontId="2"/>
  </si>
  <si>
    <t>冷暖房・通風・ボイラー設備-その他のもの-事務所建物</t>
    <phoneticPr fontId="2"/>
  </si>
  <si>
    <t>昇降機設備-エレベーター-事務所建物</t>
    <phoneticPr fontId="2"/>
  </si>
  <si>
    <t>昇降機設備-エスカレーター-事務所建物</t>
    <phoneticPr fontId="2"/>
  </si>
  <si>
    <t>消火・排煙・災害報知設備及び格納式避難設備-事務所建物</t>
    <phoneticPr fontId="2"/>
  </si>
  <si>
    <t>エヤーカーテン又はドアー自動開閉設備-事務所建物</t>
    <phoneticPr fontId="2"/>
  </si>
  <si>
    <t>アーケード又は日よけ設備-金属製-事務所建物</t>
    <phoneticPr fontId="2"/>
  </si>
  <si>
    <t>アーケード又は日よけ設備-その他のもの-事務所建物</t>
    <phoneticPr fontId="2"/>
  </si>
  <si>
    <t>店用簡易設備-事務所建物</t>
    <phoneticPr fontId="2"/>
  </si>
  <si>
    <t>可動簡易装備-簡易なもの-事務所建物</t>
    <phoneticPr fontId="2"/>
  </si>
  <si>
    <t>可動簡易装備-その他のもの-事務所建物</t>
    <phoneticPr fontId="2"/>
  </si>
  <si>
    <t>前掲以外・前掲区分外-主として金属製のもの-事務所建物</t>
    <phoneticPr fontId="2"/>
  </si>
  <si>
    <t>前掲以外・前掲区分外-その他のもの-事務所建物</t>
    <phoneticPr fontId="2"/>
  </si>
  <si>
    <t>鉄骨鉄筋コンクリート造又は鉄筋コンクリート造-社宅・寮建物</t>
    <phoneticPr fontId="2"/>
  </si>
  <si>
    <t>れんが造、石造又はブロック造-社宅・寮建物</t>
    <phoneticPr fontId="2"/>
  </si>
  <si>
    <t>金属造(骨格材の肉厚が4mm超)-社宅・寮建物</t>
    <phoneticPr fontId="2"/>
  </si>
  <si>
    <t>金属造(骨格材の肉厚が3mm超4mm以下)-社宅・寮建物</t>
    <phoneticPr fontId="2"/>
  </si>
  <si>
    <t>金属造(骨格材の肉厚が3mm以下)-社宅・寮建物</t>
    <phoneticPr fontId="2"/>
  </si>
  <si>
    <t>木造又は合成樹脂造-社宅・寮建物</t>
    <phoneticPr fontId="2"/>
  </si>
  <si>
    <t>木骨モルタル造-社宅・寮建物</t>
    <phoneticPr fontId="2"/>
  </si>
  <si>
    <t>簡易建物(木製主要柱が10cm角以下で土居、杉皮ぶき等)-社宅・寮建物</t>
    <phoneticPr fontId="2"/>
  </si>
  <si>
    <t>簡易建物(掘立造のもの及び仮設のもの)-社宅・寮建物</t>
    <phoneticPr fontId="2"/>
  </si>
  <si>
    <t>電気設備(照明設備を含む)-蓄電池電源設備-社宅・寮建物</t>
    <phoneticPr fontId="2"/>
  </si>
  <si>
    <t>電気設備(照明設備を含む)-その他のもの-社宅・寮建物</t>
    <phoneticPr fontId="2"/>
  </si>
  <si>
    <t>給排水又は衛生設備及びガス設備-社宅・寮建物</t>
    <phoneticPr fontId="2"/>
  </si>
  <si>
    <t>冷暖房・通風・ボイラー設備-22kw以下-社宅・寮建物</t>
    <phoneticPr fontId="2"/>
  </si>
  <si>
    <t>冷暖房・通風・ボイラー設備-その他のもの-社宅・寮建物</t>
    <phoneticPr fontId="2"/>
  </si>
  <si>
    <t>昇降機設備-エレベーター-社宅・寮建物</t>
    <phoneticPr fontId="2"/>
  </si>
  <si>
    <t>昇降機設備-エスカレーター-社宅・寮建物</t>
    <phoneticPr fontId="2"/>
  </si>
  <si>
    <t>消火・排煙・災害報知設備及び格納式避難設備-社宅・寮建物</t>
    <phoneticPr fontId="2"/>
  </si>
  <si>
    <t>エヤーカーテン又はドアー自動開閉設備-社宅・寮建物</t>
    <phoneticPr fontId="2"/>
  </si>
  <si>
    <t>アーケード又は日よけ設備-金属製-社宅・寮建物</t>
    <phoneticPr fontId="2"/>
  </si>
  <si>
    <t>アーケード又は日よけ設備-その他のもの-社宅・寮建物</t>
    <phoneticPr fontId="2"/>
  </si>
  <si>
    <t>店用簡易設備-社宅・寮建物</t>
    <phoneticPr fontId="2"/>
  </si>
  <si>
    <t>可動簡易装備-簡易なもの-社宅・寮建物</t>
    <phoneticPr fontId="2"/>
  </si>
  <si>
    <t>可動簡易装備-その他のもの-社宅・寮建物</t>
    <phoneticPr fontId="2"/>
  </si>
  <si>
    <t>前掲以外・前掲区分外-主として金属製のもの-社宅・寮建物</t>
    <phoneticPr fontId="2"/>
  </si>
  <si>
    <t>前掲以外・前掲区分外-その他のもの-社宅・寮建物</t>
    <phoneticPr fontId="2"/>
  </si>
  <si>
    <t>雑設備-駅前広場舗装等</t>
    <rPh sb="4" eb="6">
      <t>エキマエ</t>
    </rPh>
    <rPh sb="6" eb="8">
      <t>ヒロバ</t>
    </rPh>
    <rPh sb="8" eb="10">
      <t>ホソウ</t>
    </rPh>
    <rPh sb="10" eb="11">
      <t>トウ</t>
    </rPh>
    <phoneticPr fontId="2"/>
  </si>
  <si>
    <t>雑設備-その他</t>
    <rPh sb="6" eb="7">
      <t>タ</t>
    </rPh>
    <phoneticPr fontId="2"/>
  </si>
  <si>
    <t>－</t>
    <phoneticPr fontId="2"/>
  </si>
  <si>
    <t>部分撤去工事のうち、資産計上した工事価格</t>
    <rPh sb="10" eb="12">
      <t>シサン</t>
    </rPh>
    <rPh sb="12" eb="14">
      <t>ケイジョウ</t>
    </rPh>
    <rPh sb="16" eb="18">
      <t>コウジ</t>
    </rPh>
    <rPh sb="18" eb="20">
      <t>カカク</t>
    </rPh>
    <phoneticPr fontId="2"/>
  </si>
  <si>
    <t>部分撤去工事のうち、費用計上した工事価格</t>
    <rPh sb="10" eb="12">
      <t>ヒヨウ</t>
    </rPh>
    <rPh sb="12" eb="14">
      <t>ケイジョウ</t>
    </rPh>
    <rPh sb="16" eb="18">
      <t>コウジ</t>
    </rPh>
    <rPh sb="18" eb="20">
      <t>カカク</t>
    </rPh>
    <phoneticPr fontId="2"/>
  </si>
  <si>
    <t>部分撤去工事　工事価格　計</t>
    <rPh sb="0" eb="2">
      <t>ブブン</t>
    </rPh>
    <rPh sb="2" eb="4">
      <t>テッキョ</t>
    </rPh>
    <rPh sb="4" eb="6">
      <t>コウジ</t>
    </rPh>
    <rPh sb="7" eb="9">
      <t>コウジ</t>
    </rPh>
    <rPh sb="9" eb="11">
      <t>カカク</t>
    </rPh>
    <rPh sb="12" eb="13">
      <t>ケイ</t>
    </rPh>
    <phoneticPr fontId="2"/>
  </si>
  <si>
    <t>資産計上区分の中で、費用として計上した工事価格（部分撤去工事を除く）</t>
    <rPh sb="10" eb="12">
      <t>ヒヨウ</t>
    </rPh>
    <rPh sb="15" eb="17">
      <t>ケイジョウ</t>
    </rPh>
    <rPh sb="19" eb="21">
      <t>コウジ</t>
    </rPh>
    <rPh sb="21" eb="23">
      <t>カカク</t>
    </rPh>
    <rPh sb="24" eb="26">
      <t>ブブン</t>
    </rPh>
    <rPh sb="26" eb="28">
      <t>テッキョ</t>
    </rPh>
    <rPh sb="28" eb="30">
      <t>コウジ</t>
    </rPh>
    <rPh sb="31" eb="32">
      <t>ノゾ</t>
    </rPh>
    <phoneticPr fontId="2"/>
  </si>
  <si>
    <t>費用計上（部分撤去工事を除く）　工事価格　計</t>
    <rPh sb="0" eb="2">
      <t>ヒヨウ</t>
    </rPh>
    <rPh sb="2" eb="4">
      <t>ケイジョウ</t>
    </rPh>
    <rPh sb="5" eb="7">
      <t>ブブン</t>
    </rPh>
    <rPh sb="7" eb="9">
      <t>テッキョ</t>
    </rPh>
    <rPh sb="9" eb="11">
      <t>コウジ</t>
    </rPh>
    <rPh sb="12" eb="13">
      <t>ノゾ</t>
    </rPh>
    <rPh sb="16" eb="18">
      <t>コウジ</t>
    </rPh>
    <rPh sb="18" eb="20">
      <t>カカク</t>
    </rPh>
    <rPh sb="21" eb="22">
      <t>ケイ</t>
    </rPh>
    <phoneticPr fontId="2"/>
  </si>
  <si>
    <t>3　鉄道事業有形固定資産の勘定科目</t>
    <phoneticPr fontId="2"/>
  </si>
  <si>
    <t>007停車場建物</t>
    <phoneticPr fontId="2"/>
  </si>
  <si>
    <t>008変電所建物</t>
    <phoneticPr fontId="2"/>
  </si>
  <si>
    <t>009車庫、工場建物</t>
    <phoneticPr fontId="2"/>
  </si>
  <si>
    <t>010倉庫建物</t>
    <phoneticPr fontId="2"/>
  </si>
  <si>
    <t>011詰所建物</t>
    <phoneticPr fontId="2"/>
  </si>
  <si>
    <t>012事務所建物</t>
    <phoneticPr fontId="2"/>
  </si>
  <si>
    <t>013社宅及び寮建物</t>
    <phoneticPr fontId="2"/>
  </si>
  <si>
    <t>024雑設備</t>
    <phoneticPr fontId="2"/>
  </si>
  <si>
    <t>049車庫工場構築物</t>
    <phoneticPr fontId="2"/>
  </si>
  <si>
    <t>050変電所構築物</t>
    <phoneticPr fontId="2"/>
  </si>
  <si>
    <t>999雑構築物</t>
    <phoneticPr fontId="2"/>
  </si>
  <si>
    <t>鉄有固-構築物-雑設備</t>
    <phoneticPr fontId="2"/>
  </si>
  <si>
    <t>（直接仮設・部分撤去・費用を除く）</t>
    <phoneticPr fontId="2"/>
  </si>
  <si>
    <t>007停車場建物</t>
  </si>
  <si>
    <t>資産</t>
  </si>
  <si>
    <t>ＣＢ積  厚100</t>
    <phoneticPr fontId="2"/>
  </si>
  <si>
    <t>野      積  D10  400*400</t>
    <phoneticPr fontId="2"/>
  </si>
  <si>
    <t>m2</t>
    <phoneticPr fontId="2"/>
  </si>
  <si>
    <t>係長</t>
    <rPh sb="0" eb="2">
      <t>カカリチョウ</t>
    </rPh>
    <phoneticPr fontId="2"/>
  </si>
  <si>
    <t>建築課長</t>
    <rPh sb="0" eb="2">
      <t>ケンチク</t>
    </rPh>
    <rPh sb="2" eb="4">
      <t>カチョウ</t>
    </rPh>
    <phoneticPr fontId="2"/>
  </si>
  <si>
    <t>建築資産管理担当</t>
    <rPh sb="0" eb="2">
      <t>ケンチク</t>
    </rPh>
    <rPh sb="2" eb="4">
      <t>シサン</t>
    </rPh>
    <rPh sb="4" eb="6">
      <t>カンリ</t>
    </rPh>
    <rPh sb="6" eb="8">
      <t>タントウ</t>
    </rPh>
    <phoneticPr fontId="2"/>
  </si>
  <si>
    <t>【資産区分】
空白の場合は
停車所建物-鉄コン造で計上</t>
    <phoneticPr fontId="2"/>
  </si>
  <si>
    <t>鉄筋工事</t>
  </si>
  <si>
    <t>設計担当者</t>
    <rPh sb="0" eb="2">
      <t>セッケイ</t>
    </rPh>
    <rPh sb="2" eb="5">
      <t>タントウシャ</t>
    </rPh>
    <phoneticPr fontId="2"/>
  </si>
  <si>
    <t>補助金</t>
    <rPh sb="0" eb="3">
      <t>ホジョキン</t>
    </rPh>
    <phoneticPr fontId="2"/>
  </si>
  <si>
    <t>発注形態</t>
    <phoneticPr fontId="2"/>
  </si>
  <si>
    <t>建設ﾘｻｲｸﾙ法</t>
    <rPh sb="0" eb="2">
      <t>ケンセツ</t>
    </rPh>
    <rPh sb="7" eb="8">
      <t>ホウ</t>
    </rPh>
    <phoneticPr fontId="2"/>
  </si>
  <si>
    <t>工事公告日</t>
    <rPh sb="0" eb="2">
      <t>コウジ</t>
    </rPh>
    <rPh sb="2" eb="4">
      <t>コウコク</t>
    </rPh>
    <rPh sb="4" eb="5">
      <t>ヒ</t>
    </rPh>
    <phoneticPr fontId="2"/>
  </si>
  <si>
    <t>落札決定日</t>
    <rPh sb="0" eb="2">
      <t>ラクサツ</t>
    </rPh>
    <rPh sb="2" eb="4">
      <t>ケッテイ</t>
    </rPh>
    <rPh sb="4" eb="5">
      <t>ヒ</t>
    </rPh>
    <phoneticPr fontId="2"/>
  </si>
  <si>
    <t>工事工期</t>
    <rPh sb="0" eb="2">
      <t>コウジ</t>
    </rPh>
    <rPh sb="2" eb="4">
      <t>コウキ</t>
    </rPh>
    <phoneticPr fontId="2"/>
  </si>
  <si>
    <t>所属</t>
    <rPh sb="0" eb="2">
      <t>ショゾク</t>
    </rPh>
    <phoneticPr fontId="2"/>
  </si>
  <si>
    <t>単価台帳ver</t>
    <rPh sb="0" eb="2">
      <t>タンカ</t>
    </rPh>
    <rPh sb="2" eb="4">
      <t>ダイチョウ</t>
    </rPh>
    <phoneticPr fontId="2"/>
  </si>
  <si>
    <t>大工工事</t>
    <rPh sb="0" eb="2">
      <t>ダイク</t>
    </rPh>
    <rPh sb="2" eb="4">
      <t>コウジ</t>
    </rPh>
    <phoneticPr fontId="2"/>
  </si>
  <si>
    <t>左官工事</t>
    <rPh sb="0" eb="2">
      <t>サカン</t>
    </rPh>
    <rPh sb="2" eb="4">
      <t>コウジ</t>
    </rPh>
    <phoneticPr fontId="2"/>
  </si>
  <si>
    <t>防球ネットフェンス工事</t>
    <rPh sb="0" eb="2">
      <t>ボウキュウ</t>
    </rPh>
    <rPh sb="9" eb="11">
      <t>コウジ</t>
    </rPh>
    <phoneticPr fontId="2"/>
  </si>
  <si>
    <t>サイン工事</t>
    <rPh sb="3" eb="5">
      <t>コウジ</t>
    </rPh>
    <phoneticPr fontId="2"/>
  </si>
  <si>
    <t>テント工事</t>
    <rPh sb="3" eb="5">
      <t>コウジ</t>
    </rPh>
    <phoneticPr fontId="2"/>
  </si>
  <si>
    <t>舗装工事</t>
    <rPh sb="0" eb="2">
      <t>ホソウ</t>
    </rPh>
    <rPh sb="2" eb="4">
      <t>コウジ</t>
    </rPh>
    <phoneticPr fontId="2"/>
  </si>
  <si>
    <t>内訳書決裁欄</t>
    <rPh sb="0" eb="3">
      <t>ウチワケショ</t>
    </rPh>
    <rPh sb="3" eb="5">
      <t>ケッサイ</t>
    </rPh>
    <rPh sb="5" eb="6">
      <t>ラン</t>
    </rPh>
    <phoneticPr fontId="2"/>
  </si>
  <si>
    <t>設計担当</t>
    <rPh sb="0" eb="2">
      <t>セッケイ</t>
    </rPh>
    <rPh sb="2" eb="4">
      <t>タントウ</t>
    </rPh>
    <phoneticPr fontId="2"/>
  </si>
  <si>
    <t>設計担当係長</t>
    <rPh sb="0" eb="2">
      <t>セッケイ</t>
    </rPh>
    <rPh sb="2" eb="4">
      <t>タントウ</t>
    </rPh>
    <rPh sb="4" eb="6">
      <t>カカリチョウ</t>
    </rPh>
    <phoneticPr fontId="2"/>
  </si>
  <si>
    <t>建築企画課（建築企画）</t>
    <rPh sb="0" eb="2">
      <t>ケンチク</t>
    </rPh>
    <rPh sb="2" eb="4">
      <t>キカク</t>
    </rPh>
    <rPh sb="4" eb="5">
      <t>カ</t>
    </rPh>
    <rPh sb="6" eb="8">
      <t>ケンチク</t>
    </rPh>
    <rPh sb="8" eb="10">
      <t>キカク</t>
    </rPh>
    <phoneticPr fontId="2"/>
  </si>
  <si>
    <t>建築企画課（建築計画）</t>
    <rPh sb="0" eb="2">
      <t>ケンチク</t>
    </rPh>
    <rPh sb="2" eb="4">
      <t>キカク</t>
    </rPh>
    <rPh sb="4" eb="5">
      <t>カ</t>
    </rPh>
    <rPh sb="6" eb="8">
      <t>ケンチク</t>
    </rPh>
    <rPh sb="8" eb="10">
      <t>ケイカク</t>
    </rPh>
    <phoneticPr fontId="2"/>
  </si>
  <si>
    <t>建築企画課（建築協議）</t>
    <rPh sb="0" eb="2">
      <t>ケンチク</t>
    </rPh>
    <rPh sb="2" eb="4">
      <t>キカク</t>
    </rPh>
    <rPh sb="4" eb="5">
      <t>カ</t>
    </rPh>
    <rPh sb="6" eb="8">
      <t>ケンチク</t>
    </rPh>
    <rPh sb="8" eb="10">
      <t>キョウギ</t>
    </rPh>
    <phoneticPr fontId="2"/>
  </si>
  <si>
    <t>建築企画課（安全推進）</t>
    <rPh sb="0" eb="2">
      <t>ケンチク</t>
    </rPh>
    <rPh sb="2" eb="4">
      <t>キカク</t>
    </rPh>
    <rPh sb="4" eb="5">
      <t>カ</t>
    </rPh>
    <rPh sb="6" eb="8">
      <t>アンゼン</t>
    </rPh>
    <rPh sb="8" eb="10">
      <t>スイシン</t>
    </rPh>
    <phoneticPr fontId="2"/>
  </si>
  <si>
    <t>建築課（建築プロジェクト）</t>
    <rPh sb="0" eb="2">
      <t>ケンチク</t>
    </rPh>
    <rPh sb="2" eb="3">
      <t>カ</t>
    </rPh>
    <rPh sb="4" eb="6">
      <t>ケンチク</t>
    </rPh>
    <phoneticPr fontId="2"/>
  </si>
  <si>
    <t>建築課(地上建築物）</t>
    <rPh sb="0" eb="2">
      <t>ケンチク</t>
    </rPh>
    <rPh sb="2" eb="3">
      <t>カ</t>
    </rPh>
    <rPh sb="4" eb="6">
      <t>チジョウ</t>
    </rPh>
    <rPh sb="6" eb="9">
      <t>ケンチクブツ</t>
    </rPh>
    <phoneticPr fontId="2"/>
  </si>
  <si>
    <t>建築課（建築技術）</t>
    <rPh sb="0" eb="2">
      <t>ケンチク</t>
    </rPh>
    <rPh sb="2" eb="3">
      <t>カ</t>
    </rPh>
    <rPh sb="4" eb="6">
      <t>ケンチク</t>
    </rPh>
    <rPh sb="6" eb="8">
      <t>ギジュツ</t>
    </rPh>
    <phoneticPr fontId="2"/>
  </si>
  <si>
    <t>建築課（建築検査）</t>
    <rPh sb="0" eb="2">
      <t>ケンチク</t>
    </rPh>
    <rPh sb="2" eb="3">
      <t>カ</t>
    </rPh>
    <rPh sb="4" eb="6">
      <t>ケンチク</t>
    </rPh>
    <rPh sb="6" eb="8">
      <t>ケンサ</t>
    </rPh>
    <phoneticPr fontId="2"/>
  </si>
  <si>
    <t>建築課（建築資産管理）</t>
    <rPh sb="0" eb="2">
      <t>ケンチク</t>
    </rPh>
    <rPh sb="2" eb="3">
      <t>カ</t>
    </rPh>
    <rPh sb="4" eb="6">
      <t>ケンチク</t>
    </rPh>
    <rPh sb="6" eb="8">
      <t>シサン</t>
    </rPh>
    <rPh sb="8" eb="10">
      <t>カンリ</t>
    </rPh>
    <phoneticPr fontId="2"/>
  </si>
  <si>
    <t>建築課（建築設計）</t>
    <rPh sb="0" eb="2">
      <t>ケンチク</t>
    </rPh>
    <rPh sb="2" eb="3">
      <t>カ</t>
    </rPh>
    <rPh sb="4" eb="6">
      <t>ケンチク</t>
    </rPh>
    <rPh sb="6" eb="8">
      <t>セッケイ</t>
    </rPh>
    <phoneticPr fontId="2"/>
  </si>
  <si>
    <t>建築管理事務所（施設管理）</t>
    <rPh sb="0" eb="2">
      <t>ケンチク</t>
    </rPh>
    <rPh sb="2" eb="4">
      <t>カンリ</t>
    </rPh>
    <rPh sb="4" eb="6">
      <t>ジム</t>
    </rPh>
    <rPh sb="6" eb="7">
      <t>ショ</t>
    </rPh>
    <rPh sb="8" eb="10">
      <t>シセツ</t>
    </rPh>
    <rPh sb="10" eb="12">
      <t>カンリ</t>
    </rPh>
    <phoneticPr fontId="2"/>
  </si>
  <si>
    <t>建築管理事務所（安全管理）</t>
    <rPh sb="0" eb="2">
      <t>ケンチク</t>
    </rPh>
    <rPh sb="2" eb="4">
      <t>カンリ</t>
    </rPh>
    <rPh sb="4" eb="6">
      <t>ジム</t>
    </rPh>
    <rPh sb="6" eb="7">
      <t>ショ</t>
    </rPh>
    <rPh sb="8" eb="10">
      <t>アンゼン</t>
    </rPh>
    <rPh sb="10" eb="12">
      <t>カンリ</t>
    </rPh>
    <phoneticPr fontId="2"/>
  </si>
  <si>
    <t>建築管理事務所（駅施設改造）</t>
    <rPh sb="0" eb="2">
      <t>ケンチク</t>
    </rPh>
    <rPh sb="2" eb="4">
      <t>カンリ</t>
    </rPh>
    <rPh sb="4" eb="6">
      <t>ジム</t>
    </rPh>
    <rPh sb="6" eb="7">
      <t>ショ</t>
    </rPh>
    <rPh sb="8" eb="9">
      <t>エキ</t>
    </rPh>
    <rPh sb="9" eb="11">
      <t>シセツ</t>
    </rPh>
    <rPh sb="11" eb="13">
      <t>カイゾウ</t>
    </rPh>
    <phoneticPr fontId="2"/>
  </si>
  <si>
    <t>建築管理事務所（小規模補修）</t>
    <rPh sb="0" eb="2">
      <t>ケンチク</t>
    </rPh>
    <rPh sb="2" eb="4">
      <t>カンリ</t>
    </rPh>
    <rPh sb="4" eb="6">
      <t>ジム</t>
    </rPh>
    <rPh sb="6" eb="7">
      <t>ショ</t>
    </rPh>
    <rPh sb="8" eb="11">
      <t>ショウキボ</t>
    </rPh>
    <rPh sb="11" eb="13">
      <t>ホシュウ</t>
    </rPh>
    <phoneticPr fontId="2"/>
  </si>
  <si>
    <t>建築管理事務所（建築工事）</t>
    <rPh sb="0" eb="2">
      <t>ケンチク</t>
    </rPh>
    <rPh sb="2" eb="4">
      <t>カンリ</t>
    </rPh>
    <rPh sb="4" eb="6">
      <t>ジム</t>
    </rPh>
    <rPh sb="6" eb="7">
      <t>ショ</t>
    </rPh>
    <rPh sb="8" eb="10">
      <t>ケンチク</t>
    </rPh>
    <rPh sb="10" eb="12">
      <t>コウジ</t>
    </rPh>
    <phoneticPr fontId="2"/>
  </si>
  <si>
    <t>建築管理事務所（北部建築保守）</t>
    <rPh sb="0" eb="2">
      <t>ケンチク</t>
    </rPh>
    <rPh sb="2" eb="4">
      <t>カンリ</t>
    </rPh>
    <rPh sb="4" eb="6">
      <t>ジム</t>
    </rPh>
    <rPh sb="6" eb="7">
      <t>ショ</t>
    </rPh>
    <rPh sb="8" eb="10">
      <t>ホクブ</t>
    </rPh>
    <rPh sb="10" eb="12">
      <t>ケンチク</t>
    </rPh>
    <rPh sb="12" eb="14">
      <t>ホシュ</t>
    </rPh>
    <phoneticPr fontId="2"/>
  </si>
  <si>
    <t>建築管理事務所（南部建築保守）</t>
    <rPh sb="0" eb="2">
      <t>ケンチク</t>
    </rPh>
    <rPh sb="2" eb="4">
      <t>カンリ</t>
    </rPh>
    <rPh sb="4" eb="6">
      <t>ジム</t>
    </rPh>
    <rPh sb="6" eb="7">
      <t>ショ</t>
    </rPh>
    <rPh sb="8" eb="10">
      <t>ナンブ</t>
    </rPh>
    <rPh sb="10" eb="12">
      <t>ケンチク</t>
    </rPh>
    <rPh sb="12" eb="14">
      <t>ホシュ</t>
    </rPh>
    <phoneticPr fontId="2"/>
  </si>
  <si>
    <t>内訳書起案日</t>
    <rPh sb="0" eb="3">
      <t>ウチワケショ</t>
    </rPh>
    <rPh sb="3" eb="5">
      <t>キアン</t>
    </rPh>
    <rPh sb="5" eb="6">
      <t>ビ</t>
    </rPh>
    <phoneticPr fontId="2"/>
  </si>
  <si>
    <t>内訳書決裁日</t>
    <rPh sb="0" eb="3">
      <t>ウチワケショ</t>
    </rPh>
    <rPh sb="3" eb="5">
      <t>ケッサイ</t>
    </rPh>
    <rPh sb="5" eb="6">
      <t>ヒ</t>
    </rPh>
    <phoneticPr fontId="2"/>
  </si>
  <si>
    <t>建築管理事務所（保守管理）</t>
    <rPh sb="0" eb="2">
      <t>ケンチク</t>
    </rPh>
    <rPh sb="2" eb="4">
      <t>カンリ</t>
    </rPh>
    <rPh sb="4" eb="6">
      <t>ジム</t>
    </rPh>
    <rPh sb="6" eb="7">
      <t>ショ</t>
    </rPh>
    <rPh sb="8" eb="10">
      <t>ホシュ</t>
    </rPh>
    <rPh sb="10" eb="12">
      <t>カンリ</t>
    </rPh>
    <phoneticPr fontId="2"/>
  </si>
  <si>
    <t>財務分類</t>
    <rPh sb="0" eb="2">
      <t>ザイム</t>
    </rPh>
    <rPh sb="2" eb="4">
      <t>ブンルイ</t>
    </rPh>
    <phoneticPr fontId="2"/>
  </si>
  <si>
    <t>諸経費表2018.xlsx</t>
    <phoneticPr fontId="2"/>
  </si>
  <si>
    <t>費目名称
工事種別名称</t>
    <rPh sb="0" eb="2">
      <t>ヒモク</t>
    </rPh>
    <rPh sb="2" eb="4">
      <t>メイショウ</t>
    </rPh>
    <rPh sb="5" eb="7">
      <t>コウジ</t>
    </rPh>
    <rPh sb="7" eb="9">
      <t>シュベツ</t>
    </rPh>
    <rPh sb="9" eb="11">
      <t>メイショウ</t>
    </rPh>
    <phoneticPr fontId="2"/>
  </si>
  <si>
    <t>資産クラス名称</t>
    <rPh sb="0" eb="2">
      <t>シサン</t>
    </rPh>
    <rPh sb="5" eb="7">
      <t>メイショウ</t>
    </rPh>
    <phoneticPr fontId="2"/>
  </si>
  <si>
    <t>資産クラスコード</t>
    <rPh sb="0" eb="2">
      <t>シサン</t>
    </rPh>
    <phoneticPr fontId="2"/>
  </si>
  <si>
    <t>WBS
第２階層
コード</t>
    <rPh sb="4" eb="5">
      <t>ダイ</t>
    </rPh>
    <rPh sb="6" eb="8">
      <t>カイソウ</t>
    </rPh>
    <phoneticPr fontId="2"/>
  </si>
  <si>
    <t>コード</t>
  </si>
  <si>
    <t>名称</t>
    <rPh sb="0" eb="2">
      <t>メイショウ</t>
    </rPh>
    <phoneticPr fontId="5"/>
  </si>
  <si>
    <t>鉄有固-構築物-橋りょう-その他のもの</t>
    <rPh sb="2" eb="3">
      <t>カタム</t>
    </rPh>
    <rPh sb="15" eb="16">
      <t>タ</t>
    </rPh>
    <phoneticPr fontId="1"/>
  </si>
  <si>
    <t>鉄有固-構築物-高架橋-鉄骨造り</t>
    <rPh sb="12" eb="14">
      <t>テッコツ</t>
    </rPh>
    <phoneticPr fontId="1"/>
  </si>
  <si>
    <t>鉄有固-構築物-高架橋-その他のもの</t>
    <rPh sb="8" eb="11">
      <t>コウカキョウ</t>
    </rPh>
    <rPh sb="14" eb="15">
      <t>タ</t>
    </rPh>
    <phoneticPr fontId="1"/>
  </si>
  <si>
    <t>鉄有固-構築物-トンネル-その他のもの</t>
    <rPh sb="15" eb="16">
      <t>タ</t>
    </rPh>
    <phoneticPr fontId="1"/>
  </si>
  <si>
    <t>鉄有固-構築物-線路諸設備-防護設備</t>
    <rPh sb="0" eb="1">
      <t>テツ</t>
    </rPh>
    <rPh sb="1" eb="2">
      <t>ユウ</t>
    </rPh>
    <rPh sb="2" eb="3">
      <t>カタム</t>
    </rPh>
    <rPh sb="14" eb="16">
      <t>ボウゴ</t>
    </rPh>
    <phoneticPr fontId="1"/>
  </si>
  <si>
    <t>鉄有固-構築物-線路諸設備-さくがき</t>
    <rPh sb="0" eb="1">
      <t>テツ</t>
    </rPh>
    <rPh sb="1" eb="2">
      <t>ユウ</t>
    </rPh>
    <rPh sb="2" eb="3">
      <t>カタム</t>
    </rPh>
    <phoneticPr fontId="1"/>
  </si>
  <si>
    <t>鉄有固-構築物-線路諸設備-雑設備</t>
    <rPh sb="0" eb="1">
      <t>テツ</t>
    </rPh>
    <phoneticPr fontId="1"/>
  </si>
  <si>
    <t>鉄有固-構築物-雑設備</t>
  </si>
  <si>
    <t>鉄有固-構築物-車庫工場-舗装道路・舗装路面-コンクリート敷、ブロック敷・煉瓦敷・石敷</t>
  </si>
  <si>
    <t>鉄有固-構築物-車庫工場-舗装道路・舗装路面-アスファルト敷又は木れんが敷のもの</t>
  </si>
  <si>
    <t>鉄有固-構築物-車庫工場-舗装道路・舗装路面-ビチュ－マルス敷のもの</t>
  </si>
  <si>
    <t>鉄有固-構築物-車庫工場-鉄骨鉄筋コンクリート造・鉄筋コンクリート造-へい</t>
  </si>
  <si>
    <t>鉄有固-構築物-車庫工場-鉄骨鉄筋コンクリート造・鉄筋コンクリート造-その他のもの</t>
  </si>
  <si>
    <t>鉄有固-構築物-車庫工場-コンクリート造・コンクリートブロック造-へい</t>
  </si>
  <si>
    <t>鉄有固-構築物-車庫工場-コンクリート造・コンクリートブロック造-その他のもの</t>
  </si>
  <si>
    <t>鉄有固-構築物-車庫工場-金属造-へい</t>
  </si>
  <si>
    <t>鉄有固-構築物-車庫工場-金属造-その他のもの</t>
  </si>
  <si>
    <t>鉄有固-構築物-車庫工場-木造-へい</t>
  </si>
  <si>
    <t>鉄有固-構築物-車庫工場-木造-その他のもの</t>
  </si>
  <si>
    <t>鉄有固-構築物-変電所-舗装道路・舗装路面-コンクリート敷、ブロック敷・煉瓦敷・石敷</t>
  </si>
  <si>
    <t>鉄有固-構築物-変電所-舗装道路・舗装路面-アスファルト敷又は木れんが敷のもの</t>
  </si>
  <si>
    <t>鉄有固-構築物-変電所-舗装道路・舗装路面-ビチュ－マルス敷のもの</t>
  </si>
  <si>
    <t>鉄有固-構築物-変電所-鉄骨鉄筋コンクリート造・鉄筋コンクリート造-へい</t>
  </si>
  <si>
    <t>鉄有固-構築物-変電所-鉄骨鉄筋コンクリート造・鉄筋コンクリート造-その他のもの</t>
  </si>
  <si>
    <t>鉄有固-構築物-変電所-コンクリート造・コンクリートブロック造-へい</t>
  </si>
  <si>
    <t>鉄有固-構築物-変電所-コンクリート造・コンクリートブロック造-その他のもの</t>
  </si>
  <si>
    <t>鉄有固-構築物-変電所-金属造-へい</t>
  </si>
  <si>
    <t>鉄有固-構築物-変電所-金属造-その他のもの</t>
  </si>
  <si>
    <t>鉄有固-構築物-変電所-木造-へい</t>
  </si>
  <si>
    <t>鉄有固-構築物-変電所-木造-その他のもの</t>
  </si>
  <si>
    <t>鉄有固-構築物-雑構築物-舗装道路・舗装路面-コンクリート敷、ブロック敷・煉瓦敷・石敷</t>
  </si>
  <si>
    <t>鉄有固-構築物-雑構築物-舗装道路・舗装路面-アスファルト敷又は木れんが敷のもの</t>
  </si>
  <si>
    <t>鉄有固-構築物-雑構築物-舗装道路・舗装路面-ビチュ－マルス敷のもの</t>
  </si>
  <si>
    <t>鉄有固-構築物-雑構築物-鉄骨鉄筋コンクリート造・鉄筋コンクリート造-へい</t>
  </si>
  <si>
    <t>鉄有固-構築物-雑構築物-鉄骨鉄筋コンクリート造・鉄筋コンクリート造-その他のもの</t>
  </si>
  <si>
    <t>鉄有固-構築物-雑構築物-鉄骨鉄筋コンクリート造・鉄筋コンクリート造-上水道、水そう</t>
  </si>
  <si>
    <t>鉄有固-構築物-雑構築物-コンクリート造・コンクリートブロック造-へい</t>
  </si>
  <si>
    <t>鉄有固-構築物-雑構築物-コンクリート造・コンクリートブロック造-その他のもの</t>
  </si>
  <si>
    <t>鉄有固-構築物-雑構築物-金属造-へい</t>
  </si>
  <si>
    <t>鉄有固-構築物-雑構築物-金属造-その他のもの</t>
  </si>
  <si>
    <t>鉄有固-構築物-雑構築物-金属造-水そう及び油そう－鋼鉄製のもの</t>
  </si>
  <si>
    <t>鉄有固-構築物-雑構築物-金属造-焼却炉</t>
    <rPh sb="17" eb="20">
      <t>ショウキャクロ</t>
    </rPh>
    <phoneticPr fontId="1"/>
  </si>
  <si>
    <t>鉄有固-構築物-雑構築物-金属造-送配管-鋼鉄製</t>
  </si>
  <si>
    <t>鉄有固-構築物-雑構築物-木造-へい</t>
  </si>
  <si>
    <t>鉄有固-構築物-雑構築物-木造-その他のもの</t>
  </si>
  <si>
    <t>鉄有固-構築物-雑構築物-前掲以外のもの-その他のもの</t>
  </si>
  <si>
    <t>鉄有固-構築物-雑構築物-緑化施設及び庭園-その他のもの</t>
  </si>
  <si>
    <t>鉄有固-構築物-雑構築物-広告用のもの-その他のもの</t>
    <rPh sb="13" eb="16">
      <t>コウコクヨウ</t>
    </rPh>
    <phoneticPr fontId="1"/>
  </si>
  <si>
    <t>鉄有固-車両-予備品</t>
    <rPh sb="7" eb="10">
      <t>ヨビヒン</t>
    </rPh>
    <phoneticPr fontId="1"/>
  </si>
  <si>
    <t>鉄有固-工具器具及び備品-工器備-美術品(非償却)</t>
    <rPh sb="17" eb="19">
      <t>ビジュツ</t>
    </rPh>
    <rPh sb="19" eb="20">
      <t>ヒン</t>
    </rPh>
    <rPh sb="21" eb="22">
      <t>ヒ</t>
    </rPh>
    <rPh sb="22" eb="24">
      <t>ショウキャク</t>
    </rPh>
    <phoneticPr fontId="1"/>
  </si>
  <si>
    <t>鉄有固-工具器具及び備品-工器備-美術品-償却(主として金属製のもの)</t>
    <rPh sb="17" eb="19">
      <t>ビジュツ</t>
    </rPh>
    <rPh sb="19" eb="20">
      <t>ヒン</t>
    </rPh>
    <phoneticPr fontId="1"/>
  </si>
  <si>
    <t>鉄有固-工具器具及び備品-工器備-美術品-償却(その他のもの)</t>
    <rPh sb="17" eb="19">
      <t>ビジュツ</t>
    </rPh>
    <rPh sb="19" eb="20">
      <t>ヒン</t>
    </rPh>
    <phoneticPr fontId="1"/>
  </si>
  <si>
    <t>鉄有固-工具器具及び備品-運搬具-前掲以外-乗合自動車</t>
    <rPh sb="17" eb="19">
      <t>ゼンケイ</t>
    </rPh>
    <rPh sb="19" eb="21">
      <t>イガイ</t>
    </rPh>
    <rPh sb="22" eb="27">
      <t>ノリアイジドウシャ</t>
    </rPh>
    <phoneticPr fontId="1"/>
  </si>
  <si>
    <t>鉄有固-案内宣伝施設 建物-簡易建物(木製主要柱が10cm角以下で土居、杉皮ぶき等)-社宅・寮建物</t>
    <rPh sb="47" eb="49">
      <t>タテモノ</t>
    </rPh>
    <phoneticPr fontId="1"/>
  </si>
  <si>
    <t>建設仮勘定-広告事業-ソフトウェア</t>
    <rPh sb="6" eb="8">
      <t>コウコク</t>
    </rPh>
    <phoneticPr fontId="1"/>
  </si>
  <si>
    <t>建設仮勘定-各事業関連-直接費</t>
    <rPh sb="6" eb="9">
      <t>カクジギョウ</t>
    </rPh>
    <rPh sb="9" eb="11">
      <t>カンレン</t>
    </rPh>
    <rPh sb="12" eb="14">
      <t>チョクセツ</t>
    </rPh>
    <rPh sb="14" eb="15">
      <t>ヒ</t>
    </rPh>
    <phoneticPr fontId="1"/>
  </si>
  <si>
    <t>建設仮勘定-各事業関連-間接費</t>
    <rPh sb="6" eb="9">
      <t>カクジギョウ</t>
    </rPh>
    <rPh sb="9" eb="11">
      <t>カンレン</t>
    </rPh>
    <rPh sb="12" eb="14">
      <t>カンセツ</t>
    </rPh>
    <rPh sb="14" eb="15">
      <t>ヒ</t>
    </rPh>
    <phoneticPr fontId="1"/>
  </si>
  <si>
    <t>各事業有固-建物付属設備-電気設備(照明設備を含む。)-蓄電池電源設備-雑建物</t>
    <rPh sb="36" eb="37">
      <t>ザツ</t>
    </rPh>
    <rPh sb="37" eb="39">
      <t>タテモノ</t>
    </rPh>
    <phoneticPr fontId="1"/>
  </si>
  <si>
    <t>各事業有固-工具器具及び備品-工器備-美術品(非償却)</t>
    <rPh sb="19" eb="21">
      <t>ビジュツ</t>
    </rPh>
    <rPh sb="21" eb="22">
      <t>ヒン</t>
    </rPh>
    <rPh sb="23" eb="24">
      <t>ヒ</t>
    </rPh>
    <rPh sb="24" eb="26">
      <t>ショウキャク</t>
    </rPh>
    <phoneticPr fontId="1"/>
  </si>
  <si>
    <t>各事業有固-工具器具及び備品-工器備-美術品-償却(主として金属製のもの)</t>
    <rPh sb="19" eb="21">
      <t>ビジュツ</t>
    </rPh>
    <rPh sb="21" eb="22">
      <t>ヒン</t>
    </rPh>
    <phoneticPr fontId="1"/>
  </si>
  <si>
    <t>各事業有固-工具器具及び備品-工器備-美術品-償却(その他のもの)</t>
    <rPh sb="19" eb="21">
      <t>ビジュツ</t>
    </rPh>
    <rPh sb="21" eb="22">
      <t>ヒン</t>
    </rPh>
    <phoneticPr fontId="1"/>
  </si>
  <si>
    <t>各事業無固-借地権</t>
    <rPh sb="6" eb="8">
      <t>シャクチ</t>
    </rPh>
    <rPh sb="8" eb="9">
      <t>ケン</t>
    </rPh>
    <phoneticPr fontId="1"/>
  </si>
  <si>
    <t>各事業無固-地上権</t>
    <rPh sb="6" eb="9">
      <t>チジョウケン</t>
    </rPh>
    <phoneticPr fontId="1"/>
  </si>
  <si>
    <t>各事業無固-商標権</t>
    <rPh sb="6" eb="9">
      <t>ショウヒョウケン</t>
    </rPh>
    <phoneticPr fontId="1"/>
  </si>
  <si>
    <t>金額</t>
    <rPh sb="0" eb="2">
      <t>キンガク</t>
    </rPh>
    <phoneticPr fontId="2"/>
  </si>
  <si>
    <t>番号</t>
    <rPh sb="0" eb="2">
      <t>バンゴウ</t>
    </rPh>
    <phoneticPr fontId="2"/>
  </si>
  <si>
    <t>資産管理明細書</t>
    <rPh sb="0" eb="2">
      <t>シサン</t>
    </rPh>
    <rPh sb="2" eb="4">
      <t>カンリ</t>
    </rPh>
    <rPh sb="4" eb="7">
      <t>メイサイショ</t>
    </rPh>
    <phoneticPr fontId="2"/>
  </si>
  <si>
    <t>標準単価2018.xls</t>
    <phoneticPr fontId="2"/>
  </si>
  <si>
    <t>標準単価金額無2018.xls</t>
    <phoneticPr fontId="2"/>
  </si>
  <si>
    <t>資産名称</t>
    <rPh sb="0" eb="2">
      <t>シサン</t>
    </rPh>
    <rPh sb="2" eb="4">
      <t>メイショウ</t>
    </rPh>
    <phoneticPr fontId="2"/>
  </si>
  <si>
    <t>予算掌理部</t>
    <rPh sb="0" eb="2">
      <t>ヨサン</t>
    </rPh>
    <rPh sb="2" eb="4">
      <t>ショウリ</t>
    </rPh>
    <rPh sb="4" eb="5">
      <t>ブ</t>
    </rPh>
    <phoneticPr fontId="2"/>
  </si>
  <si>
    <t>事業案
稟議番号</t>
    <rPh sb="0" eb="2">
      <t>ジギョウ</t>
    </rPh>
    <rPh sb="2" eb="3">
      <t>アン</t>
    </rPh>
    <rPh sb="4" eb="6">
      <t>リンギ</t>
    </rPh>
    <rPh sb="6" eb="8">
      <t>バンゴウ</t>
    </rPh>
    <phoneticPr fontId="2"/>
  </si>
  <si>
    <t>1</t>
  </si>
  <si>
    <t>経営戦略・グループ戦略部</t>
    <rPh sb="0" eb="2">
      <t>ケイエイ</t>
    </rPh>
    <rPh sb="2" eb="4">
      <t>センリャク</t>
    </rPh>
    <rPh sb="9" eb="11">
      <t>センリャク</t>
    </rPh>
    <rPh sb="11" eb="12">
      <t>ブ</t>
    </rPh>
    <phoneticPr fontId="47"/>
  </si>
  <si>
    <t>2</t>
  </si>
  <si>
    <t>新規事業開発部</t>
    <rPh sb="0" eb="2">
      <t>シンキ</t>
    </rPh>
    <rPh sb="2" eb="4">
      <t>ジギョウ</t>
    </rPh>
    <rPh sb="4" eb="7">
      <t>カイハツブ</t>
    </rPh>
    <phoneticPr fontId="47"/>
  </si>
  <si>
    <t>3</t>
  </si>
  <si>
    <t>総務部</t>
  </si>
  <si>
    <t>4</t>
  </si>
  <si>
    <t>財務部</t>
  </si>
  <si>
    <t>5</t>
  </si>
  <si>
    <t>調達部</t>
  </si>
  <si>
    <t>6</t>
  </si>
  <si>
    <t>統括部</t>
    <rPh sb="0" eb="2">
      <t>トウカツ</t>
    </rPh>
    <rPh sb="2" eb="3">
      <t>ブ</t>
    </rPh>
    <phoneticPr fontId="47"/>
  </si>
  <si>
    <t>7</t>
  </si>
  <si>
    <t>駅務部</t>
    <rPh sb="0" eb="2">
      <t>エキム</t>
    </rPh>
    <rPh sb="2" eb="3">
      <t>ブ</t>
    </rPh>
    <phoneticPr fontId="47"/>
  </si>
  <si>
    <t>8</t>
  </si>
  <si>
    <t>運転部</t>
  </si>
  <si>
    <t>9</t>
  </si>
  <si>
    <t>営業部</t>
  </si>
  <si>
    <t>A</t>
  </si>
  <si>
    <t>電気部</t>
    <rPh sb="0" eb="2">
      <t>デンキ</t>
    </rPh>
    <rPh sb="2" eb="3">
      <t>ブ</t>
    </rPh>
    <phoneticPr fontId="47"/>
  </si>
  <si>
    <t>B</t>
  </si>
  <si>
    <t>車両部</t>
    <rPh sb="0" eb="2">
      <t>シャリョウ</t>
    </rPh>
    <rPh sb="2" eb="3">
      <t>ブ</t>
    </rPh>
    <phoneticPr fontId="47"/>
  </si>
  <si>
    <t>C</t>
  </si>
  <si>
    <t>工務部</t>
    <rPh sb="0" eb="2">
      <t>コウム</t>
    </rPh>
    <rPh sb="2" eb="3">
      <t>ブ</t>
    </rPh>
    <phoneticPr fontId="47"/>
  </si>
  <si>
    <t>D</t>
  </si>
  <si>
    <t>建築部</t>
    <rPh sb="0" eb="2">
      <t>ケンチク</t>
    </rPh>
    <rPh sb="2" eb="3">
      <t>ブ</t>
    </rPh>
    <phoneticPr fontId="47"/>
  </si>
  <si>
    <t>E</t>
  </si>
  <si>
    <t>安全推進室</t>
    <rPh sb="0" eb="4">
      <t>アンゼンスイシン</t>
    </rPh>
    <rPh sb="4" eb="5">
      <t>シツ</t>
    </rPh>
    <phoneticPr fontId="50"/>
  </si>
  <si>
    <t>F</t>
  </si>
  <si>
    <t>監査室</t>
    <rPh sb="0" eb="2">
      <t>カンサ</t>
    </rPh>
    <rPh sb="2" eb="3">
      <t>シツ</t>
    </rPh>
    <phoneticPr fontId="47"/>
  </si>
  <si>
    <t>G</t>
  </si>
  <si>
    <t>人事部</t>
    <rPh sb="0" eb="2">
      <t>ジンジ</t>
    </rPh>
    <rPh sb="2" eb="3">
      <t>ブ</t>
    </rPh>
    <phoneticPr fontId="47"/>
  </si>
  <si>
    <t>H</t>
  </si>
  <si>
    <t>監査役室</t>
  </si>
  <si>
    <t>係員</t>
    <rPh sb="0" eb="2">
      <t>カカリイン</t>
    </rPh>
    <phoneticPr fontId="2"/>
  </si>
  <si>
    <t>率算出共通仮設費</t>
    <rPh sb="0" eb="1">
      <t>リツ</t>
    </rPh>
    <rPh sb="1" eb="3">
      <t>サンシュツ</t>
    </rPh>
    <rPh sb="3" eb="5">
      <t>キョウツウ</t>
    </rPh>
    <rPh sb="5" eb="7">
      <t>カセツ</t>
    </rPh>
    <rPh sb="7" eb="8">
      <t>ヒ</t>
    </rPh>
    <phoneticPr fontId="2"/>
  </si>
  <si>
    <t>式</t>
    <rPh sb="0" eb="1">
      <t>シキ</t>
    </rPh>
    <phoneticPr fontId="2"/>
  </si>
  <si>
    <t>□率算出共通仮設費</t>
    <rPh sb="1" eb="2">
      <t>リツ</t>
    </rPh>
    <rPh sb="2" eb="4">
      <t>サンシュツ</t>
    </rPh>
    <rPh sb="4" eb="6">
      <t>キョウツウ</t>
    </rPh>
    <rPh sb="6" eb="8">
      <t>カセツ</t>
    </rPh>
    <rPh sb="8" eb="9">
      <t>ヒ</t>
    </rPh>
    <phoneticPr fontId="2"/>
  </si>
  <si>
    <t>□積上げ共通仮設費</t>
    <rPh sb="1" eb="3">
      <t>ツミア</t>
    </rPh>
    <rPh sb="4" eb="6">
      <t>キョウツウ</t>
    </rPh>
    <rPh sb="6" eb="8">
      <t>カセツ</t>
    </rPh>
    <rPh sb="8" eb="9">
      <t>ヒ</t>
    </rPh>
    <phoneticPr fontId="2"/>
  </si>
  <si>
    <t>小々計</t>
    <rPh sb="0" eb="2">
      <t>ショウショウ</t>
    </rPh>
    <rPh sb="2" eb="3">
      <t>ケイ</t>
    </rPh>
    <phoneticPr fontId="2"/>
  </si>
  <si>
    <t>小々計</t>
    <rPh sb="0" eb="1">
      <t>ショウ</t>
    </rPh>
    <rPh sb="2" eb="3">
      <t>ケイ</t>
    </rPh>
    <phoneticPr fontId="2"/>
  </si>
  <si>
    <t>明細コード</t>
    <rPh sb="0" eb="2">
      <t>メイサイ</t>
    </rPh>
    <phoneticPr fontId="2"/>
  </si>
  <si>
    <t>明細情報</t>
    <rPh sb="0" eb="2">
      <t>メイサイ</t>
    </rPh>
    <rPh sb="2" eb="4">
      <t>ジョウホウ</t>
    </rPh>
    <phoneticPr fontId="2"/>
  </si>
  <si>
    <t>工事稟議番号</t>
    <rPh sb="0" eb="2">
      <t>コウジ</t>
    </rPh>
    <rPh sb="2" eb="4">
      <t>リンギ</t>
    </rPh>
    <rPh sb="4" eb="6">
      <t>バンゴウ</t>
    </rPh>
    <phoneticPr fontId="2"/>
  </si>
  <si>
    <t>入札方式</t>
    <rPh sb="0" eb="2">
      <t>ニュウサツ</t>
    </rPh>
    <rPh sb="2" eb="4">
      <t>ホウシキ</t>
    </rPh>
    <phoneticPr fontId="2"/>
  </si>
  <si>
    <t>諸経費表</t>
    <phoneticPr fontId="2"/>
  </si>
  <si>
    <t>諸経費表(専業工事用)</t>
    <phoneticPr fontId="2"/>
  </si>
  <si>
    <t>随契差引諸経費表</t>
    <phoneticPr fontId="2"/>
  </si>
  <si>
    <t>プロジェクトコード</t>
    <phoneticPr fontId="2"/>
  </si>
  <si>
    <t>2018年5月</t>
    <rPh sb="4" eb="5">
      <t>ネン</t>
    </rPh>
    <rPh sb="6" eb="7">
      <t>ツキ</t>
    </rPh>
    <phoneticPr fontId="2"/>
  </si>
  <si>
    <t>【資産区分】
空白の場合は
建物-鉄コン造で計上</t>
    <rPh sb="1" eb="3">
      <t>シサン</t>
    </rPh>
    <rPh sb="3" eb="5">
      <t>クブン</t>
    </rPh>
    <rPh sb="7" eb="9">
      <t>クウハク</t>
    </rPh>
    <rPh sb="10" eb="12">
      <t>バアイ</t>
    </rPh>
    <rPh sb="14" eb="16">
      <t>タテモノ</t>
    </rPh>
    <rPh sb="17" eb="18">
      <t>テツ</t>
    </rPh>
    <rPh sb="20" eb="21">
      <t>ツク</t>
    </rPh>
    <rPh sb="22" eb="24">
      <t>ケイジョウ</t>
    </rPh>
    <phoneticPr fontId="2"/>
  </si>
  <si>
    <t>【資産区分】
空白の場合は
建物-鉄コン造で計上</t>
    <phoneticPr fontId="2"/>
  </si>
  <si>
    <t>前払金</t>
    <rPh sb="0" eb="2">
      <t>マエバライ</t>
    </rPh>
    <rPh sb="2" eb="3">
      <t>キン</t>
    </rPh>
    <phoneticPr fontId="2"/>
  </si>
  <si>
    <t>業　務　委　託　費　内　訳　書</t>
    <rPh sb="0" eb="1">
      <t>ギョウ</t>
    </rPh>
    <rPh sb="2" eb="3">
      <t>ツトム</t>
    </rPh>
    <rPh sb="4" eb="5">
      <t>イ</t>
    </rPh>
    <rPh sb="6" eb="7">
      <t>タク</t>
    </rPh>
    <rPh sb="8" eb="9">
      <t>ヒ</t>
    </rPh>
    <rPh sb="10" eb="11">
      <t>ウチ</t>
    </rPh>
    <rPh sb="12" eb="13">
      <t>ヤク</t>
    </rPh>
    <rPh sb="14" eb="15">
      <t>ショ</t>
    </rPh>
    <phoneticPr fontId="2"/>
  </si>
  <si>
    <t>業　務　委　託　料　内　訳　書</t>
    <rPh sb="0" eb="1">
      <t>ギョウ</t>
    </rPh>
    <rPh sb="2" eb="3">
      <t>ツトム</t>
    </rPh>
    <rPh sb="4" eb="5">
      <t>イ</t>
    </rPh>
    <rPh sb="6" eb="7">
      <t>タク</t>
    </rPh>
    <rPh sb="8" eb="9">
      <t>リョウ</t>
    </rPh>
    <rPh sb="10" eb="11">
      <t>ウチ</t>
    </rPh>
    <rPh sb="12" eb="13">
      <t>ヤク</t>
    </rPh>
    <phoneticPr fontId="2"/>
  </si>
  <si>
    <t>直接人件費等</t>
    <rPh sb="0" eb="2">
      <t>チョクセツ</t>
    </rPh>
    <rPh sb="2" eb="5">
      <t>ジンケンヒ</t>
    </rPh>
    <rPh sb="5" eb="6">
      <t>トウ</t>
    </rPh>
    <phoneticPr fontId="2"/>
  </si>
  <si>
    <t>（直接人件費）</t>
    <rPh sb="1" eb="3">
      <t>チョクセツ</t>
    </rPh>
    <rPh sb="3" eb="6">
      <t>ジンケンヒ</t>
    </rPh>
    <phoneticPr fontId="2"/>
  </si>
  <si>
    <t>直接経費等</t>
    <rPh sb="0" eb="2">
      <t>チョクセツ</t>
    </rPh>
    <rPh sb="2" eb="4">
      <t>ケイヒ</t>
    </rPh>
    <rPh sb="4" eb="5">
      <t>トウ</t>
    </rPh>
    <phoneticPr fontId="2"/>
  </si>
  <si>
    <t>技術経費等</t>
    <rPh sb="0" eb="2">
      <t>ギジュツ</t>
    </rPh>
    <rPh sb="2" eb="4">
      <t>ケイヒ</t>
    </rPh>
    <rPh sb="4" eb="5">
      <t>トウ</t>
    </rPh>
    <phoneticPr fontId="2"/>
  </si>
  <si>
    <t>（技術料等経費）</t>
    <rPh sb="1" eb="3">
      <t>ギジュツ</t>
    </rPh>
    <rPh sb="3" eb="4">
      <t>リョウ</t>
    </rPh>
    <rPh sb="4" eb="5">
      <t>トウ</t>
    </rPh>
    <rPh sb="5" eb="7">
      <t>ケイヒ</t>
    </rPh>
    <phoneticPr fontId="2"/>
  </si>
  <si>
    <t>諸経費</t>
    <rPh sb="0" eb="3">
      <t>ショケイヒ</t>
    </rPh>
    <phoneticPr fontId="2"/>
  </si>
  <si>
    <t>（諸経費）</t>
    <rPh sb="1" eb="4">
      <t>ショケイヒ</t>
    </rPh>
    <phoneticPr fontId="2"/>
  </si>
  <si>
    <t>合　　計</t>
    <phoneticPr fontId="2"/>
  </si>
  <si>
    <t>無し</t>
  </si>
  <si>
    <t>建築工事設計業務</t>
    <rPh sb="0" eb="2">
      <t>ケンチク</t>
    </rPh>
    <rPh sb="2" eb="4">
      <t>コウジ</t>
    </rPh>
    <rPh sb="4" eb="6">
      <t>セッケイ</t>
    </rPh>
    <rPh sb="6" eb="8">
      <t>ギョウム</t>
    </rPh>
    <phoneticPr fontId="2"/>
  </si>
  <si>
    <t>水田広起</t>
    <rPh sb="0" eb="1">
      <t>ミズ</t>
    </rPh>
    <rPh sb="1" eb="2">
      <t>タ</t>
    </rPh>
    <rPh sb="2" eb="3">
      <t>ヒロ</t>
    </rPh>
    <rPh sb="3" eb="4">
      <t>キ</t>
    </rPh>
    <phoneticPr fontId="2"/>
  </si>
  <si>
    <t>清家光</t>
    <rPh sb="0" eb="2">
      <t>セイケ</t>
    </rPh>
    <rPh sb="2" eb="3">
      <t>ヒカル</t>
    </rPh>
    <phoneticPr fontId="2"/>
  </si>
  <si>
    <t>有り</t>
  </si>
  <si>
    <t>1･3号線各駅可動式ホーム柵設置に伴う建築工事設計業務委託</t>
    <rPh sb="3" eb="5">
      <t>ゴウセン</t>
    </rPh>
    <rPh sb="5" eb="7">
      <t>カクエキ</t>
    </rPh>
    <rPh sb="7" eb="10">
      <t>カドウシキ</t>
    </rPh>
    <rPh sb="13" eb="14">
      <t>サク</t>
    </rPh>
    <rPh sb="14" eb="16">
      <t>セッチ</t>
    </rPh>
    <rPh sb="17" eb="18">
      <t>トモナ</t>
    </rPh>
    <rPh sb="19" eb="21">
      <t>ケンチク</t>
    </rPh>
    <rPh sb="21" eb="23">
      <t>コウジ</t>
    </rPh>
    <rPh sb="23" eb="25">
      <t>セッケイ</t>
    </rPh>
    <rPh sb="25" eb="27">
      <t>ギョウム</t>
    </rPh>
    <rPh sb="27" eb="29">
      <t>イタク</t>
    </rPh>
    <phoneticPr fontId="2"/>
  </si>
  <si>
    <t>由肥</t>
    <rPh sb="0" eb="1">
      <t>ユ</t>
    </rPh>
    <rPh sb="1" eb="2">
      <t>ヒ</t>
    </rPh>
    <phoneticPr fontId="2"/>
  </si>
  <si>
    <t>鹿島</t>
    <rPh sb="0" eb="2">
      <t>カシマ</t>
    </rPh>
    <phoneticPr fontId="2"/>
  </si>
  <si>
    <t>梶浦</t>
    <rPh sb="0" eb="2">
      <t>カジウラ</t>
    </rPh>
    <phoneticPr fontId="2"/>
  </si>
  <si>
    <t>江坂駅</t>
    <rPh sb="0" eb="2">
      <t>エサカ</t>
    </rPh>
    <rPh sb="2" eb="3">
      <t>エキ</t>
    </rPh>
    <phoneticPr fontId="2"/>
  </si>
  <si>
    <t>東三国駅</t>
    <rPh sb="0" eb="1">
      <t>ヒガシ</t>
    </rPh>
    <rPh sb="1" eb="3">
      <t>ミクニ</t>
    </rPh>
    <rPh sb="3" eb="4">
      <t>エキ</t>
    </rPh>
    <phoneticPr fontId="2"/>
  </si>
  <si>
    <t>新大阪駅</t>
    <rPh sb="0" eb="4">
      <t>シンオオサカエキ</t>
    </rPh>
    <phoneticPr fontId="2"/>
  </si>
  <si>
    <t>西中島南方駅</t>
    <rPh sb="0" eb="1">
      <t>ニシ</t>
    </rPh>
    <rPh sb="1" eb="3">
      <t>ナカジマ</t>
    </rPh>
    <rPh sb="3" eb="5">
      <t>ミナミカタ</t>
    </rPh>
    <rPh sb="5" eb="6">
      <t>エキ</t>
    </rPh>
    <phoneticPr fontId="2"/>
  </si>
  <si>
    <t>中津駅</t>
    <rPh sb="0" eb="2">
      <t>ナカツ</t>
    </rPh>
    <rPh sb="2" eb="3">
      <t>エキ</t>
    </rPh>
    <phoneticPr fontId="2"/>
  </si>
  <si>
    <t>梅田駅</t>
    <rPh sb="0" eb="3">
      <t>ウメダエキ</t>
    </rPh>
    <phoneticPr fontId="2"/>
  </si>
  <si>
    <t>淀屋橋駅</t>
    <rPh sb="0" eb="4">
      <t>ヨドヤバシエキ</t>
    </rPh>
    <phoneticPr fontId="2"/>
  </si>
  <si>
    <t>R1本町駅</t>
    <rPh sb="2" eb="4">
      <t>ホンマチ</t>
    </rPh>
    <rPh sb="4" eb="5">
      <t>エキ</t>
    </rPh>
    <phoneticPr fontId="2"/>
  </si>
  <si>
    <t>R1なんば駅</t>
    <rPh sb="5" eb="6">
      <t>エキ</t>
    </rPh>
    <phoneticPr fontId="2"/>
  </si>
  <si>
    <t>昭和町駅</t>
    <rPh sb="0" eb="3">
      <t>ショウワチョウ</t>
    </rPh>
    <rPh sb="3" eb="4">
      <t>エキ</t>
    </rPh>
    <phoneticPr fontId="2"/>
  </si>
  <si>
    <t>西田辺駅</t>
    <rPh sb="0" eb="1">
      <t>ニシ</t>
    </rPh>
    <rPh sb="1" eb="3">
      <t>タナベ</t>
    </rPh>
    <rPh sb="3" eb="4">
      <t>エキ</t>
    </rPh>
    <phoneticPr fontId="2"/>
  </si>
  <si>
    <t>長居駅</t>
    <rPh sb="0" eb="2">
      <t>ナガイ</t>
    </rPh>
    <rPh sb="2" eb="3">
      <t>エキ</t>
    </rPh>
    <phoneticPr fontId="2"/>
  </si>
  <si>
    <t>あびこ駅</t>
    <rPh sb="3" eb="4">
      <t>エキ</t>
    </rPh>
    <phoneticPr fontId="2"/>
  </si>
  <si>
    <t>北花田駅</t>
    <rPh sb="0" eb="3">
      <t>キタハナダ</t>
    </rPh>
    <rPh sb="3" eb="4">
      <t>エキ</t>
    </rPh>
    <phoneticPr fontId="2"/>
  </si>
  <si>
    <t>新金岡駅</t>
    <rPh sb="0" eb="4">
      <t>シンカナオカエキ</t>
    </rPh>
    <phoneticPr fontId="2"/>
  </si>
  <si>
    <t>なかもず駅</t>
    <rPh sb="4" eb="5">
      <t>エキ</t>
    </rPh>
    <phoneticPr fontId="2"/>
  </si>
  <si>
    <t>西梅田駅</t>
    <rPh sb="0" eb="3">
      <t>ニシウメダ</t>
    </rPh>
    <rPh sb="3" eb="4">
      <t>エキ</t>
    </rPh>
    <phoneticPr fontId="2"/>
  </si>
  <si>
    <t>計</t>
    <rPh sb="0" eb="1">
      <t>ケイ</t>
    </rPh>
    <phoneticPr fontId="2"/>
  </si>
  <si>
    <t>動物園前駅</t>
    <rPh sb="0" eb="3">
      <t>ドウブツエン</t>
    </rPh>
    <rPh sb="3" eb="4">
      <t>マエ</t>
    </rPh>
    <rPh sb="4" eb="5">
      <t>エキ</t>
    </rPh>
    <phoneticPr fontId="2"/>
  </si>
  <si>
    <t>R1大国町駅</t>
    <rPh sb="2" eb="4">
      <t>タイコク</t>
    </rPh>
    <rPh sb="4" eb="5">
      <t>チョウ</t>
    </rPh>
    <rPh sb="5" eb="6">
      <t>エキ</t>
    </rPh>
    <phoneticPr fontId="2"/>
  </si>
  <si>
    <t>R3大国町駅</t>
    <rPh sb="2" eb="4">
      <t>タイコク</t>
    </rPh>
    <rPh sb="4" eb="5">
      <t>チョウ</t>
    </rPh>
    <rPh sb="5" eb="6">
      <t>エキ</t>
    </rPh>
    <phoneticPr fontId="2"/>
  </si>
  <si>
    <t>（特別経費）</t>
    <rPh sb="1" eb="3">
      <t>トクベツ</t>
    </rPh>
    <rPh sb="3" eb="5">
      <t>ケイヒ</t>
    </rPh>
    <phoneticPr fontId="2"/>
  </si>
  <si>
    <t>式</t>
    <rPh sb="0" eb="1">
      <t>シキ</t>
    </rPh>
    <phoneticPr fontId="2"/>
  </si>
  <si>
    <t>図面・仕様書どおり</t>
    <rPh sb="0" eb="2">
      <t>ズメン</t>
    </rPh>
    <rPh sb="3" eb="6">
      <t>シヨウショ</t>
    </rPh>
    <phoneticPr fontId="2"/>
  </si>
  <si>
    <t>諸経費共</t>
    <rPh sb="0" eb="3">
      <t>ショケイヒ</t>
    </rPh>
    <rPh sb="3" eb="4">
      <t>トモ</t>
    </rPh>
    <phoneticPr fontId="2"/>
  </si>
  <si>
    <t>江坂駅（R1)建物</t>
    <rPh sb="0" eb="2">
      <t>エサカ</t>
    </rPh>
    <rPh sb="2" eb="3">
      <t>エキ</t>
    </rPh>
    <rPh sb="7" eb="9">
      <t>タテモノ</t>
    </rPh>
    <phoneticPr fontId="2"/>
  </si>
  <si>
    <t>東三国駅（R1)建物</t>
    <rPh sb="0" eb="1">
      <t>ヒガシ</t>
    </rPh>
    <rPh sb="1" eb="3">
      <t>ミクニ</t>
    </rPh>
    <rPh sb="3" eb="4">
      <t>エキ</t>
    </rPh>
    <rPh sb="8" eb="10">
      <t>タテモノ</t>
    </rPh>
    <phoneticPr fontId="2"/>
  </si>
  <si>
    <t>新大阪駅（R1)建物</t>
    <rPh sb="0" eb="3">
      <t>シンオオサカ</t>
    </rPh>
    <rPh sb="3" eb="4">
      <t>エキ</t>
    </rPh>
    <rPh sb="8" eb="10">
      <t>タテモノ</t>
    </rPh>
    <phoneticPr fontId="2"/>
  </si>
  <si>
    <t>西中島南方駅（R1)建物</t>
    <rPh sb="0" eb="5">
      <t>ニシナカジマミナミガタ</t>
    </rPh>
    <rPh sb="5" eb="6">
      <t>エキ</t>
    </rPh>
    <rPh sb="10" eb="12">
      <t>タテモノ</t>
    </rPh>
    <phoneticPr fontId="2"/>
  </si>
  <si>
    <t>中津駅（R1)建物</t>
    <rPh sb="0" eb="2">
      <t>ナカツ</t>
    </rPh>
    <rPh sb="2" eb="3">
      <t>エキ</t>
    </rPh>
    <rPh sb="7" eb="9">
      <t>タテモノ</t>
    </rPh>
    <phoneticPr fontId="2"/>
  </si>
  <si>
    <t>梅田駅（R1)建物</t>
    <rPh sb="0" eb="2">
      <t>ウメダ</t>
    </rPh>
    <rPh sb="2" eb="3">
      <t>エキ</t>
    </rPh>
    <rPh sb="7" eb="9">
      <t>タテモノ</t>
    </rPh>
    <phoneticPr fontId="2"/>
  </si>
  <si>
    <t>淀屋橋駅（R1)建物</t>
    <rPh sb="0" eb="3">
      <t>ヨドヤバシ</t>
    </rPh>
    <rPh sb="3" eb="4">
      <t>エキ</t>
    </rPh>
    <rPh sb="8" eb="10">
      <t>タテモノ</t>
    </rPh>
    <phoneticPr fontId="2"/>
  </si>
  <si>
    <t>本町駅（R1)建物</t>
    <rPh sb="0" eb="2">
      <t>ホンマチ</t>
    </rPh>
    <rPh sb="2" eb="3">
      <t>エキ</t>
    </rPh>
    <rPh sb="7" eb="9">
      <t>タテモノ</t>
    </rPh>
    <phoneticPr fontId="2"/>
  </si>
  <si>
    <t>なんば駅（R1)建物</t>
    <rPh sb="3" eb="4">
      <t>エキ</t>
    </rPh>
    <rPh sb="8" eb="10">
      <t>タテモノ</t>
    </rPh>
    <phoneticPr fontId="2"/>
  </si>
  <si>
    <t>大国町駅（R1)建物</t>
    <rPh sb="0" eb="3">
      <t>ダイコクチョウ</t>
    </rPh>
    <rPh sb="3" eb="4">
      <t>エキ</t>
    </rPh>
    <rPh sb="8" eb="10">
      <t>タテモノ</t>
    </rPh>
    <phoneticPr fontId="2"/>
  </si>
  <si>
    <t>大国駅（R3)建物</t>
    <rPh sb="0" eb="2">
      <t>ダイコク</t>
    </rPh>
    <rPh sb="2" eb="3">
      <t>エキ</t>
    </rPh>
    <rPh sb="7" eb="9">
      <t>タテモノ</t>
    </rPh>
    <phoneticPr fontId="2"/>
  </si>
  <si>
    <t>動物園前駅（R1)建物</t>
    <rPh sb="0" eb="3">
      <t>ドウブツエン</t>
    </rPh>
    <rPh sb="3" eb="4">
      <t>マエ</t>
    </rPh>
    <rPh sb="4" eb="5">
      <t>エキ</t>
    </rPh>
    <rPh sb="9" eb="11">
      <t>タテモノ</t>
    </rPh>
    <phoneticPr fontId="2"/>
  </si>
  <si>
    <t>昭和町駅（R1)建物</t>
    <rPh sb="0" eb="3">
      <t>ショウワチョウ</t>
    </rPh>
    <rPh sb="3" eb="4">
      <t>エキ</t>
    </rPh>
    <rPh sb="8" eb="10">
      <t>タテモノ</t>
    </rPh>
    <phoneticPr fontId="2"/>
  </si>
  <si>
    <t>西田辺駅（R1)建物</t>
    <rPh sb="0" eb="1">
      <t>ニシ</t>
    </rPh>
    <rPh sb="1" eb="3">
      <t>タナベ</t>
    </rPh>
    <rPh sb="3" eb="4">
      <t>エキ</t>
    </rPh>
    <rPh sb="8" eb="10">
      <t>タテモノ</t>
    </rPh>
    <phoneticPr fontId="2"/>
  </si>
  <si>
    <t>長居駅（R1)建物</t>
    <rPh sb="0" eb="2">
      <t>ナガイ</t>
    </rPh>
    <rPh sb="2" eb="3">
      <t>エキ</t>
    </rPh>
    <rPh sb="7" eb="9">
      <t>タテモノ</t>
    </rPh>
    <phoneticPr fontId="2"/>
  </si>
  <si>
    <t>あびこ駅（R1)建物</t>
    <rPh sb="3" eb="4">
      <t>エキ</t>
    </rPh>
    <rPh sb="8" eb="10">
      <t>タテモノ</t>
    </rPh>
    <phoneticPr fontId="2"/>
  </si>
  <si>
    <t>北花田駅（R1)建物</t>
    <rPh sb="0" eb="3">
      <t>キタハナダ</t>
    </rPh>
    <rPh sb="3" eb="4">
      <t>エキ</t>
    </rPh>
    <rPh sb="8" eb="10">
      <t>タテモノ</t>
    </rPh>
    <phoneticPr fontId="2"/>
  </si>
  <si>
    <t>新金岡駅（R1)建物</t>
    <rPh sb="0" eb="3">
      <t>シンカナオカ</t>
    </rPh>
    <rPh sb="3" eb="4">
      <t>エキ</t>
    </rPh>
    <rPh sb="8" eb="10">
      <t>タテモノ</t>
    </rPh>
    <phoneticPr fontId="2"/>
  </si>
  <si>
    <t>なかもず駅（R1)建物</t>
    <rPh sb="4" eb="5">
      <t>エキ</t>
    </rPh>
    <rPh sb="9" eb="11">
      <t>タテモノ</t>
    </rPh>
    <phoneticPr fontId="2"/>
  </si>
  <si>
    <t>西梅田駅（R3)建物</t>
    <rPh sb="0" eb="3">
      <t>ニシウメダ</t>
    </rPh>
    <rPh sb="3" eb="4">
      <t>エキ</t>
    </rPh>
    <rPh sb="8" eb="10">
      <t>タテモノ</t>
    </rPh>
    <phoneticPr fontId="2"/>
  </si>
  <si>
    <t>Ｂ　資産【補助対象】</t>
  </si>
  <si>
    <t>2HR1</t>
    <phoneticPr fontId="2"/>
  </si>
  <si>
    <t>K</t>
    <phoneticPr fontId="2"/>
  </si>
  <si>
    <t>計画部</t>
    <rPh sb="0" eb="2">
      <t>ケイカク</t>
    </rPh>
    <rPh sb="2" eb="3">
      <t>ブ</t>
    </rPh>
    <phoneticPr fontId="50"/>
  </si>
  <si>
    <t>K　計画部</t>
  </si>
  <si>
    <t>BK17008</t>
    <phoneticPr fontId="2"/>
  </si>
  <si>
    <t>（ア）1号線の部</t>
    <rPh sb="4" eb="6">
      <t>ゴウセン</t>
    </rPh>
    <rPh sb="7" eb="8">
      <t>ブ</t>
    </rPh>
    <phoneticPr fontId="2"/>
  </si>
  <si>
    <t>（イ）3号線の部</t>
    <rPh sb="4" eb="6">
      <t>ゴウセン</t>
    </rPh>
    <rPh sb="7" eb="8">
      <t>ブ</t>
    </rPh>
    <phoneticPr fontId="2"/>
  </si>
  <si>
    <t>指名競争</t>
  </si>
  <si>
    <t>D2191005</t>
    <phoneticPr fontId="2"/>
  </si>
  <si>
    <t>合計</t>
    <rPh sb="0" eb="2">
      <t>ゴウケイ</t>
    </rPh>
    <phoneticPr fontId="2"/>
  </si>
  <si>
    <t>業務1</t>
    <rPh sb="0" eb="2">
      <t>ギョウム</t>
    </rPh>
    <phoneticPr fontId="2"/>
  </si>
  <si>
    <t>業務2</t>
    <rPh sb="0" eb="2">
      <t>ギョウム</t>
    </rPh>
    <phoneticPr fontId="2"/>
  </si>
  <si>
    <t>業務3</t>
    <rPh sb="0" eb="2">
      <t>ギョウム</t>
    </rPh>
    <phoneticPr fontId="2"/>
  </si>
  <si>
    <t>業務4</t>
    <rPh sb="0" eb="2">
      <t>ギョウム</t>
    </rPh>
    <phoneticPr fontId="2"/>
  </si>
  <si>
    <t>業務5</t>
    <rPh sb="0" eb="2">
      <t>ギョウム</t>
    </rPh>
    <phoneticPr fontId="2"/>
  </si>
  <si>
    <t>業務6</t>
    <rPh sb="0" eb="2">
      <t>ギョウム</t>
    </rPh>
    <phoneticPr fontId="2"/>
  </si>
  <si>
    <t>業務7</t>
    <rPh sb="0" eb="2">
      <t>ギョウム</t>
    </rPh>
    <phoneticPr fontId="2"/>
  </si>
  <si>
    <t>業務8</t>
    <rPh sb="0" eb="2">
      <t>ギョウム</t>
    </rPh>
    <phoneticPr fontId="2"/>
  </si>
  <si>
    <t>業務9</t>
    <rPh sb="0" eb="2">
      <t>ギョウム</t>
    </rPh>
    <phoneticPr fontId="2"/>
  </si>
  <si>
    <t>業務10</t>
    <rPh sb="0" eb="2">
      <t>ギョウム</t>
    </rPh>
    <phoneticPr fontId="2"/>
  </si>
  <si>
    <t>業務11</t>
    <rPh sb="0" eb="2">
      <t>ギョウム</t>
    </rPh>
    <phoneticPr fontId="2"/>
  </si>
  <si>
    <t>業務12</t>
    <rPh sb="0" eb="2">
      <t>ギョウム</t>
    </rPh>
    <phoneticPr fontId="2"/>
  </si>
  <si>
    <t>業務13</t>
    <rPh sb="0" eb="2">
      <t>ギョウム</t>
    </rPh>
    <phoneticPr fontId="2"/>
  </si>
  <si>
    <t>業務14</t>
    <rPh sb="0" eb="2">
      <t>ギョウム</t>
    </rPh>
    <phoneticPr fontId="2"/>
  </si>
  <si>
    <t>業務15</t>
    <rPh sb="0" eb="2">
      <t>ギョウム</t>
    </rPh>
    <phoneticPr fontId="2"/>
  </si>
  <si>
    <t>業務16</t>
    <phoneticPr fontId="2"/>
  </si>
  <si>
    <t>業務17</t>
    <phoneticPr fontId="2"/>
  </si>
  <si>
    <t>業務18</t>
    <phoneticPr fontId="2"/>
  </si>
  <si>
    <t>業務19</t>
    <phoneticPr fontId="2"/>
  </si>
  <si>
    <t>業務20</t>
    <phoneticPr fontId="2"/>
  </si>
  <si>
    <t>費目</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</si>
</sst>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76" formatCode=";;;"/>
    <numFmt numFmtId="177" formatCode="#,##0;&quot;△ &quot;#,##0"/>
    <numFmt numFmtId="178" formatCode="0&quot;A&quot;"/>
    <numFmt numFmtId="179" formatCode="#,##0_ "/>
    <numFmt numFmtId="180" formatCode="0_ "/>
    <numFmt numFmtId="181" formatCode="0;0;;@"/>
    <numFmt numFmtId="182" formatCode="&quot;◇&quot;@"/>
    <numFmt numFmtId="183" formatCode="General;\-General;"/>
    <numFmt numFmtId="184" formatCode="#,##0;&quot;△ &quot;#,##0;"/>
    <numFmt numFmtId="185" formatCode="0;&quot;△&quot;0;;"/>
    <numFmt numFmtId="186" formatCode="General;&quot;△&quot;General;"/>
    <numFmt numFmtId="187" formatCode="[$-411]ggge&quot;年&quot;m&quot;月&quot;d&quot;日&quot;;@"/>
    <numFmt numFmtId="188" formatCode="0.0"/>
    <numFmt numFmtId="189" formatCode="yyyy&quot;年&quot;m&quot;月&quot;d&quot;日&quot;;@"/>
    <numFmt numFmtId="190" formatCode="&quot;2018-&quot;####"/>
    <numFmt numFmtId="191" formatCode="0&quot;式&quot;"/>
    <numFmt numFmtId="192" formatCode="&quot;2019-&quot;####"/>
  </numFmts>
  <fonts count="54">
    <font>
      <sz val="11"/>
      <name val="ＭＳ Ｐゴシック"/>
      <family val="3"/>
      <charset val="128"/>
    </font>
    <font>
      <sz val="11"/>
      <name val="ＭＳ Ｐゴシック"/>
      <family val="3"/>
      <charset val="128"/>
    </font>
    <font>
      <sz val="6"/>
      <name val="ＭＳ Ｐゴシック"/>
      <family val="3"/>
      <charset val="128"/>
    </font>
    <font>
      <sz val="11"/>
      <name val="ＭＳ Ｐ明朝"/>
      <family val="1"/>
      <charset val="128"/>
    </font>
    <font>
      <sz val="10"/>
      <name val="ＭＳ Ｐ明朝"/>
      <family val="1"/>
      <charset val="128"/>
    </font>
    <font>
      <sz val="14"/>
      <color indexed="8"/>
      <name val="ＭＳ Ｐ明朝"/>
      <family val="1"/>
      <charset val="128"/>
    </font>
    <font>
      <b/>
      <sz val="14"/>
      <color indexed="8"/>
      <name val="ＭＳ Ｐ明朝"/>
      <family val="1"/>
      <charset val="128"/>
    </font>
    <font>
      <b/>
      <sz val="20"/>
      <color indexed="8"/>
      <name val="ＭＳ Ｐゴシック"/>
      <family val="3"/>
      <charset val="128"/>
    </font>
    <font>
      <sz val="8"/>
      <color indexed="8"/>
      <name val="ＭＳ Ｐ明朝"/>
      <family val="1"/>
      <charset val="128"/>
    </font>
    <font>
      <sz val="10"/>
      <color indexed="8"/>
      <name val="ＭＳ Ｐ明朝"/>
      <family val="1"/>
      <charset val="128"/>
    </font>
    <font>
      <sz val="10"/>
      <name val="ＭＳ Ｐゴシック"/>
      <family val="3"/>
      <charset val="128"/>
    </font>
    <font>
      <b/>
      <sz val="11"/>
      <color indexed="8"/>
      <name val="ＭＳ Ｐ明朝"/>
      <family val="1"/>
      <charset val="128"/>
    </font>
    <font>
      <sz val="12"/>
      <color indexed="8"/>
      <name val="ＭＳ Ｐ明朝"/>
      <family val="1"/>
      <charset val="128"/>
    </font>
    <font>
      <sz val="11"/>
      <color indexed="8"/>
      <name val="ＭＳ Ｐ明朝"/>
      <family val="1"/>
      <charset val="128"/>
    </font>
    <font>
      <sz val="16"/>
      <name val="ＭＳ Ｐ明朝"/>
      <family val="1"/>
      <charset val="128"/>
    </font>
    <font>
      <b/>
      <sz val="18"/>
      <color indexed="8"/>
      <name val="ＭＳ Ｐゴシック"/>
      <family val="3"/>
      <charset val="128"/>
    </font>
    <font>
      <sz val="24"/>
      <color indexed="8"/>
      <name val="ＭＳ ゴシック"/>
      <family val="3"/>
      <charset val="128"/>
    </font>
    <font>
      <sz val="13"/>
      <color indexed="8"/>
      <name val="ＭＳ Ｐ明朝"/>
      <family val="1"/>
      <charset val="128"/>
    </font>
    <font>
      <sz val="9"/>
      <name val="ＭＳ Ｐ明朝"/>
      <family val="1"/>
      <charset val="128"/>
    </font>
    <font>
      <b/>
      <sz val="11"/>
      <name val="ＭＳ Ｐゴシック"/>
      <family val="3"/>
      <charset val="128"/>
    </font>
    <font>
      <sz val="14"/>
      <name val="ＭＳ Ｐゴシック"/>
      <family val="3"/>
      <charset val="128"/>
    </font>
    <font>
      <b/>
      <u/>
      <sz val="11"/>
      <name val="ＭＳ Ｐゴシック"/>
      <family val="3"/>
      <charset val="128"/>
    </font>
    <font>
      <sz val="14"/>
      <name val="ＭＳ Ｐ明朝"/>
      <family val="1"/>
      <charset val="128"/>
    </font>
    <font>
      <sz val="9"/>
      <name val="ＭＳ Ｐゴシック"/>
      <family val="3"/>
      <charset val="128"/>
    </font>
    <font>
      <sz val="9"/>
      <color indexed="8"/>
      <name val="ＭＳ Ｐ明朝"/>
      <family val="1"/>
      <charset val="128"/>
    </font>
    <font>
      <i/>
      <sz val="9"/>
      <name val="ＭＳ Ｐゴシック"/>
      <family val="3"/>
      <charset val="128"/>
    </font>
    <font>
      <sz val="12"/>
      <name val="ＭＳ Ｐゴシック"/>
      <family val="3"/>
      <charset val="128"/>
    </font>
    <font>
      <sz val="12"/>
      <name val="ＭＳ Ｐ明朝"/>
      <family val="1"/>
      <charset val="128"/>
    </font>
    <font>
      <sz val="8"/>
      <name val="ＭＳ Ｐ明朝"/>
      <family val="1"/>
      <charset val="128"/>
    </font>
    <font>
      <sz val="11"/>
      <color indexed="10"/>
      <name val="ＭＳ Ｐ明朝"/>
      <family val="1"/>
      <charset val="128"/>
    </font>
    <font>
      <b/>
      <sz val="9"/>
      <name val="ＭＳ Ｐゴシック"/>
      <family val="3"/>
      <charset val="128"/>
    </font>
    <font>
      <sz val="8"/>
      <name val="ＭＳ Ｐゴシック"/>
      <family val="3"/>
      <charset val="128"/>
    </font>
    <font>
      <sz val="9"/>
      <color indexed="10"/>
      <name val="ＭＳ Ｐ明朝"/>
      <family val="1"/>
      <charset val="128"/>
    </font>
    <font>
      <sz val="11"/>
      <color rgb="FFFF0000"/>
      <name val="ＭＳ Ｐ明朝"/>
      <family val="1"/>
      <charset val="128"/>
    </font>
    <font>
      <sz val="18"/>
      <name val="ＭＳ Ｐゴシック"/>
      <family val="3"/>
      <charset val="128"/>
    </font>
    <font>
      <sz val="18"/>
      <name val="ＭＳ Ｐ明朝"/>
      <family val="1"/>
      <charset val="128"/>
    </font>
    <font>
      <b/>
      <sz val="11"/>
      <name val="ＭＳ Ｐ明朝"/>
      <family val="1"/>
      <charset val="128"/>
    </font>
    <font>
      <sz val="12"/>
      <name val="ＭＳ 明朝"/>
      <family val="1"/>
      <charset val="128"/>
    </font>
    <font>
      <sz val="11"/>
      <color rgb="FF00B050"/>
      <name val="ＭＳ Ｐ明朝"/>
      <family val="1"/>
      <charset val="128"/>
    </font>
    <font>
      <sz val="11"/>
      <color rgb="FF000000"/>
      <name val="ＭＳ Ｐ明朝"/>
      <family val="1"/>
      <charset val="128"/>
    </font>
    <font>
      <b/>
      <sz val="11"/>
      <name val="ＭＳ Ｐゴシック"/>
      <family val="3"/>
      <charset val="128"/>
      <scheme val="minor"/>
    </font>
    <font>
      <sz val="11"/>
      <name val="ＭＳ Ｐゴシック"/>
      <family val="3"/>
      <charset val="128"/>
      <scheme val="minor"/>
    </font>
    <font>
      <sz val="9"/>
      <color indexed="81"/>
      <name val="MS P ゴシック"/>
      <family val="3"/>
      <charset val="128"/>
    </font>
    <font>
      <b/>
      <sz val="9"/>
      <color indexed="81"/>
      <name val="MS P ゴシック"/>
      <family val="3"/>
      <charset val="128"/>
    </font>
    <font>
      <b/>
      <sz val="14"/>
      <color indexed="10"/>
      <name val="MS P ゴシック"/>
      <family val="3"/>
      <charset val="128"/>
    </font>
    <font>
      <sz val="12"/>
      <name val="ＭＳ Ｐゴシック"/>
      <family val="3"/>
      <charset val="128"/>
      <scheme val="minor"/>
    </font>
    <font>
      <sz val="20"/>
      <color indexed="8"/>
      <name val="ＭＳ Ｐ明朝"/>
      <family val="1"/>
      <charset val="128"/>
    </font>
    <font>
      <sz val="18"/>
      <color theme="3"/>
      <name val="ＭＳ Ｐゴシック"/>
      <family val="2"/>
      <charset val="128"/>
      <scheme val="major"/>
    </font>
    <font>
      <b/>
      <sz val="9"/>
      <color indexed="8"/>
      <name val="ＭＳ Ｐゴシック"/>
      <family val="3"/>
      <charset val="128"/>
    </font>
    <font>
      <sz val="11"/>
      <color theme="1"/>
      <name val="Meiryo UI"/>
      <family val="3"/>
      <charset val="128"/>
    </font>
    <font>
      <b/>
      <i/>
      <sz val="16"/>
      <name val="Helv"/>
      <family val="2"/>
    </font>
    <font>
      <b/>
      <u/>
      <sz val="20"/>
      <color indexed="8"/>
      <name val="ＭＳ Ｐゴシック"/>
      <family val="3"/>
      <charset val="128"/>
    </font>
    <font>
      <b/>
      <u/>
      <sz val="10"/>
      <color indexed="8"/>
      <name val="ＭＳ Ｐ明朝"/>
      <family val="1"/>
      <charset val="128"/>
    </font>
    <font>
      <sz val="10"/>
      <color rgb="FF000000"/>
      <name val="ＭＳ Ｐゴシック"/>
      <family val="3"/>
      <charset val="128"/>
    </font>
  </fonts>
  <fills count="27">
    <fill>
      <patternFill patternType="none"/>
    </fill>
    <fill>
      <patternFill patternType="gray125"/>
    </fill>
    <fill>
      <patternFill patternType="solid">
        <fgColor indexed="43"/>
        <bgColor indexed="64"/>
      </patternFill>
    </fill>
    <fill>
      <patternFill patternType="solid">
        <fgColor indexed="11"/>
        <bgColor indexed="64"/>
      </patternFill>
    </fill>
    <fill>
      <patternFill patternType="solid">
        <fgColor indexed="47"/>
        <bgColor indexed="64"/>
      </patternFill>
    </fill>
    <fill>
      <patternFill patternType="solid">
        <fgColor indexed="45"/>
        <bgColor indexed="64"/>
      </patternFill>
    </fill>
    <fill>
      <patternFill patternType="solid">
        <fgColor indexed="10"/>
        <bgColor indexed="64"/>
      </patternFill>
    </fill>
    <fill>
      <patternFill patternType="mediumGray">
        <fgColor indexed="43"/>
      </patternFill>
    </fill>
    <fill>
      <patternFill patternType="lightGray">
        <fgColor indexed="45"/>
      </patternFill>
    </fill>
    <fill>
      <patternFill patternType="lightHorizontal">
        <fgColor indexed="42"/>
      </patternFill>
    </fill>
    <fill>
      <patternFill patternType="lightGray">
        <fgColor indexed="51"/>
      </patternFill>
    </fill>
    <fill>
      <patternFill patternType="gray125">
        <fgColor indexed="11"/>
      </patternFill>
    </fill>
    <fill>
      <patternFill patternType="solid">
        <fgColor indexed="42"/>
        <bgColor indexed="64"/>
      </patternFill>
    </fill>
    <fill>
      <patternFill patternType="solid">
        <fgColor rgb="FF00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CC66FF"/>
        <bgColor indexed="64"/>
      </patternFill>
    </fill>
    <fill>
      <patternFill patternType="solid">
        <fgColor theme="8"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rgb="FFFFFF99"/>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theme="0" tint="-4.9989318521683403E-2"/>
        <bgColor indexed="64"/>
      </patternFill>
    </fill>
  </fills>
  <borders count="300">
    <border>
      <left/>
      <right/>
      <top/>
      <bottom/>
      <diagonal/>
    </border>
    <border>
      <left style="medium">
        <color indexed="64"/>
      </left>
      <right style="dotted">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style="medium">
        <color indexed="64"/>
      </top>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dotted">
        <color indexed="64"/>
      </left>
      <right/>
      <top/>
      <bottom style="medium">
        <color indexed="64"/>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double">
        <color indexed="64"/>
      </right>
      <top style="double">
        <color indexed="64"/>
      </top>
      <bottom style="medium">
        <color indexed="64"/>
      </bottom>
      <diagonal/>
    </border>
    <border>
      <left style="medium">
        <color indexed="64"/>
      </left>
      <right style="dotted">
        <color indexed="64"/>
      </right>
      <top style="medium">
        <color indexed="64"/>
      </top>
      <bottom style="hair">
        <color indexed="64"/>
      </bottom>
      <diagonal/>
    </border>
    <border>
      <left style="medium">
        <color indexed="64"/>
      </left>
      <right style="dotted">
        <color indexed="64"/>
      </right>
      <top style="hair">
        <color indexed="64"/>
      </top>
      <bottom style="hair">
        <color indexed="64"/>
      </bottom>
      <diagonal/>
    </border>
    <border>
      <left style="medium">
        <color indexed="64"/>
      </left>
      <right style="dotted">
        <color indexed="64"/>
      </right>
      <top style="hair">
        <color indexed="64"/>
      </top>
      <bottom style="double">
        <color indexed="64"/>
      </bottom>
      <diagonal/>
    </border>
    <border>
      <left style="thin">
        <color indexed="64"/>
      </left>
      <right style="hair">
        <color indexed="64"/>
      </right>
      <top style="medium">
        <color indexed="64"/>
      </top>
      <bottom/>
      <diagonal/>
    </border>
    <border>
      <left style="thin">
        <color indexed="64"/>
      </left>
      <right style="hair">
        <color indexed="64"/>
      </right>
      <top/>
      <bottom style="medium">
        <color indexed="64"/>
      </bottom>
      <diagonal/>
    </border>
    <border>
      <left style="thin">
        <color indexed="64"/>
      </left>
      <right style="hair">
        <color indexed="64"/>
      </right>
      <top style="medium">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double">
        <color indexed="64"/>
      </bottom>
      <diagonal/>
    </border>
    <border>
      <left style="double">
        <color indexed="64"/>
      </left>
      <right style="hair">
        <color indexed="64"/>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style="double">
        <color indexed="64"/>
      </left>
      <right style="hair">
        <color indexed="64"/>
      </right>
      <top style="medium">
        <color indexed="64"/>
      </top>
      <bottom style="hair">
        <color indexed="64"/>
      </bottom>
      <diagonal/>
    </border>
    <border>
      <left style="hair">
        <color indexed="64"/>
      </left>
      <right style="thin">
        <color indexed="64"/>
      </right>
      <top style="medium">
        <color indexed="64"/>
      </top>
      <bottom style="hair">
        <color indexed="64"/>
      </bottom>
      <diagonal/>
    </border>
    <border>
      <left style="double">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double">
        <color indexed="64"/>
      </left>
      <right style="hair">
        <color indexed="64"/>
      </right>
      <top style="hair">
        <color indexed="64"/>
      </top>
      <bottom style="double">
        <color indexed="64"/>
      </bottom>
      <diagonal/>
    </border>
    <border>
      <left style="hair">
        <color indexed="64"/>
      </left>
      <right style="thin">
        <color indexed="64"/>
      </right>
      <top style="hair">
        <color indexed="64"/>
      </top>
      <bottom style="double">
        <color indexed="64"/>
      </bottom>
      <diagonal/>
    </border>
    <border>
      <left style="double">
        <color indexed="64"/>
      </left>
      <right style="hair">
        <color indexed="64"/>
      </right>
      <top style="double">
        <color indexed="64"/>
      </top>
      <bottom style="medium">
        <color indexed="64"/>
      </bottom>
      <diagonal/>
    </border>
    <border>
      <left style="hair">
        <color indexed="64"/>
      </left>
      <right style="thin">
        <color indexed="64"/>
      </right>
      <top style="double">
        <color indexed="64"/>
      </top>
      <bottom style="medium">
        <color indexed="64"/>
      </bottom>
      <diagonal/>
    </border>
    <border>
      <left style="thin">
        <color indexed="64"/>
      </left>
      <right style="hair">
        <color indexed="64"/>
      </right>
      <top style="hair">
        <color indexed="64"/>
      </top>
      <bottom style="medium">
        <color indexed="64"/>
      </bottom>
      <diagonal/>
    </border>
    <border>
      <left style="thin">
        <color indexed="64"/>
      </left>
      <right style="hair">
        <color indexed="64"/>
      </right>
      <top style="double">
        <color indexed="64"/>
      </top>
      <bottom style="medium">
        <color indexed="64"/>
      </bottom>
      <diagonal/>
    </border>
    <border>
      <left/>
      <right/>
      <top style="hair">
        <color indexed="8"/>
      </top>
      <bottom style="hair">
        <color indexed="8"/>
      </bottom>
      <diagonal/>
    </border>
    <border>
      <left/>
      <right style="medium">
        <color indexed="8"/>
      </right>
      <top style="hair">
        <color indexed="8"/>
      </top>
      <bottom style="hair">
        <color indexed="8"/>
      </bottom>
      <diagonal/>
    </border>
    <border>
      <left style="hair">
        <color indexed="8"/>
      </left>
      <right style="hair">
        <color indexed="8"/>
      </right>
      <top style="medium">
        <color indexed="8"/>
      </top>
      <bottom style="hair">
        <color indexed="8"/>
      </bottom>
      <diagonal/>
    </border>
    <border>
      <left style="dotted">
        <color indexed="64"/>
      </left>
      <right/>
      <top style="medium">
        <color indexed="64"/>
      </top>
      <bottom style="hair">
        <color indexed="64"/>
      </bottom>
      <diagonal/>
    </border>
    <border>
      <left style="dotted">
        <color indexed="64"/>
      </left>
      <right/>
      <top style="hair">
        <color indexed="64"/>
      </top>
      <bottom style="hair">
        <color indexed="64"/>
      </bottom>
      <diagonal/>
    </border>
    <border>
      <left style="dotted">
        <color indexed="64"/>
      </left>
      <right/>
      <top style="hair">
        <color indexed="64"/>
      </top>
      <bottom style="double">
        <color indexed="64"/>
      </bottom>
      <diagonal/>
    </border>
    <border>
      <left/>
      <right style="double">
        <color indexed="64"/>
      </right>
      <top style="medium">
        <color indexed="64"/>
      </top>
      <bottom/>
      <diagonal/>
    </border>
    <border>
      <left/>
      <right style="double">
        <color indexed="64"/>
      </right>
      <top/>
      <bottom style="medium">
        <color indexed="64"/>
      </bottom>
      <diagonal/>
    </border>
    <border>
      <left/>
      <right style="double">
        <color indexed="64"/>
      </right>
      <top style="medium">
        <color indexed="64"/>
      </top>
      <bottom style="hair">
        <color indexed="64"/>
      </bottom>
      <diagonal/>
    </border>
    <border>
      <left/>
      <right style="double">
        <color indexed="64"/>
      </right>
      <top style="hair">
        <color indexed="64"/>
      </top>
      <bottom style="hair">
        <color indexed="64"/>
      </bottom>
      <diagonal/>
    </border>
    <border>
      <left/>
      <right style="double">
        <color indexed="64"/>
      </right>
      <top style="hair">
        <color indexed="64"/>
      </top>
      <bottom style="double">
        <color indexed="64"/>
      </bottom>
      <diagonal/>
    </border>
    <border>
      <left style="hair">
        <color indexed="64"/>
      </left>
      <right/>
      <top style="medium">
        <color indexed="64"/>
      </top>
      <bottom/>
      <diagonal/>
    </border>
    <border>
      <left style="hair">
        <color indexed="64"/>
      </left>
      <right/>
      <top/>
      <bottom style="medium">
        <color indexed="64"/>
      </bottom>
      <diagonal/>
    </border>
    <border>
      <left style="hair">
        <color indexed="64"/>
      </left>
      <right/>
      <top style="medium">
        <color indexed="64"/>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double">
        <color indexed="64"/>
      </bottom>
      <diagonal/>
    </border>
    <border>
      <left style="hair">
        <color indexed="64"/>
      </left>
      <right style="double">
        <color indexed="64"/>
      </right>
      <top style="medium">
        <color indexed="64"/>
      </top>
      <bottom style="hair">
        <color indexed="64"/>
      </bottom>
      <diagonal/>
    </border>
    <border>
      <left style="hair">
        <color indexed="64"/>
      </left>
      <right style="double">
        <color indexed="64"/>
      </right>
      <top style="hair">
        <color indexed="64"/>
      </top>
      <bottom style="hair">
        <color indexed="64"/>
      </bottom>
      <diagonal/>
    </border>
    <border>
      <left style="hair">
        <color indexed="64"/>
      </left>
      <right style="double">
        <color indexed="64"/>
      </right>
      <top style="hair">
        <color indexed="64"/>
      </top>
      <bottom style="double">
        <color indexed="64"/>
      </bottom>
      <diagonal/>
    </border>
    <border>
      <left style="hair">
        <color indexed="64"/>
      </left>
      <right style="double">
        <color indexed="64"/>
      </right>
      <top style="double">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double">
        <color indexed="64"/>
      </bottom>
      <diagonal/>
    </border>
    <border>
      <left style="hair">
        <color indexed="64"/>
      </left>
      <right style="medium">
        <color indexed="64"/>
      </right>
      <top style="double">
        <color indexed="64"/>
      </top>
      <bottom style="medium">
        <color indexed="64"/>
      </bottom>
      <diagonal/>
    </border>
    <border>
      <left style="hair">
        <color indexed="8"/>
      </left>
      <right style="hair">
        <color indexed="8"/>
      </right>
      <top/>
      <bottom style="hair">
        <color indexed="8"/>
      </bottom>
      <diagonal/>
    </border>
    <border>
      <left style="medium">
        <color indexed="8"/>
      </left>
      <right/>
      <top style="medium">
        <color indexed="8"/>
      </top>
      <bottom style="hair">
        <color indexed="8"/>
      </bottom>
      <diagonal/>
    </border>
    <border>
      <left/>
      <right/>
      <top style="medium">
        <color indexed="8"/>
      </top>
      <bottom style="hair">
        <color indexed="8"/>
      </bottom>
      <diagonal/>
    </border>
    <border>
      <left/>
      <right style="medium">
        <color indexed="8"/>
      </right>
      <top style="medium">
        <color indexed="8"/>
      </top>
      <bottom style="hair">
        <color indexed="8"/>
      </bottom>
      <diagonal/>
    </border>
    <border>
      <left style="dotted">
        <color indexed="64"/>
      </left>
      <right style="dotted">
        <color indexed="64"/>
      </right>
      <top style="medium">
        <color indexed="64"/>
      </top>
      <bottom style="hair">
        <color indexed="64"/>
      </bottom>
      <diagonal/>
    </border>
    <border>
      <left style="dotted">
        <color indexed="64"/>
      </left>
      <right style="dotted">
        <color indexed="64"/>
      </right>
      <top style="hair">
        <color indexed="64"/>
      </top>
      <bottom style="hair">
        <color indexed="64"/>
      </bottom>
      <diagonal/>
    </border>
    <border>
      <left style="dotted">
        <color indexed="64"/>
      </left>
      <right style="dotted">
        <color indexed="64"/>
      </right>
      <top style="hair">
        <color indexed="64"/>
      </top>
      <bottom style="double">
        <color indexed="64"/>
      </bottom>
      <diagonal/>
    </border>
    <border>
      <left/>
      <right/>
      <top style="hair">
        <color indexed="8"/>
      </top>
      <bottom style="medium">
        <color indexed="8"/>
      </bottom>
      <diagonal/>
    </border>
    <border>
      <left style="thick">
        <color indexed="64"/>
      </left>
      <right style="thick">
        <color indexed="64"/>
      </right>
      <top/>
      <bottom/>
      <diagonal/>
    </border>
    <border>
      <left/>
      <right/>
      <top/>
      <bottom style="hair">
        <color indexed="8"/>
      </bottom>
      <diagonal/>
    </border>
    <border>
      <left/>
      <right style="medium">
        <color indexed="8"/>
      </right>
      <top/>
      <bottom style="hair">
        <color indexed="8"/>
      </bottom>
      <diagonal/>
    </border>
    <border>
      <left style="medium">
        <color indexed="8"/>
      </left>
      <right/>
      <top/>
      <bottom style="hair">
        <color indexed="8"/>
      </bottom>
      <diagonal/>
    </border>
    <border>
      <left style="medium">
        <color indexed="8"/>
      </left>
      <right/>
      <top style="hair">
        <color indexed="8"/>
      </top>
      <bottom style="hair">
        <color indexed="8"/>
      </bottom>
      <diagonal/>
    </border>
    <border>
      <left style="hair">
        <color indexed="8"/>
      </left>
      <right style="hair">
        <color indexed="8"/>
      </right>
      <top style="hair">
        <color indexed="8"/>
      </top>
      <bottom style="hair">
        <color indexed="8"/>
      </bottom>
      <diagonal/>
    </border>
    <border>
      <left style="medium">
        <color indexed="8"/>
      </left>
      <right/>
      <top style="hair">
        <color indexed="8"/>
      </top>
      <bottom style="medium">
        <color indexed="8"/>
      </bottom>
      <diagonal/>
    </border>
    <border>
      <left style="hair">
        <color indexed="8"/>
      </left>
      <right style="hair">
        <color indexed="8"/>
      </right>
      <top style="hair">
        <color indexed="8"/>
      </top>
      <bottom style="medium">
        <color indexed="8"/>
      </bottom>
      <diagonal/>
    </border>
    <border>
      <left/>
      <right style="medium">
        <color indexed="8"/>
      </right>
      <top style="hair">
        <color indexed="8"/>
      </top>
      <bottom style="medium">
        <color indexed="8"/>
      </bottom>
      <diagonal/>
    </border>
    <border>
      <left/>
      <right style="hair">
        <color indexed="8"/>
      </right>
      <top style="hair">
        <color indexed="8"/>
      </top>
      <bottom style="hair">
        <color indexed="8"/>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top/>
      <bottom style="thin">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hair">
        <color indexed="64"/>
      </left>
      <right/>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style="thin">
        <color indexed="64"/>
      </right>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thin">
        <color indexed="64"/>
      </right>
      <top/>
      <bottom style="hair">
        <color indexed="64"/>
      </bottom>
      <diagonal/>
    </border>
    <border>
      <left style="hair">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double">
        <color indexed="64"/>
      </left>
      <right style="dotted">
        <color indexed="64"/>
      </right>
      <top style="medium">
        <color indexed="64"/>
      </top>
      <bottom/>
      <diagonal/>
    </border>
    <border>
      <left style="dotted">
        <color indexed="64"/>
      </left>
      <right style="hair">
        <color indexed="64"/>
      </right>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double">
        <color indexed="64"/>
      </left>
      <right style="dotted">
        <color indexed="64"/>
      </right>
      <top/>
      <bottom style="medium">
        <color indexed="64"/>
      </bottom>
      <diagonal/>
    </border>
    <border>
      <left/>
      <right style="hair">
        <color indexed="64"/>
      </right>
      <top/>
      <bottom style="medium">
        <color indexed="64"/>
      </bottom>
      <diagonal/>
    </border>
    <border>
      <left style="double">
        <color indexed="64"/>
      </left>
      <right style="medium">
        <color indexed="64"/>
      </right>
      <top style="hair">
        <color indexed="64"/>
      </top>
      <bottom style="medium">
        <color indexed="64"/>
      </bottom>
      <diagonal/>
    </border>
    <border>
      <left style="dotted">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thin">
        <color indexed="64"/>
      </left>
      <right/>
      <top style="medium">
        <color indexed="64"/>
      </top>
      <bottom style="hair">
        <color indexed="64"/>
      </bottom>
      <diagonal/>
    </border>
    <border>
      <left style="double">
        <color indexed="64"/>
      </left>
      <right style="dotted">
        <color indexed="64"/>
      </right>
      <top style="medium">
        <color indexed="64"/>
      </top>
      <bottom style="hair">
        <color indexed="64"/>
      </bottom>
      <diagonal/>
    </border>
    <border>
      <left style="double">
        <color indexed="64"/>
      </left>
      <right style="medium">
        <color indexed="64"/>
      </right>
      <top style="medium">
        <color indexed="64"/>
      </top>
      <bottom style="hair">
        <color indexed="64"/>
      </bottom>
      <diagonal/>
    </border>
    <border>
      <left style="dotted">
        <color indexed="64"/>
      </left>
      <right style="hair">
        <color indexed="64"/>
      </right>
      <top style="hair">
        <color indexed="64"/>
      </top>
      <bottom style="hair">
        <color indexed="64"/>
      </bottom>
      <diagonal/>
    </border>
    <border>
      <left style="thin">
        <color indexed="64"/>
      </left>
      <right/>
      <top style="hair">
        <color indexed="64"/>
      </top>
      <bottom style="hair">
        <color indexed="64"/>
      </bottom>
      <diagonal/>
    </border>
    <border>
      <left style="double">
        <color indexed="64"/>
      </left>
      <right style="dotted">
        <color indexed="64"/>
      </right>
      <top style="hair">
        <color indexed="64"/>
      </top>
      <bottom style="hair">
        <color indexed="64"/>
      </bottom>
      <diagonal/>
    </border>
    <border>
      <left style="double">
        <color indexed="64"/>
      </left>
      <right style="medium">
        <color indexed="64"/>
      </right>
      <top style="hair">
        <color indexed="64"/>
      </top>
      <bottom style="hair">
        <color indexed="64"/>
      </bottom>
      <diagonal/>
    </border>
    <border>
      <left style="medium">
        <color indexed="64"/>
      </left>
      <right style="dotted">
        <color indexed="64"/>
      </right>
      <top style="hair">
        <color indexed="64"/>
      </top>
      <bottom style="medium">
        <color indexed="64"/>
      </bottom>
      <diagonal/>
    </border>
    <border>
      <left style="dotted">
        <color indexed="64"/>
      </left>
      <right style="dotted">
        <color indexed="64"/>
      </right>
      <top style="hair">
        <color indexed="64"/>
      </top>
      <bottom style="medium">
        <color indexed="64"/>
      </bottom>
      <diagonal/>
    </border>
    <border>
      <left style="dotted">
        <color indexed="64"/>
      </left>
      <right/>
      <top style="hair">
        <color indexed="64"/>
      </top>
      <bottom style="medium">
        <color indexed="64"/>
      </bottom>
      <diagonal/>
    </border>
    <border>
      <left style="dotted">
        <color indexed="64"/>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double">
        <color indexed="64"/>
      </left>
      <right style="dotted">
        <color indexed="64"/>
      </right>
      <top style="hair">
        <color indexed="64"/>
      </top>
      <bottom style="medium">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thin">
        <color indexed="64"/>
      </right>
      <top style="hair">
        <color indexed="64"/>
      </top>
      <bottom/>
      <diagonal/>
    </border>
    <border>
      <left/>
      <right style="thin">
        <color indexed="64"/>
      </right>
      <top style="thin">
        <color indexed="64"/>
      </top>
      <bottom style="thin">
        <color indexed="64"/>
      </bottom>
      <diagonal/>
    </border>
    <border>
      <left/>
      <right/>
      <top style="medium">
        <color indexed="64"/>
      </top>
      <bottom style="hair">
        <color indexed="64"/>
      </bottom>
      <diagonal/>
    </border>
    <border>
      <left style="medium">
        <color indexed="64"/>
      </left>
      <right/>
      <top style="medium">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hair">
        <color indexed="64"/>
      </right>
      <top style="hair">
        <color indexed="64"/>
      </top>
      <bottom style="medium">
        <color indexed="64"/>
      </bottom>
      <diagonal/>
    </border>
    <border>
      <left style="thin">
        <color indexed="64"/>
      </left>
      <right style="thin">
        <color indexed="64"/>
      </right>
      <top style="hair">
        <color indexed="64"/>
      </top>
      <bottom/>
      <diagonal/>
    </border>
    <border>
      <left style="dotted">
        <color indexed="64"/>
      </left>
      <right style="hair">
        <color indexed="64"/>
      </right>
      <top style="medium">
        <color indexed="64"/>
      </top>
      <bottom/>
      <diagonal/>
    </border>
    <border>
      <left style="hair">
        <color indexed="64"/>
      </left>
      <right style="thin">
        <color indexed="64"/>
      </right>
      <top style="medium">
        <color indexed="64"/>
      </top>
      <bottom/>
      <diagonal/>
    </border>
    <border>
      <left/>
      <right style="hair">
        <color indexed="64"/>
      </right>
      <top style="medium">
        <color indexed="64"/>
      </top>
      <bottom/>
      <diagonal/>
    </border>
    <border>
      <left style="hair">
        <color indexed="64"/>
      </left>
      <right style="hair">
        <color indexed="64"/>
      </right>
      <top style="medium">
        <color indexed="64"/>
      </top>
      <bottom/>
      <diagonal/>
    </border>
    <border>
      <left style="double">
        <color indexed="64"/>
      </left>
      <right style="medium">
        <color indexed="64"/>
      </right>
      <top style="medium">
        <color indexed="64"/>
      </top>
      <bottom/>
      <diagonal/>
    </border>
    <border>
      <left style="hair">
        <color indexed="64"/>
      </left>
      <right style="hair">
        <color indexed="64"/>
      </right>
      <top/>
      <bottom style="medium">
        <color indexed="64"/>
      </bottom>
      <diagonal/>
    </border>
    <border>
      <left style="hair">
        <color indexed="64"/>
      </left>
      <right style="thin">
        <color indexed="64"/>
      </right>
      <top/>
      <bottom style="medium">
        <color indexed="64"/>
      </bottom>
      <diagonal/>
    </border>
    <border>
      <left style="thin">
        <color indexed="64"/>
      </left>
      <right style="thin">
        <color indexed="64"/>
      </right>
      <top style="medium">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hair">
        <color indexed="64"/>
      </right>
      <top/>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8"/>
      </left>
      <right/>
      <top style="medium">
        <color indexed="8"/>
      </top>
      <bottom style="hair">
        <color indexed="8"/>
      </bottom>
      <diagonal/>
    </border>
    <border>
      <left/>
      <right/>
      <top/>
      <bottom style="medium">
        <color indexed="8"/>
      </bottom>
      <diagonal/>
    </border>
    <border>
      <left style="dotted">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hair">
        <color indexed="8"/>
      </left>
      <right/>
      <top style="hair">
        <color indexed="8"/>
      </top>
      <bottom style="hair">
        <color indexed="8"/>
      </bottom>
      <diagonal/>
    </border>
    <border>
      <left style="double">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double">
        <color indexed="64"/>
      </right>
      <top style="medium">
        <color indexed="64"/>
      </top>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thin">
        <color indexed="64"/>
      </left>
      <right/>
      <top/>
      <bottom style="hair">
        <color indexed="64"/>
      </bottom>
      <diagonal/>
    </border>
    <border>
      <left/>
      <right/>
      <top/>
      <bottom style="hair">
        <color indexed="64"/>
      </bottom>
      <diagonal/>
    </border>
    <border>
      <left/>
      <right/>
      <top style="hair">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top/>
      <bottom style="medium">
        <color indexed="64"/>
      </bottom>
      <diagonal/>
    </border>
    <border>
      <left/>
      <right style="thin">
        <color indexed="64"/>
      </right>
      <top style="medium">
        <color indexed="64"/>
      </top>
      <bottom style="hair">
        <color indexed="64"/>
      </bottom>
      <diagonal/>
    </border>
    <border>
      <left style="double">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hair">
        <color indexed="64"/>
      </left>
      <right/>
      <top style="hair">
        <color indexed="64"/>
      </top>
      <bottom/>
      <diagonal/>
    </border>
    <border>
      <left/>
      <right style="thin">
        <color indexed="64"/>
      </right>
      <top style="hair">
        <color indexed="64"/>
      </top>
      <bottom/>
      <diagonal/>
    </border>
    <border>
      <left style="double">
        <color indexed="64"/>
      </left>
      <right/>
      <top style="hair">
        <color indexed="64"/>
      </top>
      <bottom style="medium">
        <color indexed="64"/>
      </bottom>
      <diagonal/>
    </border>
    <border>
      <left/>
      <right style="medium">
        <color indexed="64"/>
      </right>
      <top style="hair">
        <color indexed="64"/>
      </top>
      <bottom style="medium">
        <color indexed="64"/>
      </bottom>
      <diagonal/>
    </border>
    <border>
      <left/>
      <right/>
      <top style="dotted">
        <color indexed="64"/>
      </top>
      <bottom style="dotted">
        <color indexed="64"/>
      </bottom>
      <diagonal/>
    </border>
    <border>
      <left/>
      <right style="double">
        <color indexed="64"/>
      </right>
      <top style="thin">
        <color indexed="64"/>
      </top>
      <bottom style="thin">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style="hair">
        <color indexed="64"/>
      </bottom>
      <diagonal/>
    </border>
    <border>
      <left/>
      <right style="hair">
        <color indexed="64"/>
      </right>
      <top style="hair">
        <color indexed="64"/>
      </top>
      <bottom style="thin">
        <color indexed="64"/>
      </bottom>
      <diagonal/>
    </border>
    <border>
      <left/>
      <right style="hair">
        <color indexed="64"/>
      </right>
      <top style="hair">
        <color indexed="64"/>
      </top>
      <bottom style="hair">
        <color indexed="64"/>
      </bottom>
      <diagonal/>
    </border>
    <border>
      <left/>
      <right style="hair">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thin">
        <color indexed="64"/>
      </top>
      <bottom style="hair">
        <color indexed="64"/>
      </bottom>
      <diagonal/>
    </border>
    <border>
      <left style="medium">
        <color indexed="8"/>
      </left>
      <right/>
      <top style="hair">
        <color indexed="8"/>
      </top>
      <bottom/>
      <diagonal/>
    </border>
    <border>
      <left/>
      <right/>
      <top style="hair">
        <color indexed="8"/>
      </top>
      <bottom/>
      <diagonal/>
    </border>
    <border>
      <left/>
      <right style="medium">
        <color indexed="8"/>
      </right>
      <top style="hair">
        <color indexed="8"/>
      </top>
      <bottom/>
      <diagonal/>
    </border>
    <border>
      <left style="medium">
        <color indexed="8"/>
      </left>
      <right/>
      <top/>
      <bottom/>
      <diagonal/>
    </border>
    <border>
      <left/>
      <right style="medium">
        <color indexed="8"/>
      </right>
      <top/>
      <bottom/>
      <diagonal/>
    </border>
    <border>
      <left style="medium">
        <color indexed="8"/>
      </left>
      <right/>
      <top/>
      <bottom style="medium">
        <color indexed="8"/>
      </bottom>
      <diagonal/>
    </border>
    <border>
      <left/>
      <right style="medium">
        <color indexed="8"/>
      </right>
      <top/>
      <bottom style="medium">
        <color indexed="8"/>
      </bottom>
      <diagonal/>
    </border>
    <border>
      <left/>
      <right/>
      <top/>
      <bottom style="medium">
        <color auto="1"/>
      </bottom>
      <diagonal/>
    </border>
    <border>
      <left/>
      <right/>
      <top style="medium">
        <color auto="1"/>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hair">
        <color indexed="64"/>
      </left>
      <right style="hair">
        <color indexed="64"/>
      </right>
      <top style="thin">
        <color indexed="64"/>
      </top>
      <bottom/>
      <diagonal/>
    </border>
    <border>
      <left/>
      <right style="hair">
        <color indexed="64"/>
      </right>
      <top style="thin">
        <color indexed="64"/>
      </top>
      <bottom style="hair">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right style="hair">
        <color indexed="64"/>
      </right>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right style="hair">
        <color indexed="64"/>
      </right>
      <top style="thin">
        <color indexed="64"/>
      </top>
      <bottom style="thin">
        <color indexed="64"/>
      </bottom>
      <diagonal/>
    </border>
    <border>
      <left/>
      <right style="hair">
        <color indexed="64"/>
      </right>
      <top style="thin">
        <color indexed="64"/>
      </top>
      <bottom style="double">
        <color indexed="64"/>
      </bottom>
      <diagonal/>
    </border>
    <border>
      <left/>
      <right style="hair">
        <color indexed="64"/>
      </right>
      <top style="double">
        <color indexed="64"/>
      </top>
      <bottom style="thin">
        <color indexed="64"/>
      </bottom>
      <diagonal/>
    </border>
    <border>
      <left style="hair">
        <color indexed="64"/>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hair">
        <color indexed="64"/>
      </left>
      <right style="thin">
        <color indexed="64"/>
      </right>
      <top style="thin">
        <color indexed="64"/>
      </top>
      <bottom style="double">
        <color indexed="64"/>
      </bottom>
      <diagonal/>
    </border>
    <border>
      <left style="hair">
        <color indexed="64"/>
      </left>
      <right style="thin">
        <color indexed="64"/>
      </right>
      <top style="double">
        <color indexed="64"/>
      </top>
      <bottom style="thin">
        <color indexed="64"/>
      </bottom>
      <diagonal/>
    </border>
    <border>
      <left/>
      <right/>
      <top style="hair">
        <color indexed="64"/>
      </top>
      <bottom/>
      <diagonal/>
    </border>
    <border>
      <left/>
      <right style="hair">
        <color indexed="64"/>
      </right>
      <top style="thin">
        <color indexed="64"/>
      </top>
      <bottom/>
      <diagonal/>
    </border>
    <border>
      <left style="dotted">
        <color indexed="64"/>
      </left>
      <right style="dotted">
        <color indexed="64"/>
      </right>
      <top style="dotted">
        <color indexed="64"/>
      </top>
      <bottom style="dotted">
        <color indexed="64"/>
      </bottom>
      <diagonal/>
    </border>
    <border>
      <left style="medium">
        <color indexed="8"/>
      </left>
      <right style="hair">
        <color indexed="8"/>
      </right>
      <top style="medium">
        <color indexed="8"/>
      </top>
      <bottom style="hair">
        <color indexed="8"/>
      </bottom>
      <diagonal/>
    </border>
    <border>
      <left style="hair">
        <color indexed="8"/>
      </left>
      <right style="medium">
        <color indexed="8"/>
      </right>
      <top style="medium">
        <color indexed="8"/>
      </top>
      <bottom style="hair">
        <color indexed="8"/>
      </bottom>
      <diagonal/>
    </border>
    <border>
      <left style="medium">
        <color indexed="8"/>
      </left>
      <right style="hair">
        <color indexed="8"/>
      </right>
      <top style="hair">
        <color indexed="8"/>
      </top>
      <bottom style="hair">
        <color indexed="8"/>
      </bottom>
      <diagonal/>
    </border>
    <border>
      <left style="hair">
        <color indexed="8"/>
      </left>
      <right style="medium">
        <color indexed="8"/>
      </right>
      <top style="hair">
        <color indexed="8"/>
      </top>
      <bottom style="hair">
        <color indexed="8"/>
      </bottom>
      <diagonal/>
    </border>
    <border>
      <left style="medium">
        <color indexed="8"/>
      </left>
      <right style="hair">
        <color indexed="8"/>
      </right>
      <top style="hair">
        <color indexed="8"/>
      </top>
      <bottom style="medium">
        <color indexed="8"/>
      </bottom>
      <diagonal/>
    </border>
    <border>
      <left style="hair">
        <color indexed="8"/>
      </left>
      <right style="medium">
        <color indexed="8"/>
      </right>
      <top style="hair">
        <color indexed="8"/>
      </top>
      <bottom style="medium">
        <color indexed="8"/>
      </bottom>
      <diagonal/>
    </border>
    <border>
      <left style="hair">
        <color auto="1"/>
      </left>
      <right style="hair">
        <color auto="1"/>
      </right>
      <top style="hair">
        <color auto="1"/>
      </top>
      <bottom/>
      <diagonal/>
    </border>
    <border>
      <left style="dotted">
        <color indexed="64"/>
      </left>
      <right style="dotted">
        <color indexed="64"/>
      </right>
      <top style="dotted">
        <color indexed="64"/>
      </top>
      <bottom/>
      <diagonal/>
    </border>
    <border>
      <left style="dotted">
        <color indexed="64"/>
      </left>
      <right style="dotted">
        <color indexed="64"/>
      </right>
      <top/>
      <bottom style="dotted">
        <color indexed="64"/>
      </bottom>
      <diagonal/>
    </border>
    <border>
      <left style="hair">
        <color auto="1"/>
      </left>
      <right/>
      <top style="hair">
        <color auto="1"/>
      </top>
      <bottom/>
      <diagonal/>
    </border>
    <border>
      <left/>
      <right style="hair">
        <color auto="1"/>
      </right>
      <top style="hair">
        <color auto="1"/>
      </top>
      <bottom/>
      <diagonal/>
    </border>
    <border>
      <left/>
      <right/>
      <top style="hair">
        <color indexed="64"/>
      </top>
      <bottom style="hair">
        <color indexed="64"/>
      </bottom>
      <diagonal/>
    </border>
    <border>
      <left style="medium">
        <color indexed="64"/>
      </left>
      <right/>
      <top style="hair">
        <color indexed="64"/>
      </top>
      <bottom style="hair">
        <color indexed="64"/>
      </bottom>
      <diagonal/>
    </border>
    <border>
      <left style="hair">
        <color indexed="8"/>
      </left>
      <right style="hair">
        <color indexed="8"/>
      </right>
      <top style="hair">
        <color indexed="8"/>
      </top>
      <bottom style="hair">
        <color indexed="8"/>
      </bottom>
      <diagonal/>
    </border>
    <border>
      <left style="hair">
        <color indexed="8"/>
      </left>
      <right/>
      <top style="hair">
        <color indexed="8"/>
      </top>
      <bottom style="hair">
        <color indexed="8"/>
      </bottom>
      <diagonal/>
    </border>
    <border>
      <left/>
      <right/>
      <top style="hair">
        <color indexed="8"/>
      </top>
      <bottom style="hair">
        <color indexed="8"/>
      </bottom>
      <diagonal/>
    </border>
    <border>
      <left/>
      <right style="medium">
        <color indexed="8"/>
      </right>
      <top style="hair">
        <color indexed="8"/>
      </top>
      <bottom style="hair">
        <color indexed="8"/>
      </bottom>
      <diagonal/>
    </border>
    <border>
      <left style="hair">
        <color indexed="8"/>
      </left>
      <right/>
      <top style="hair">
        <color indexed="8"/>
      </top>
      <bottom style="medium">
        <color indexed="8"/>
      </bottom>
      <diagonal/>
    </border>
    <border>
      <left/>
      <right/>
      <top style="hair">
        <color indexed="8"/>
      </top>
      <bottom style="medium">
        <color indexed="8"/>
      </bottom>
      <diagonal/>
    </border>
    <border>
      <left/>
      <right style="medium">
        <color indexed="8"/>
      </right>
      <top style="hair">
        <color indexed="8"/>
      </top>
      <bottom style="medium">
        <color indexed="8"/>
      </bottom>
      <diagonal/>
    </border>
    <border>
      <left style="hair">
        <color indexed="8"/>
      </left>
      <right/>
      <top style="hair">
        <color indexed="8"/>
      </top>
      <bottom style="hair">
        <color indexed="8"/>
      </bottom>
      <diagonal/>
    </border>
    <border>
      <left style="double">
        <color indexed="8"/>
      </left>
      <right style="hair">
        <color indexed="8"/>
      </right>
      <top style="medium">
        <color indexed="8"/>
      </top>
      <bottom style="hair">
        <color indexed="8"/>
      </bottom>
      <diagonal/>
    </border>
    <border>
      <left style="double">
        <color indexed="8"/>
      </left>
      <right style="hair">
        <color indexed="8"/>
      </right>
      <top/>
      <bottom style="hair">
        <color indexed="8"/>
      </bottom>
      <diagonal/>
    </border>
    <border>
      <left style="double">
        <color indexed="8"/>
      </left>
      <right style="hair">
        <color indexed="8"/>
      </right>
      <top style="hair">
        <color indexed="8"/>
      </top>
      <bottom style="hair">
        <color indexed="8"/>
      </bottom>
      <diagonal/>
    </border>
    <border>
      <left style="double">
        <color indexed="8"/>
      </left>
      <right style="hair">
        <color indexed="8"/>
      </right>
      <top/>
      <bottom/>
      <diagonal/>
    </border>
    <border>
      <left style="hair">
        <color indexed="8"/>
      </left>
      <right style="hair">
        <color indexed="8"/>
      </right>
      <top style="hair">
        <color indexed="8"/>
      </top>
      <bottom style="medium">
        <color indexed="8"/>
      </bottom>
      <diagonal/>
    </border>
    <border>
      <left style="double">
        <color indexed="8"/>
      </left>
      <right style="hair">
        <color indexed="8"/>
      </right>
      <top style="hair">
        <color indexed="8"/>
      </top>
      <bottom style="medium">
        <color indexed="8"/>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hair">
        <color indexed="8"/>
      </left>
      <right style="hair">
        <color indexed="8"/>
      </right>
      <top style="medium">
        <color indexed="8"/>
      </top>
      <bottom style="hair">
        <color indexed="64"/>
      </bottom>
      <diagonal/>
    </border>
    <border>
      <left style="hair">
        <color indexed="8"/>
      </left>
      <right style="hair">
        <color indexed="8"/>
      </right>
      <top/>
      <bottom style="hair">
        <color indexed="8"/>
      </bottom>
      <diagonal/>
    </border>
    <border>
      <left style="hair">
        <color indexed="8"/>
      </left>
      <right style="hair">
        <color indexed="8"/>
      </right>
      <top/>
      <bottom style="medium">
        <color indexed="64"/>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style="hair">
        <color indexed="8"/>
      </left>
      <right style="medium">
        <color indexed="8"/>
      </right>
      <top style="medium">
        <color indexed="8"/>
      </top>
      <bottom style="medium">
        <color indexed="8"/>
      </bottom>
      <diagonal/>
    </border>
    <border>
      <left style="medium">
        <color indexed="8"/>
      </left>
      <right/>
      <top/>
      <bottom style="hair">
        <color indexed="8"/>
      </bottom>
      <diagonal/>
    </border>
    <border>
      <left/>
      <right/>
      <top/>
      <bottom style="hair">
        <color indexed="8"/>
      </bottom>
      <diagonal/>
    </border>
    <border>
      <left/>
      <right style="medium">
        <color indexed="8"/>
      </right>
      <top/>
      <bottom style="hair">
        <color indexed="8"/>
      </bottom>
      <diagonal/>
    </border>
    <border>
      <left style="medium">
        <color indexed="8"/>
      </left>
      <right/>
      <top style="hair">
        <color indexed="8"/>
      </top>
      <bottom style="hair">
        <color indexed="8"/>
      </bottom>
      <diagonal/>
    </border>
    <border>
      <left style="medium">
        <color indexed="8"/>
      </left>
      <right/>
      <top style="hair">
        <color indexed="8"/>
      </top>
      <bottom style="thin">
        <color indexed="8"/>
      </bottom>
      <diagonal/>
    </border>
    <border>
      <left/>
      <right/>
      <top style="hair">
        <color indexed="8"/>
      </top>
      <bottom style="thin">
        <color indexed="8"/>
      </bottom>
      <diagonal/>
    </border>
    <border>
      <left style="hair">
        <color indexed="8"/>
      </left>
      <right style="hair">
        <color indexed="8"/>
      </right>
      <top style="hair">
        <color indexed="8"/>
      </top>
      <bottom style="thin">
        <color indexed="8"/>
      </bottom>
      <diagonal/>
    </border>
    <border>
      <left/>
      <right style="medium">
        <color indexed="8"/>
      </right>
      <top style="hair">
        <color indexed="8"/>
      </top>
      <bottom style="thin">
        <color indexed="8"/>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hair">
        <color auto="1"/>
      </left>
      <right/>
      <top/>
      <bottom style="hair">
        <color auto="1"/>
      </bottom>
      <diagonal/>
    </border>
    <border>
      <left/>
      <right style="hair">
        <color auto="1"/>
      </right>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bottom style="hair">
        <color auto="1"/>
      </bottom>
      <diagonal/>
    </border>
    <border>
      <left style="hair">
        <color indexed="8"/>
      </left>
      <right style="double">
        <color indexed="8"/>
      </right>
      <top style="hair">
        <color indexed="8"/>
      </top>
      <bottom style="medium">
        <color indexed="8"/>
      </bottom>
      <diagonal/>
    </border>
    <border>
      <left style="hair">
        <color indexed="8"/>
      </left>
      <right style="double">
        <color indexed="8"/>
      </right>
      <top style="hair">
        <color indexed="8"/>
      </top>
      <bottom style="hair">
        <color indexed="8"/>
      </bottom>
      <diagonal/>
    </border>
    <border>
      <left style="hair">
        <color indexed="8"/>
      </left>
      <right style="hair">
        <color indexed="8"/>
      </right>
      <top/>
      <bottom/>
      <diagonal/>
    </border>
    <border>
      <left style="medium">
        <color indexed="64"/>
      </left>
      <right/>
      <top style="thin">
        <color indexed="64"/>
      </top>
      <bottom style="hair">
        <color indexed="64"/>
      </bottom>
      <diagonal/>
    </border>
    <border>
      <left style="hair">
        <color indexed="8"/>
      </left>
      <right style="hair">
        <color indexed="8"/>
      </right>
      <top style="thin">
        <color indexed="64"/>
      </top>
      <bottom style="hair">
        <color indexed="8"/>
      </bottom>
      <diagonal/>
    </border>
    <border>
      <left style="hair">
        <color indexed="8"/>
      </left>
      <right/>
      <top style="thin">
        <color indexed="64"/>
      </top>
      <bottom style="hair">
        <color indexed="8"/>
      </bottom>
      <diagonal/>
    </border>
    <border>
      <left style="double">
        <color indexed="8"/>
      </left>
      <right style="hair">
        <color indexed="8"/>
      </right>
      <top style="thin">
        <color indexed="64"/>
      </top>
      <bottom style="hair">
        <color indexed="8"/>
      </bottom>
      <diagonal/>
    </border>
    <border>
      <left/>
      <right/>
      <top style="thin">
        <color indexed="64"/>
      </top>
      <bottom style="hair">
        <color indexed="8"/>
      </bottom>
      <diagonal/>
    </border>
    <border>
      <left/>
      <right style="medium">
        <color indexed="8"/>
      </right>
      <top style="thin">
        <color indexed="64"/>
      </top>
      <bottom style="hair">
        <color indexed="8"/>
      </bottom>
      <diagonal/>
    </border>
    <border>
      <left style="medium">
        <color indexed="64"/>
      </left>
      <right/>
      <top style="hair">
        <color indexed="64"/>
      </top>
      <bottom/>
      <diagonal/>
    </border>
    <border>
      <left/>
      <right/>
      <top style="hair">
        <color indexed="64"/>
      </top>
      <bottom/>
      <diagonal/>
    </border>
    <border>
      <left style="hair">
        <color indexed="8"/>
      </left>
      <right style="hair">
        <color indexed="8"/>
      </right>
      <top style="hair">
        <color indexed="8"/>
      </top>
      <bottom/>
      <diagonal/>
    </border>
    <border>
      <left style="hair">
        <color indexed="8"/>
      </left>
      <right/>
      <top style="hair">
        <color indexed="8"/>
      </top>
      <bottom/>
      <diagonal/>
    </border>
    <border>
      <left style="double">
        <color indexed="8"/>
      </left>
      <right style="hair">
        <color indexed="8"/>
      </right>
      <top style="hair">
        <color indexed="8"/>
      </top>
      <bottom/>
      <diagonal/>
    </border>
    <border>
      <left/>
      <right/>
      <top style="hair">
        <color indexed="8"/>
      </top>
      <bottom/>
      <diagonal/>
    </border>
    <border>
      <left/>
      <right style="medium">
        <color indexed="8"/>
      </right>
      <top style="hair">
        <color indexed="8"/>
      </top>
      <bottom/>
      <diagonal/>
    </border>
    <border>
      <left style="medium">
        <color indexed="64"/>
      </left>
      <right/>
      <top style="double">
        <color indexed="64"/>
      </top>
      <bottom style="hair">
        <color indexed="64"/>
      </bottom>
      <diagonal/>
    </border>
    <border>
      <left/>
      <right/>
      <top style="double">
        <color indexed="64"/>
      </top>
      <bottom style="hair">
        <color indexed="64"/>
      </bottom>
      <diagonal/>
    </border>
    <border>
      <left style="hair">
        <color indexed="8"/>
      </left>
      <right style="hair">
        <color indexed="8"/>
      </right>
      <top style="double">
        <color indexed="64"/>
      </top>
      <bottom style="hair">
        <color indexed="8"/>
      </bottom>
      <diagonal/>
    </border>
    <border>
      <left style="hair">
        <color indexed="8"/>
      </left>
      <right/>
      <top style="double">
        <color indexed="64"/>
      </top>
      <bottom style="hair">
        <color indexed="8"/>
      </bottom>
      <diagonal/>
    </border>
    <border>
      <left style="double">
        <color indexed="8"/>
      </left>
      <right style="hair">
        <color indexed="8"/>
      </right>
      <top style="double">
        <color indexed="64"/>
      </top>
      <bottom style="hair">
        <color indexed="8"/>
      </bottom>
      <diagonal/>
    </border>
    <border>
      <left/>
      <right/>
      <top style="double">
        <color indexed="64"/>
      </top>
      <bottom style="hair">
        <color indexed="8"/>
      </bottom>
      <diagonal/>
    </border>
    <border>
      <left/>
      <right style="medium">
        <color indexed="8"/>
      </right>
      <top style="double">
        <color indexed="64"/>
      </top>
      <bottom style="hair">
        <color indexed="8"/>
      </bottom>
      <diagonal/>
    </border>
    <border>
      <left style="medium">
        <color indexed="8"/>
      </left>
      <right/>
      <top style="hair">
        <color indexed="8"/>
      </top>
      <bottom style="hair">
        <color indexed="8"/>
      </bottom>
      <diagonal/>
    </border>
    <border>
      <left/>
      <right/>
      <top style="hair">
        <color indexed="8"/>
      </top>
      <bottom style="hair">
        <color indexed="8"/>
      </bottom>
      <diagonal/>
    </border>
    <border>
      <left style="hair">
        <color indexed="8"/>
      </left>
      <right style="hair">
        <color indexed="8"/>
      </right>
      <top style="hair">
        <color indexed="8"/>
      </top>
      <bottom style="hair">
        <color indexed="8"/>
      </bottom>
      <diagonal/>
    </border>
    <border>
      <left/>
      <right style="medium">
        <color indexed="8"/>
      </right>
      <top style="hair">
        <color indexed="8"/>
      </top>
      <bottom style="hair">
        <color indexed="8"/>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hair">
        <color indexed="8"/>
      </left>
      <right/>
      <top style="hair">
        <color indexed="8"/>
      </top>
      <bottom style="hair">
        <color indexed="8"/>
      </bottom>
      <diagonal/>
    </border>
    <border>
      <left style="double">
        <color indexed="8"/>
      </left>
      <right style="hair">
        <color indexed="8"/>
      </right>
      <top style="hair">
        <color indexed="8"/>
      </top>
      <bottom style="hair">
        <color indexed="8"/>
      </bottom>
      <diagonal/>
    </border>
  </borders>
  <cellStyleXfs count="5">
    <xf numFmtId="0" fontId="0" fillId="0" borderId="0"/>
    <xf numFmtId="38" fontId="1" fillId="0" borderId="0" applyFont="0" applyFill="0" applyBorder="0" applyAlignment="0" applyProtection="0"/>
    <xf numFmtId="0" fontId="1" fillId="0" borderId="0"/>
    <xf numFmtId="9" fontId="1" fillId="0" borderId="0" applyFont="0" applyFill="0" applyBorder="0" applyAlignment="0" applyProtection="0"/>
    <xf numFmtId="38" fontId="1" fillId="0" borderId="0" applyFont="0" applyFill="0" applyBorder="0" applyAlignment="0" applyProtection="0">
      <alignment vertical="center"/>
    </xf>
  </cellStyleXfs>
  <cellXfs count="1084">
    <xf numFmtId="0" fontId="0" fillId="0" borderId="0" xfId="0"/>
    <xf numFmtId="0" fontId="3" fillId="0" borderId="0" xfId="0" applyFont="1" applyAlignment="1">
      <alignment vertical="center"/>
    </xf>
    <xf numFmtId="0" fontId="3" fillId="0" borderId="0" xfId="0" applyFont="1" applyAlignment="1">
      <alignment vertical="center" wrapText="1"/>
    </xf>
    <xf numFmtId="0" fontId="3" fillId="0" borderId="0" xfId="0" applyFont="1" applyAlignment="1">
      <alignment horizontal="center" vertical="center"/>
    </xf>
    <xf numFmtId="177" fontId="3" fillId="0" borderId="0" xfId="0" applyNumberFormat="1" applyFont="1" applyAlignment="1">
      <alignment vertical="center" shrinkToFit="1"/>
    </xf>
    <xf numFmtId="0" fontId="4" fillId="0" borderId="0" xfId="0" applyFont="1" applyAlignment="1">
      <alignment vertical="top" textRotation="255" shrinkToFit="1"/>
    </xf>
    <xf numFmtId="0" fontId="3" fillId="0" borderId="0" xfId="0" applyFont="1" applyAlignment="1">
      <alignment vertical="center" shrinkToFit="1"/>
    </xf>
    <xf numFmtId="178" fontId="4" fillId="0" borderId="0" xfId="0" applyNumberFormat="1" applyFont="1" applyAlignment="1">
      <alignment vertical="center" shrinkToFit="1"/>
    </xf>
    <xf numFmtId="0" fontId="4" fillId="0" borderId="0" xfId="0" applyFont="1" applyBorder="1" applyAlignment="1">
      <alignment vertical="top" textRotation="255" shrinkToFit="1"/>
    </xf>
    <xf numFmtId="0" fontId="5" fillId="0" borderId="0" xfId="0" applyFont="1" applyBorder="1" applyAlignment="1" applyProtection="1">
      <alignment horizontal="center" vertical="center" wrapText="1"/>
    </xf>
    <xf numFmtId="0" fontId="5" fillId="0" borderId="0" xfId="0" applyFont="1" applyBorder="1" applyAlignment="1" applyProtection="1">
      <alignment horizontal="center" vertical="center"/>
    </xf>
    <xf numFmtId="178" fontId="4" fillId="0" borderId="0" xfId="0" applyNumberFormat="1" applyFont="1" applyBorder="1" applyAlignment="1">
      <alignment vertical="center" shrinkToFit="1"/>
    </xf>
    <xf numFmtId="0" fontId="6" fillId="0" borderId="0" xfId="0" applyFont="1" applyBorder="1" applyAlignment="1" applyProtection="1">
      <alignment vertical="center"/>
    </xf>
    <xf numFmtId="0" fontId="5" fillId="0" borderId="0" xfId="0" applyFont="1" applyBorder="1" applyAlignment="1" applyProtection="1">
      <alignment vertical="center"/>
    </xf>
    <xf numFmtId="0" fontId="5" fillId="0" borderId="0" xfId="0" applyFont="1" applyBorder="1" applyAlignment="1" applyProtection="1">
      <alignment vertical="center" wrapText="1"/>
    </xf>
    <xf numFmtId="0" fontId="5" fillId="0" borderId="0" xfId="0" applyFont="1" applyBorder="1" applyAlignment="1" applyProtection="1">
      <alignment horizontal="right" vertical="center"/>
    </xf>
    <xf numFmtId="177" fontId="5" fillId="0" borderId="0" xfId="0" applyNumberFormat="1" applyFont="1" applyBorder="1" applyAlignment="1" applyProtection="1">
      <alignment vertical="center" shrinkToFit="1"/>
    </xf>
    <xf numFmtId="0" fontId="13" fillId="0" borderId="0" xfId="0" applyFont="1" applyBorder="1" applyAlignment="1" applyProtection="1">
      <alignment horizontal="right" vertical="center"/>
    </xf>
    <xf numFmtId="0" fontId="18" fillId="0" borderId="0" xfId="0" applyFont="1" applyAlignment="1">
      <alignment vertical="center"/>
    </xf>
    <xf numFmtId="0" fontId="18" fillId="0" borderId="1" xfId="0" applyFont="1" applyBorder="1" applyAlignment="1">
      <alignment horizontal="center" vertical="center"/>
    </xf>
    <xf numFmtId="0" fontId="18" fillId="0" borderId="2" xfId="0" applyFont="1" applyBorder="1" applyAlignment="1">
      <alignment horizontal="center" vertical="center"/>
    </xf>
    <xf numFmtId="0" fontId="18" fillId="0" borderId="3" xfId="0" applyFont="1" applyBorder="1" applyAlignment="1">
      <alignment horizontal="center" vertical="center"/>
    </xf>
    <xf numFmtId="0" fontId="18" fillId="0" borderId="0" xfId="0" applyFont="1" applyAlignment="1">
      <alignment horizontal="center" vertical="center"/>
    </xf>
    <xf numFmtId="0" fontId="18" fillId="0" borderId="4" xfId="0" applyFont="1" applyBorder="1" applyAlignment="1">
      <alignment horizontal="center" vertical="center"/>
    </xf>
    <xf numFmtId="0" fontId="18" fillId="0" borderId="5" xfId="0" applyFont="1" applyBorder="1" applyAlignment="1">
      <alignment horizontal="center" vertical="center"/>
    </xf>
    <xf numFmtId="0" fontId="18" fillId="0" borderId="6" xfId="0" applyFont="1" applyBorder="1" applyAlignment="1">
      <alignment horizontal="center" vertical="center"/>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8" fillId="0" borderId="9" xfId="0" applyFont="1" applyBorder="1" applyAlignment="1">
      <alignment vertical="center"/>
    </xf>
    <xf numFmtId="0" fontId="18" fillId="0" borderId="10" xfId="0" applyFont="1" applyBorder="1" applyAlignment="1">
      <alignment vertical="center"/>
    </xf>
    <xf numFmtId="179" fontId="18" fillId="0" borderId="0" xfId="0" applyNumberFormat="1" applyFont="1" applyAlignment="1">
      <alignment vertical="center"/>
    </xf>
    <xf numFmtId="0" fontId="3" fillId="2" borderId="11" xfId="0" applyFont="1" applyFill="1" applyBorder="1" applyAlignment="1">
      <alignment vertical="center"/>
    </xf>
    <xf numFmtId="0" fontId="3" fillId="0" borderId="0" xfId="0" applyFont="1" applyAlignment="1">
      <alignment horizontal="right" vertical="center" wrapText="1"/>
    </xf>
    <xf numFmtId="0" fontId="3" fillId="0" borderId="0" xfId="0" quotePrefix="1" applyFont="1" applyAlignment="1">
      <alignment horizontal="center" vertical="center"/>
    </xf>
    <xf numFmtId="177" fontId="3" fillId="0" borderId="0" xfId="0" applyNumberFormat="1" applyFont="1" applyAlignment="1">
      <alignment horizontal="right" vertical="center"/>
    </xf>
    <xf numFmtId="0" fontId="14" fillId="0" borderId="0" xfId="0" applyFont="1" applyAlignment="1" applyProtection="1">
      <alignment vertical="center"/>
      <protection locked="0"/>
    </xf>
    <xf numFmtId="178" fontId="4" fillId="0" borderId="0" xfId="0" applyNumberFormat="1" applyFont="1" applyAlignment="1" applyProtection="1">
      <alignment vertical="center" shrinkToFit="1"/>
      <protection locked="0"/>
    </xf>
    <xf numFmtId="0" fontId="3" fillId="0" borderId="0" xfId="0" applyFont="1" applyAlignment="1" applyProtection="1">
      <alignment vertical="center"/>
      <protection locked="0"/>
    </xf>
    <xf numFmtId="0" fontId="3" fillId="2" borderId="11" xfId="0" applyFont="1" applyFill="1" applyBorder="1" applyAlignment="1" applyProtection="1">
      <alignment vertical="center"/>
      <protection locked="0"/>
    </xf>
    <xf numFmtId="0" fontId="0" fillId="0" borderId="0" xfId="0" applyProtection="1">
      <protection locked="0"/>
    </xf>
    <xf numFmtId="0" fontId="0" fillId="3" borderId="12" xfId="0" applyFill="1" applyBorder="1" applyProtection="1">
      <protection locked="0"/>
    </xf>
    <xf numFmtId="0" fontId="0" fillId="3" borderId="13" xfId="0" applyFill="1" applyBorder="1" applyProtection="1">
      <protection locked="0"/>
    </xf>
    <xf numFmtId="0" fontId="0" fillId="4" borderId="0" xfId="0" applyFill="1" applyProtection="1">
      <protection locked="0"/>
    </xf>
    <xf numFmtId="0" fontId="0" fillId="3" borderId="0" xfId="0" applyFill="1" applyProtection="1">
      <protection locked="0"/>
    </xf>
    <xf numFmtId="0" fontId="0" fillId="2" borderId="14" xfId="0" applyFill="1" applyBorder="1" applyProtection="1">
      <protection locked="0"/>
    </xf>
    <xf numFmtId="0" fontId="0" fillId="2" borderId="15" xfId="0" applyFill="1" applyBorder="1" applyProtection="1">
      <protection locked="0"/>
    </xf>
    <xf numFmtId="0" fontId="10" fillId="4" borderId="0" xfId="0" applyFont="1" applyFill="1" applyProtection="1">
      <protection locked="0"/>
    </xf>
    <xf numFmtId="0" fontId="0" fillId="0" borderId="0" xfId="0" quotePrefix="1" applyProtection="1">
      <protection locked="0"/>
    </xf>
    <xf numFmtId="176" fontId="5" fillId="0" borderId="0" xfId="0" applyNumberFormat="1" applyFont="1" applyBorder="1" applyAlignment="1" applyProtection="1">
      <alignment vertical="center"/>
    </xf>
    <xf numFmtId="0" fontId="18" fillId="0" borderId="16" xfId="0" applyFont="1" applyBorder="1" applyAlignment="1" applyProtection="1">
      <alignment horizontal="center" vertical="center"/>
      <protection locked="0"/>
    </xf>
    <xf numFmtId="0" fontId="18" fillId="0" borderId="17" xfId="0" applyFont="1" applyBorder="1" applyAlignment="1" applyProtection="1">
      <alignment horizontal="center" vertical="center"/>
      <protection locked="0"/>
    </xf>
    <xf numFmtId="0" fontId="18" fillId="0" borderId="18" xfId="0" applyFont="1" applyBorder="1" applyAlignment="1" applyProtection="1">
      <alignment horizontal="center" vertical="center"/>
      <protection locked="0"/>
    </xf>
    <xf numFmtId="0" fontId="18" fillId="0" borderId="19" xfId="0" applyFont="1" applyBorder="1" applyAlignment="1" applyProtection="1">
      <alignment horizontal="center" vertical="center"/>
      <protection locked="0"/>
    </xf>
    <xf numFmtId="0" fontId="18" fillId="0" borderId="20" xfId="0" applyFont="1" applyBorder="1" applyAlignment="1">
      <alignment horizontal="center" vertical="center"/>
    </xf>
    <xf numFmtId="0" fontId="18" fillId="0" borderId="21" xfId="0" applyFont="1" applyBorder="1" applyAlignment="1">
      <alignment horizontal="center" vertical="center"/>
    </xf>
    <xf numFmtId="0" fontId="18" fillId="0" borderId="22" xfId="0" applyFont="1" applyBorder="1" applyAlignment="1" applyProtection="1">
      <alignment vertical="center"/>
      <protection locked="0"/>
    </xf>
    <xf numFmtId="0" fontId="23" fillId="0" borderId="23" xfId="0" applyFont="1" applyBorder="1" applyAlignment="1">
      <alignment horizontal="center" shrinkToFit="1"/>
    </xf>
    <xf numFmtId="0" fontId="18" fillId="0" borderId="24" xfId="0" applyFont="1" applyBorder="1" applyAlignment="1" applyProtection="1">
      <alignment vertical="center"/>
      <protection locked="0"/>
    </xf>
    <xf numFmtId="0" fontId="18" fillId="0" borderId="25" xfId="0" applyFont="1" applyBorder="1" applyAlignment="1" applyProtection="1">
      <alignment vertical="center"/>
      <protection locked="0"/>
    </xf>
    <xf numFmtId="179" fontId="18" fillId="0" borderId="26" xfId="0" applyNumberFormat="1" applyFont="1" applyBorder="1" applyAlignment="1">
      <alignment horizontal="center" vertical="center"/>
    </xf>
    <xf numFmtId="179" fontId="18" fillId="0" borderId="27" xfId="0" applyNumberFormat="1" applyFont="1" applyBorder="1" applyAlignment="1">
      <alignment horizontal="center" vertical="center"/>
    </xf>
    <xf numFmtId="179" fontId="18" fillId="0" borderId="36" xfId="0" applyNumberFormat="1" applyFont="1" applyBorder="1" applyAlignment="1">
      <alignment horizontal="center" vertical="center"/>
    </xf>
    <xf numFmtId="0" fontId="5" fillId="0" borderId="38" xfId="0" applyFont="1" applyBorder="1" applyAlignment="1" applyProtection="1">
      <alignment vertical="center"/>
      <protection locked="0"/>
    </xf>
    <xf numFmtId="0" fontId="5" fillId="0" borderId="39" xfId="0" applyFont="1" applyBorder="1" applyAlignment="1" applyProtection="1">
      <alignment vertical="center"/>
      <protection locked="0"/>
    </xf>
    <xf numFmtId="0" fontId="5" fillId="0" borderId="40" xfId="0" applyFont="1" applyBorder="1" applyAlignment="1" applyProtection="1">
      <alignment horizontal="center" vertical="center"/>
    </xf>
    <xf numFmtId="177" fontId="5" fillId="0" borderId="40" xfId="0" applyNumberFormat="1" applyFont="1" applyBorder="1" applyAlignment="1" applyProtection="1">
      <alignment horizontal="center" vertical="center" shrinkToFit="1"/>
    </xf>
    <xf numFmtId="0" fontId="5" fillId="0" borderId="40" xfId="0" applyFont="1" applyBorder="1" applyAlignment="1" applyProtection="1">
      <alignment horizontal="center" vertical="center" wrapText="1"/>
    </xf>
    <xf numFmtId="181" fontId="13" fillId="0" borderId="38" xfId="0" applyNumberFormat="1" applyFont="1" applyBorder="1" applyAlignment="1" applyProtection="1">
      <alignment horizontal="left" vertical="center"/>
      <protection locked="0"/>
    </xf>
    <xf numFmtId="0" fontId="13" fillId="0" borderId="38" xfId="0" applyFont="1" applyBorder="1" applyAlignment="1" applyProtection="1">
      <alignment vertical="center"/>
      <protection locked="0"/>
    </xf>
    <xf numFmtId="0" fontId="13" fillId="0" borderId="39" xfId="0" applyFont="1" applyBorder="1" applyAlignment="1" applyProtection="1">
      <alignment vertical="center"/>
      <protection locked="0"/>
    </xf>
    <xf numFmtId="0" fontId="18" fillId="0" borderId="41" xfId="0" applyFont="1" applyBorder="1" applyAlignment="1" applyProtection="1">
      <alignment vertical="center"/>
      <protection locked="0"/>
    </xf>
    <xf numFmtId="0" fontId="18" fillId="0" borderId="42" xfId="0" applyFont="1" applyBorder="1" applyAlignment="1" applyProtection="1">
      <alignment vertical="center"/>
      <protection locked="0"/>
    </xf>
    <xf numFmtId="0" fontId="18" fillId="0" borderId="43" xfId="0" applyFont="1" applyBorder="1" applyAlignment="1" applyProtection="1">
      <alignment vertical="center"/>
      <protection locked="0"/>
    </xf>
    <xf numFmtId="0" fontId="18" fillId="0" borderId="44" xfId="0" applyFont="1" applyBorder="1" applyAlignment="1">
      <alignment horizontal="center" vertical="center"/>
    </xf>
    <xf numFmtId="0" fontId="18" fillId="0" borderId="45" xfId="0" applyFont="1" applyBorder="1" applyAlignment="1">
      <alignment horizontal="center" vertical="center"/>
    </xf>
    <xf numFmtId="0" fontId="18" fillId="0" borderId="46" xfId="0" applyFont="1" applyBorder="1" applyAlignment="1" applyProtection="1">
      <alignment horizontal="center" vertical="center"/>
      <protection locked="0"/>
    </xf>
    <xf numFmtId="0" fontId="18" fillId="0" borderId="47" xfId="0" applyFont="1" applyBorder="1" applyAlignment="1" applyProtection="1">
      <alignment horizontal="center" vertical="center"/>
      <protection locked="0"/>
    </xf>
    <xf numFmtId="0" fontId="18" fillId="0" borderId="48" xfId="0" applyFont="1" applyBorder="1" applyAlignment="1" applyProtection="1">
      <alignment horizontal="center" vertical="center"/>
      <protection locked="0"/>
    </xf>
    <xf numFmtId="0" fontId="18" fillId="0" borderId="49" xfId="0" applyFont="1" applyBorder="1" applyAlignment="1">
      <alignment horizontal="center" vertical="center"/>
    </xf>
    <xf numFmtId="0" fontId="18" fillId="0" borderId="50" xfId="0" applyFont="1" applyBorder="1" applyAlignment="1">
      <alignment horizontal="center" vertical="center"/>
    </xf>
    <xf numFmtId="0" fontId="18" fillId="0" borderId="51" xfId="0" applyFont="1" applyBorder="1" applyAlignment="1" applyProtection="1">
      <alignment vertical="center"/>
      <protection locked="0"/>
    </xf>
    <xf numFmtId="0" fontId="18" fillId="0" borderId="52" xfId="0" applyFont="1" applyBorder="1" applyAlignment="1" applyProtection="1">
      <alignment vertical="center"/>
      <protection locked="0"/>
    </xf>
    <xf numFmtId="0" fontId="18" fillId="0" borderId="53" xfId="0" applyFont="1" applyBorder="1" applyAlignment="1" applyProtection="1">
      <alignment vertical="center"/>
      <protection locked="0"/>
    </xf>
    <xf numFmtId="179" fontId="18" fillId="0" borderId="58" xfId="0" applyNumberFormat="1" applyFont="1" applyBorder="1" applyAlignment="1">
      <alignment horizontal="center" vertical="center"/>
    </xf>
    <xf numFmtId="177" fontId="5" fillId="0" borderId="0" xfId="0" applyNumberFormat="1" applyFont="1" applyBorder="1" applyAlignment="1" applyProtection="1">
      <alignment vertical="center" shrinkToFit="1"/>
      <protection locked="0"/>
    </xf>
    <xf numFmtId="0" fontId="23" fillId="0" borderId="0" xfId="0" applyFont="1" applyAlignment="1">
      <alignment shrinkToFit="1"/>
    </xf>
    <xf numFmtId="0" fontId="3" fillId="0" borderId="0" xfId="0" applyFont="1" applyAlignment="1" applyProtection="1">
      <alignment vertical="center"/>
    </xf>
    <xf numFmtId="177" fontId="8" fillId="0" borderId="63" xfId="0" applyNumberFormat="1" applyFont="1" applyBorder="1" applyAlignment="1" applyProtection="1">
      <alignment horizontal="right" vertical="top" shrinkToFit="1"/>
    </xf>
    <xf numFmtId="0" fontId="5" fillId="0" borderId="64" xfId="0" applyFont="1" applyBorder="1" applyAlignment="1" applyProtection="1">
      <alignment horizontal="centerContinuous" vertical="center"/>
    </xf>
    <xf numFmtId="0" fontId="5" fillId="0" borderId="65" xfId="0" applyFont="1" applyBorder="1" applyAlignment="1" applyProtection="1">
      <alignment horizontal="centerContinuous" vertical="center"/>
    </xf>
    <xf numFmtId="0" fontId="5" fillId="0" borderId="66" xfId="0" applyFont="1" applyBorder="1" applyAlignment="1" applyProtection="1">
      <alignment horizontal="centerContinuous" vertical="center"/>
    </xf>
    <xf numFmtId="178" fontId="18" fillId="0" borderId="67" xfId="0" applyNumberFormat="1" applyFont="1" applyBorder="1" applyAlignment="1" applyProtection="1">
      <alignment horizontal="center" vertical="center"/>
      <protection locked="0"/>
    </xf>
    <xf numFmtId="178" fontId="18" fillId="0" borderId="41" xfId="0" applyNumberFormat="1" applyFont="1" applyBorder="1" applyAlignment="1" applyProtection="1">
      <alignment horizontal="center" vertical="center"/>
      <protection locked="0"/>
    </xf>
    <xf numFmtId="178" fontId="18" fillId="0" borderId="68" xfId="0" applyNumberFormat="1" applyFont="1" applyBorder="1" applyAlignment="1" applyProtection="1">
      <alignment horizontal="center" vertical="center"/>
      <protection locked="0"/>
    </xf>
    <xf numFmtId="178" fontId="18" fillId="0" borderId="42" xfId="0" applyNumberFormat="1" applyFont="1" applyBorder="1" applyAlignment="1" applyProtection="1">
      <alignment horizontal="center" vertical="center"/>
      <protection locked="0"/>
    </xf>
    <xf numFmtId="178" fontId="18" fillId="0" borderId="69" xfId="0" applyNumberFormat="1" applyFont="1" applyBorder="1" applyAlignment="1" applyProtection="1">
      <alignment horizontal="center" vertical="center"/>
      <protection locked="0"/>
    </xf>
    <xf numFmtId="178" fontId="18" fillId="0" borderId="43" xfId="0" applyNumberFormat="1" applyFont="1" applyBorder="1" applyAlignment="1" applyProtection="1">
      <alignment horizontal="center" vertical="center"/>
      <protection locked="0"/>
    </xf>
    <xf numFmtId="38" fontId="8" fillId="0" borderId="63" xfId="0" applyNumberFormat="1" applyFont="1" applyBorder="1" applyAlignment="1" applyProtection="1">
      <alignment horizontal="right" vertical="top"/>
      <protection locked="0"/>
    </xf>
    <xf numFmtId="38" fontId="8" fillId="0" borderId="63" xfId="0" applyNumberFormat="1" applyFont="1" applyBorder="1" applyAlignment="1" applyProtection="1">
      <alignment horizontal="right" vertical="top" shrinkToFit="1"/>
      <protection locked="0"/>
    </xf>
    <xf numFmtId="0" fontId="13" fillId="0" borderId="70" xfId="0" applyFont="1" applyBorder="1" applyAlignment="1" applyProtection="1">
      <alignment vertical="center"/>
      <protection locked="0"/>
    </xf>
    <xf numFmtId="0" fontId="23" fillId="0" borderId="0" xfId="0" applyNumberFormat="1" applyFont="1" applyAlignment="1">
      <alignment shrinkToFit="1"/>
    </xf>
    <xf numFmtId="177" fontId="5" fillId="5" borderId="71" xfId="0" applyNumberFormat="1" applyFont="1" applyFill="1" applyBorder="1" applyAlignment="1" applyProtection="1">
      <alignment vertical="center" shrinkToFit="1"/>
    </xf>
    <xf numFmtId="0" fontId="3" fillId="0" borderId="0" xfId="0" applyNumberFormat="1" applyFont="1" applyAlignment="1">
      <alignment vertical="center"/>
    </xf>
    <xf numFmtId="0" fontId="13" fillId="0" borderId="72" xfId="0" applyFont="1" applyBorder="1" applyAlignment="1" applyProtection="1">
      <alignment vertical="center"/>
      <protection locked="0"/>
    </xf>
    <xf numFmtId="0" fontId="13" fillId="0" borderId="73" xfId="0" applyFont="1" applyBorder="1" applyAlignment="1" applyProtection="1">
      <alignment vertical="center"/>
      <protection locked="0"/>
    </xf>
    <xf numFmtId="0" fontId="11" fillId="0" borderId="74" xfId="0" applyFont="1" applyBorder="1" applyAlignment="1" applyProtection="1">
      <alignment vertical="center"/>
      <protection locked="0"/>
    </xf>
    <xf numFmtId="0" fontId="13" fillId="0" borderId="63" xfId="0" applyFont="1" applyBorder="1" applyAlignment="1" applyProtection="1">
      <alignment vertical="center" wrapText="1"/>
      <protection locked="0"/>
    </xf>
    <xf numFmtId="0" fontId="13" fillId="0" borderId="63" xfId="0" applyFont="1" applyBorder="1" applyAlignment="1" applyProtection="1">
      <alignment horizontal="center" vertical="center"/>
      <protection locked="0"/>
    </xf>
    <xf numFmtId="0" fontId="13" fillId="0" borderId="75" xfId="0" quotePrefix="1" applyFont="1" applyBorder="1" applyAlignment="1" applyProtection="1">
      <alignment horizontal="right" vertical="center"/>
      <protection locked="0"/>
    </xf>
    <xf numFmtId="0" fontId="13" fillId="0" borderId="76" xfId="0" applyFont="1" applyBorder="1" applyAlignment="1" applyProtection="1">
      <alignment vertical="center" wrapText="1"/>
      <protection locked="0"/>
    </xf>
    <xf numFmtId="0" fontId="13" fillId="0" borderId="76" xfId="0" applyFont="1" applyBorder="1" applyAlignment="1" applyProtection="1">
      <alignment vertical="center"/>
      <protection locked="0"/>
    </xf>
    <xf numFmtId="177" fontId="13" fillId="0" borderId="76" xfId="0" applyNumberFormat="1" applyFont="1" applyBorder="1" applyAlignment="1" applyProtection="1">
      <alignment vertical="center" shrinkToFit="1"/>
      <protection locked="0"/>
    </xf>
    <xf numFmtId="0" fontId="13" fillId="0" borderId="75" xfId="0" applyFont="1" applyBorder="1" applyAlignment="1" applyProtection="1">
      <alignment horizontal="right" vertical="center"/>
      <protection locked="0"/>
    </xf>
    <xf numFmtId="0" fontId="13" fillId="0" borderId="77" xfId="0" applyFont="1" applyBorder="1" applyAlignment="1" applyProtection="1">
      <alignment vertical="center"/>
      <protection locked="0"/>
    </xf>
    <xf numFmtId="0" fontId="13" fillId="0" borderId="78" xfId="0" applyFont="1" applyBorder="1" applyAlignment="1" applyProtection="1">
      <alignment vertical="center" wrapText="1"/>
      <protection locked="0"/>
    </xf>
    <xf numFmtId="177" fontId="13" fillId="0" borderId="78" xfId="0" applyNumberFormat="1" applyFont="1" applyBorder="1" applyAlignment="1" applyProtection="1">
      <alignment vertical="center" shrinkToFit="1"/>
      <protection locked="0"/>
    </xf>
    <xf numFmtId="0" fontId="12" fillId="0" borderId="65" xfId="0" applyFont="1" applyBorder="1" applyAlignment="1" applyProtection="1">
      <alignment horizontal="centerContinuous" vertical="center"/>
    </xf>
    <xf numFmtId="0" fontId="12" fillId="0" borderId="40" xfId="0" applyFont="1" applyBorder="1" applyAlignment="1" applyProtection="1">
      <alignment horizontal="center" vertical="center" wrapText="1"/>
    </xf>
    <xf numFmtId="0" fontId="12" fillId="0" borderId="40" xfId="0" applyFont="1" applyBorder="1" applyAlignment="1" applyProtection="1">
      <alignment horizontal="center" vertical="center"/>
    </xf>
    <xf numFmtId="177" fontId="12" fillId="0" borderId="40" xfId="0" applyNumberFormat="1" applyFont="1" applyBorder="1" applyAlignment="1" applyProtection="1">
      <alignment horizontal="center" vertical="center" shrinkToFit="1"/>
    </xf>
    <xf numFmtId="0" fontId="12" fillId="0" borderId="64" xfId="0" applyFont="1" applyBorder="1" applyAlignment="1" applyProtection="1">
      <alignment horizontal="centerContinuous" vertical="center"/>
    </xf>
    <xf numFmtId="0" fontId="11" fillId="0" borderId="74" xfId="0" applyFont="1" applyBorder="1" applyAlignment="1" applyProtection="1">
      <alignment vertical="center"/>
    </xf>
    <xf numFmtId="0" fontId="13" fillId="0" borderId="72" xfId="0" applyFont="1" applyBorder="1" applyAlignment="1" applyProtection="1">
      <alignment vertical="center"/>
    </xf>
    <xf numFmtId="0" fontId="13" fillId="0" borderId="63" xfId="0" applyFont="1" applyBorder="1" applyAlignment="1" applyProtection="1">
      <alignment horizontal="center" vertical="center"/>
    </xf>
    <xf numFmtId="0" fontId="13" fillId="0" borderId="76" xfId="0" applyFont="1" applyBorder="1" applyAlignment="1" applyProtection="1">
      <alignment vertical="center" shrinkToFit="1"/>
      <protection locked="0"/>
    </xf>
    <xf numFmtId="0" fontId="13" fillId="0" borderId="76" xfId="0" applyFont="1" applyBorder="1" applyAlignment="1" applyProtection="1">
      <alignment horizontal="center" vertical="center" shrinkToFit="1"/>
      <protection locked="0"/>
    </xf>
    <xf numFmtId="0" fontId="13" fillId="0" borderId="38" xfId="0" quotePrefix="1" applyFont="1" applyBorder="1" applyAlignment="1" applyProtection="1">
      <alignment vertical="center"/>
      <protection locked="0"/>
    </xf>
    <xf numFmtId="0" fontId="13" fillId="0" borderId="78" xfId="0" applyFont="1" applyBorder="1" applyAlignment="1" applyProtection="1">
      <alignment horizontal="center" vertical="center" shrinkToFit="1"/>
      <protection locked="0"/>
    </xf>
    <xf numFmtId="177" fontId="13" fillId="0" borderId="78" xfId="0" applyNumberFormat="1" applyFont="1" applyBorder="1" applyAlignment="1" applyProtection="1">
      <alignment horizontal="right" vertical="center" shrinkToFit="1"/>
      <protection locked="0"/>
    </xf>
    <xf numFmtId="0" fontId="13" fillId="0" borderId="79" xfId="0" applyFont="1" applyBorder="1" applyAlignment="1" applyProtection="1">
      <alignment vertical="center"/>
      <protection locked="0"/>
    </xf>
    <xf numFmtId="0" fontId="4" fillId="0" borderId="0" xfId="0" applyFont="1" applyAlignment="1">
      <alignment horizontal="right" vertical="center" wrapText="1"/>
    </xf>
    <xf numFmtId="0" fontId="4" fillId="0" borderId="0" xfId="0" applyFont="1" applyAlignment="1">
      <alignment vertical="center"/>
    </xf>
    <xf numFmtId="0" fontId="4" fillId="0" borderId="0" xfId="0" quotePrefix="1" applyFont="1" applyAlignment="1">
      <alignment horizontal="center" vertical="center"/>
    </xf>
    <xf numFmtId="177" fontId="4" fillId="0" borderId="0" xfId="0" applyNumberFormat="1" applyFont="1" applyAlignment="1">
      <alignment vertical="center" shrinkToFit="1"/>
    </xf>
    <xf numFmtId="180" fontId="13" fillId="0" borderId="75" xfId="0" applyNumberFormat="1" applyFont="1" applyBorder="1" applyAlignment="1" applyProtection="1">
      <alignment horizontal="right" vertical="center" shrinkToFit="1"/>
      <protection locked="0"/>
    </xf>
    <xf numFmtId="0" fontId="13" fillId="0" borderId="38" xfId="0" applyFont="1" applyBorder="1" applyAlignment="1" applyProtection="1">
      <alignment vertical="center" shrinkToFit="1"/>
      <protection locked="0"/>
    </xf>
    <xf numFmtId="0" fontId="13" fillId="0" borderId="76" xfId="0" applyFont="1" applyBorder="1" applyAlignment="1" applyProtection="1">
      <alignment horizontal="right" vertical="center" shrinkToFit="1"/>
      <protection locked="0"/>
    </xf>
    <xf numFmtId="38" fontId="13" fillId="0" borderId="78" xfId="0" applyNumberFormat="1" applyFont="1" applyBorder="1" applyAlignment="1" applyProtection="1">
      <alignment horizontal="right" vertical="center" shrinkToFit="1"/>
      <protection locked="0"/>
    </xf>
    <xf numFmtId="182" fontId="11" fillId="0" borderId="74" xfId="0" applyNumberFormat="1" applyFont="1" applyBorder="1" applyAlignment="1" applyProtection="1">
      <alignment vertical="center"/>
      <protection locked="0"/>
    </xf>
    <xf numFmtId="0" fontId="13" fillId="0" borderId="72" xfId="0" applyFont="1" applyBorder="1" applyAlignment="1" applyProtection="1">
      <alignment vertical="center" shrinkToFit="1"/>
      <protection locked="0"/>
    </xf>
    <xf numFmtId="0" fontId="13" fillId="0" borderId="63" xfId="0" applyFont="1" applyBorder="1" applyAlignment="1" applyProtection="1">
      <alignment vertical="center" shrinkToFit="1"/>
      <protection locked="0"/>
    </xf>
    <xf numFmtId="38" fontId="13" fillId="0" borderId="76" xfId="0" applyNumberFormat="1" applyFont="1" applyBorder="1" applyAlignment="1" applyProtection="1">
      <alignment horizontal="right" vertical="center" shrinkToFit="1"/>
      <protection locked="0"/>
    </xf>
    <xf numFmtId="0" fontId="13" fillId="0" borderId="63" xfId="0" applyFont="1" applyBorder="1" applyAlignment="1" applyProtection="1">
      <alignment horizontal="center" vertical="center" shrinkToFit="1"/>
      <protection locked="0"/>
    </xf>
    <xf numFmtId="38" fontId="13" fillId="0" borderId="76" xfId="0" applyNumberFormat="1" applyFont="1" applyBorder="1" applyAlignment="1" applyProtection="1">
      <alignment vertical="center" shrinkToFit="1"/>
      <protection locked="0"/>
    </xf>
    <xf numFmtId="0" fontId="13" fillId="0" borderId="80" xfId="0" applyFont="1" applyBorder="1" applyAlignment="1" applyProtection="1">
      <alignment vertical="center"/>
      <protection locked="0"/>
    </xf>
    <xf numFmtId="0" fontId="10" fillId="0" borderId="0" xfId="0" applyFont="1" applyAlignment="1">
      <alignment shrinkToFit="1"/>
    </xf>
    <xf numFmtId="0" fontId="1" fillId="4" borderId="0" xfId="0" applyFont="1" applyFill="1" applyProtection="1">
      <protection locked="0"/>
    </xf>
    <xf numFmtId="0" fontId="1" fillId="6" borderId="0" xfId="0" applyFont="1" applyFill="1" applyProtection="1"/>
    <xf numFmtId="0" fontId="19" fillId="6" borderId="0" xfId="0" applyFont="1" applyFill="1" applyProtection="1"/>
    <xf numFmtId="0" fontId="0" fillId="0" borderId="0" xfId="0" applyProtection="1"/>
    <xf numFmtId="0" fontId="26" fillId="4" borderId="0" xfId="0" applyFont="1" applyFill="1" applyProtection="1">
      <protection locked="0"/>
    </xf>
    <xf numFmtId="0" fontId="26" fillId="3" borderId="12" xfId="0" applyFont="1" applyFill="1" applyBorder="1" applyProtection="1">
      <protection locked="0"/>
    </xf>
    <xf numFmtId="0" fontId="26" fillId="3" borderId="13" xfId="0" applyFont="1" applyFill="1" applyBorder="1" applyProtection="1">
      <protection locked="0"/>
    </xf>
    <xf numFmtId="0" fontId="27" fillId="0" borderId="0" xfId="0" applyFont="1" applyAlignment="1">
      <alignment vertical="center"/>
    </xf>
    <xf numFmtId="0" fontId="26" fillId="0" borderId="0" xfId="0" applyFont="1" applyProtection="1">
      <protection locked="0"/>
    </xf>
    <xf numFmtId="0" fontId="20" fillId="3" borderId="0" xfId="0" applyFont="1" applyFill="1" applyProtection="1">
      <protection locked="0"/>
    </xf>
    <xf numFmtId="0" fontId="23" fillId="0" borderId="23" xfId="0" applyFont="1" applyBorder="1" applyAlignment="1">
      <alignment shrinkToFit="1"/>
    </xf>
    <xf numFmtId="0" fontId="0" fillId="0" borderId="0" xfId="0" applyFill="1"/>
    <xf numFmtId="0" fontId="0" fillId="0" borderId="0" xfId="0" quotePrefix="1" applyFill="1"/>
    <xf numFmtId="0" fontId="0" fillId="0" borderId="0" xfId="0" applyFill="1" applyProtection="1">
      <protection locked="0"/>
    </xf>
    <xf numFmtId="10" fontId="0" fillId="0" borderId="0" xfId="0" applyNumberFormat="1" applyFill="1"/>
    <xf numFmtId="0" fontId="0" fillId="6" borderId="0" xfId="0" applyFill="1"/>
    <xf numFmtId="0" fontId="0" fillId="0" borderId="0" xfId="0" applyAlignment="1" applyProtection="1">
      <alignment horizontal="right"/>
      <protection locked="0"/>
    </xf>
    <xf numFmtId="0" fontId="3" fillId="0" borderId="11" xfId="0" applyFont="1" applyBorder="1" applyAlignment="1">
      <alignment horizontal="center" vertical="center"/>
    </xf>
    <xf numFmtId="0" fontId="28" fillId="0" borderId="11" xfId="0" applyFont="1" applyBorder="1" applyAlignment="1">
      <alignment vertical="center"/>
    </xf>
    <xf numFmtId="0" fontId="3" fillId="0" borderId="81" xfId="0" applyFont="1" applyBorder="1" applyAlignment="1">
      <alignment horizontal="center" vertical="center"/>
    </xf>
    <xf numFmtId="0" fontId="23" fillId="0" borderId="0" xfId="0" applyFont="1" applyBorder="1" applyAlignment="1">
      <alignment shrinkToFit="1"/>
    </xf>
    <xf numFmtId="0" fontId="29" fillId="0" borderId="0" xfId="0" applyFont="1" applyAlignment="1">
      <alignment vertical="center"/>
    </xf>
    <xf numFmtId="0" fontId="23" fillId="0" borderId="52" xfId="0" applyFont="1" applyBorder="1" applyAlignment="1">
      <alignment horizontal="center" shrinkToFit="1"/>
    </xf>
    <xf numFmtId="0" fontId="23" fillId="0" borderId="52" xfId="0" applyFont="1" applyBorder="1" applyAlignment="1">
      <alignment shrinkToFit="1"/>
    </xf>
    <xf numFmtId="0" fontId="23" fillId="0" borderId="24" xfId="0" applyFont="1" applyBorder="1" applyAlignment="1">
      <alignment horizontal="center" shrinkToFit="1"/>
    </xf>
    <xf numFmtId="0" fontId="23" fillId="0" borderId="31" xfId="0" applyFont="1" applyBorder="1" applyAlignment="1">
      <alignment horizontal="center" shrinkToFit="1"/>
    </xf>
    <xf numFmtId="0" fontId="23" fillId="0" borderId="24" xfId="0" applyFont="1" applyBorder="1" applyAlignment="1">
      <alignment shrinkToFit="1"/>
    </xf>
    <xf numFmtId="0" fontId="23" fillId="0" borderId="83" xfId="0" applyFont="1" applyBorder="1" applyAlignment="1">
      <alignment shrinkToFit="1"/>
    </xf>
    <xf numFmtId="0" fontId="23" fillId="0" borderId="84" xfId="0" applyFont="1" applyBorder="1" applyAlignment="1">
      <alignment shrinkToFit="1"/>
    </xf>
    <xf numFmtId="0" fontId="23" fillId="0" borderId="85" xfId="0" applyFont="1" applyBorder="1" applyAlignment="1">
      <alignment shrinkToFit="1"/>
    </xf>
    <xf numFmtId="0" fontId="23" fillId="0" borderId="0" xfId="0" applyFont="1" applyBorder="1" applyAlignment="1">
      <alignment vertical="center" shrinkToFit="1"/>
    </xf>
    <xf numFmtId="0" fontId="23" fillId="0" borderId="86" xfId="0" applyFont="1" applyBorder="1" applyAlignment="1">
      <alignment vertical="center" shrinkToFit="1"/>
    </xf>
    <xf numFmtId="0" fontId="23" fillId="0" borderId="87" xfId="0" applyFont="1" applyBorder="1" applyAlignment="1">
      <alignment vertical="center" shrinkToFit="1"/>
    </xf>
    <xf numFmtId="0" fontId="23" fillId="0" borderId="0" xfId="0" applyFont="1" applyAlignment="1">
      <alignment vertical="center" shrinkToFit="1"/>
    </xf>
    <xf numFmtId="0" fontId="25" fillId="0" borderId="88" xfId="0" applyFont="1" applyBorder="1" applyAlignment="1">
      <alignment vertical="center" shrinkToFit="1"/>
    </xf>
    <xf numFmtId="0" fontId="1" fillId="0" borderId="0" xfId="0" applyFont="1" applyAlignment="1"/>
    <xf numFmtId="0" fontId="1" fillId="0" borderId="89" xfId="0" applyFont="1" applyFill="1" applyBorder="1" applyAlignment="1"/>
    <xf numFmtId="0" fontId="23" fillId="0" borderId="90" xfId="0" applyFont="1" applyBorder="1" applyAlignment="1">
      <alignment shrinkToFit="1"/>
    </xf>
    <xf numFmtId="0" fontId="23" fillId="0" borderId="91" xfId="0" applyFont="1" applyBorder="1" applyAlignment="1">
      <alignment shrinkToFit="1"/>
    </xf>
    <xf numFmtId="0" fontId="23" fillId="0" borderId="24" xfId="0" applyFont="1" applyBorder="1" applyAlignment="1">
      <alignment vertical="center" shrinkToFit="1"/>
    </xf>
    <xf numFmtId="0" fontId="23" fillId="0" borderId="23" xfId="0" applyFont="1" applyBorder="1" applyAlignment="1">
      <alignment vertical="center" shrinkToFit="1"/>
    </xf>
    <xf numFmtId="0" fontId="25" fillId="0" borderId="52" xfId="0" applyFont="1" applyBorder="1" applyAlignment="1">
      <alignment vertical="center" shrinkToFit="1"/>
    </xf>
    <xf numFmtId="0" fontId="23" fillId="0" borderId="83" xfId="0" applyNumberFormat="1" applyFont="1" applyBorder="1" applyAlignment="1">
      <alignment shrinkToFit="1"/>
    </xf>
    <xf numFmtId="0" fontId="23" fillId="0" borderId="24" xfId="0" applyNumberFormat="1" applyFont="1" applyBorder="1" applyAlignment="1">
      <alignment shrinkToFit="1"/>
    </xf>
    <xf numFmtId="0" fontId="25" fillId="0" borderId="95" xfId="0" applyFont="1" applyBorder="1" applyAlignment="1">
      <alignment shrinkToFit="1"/>
    </xf>
    <xf numFmtId="0" fontId="23" fillId="0" borderId="96" xfId="0" applyFont="1" applyBorder="1" applyAlignment="1">
      <alignment vertical="center" shrinkToFit="1"/>
    </xf>
    <xf numFmtId="0" fontId="23" fillId="0" borderId="97" xfId="0" applyFont="1" applyBorder="1" applyAlignment="1">
      <alignment vertical="center" shrinkToFit="1"/>
    </xf>
    <xf numFmtId="0" fontId="25" fillId="0" borderId="98" xfId="0" applyFont="1" applyBorder="1" applyAlignment="1">
      <alignment vertical="center" shrinkToFit="1"/>
    </xf>
    <xf numFmtId="183" fontId="23" fillId="0" borderId="96" xfId="0" quotePrefix="1" applyNumberFormat="1" applyFont="1" applyBorder="1" applyAlignment="1">
      <alignment vertical="center" shrinkToFit="1"/>
    </xf>
    <xf numFmtId="183" fontId="23" fillId="0" borderId="24" xfId="0" quotePrefix="1" applyNumberFormat="1" applyFont="1" applyBorder="1" applyAlignment="1">
      <alignment vertical="center" shrinkToFit="1"/>
    </xf>
    <xf numFmtId="183" fontId="23" fillId="0" borderId="90" xfId="0" applyNumberFormat="1" applyFont="1" applyBorder="1" applyAlignment="1">
      <alignment shrinkToFit="1"/>
    </xf>
    <xf numFmtId="0" fontId="13" fillId="0" borderId="75" xfId="0" applyFont="1" applyBorder="1" applyAlignment="1" applyProtection="1">
      <alignment vertical="center"/>
      <protection locked="0"/>
    </xf>
    <xf numFmtId="177" fontId="13" fillId="0" borderId="38" xfId="0" applyNumberFormat="1" applyFont="1" applyBorder="1" applyAlignment="1" applyProtection="1">
      <alignment vertical="center"/>
      <protection locked="0"/>
    </xf>
    <xf numFmtId="184" fontId="23" fillId="0" borderId="86" xfId="0" applyNumberFormat="1" applyFont="1" applyBorder="1" applyAlignment="1">
      <alignment vertical="center" shrinkToFit="1"/>
    </xf>
    <xf numFmtId="184" fontId="23" fillId="0" borderId="87" xfId="0" applyNumberFormat="1" applyFont="1" applyBorder="1" applyAlignment="1">
      <alignment vertical="center" shrinkToFit="1"/>
    </xf>
    <xf numFmtId="184" fontId="23" fillId="0" borderId="100" xfId="0" applyNumberFormat="1" applyFont="1" applyBorder="1" applyAlignment="1">
      <alignment vertical="center" shrinkToFit="1"/>
    </xf>
    <xf numFmtId="185" fontId="23" fillId="0" borderId="96" xfId="0" applyNumberFormat="1" applyFont="1" applyBorder="1" applyAlignment="1">
      <alignment vertical="center" shrinkToFit="1"/>
    </xf>
    <xf numFmtId="185" fontId="23" fillId="0" borderId="97" xfId="0" applyNumberFormat="1" applyFont="1" applyBorder="1" applyAlignment="1">
      <alignment vertical="center" shrinkToFit="1"/>
    </xf>
    <xf numFmtId="185" fontId="23" fillId="0" borderId="101" xfId="0" applyNumberFormat="1" applyFont="1" applyBorder="1" applyAlignment="1">
      <alignment vertical="center" shrinkToFit="1"/>
    </xf>
    <xf numFmtId="185" fontId="23" fillId="0" borderId="24" xfId="0" applyNumberFormat="1" applyFont="1" applyBorder="1" applyAlignment="1">
      <alignment vertical="center" shrinkToFit="1"/>
    </xf>
    <xf numFmtId="185" fontId="23" fillId="0" borderId="23" xfId="0" applyNumberFormat="1" applyFont="1" applyBorder="1" applyAlignment="1">
      <alignment vertical="center" shrinkToFit="1"/>
    </xf>
    <xf numFmtId="185" fontId="23" fillId="0" borderId="31" xfId="0" applyNumberFormat="1" applyFont="1" applyBorder="1" applyAlignment="1">
      <alignment vertical="center" shrinkToFit="1"/>
    </xf>
    <xf numFmtId="185" fontId="23" fillId="0" borderId="90" xfId="0" applyNumberFormat="1" applyFont="1" applyBorder="1" applyAlignment="1">
      <alignment shrinkToFit="1"/>
    </xf>
    <xf numFmtId="185" fontId="23" fillId="0" borderId="91" xfId="0" applyNumberFormat="1" applyFont="1" applyBorder="1" applyAlignment="1">
      <alignment shrinkToFit="1"/>
    </xf>
    <xf numFmtId="185" fontId="23" fillId="0" borderId="102" xfId="0" applyNumberFormat="1" applyFont="1" applyBorder="1" applyAlignment="1">
      <alignment shrinkToFit="1"/>
    </xf>
    <xf numFmtId="0" fontId="3" fillId="0" borderId="23" xfId="0" applyFont="1" applyBorder="1" applyAlignment="1">
      <alignment vertical="center"/>
    </xf>
    <xf numFmtId="0" fontId="3" fillId="0" borderId="84" xfId="0" applyFont="1" applyBorder="1" applyAlignment="1">
      <alignment vertical="center"/>
    </xf>
    <xf numFmtId="179" fontId="13" fillId="7" borderId="78" xfId="0" applyNumberFormat="1" applyFont="1" applyFill="1" applyBorder="1" applyAlignment="1" applyProtection="1">
      <alignment vertical="center" shrinkToFit="1"/>
      <protection locked="0"/>
    </xf>
    <xf numFmtId="21" fontId="13" fillId="0" borderId="76" xfId="0" applyNumberFormat="1" applyFont="1" applyBorder="1" applyAlignment="1" applyProtection="1">
      <alignment vertical="center" wrapText="1"/>
      <protection locked="0"/>
    </xf>
    <xf numFmtId="179" fontId="13" fillId="7" borderId="72" xfId="0" applyNumberFormat="1" applyFont="1" applyFill="1" applyBorder="1" applyAlignment="1" applyProtection="1">
      <alignment vertical="center" shrinkToFit="1"/>
      <protection locked="0"/>
    </xf>
    <xf numFmtId="179" fontId="13" fillId="7" borderId="63" xfId="0" applyNumberFormat="1" applyFont="1" applyFill="1" applyBorder="1" applyAlignment="1" applyProtection="1">
      <alignment vertical="center" shrinkToFit="1"/>
      <protection locked="0"/>
    </xf>
    <xf numFmtId="179" fontId="13" fillId="7" borderId="63" xfId="0" applyNumberFormat="1" applyFont="1" applyFill="1" applyBorder="1" applyAlignment="1" applyProtection="1">
      <alignment vertical="center"/>
      <protection locked="0"/>
    </xf>
    <xf numFmtId="179" fontId="13" fillId="7" borderId="63" xfId="0" applyNumberFormat="1" applyFont="1" applyFill="1" applyBorder="1" applyAlignment="1" applyProtection="1">
      <alignment horizontal="center" vertical="center"/>
      <protection locked="0"/>
    </xf>
    <xf numFmtId="0" fontId="3" fillId="0" borderId="11" xfId="0" applyFont="1" applyBorder="1" applyAlignment="1" applyProtection="1">
      <alignment vertical="center"/>
      <protection locked="0"/>
    </xf>
    <xf numFmtId="0" fontId="23" fillId="0" borderId="0" xfId="0" applyFont="1" applyAlignment="1">
      <alignment horizontal="center" vertical="center"/>
    </xf>
    <xf numFmtId="0" fontId="23" fillId="0" borderId="0" xfId="0" applyFont="1" applyAlignment="1">
      <alignment vertical="center"/>
    </xf>
    <xf numFmtId="179" fontId="23" fillId="0" borderId="0" xfId="0" applyNumberFormat="1" applyFont="1" applyAlignment="1">
      <alignment vertical="center"/>
    </xf>
    <xf numFmtId="9" fontId="10" fillId="8" borderId="0" xfId="0" applyNumberFormat="1" applyFont="1" applyFill="1" applyAlignment="1">
      <alignment horizontal="center" vertical="center"/>
    </xf>
    <xf numFmtId="21" fontId="13" fillId="0" borderId="76" xfId="0" quotePrefix="1" applyNumberFormat="1" applyFont="1" applyBorder="1" applyAlignment="1" applyProtection="1">
      <alignment vertical="center" wrapText="1"/>
      <protection locked="0"/>
    </xf>
    <xf numFmtId="0" fontId="14" fillId="0" borderId="0" xfId="0" applyFont="1" applyAlignment="1">
      <alignment vertical="center"/>
    </xf>
    <xf numFmtId="176" fontId="5" fillId="9" borderId="0" xfId="0" applyNumberFormat="1" applyFont="1" applyFill="1" applyBorder="1" applyAlignment="1" applyProtection="1">
      <alignment vertical="center"/>
    </xf>
    <xf numFmtId="176" fontId="5" fillId="9" borderId="0" xfId="0" applyNumberFormat="1" applyFont="1" applyFill="1" applyBorder="1" applyAlignment="1" applyProtection="1">
      <alignment vertical="center" shrinkToFit="1"/>
    </xf>
    <xf numFmtId="0" fontId="0" fillId="3" borderId="0" xfId="0" applyFill="1" applyAlignment="1" applyProtection="1">
      <protection locked="0"/>
    </xf>
    <xf numFmtId="0" fontId="28" fillId="0" borderId="14" xfId="0" applyFont="1" applyBorder="1" applyAlignment="1">
      <alignment vertical="center" wrapText="1"/>
    </xf>
    <xf numFmtId="0" fontId="3" fillId="0" borderId="0" xfId="0" applyFont="1" applyBorder="1" applyAlignment="1">
      <alignment horizontal="center" vertical="center"/>
    </xf>
    <xf numFmtId="0" fontId="3" fillId="0" borderId="0" xfId="0" applyFont="1" applyBorder="1" applyAlignment="1">
      <alignment vertical="center"/>
    </xf>
    <xf numFmtId="0" fontId="28" fillId="0" borderId="0" xfId="0" applyFont="1" applyBorder="1" applyAlignment="1">
      <alignment vertical="center"/>
    </xf>
    <xf numFmtId="0" fontId="28" fillId="0" borderId="0" xfId="0" applyFont="1" applyBorder="1" applyAlignment="1">
      <alignment vertical="center" wrapText="1"/>
    </xf>
    <xf numFmtId="0" fontId="3" fillId="0" borderId="0" xfId="0" applyFont="1" applyBorder="1" applyAlignment="1" applyProtection="1">
      <alignment vertical="center"/>
      <protection locked="0"/>
    </xf>
    <xf numFmtId="0" fontId="22" fillId="0" borderId="0" xfId="0" applyFont="1" applyBorder="1" applyAlignment="1">
      <alignment horizontal="center" vertical="center"/>
    </xf>
    <xf numFmtId="0" fontId="3" fillId="0" borderId="81" xfId="0" applyFont="1" applyBorder="1" applyAlignment="1" applyProtection="1">
      <alignment vertical="center" shrinkToFit="1"/>
      <protection locked="0"/>
    </xf>
    <xf numFmtId="0" fontId="3" fillId="0" borderId="82" xfId="0" applyFont="1" applyBorder="1" applyAlignment="1" applyProtection="1">
      <alignment vertical="center" shrinkToFit="1"/>
      <protection locked="0"/>
    </xf>
    <xf numFmtId="0" fontId="3" fillId="0" borderId="11" xfId="0" applyFont="1" applyBorder="1" applyAlignment="1">
      <alignment vertical="center" shrinkToFit="1"/>
    </xf>
    <xf numFmtId="0" fontId="3" fillId="0" borderId="14" xfId="0" applyFont="1" applyBorder="1" applyAlignment="1">
      <alignment vertical="center" shrinkToFit="1"/>
    </xf>
    <xf numFmtId="0" fontId="3" fillId="0" borderId="82" xfId="0" applyFont="1" applyBorder="1" applyAlignment="1">
      <alignment vertical="center" shrinkToFit="1"/>
    </xf>
    <xf numFmtId="0" fontId="3" fillId="0" borderId="81" xfId="0" applyFont="1" applyBorder="1" applyAlignment="1">
      <alignment vertical="center" shrinkToFit="1"/>
    </xf>
    <xf numFmtId="0" fontId="23" fillId="0" borderId="96" xfId="0" applyFont="1" applyBorder="1" applyAlignment="1">
      <alignment shrinkToFit="1"/>
    </xf>
    <xf numFmtId="0" fontId="23" fillId="0" borderId="97" xfId="0" applyFont="1" applyBorder="1" applyAlignment="1">
      <alignment shrinkToFit="1"/>
    </xf>
    <xf numFmtId="0" fontId="23" fillId="0" borderId="98" xfId="0" applyFont="1" applyBorder="1" applyAlignment="1">
      <alignment shrinkToFit="1"/>
    </xf>
    <xf numFmtId="178" fontId="4" fillId="7" borderId="0" xfId="0" applyNumberFormat="1" applyFont="1" applyFill="1" applyAlignment="1" applyProtection="1">
      <alignment vertical="center" shrinkToFit="1"/>
      <protection locked="0"/>
    </xf>
    <xf numFmtId="0" fontId="21" fillId="0" borderId="0" xfId="0" applyFont="1" applyAlignment="1" applyProtection="1">
      <alignment horizontal="right" vertical="center"/>
      <protection locked="0"/>
    </xf>
    <xf numFmtId="9" fontId="23" fillId="0" borderId="0" xfId="0" applyNumberFormat="1" applyFont="1" applyFill="1" applyAlignment="1">
      <alignment horizontal="center" vertical="center"/>
    </xf>
    <xf numFmtId="0" fontId="18" fillId="0" borderId="2" xfId="0" applyFont="1" applyBorder="1" applyAlignment="1">
      <alignment horizontal="center" vertical="center" shrinkToFit="1"/>
    </xf>
    <xf numFmtId="179" fontId="18" fillId="0" borderId="103" xfId="0" applyNumberFormat="1" applyFont="1" applyBorder="1" applyAlignment="1" applyProtection="1">
      <alignment horizontal="center" vertical="center" shrinkToFit="1"/>
      <protection locked="0"/>
    </xf>
    <xf numFmtId="179" fontId="18" fillId="0" borderId="104" xfId="0" applyNumberFormat="1" applyFont="1" applyBorder="1" applyAlignment="1" applyProtection="1">
      <alignment horizontal="center" vertical="center" shrinkToFit="1"/>
      <protection locked="0"/>
    </xf>
    <xf numFmtId="0" fontId="18" fillId="0" borderId="105" xfId="0" applyFont="1" applyBorder="1" applyAlignment="1">
      <alignment horizontal="center" vertical="center" shrinkToFit="1"/>
    </xf>
    <xf numFmtId="0" fontId="18" fillId="0" borderId="4" xfId="0" applyFont="1" applyBorder="1" applyAlignment="1">
      <alignment horizontal="center" vertical="center" shrinkToFit="1"/>
    </xf>
    <xf numFmtId="0" fontId="18" fillId="0" borderId="5" xfId="0" applyFont="1" applyBorder="1" applyAlignment="1">
      <alignment horizontal="center" vertical="center" shrinkToFit="1"/>
    </xf>
    <xf numFmtId="0" fontId="18" fillId="0" borderId="6" xfId="0" applyFont="1" applyBorder="1" applyAlignment="1">
      <alignment horizontal="center" vertical="center" shrinkToFit="1"/>
    </xf>
    <xf numFmtId="0" fontId="18" fillId="0" borderId="106" xfId="0" applyFont="1" applyBorder="1" applyAlignment="1">
      <alignment horizontal="center" vertical="center" shrinkToFit="1"/>
    </xf>
    <xf numFmtId="0" fontId="18" fillId="0" borderId="50" xfId="0" applyFont="1" applyBorder="1" applyAlignment="1">
      <alignment horizontal="center" vertical="center" shrinkToFit="1"/>
    </xf>
    <xf numFmtId="179" fontId="18" fillId="0" borderId="107" xfId="0" applyNumberFormat="1" applyFont="1" applyBorder="1" applyAlignment="1">
      <alignment horizontal="center" vertical="center" shrinkToFit="1"/>
    </xf>
    <xf numFmtId="179" fontId="18" fillId="0" borderId="108" xfId="0" applyNumberFormat="1" applyFont="1" applyBorder="1" applyAlignment="1">
      <alignment horizontal="center" vertical="center" shrinkToFit="1"/>
    </xf>
    <xf numFmtId="0" fontId="18" fillId="0" borderId="109" xfId="0" applyFont="1" applyBorder="1" applyAlignment="1">
      <alignment horizontal="center" vertical="center" shrinkToFit="1"/>
    </xf>
    <xf numFmtId="0" fontId="18" fillId="0" borderId="110" xfId="0" applyFont="1" applyBorder="1" applyAlignment="1">
      <alignment horizontal="center" vertical="center" shrinkToFit="1"/>
    </xf>
    <xf numFmtId="179" fontId="18" fillId="0" borderId="111" xfId="0" applyNumberFormat="1" applyFont="1" applyBorder="1" applyAlignment="1" applyProtection="1">
      <alignment horizontal="center" vertical="center" shrinkToFit="1"/>
    </xf>
    <xf numFmtId="0" fontId="18" fillId="0" borderId="17" xfId="0" applyFont="1" applyBorder="1" applyAlignment="1" applyProtection="1">
      <alignment horizontal="center" vertical="center" shrinkToFit="1"/>
      <protection locked="0"/>
    </xf>
    <xf numFmtId="178" fontId="18" fillId="0" borderId="67" xfId="0" applyNumberFormat="1" applyFont="1" applyBorder="1" applyAlignment="1" applyProtection="1">
      <alignment horizontal="center" vertical="center" shrinkToFit="1"/>
      <protection locked="0"/>
    </xf>
    <xf numFmtId="178" fontId="18" fillId="0" borderId="41" xfId="0" applyNumberFormat="1" applyFont="1" applyBorder="1" applyAlignment="1" applyProtection="1">
      <alignment horizontal="center" vertical="center" shrinkToFit="1"/>
      <protection locked="0"/>
    </xf>
    <xf numFmtId="0" fontId="18" fillId="0" borderId="112" xfId="0" applyFont="1" applyBorder="1" applyAlignment="1" applyProtection="1">
      <alignment vertical="center" shrinkToFit="1"/>
      <protection locked="0"/>
    </xf>
    <xf numFmtId="0" fontId="18" fillId="0" borderId="51" xfId="0" applyFont="1" applyBorder="1" applyAlignment="1" applyProtection="1">
      <alignment vertical="center" shrinkToFit="1"/>
      <protection locked="0"/>
    </xf>
    <xf numFmtId="0" fontId="18" fillId="0" borderId="113" xfId="0" applyFont="1" applyBorder="1" applyAlignment="1" applyProtection="1">
      <alignment vertical="center" shrinkToFit="1"/>
      <protection locked="0"/>
    </xf>
    <xf numFmtId="0" fontId="18" fillId="0" borderId="51" xfId="0" applyFont="1" applyBorder="1" applyAlignment="1" applyProtection="1">
      <alignment horizontal="center" vertical="center" shrinkToFit="1"/>
      <protection locked="0"/>
    </xf>
    <xf numFmtId="179" fontId="18" fillId="10" borderId="114" xfId="0" applyNumberFormat="1" applyFont="1" applyFill="1" applyBorder="1" applyAlignment="1" applyProtection="1">
      <alignment vertical="center" shrinkToFit="1"/>
      <protection locked="0"/>
    </xf>
    <xf numFmtId="178" fontId="18" fillId="0" borderId="115" xfId="0" applyNumberFormat="1" applyFont="1" applyBorder="1" applyAlignment="1" applyProtection="1">
      <alignment horizontal="center" vertical="center" shrinkToFit="1"/>
      <protection locked="0"/>
    </xf>
    <xf numFmtId="179" fontId="18" fillId="0" borderId="116" xfId="0" applyNumberFormat="1" applyFont="1" applyBorder="1" applyAlignment="1" applyProtection="1">
      <alignment vertical="center" shrinkToFit="1"/>
    </xf>
    <xf numFmtId="0" fontId="18" fillId="0" borderId="18" xfId="0" applyFont="1" applyBorder="1" applyAlignment="1" applyProtection="1">
      <alignment horizontal="center" vertical="center" shrinkToFit="1"/>
      <protection locked="0"/>
    </xf>
    <xf numFmtId="178" fontId="18" fillId="0" borderId="68" xfId="0" applyNumberFormat="1" applyFont="1" applyBorder="1" applyAlignment="1" applyProtection="1">
      <alignment horizontal="center" vertical="center" shrinkToFit="1"/>
      <protection locked="0"/>
    </xf>
    <xf numFmtId="178" fontId="18" fillId="0" borderId="42" xfId="0" applyNumberFormat="1" applyFont="1" applyBorder="1" applyAlignment="1" applyProtection="1">
      <alignment horizontal="center" vertical="center" shrinkToFit="1"/>
      <protection locked="0"/>
    </xf>
    <xf numFmtId="0" fontId="18" fillId="0" borderId="117" xfId="0" applyFont="1" applyBorder="1" applyAlignment="1" applyProtection="1">
      <alignment vertical="center" shrinkToFit="1"/>
      <protection locked="0"/>
    </xf>
    <xf numFmtId="0" fontId="18" fillId="0" borderId="52" xfId="0" applyFont="1" applyBorder="1" applyAlignment="1" applyProtection="1">
      <alignment vertical="center" shrinkToFit="1"/>
      <protection locked="0"/>
    </xf>
    <xf numFmtId="0" fontId="18" fillId="0" borderId="23" xfId="0" applyFont="1" applyBorder="1" applyAlignment="1" applyProtection="1">
      <alignment vertical="center" shrinkToFit="1"/>
      <protection locked="0"/>
    </xf>
    <xf numFmtId="0" fontId="18" fillId="0" borderId="52" xfId="0" applyFont="1" applyBorder="1" applyAlignment="1" applyProtection="1">
      <alignment horizontal="center" vertical="center" shrinkToFit="1"/>
      <protection locked="0"/>
    </xf>
    <xf numFmtId="179" fontId="18" fillId="10" borderId="118" xfId="0" applyNumberFormat="1" applyFont="1" applyFill="1" applyBorder="1" applyAlignment="1" applyProtection="1">
      <alignment vertical="center" shrinkToFit="1"/>
      <protection locked="0"/>
    </xf>
    <xf numFmtId="178" fontId="18" fillId="0" borderId="119" xfId="0" applyNumberFormat="1" applyFont="1" applyBorder="1" applyAlignment="1" applyProtection="1">
      <alignment horizontal="center" vertical="center" shrinkToFit="1"/>
      <protection locked="0"/>
    </xf>
    <xf numFmtId="179" fontId="18" fillId="0" borderId="120" xfId="0" applyNumberFormat="1" applyFont="1" applyBorder="1" applyAlignment="1" applyProtection="1">
      <alignment vertical="center" shrinkToFit="1"/>
    </xf>
    <xf numFmtId="0" fontId="18" fillId="0" borderId="121" xfId="0" applyFont="1" applyBorder="1" applyAlignment="1" applyProtection="1">
      <alignment horizontal="center" vertical="center" shrinkToFit="1"/>
      <protection locked="0"/>
    </xf>
    <xf numFmtId="178" fontId="18" fillId="0" borderId="122" xfId="0" applyNumberFormat="1" applyFont="1" applyBorder="1" applyAlignment="1" applyProtection="1">
      <alignment horizontal="center" vertical="center" shrinkToFit="1"/>
      <protection locked="0"/>
    </xf>
    <xf numFmtId="178" fontId="18" fillId="0" borderId="123" xfId="0" applyNumberFormat="1" applyFont="1" applyBorder="1" applyAlignment="1" applyProtection="1">
      <alignment horizontal="center" vertical="center" shrinkToFit="1"/>
      <protection locked="0"/>
    </xf>
    <xf numFmtId="0" fontId="18" fillId="0" borderId="124" xfId="0" applyFont="1" applyBorder="1" applyAlignment="1" applyProtection="1">
      <alignment vertical="center" shrinkToFit="1"/>
      <protection locked="0"/>
    </xf>
    <xf numFmtId="0" fontId="18" fillId="0" borderId="125" xfId="0" applyFont="1" applyBorder="1" applyAlignment="1" applyProtection="1">
      <alignment vertical="center" shrinkToFit="1"/>
      <protection locked="0"/>
    </xf>
    <xf numFmtId="0" fontId="18" fillId="0" borderId="126" xfId="0" applyFont="1" applyBorder="1" applyAlignment="1" applyProtection="1">
      <alignment vertical="center" shrinkToFit="1"/>
      <protection locked="0"/>
    </xf>
    <xf numFmtId="0" fontId="18" fillId="0" borderId="125" xfId="0" applyFont="1" applyBorder="1" applyAlignment="1" applyProtection="1">
      <alignment horizontal="center" vertical="center" shrinkToFit="1"/>
      <protection locked="0"/>
    </xf>
    <xf numFmtId="179" fontId="18" fillId="10" borderId="108" xfId="0" applyNumberFormat="1" applyFont="1" applyFill="1" applyBorder="1" applyAlignment="1" applyProtection="1">
      <alignment vertical="center" shrinkToFit="1"/>
      <protection locked="0"/>
    </xf>
    <xf numFmtId="178" fontId="18" fillId="0" borderId="127" xfId="0" applyNumberFormat="1" applyFont="1" applyBorder="1" applyAlignment="1" applyProtection="1">
      <alignment horizontal="center" vertical="center" shrinkToFit="1"/>
      <protection locked="0"/>
    </xf>
    <xf numFmtId="179" fontId="18" fillId="0" borderId="111" xfId="0" applyNumberFormat="1" applyFont="1" applyBorder="1" applyAlignment="1" applyProtection="1">
      <alignment vertical="center" shrinkToFit="1"/>
    </xf>
    <xf numFmtId="0" fontId="13" fillId="0" borderId="0" xfId="0" applyFont="1" applyAlignment="1">
      <alignment vertical="center"/>
    </xf>
    <xf numFmtId="186" fontId="13" fillId="0" borderId="63" xfId="0" applyNumberFormat="1" applyFont="1" applyBorder="1" applyAlignment="1" applyProtection="1">
      <alignment vertical="center"/>
      <protection locked="0"/>
    </xf>
    <xf numFmtId="186" fontId="13" fillId="0" borderId="76" xfId="0" applyNumberFormat="1" applyFont="1" applyBorder="1" applyAlignment="1" applyProtection="1">
      <alignment vertical="center" shrinkToFit="1"/>
      <protection locked="0"/>
    </xf>
    <xf numFmtId="186" fontId="13" fillId="0" borderId="78" xfId="0" applyNumberFormat="1" applyFont="1" applyBorder="1" applyAlignment="1" applyProtection="1">
      <alignment vertical="center" shrinkToFit="1"/>
      <protection locked="0"/>
    </xf>
    <xf numFmtId="0" fontId="28" fillId="0" borderId="11" xfId="0" applyFont="1" applyBorder="1" applyAlignment="1">
      <alignment vertical="center" wrapText="1"/>
    </xf>
    <xf numFmtId="0" fontId="23" fillId="0" borderId="128" xfId="0" applyFont="1" applyBorder="1" applyAlignment="1">
      <alignment horizontal="center" shrinkToFit="1"/>
    </xf>
    <xf numFmtId="0" fontId="23" fillId="0" borderId="129" xfId="0" applyFont="1" applyBorder="1" applyAlignment="1">
      <alignment horizontal="center" shrinkToFit="1"/>
    </xf>
    <xf numFmtId="0" fontId="31" fillId="0" borderId="129" xfId="0" applyNumberFormat="1" applyFont="1" applyBorder="1" applyAlignment="1">
      <alignment horizontal="center"/>
    </xf>
    <xf numFmtId="0" fontId="23" fillId="0" borderId="130" xfId="0" applyFont="1" applyBorder="1" applyAlignment="1">
      <alignment horizontal="center" shrinkToFit="1"/>
    </xf>
    <xf numFmtId="184" fontId="23" fillId="0" borderId="129" xfId="0" applyNumberFormat="1" applyFont="1" applyBorder="1" applyAlignment="1">
      <alignment horizontal="center" shrinkToFit="1"/>
    </xf>
    <xf numFmtId="0" fontId="0" fillId="0" borderId="129" xfId="0" applyBorder="1" applyAlignment="1">
      <alignment horizontal="center" vertical="center" shrinkToFit="1"/>
    </xf>
    <xf numFmtId="0" fontId="23" fillId="0" borderId="129" xfId="0" applyFont="1" applyBorder="1" applyAlignment="1">
      <alignment shrinkToFit="1"/>
    </xf>
    <xf numFmtId="185" fontId="23" fillId="0" borderId="23" xfId="0" quotePrefix="1" applyNumberFormat="1" applyFont="1" applyBorder="1" applyAlignment="1">
      <alignment vertical="center" shrinkToFit="1"/>
    </xf>
    <xf numFmtId="185" fontId="23" fillId="0" borderId="87" xfId="0" applyNumberFormat="1" applyFont="1" applyBorder="1" applyAlignment="1">
      <alignment shrinkToFit="1"/>
    </xf>
    <xf numFmtId="179" fontId="3" fillId="7" borderId="81" xfId="0" applyNumberFormat="1" applyFont="1" applyFill="1" applyBorder="1" applyAlignment="1" applyProtection="1">
      <alignment vertical="center"/>
    </xf>
    <xf numFmtId="179" fontId="3" fillId="7" borderId="82" xfId="0" applyNumberFormat="1" applyFont="1" applyFill="1" applyBorder="1" applyAlignment="1" applyProtection="1">
      <alignment vertical="center"/>
    </xf>
    <xf numFmtId="179" fontId="3" fillId="7" borderId="132" xfId="0" applyNumberFormat="1" applyFont="1" applyFill="1" applyBorder="1" applyAlignment="1" applyProtection="1">
      <alignment vertical="center"/>
    </xf>
    <xf numFmtId="179" fontId="3" fillId="7" borderId="11" xfId="0" applyNumberFormat="1" applyFont="1" applyFill="1" applyBorder="1" applyAlignment="1" applyProtection="1">
      <alignment vertical="center"/>
    </xf>
    <xf numFmtId="0" fontId="18" fillId="0" borderId="133" xfId="0" applyFont="1" applyBorder="1" applyAlignment="1">
      <alignment horizontal="center" vertical="center" shrinkToFit="1"/>
    </xf>
    <xf numFmtId="0" fontId="18" fillId="0" borderId="134" xfId="0" applyFont="1" applyBorder="1" applyAlignment="1">
      <alignment horizontal="center" vertical="center" shrinkToFit="1"/>
    </xf>
    <xf numFmtId="0" fontId="18" fillId="0" borderId="135" xfId="0" applyFont="1" applyBorder="1" applyAlignment="1" applyProtection="1">
      <alignment horizontal="center" vertical="center" shrinkToFit="1"/>
      <protection locked="0"/>
    </xf>
    <xf numFmtId="178" fontId="18" fillId="0" borderId="136" xfId="0" applyNumberFormat="1" applyFont="1" applyBorder="1" applyAlignment="1" applyProtection="1">
      <alignment horizontal="center" vertical="center" shrinkToFit="1"/>
      <protection locked="0"/>
    </xf>
    <xf numFmtId="0" fontId="18" fillId="0" borderId="136" xfId="0" applyFont="1" applyBorder="1" applyAlignment="1" applyProtection="1">
      <alignment vertical="center" shrinkToFit="1"/>
      <protection locked="0"/>
    </xf>
    <xf numFmtId="0" fontId="18" fillId="0" borderId="137" xfId="0" applyFont="1" applyBorder="1" applyAlignment="1" applyProtection="1">
      <alignment horizontal="right" vertical="center" shrinkToFit="1"/>
      <protection locked="0"/>
    </xf>
    <xf numFmtId="179" fontId="18" fillId="11" borderId="138" xfId="0" applyNumberFormat="1" applyFont="1" applyFill="1" applyBorder="1" applyAlignment="1" applyProtection="1">
      <alignment vertical="center" shrinkToFit="1"/>
      <protection locked="0"/>
    </xf>
    <xf numFmtId="0" fontId="18" fillId="0" borderId="1" xfId="0" applyFont="1" applyBorder="1" applyAlignment="1" applyProtection="1">
      <alignment horizontal="center" vertical="center" shrinkToFit="1"/>
      <protection locked="0"/>
    </xf>
    <xf numFmtId="178" fontId="18" fillId="0" borderId="2" xfId="0" applyNumberFormat="1" applyFont="1" applyBorder="1" applyAlignment="1" applyProtection="1">
      <alignment horizontal="center" vertical="center" shrinkToFit="1"/>
      <protection locked="0"/>
    </xf>
    <xf numFmtId="178" fontId="18" fillId="0" borderId="3" xfId="0" applyNumberFormat="1" applyFont="1" applyBorder="1" applyAlignment="1" applyProtection="1">
      <alignment horizontal="center" vertical="center" shrinkToFit="1"/>
      <protection locked="0"/>
    </xf>
    <xf numFmtId="0" fontId="18" fillId="0" borderId="139" xfId="0" applyFont="1" applyBorder="1" applyAlignment="1" applyProtection="1">
      <alignment vertical="center" shrinkToFit="1"/>
      <protection locked="0"/>
    </xf>
    <xf numFmtId="0" fontId="18" fillId="0" borderId="49" xfId="0" applyFont="1" applyBorder="1" applyAlignment="1" applyProtection="1">
      <alignment horizontal="right" vertical="center" shrinkToFit="1"/>
      <protection locked="0"/>
    </xf>
    <xf numFmtId="0" fontId="18" fillId="0" borderId="140" xfId="0" applyFont="1" applyBorder="1" applyAlignment="1" applyProtection="1">
      <alignment horizontal="right" vertical="center" shrinkToFit="1"/>
      <protection locked="0"/>
    </xf>
    <xf numFmtId="0" fontId="18" fillId="0" borderId="141" xfId="0" applyFont="1" applyBorder="1" applyAlignment="1" applyProtection="1">
      <alignment vertical="center" shrinkToFit="1"/>
      <protection locked="0"/>
    </xf>
    <xf numFmtId="0" fontId="18" fillId="0" borderId="49" xfId="0" applyFont="1" applyBorder="1" applyAlignment="1" applyProtection="1">
      <alignment vertical="center" shrinkToFit="1"/>
      <protection locked="0"/>
    </xf>
    <xf numFmtId="0" fontId="18" fillId="0" borderId="142" xfId="0" applyFont="1" applyBorder="1" applyAlignment="1" applyProtection="1">
      <alignment vertical="center" shrinkToFit="1"/>
      <protection locked="0"/>
    </xf>
    <xf numFmtId="0" fontId="18" fillId="0" borderId="140" xfId="0" applyFont="1" applyBorder="1" applyAlignment="1" applyProtection="1">
      <alignment horizontal="center" vertical="center" shrinkToFit="1"/>
      <protection locked="0"/>
    </xf>
    <xf numFmtId="176" fontId="18" fillId="0" borderId="143" xfId="0" applyNumberFormat="1" applyFont="1" applyBorder="1" applyAlignment="1" applyProtection="1">
      <alignment vertical="center" shrinkToFit="1"/>
    </xf>
    <xf numFmtId="0" fontId="18" fillId="0" borderId="144" xfId="0" applyFont="1" applyBorder="1" applyAlignment="1">
      <alignment horizontal="center" vertical="center" shrinkToFit="1"/>
    </xf>
    <xf numFmtId="0" fontId="18" fillId="0" borderId="145" xfId="0" applyFont="1" applyBorder="1" applyAlignment="1">
      <alignment horizontal="center" vertical="center" shrinkToFit="1"/>
    </xf>
    <xf numFmtId="179" fontId="18" fillId="11" borderId="146" xfId="0" applyNumberFormat="1" applyFont="1" applyFill="1" applyBorder="1" applyAlignment="1" applyProtection="1">
      <alignment vertical="center" shrinkToFit="1"/>
      <protection locked="0"/>
    </xf>
    <xf numFmtId="179" fontId="18" fillId="11" borderId="147" xfId="0" applyNumberFormat="1" applyFont="1" applyFill="1" applyBorder="1" applyAlignment="1" applyProtection="1">
      <alignment vertical="center" shrinkToFit="1"/>
      <protection locked="0"/>
    </xf>
    <xf numFmtId="179" fontId="18" fillId="11" borderId="107" xfId="0" applyNumberFormat="1" applyFont="1" applyFill="1" applyBorder="1" applyAlignment="1" applyProtection="1">
      <alignment vertical="center" shrinkToFit="1"/>
      <protection locked="0"/>
    </xf>
    <xf numFmtId="0" fontId="25" fillId="0" borderId="86" xfId="0" applyFont="1" applyBorder="1" applyAlignment="1">
      <alignment horizontal="right" vertical="center" shrinkToFit="1"/>
    </xf>
    <xf numFmtId="0" fontId="23" fillId="0" borderId="148" xfId="0" applyNumberFormat="1" applyFont="1" applyBorder="1" applyAlignment="1">
      <alignment horizontal="center" shrinkToFit="1"/>
    </xf>
    <xf numFmtId="184" fontId="23" fillId="0" borderId="87" xfId="0" quotePrefix="1" applyNumberFormat="1" applyFont="1" applyBorder="1" applyAlignment="1">
      <alignment vertical="center" shrinkToFit="1"/>
    </xf>
    <xf numFmtId="0" fontId="23" fillId="0" borderId="0" xfId="0" applyFont="1" applyAlignment="1">
      <alignment horizontal="center" shrinkToFit="1"/>
    </xf>
    <xf numFmtId="0" fontId="23" fillId="0" borderId="0" xfId="0" applyNumberFormat="1" applyFont="1" applyBorder="1" applyAlignment="1">
      <alignment shrinkToFit="1"/>
    </xf>
    <xf numFmtId="0" fontId="23" fillId="0" borderId="89" xfId="0" applyNumberFormat="1" applyFont="1" applyBorder="1" applyAlignment="1">
      <alignment shrinkToFit="1"/>
    </xf>
    <xf numFmtId="0" fontId="23" fillId="0" borderId="89" xfId="0" applyFont="1" applyBorder="1" applyAlignment="1">
      <alignment shrinkToFit="1"/>
    </xf>
    <xf numFmtId="177" fontId="30" fillId="0" borderId="89" xfId="0" applyNumberFormat="1" applyFont="1" applyBorder="1" applyAlignment="1">
      <alignment shrinkToFit="1"/>
    </xf>
    <xf numFmtId="0" fontId="30" fillId="0" borderId="89" xfId="0" applyFont="1" applyBorder="1" applyAlignment="1"/>
    <xf numFmtId="177" fontId="23" fillId="0" borderId="89" xfId="0" applyNumberFormat="1" applyFont="1" applyBorder="1" applyAlignment="1">
      <alignment shrinkToFit="1"/>
    </xf>
    <xf numFmtId="0" fontId="23" fillId="0" borderId="0" xfId="0" applyFont="1" applyBorder="1" applyAlignment="1">
      <alignment horizontal="center" shrinkToFit="1"/>
    </xf>
    <xf numFmtId="0" fontId="23" fillId="12" borderId="14" xfId="0" applyFont="1" applyFill="1" applyBorder="1" applyAlignment="1">
      <alignment vertical="center" shrinkToFit="1"/>
    </xf>
    <xf numFmtId="0" fontId="23" fillId="12" borderId="15" xfId="0" applyFont="1" applyFill="1" applyBorder="1" applyAlignment="1">
      <alignment vertical="center" shrinkToFit="1"/>
    </xf>
    <xf numFmtId="0" fontId="23" fillId="12" borderId="132" xfId="0" applyFont="1" applyFill="1" applyBorder="1" applyAlignment="1">
      <alignment vertical="center" shrinkToFit="1"/>
    </xf>
    <xf numFmtId="0" fontId="23" fillId="12" borderId="149" xfId="0" applyFont="1" applyFill="1" applyBorder="1" applyAlignment="1">
      <alignment horizontal="center" shrinkToFit="1"/>
    </xf>
    <xf numFmtId="0" fontId="23" fillId="12" borderId="150" xfId="0" applyFont="1" applyFill="1" applyBorder="1" applyAlignment="1">
      <alignment horizontal="center" shrinkToFit="1"/>
    </xf>
    <xf numFmtId="0" fontId="23" fillId="12" borderId="151" xfId="0" applyFont="1" applyFill="1" applyBorder="1" applyAlignment="1">
      <alignment horizontal="center" shrinkToFit="1"/>
    </xf>
    <xf numFmtId="0" fontId="23" fillId="12" borderId="14" xfId="0" applyFont="1" applyFill="1" applyBorder="1" applyAlignment="1">
      <alignment shrinkToFit="1"/>
    </xf>
    <xf numFmtId="0" fontId="23" fillId="12" borderId="15" xfId="0" applyFont="1" applyFill="1" applyBorder="1" applyAlignment="1">
      <alignment shrinkToFit="1"/>
    </xf>
    <xf numFmtId="0" fontId="23" fillId="12" borderId="132" xfId="0" applyFont="1" applyFill="1" applyBorder="1" applyAlignment="1">
      <alignment shrinkToFit="1"/>
    </xf>
    <xf numFmtId="184" fontId="23" fillId="12" borderId="96" xfId="0" applyNumberFormat="1" applyFont="1" applyFill="1" applyBorder="1" applyAlignment="1">
      <alignment vertical="center" shrinkToFit="1"/>
    </xf>
    <xf numFmtId="184" fontId="23" fillId="12" borderId="97" xfId="0" applyNumberFormat="1" applyFont="1" applyFill="1" applyBorder="1" applyAlignment="1">
      <alignment vertical="center" shrinkToFit="1"/>
    </xf>
    <xf numFmtId="184" fontId="23" fillId="12" borderId="101" xfId="0" applyNumberFormat="1" applyFont="1" applyFill="1" applyBorder="1" applyAlignment="1">
      <alignment vertical="center" shrinkToFit="1"/>
    </xf>
    <xf numFmtId="184" fontId="23" fillId="12" borderId="24" xfId="0" applyNumberFormat="1" applyFont="1" applyFill="1" applyBorder="1" applyAlignment="1">
      <alignment vertical="center" shrinkToFit="1"/>
    </xf>
    <xf numFmtId="184" fontId="23" fillId="12" borderId="23" xfId="0" applyNumberFormat="1" applyFont="1" applyFill="1" applyBorder="1" applyAlignment="1">
      <alignment vertical="center" shrinkToFit="1"/>
    </xf>
    <xf numFmtId="184" fontId="23" fillId="12" borderId="31" xfId="0" applyNumberFormat="1" applyFont="1" applyFill="1" applyBorder="1" applyAlignment="1">
      <alignment vertical="center" shrinkToFit="1"/>
    </xf>
    <xf numFmtId="184" fontId="23" fillId="12" borderId="87" xfId="0" applyNumberFormat="1" applyFont="1" applyFill="1" applyBorder="1" applyAlignment="1">
      <alignment vertical="center" shrinkToFit="1"/>
    </xf>
    <xf numFmtId="184" fontId="23" fillId="12" borderId="100" xfId="0" applyNumberFormat="1" applyFont="1" applyFill="1" applyBorder="1" applyAlignment="1">
      <alignment vertical="center" shrinkToFit="1"/>
    </xf>
    <xf numFmtId="184" fontId="23" fillId="0" borderId="0" xfId="0" applyNumberFormat="1" applyFont="1" applyFill="1" applyBorder="1" applyAlignment="1">
      <alignment vertical="center" shrinkToFit="1"/>
    </xf>
    <xf numFmtId="0" fontId="29" fillId="0" borderId="38" xfId="0" applyFont="1" applyBorder="1" applyAlignment="1" applyProtection="1">
      <alignment vertical="center"/>
      <protection locked="0"/>
    </xf>
    <xf numFmtId="0" fontId="29" fillId="0" borderId="76" xfId="0" applyFont="1" applyBorder="1" applyAlignment="1" applyProtection="1">
      <alignment vertical="center"/>
      <protection locked="0"/>
    </xf>
    <xf numFmtId="0" fontId="28" fillId="0" borderId="82" xfId="0" applyFont="1" applyBorder="1" applyAlignment="1">
      <alignment vertical="center" wrapText="1"/>
    </xf>
    <xf numFmtId="0" fontId="0" fillId="13" borderId="0" xfId="0" applyFill="1"/>
    <xf numFmtId="58" fontId="17" fillId="0" borderId="0" xfId="0" applyNumberFormat="1" applyFont="1" applyBorder="1" applyAlignment="1" applyProtection="1">
      <alignment horizontal="left" vertical="center" shrinkToFit="1"/>
      <protection locked="0"/>
    </xf>
    <xf numFmtId="0" fontId="28" fillId="0" borderId="11" xfId="0" applyFont="1" applyBorder="1" applyAlignment="1">
      <alignment horizontal="center" vertical="center" wrapText="1"/>
    </xf>
    <xf numFmtId="0" fontId="28" fillId="0" borderId="177" xfId="0" applyFont="1" applyBorder="1" applyAlignment="1">
      <alignment horizontal="center" vertical="center" wrapText="1"/>
    </xf>
    <xf numFmtId="0" fontId="3" fillId="0" borderId="132" xfId="0" applyFont="1" applyBorder="1" applyAlignment="1">
      <alignment horizontal="center" vertical="center"/>
    </xf>
    <xf numFmtId="0" fontId="3" fillId="0" borderId="177" xfId="0" applyFont="1" applyBorder="1" applyAlignment="1">
      <alignment vertical="center" shrinkToFit="1"/>
    </xf>
    <xf numFmtId="0" fontId="3" fillId="0" borderId="132" xfId="0" applyFont="1" applyBorder="1" applyAlignment="1">
      <alignment vertical="center" shrinkToFit="1"/>
    </xf>
    <xf numFmtId="0" fontId="3" fillId="0" borderId="11" xfId="0" applyFont="1" applyBorder="1" applyAlignment="1">
      <alignment vertical="center"/>
    </xf>
    <xf numFmtId="0" fontId="23" fillId="0" borderId="172" xfId="0" applyFont="1" applyBorder="1" applyAlignment="1">
      <alignment shrinkToFit="1"/>
    </xf>
    <xf numFmtId="0" fontId="23" fillId="0" borderId="172" xfId="0" applyFont="1" applyBorder="1" applyAlignment="1">
      <alignment horizontal="center" shrinkToFit="1"/>
    </xf>
    <xf numFmtId="0" fontId="23" fillId="0" borderId="131" xfId="0" applyFont="1" applyBorder="1" applyAlignment="1">
      <alignment horizontal="center" shrinkToFit="1"/>
    </xf>
    <xf numFmtId="0" fontId="23" fillId="0" borderId="178" xfId="0" applyFont="1" applyBorder="1" applyAlignment="1">
      <alignment horizontal="center" shrinkToFit="1"/>
    </xf>
    <xf numFmtId="0" fontId="23" fillId="0" borderId="179" xfId="0" applyFont="1" applyBorder="1" applyAlignment="1">
      <alignment horizontal="center" shrinkToFit="1"/>
    </xf>
    <xf numFmtId="0" fontId="23" fillId="0" borderId="101" xfId="0" applyFont="1" applyBorder="1" applyAlignment="1">
      <alignment shrinkToFit="1"/>
    </xf>
    <xf numFmtId="0" fontId="23" fillId="0" borderId="180" xfId="0" applyFont="1" applyBorder="1" applyAlignment="1">
      <alignment shrinkToFit="1"/>
    </xf>
    <xf numFmtId="0" fontId="23" fillId="0" borderId="98" xfId="0" applyFont="1" applyBorder="1" applyAlignment="1">
      <alignment horizontal="center" shrinkToFit="1"/>
    </xf>
    <xf numFmtId="184" fontId="23" fillId="0" borderId="88" xfId="0" applyNumberFormat="1" applyFont="1" applyBorder="1" applyAlignment="1">
      <alignment vertical="center" shrinkToFit="1"/>
    </xf>
    <xf numFmtId="185" fontId="23" fillId="0" borderId="52" xfId="0" applyNumberFormat="1" applyFont="1" applyBorder="1" applyAlignment="1">
      <alignment vertical="center" shrinkToFit="1"/>
    </xf>
    <xf numFmtId="185" fontId="23" fillId="0" borderId="88" xfId="0" applyNumberFormat="1" applyFont="1" applyBorder="1" applyAlignment="1">
      <alignment shrinkToFit="1"/>
    </xf>
    <xf numFmtId="184" fontId="23" fillId="0" borderId="181" xfId="0" applyNumberFormat="1" applyFont="1" applyBorder="1" applyAlignment="1">
      <alignment vertical="center" shrinkToFit="1"/>
    </xf>
    <xf numFmtId="185" fontId="23" fillId="0" borderId="182" xfId="0" applyNumberFormat="1" applyFont="1" applyBorder="1" applyAlignment="1">
      <alignment vertical="center" shrinkToFit="1"/>
    </xf>
    <xf numFmtId="185" fontId="23" fillId="0" borderId="183" xfId="0" applyNumberFormat="1" applyFont="1" applyBorder="1" applyAlignment="1">
      <alignment shrinkToFit="1"/>
    </xf>
    <xf numFmtId="185" fontId="23" fillId="0" borderId="95" xfId="0" applyNumberFormat="1" applyFont="1" applyBorder="1" applyAlignment="1">
      <alignment shrinkToFit="1"/>
    </xf>
    <xf numFmtId="0" fontId="23" fillId="0" borderId="184" xfId="0" applyFont="1" applyBorder="1" applyAlignment="1">
      <alignment vertical="center" shrinkToFit="1"/>
    </xf>
    <xf numFmtId="0" fontId="23" fillId="0" borderId="102" xfId="0" applyFont="1" applyBorder="1" applyAlignment="1">
      <alignment shrinkToFit="1"/>
    </xf>
    <xf numFmtId="0" fontId="23" fillId="0" borderId="31" xfId="0" applyFont="1" applyBorder="1" applyAlignment="1">
      <alignment vertical="center" shrinkToFit="1"/>
    </xf>
    <xf numFmtId="0" fontId="23" fillId="0" borderId="167" xfId="0" applyNumberFormat="1" applyFont="1" applyBorder="1" applyAlignment="1">
      <alignment shrinkToFit="1"/>
    </xf>
    <xf numFmtId="0" fontId="23" fillId="0" borderId="165" xfId="0" applyNumberFormat="1" applyFont="1" applyBorder="1" applyAlignment="1">
      <alignment shrinkToFit="1"/>
    </xf>
    <xf numFmtId="0" fontId="23" fillId="0" borderId="162" xfId="0" quotePrefix="1" applyNumberFormat="1" applyFont="1" applyBorder="1" applyAlignment="1">
      <alignment vertical="center" shrinkToFit="1"/>
    </xf>
    <xf numFmtId="183" fontId="23" fillId="0" borderId="164" xfId="0" quotePrefix="1" applyNumberFormat="1" applyFont="1" applyBorder="1" applyAlignment="1">
      <alignment vertical="center" shrinkToFit="1"/>
    </xf>
    <xf numFmtId="183" fontId="23" fillId="0" borderId="165" xfId="0" quotePrefix="1" applyNumberFormat="1" applyFont="1" applyBorder="1" applyAlignment="1">
      <alignment vertical="center" shrinkToFit="1"/>
    </xf>
    <xf numFmtId="183" fontId="23" fillId="0" borderId="89" xfId="0" applyNumberFormat="1" applyFont="1" applyBorder="1" applyAlignment="1">
      <alignment shrinkToFit="1"/>
    </xf>
    <xf numFmtId="0" fontId="23" fillId="0" borderId="31" xfId="0" applyNumberFormat="1" applyFont="1" applyBorder="1" applyAlignment="1">
      <alignment shrinkToFit="1"/>
    </xf>
    <xf numFmtId="0" fontId="23" fillId="0" borderId="185" xfId="0" applyNumberFormat="1" applyFont="1" applyBorder="1" applyAlignment="1">
      <alignment shrinkToFit="1"/>
    </xf>
    <xf numFmtId="0" fontId="23" fillId="0" borderId="100" xfId="0" quotePrefix="1" applyNumberFormat="1" applyFont="1" applyBorder="1" applyAlignment="1">
      <alignment vertical="center" shrinkToFit="1"/>
    </xf>
    <xf numFmtId="183" fontId="23" fillId="0" borderId="101" xfId="0" quotePrefix="1" applyNumberFormat="1" applyFont="1" applyBorder="1" applyAlignment="1">
      <alignment vertical="center" shrinkToFit="1"/>
    </xf>
    <xf numFmtId="183" fontId="23" fillId="0" borderId="31" xfId="0" quotePrefix="1" applyNumberFormat="1" applyFont="1" applyBorder="1" applyAlignment="1">
      <alignment vertical="center" shrinkToFit="1"/>
    </xf>
    <xf numFmtId="183" fontId="23" fillId="0" borderId="102" xfId="0" applyNumberFormat="1" applyFont="1" applyBorder="1" applyAlignment="1">
      <alignment shrinkToFit="1"/>
    </xf>
    <xf numFmtId="0" fontId="33" fillId="0" borderId="38" xfId="0" applyFont="1" applyBorder="1" applyAlignment="1" applyProtection="1">
      <alignment vertical="center" shrinkToFit="1"/>
      <protection locked="0"/>
    </xf>
    <xf numFmtId="0" fontId="33" fillId="0" borderId="38" xfId="0" applyFont="1" applyBorder="1" applyAlignment="1" applyProtection="1">
      <alignment vertical="center"/>
      <protection locked="0"/>
    </xf>
    <xf numFmtId="179" fontId="3" fillId="7" borderId="14" xfId="0" applyNumberFormat="1" applyFont="1" applyFill="1" applyBorder="1" applyAlignment="1" applyProtection="1">
      <alignment vertical="center"/>
    </xf>
    <xf numFmtId="0" fontId="11" fillId="14" borderId="74" xfId="2" applyFont="1" applyFill="1" applyBorder="1" applyAlignment="1" applyProtection="1">
      <alignment vertical="center"/>
      <protection locked="0"/>
    </xf>
    <xf numFmtId="0" fontId="13" fillId="14" borderId="72" xfId="2" applyFont="1" applyFill="1" applyBorder="1" applyAlignment="1" applyProtection="1">
      <alignment vertical="center"/>
      <protection locked="0"/>
    </xf>
    <xf numFmtId="0" fontId="13" fillId="14" borderId="63" xfId="2" applyFont="1" applyFill="1" applyBorder="1" applyAlignment="1" applyProtection="1">
      <alignment vertical="center" wrapText="1"/>
      <protection locked="0"/>
    </xf>
    <xf numFmtId="186" fontId="13" fillId="0" borderId="63" xfId="2" applyNumberFormat="1" applyFont="1" applyBorder="1" applyAlignment="1" applyProtection="1">
      <alignment vertical="center"/>
      <protection locked="0"/>
    </xf>
    <xf numFmtId="0" fontId="13" fillId="0" borderId="63" xfId="2" applyFont="1" applyBorder="1" applyAlignment="1" applyProtection="1">
      <alignment horizontal="center" vertical="center"/>
      <protection locked="0"/>
    </xf>
    <xf numFmtId="177" fontId="8" fillId="0" borderId="63" xfId="2" applyNumberFormat="1" applyFont="1" applyBorder="1" applyAlignment="1" applyProtection="1">
      <alignment horizontal="right" vertical="top" shrinkToFit="1"/>
    </xf>
    <xf numFmtId="0" fontId="13" fillId="0" borderId="72" xfId="2" applyFont="1" applyBorder="1" applyAlignment="1" applyProtection="1">
      <alignment vertical="center"/>
      <protection locked="0"/>
    </xf>
    <xf numFmtId="0" fontId="13" fillId="0" borderId="73" xfId="2" applyFont="1" applyBorder="1" applyAlignment="1" applyProtection="1">
      <alignment vertical="center"/>
      <protection locked="0"/>
    </xf>
    <xf numFmtId="0" fontId="33" fillId="0" borderId="74" xfId="2" applyFont="1" applyFill="1" applyBorder="1" applyAlignment="1" applyProtection="1">
      <alignment vertical="center"/>
      <protection locked="0"/>
    </xf>
    <xf numFmtId="0" fontId="13" fillId="0" borderId="72" xfId="2" applyFont="1" applyFill="1" applyBorder="1" applyAlignment="1" applyProtection="1">
      <alignment vertical="center"/>
      <protection locked="0"/>
    </xf>
    <xf numFmtId="0" fontId="13" fillId="0" borderId="63" xfId="2" applyFont="1" applyFill="1" applyBorder="1" applyAlignment="1" applyProtection="1">
      <alignment vertical="center" wrapText="1"/>
      <protection locked="0"/>
    </xf>
    <xf numFmtId="186" fontId="13" fillId="0" borderId="63" xfId="2" applyNumberFormat="1" applyFont="1" applyFill="1" applyBorder="1" applyAlignment="1" applyProtection="1">
      <alignment vertical="center"/>
      <protection locked="0"/>
    </xf>
    <xf numFmtId="0" fontId="13" fillId="0" borderId="63" xfId="2" applyFont="1" applyFill="1" applyBorder="1" applyAlignment="1" applyProtection="1">
      <alignment horizontal="center" vertical="center"/>
      <protection locked="0"/>
    </xf>
    <xf numFmtId="177" fontId="8" fillId="0" borderId="63" xfId="2" applyNumberFormat="1" applyFont="1" applyFill="1" applyBorder="1" applyAlignment="1" applyProtection="1">
      <alignment horizontal="right" vertical="top" shrinkToFit="1"/>
    </xf>
    <xf numFmtId="0" fontId="13" fillId="0" borderId="73" xfId="2" applyFont="1" applyFill="1" applyBorder="1" applyAlignment="1" applyProtection="1">
      <alignment vertical="center"/>
      <protection locked="0"/>
    </xf>
    <xf numFmtId="0" fontId="13" fillId="0" borderId="75" xfId="2" quotePrefix="1" applyFont="1" applyBorder="1" applyAlignment="1" applyProtection="1">
      <alignment horizontal="right" vertical="center"/>
      <protection locked="0"/>
    </xf>
    <xf numFmtId="0" fontId="13" fillId="0" borderId="38" xfId="2" applyFont="1" applyBorder="1" applyAlignment="1" applyProtection="1">
      <alignment vertical="center"/>
      <protection locked="0"/>
    </xf>
    <xf numFmtId="0" fontId="13" fillId="0" borderId="39" xfId="2" applyFont="1" applyBorder="1" applyAlignment="1" applyProtection="1">
      <alignment vertical="center"/>
      <protection locked="0"/>
    </xf>
    <xf numFmtId="0" fontId="13" fillId="0" borderId="75" xfId="2" applyFont="1" applyBorder="1" applyAlignment="1" applyProtection="1">
      <alignment horizontal="right" vertical="center"/>
      <protection locked="0"/>
    </xf>
    <xf numFmtId="0" fontId="5" fillId="0" borderId="38" xfId="2" applyFont="1" applyBorder="1" applyAlignment="1" applyProtection="1">
      <alignment vertical="center"/>
      <protection locked="0"/>
    </xf>
    <xf numFmtId="0" fontId="5" fillId="0" borderId="39" xfId="2" applyFont="1" applyBorder="1" applyAlignment="1" applyProtection="1">
      <alignment vertical="center"/>
      <protection locked="0"/>
    </xf>
    <xf numFmtId="0" fontId="13" fillId="0" borderId="77" xfId="2" applyFont="1" applyBorder="1" applyAlignment="1" applyProtection="1">
      <alignment vertical="center"/>
      <protection locked="0"/>
    </xf>
    <xf numFmtId="0" fontId="36" fillId="0" borderId="186" xfId="0" applyFont="1" applyBorder="1" applyAlignment="1" applyProtection="1">
      <alignment vertical="center"/>
      <protection locked="0"/>
    </xf>
    <xf numFmtId="0" fontId="3" fillId="0" borderId="187" xfId="0" applyFont="1" applyBorder="1" applyAlignment="1" applyProtection="1">
      <alignment vertical="center"/>
      <protection locked="0"/>
    </xf>
    <xf numFmtId="0" fontId="3" fillId="0" borderId="187" xfId="0" applyFont="1" applyBorder="1" applyAlignment="1" applyProtection="1">
      <alignment vertical="center" wrapText="1"/>
      <protection locked="0"/>
    </xf>
    <xf numFmtId="186" fontId="3" fillId="0" borderId="187" xfId="0" applyNumberFormat="1" applyFont="1" applyBorder="1" applyAlignment="1" applyProtection="1">
      <alignment vertical="center"/>
      <protection locked="0"/>
    </xf>
    <xf numFmtId="0" fontId="3" fillId="0" borderId="187" xfId="0" applyFont="1" applyBorder="1" applyAlignment="1" applyProtection="1">
      <alignment horizontal="center" vertical="center"/>
      <protection locked="0"/>
    </xf>
    <xf numFmtId="177" fontId="28" fillId="0" borderId="187" xfId="0" applyNumberFormat="1" applyFont="1" applyBorder="1" applyAlignment="1" applyProtection="1">
      <alignment horizontal="right" vertical="top" shrinkToFit="1"/>
    </xf>
    <xf numFmtId="0" fontId="3" fillId="0" borderId="188" xfId="0" applyFont="1" applyBorder="1" applyAlignment="1" applyProtection="1">
      <alignment vertical="center"/>
      <protection locked="0"/>
    </xf>
    <xf numFmtId="0" fontId="3" fillId="0" borderId="189" xfId="0" quotePrefix="1" applyFont="1" applyBorder="1" applyAlignment="1" applyProtection="1">
      <alignment horizontal="right" vertical="center"/>
      <protection locked="0"/>
    </xf>
    <xf numFmtId="0" fontId="3" fillId="0" borderId="0" xfId="0" applyFont="1" applyBorder="1" applyAlignment="1" applyProtection="1">
      <alignment vertical="center" wrapText="1"/>
      <protection locked="0"/>
    </xf>
    <xf numFmtId="186" fontId="3" fillId="0" borderId="0" xfId="0" applyNumberFormat="1" applyFont="1" applyBorder="1" applyAlignment="1" applyProtection="1">
      <alignment vertical="center" shrinkToFit="1"/>
      <protection locked="0"/>
    </xf>
    <xf numFmtId="0" fontId="3" fillId="0" borderId="0" xfId="0" applyFont="1" applyBorder="1" applyAlignment="1" applyProtection="1">
      <alignment horizontal="center" vertical="center"/>
      <protection locked="0"/>
    </xf>
    <xf numFmtId="177" fontId="3" fillId="0" borderId="0" xfId="0" applyNumberFormat="1" applyFont="1" applyBorder="1" applyAlignment="1" applyProtection="1">
      <alignment vertical="center" shrinkToFit="1"/>
      <protection locked="0"/>
    </xf>
    <xf numFmtId="0" fontId="3" fillId="0" borderId="190" xfId="0" applyFont="1" applyBorder="1" applyAlignment="1" applyProtection="1">
      <alignment vertical="center"/>
      <protection locked="0"/>
    </xf>
    <xf numFmtId="0" fontId="3" fillId="0" borderId="189" xfId="0" applyFont="1" applyBorder="1" applyAlignment="1" applyProtection="1">
      <alignment horizontal="right" vertical="center"/>
      <protection locked="0"/>
    </xf>
    <xf numFmtId="0" fontId="22" fillId="0" borderId="0" xfId="0" applyFont="1" applyBorder="1" applyAlignment="1" applyProtection="1">
      <alignment vertical="center"/>
      <protection locked="0"/>
    </xf>
    <xf numFmtId="0" fontId="0" fillId="0" borderId="190" xfId="0" applyFont="1" applyBorder="1" applyAlignment="1">
      <alignment vertical="center"/>
    </xf>
    <xf numFmtId="0" fontId="0" fillId="0" borderId="190" xfId="0" applyFont="1" applyBorder="1" applyAlignment="1">
      <alignment vertical="center" wrapText="1"/>
    </xf>
    <xf numFmtId="9" fontId="3" fillId="0" borderId="0" xfId="0" quotePrefix="1" applyNumberFormat="1" applyFont="1" applyBorder="1" applyAlignment="1" applyProtection="1">
      <alignment horizontal="center" vertical="center"/>
      <protection locked="0"/>
    </xf>
    <xf numFmtId="0" fontId="22" fillId="0" borderId="190" xfId="0" applyFont="1" applyBorder="1" applyAlignment="1" applyProtection="1">
      <alignment vertical="center"/>
      <protection locked="0"/>
    </xf>
    <xf numFmtId="0" fontId="3" fillId="0" borderId="191" xfId="0" applyFont="1" applyBorder="1" applyAlignment="1" applyProtection="1">
      <alignment vertical="center"/>
      <protection locked="0"/>
    </xf>
    <xf numFmtId="0" fontId="22" fillId="0" borderId="153" xfId="0" applyFont="1" applyBorder="1" applyAlignment="1" applyProtection="1">
      <alignment vertical="center"/>
      <protection locked="0"/>
    </xf>
    <xf numFmtId="0" fontId="3" fillId="0" borderId="153" xfId="0" applyFont="1" applyBorder="1" applyAlignment="1" applyProtection="1">
      <alignment horizontal="right" vertical="center" wrapText="1"/>
      <protection locked="0"/>
    </xf>
    <xf numFmtId="186" fontId="3" fillId="0" borderId="153" xfId="0" applyNumberFormat="1" applyFont="1" applyBorder="1" applyAlignment="1" applyProtection="1">
      <alignment vertical="center" shrinkToFit="1"/>
      <protection locked="0"/>
    </xf>
    <xf numFmtId="0" fontId="3" fillId="0" borderId="153" xfId="0" applyFont="1" applyBorder="1" applyAlignment="1" applyProtection="1">
      <alignment horizontal="center" vertical="center"/>
      <protection locked="0"/>
    </xf>
    <xf numFmtId="177" fontId="3" fillId="0" borderId="153" xfId="0" applyNumberFormat="1" applyFont="1" applyBorder="1" applyAlignment="1" applyProtection="1">
      <alignment vertical="center" shrinkToFit="1"/>
      <protection locked="0"/>
    </xf>
    <xf numFmtId="0" fontId="3" fillId="0" borderId="153" xfId="0" applyFont="1" applyBorder="1" applyAlignment="1" applyProtection="1">
      <alignment vertical="center"/>
      <protection locked="0"/>
    </xf>
    <xf numFmtId="179" fontId="18" fillId="0" borderId="28" xfId="0" applyNumberFormat="1" applyFont="1" applyBorder="1" applyAlignment="1" applyProtection="1">
      <alignment vertical="center" shrinkToFit="1"/>
      <protection locked="0"/>
    </xf>
    <xf numFmtId="179" fontId="18" fillId="0" borderId="29" xfId="0" applyNumberFormat="1" applyFont="1" applyBorder="1" applyAlignment="1">
      <alignment vertical="center" shrinkToFit="1"/>
    </xf>
    <xf numFmtId="179" fontId="18" fillId="0" borderId="30" xfId="0" applyNumberFormat="1" applyFont="1" applyBorder="1" applyAlignment="1" applyProtection="1">
      <alignment vertical="center" shrinkToFit="1"/>
      <protection locked="0"/>
    </xf>
    <xf numFmtId="179" fontId="18" fillId="0" borderId="31" xfId="0" applyNumberFormat="1" applyFont="1" applyBorder="1" applyAlignment="1">
      <alignment vertical="center" shrinkToFit="1"/>
    </xf>
    <xf numFmtId="179" fontId="18" fillId="0" borderId="32" xfId="0" applyNumberFormat="1" applyFont="1" applyBorder="1" applyAlignment="1" applyProtection="1">
      <alignment vertical="center" shrinkToFit="1"/>
      <protection locked="0"/>
    </xf>
    <xf numFmtId="179" fontId="18" fillId="0" borderId="33" xfId="0" applyNumberFormat="1" applyFont="1" applyBorder="1" applyAlignment="1">
      <alignment vertical="center" shrinkToFit="1"/>
    </xf>
    <xf numFmtId="179" fontId="18" fillId="0" borderId="34" xfId="0" applyNumberFormat="1" applyFont="1" applyBorder="1" applyAlignment="1">
      <alignment vertical="center" shrinkToFit="1"/>
    </xf>
    <xf numFmtId="179" fontId="18" fillId="0" borderId="35" xfId="0" applyNumberFormat="1" applyFont="1" applyBorder="1" applyAlignment="1">
      <alignment vertical="center" shrinkToFit="1"/>
    </xf>
    <xf numFmtId="179" fontId="18" fillId="0" borderId="22" xfId="0" applyNumberFormat="1" applyFont="1" applyBorder="1" applyAlignment="1" applyProtection="1">
      <alignment vertical="center" shrinkToFit="1"/>
      <protection locked="0"/>
    </xf>
    <xf numFmtId="179" fontId="18" fillId="0" borderId="24" xfId="0" applyNumberFormat="1" applyFont="1" applyBorder="1" applyAlignment="1" applyProtection="1">
      <alignment vertical="center" shrinkToFit="1"/>
      <protection locked="0"/>
    </xf>
    <xf numFmtId="179" fontId="18" fillId="0" borderId="25" xfId="0" applyNumberFormat="1" applyFont="1" applyBorder="1" applyAlignment="1" applyProtection="1">
      <alignment vertical="center" shrinkToFit="1"/>
      <protection locked="0"/>
    </xf>
    <xf numFmtId="179" fontId="18" fillId="0" borderId="37" xfId="0" applyNumberFormat="1" applyFont="1" applyBorder="1" applyAlignment="1">
      <alignment vertical="center" shrinkToFit="1"/>
    </xf>
    <xf numFmtId="179" fontId="18" fillId="0" borderId="54" xfId="0" applyNumberFormat="1" applyFont="1" applyBorder="1" applyAlignment="1">
      <alignment vertical="center" shrinkToFit="1"/>
    </xf>
    <xf numFmtId="179" fontId="18" fillId="0" borderId="55" xfId="0" applyNumberFormat="1" applyFont="1" applyBorder="1" applyAlignment="1">
      <alignment vertical="center" shrinkToFit="1"/>
    </xf>
    <xf numFmtId="179" fontId="18" fillId="0" borderId="56" xfId="0" applyNumberFormat="1" applyFont="1" applyBorder="1" applyAlignment="1">
      <alignment vertical="center" shrinkToFit="1"/>
    </xf>
    <xf numFmtId="179" fontId="18" fillId="0" borderId="57" xfId="0" applyNumberFormat="1" applyFont="1" applyBorder="1" applyAlignment="1">
      <alignment vertical="center" shrinkToFit="1"/>
    </xf>
    <xf numFmtId="179" fontId="18" fillId="0" borderId="59" xfId="0" applyNumberFormat="1" applyFont="1" applyBorder="1" applyAlignment="1">
      <alignment vertical="center" shrinkToFit="1"/>
    </xf>
    <xf numFmtId="179" fontId="18" fillId="0" borderId="60" xfId="0" applyNumberFormat="1" applyFont="1" applyBorder="1" applyAlignment="1">
      <alignment vertical="center" shrinkToFit="1"/>
    </xf>
    <xf numFmtId="179" fontId="18" fillId="0" borderId="61" xfId="0" applyNumberFormat="1" applyFont="1" applyBorder="1" applyAlignment="1">
      <alignment vertical="center" shrinkToFit="1"/>
    </xf>
    <xf numFmtId="179" fontId="18" fillId="0" borderId="34" xfId="0" applyNumberFormat="1" applyFont="1" applyBorder="1" applyAlignment="1">
      <alignment horizontal="right" vertical="center" shrinkToFit="1"/>
    </xf>
    <xf numFmtId="179" fontId="18" fillId="0" borderId="62" xfId="0" applyNumberFormat="1" applyFont="1" applyBorder="1" applyAlignment="1">
      <alignment vertical="center" shrinkToFit="1"/>
    </xf>
    <xf numFmtId="0" fontId="18" fillId="0" borderId="41" xfId="0" applyFont="1" applyBorder="1" applyAlignment="1" applyProtection="1">
      <alignment vertical="center" shrinkToFit="1"/>
      <protection locked="0"/>
    </xf>
    <xf numFmtId="0" fontId="18" fillId="0" borderId="42" xfId="0" applyFont="1" applyBorder="1" applyAlignment="1" applyProtection="1">
      <alignment vertical="center" shrinkToFit="1"/>
      <protection locked="0"/>
    </xf>
    <xf numFmtId="0" fontId="32" fillId="0" borderId="42" xfId="0" applyFont="1" applyBorder="1" applyAlignment="1" applyProtection="1">
      <alignment vertical="center" shrinkToFit="1"/>
      <protection locked="0"/>
    </xf>
    <xf numFmtId="0" fontId="18" fillId="0" borderId="43" xfId="0" applyFont="1" applyBorder="1" applyAlignment="1" applyProtection="1">
      <alignment vertical="center" shrinkToFit="1"/>
      <protection locked="0"/>
    </xf>
    <xf numFmtId="0" fontId="18" fillId="0" borderId="53" xfId="0" applyFont="1" applyBorder="1" applyAlignment="1" applyProtection="1">
      <alignment vertical="center" shrinkToFit="1"/>
      <protection locked="0"/>
    </xf>
    <xf numFmtId="0" fontId="26" fillId="13" borderId="12" xfId="0" applyFont="1" applyFill="1" applyBorder="1" applyProtection="1">
      <protection locked="0"/>
    </xf>
    <xf numFmtId="0" fontId="13" fillId="0" borderId="0" xfId="0" applyFont="1" applyFill="1" applyBorder="1" applyAlignment="1" applyProtection="1">
      <alignment vertical="center"/>
      <protection locked="0"/>
    </xf>
    <xf numFmtId="0" fontId="37" fillId="16" borderId="11" xfId="0" applyFont="1" applyFill="1" applyBorder="1" applyAlignment="1">
      <alignment horizontal="center" vertical="center" shrinkToFit="1"/>
    </xf>
    <xf numFmtId="0" fontId="3" fillId="0" borderId="0" xfId="0" applyFont="1" applyAlignment="1">
      <alignment horizontal="left" vertical="center"/>
    </xf>
    <xf numFmtId="0" fontId="22" fillId="0" borderId="0" xfId="0" applyFont="1" applyBorder="1" applyAlignment="1" applyProtection="1">
      <alignment vertical="center" wrapText="1"/>
      <protection locked="0"/>
    </xf>
    <xf numFmtId="0" fontId="8" fillId="0" borderId="0" xfId="0" applyFont="1" applyFill="1" applyBorder="1" applyAlignment="1" applyProtection="1">
      <alignment vertical="center"/>
    </xf>
    <xf numFmtId="0" fontId="8" fillId="0" borderId="0" xfId="0" applyFont="1" applyFill="1" applyBorder="1" applyAlignment="1" applyProtection="1">
      <alignment vertical="center" wrapText="1"/>
    </xf>
    <xf numFmtId="0" fontId="8" fillId="0" borderId="0" xfId="0" applyFont="1" applyFill="1" applyBorder="1" applyAlignment="1" applyProtection="1">
      <alignment horizontal="center" vertical="center"/>
    </xf>
    <xf numFmtId="177" fontId="8" fillId="0" borderId="0" xfId="0" applyNumberFormat="1" applyFont="1" applyFill="1" applyBorder="1" applyAlignment="1" applyProtection="1">
      <alignment vertical="center" shrinkToFit="1"/>
    </xf>
    <xf numFmtId="0" fontId="9" fillId="0" borderId="0" xfId="0" applyFont="1" applyFill="1" applyBorder="1" applyAlignment="1" applyProtection="1">
      <alignment horizontal="right" vertical="center"/>
    </xf>
    <xf numFmtId="0" fontId="9" fillId="0" borderId="0" xfId="0" applyFont="1" applyFill="1" applyBorder="1" applyAlignment="1" applyProtection="1">
      <alignment vertical="center"/>
      <protection locked="0"/>
    </xf>
    <xf numFmtId="0" fontId="9" fillId="0" borderId="0" xfId="0" applyFont="1" applyFill="1" applyBorder="1" applyAlignment="1" applyProtection="1">
      <alignment vertical="center"/>
    </xf>
    <xf numFmtId="187" fontId="9" fillId="0" borderId="0" xfId="0" applyNumberFormat="1" applyFont="1" applyFill="1" applyBorder="1" applyAlignment="1" applyProtection="1">
      <alignment vertical="center"/>
      <protection locked="0"/>
    </xf>
    <xf numFmtId="0" fontId="5" fillId="0" borderId="0" xfId="0" applyFont="1" applyFill="1" applyBorder="1" applyAlignment="1" applyProtection="1">
      <alignment vertical="center"/>
    </xf>
    <xf numFmtId="0" fontId="5" fillId="0" borderId="0" xfId="0" applyFont="1" applyFill="1" applyBorder="1" applyAlignment="1" applyProtection="1">
      <alignment vertical="center" wrapText="1"/>
    </xf>
    <xf numFmtId="0" fontId="5" fillId="0" borderId="0" xfId="0" applyFont="1" applyFill="1" applyBorder="1" applyAlignment="1" applyProtection="1">
      <alignment horizontal="center" vertical="center"/>
    </xf>
    <xf numFmtId="177" fontId="5" fillId="0" borderId="0" xfId="0" applyNumberFormat="1" applyFont="1" applyFill="1" applyBorder="1" applyAlignment="1" applyProtection="1">
      <alignment vertical="center" shrinkToFit="1"/>
    </xf>
    <xf numFmtId="177" fontId="17" fillId="0" borderId="0" xfId="0" applyNumberFormat="1" applyFont="1" applyFill="1" applyBorder="1" applyAlignment="1" applyProtection="1">
      <alignment horizontal="right" vertical="center" shrinkToFit="1"/>
    </xf>
    <xf numFmtId="0" fontId="13" fillId="14" borderId="40" xfId="0" applyFont="1" applyFill="1" applyBorder="1" applyAlignment="1" applyProtection="1">
      <alignment horizontal="center" vertical="center" wrapText="1"/>
    </xf>
    <xf numFmtId="0" fontId="3" fillId="0" borderId="0" xfId="0" applyFont="1" applyFill="1" applyAlignment="1">
      <alignment vertical="center"/>
    </xf>
    <xf numFmtId="0" fontId="3" fillId="0" borderId="0" xfId="0" applyFont="1" applyFill="1" applyAlignment="1">
      <alignment horizontal="left" vertical="center"/>
    </xf>
    <xf numFmtId="0" fontId="4" fillId="18" borderId="165" xfId="0" applyFont="1" applyFill="1" applyBorder="1" applyAlignment="1">
      <alignment horizontal="left"/>
    </xf>
    <xf numFmtId="0" fontId="39" fillId="0" borderId="38" xfId="0" applyFont="1" applyBorder="1" applyAlignment="1" applyProtection="1">
      <alignment vertical="center" shrinkToFit="1"/>
      <protection locked="0"/>
    </xf>
    <xf numFmtId="0" fontId="11" fillId="18" borderId="0" xfId="0" applyFont="1" applyFill="1" applyBorder="1" applyAlignment="1">
      <alignment horizontal="center"/>
    </xf>
    <xf numFmtId="0" fontId="38" fillId="18" borderId="89" xfId="0" applyFont="1" applyFill="1" applyBorder="1" applyAlignment="1">
      <alignment horizontal="right"/>
    </xf>
    <xf numFmtId="0" fontId="38" fillId="18" borderId="196" xfId="0" applyFont="1" applyFill="1" applyBorder="1" applyAlignment="1">
      <alignment horizontal="right"/>
    </xf>
    <xf numFmtId="0" fontId="36" fillId="18" borderId="182" xfId="0" applyFont="1" applyFill="1" applyBorder="1" applyAlignment="1"/>
    <xf numFmtId="0" fontId="36" fillId="18" borderId="181" xfId="0" applyFont="1" applyFill="1" applyBorder="1" applyAlignment="1"/>
    <xf numFmtId="0" fontId="11" fillId="18" borderId="0" xfId="0" applyFont="1" applyFill="1" applyBorder="1" applyAlignment="1">
      <alignment horizontal="left"/>
    </xf>
    <xf numFmtId="0" fontId="40" fillId="18" borderId="0" xfId="0" applyFont="1" applyFill="1"/>
    <xf numFmtId="0" fontId="41" fillId="18" borderId="0" xfId="0" applyFont="1" applyFill="1"/>
    <xf numFmtId="0" fontId="41" fillId="18" borderId="0" xfId="0" applyFont="1" applyFill="1" applyAlignment="1">
      <alignment horizontal="center"/>
    </xf>
    <xf numFmtId="0" fontId="36" fillId="18" borderId="198" xfId="0" applyFont="1" applyFill="1" applyBorder="1" applyAlignment="1">
      <alignment horizontal="left" vertical="center"/>
    </xf>
    <xf numFmtId="0" fontId="38" fillId="18" borderId="15" xfId="0" applyFont="1" applyFill="1" applyBorder="1" applyAlignment="1">
      <alignment horizontal="right"/>
    </xf>
    <xf numFmtId="0" fontId="38" fillId="18" borderId="150" xfId="0" applyFont="1" applyFill="1" applyBorder="1" applyAlignment="1">
      <alignment horizontal="right"/>
    </xf>
    <xf numFmtId="0" fontId="36" fillId="18" borderId="180" xfId="0" applyFont="1" applyFill="1" applyBorder="1" applyAlignment="1"/>
    <xf numFmtId="0" fontId="36" fillId="18" borderId="208" xfId="0" applyFont="1" applyFill="1" applyBorder="1" applyAlignment="1"/>
    <xf numFmtId="0" fontId="3" fillId="18" borderId="180" xfId="0" applyFont="1" applyFill="1" applyBorder="1" applyAlignment="1"/>
    <xf numFmtId="0" fontId="3" fillId="18" borderId="182" xfId="0" applyFont="1" applyFill="1" applyBorder="1" applyAlignment="1"/>
    <xf numFmtId="0" fontId="3" fillId="18" borderId="181" xfId="0" applyFont="1" applyFill="1" applyBorder="1" applyAlignment="1"/>
    <xf numFmtId="0" fontId="3" fillId="18" borderId="89" xfId="0" applyFont="1" applyFill="1" applyBorder="1" applyAlignment="1">
      <alignment horizontal="left" vertical="center"/>
    </xf>
    <xf numFmtId="0" fontId="13" fillId="18" borderId="0" xfId="0" applyFont="1" applyFill="1" applyBorder="1" applyAlignment="1">
      <alignment horizontal="right"/>
    </xf>
    <xf numFmtId="0" fontId="13" fillId="18" borderId="0" xfId="0" applyFont="1" applyFill="1" applyBorder="1" applyAlignment="1">
      <alignment horizontal="center"/>
    </xf>
    <xf numFmtId="0" fontId="11" fillId="18" borderId="0" xfId="0" applyFont="1" applyFill="1" applyBorder="1" applyAlignment="1">
      <alignment horizontal="right"/>
    </xf>
    <xf numFmtId="0" fontId="3" fillId="18" borderId="0" xfId="0" applyFont="1" applyFill="1" applyBorder="1" applyAlignment="1"/>
    <xf numFmtId="0" fontId="13" fillId="18" borderId="89" xfId="0" applyFont="1" applyFill="1" applyBorder="1" applyAlignment="1">
      <alignment horizontal="right"/>
    </xf>
    <xf numFmtId="0" fontId="33" fillId="18" borderId="0" xfId="0" applyFont="1" applyFill="1" applyBorder="1" applyAlignment="1"/>
    <xf numFmtId="0" fontId="3" fillId="18" borderId="197" xfId="0" applyFont="1" applyFill="1" applyBorder="1" applyAlignment="1">
      <alignment horizontal="right"/>
    </xf>
    <xf numFmtId="0" fontId="3" fillId="18" borderId="0" xfId="0" applyFont="1" applyFill="1" applyBorder="1" applyAlignment="1">
      <alignment horizontal="right"/>
    </xf>
    <xf numFmtId="38" fontId="3" fillId="18" borderId="23" xfId="0" applyNumberFormat="1" applyFont="1" applyFill="1" applyBorder="1" applyAlignment="1">
      <alignment horizontal="right"/>
    </xf>
    <xf numFmtId="38" fontId="3" fillId="18" borderId="87" xfId="0" applyNumberFormat="1" applyFont="1" applyFill="1" applyBorder="1" applyAlignment="1">
      <alignment horizontal="right"/>
    </xf>
    <xf numFmtId="0" fontId="38" fillId="18" borderId="198" xfId="0" applyFont="1" applyFill="1" applyBorder="1" applyAlignment="1">
      <alignment horizontal="right"/>
    </xf>
    <xf numFmtId="0" fontId="3" fillId="18" borderId="91" xfId="0" applyFont="1" applyFill="1" applyBorder="1" applyAlignment="1">
      <alignment horizontal="center"/>
    </xf>
    <xf numFmtId="0" fontId="38" fillId="18" borderId="0" xfId="0" applyFont="1" applyFill="1" applyBorder="1" applyAlignment="1"/>
    <xf numFmtId="0" fontId="33" fillId="18" borderId="15" xfId="0" applyFont="1" applyFill="1" applyBorder="1" applyAlignment="1">
      <alignment horizontal="distributed"/>
    </xf>
    <xf numFmtId="0" fontId="3" fillId="18" borderId="15" xfId="0" applyFont="1" applyFill="1" applyBorder="1" applyAlignment="1">
      <alignment horizontal="center"/>
    </xf>
    <xf numFmtId="0" fontId="33" fillId="18" borderId="15" xfId="0" applyFont="1" applyFill="1" applyBorder="1" applyAlignment="1">
      <alignment horizontal="right"/>
    </xf>
    <xf numFmtId="0" fontId="36" fillId="18" borderId="195" xfId="0" applyFont="1" applyFill="1" applyBorder="1" applyAlignment="1">
      <alignment horizontal="left"/>
    </xf>
    <xf numFmtId="0" fontId="33" fillId="18" borderId="196" xfId="0" applyFont="1" applyFill="1" applyBorder="1" applyAlignment="1">
      <alignment horizontal="distributed"/>
    </xf>
    <xf numFmtId="0" fontId="3" fillId="18" borderId="199" xfId="0" applyFont="1" applyFill="1" applyBorder="1" applyAlignment="1">
      <alignment horizontal="center"/>
    </xf>
    <xf numFmtId="0" fontId="0" fillId="18" borderId="91" xfId="0" applyFont="1" applyFill="1" applyBorder="1" applyAlignment="1">
      <alignment horizontal="center"/>
    </xf>
    <xf numFmtId="0" fontId="3" fillId="18" borderId="0" xfId="0" applyFont="1" applyFill="1" applyBorder="1" applyAlignment="1">
      <alignment horizontal="left"/>
    </xf>
    <xf numFmtId="0" fontId="3" fillId="18" borderId="200" xfId="0" applyFont="1" applyFill="1" applyBorder="1" applyAlignment="1">
      <alignment horizontal="left"/>
    </xf>
    <xf numFmtId="0" fontId="3" fillId="18" borderId="84" xfId="0" applyFont="1" applyFill="1" applyBorder="1" applyAlignment="1">
      <alignment horizontal="left" shrinkToFit="1"/>
    </xf>
    <xf numFmtId="38" fontId="13" fillId="18" borderId="84" xfId="0" applyNumberFormat="1" applyFont="1" applyFill="1" applyBorder="1" applyAlignment="1">
      <alignment horizontal="right"/>
    </xf>
    <xf numFmtId="0" fontId="3" fillId="18" borderId="165" xfId="0" applyFont="1" applyFill="1" applyBorder="1" applyAlignment="1">
      <alignment horizontal="left"/>
    </xf>
    <xf numFmtId="0" fontId="3" fillId="18" borderId="182" xfId="0" applyFont="1" applyFill="1" applyBorder="1" applyAlignment="1">
      <alignment horizontal="left"/>
    </xf>
    <xf numFmtId="0" fontId="3" fillId="18" borderId="23" xfId="0" applyFont="1" applyFill="1" applyBorder="1" applyAlignment="1">
      <alignment horizontal="left" shrinkToFit="1"/>
    </xf>
    <xf numFmtId="38" fontId="13" fillId="18" borderId="23" xfId="0" applyNumberFormat="1" applyFont="1" applyFill="1" applyBorder="1" applyAlignment="1">
      <alignment horizontal="right"/>
    </xf>
    <xf numFmtId="0" fontId="3" fillId="18" borderId="165" xfId="0" applyFont="1" applyFill="1" applyBorder="1" applyAlignment="1">
      <alignment vertical="center"/>
    </xf>
    <xf numFmtId="0" fontId="3" fillId="18" borderId="182" xfId="0" applyFont="1" applyFill="1" applyBorder="1" applyAlignment="1">
      <alignment horizontal="right"/>
    </xf>
    <xf numFmtId="0" fontId="3" fillId="18" borderId="14" xfId="0" applyFont="1" applyFill="1" applyBorder="1" applyAlignment="1">
      <alignment horizontal="right"/>
    </xf>
    <xf numFmtId="0" fontId="3" fillId="18" borderId="15" xfId="0" applyFont="1" applyFill="1" applyBorder="1" applyAlignment="1">
      <alignment horizontal="left"/>
    </xf>
    <xf numFmtId="0" fontId="3" fillId="18" borderId="150" xfId="0" applyFont="1" applyFill="1" applyBorder="1" applyAlignment="1">
      <alignment horizontal="right"/>
    </xf>
    <xf numFmtId="38" fontId="13" fillId="18" borderId="150" xfId="0" applyNumberFormat="1" applyFont="1" applyFill="1" applyBorder="1" applyAlignment="1">
      <alignment horizontal="right"/>
    </xf>
    <xf numFmtId="0" fontId="3" fillId="18" borderId="164" xfId="0" applyFont="1" applyFill="1" applyBorder="1" applyAlignment="1"/>
    <xf numFmtId="0" fontId="3" fillId="18" borderId="84" xfId="0" applyFont="1" applyFill="1" applyBorder="1" applyAlignment="1">
      <alignment horizontal="left"/>
    </xf>
    <xf numFmtId="0" fontId="3" fillId="18" borderId="23" xfId="0" applyFont="1" applyFill="1" applyBorder="1" applyAlignment="1">
      <alignment horizontal="left"/>
    </xf>
    <xf numFmtId="38" fontId="13" fillId="0" borderId="23" xfId="0" applyNumberFormat="1" applyFont="1" applyFill="1" applyBorder="1" applyAlignment="1">
      <alignment horizontal="right"/>
    </xf>
    <xf numFmtId="0" fontId="3" fillId="0" borderId="182" xfId="0" applyFont="1" applyFill="1" applyBorder="1" applyAlignment="1">
      <alignment horizontal="left"/>
    </xf>
    <xf numFmtId="0" fontId="3" fillId="0" borderId="23" xfId="0" applyFont="1" applyFill="1" applyBorder="1" applyAlignment="1">
      <alignment horizontal="left"/>
    </xf>
    <xf numFmtId="0" fontId="3" fillId="0" borderId="0" xfId="0" applyFont="1" applyFill="1" applyBorder="1" applyAlignment="1"/>
    <xf numFmtId="0" fontId="3" fillId="18" borderId="205" xfId="0" applyFont="1" applyFill="1" applyBorder="1" applyAlignment="1">
      <alignment horizontal="right"/>
    </xf>
    <xf numFmtId="0" fontId="3" fillId="18" borderId="206" xfId="0" applyFont="1" applyFill="1" applyBorder="1" applyAlignment="1">
      <alignment horizontal="left"/>
    </xf>
    <xf numFmtId="38" fontId="13" fillId="18" borderId="207" xfId="0" applyNumberFormat="1" applyFont="1" applyFill="1" applyBorder="1" applyAlignment="1">
      <alignment horizontal="right"/>
    </xf>
    <xf numFmtId="0" fontId="3" fillId="18" borderId="201" xfId="0" applyFont="1" applyFill="1" applyBorder="1" applyAlignment="1">
      <alignment horizontal="right"/>
    </xf>
    <xf numFmtId="0" fontId="3" fillId="18" borderId="202" xfId="0" applyFont="1" applyFill="1" applyBorder="1" applyAlignment="1">
      <alignment horizontal="left"/>
    </xf>
    <xf numFmtId="38" fontId="3" fillId="18" borderId="203" xfId="0" applyNumberFormat="1" applyFont="1" applyFill="1" applyBorder="1" applyAlignment="1">
      <alignment horizontal="right" shrinkToFit="1"/>
    </xf>
    <xf numFmtId="0" fontId="3" fillId="18" borderId="167" xfId="0" applyFont="1" applyFill="1" applyBorder="1" applyAlignment="1">
      <alignment horizontal="left"/>
    </xf>
    <xf numFmtId="0" fontId="3" fillId="18" borderId="165" xfId="0" applyFont="1" applyFill="1" applyBorder="1" applyAlignment="1">
      <alignment horizontal="left" shrinkToFit="1"/>
    </xf>
    <xf numFmtId="0" fontId="3" fillId="18" borderId="201" xfId="0" applyFont="1" applyFill="1" applyBorder="1" applyAlignment="1"/>
    <xf numFmtId="0" fontId="3" fillId="18" borderId="202" xfId="0" applyFont="1" applyFill="1" applyBorder="1" applyAlignment="1"/>
    <xf numFmtId="0" fontId="36" fillId="18" borderId="210" xfId="0" applyFont="1" applyFill="1" applyBorder="1" applyAlignment="1">
      <alignment horizontal="right"/>
    </xf>
    <xf numFmtId="38" fontId="3" fillId="18" borderId="203" xfId="0" applyNumberFormat="1" applyFont="1" applyFill="1" applyBorder="1" applyAlignment="1"/>
    <xf numFmtId="0" fontId="3" fillId="18" borderId="0" xfId="0" applyFont="1" applyFill="1" applyBorder="1" applyAlignment="1">
      <alignment shrinkToFit="1"/>
    </xf>
    <xf numFmtId="0" fontId="3" fillId="17" borderId="0" xfId="0" applyFont="1" applyFill="1" applyBorder="1" applyAlignment="1"/>
    <xf numFmtId="0" fontId="3" fillId="17" borderId="0" xfId="0" applyFont="1" applyFill="1" applyBorder="1" applyAlignment="1">
      <alignment shrinkToFit="1"/>
    </xf>
    <xf numFmtId="38" fontId="3" fillId="18" borderId="97" xfId="0" applyNumberFormat="1" applyFont="1" applyFill="1" applyBorder="1" applyAlignment="1">
      <alignment horizontal="right"/>
    </xf>
    <xf numFmtId="0" fontId="3" fillId="18" borderId="150" xfId="0" applyFont="1" applyFill="1" applyBorder="1" applyAlignment="1">
      <alignment horizontal="center"/>
    </xf>
    <xf numFmtId="38" fontId="3" fillId="18" borderId="150" xfId="0" applyNumberFormat="1" applyFont="1" applyFill="1" applyBorder="1" applyAlignment="1">
      <alignment horizontal="right"/>
    </xf>
    <xf numFmtId="38" fontId="3" fillId="18" borderId="91" xfId="0" applyNumberFormat="1" applyFont="1" applyFill="1" applyBorder="1" applyAlignment="1">
      <alignment horizontal="right" shrinkToFit="1"/>
    </xf>
    <xf numFmtId="0" fontId="36" fillId="18" borderId="203" xfId="0" applyFont="1" applyFill="1" applyBorder="1" applyAlignment="1">
      <alignment horizontal="right"/>
    </xf>
    <xf numFmtId="0" fontId="36" fillId="18" borderId="195" xfId="0" applyFont="1" applyFill="1" applyBorder="1" applyAlignment="1">
      <alignment horizontal="left" vertical="center"/>
    </xf>
    <xf numFmtId="0" fontId="3" fillId="0" borderId="199" xfId="0" applyFont="1" applyFill="1" applyBorder="1" applyAlignment="1">
      <alignment horizontal="right"/>
    </xf>
    <xf numFmtId="0" fontId="3" fillId="18" borderId="91" xfId="0" applyFont="1" applyFill="1" applyBorder="1" applyAlignment="1">
      <alignment horizontal="right"/>
    </xf>
    <xf numFmtId="0" fontId="4" fillId="18" borderId="165" xfId="0" applyFont="1" applyFill="1" applyBorder="1" applyAlignment="1">
      <alignment horizontal="left" shrinkToFit="1"/>
    </xf>
    <xf numFmtId="0" fontId="4" fillId="18" borderId="182" xfId="0" applyFont="1" applyFill="1" applyBorder="1" applyAlignment="1">
      <alignment horizontal="right"/>
    </xf>
    <xf numFmtId="0" fontId="3" fillId="17" borderId="205" xfId="0" applyFont="1" applyFill="1" applyBorder="1" applyAlignment="1">
      <alignment horizontal="right"/>
    </xf>
    <xf numFmtId="0" fontId="3" fillId="17" borderId="206" xfId="0" applyFont="1" applyFill="1" applyBorder="1" applyAlignment="1">
      <alignment horizontal="left"/>
    </xf>
    <xf numFmtId="0" fontId="3" fillId="17" borderId="209" xfId="0" applyFont="1" applyFill="1" applyBorder="1" applyAlignment="1">
      <alignment horizontal="right"/>
    </xf>
    <xf numFmtId="38" fontId="13" fillId="17" borderId="207" xfId="0" applyNumberFormat="1" applyFont="1" applyFill="1" applyBorder="1" applyAlignment="1">
      <alignment horizontal="right"/>
    </xf>
    <xf numFmtId="0" fontId="3" fillId="0" borderId="23" xfId="0" applyFont="1" applyFill="1" applyBorder="1" applyAlignment="1">
      <alignment horizontal="left" shrinkToFit="1"/>
    </xf>
    <xf numFmtId="0" fontId="3" fillId="18" borderId="198" xfId="0" applyFont="1" applyFill="1" applyBorder="1" applyAlignment="1"/>
    <xf numFmtId="0" fontId="3" fillId="18" borderId="89" xfId="0" applyFont="1" applyFill="1" applyBorder="1" applyAlignment="1"/>
    <xf numFmtId="0" fontId="36" fillId="18" borderId="89" xfId="0" applyFont="1" applyFill="1" applyBorder="1" applyAlignment="1">
      <alignment horizontal="right"/>
    </xf>
    <xf numFmtId="38" fontId="33" fillId="18" borderId="89" xfId="0" applyNumberFormat="1" applyFont="1" applyFill="1" applyBorder="1" applyAlignment="1"/>
    <xf numFmtId="0" fontId="3" fillId="18" borderId="200" xfId="0" applyFont="1" applyFill="1" applyBorder="1" applyAlignment="1">
      <alignment horizontal="center"/>
    </xf>
    <xf numFmtId="0" fontId="3" fillId="18" borderId="182" xfId="0" applyFont="1" applyFill="1" applyBorder="1" applyAlignment="1">
      <alignment horizontal="center"/>
    </xf>
    <xf numFmtId="0" fontId="3" fillId="0" borderId="182" xfId="0" applyFont="1" applyFill="1" applyBorder="1" applyAlignment="1">
      <alignment horizontal="center"/>
    </xf>
    <xf numFmtId="0" fontId="3" fillId="18" borderId="182" xfId="0" applyFont="1" applyFill="1" applyBorder="1" applyAlignment="1">
      <alignment horizontal="center" shrinkToFit="1"/>
    </xf>
    <xf numFmtId="0" fontId="3" fillId="14" borderId="206" xfId="0" applyFont="1" applyFill="1" applyBorder="1" applyAlignment="1">
      <alignment horizontal="left"/>
    </xf>
    <xf numFmtId="0" fontId="3" fillId="14" borderId="209" xfId="0" applyFont="1" applyFill="1" applyBorder="1" applyAlignment="1">
      <alignment horizontal="right"/>
    </xf>
    <xf numFmtId="38" fontId="13" fillId="14" borderId="207" xfId="0" applyNumberFormat="1" applyFont="1" applyFill="1" applyBorder="1" applyAlignment="1">
      <alignment horizontal="right"/>
    </xf>
    <xf numFmtId="0" fontId="3" fillId="14" borderId="14" xfId="0" applyFont="1" applyFill="1" applyBorder="1" applyAlignment="1">
      <alignment horizontal="right"/>
    </xf>
    <xf numFmtId="0" fontId="3" fillId="14" borderId="15" xfId="0" applyFont="1" applyFill="1" applyBorder="1" applyAlignment="1">
      <alignment horizontal="left"/>
    </xf>
    <xf numFmtId="0" fontId="3" fillId="14" borderId="208" xfId="0" applyFont="1" applyFill="1" applyBorder="1" applyAlignment="1">
      <alignment horizontal="right"/>
    </xf>
    <xf numFmtId="38" fontId="13" fillId="14" borderId="150" xfId="0" applyNumberFormat="1" applyFont="1" applyFill="1" applyBorder="1" applyAlignment="1">
      <alignment horizontal="right"/>
    </xf>
    <xf numFmtId="0" fontId="3" fillId="14" borderId="205" xfId="0" applyFont="1" applyFill="1" applyBorder="1" applyAlignment="1">
      <alignment horizontal="right"/>
    </xf>
    <xf numFmtId="0" fontId="11" fillId="18" borderId="15" xfId="0" applyFont="1" applyFill="1" applyBorder="1" applyAlignment="1">
      <alignment horizontal="center"/>
    </xf>
    <xf numFmtId="0" fontId="11" fillId="18" borderId="150" xfId="0" applyFont="1" applyFill="1" applyBorder="1" applyAlignment="1">
      <alignment horizontal="center"/>
    </xf>
    <xf numFmtId="0" fontId="13" fillId="18" borderId="150" xfId="0" applyFont="1" applyFill="1" applyBorder="1" applyAlignment="1">
      <alignment horizontal="center"/>
    </xf>
    <xf numFmtId="0" fontId="11" fillId="18" borderId="195" xfId="0" applyFont="1" applyFill="1" applyBorder="1" applyAlignment="1">
      <alignment horizontal="left"/>
    </xf>
    <xf numFmtId="0" fontId="13" fillId="18" borderId="196" xfId="0" applyFont="1" applyFill="1" applyBorder="1" applyAlignment="1">
      <alignment horizontal="right"/>
    </xf>
    <xf numFmtId="0" fontId="3" fillId="14" borderId="0" xfId="0" applyFont="1" applyFill="1" applyBorder="1" applyAlignment="1"/>
    <xf numFmtId="0" fontId="3" fillId="18" borderId="180" xfId="0" applyFont="1" applyFill="1" applyBorder="1" applyAlignment="1">
      <alignment horizontal="left"/>
    </xf>
    <xf numFmtId="0" fontId="3" fillId="18" borderId="180" xfId="0" applyFont="1" applyFill="1" applyBorder="1" applyAlignment="1">
      <alignment horizontal="center"/>
    </xf>
    <xf numFmtId="0" fontId="3" fillId="18" borderId="97" xfId="0" applyFont="1" applyFill="1" applyBorder="1" applyAlignment="1">
      <alignment horizontal="left" shrinkToFit="1"/>
    </xf>
    <xf numFmtId="0" fontId="36" fillId="18" borderId="150" xfId="0" applyFont="1" applyFill="1" applyBorder="1" applyAlignment="1">
      <alignment horizontal="right"/>
    </xf>
    <xf numFmtId="38" fontId="13" fillId="0" borderId="97" xfId="0" applyNumberFormat="1" applyFont="1" applyFill="1" applyBorder="1" applyAlignment="1">
      <alignment horizontal="right"/>
    </xf>
    <xf numFmtId="0" fontId="36" fillId="18" borderId="207" xfId="0" applyFont="1" applyFill="1" applyBorder="1" applyAlignment="1">
      <alignment horizontal="right"/>
    </xf>
    <xf numFmtId="0" fontId="3" fillId="18" borderId="178" xfId="0" applyFont="1" applyFill="1" applyBorder="1" applyAlignment="1">
      <alignment horizontal="left"/>
    </xf>
    <xf numFmtId="0" fontId="3" fillId="18" borderId="178" xfId="0" applyFont="1" applyFill="1" applyBorder="1" applyAlignment="1">
      <alignment horizontal="center"/>
    </xf>
    <xf numFmtId="0" fontId="3" fillId="18" borderId="129" xfId="0" applyFont="1" applyFill="1" applyBorder="1" applyAlignment="1">
      <alignment horizontal="left" shrinkToFit="1"/>
    </xf>
    <xf numFmtId="38" fontId="13" fillId="18" borderId="129" xfId="0" applyNumberFormat="1" applyFont="1" applyFill="1" applyBorder="1" applyAlignment="1">
      <alignment horizontal="right"/>
    </xf>
    <xf numFmtId="0" fontId="3" fillId="18" borderId="89" xfId="0" applyFont="1" applyFill="1" applyBorder="1" applyAlignment="1">
      <alignment horizontal="right"/>
    </xf>
    <xf numFmtId="0" fontId="3" fillId="18" borderId="183" xfId="0" applyFont="1" applyFill="1" applyBorder="1" applyAlignment="1">
      <alignment horizontal="left"/>
    </xf>
    <xf numFmtId="0" fontId="3" fillId="18" borderId="183" xfId="0" applyFont="1" applyFill="1" applyBorder="1" applyAlignment="1">
      <alignment horizontal="center"/>
    </xf>
    <xf numFmtId="0" fontId="3" fillId="18" borderId="91" xfId="0" applyFont="1" applyFill="1" applyBorder="1" applyAlignment="1">
      <alignment horizontal="left" shrinkToFit="1"/>
    </xf>
    <xf numFmtId="49" fontId="3" fillId="18" borderId="165" xfId="0" applyNumberFormat="1" applyFont="1" applyFill="1" applyBorder="1" applyAlignment="1">
      <alignment horizontal="right"/>
    </xf>
    <xf numFmtId="49" fontId="3" fillId="18" borderId="164" xfId="0" applyNumberFormat="1" applyFont="1" applyFill="1" applyBorder="1" applyAlignment="1">
      <alignment horizontal="right"/>
    </xf>
    <xf numFmtId="0" fontId="3" fillId="18" borderId="197" xfId="0" applyFont="1" applyFill="1" applyBorder="1" applyAlignment="1">
      <alignment horizontal="center"/>
    </xf>
    <xf numFmtId="0" fontId="3" fillId="18" borderId="0" xfId="0" applyFont="1" applyFill="1" applyBorder="1" applyAlignment="1">
      <alignment horizontal="left" vertical="center" textRotation="255"/>
    </xf>
    <xf numFmtId="0" fontId="3" fillId="18" borderId="0" xfId="0" applyFont="1" applyFill="1" applyBorder="1" applyAlignment="1">
      <alignment horizontal="right" vertical="center" textRotation="255"/>
    </xf>
    <xf numFmtId="0" fontId="3" fillId="18" borderId="97" xfId="0" applyFont="1" applyFill="1" applyBorder="1" applyAlignment="1">
      <alignment horizontal="right"/>
    </xf>
    <xf numFmtId="0" fontId="3" fillId="18" borderId="87" xfId="0" applyFont="1" applyFill="1" applyBorder="1" applyAlignment="1">
      <alignment horizontal="right"/>
    </xf>
    <xf numFmtId="0" fontId="3" fillId="18" borderId="23" xfId="0" applyFont="1" applyFill="1" applyBorder="1" applyAlignment="1">
      <alignment horizontal="right"/>
    </xf>
    <xf numFmtId="0" fontId="3" fillId="18" borderId="0" xfId="0" applyFont="1" applyFill="1" applyBorder="1" applyAlignment="1">
      <alignment horizontal="left" vertical="center"/>
    </xf>
    <xf numFmtId="0" fontId="3" fillId="18" borderId="208" xfId="0" applyFont="1" applyFill="1" applyBorder="1" applyAlignment="1"/>
    <xf numFmtId="0" fontId="3" fillId="18" borderId="89" xfId="0" applyFont="1" applyFill="1" applyBorder="1" applyAlignment="1">
      <alignment horizontal="left"/>
    </xf>
    <xf numFmtId="0" fontId="11" fillId="18" borderId="196" xfId="0" applyFont="1" applyFill="1" applyBorder="1" applyAlignment="1">
      <alignment horizontal="left"/>
    </xf>
    <xf numFmtId="0" fontId="3" fillId="18" borderId="0" xfId="0" applyFont="1" applyFill="1" applyBorder="1" applyAlignment="1">
      <alignment horizontal="center" vertical="center"/>
    </xf>
    <xf numFmtId="0" fontId="3" fillId="18" borderId="0" xfId="0" applyFont="1" applyFill="1" applyBorder="1" applyAlignment="1">
      <alignment horizontal="distributed" vertical="center"/>
    </xf>
    <xf numFmtId="0" fontId="36" fillId="18" borderId="0" xfId="0" applyFont="1" applyFill="1" applyBorder="1" applyAlignment="1">
      <alignment horizontal="right"/>
    </xf>
    <xf numFmtId="38" fontId="3" fillId="18" borderId="0" xfId="0" applyNumberFormat="1" applyFont="1" applyFill="1" applyBorder="1" applyAlignment="1">
      <alignment horizontal="right" shrinkToFit="1"/>
    </xf>
    <xf numFmtId="38" fontId="13" fillId="18" borderId="89" xfId="0" applyNumberFormat="1" applyFont="1" applyFill="1" applyBorder="1" applyAlignment="1">
      <alignment horizontal="right"/>
    </xf>
    <xf numFmtId="38" fontId="13" fillId="18" borderId="0" xfId="0" applyNumberFormat="1" applyFont="1" applyFill="1" applyBorder="1" applyAlignment="1">
      <alignment horizontal="right"/>
    </xf>
    <xf numFmtId="0" fontId="3" fillId="18" borderId="150" xfId="0" applyFont="1" applyFill="1" applyBorder="1" applyAlignment="1">
      <alignment horizontal="left"/>
    </xf>
    <xf numFmtId="0" fontId="13" fillId="18" borderId="0" xfId="0" applyFont="1" applyFill="1" applyBorder="1" applyAlignment="1">
      <alignment horizontal="left"/>
    </xf>
    <xf numFmtId="0" fontId="3" fillId="14" borderId="12" xfId="0" applyFont="1" applyFill="1" applyBorder="1" applyAlignment="1">
      <alignment vertical="center"/>
    </xf>
    <xf numFmtId="0" fontId="3" fillId="14" borderId="13" xfId="0" applyFont="1" applyFill="1" applyBorder="1" applyAlignment="1">
      <alignment horizontal="center" vertical="top" wrapText="1"/>
    </xf>
    <xf numFmtId="0" fontId="3" fillId="0" borderId="11" xfId="0" applyFont="1" applyBorder="1" applyAlignment="1" applyProtection="1">
      <alignment vertical="center" shrinkToFit="1"/>
      <protection locked="0"/>
    </xf>
    <xf numFmtId="0" fontId="3" fillId="14" borderId="11" xfId="0" applyFont="1" applyFill="1" applyBorder="1" applyAlignment="1">
      <alignment vertical="center" shrinkToFit="1"/>
    </xf>
    <xf numFmtId="0" fontId="10" fillId="0" borderId="0" xfId="0" applyFont="1" applyFill="1" applyAlignment="1">
      <alignment shrinkToFit="1"/>
    </xf>
    <xf numFmtId="0" fontId="39" fillId="0" borderId="38" xfId="0" applyFont="1" applyBorder="1" applyAlignment="1" applyProtection="1">
      <alignment vertical="center"/>
      <protection locked="0"/>
    </xf>
    <xf numFmtId="0" fontId="13" fillId="19" borderId="0" xfId="0" applyFont="1" applyFill="1" applyBorder="1" applyAlignment="1">
      <alignment horizontal="center" shrinkToFit="1"/>
    </xf>
    <xf numFmtId="38" fontId="3" fillId="19" borderId="151" xfId="0" applyNumberFormat="1" applyFont="1" applyFill="1" applyBorder="1" applyAlignment="1">
      <alignment horizontal="right" shrinkToFit="1"/>
    </xf>
    <xf numFmtId="38" fontId="3" fillId="0" borderId="151" xfId="0" applyNumberFormat="1" applyFont="1" applyFill="1" applyBorder="1" applyAlignment="1">
      <alignment horizontal="right" shrinkToFit="1"/>
    </xf>
    <xf numFmtId="38" fontId="3" fillId="19" borderId="31" xfId="0" applyNumberFormat="1" applyFont="1" applyFill="1" applyBorder="1" applyAlignment="1">
      <alignment horizontal="right" shrinkToFit="1"/>
    </xf>
    <xf numFmtId="38" fontId="3" fillId="19" borderId="100" xfId="0" applyNumberFormat="1" applyFont="1" applyFill="1" applyBorder="1" applyAlignment="1">
      <alignment horizontal="right" shrinkToFit="1"/>
    </xf>
    <xf numFmtId="38" fontId="3" fillId="18" borderId="102" xfId="0" applyNumberFormat="1" applyFont="1" applyFill="1" applyBorder="1" applyAlignment="1">
      <alignment horizontal="right" shrinkToFit="1"/>
    </xf>
    <xf numFmtId="0" fontId="33" fillId="18" borderId="132" xfId="0" applyFont="1" applyFill="1" applyBorder="1" applyAlignment="1">
      <alignment horizontal="center"/>
    </xf>
    <xf numFmtId="38" fontId="3" fillId="0" borderId="211" xfId="0" applyNumberFormat="1" applyFont="1" applyFill="1" applyBorder="1" applyAlignment="1">
      <alignment horizontal="center" shrinkToFit="1"/>
    </xf>
    <xf numFmtId="38" fontId="3" fillId="0" borderId="185" xfId="0" applyNumberFormat="1" applyFont="1" applyFill="1" applyBorder="1" applyAlignment="1">
      <alignment horizontal="right" shrinkToFit="1"/>
    </xf>
    <xf numFmtId="38" fontId="3" fillId="0" borderId="31" xfId="0" applyNumberFormat="1" applyFont="1" applyFill="1" applyBorder="1" applyAlignment="1">
      <alignment horizontal="right" shrinkToFit="1"/>
    </xf>
    <xf numFmtId="38" fontId="3" fillId="18" borderId="151" xfId="0" applyNumberFormat="1" applyFont="1" applyFill="1" applyBorder="1" applyAlignment="1">
      <alignment horizontal="right" shrinkToFit="1"/>
    </xf>
    <xf numFmtId="38" fontId="3" fillId="0" borderId="102" xfId="0" applyNumberFormat="1" applyFont="1" applyFill="1" applyBorder="1" applyAlignment="1">
      <alignment horizontal="center" shrinkToFit="1"/>
    </xf>
    <xf numFmtId="38" fontId="3" fillId="0" borderId="101" xfId="0" applyNumberFormat="1" applyFont="1" applyFill="1" applyBorder="1" applyAlignment="1">
      <alignment horizontal="right" shrinkToFit="1"/>
    </xf>
    <xf numFmtId="38" fontId="3" fillId="18" borderId="212" xfId="0" applyNumberFormat="1" applyFont="1" applyFill="1" applyBorder="1" applyAlignment="1">
      <alignment horizontal="right" shrinkToFit="1"/>
    </xf>
    <xf numFmtId="38" fontId="3" fillId="18" borderId="213" xfId="0" applyNumberFormat="1" applyFont="1" applyFill="1" applyBorder="1" applyAlignment="1">
      <alignment horizontal="right" shrinkToFit="1"/>
    </xf>
    <xf numFmtId="38" fontId="3" fillId="18" borderId="214" xfId="0" applyNumberFormat="1" applyFont="1" applyFill="1" applyBorder="1" applyAlignment="1">
      <alignment horizontal="right" shrinkToFit="1"/>
    </xf>
    <xf numFmtId="38" fontId="3" fillId="18" borderId="215" xfId="0" applyNumberFormat="1" applyFont="1" applyFill="1" applyBorder="1" applyAlignment="1">
      <alignment horizontal="right" shrinkToFit="1"/>
    </xf>
    <xf numFmtId="0" fontId="11" fillId="18" borderId="212" xfId="0" applyFont="1" applyFill="1" applyBorder="1" applyAlignment="1">
      <alignment horizontal="center"/>
    </xf>
    <xf numFmtId="0" fontId="13" fillId="18" borderId="212" xfId="0" applyFont="1" applyFill="1" applyBorder="1" applyAlignment="1">
      <alignment horizontal="center" shrinkToFit="1"/>
    </xf>
    <xf numFmtId="38" fontId="3" fillId="18" borderId="31" xfId="0" applyNumberFormat="1" applyFont="1" applyFill="1" applyBorder="1" applyAlignment="1">
      <alignment horizontal="right" shrinkToFit="1"/>
    </xf>
    <xf numFmtId="38" fontId="13" fillId="18" borderId="31" xfId="0" applyNumberFormat="1" applyFont="1" applyFill="1" applyBorder="1" applyAlignment="1">
      <alignment horizontal="right" shrinkToFit="1"/>
    </xf>
    <xf numFmtId="38" fontId="3" fillId="14" borderId="151" xfId="0" applyNumberFormat="1" applyFont="1" applyFill="1" applyBorder="1" applyAlignment="1">
      <alignment horizontal="right" shrinkToFit="1"/>
    </xf>
    <xf numFmtId="38" fontId="13" fillId="14" borderId="151" xfId="0" applyNumberFormat="1" applyFont="1" applyFill="1" applyBorder="1" applyAlignment="1">
      <alignment horizontal="right"/>
    </xf>
    <xf numFmtId="38" fontId="3" fillId="14" borderId="214" xfId="0" applyNumberFormat="1" applyFont="1" applyFill="1" applyBorder="1" applyAlignment="1">
      <alignment horizontal="right" shrinkToFit="1"/>
    </xf>
    <xf numFmtId="38" fontId="13" fillId="17" borderId="214" xfId="0" applyNumberFormat="1" applyFont="1" applyFill="1" applyBorder="1" applyAlignment="1">
      <alignment horizontal="right"/>
    </xf>
    <xf numFmtId="38" fontId="3" fillId="18" borderId="215" xfId="0" applyNumberFormat="1" applyFont="1" applyFill="1" applyBorder="1" applyAlignment="1"/>
    <xf numFmtId="0" fontId="33" fillId="0" borderId="0" xfId="0" applyFont="1" applyFill="1" applyBorder="1" applyAlignment="1"/>
    <xf numFmtId="0" fontId="38" fillId="0" borderId="0" xfId="0" applyFont="1" applyFill="1" applyBorder="1" applyAlignment="1"/>
    <xf numFmtId="0" fontId="41" fillId="0" borderId="0" xfId="0" applyFont="1" applyFill="1"/>
    <xf numFmtId="0" fontId="13" fillId="0" borderId="76" xfId="0" applyFont="1" applyBorder="1" applyAlignment="1" applyProtection="1">
      <alignment horizontal="center" vertical="center"/>
      <protection locked="0"/>
    </xf>
    <xf numFmtId="9" fontId="13" fillId="0" borderId="38" xfId="0" quotePrefix="1" applyNumberFormat="1" applyFont="1" applyBorder="1" applyAlignment="1" applyProtection="1">
      <alignment horizontal="center" vertical="center"/>
      <protection locked="0"/>
    </xf>
    <xf numFmtId="0" fontId="13" fillId="0" borderId="78" xfId="0" applyFont="1" applyBorder="1" applyAlignment="1" applyProtection="1">
      <alignment horizontal="center" vertical="center"/>
      <protection locked="0"/>
    </xf>
    <xf numFmtId="0" fontId="13" fillId="0" borderId="0" xfId="0" applyFont="1" applyBorder="1" applyAlignment="1" applyProtection="1">
      <alignment vertical="center"/>
    </xf>
    <xf numFmtId="0" fontId="3" fillId="0" borderId="0" xfId="0" applyFont="1" applyFill="1" applyBorder="1" applyAlignment="1" applyProtection="1">
      <alignment horizontal="right" vertical="center"/>
    </xf>
    <xf numFmtId="0" fontId="3" fillId="0" borderId="0" xfId="0" applyNumberFormat="1" applyFont="1" applyAlignment="1" applyProtection="1">
      <alignment vertical="center"/>
    </xf>
    <xf numFmtId="38" fontId="3" fillId="21" borderId="31" xfId="0" applyNumberFormat="1" applyFont="1" applyFill="1" applyBorder="1" applyAlignment="1">
      <alignment horizontal="right" shrinkToFit="1"/>
    </xf>
    <xf numFmtId="0" fontId="13" fillId="20" borderId="151" xfId="0" applyFont="1" applyFill="1" applyBorder="1" applyAlignment="1">
      <alignment horizontal="center" shrinkToFit="1"/>
    </xf>
    <xf numFmtId="38" fontId="3" fillId="20" borderId="102" xfId="0" applyNumberFormat="1" applyFont="1" applyFill="1" applyBorder="1" applyAlignment="1">
      <alignment horizontal="center" shrinkToFit="1"/>
    </xf>
    <xf numFmtId="177" fontId="5" fillId="5" borderId="0" xfId="0" applyNumberFormat="1" applyFont="1" applyFill="1" applyBorder="1" applyAlignment="1" applyProtection="1">
      <alignment vertical="center" shrinkToFit="1"/>
    </xf>
    <xf numFmtId="0" fontId="3" fillId="0" borderId="0" xfId="0" applyFont="1" applyAlignment="1" applyProtection="1">
      <alignment vertical="center" shrinkToFit="1"/>
      <protection locked="0"/>
    </xf>
    <xf numFmtId="38" fontId="3" fillId="20" borderId="102" xfId="0" applyNumberFormat="1" applyFont="1" applyFill="1" applyBorder="1" applyAlignment="1">
      <alignment horizontal="right" shrinkToFit="1"/>
    </xf>
    <xf numFmtId="0" fontId="3" fillId="0" borderId="0" xfId="0" applyFont="1" applyFill="1" applyBorder="1" applyAlignment="1">
      <alignment vertical="center"/>
    </xf>
    <xf numFmtId="0" fontId="3" fillId="0" borderId="197" xfId="0" applyFont="1" applyFill="1" applyBorder="1" applyAlignment="1">
      <alignment vertical="center"/>
    </xf>
    <xf numFmtId="0" fontId="3" fillId="0" borderId="197" xfId="0" applyFont="1" applyFill="1" applyBorder="1" applyAlignment="1">
      <alignment horizontal="center" vertical="top" wrapText="1"/>
    </xf>
    <xf numFmtId="0" fontId="3" fillId="0" borderId="197" xfId="0" applyFont="1" applyFill="1" applyBorder="1" applyAlignment="1">
      <alignment vertical="center" shrinkToFit="1"/>
    </xf>
    <xf numFmtId="0" fontId="0" fillId="0" borderId="0" xfId="0" applyFill="1" applyBorder="1"/>
    <xf numFmtId="0" fontId="3" fillId="18" borderId="165" xfId="0" quotePrefix="1" applyFont="1" applyFill="1" applyBorder="1" applyAlignment="1">
      <alignment vertical="center"/>
    </xf>
    <xf numFmtId="0" fontId="3" fillId="21" borderId="165" xfId="0" quotePrefix="1" applyFont="1" applyFill="1" applyBorder="1" applyAlignment="1">
      <alignment vertical="center"/>
    </xf>
    <xf numFmtId="0" fontId="3" fillId="21" borderId="182" xfId="0" applyFont="1" applyFill="1" applyBorder="1" applyAlignment="1">
      <alignment horizontal="left"/>
    </xf>
    <xf numFmtId="0" fontId="3" fillId="21" borderId="182" xfId="0" applyFont="1" applyFill="1" applyBorder="1" applyAlignment="1">
      <alignment horizontal="center"/>
    </xf>
    <xf numFmtId="0" fontId="3" fillId="21" borderId="23" xfId="0" applyFont="1" applyFill="1" applyBorder="1" applyAlignment="1">
      <alignment horizontal="left"/>
    </xf>
    <xf numFmtId="0" fontId="3" fillId="21" borderId="165" xfId="0" applyFont="1" applyFill="1" applyBorder="1" applyAlignment="1"/>
    <xf numFmtId="38" fontId="13" fillId="21" borderId="87" xfId="0" applyNumberFormat="1" applyFont="1" applyFill="1" applyBorder="1" applyAlignment="1">
      <alignment horizontal="right"/>
    </xf>
    <xf numFmtId="49" fontId="3" fillId="18" borderId="216" xfId="0" applyNumberFormat="1" applyFont="1" applyFill="1" applyBorder="1" applyAlignment="1">
      <alignment horizontal="right"/>
    </xf>
    <xf numFmtId="38" fontId="3" fillId="21" borderId="131" xfId="0" applyNumberFormat="1" applyFont="1" applyFill="1" applyBorder="1" applyAlignment="1">
      <alignment horizontal="right" shrinkToFit="1"/>
    </xf>
    <xf numFmtId="0" fontId="3" fillId="18" borderId="196" xfId="0" applyFont="1" applyFill="1" applyBorder="1" applyAlignment="1">
      <alignment horizontal="right"/>
    </xf>
    <xf numFmtId="0" fontId="3" fillId="18" borderId="217" xfId="0" applyFont="1" applyFill="1" applyBorder="1" applyAlignment="1">
      <alignment horizontal="left"/>
    </xf>
    <xf numFmtId="0" fontId="3" fillId="18" borderId="217" xfId="0" applyFont="1" applyFill="1" applyBorder="1" applyAlignment="1">
      <alignment horizontal="center"/>
    </xf>
    <xf numFmtId="0" fontId="3" fillId="18" borderId="199" xfId="0" applyFont="1" applyFill="1" applyBorder="1" applyAlignment="1">
      <alignment horizontal="left" shrinkToFit="1"/>
    </xf>
    <xf numFmtId="38" fontId="13" fillId="18" borderId="199" xfId="0" applyNumberFormat="1" applyFont="1" applyFill="1" applyBorder="1" applyAlignment="1">
      <alignment horizontal="right"/>
    </xf>
    <xf numFmtId="38" fontId="3" fillId="18" borderId="211" xfId="0" applyNumberFormat="1" applyFont="1" applyFill="1" applyBorder="1" applyAlignment="1">
      <alignment horizontal="center" shrinkToFit="1"/>
    </xf>
    <xf numFmtId="49" fontId="3" fillId="21" borderId="164" xfId="0" applyNumberFormat="1" applyFont="1" applyFill="1" applyBorder="1" applyAlignment="1">
      <alignment horizontal="right"/>
    </xf>
    <xf numFmtId="0" fontId="3" fillId="21" borderId="182" xfId="0" applyFont="1" applyFill="1" applyBorder="1" applyAlignment="1">
      <alignment horizontal="center" shrinkToFit="1"/>
    </xf>
    <xf numFmtId="0" fontId="3" fillId="21" borderId="23" xfId="0" applyFont="1" applyFill="1" applyBorder="1" applyAlignment="1">
      <alignment horizontal="left" shrinkToFit="1"/>
    </xf>
    <xf numFmtId="38" fontId="13" fillId="21" borderId="23" xfId="0" applyNumberFormat="1" applyFont="1" applyFill="1" applyBorder="1" applyAlignment="1">
      <alignment horizontal="right"/>
    </xf>
    <xf numFmtId="0" fontId="3" fillId="0" borderId="204" xfId="0" applyFont="1" applyFill="1" applyBorder="1" applyAlignment="1"/>
    <xf numFmtId="0" fontId="36" fillId="0" borderId="204" xfId="0" applyFont="1" applyFill="1" applyBorder="1" applyAlignment="1"/>
    <xf numFmtId="0" fontId="3" fillId="0" borderId="130" xfId="0" applyFont="1" applyFill="1" applyBorder="1" applyAlignment="1">
      <alignment horizontal="right"/>
    </xf>
    <xf numFmtId="38" fontId="3" fillId="0" borderId="97" xfId="0" applyNumberFormat="1" applyFont="1" applyFill="1" applyBorder="1" applyAlignment="1">
      <alignment horizontal="right"/>
    </xf>
    <xf numFmtId="38" fontId="3" fillId="0" borderId="184" xfId="4" applyFont="1" applyFill="1" applyBorder="1" applyAlignment="1">
      <alignment horizontal="right"/>
    </xf>
    <xf numFmtId="0" fontId="3" fillId="0" borderId="87" xfId="0" applyFont="1" applyFill="1" applyBorder="1" applyAlignment="1">
      <alignment horizontal="right"/>
    </xf>
    <xf numFmtId="38" fontId="3" fillId="0" borderId="91" xfId="0" applyNumberFormat="1" applyFont="1" applyFill="1" applyBorder="1" applyAlignment="1">
      <alignment horizontal="right"/>
    </xf>
    <xf numFmtId="38" fontId="3" fillId="0" borderId="100" xfId="4" applyFont="1" applyFill="1" applyBorder="1" applyAlignment="1">
      <alignment horizontal="right"/>
    </xf>
    <xf numFmtId="0" fontId="3" fillId="18" borderId="217" xfId="0" applyFont="1" applyFill="1" applyBorder="1" applyAlignment="1">
      <alignment horizontal="right" vertical="center" textRotation="255"/>
    </xf>
    <xf numFmtId="0" fontId="3" fillId="0" borderId="84" xfId="0" applyFont="1" applyFill="1" applyBorder="1" applyAlignment="1">
      <alignment horizontal="right"/>
    </xf>
    <xf numFmtId="0" fontId="0" fillId="0" borderId="204" xfId="0" applyBorder="1" applyAlignment="1">
      <alignment horizontal="right" vertical="center" textRotation="255"/>
    </xf>
    <xf numFmtId="0" fontId="3" fillId="0" borderId="23" xfId="0" applyFont="1" applyFill="1" applyBorder="1" applyAlignment="1">
      <alignment horizontal="right"/>
    </xf>
    <xf numFmtId="0" fontId="3" fillId="0" borderId="88" xfId="0" applyFont="1" applyFill="1" applyBorder="1" applyAlignment="1">
      <alignment horizontal="right"/>
    </xf>
    <xf numFmtId="0" fontId="3" fillId="18" borderId="204" xfId="0" applyFont="1" applyFill="1" applyBorder="1" applyAlignment="1">
      <alignment horizontal="right" vertical="center" textRotation="255"/>
    </xf>
    <xf numFmtId="38" fontId="3" fillId="0" borderId="84" xfId="0" applyNumberFormat="1" applyFont="1" applyFill="1" applyBorder="1" applyAlignment="1">
      <alignment horizontal="right"/>
    </xf>
    <xf numFmtId="38" fontId="3" fillId="0" borderId="23" xfId="0" applyNumberFormat="1" applyFont="1" applyFill="1" applyBorder="1" applyAlignment="1">
      <alignment horizontal="right"/>
    </xf>
    <xf numFmtId="38" fontId="3" fillId="0" borderId="131" xfId="4" applyFont="1" applyFill="1" applyBorder="1" applyAlignment="1">
      <alignment horizontal="right"/>
    </xf>
    <xf numFmtId="0" fontId="0" fillId="0" borderId="183" xfId="0" applyBorder="1" applyAlignment="1">
      <alignment horizontal="right" vertical="center" textRotation="255"/>
    </xf>
    <xf numFmtId="0" fontId="3" fillId="0" borderId="88" xfId="0" applyFont="1" applyFill="1" applyBorder="1" applyAlignment="1">
      <alignment horizontal="right" shrinkToFit="1"/>
    </xf>
    <xf numFmtId="38" fontId="3" fillId="0" borderId="87" xfId="0" applyNumberFormat="1" applyFont="1" applyFill="1" applyBorder="1" applyAlignment="1">
      <alignment horizontal="right"/>
    </xf>
    <xf numFmtId="0" fontId="3" fillId="0" borderId="195" xfId="0" applyFont="1" applyFill="1" applyBorder="1" applyAlignment="1">
      <alignment horizontal="center"/>
    </xf>
    <xf numFmtId="0" fontId="3" fillId="0" borderId="196" xfId="0" applyFont="1" applyFill="1" applyBorder="1" applyAlignment="1">
      <alignment horizontal="right" vertical="center" textRotation="255"/>
    </xf>
    <xf numFmtId="0" fontId="3" fillId="0" borderId="167" xfId="0" applyFont="1" applyFill="1" applyBorder="1" applyAlignment="1">
      <alignment horizontal="left" shrinkToFit="1"/>
    </xf>
    <xf numFmtId="0" fontId="4" fillId="0" borderId="167" xfId="0" applyFont="1" applyFill="1" applyBorder="1" applyAlignment="1">
      <alignment horizontal="left"/>
    </xf>
    <xf numFmtId="0" fontId="4" fillId="0" borderId="167" xfId="0" applyFont="1" applyFill="1" applyBorder="1" applyAlignment="1">
      <alignment horizontal="left" shrinkToFit="1"/>
    </xf>
    <xf numFmtId="0" fontId="4" fillId="0" borderId="200" xfId="0" applyFont="1" applyFill="1" applyBorder="1" applyAlignment="1">
      <alignment horizontal="right"/>
    </xf>
    <xf numFmtId="38" fontId="13" fillId="0" borderId="84" xfId="0" applyNumberFormat="1" applyFont="1" applyFill="1" applyBorder="1" applyAlignment="1">
      <alignment horizontal="right"/>
    </xf>
    <xf numFmtId="0" fontId="3" fillId="0" borderId="197" xfId="0" applyFont="1" applyFill="1" applyBorder="1" applyAlignment="1">
      <alignment horizontal="center"/>
    </xf>
    <xf numFmtId="0" fontId="3" fillId="0" borderId="0" xfId="0" applyFont="1" applyFill="1" applyBorder="1" applyAlignment="1">
      <alignment horizontal="right" vertical="center" textRotation="255"/>
    </xf>
    <xf numFmtId="0" fontId="3" fillId="0" borderId="165" xfId="0" applyFont="1" applyFill="1" applyBorder="1" applyAlignment="1">
      <alignment horizontal="left" shrinkToFit="1"/>
    </xf>
    <xf numFmtId="0" fontId="4" fillId="0" borderId="165" xfId="0" applyFont="1" applyFill="1" applyBorder="1" applyAlignment="1">
      <alignment horizontal="left"/>
    </xf>
    <xf numFmtId="0" fontId="4" fillId="0" borderId="165" xfId="0" applyFont="1" applyFill="1" applyBorder="1" applyAlignment="1">
      <alignment horizontal="left" shrinkToFit="1"/>
    </xf>
    <xf numFmtId="0" fontId="4" fillId="0" borderId="182" xfId="0" applyFont="1" applyFill="1" applyBorder="1" applyAlignment="1">
      <alignment horizontal="right"/>
    </xf>
    <xf numFmtId="0" fontId="3" fillId="21" borderId="165" xfId="0" applyFont="1" applyFill="1" applyBorder="1" applyAlignment="1">
      <alignment horizontal="left"/>
    </xf>
    <xf numFmtId="0" fontId="3" fillId="21" borderId="165" xfId="0" applyFont="1" applyFill="1" applyBorder="1" applyAlignment="1">
      <alignment horizontal="center"/>
    </xf>
    <xf numFmtId="0" fontId="3" fillId="21" borderId="182" xfId="0" applyFont="1" applyFill="1" applyBorder="1" applyAlignment="1">
      <alignment horizontal="right"/>
    </xf>
    <xf numFmtId="0" fontId="3" fillId="21" borderId="31" xfId="0" applyFont="1" applyFill="1" applyBorder="1" applyAlignment="1">
      <alignment horizontal="right"/>
    </xf>
    <xf numFmtId="38" fontId="13" fillId="18" borderId="101" xfId="0" applyNumberFormat="1" applyFont="1" applyFill="1" applyBorder="1" applyAlignment="1">
      <alignment horizontal="right" shrinkToFit="1"/>
    </xf>
    <xf numFmtId="38" fontId="3" fillId="18" borderId="101" xfId="0" applyNumberFormat="1" applyFont="1" applyFill="1" applyBorder="1" applyAlignment="1">
      <alignment horizontal="right" shrinkToFit="1"/>
    </xf>
    <xf numFmtId="0" fontId="3" fillId="21" borderId="100" xfId="0" applyFont="1" applyFill="1" applyBorder="1" applyAlignment="1">
      <alignment horizontal="right"/>
    </xf>
    <xf numFmtId="0" fontId="3" fillId="18" borderId="164" xfId="0" applyFont="1" applyFill="1" applyBorder="1" applyAlignment="1">
      <alignment horizontal="left"/>
    </xf>
    <xf numFmtId="0" fontId="3" fillId="18" borderId="180" xfId="0" applyFont="1" applyFill="1" applyBorder="1" applyAlignment="1">
      <alignment horizontal="right"/>
    </xf>
    <xf numFmtId="0" fontId="3" fillId="22" borderId="205" xfId="0" applyFont="1" applyFill="1" applyBorder="1" applyAlignment="1">
      <alignment horizontal="left"/>
    </xf>
    <xf numFmtId="0" fontId="3" fillId="22" borderId="206" xfId="0" applyFont="1" applyFill="1" applyBorder="1" applyAlignment="1">
      <alignment horizontal="left"/>
    </xf>
    <xf numFmtId="0" fontId="3" fillId="22" borderId="209" xfId="0" applyFont="1" applyFill="1" applyBorder="1" applyAlignment="1">
      <alignment horizontal="right"/>
    </xf>
    <xf numFmtId="38" fontId="13" fillId="22" borderId="207" xfId="0" applyNumberFormat="1" applyFont="1" applyFill="1" applyBorder="1" applyAlignment="1">
      <alignment horizontal="right"/>
    </xf>
    <xf numFmtId="38" fontId="33" fillId="18" borderId="89" xfId="0" applyNumberFormat="1" applyFont="1" applyFill="1" applyBorder="1" applyAlignment="1">
      <alignment shrinkToFit="1"/>
    </xf>
    <xf numFmtId="0" fontId="13" fillId="23" borderId="38" xfId="0" applyFont="1" applyFill="1" applyBorder="1" applyAlignment="1" applyProtection="1">
      <alignment vertical="center"/>
      <protection locked="0"/>
    </xf>
    <xf numFmtId="38" fontId="13" fillId="23" borderId="38" xfId="4" applyFont="1" applyFill="1" applyBorder="1" applyAlignment="1" applyProtection="1">
      <alignment vertical="center"/>
      <protection locked="0"/>
    </xf>
    <xf numFmtId="0" fontId="13" fillId="24" borderId="70" xfId="0" applyFont="1" applyFill="1" applyBorder="1" applyAlignment="1" applyProtection="1">
      <alignment vertical="center"/>
      <protection locked="0"/>
    </xf>
    <xf numFmtId="176" fontId="13" fillId="24" borderId="79" xfId="0" applyNumberFormat="1" applyFont="1" applyFill="1" applyBorder="1" applyAlignment="1" applyProtection="1">
      <alignment vertical="center"/>
      <protection locked="0"/>
    </xf>
    <xf numFmtId="179" fontId="13" fillId="24" borderId="70" xfId="0" applyNumberFormat="1" applyFont="1" applyFill="1" applyBorder="1" applyAlignment="1" applyProtection="1">
      <alignment vertical="center"/>
      <protection locked="0"/>
    </xf>
    <xf numFmtId="186" fontId="13" fillId="0" borderId="76" xfId="0" applyNumberFormat="1" applyFont="1" applyFill="1" applyBorder="1" applyAlignment="1" applyProtection="1">
      <alignment vertical="center" shrinkToFit="1"/>
      <protection locked="0"/>
    </xf>
    <xf numFmtId="0" fontId="13" fillId="0" borderId="76" xfId="0" applyFont="1" applyFill="1" applyBorder="1" applyAlignment="1" applyProtection="1">
      <alignment horizontal="center" vertical="center" shrinkToFit="1"/>
      <protection locked="0"/>
    </xf>
    <xf numFmtId="177" fontId="9" fillId="0" borderId="0" xfId="0" applyNumberFormat="1" applyFont="1" applyFill="1" applyBorder="1" applyAlignment="1" applyProtection="1">
      <alignment horizontal="left" vertical="center"/>
    </xf>
    <xf numFmtId="58" fontId="17" fillId="0" borderId="0" xfId="0" applyNumberFormat="1" applyFont="1" applyFill="1" applyBorder="1" applyAlignment="1" applyProtection="1">
      <alignment horizontal="left" vertical="center" shrinkToFit="1"/>
      <protection locked="0"/>
    </xf>
    <xf numFmtId="0" fontId="16" fillId="0" borderId="0" xfId="0" applyFont="1" applyFill="1" applyBorder="1" applyAlignment="1" applyProtection="1">
      <alignment horizontal="center" vertical="center"/>
    </xf>
    <xf numFmtId="0" fontId="3" fillId="0" borderId="177" xfId="0" applyFont="1" applyBorder="1" applyAlignment="1">
      <alignment horizontal="center" vertical="center"/>
    </xf>
    <xf numFmtId="0" fontId="3" fillId="0" borderId="177" xfId="0" applyFont="1" applyBorder="1" applyAlignment="1" applyProtection="1">
      <alignment vertical="center" shrinkToFit="1"/>
      <protection locked="0"/>
    </xf>
    <xf numFmtId="0" fontId="3" fillId="2" borderId="13" xfId="0" applyFont="1" applyFill="1" applyBorder="1" applyAlignment="1">
      <alignment vertical="center"/>
    </xf>
    <xf numFmtId="0" fontId="3" fillId="0" borderId="219" xfId="0" applyFont="1" applyBorder="1" applyAlignment="1" applyProtection="1">
      <alignment vertical="center"/>
      <protection locked="0"/>
    </xf>
    <xf numFmtId="0" fontId="3" fillId="0" borderId="221" xfId="0" applyFont="1" applyBorder="1" applyAlignment="1" applyProtection="1">
      <alignment vertical="center"/>
      <protection locked="0"/>
    </xf>
    <xf numFmtId="0" fontId="3" fillId="0" borderId="222" xfId="0" applyFont="1" applyBorder="1" applyAlignment="1" applyProtection="1">
      <alignment vertical="center"/>
      <protection locked="0"/>
    </xf>
    <xf numFmtId="0" fontId="3" fillId="0" borderId="221" xfId="0" applyFont="1" applyBorder="1" applyAlignment="1">
      <alignment vertical="center"/>
    </xf>
    <xf numFmtId="0" fontId="0" fillId="0" borderId="222" xfId="0" applyBorder="1" applyAlignment="1">
      <alignment vertical="center" shrinkToFit="1"/>
    </xf>
    <xf numFmtId="0" fontId="3" fillId="0" borderId="223" xfId="0" applyFont="1" applyBorder="1" applyAlignment="1">
      <alignment vertical="center"/>
    </xf>
    <xf numFmtId="0" fontId="0" fillId="0" borderId="224" xfId="0" applyBorder="1"/>
    <xf numFmtId="0" fontId="28" fillId="0" borderId="220" xfId="0" applyFont="1" applyBorder="1" applyAlignment="1" applyProtection="1">
      <alignment horizontal="center" vertical="center" wrapText="1"/>
      <protection locked="0"/>
    </xf>
    <xf numFmtId="177" fontId="9" fillId="0" borderId="0" xfId="0" applyNumberFormat="1" applyFont="1" applyFill="1" applyBorder="1" applyAlignment="1" applyProtection="1">
      <alignment vertical="center"/>
    </xf>
    <xf numFmtId="57" fontId="37" fillId="16" borderId="11" xfId="0" applyNumberFormat="1" applyFont="1" applyFill="1" applyBorder="1" applyAlignment="1">
      <alignment horizontal="center" vertical="center" shrinkToFit="1"/>
    </xf>
    <xf numFmtId="0" fontId="37" fillId="16" borderId="11" xfId="0" applyFont="1" applyFill="1" applyBorder="1" applyAlignment="1">
      <alignment vertical="center"/>
    </xf>
    <xf numFmtId="188" fontId="45" fillId="16" borderId="11" xfId="0" applyNumberFormat="1" applyFont="1" applyFill="1" applyBorder="1" applyAlignment="1">
      <alignment horizontal="center" vertical="center"/>
    </xf>
    <xf numFmtId="58" fontId="17" fillId="0" borderId="0" xfId="0" applyNumberFormat="1" applyFont="1" applyBorder="1" applyAlignment="1" applyProtection="1">
      <alignment vertical="center" shrinkToFit="1"/>
      <protection locked="0"/>
    </xf>
    <xf numFmtId="0" fontId="24" fillId="0" borderId="0" xfId="0" applyFont="1" applyBorder="1" applyAlignment="1" applyProtection="1">
      <alignment horizontal="center" vertical="center" shrinkToFit="1"/>
    </xf>
    <xf numFmtId="0" fontId="18" fillId="0" borderId="0" xfId="0" applyFont="1" applyBorder="1" applyAlignment="1">
      <alignment horizontal="center" vertical="center" shrinkToFit="1"/>
    </xf>
    <xf numFmtId="0" fontId="9" fillId="0" borderId="0" xfId="0" applyFont="1" applyFill="1" applyBorder="1" applyAlignment="1" applyProtection="1">
      <alignment horizontal="center" vertical="center" shrinkToFit="1"/>
    </xf>
    <xf numFmtId="177" fontId="3" fillId="0" borderId="0" xfId="0" applyNumberFormat="1" applyFont="1" applyBorder="1" applyAlignment="1">
      <alignment vertical="center" shrinkToFit="1"/>
    </xf>
    <xf numFmtId="177" fontId="9" fillId="0" borderId="0" xfId="0" applyNumberFormat="1" applyFont="1" applyFill="1" applyBorder="1" applyAlignment="1" applyProtection="1">
      <alignment horizontal="center" vertical="center" shrinkToFit="1"/>
    </xf>
    <xf numFmtId="177" fontId="9" fillId="0" borderId="0" xfId="0" applyNumberFormat="1" applyFont="1" applyFill="1" applyBorder="1" applyAlignment="1" applyProtection="1">
      <alignment vertical="center" shrinkToFit="1"/>
    </xf>
    <xf numFmtId="186" fontId="13" fillId="0" borderId="156" xfId="0" applyNumberFormat="1" applyFont="1" applyBorder="1" applyAlignment="1" applyProtection="1">
      <alignment horizontal="center" vertical="center" shrinkToFit="1"/>
      <protection locked="0"/>
    </xf>
    <xf numFmtId="0" fontId="0" fillId="0" borderId="0" xfId="0" applyNumberFormat="1"/>
    <xf numFmtId="0" fontId="3" fillId="0" borderId="189" xfId="0" applyFont="1" applyBorder="1" applyAlignment="1">
      <alignment vertical="center"/>
    </xf>
    <xf numFmtId="177" fontId="13" fillId="14" borderId="65" xfId="0" applyNumberFormat="1" applyFont="1" applyFill="1" applyBorder="1" applyAlignment="1" applyProtection="1">
      <alignment horizontal="center" vertical="center" shrinkToFit="1"/>
    </xf>
    <xf numFmtId="177" fontId="13" fillId="14" borderId="240" xfId="0" applyNumberFormat="1" applyFont="1" applyFill="1" applyBorder="1" applyAlignment="1" applyProtection="1">
      <alignment horizontal="center" vertical="center" shrinkToFit="1"/>
    </xf>
    <xf numFmtId="0" fontId="13" fillId="0" borderId="241" xfId="0" applyNumberFormat="1" applyFont="1" applyBorder="1" applyAlignment="1" applyProtection="1">
      <alignment horizontal="center" vertical="center" shrinkToFit="1"/>
    </xf>
    <xf numFmtId="177" fontId="13" fillId="0" borderId="242" xfId="0" applyNumberFormat="1" applyFont="1" applyBorder="1" applyAlignment="1" applyProtection="1">
      <alignment vertical="center" shrinkToFit="1"/>
      <protection locked="0"/>
    </xf>
    <xf numFmtId="0" fontId="3" fillId="18" borderId="165" xfId="0" applyFont="1" applyFill="1" applyBorder="1" applyAlignment="1">
      <alignment horizontal="left" vertical="center"/>
    </xf>
    <xf numFmtId="0" fontId="3" fillId="18" borderId="165" xfId="0" quotePrefix="1" applyFont="1" applyFill="1" applyBorder="1" applyAlignment="1">
      <alignment horizontal="left" vertical="center"/>
    </xf>
    <xf numFmtId="0" fontId="13" fillId="0" borderId="232" xfId="0" applyFont="1" applyBorder="1" applyAlignment="1" applyProtection="1">
      <alignment vertical="center" shrinkToFit="1"/>
      <protection locked="0"/>
    </xf>
    <xf numFmtId="177" fontId="13" fillId="0" borderId="245" xfId="0" applyNumberFormat="1" applyFont="1" applyBorder="1" applyAlignment="1" applyProtection="1">
      <alignment vertical="center" shrinkToFit="1"/>
      <protection locked="0"/>
    </xf>
    <xf numFmtId="3" fontId="13" fillId="25" borderId="239" xfId="4" applyNumberFormat="1" applyFont="1" applyFill="1" applyBorder="1" applyAlignment="1" applyProtection="1">
      <alignment horizontal="center" vertical="center" shrinkToFit="1"/>
      <protection locked="0"/>
    </xf>
    <xf numFmtId="0" fontId="13" fillId="14" borderId="249" xfId="0" applyFont="1" applyFill="1" applyBorder="1" applyAlignment="1" applyProtection="1">
      <alignment horizontal="center" vertical="center" wrapText="1"/>
    </xf>
    <xf numFmtId="0" fontId="13" fillId="0" borderId="250" xfId="0" applyFont="1" applyBorder="1" applyAlignment="1" applyProtection="1">
      <alignment vertical="center" shrinkToFit="1"/>
      <protection locked="0"/>
    </xf>
    <xf numFmtId="178" fontId="4" fillId="0" borderId="232" xfId="0" applyNumberFormat="1" applyFont="1" applyBorder="1" applyAlignment="1" applyProtection="1">
      <alignment vertical="center" shrinkToFit="1"/>
      <protection locked="0"/>
    </xf>
    <xf numFmtId="0" fontId="13" fillId="0" borderId="251" xfId="0" applyFont="1" applyBorder="1" applyAlignment="1" applyProtection="1">
      <alignment vertical="center" shrinkToFit="1"/>
      <protection locked="0"/>
    </xf>
    <xf numFmtId="0" fontId="13" fillId="0" borderId="244" xfId="0" applyFont="1" applyBorder="1" applyAlignment="1" applyProtection="1">
      <alignment vertical="center" shrinkToFit="1"/>
      <protection locked="0"/>
    </xf>
    <xf numFmtId="0" fontId="48" fillId="19" borderId="252" xfId="0" applyFont="1" applyFill="1" applyBorder="1" applyAlignment="1" applyProtection="1">
      <alignment horizontal="center" vertical="center" wrapText="1"/>
    </xf>
    <xf numFmtId="0" fontId="48" fillId="19" borderId="254" xfId="0" applyFont="1" applyFill="1" applyBorder="1" applyAlignment="1" applyProtection="1">
      <alignment horizontal="center" vertical="center" shrinkToFit="1"/>
    </xf>
    <xf numFmtId="186" fontId="13" fillId="0" borderId="232" xfId="0" applyNumberFormat="1" applyFont="1" applyBorder="1" applyAlignment="1" applyProtection="1">
      <alignment horizontal="center" vertical="center" shrinkToFit="1"/>
      <protection locked="0"/>
    </xf>
    <xf numFmtId="178" fontId="4" fillId="0" borderId="244" xfId="0" applyNumberFormat="1" applyFont="1" applyBorder="1" applyAlignment="1" applyProtection="1">
      <alignment vertical="center" shrinkToFit="1"/>
      <protection locked="0"/>
    </xf>
    <xf numFmtId="186" fontId="13" fillId="0" borderId="244" xfId="0" applyNumberFormat="1" applyFont="1" applyBorder="1" applyAlignment="1" applyProtection="1">
      <alignment horizontal="center" vertical="center" shrinkToFit="1"/>
      <protection locked="0"/>
    </xf>
    <xf numFmtId="49" fontId="49" fillId="18" borderId="0" xfId="0" applyNumberFormat="1" applyFont="1" applyFill="1" applyAlignment="1">
      <alignment vertical="center"/>
    </xf>
    <xf numFmtId="0" fontId="49" fillId="18" borderId="0" xfId="0" applyFont="1" applyFill="1" applyAlignment="1">
      <alignment vertical="center"/>
    </xf>
    <xf numFmtId="0" fontId="18" fillId="14" borderId="40" xfId="0" applyFont="1" applyFill="1" applyBorder="1" applyAlignment="1">
      <alignment horizontal="center" vertical="center" wrapText="1"/>
    </xf>
    <xf numFmtId="0" fontId="3" fillId="14" borderId="40" xfId="0" applyFont="1" applyFill="1" applyBorder="1" applyAlignment="1">
      <alignment horizontal="center" vertical="center" shrinkToFit="1"/>
    </xf>
    <xf numFmtId="0" fontId="3" fillId="0" borderId="232" xfId="0" applyFont="1" applyBorder="1" applyAlignment="1">
      <alignment horizontal="center" vertical="center" shrinkToFit="1"/>
    </xf>
    <xf numFmtId="191" fontId="3" fillId="0" borderId="232" xfId="0" applyNumberFormat="1" applyFont="1" applyBorder="1" applyAlignment="1">
      <alignment horizontal="center" vertical="center" shrinkToFit="1"/>
    </xf>
    <xf numFmtId="191" fontId="3" fillId="0" borderId="244" xfId="0" applyNumberFormat="1" applyFont="1" applyBorder="1" applyAlignment="1">
      <alignment horizontal="center" vertical="center" shrinkToFit="1"/>
    </xf>
    <xf numFmtId="0" fontId="24" fillId="0" borderId="227" xfId="0" applyFont="1" applyBorder="1" applyAlignment="1" applyProtection="1">
      <alignment horizontal="center" vertical="center" shrinkToFit="1"/>
    </xf>
    <xf numFmtId="0" fontId="13" fillId="0" borderId="256" xfId="0" applyFont="1" applyBorder="1" applyAlignment="1" applyProtection="1">
      <alignment vertical="center"/>
      <protection locked="0"/>
    </xf>
    <xf numFmtId="0" fontId="13" fillId="0" borderId="250" xfId="0" applyFont="1" applyBorder="1" applyAlignment="1" applyProtection="1">
      <alignment vertical="center" wrapText="1"/>
      <protection locked="0"/>
    </xf>
    <xf numFmtId="186" fontId="13" fillId="0" borderId="250" xfId="0" applyNumberFormat="1" applyFont="1" applyBorder="1" applyAlignment="1" applyProtection="1">
      <alignment vertical="center" shrinkToFit="1"/>
      <protection locked="0"/>
    </xf>
    <xf numFmtId="0" fontId="13" fillId="0" borderId="250" xfId="0" applyFont="1" applyBorder="1" applyAlignment="1" applyProtection="1">
      <alignment horizontal="center" vertical="center" shrinkToFit="1"/>
      <protection locked="0"/>
    </xf>
    <xf numFmtId="38" fontId="13" fillId="0" borderId="250" xfId="0" applyNumberFormat="1" applyFont="1" applyBorder="1" applyAlignment="1" applyProtection="1">
      <alignment vertical="center" shrinkToFit="1"/>
      <protection locked="0"/>
    </xf>
    <xf numFmtId="177" fontId="13" fillId="0" borderId="250" xfId="0" applyNumberFormat="1" applyFont="1" applyBorder="1" applyAlignment="1" applyProtection="1">
      <alignment vertical="center" shrinkToFit="1"/>
      <protection locked="0"/>
    </xf>
    <xf numFmtId="0" fontId="13" fillId="0" borderId="257" xfId="0" applyFont="1" applyBorder="1" applyAlignment="1" applyProtection="1">
      <alignment vertical="center"/>
      <protection locked="0"/>
    </xf>
    <xf numFmtId="0" fontId="13" fillId="0" borderId="258" xfId="0" applyFont="1" applyBorder="1" applyAlignment="1" applyProtection="1">
      <alignment horizontal="right" vertical="center"/>
      <protection locked="0"/>
    </xf>
    <xf numFmtId="0" fontId="13" fillId="0" borderId="234" xfId="0" applyFont="1" applyBorder="1" applyAlignment="1" applyProtection="1">
      <alignment vertical="center"/>
      <protection locked="0"/>
    </xf>
    <xf numFmtId="0" fontId="13" fillId="0" borderId="232" xfId="0" applyFont="1" applyBorder="1" applyAlignment="1" applyProtection="1">
      <alignment vertical="center" wrapText="1"/>
      <protection locked="0"/>
    </xf>
    <xf numFmtId="186" fontId="13" fillId="0" borderId="232" xfId="0" applyNumberFormat="1" applyFont="1" applyBorder="1" applyAlignment="1" applyProtection="1">
      <alignment vertical="center" shrinkToFit="1"/>
      <protection locked="0"/>
    </xf>
    <xf numFmtId="0" fontId="13" fillId="0" borderId="232" xfId="0" applyFont="1" applyBorder="1" applyAlignment="1" applyProtection="1">
      <alignment horizontal="center" vertical="center" shrinkToFit="1"/>
      <protection locked="0"/>
    </xf>
    <xf numFmtId="38" fontId="13" fillId="0" borderId="232" xfId="0" applyNumberFormat="1" applyFont="1" applyBorder="1" applyAlignment="1" applyProtection="1">
      <alignment vertical="center" shrinkToFit="1"/>
      <protection locked="0"/>
    </xf>
    <xf numFmtId="0" fontId="13" fillId="0" borderId="235" xfId="0" applyFont="1" applyBorder="1" applyAlignment="1" applyProtection="1">
      <alignment vertical="center"/>
      <protection locked="0"/>
    </xf>
    <xf numFmtId="0" fontId="13" fillId="0" borderId="255" xfId="0" applyFont="1" applyBorder="1" applyAlignment="1" applyProtection="1">
      <alignment horizontal="right" vertical="center"/>
      <protection locked="0"/>
    </xf>
    <xf numFmtId="0" fontId="13" fillId="0" borderId="259" xfId="0" applyNumberFormat="1" applyFont="1" applyBorder="1" applyAlignment="1" applyProtection="1">
      <alignment horizontal="right" vertical="center"/>
      <protection locked="0"/>
    </xf>
    <xf numFmtId="0" fontId="13" fillId="0" borderId="260" xfId="0" applyFont="1" applyBorder="1" applyAlignment="1" applyProtection="1">
      <alignment vertical="center"/>
      <protection locked="0"/>
    </xf>
    <xf numFmtId="0" fontId="13" fillId="0" borderId="261" xfId="0" applyFont="1" applyBorder="1" applyAlignment="1" applyProtection="1">
      <alignment vertical="center" wrapText="1"/>
      <protection locked="0"/>
    </xf>
    <xf numFmtId="186" fontId="13" fillId="0" borderId="261" xfId="0" applyNumberFormat="1" applyFont="1" applyBorder="1" applyAlignment="1" applyProtection="1">
      <alignment vertical="center" shrinkToFit="1"/>
      <protection locked="0"/>
    </xf>
    <xf numFmtId="0" fontId="13" fillId="0" borderId="261" xfId="0" applyFont="1" applyBorder="1" applyAlignment="1" applyProtection="1">
      <alignment horizontal="center" vertical="center" shrinkToFit="1"/>
      <protection locked="0"/>
    </xf>
    <xf numFmtId="38" fontId="13" fillId="0" borderId="261" xfId="0" applyNumberFormat="1" applyFont="1" applyBorder="1" applyAlignment="1" applyProtection="1">
      <alignment vertical="center" shrinkToFit="1"/>
      <protection locked="0"/>
    </xf>
    <xf numFmtId="177" fontId="13" fillId="0" borderId="261" xfId="0" applyNumberFormat="1" applyFont="1" applyBorder="1" applyAlignment="1" applyProtection="1">
      <alignment vertical="center" shrinkToFit="1"/>
      <protection locked="0"/>
    </xf>
    <xf numFmtId="0" fontId="13" fillId="0" borderId="262" xfId="0" applyFont="1" applyBorder="1" applyAlignment="1" applyProtection="1">
      <alignment vertical="center"/>
      <protection locked="0"/>
    </xf>
    <xf numFmtId="0" fontId="13" fillId="0" borderId="259" xfId="0" applyFont="1" applyBorder="1" applyAlignment="1" applyProtection="1">
      <alignment horizontal="right" vertical="center"/>
      <protection locked="0"/>
    </xf>
    <xf numFmtId="177" fontId="9" fillId="26" borderId="267" xfId="0" applyNumberFormat="1" applyFont="1" applyFill="1" applyBorder="1" applyAlignment="1" applyProtection="1">
      <alignment horizontal="center" vertical="center" shrinkToFit="1"/>
    </xf>
    <xf numFmtId="0" fontId="9" fillId="26" borderId="267" xfId="0" applyFont="1" applyFill="1" applyBorder="1" applyAlignment="1" applyProtection="1">
      <alignment horizontal="center" vertical="center" shrinkToFit="1"/>
    </xf>
    <xf numFmtId="0" fontId="3" fillId="0" borderId="0" xfId="0" applyFont="1" applyBorder="1" applyAlignment="1">
      <alignment horizontal="center" vertical="center"/>
    </xf>
    <xf numFmtId="0" fontId="48" fillId="19" borderId="253" xfId="0" applyFont="1" applyFill="1" applyBorder="1" applyAlignment="1" applyProtection="1">
      <alignment horizontal="center" vertical="center" shrinkToFit="1"/>
    </xf>
    <xf numFmtId="3" fontId="13" fillId="25" borderId="270" xfId="4" applyNumberFormat="1" applyFont="1" applyFill="1" applyBorder="1" applyAlignment="1" applyProtection="1">
      <alignment horizontal="center" vertical="center" shrinkToFit="1"/>
      <protection locked="0"/>
    </xf>
    <xf numFmtId="3" fontId="13" fillId="25" borderId="269" xfId="4" applyNumberFormat="1" applyFont="1" applyFill="1" applyBorder="1" applyAlignment="1" applyProtection="1">
      <alignment horizontal="center" vertical="center" shrinkToFit="1"/>
      <protection locked="0"/>
    </xf>
    <xf numFmtId="0" fontId="28" fillId="25" borderId="233" xfId="0" applyFont="1" applyFill="1" applyBorder="1" applyAlignment="1">
      <alignment horizontal="left" vertical="center" wrapText="1"/>
    </xf>
    <xf numFmtId="0" fontId="28" fillId="25" borderId="234" xfId="0" applyFont="1" applyFill="1" applyBorder="1" applyAlignment="1">
      <alignment horizontal="left" vertical="center" wrapText="1"/>
    </xf>
    <xf numFmtId="0" fontId="28" fillId="25" borderId="235" xfId="0" applyFont="1" applyFill="1" applyBorder="1" applyAlignment="1">
      <alignment horizontal="left" vertical="center" wrapText="1"/>
    </xf>
    <xf numFmtId="0" fontId="13" fillId="0" borderId="234" xfId="2" applyFont="1" applyBorder="1" applyAlignment="1" applyProtection="1">
      <alignment vertical="center"/>
      <protection locked="0"/>
    </xf>
    <xf numFmtId="0" fontId="13" fillId="0" borderId="232" xfId="2" applyFont="1" applyBorder="1" applyAlignment="1" applyProtection="1">
      <alignment vertical="center" wrapText="1"/>
      <protection locked="0"/>
    </xf>
    <xf numFmtId="186" fontId="13" fillId="0" borderId="232" xfId="2" applyNumberFormat="1" applyFont="1" applyBorder="1" applyAlignment="1" applyProtection="1">
      <alignment vertical="center" shrinkToFit="1"/>
      <protection locked="0"/>
    </xf>
    <xf numFmtId="0" fontId="13" fillId="0" borderId="232" xfId="2" applyFont="1" applyBorder="1" applyAlignment="1" applyProtection="1">
      <alignment horizontal="center" vertical="center"/>
      <protection locked="0"/>
    </xf>
    <xf numFmtId="177" fontId="13" fillId="0" borderId="232" xfId="2" applyNumberFormat="1" applyFont="1" applyBorder="1" applyAlignment="1" applyProtection="1">
      <alignment vertical="center" shrinkToFit="1"/>
      <protection locked="0"/>
    </xf>
    <xf numFmtId="0" fontId="13" fillId="0" borderId="234" xfId="2" applyFont="1" applyBorder="1" applyAlignment="1" applyProtection="1">
      <alignment horizontal="left" vertical="center"/>
      <protection locked="0"/>
    </xf>
    <xf numFmtId="0" fontId="13" fillId="0" borderId="234" xfId="0" applyFont="1" applyBorder="1" applyAlignment="1" applyProtection="1">
      <alignment horizontal="left" vertical="center"/>
      <protection locked="0"/>
    </xf>
    <xf numFmtId="0" fontId="9" fillId="0" borderId="234" xfId="2" applyFont="1" applyBorder="1" applyAlignment="1" applyProtection="1">
      <alignment vertical="center"/>
      <protection locked="0"/>
    </xf>
    <xf numFmtId="177" fontId="9" fillId="0" borderId="234" xfId="2" applyNumberFormat="1" applyFont="1" applyBorder="1" applyAlignment="1" applyProtection="1">
      <alignment vertical="center"/>
      <protection locked="0"/>
    </xf>
    <xf numFmtId="9" fontId="13" fillId="0" borderId="234" xfId="2" quotePrefix="1" applyNumberFormat="1" applyFont="1" applyBorder="1" applyAlignment="1" applyProtection="1">
      <alignment horizontal="center" vertical="center"/>
      <protection locked="0"/>
    </xf>
    <xf numFmtId="0" fontId="13" fillId="0" borderId="237" xfId="2" applyFont="1" applyBorder="1" applyAlignment="1" applyProtection="1">
      <alignment vertical="center"/>
      <protection locked="0"/>
    </xf>
    <xf numFmtId="0" fontId="13" fillId="0" borderId="244" xfId="2" applyFont="1" applyBorder="1" applyAlignment="1" applyProtection="1">
      <alignment vertical="center" wrapText="1"/>
      <protection locked="0"/>
    </xf>
    <xf numFmtId="186" fontId="13" fillId="0" borderId="244" xfId="2" applyNumberFormat="1" applyFont="1" applyBorder="1" applyAlignment="1" applyProtection="1">
      <alignment vertical="center" shrinkToFit="1"/>
      <protection locked="0"/>
    </xf>
    <xf numFmtId="0" fontId="13" fillId="0" borderId="244" xfId="2" applyFont="1" applyBorder="1" applyAlignment="1" applyProtection="1">
      <alignment horizontal="center" vertical="center"/>
      <protection locked="0"/>
    </xf>
    <xf numFmtId="177" fontId="13" fillId="0" borderId="244" xfId="2" applyNumberFormat="1" applyFont="1" applyBorder="1" applyAlignment="1" applyProtection="1">
      <alignment vertical="center" shrinkToFit="1"/>
      <protection locked="0"/>
    </xf>
    <xf numFmtId="0" fontId="13" fillId="0" borderId="232" xfId="0" applyFont="1" applyBorder="1" applyAlignment="1" applyProtection="1">
      <alignment horizontal="center" vertical="center"/>
      <protection locked="0"/>
    </xf>
    <xf numFmtId="177" fontId="13" fillId="0" borderId="232" xfId="0" applyNumberFormat="1" applyFont="1" applyBorder="1" applyAlignment="1" applyProtection="1">
      <alignment vertical="center" shrinkToFit="1"/>
      <protection locked="0"/>
    </xf>
    <xf numFmtId="0" fontId="3" fillId="0" borderId="243" xfId="0" applyNumberFormat="1" applyFont="1" applyBorder="1" applyAlignment="1">
      <alignment vertical="center" shrinkToFit="1"/>
    </xf>
    <xf numFmtId="0" fontId="13" fillId="0" borderId="242" xfId="0" applyNumberFormat="1" applyFont="1" applyBorder="1" applyAlignment="1" applyProtection="1">
      <alignment vertical="center" shrinkToFit="1"/>
      <protection locked="0"/>
    </xf>
    <xf numFmtId="0" fontId="13" fillId="0" borderId="242" xfId="4" applyNumberFormat="1" applyFont="1" applyFill="1" applyBorder="1" applyAlignment="1" applyProtection="1">
      <alignment vertical="center" shrinkToFit="1"/>
      <protection locked="0"/>
    </xf>
    <xf numFmtId="0" fontId="13" fillId="0" borderId="38" xfId="0" applyFont="1" applyBorder="1" applyAlignment="1" applyProtection="1">
      <alignment horizontal="left" vertical="center"/>
      <protection locked="0"/>
    </xf>
    <xf numFmtId="0" fontId="13" fillId="0" borderId="38" xfId="0" applyFont="1" applyBorder="1" applyAlignment="1" applyProtection="1">
      <alignment horizontal="left" vertical="center" shrinkToFit="1"/>
      <protection locked="0"/>
    </xf>
    <xf numFmtId="0" fontId="11" fillId="0" borderId="255" xfId="0" applyFont="1" applyBorder="1" applyAlignment="1" applyProtection="1">
      <alignment vertical="center"/>
      <protection locked="0"/>
    </xf>
    <xf numFmtId="186" fontId="13" fillId="0" borderId="250" xfId="0" applyNumberFormat="1" applyFont="1" applyBorder="1" applyAlignment="1" applyProtection="1">
      <alignment vertical="center"/>
      <protection locked="0"/>
    </xf>
    <xf numFmtId="0" fontId="13" fillId="0" borderId="250" xfId="0" applyFont="1" applyBorder="1" applyAlignment="1" applyProtection="1">
      <alignment horizontal="center" vertical="center"/>
      <protection locked="0"/>
    </xf>
    <xf numFmtId="177" fontId="8" fillId="0" borderId="250" xfId="0" applyNumberFormat="1" applyFont="1" applyBorder="1" applyAlignment="1" applyProtection="1">
      <alignment horizontal="right" vertical="top" shrinkToFit="1"/>
    </xf>
    <xf numFmtId="0" fontId="13" fillId="0" borderId="271" xfId="0" applyFont="1" applyBorder="1" applyAlignment="1" applyProtection="1">
      <alignment vertical="center" shrinkToFit="1"/>
      <protection locked="0"/>
    </xf>
    <xf numFmtId="0" fontId="13" fillId="0" borderId="273" xfId="0" applyFont="1" applyBorder="1" applyAlignment="1" applyProtection="1">
      <alignment vertical="center" shrinkToFit="1"/>
      <protection locked="0"/>
    </xf>
    <xf numFmtId="178" fontId="4" fillId="0" borderId="273" xfId="0" applyNumberFormat="1" applyFont="1" applyBorder="1" applyAlignment="1" applyProtection="1">
      <alignment vertical="center" shrinkToFit="1"/>
      <protection locked="0"/>
    </xf>
    <xf numFmtId="186" fontId="13" fillId="0" borderId="274" xfId="0" applyNumberFormat="1" applyFont="1" applyBorder="1" applyAlignment="1" applyProtection="1">
      <alignment horizontal="center" vertical="center" shrinkToFit="1"/>
      <protection locked="0"/>
    </xf>
    <xf numFmtId="191" fontId="3" fillId="0" borderId="273" xfId="0" applyNumberFormat="1" applyFont="1" applyBorder="1" applyAlignment="1">
      <alignment horizontal="center" vertical="center" shrinkToFit="1"/>
    </xf>
    <xf numFmtId="3" fontId="13" fillId="25" borderId="274" xfId="4" applyNumberFormat="1" applyFont="1" applyFill="1" applyBorder="1" applyAlignment="1" applyProtection="1">
      <alignment horizontal="center" vertical="center" shrinkToFit="1"/>
      <protection locked="0"/>
    </xf>
    <xf numFmtId="0" fontId="13" fillId="0" borderId="275" xfId="0" applyNumberFormat="1" applyFont="1" applyBorder="1" applyAlignment="1" applyProtection="1">
      <alignment vertical="center" shrinkToFit="1"/>
      <protection locked="0"/>
    </xf>
    <xf numFmtId="0" fontId="3" fillId="0" borderId="242" xfId="0" applyNumberFormat="1" applyFont="1" applyBorder="1" applyAlignment="1">
      <alignment vertical="center" shrinkToFit="1"/>
    </xf>
    <xf numFmtId="0" fontId="28" fillId="25" borderId="233" xfId="0" applyFont="1" applyFill="1" applyBorder="1" applyAlignment="1">
      <alignment horizontal="left" vertical="center" wrapText="1"/>
    </xf>
    <xf numFmtId="0" fontId="28" fillId="25" borderId="234" xfId="0" applyFont="1" applyFill="1" applyBorder="1" applyAlignment="1">
      <alignment horizontal="left" vertical="center" wrapText="1"/>
    </xf>
    <xf numFmtId="0" fontId="28" fillId="25" borderId="235" xfId="0" applyFont="1" applyFill="1" applyBorder="1" applyAlignment="1">
      <alignment horizontal="left" vertical="center" wrapText="1"/>
    </xf>
    <xf numFmtId="178" fontId="4" fillId="0" borderId="231" xfId="0" applyNumberFormat="1" applyFont="1" applyBorder="1" applyAlignment="1" applyProtection="1">
      <alignment horizontal="center" vertical="center" shrinkToFit="1"/>
      <protection locked="0"/>
    </xf>
    <xf numFmtId="178" fontId="4" fillId="0" borderId="230" xfId="0" applyNumberFormat="1" applyFont="1" applyBorder="1" applyAlignment="1" applyProtection="1">
      <alignment horizontal="center" vertical="center" shrinkToFit="1"/>
      <protection locked="0"/>
    </xf>
    <xf numFmtId="177" fontId="9" fillId="0" borderId="267" xfId="0" applyNumberFormat="1" applyFont="1" applyFill="1" applyBorder="1" applyAlignment="1" applyProtection="1">
      <alignment vertical="center" shrinkToFit="1"/>
    </xf>
    <xf numFmtId="0" fontId="9" fillId="0" borderId="267" xfId="0" applyFont="1" applyFill="1" applyBorder="1" applyAlignment="1" applyProtection="1">
      <alignment horizontal="center" vertical="center" shrinkToFit="1"/>
    </xf>
    <xf numFmtId="0" fontId="9" fillId="0" borderId="267" xfId="0" applyFont="1" applyFill="1" applyBorder="1" applyAlignment="1" applyProtection="1">
      <alignment vertical="center" shrinkToFit="1"/>
      <protection locked="0"/>
    </xf>
    <xf numFmtId="0" fontId="9" fillId="0" borderId="267" xfId="0" applyFont="1" applyFill="1" applyBorder="1" applyAlignment="1" applyProtection="1">
      <alignment vertical="center" shrinkToFit="1"/>
    </xf>
    <xf numFmtId="0" fontId="9" fillId="0" borderId="267" xfId="0" applyFont="1" applyFill="1" applyBorder="1" applyAlignment="1" applyProtection="1">
      <alignment horizontal="right" vertical="center" shrinkToFit="1"/>
    </xf>
    <xf numFmtId="178" fontId="4" fillId="0" borderId="280" xfId="0" applyNumberFormat="1" applyFont="1" applyBorder="1" applyAlignment="1" applyProtection="1">
      <alignment vertical="center" shrinkToFit="1"/>
      <protection locked="0"/>
    </xf>
    <xf numFmtId="186" fontId="13" fillId="0" borderId="281" xfId="0" applyNumberFormat="1" applyFont="1" applyBorder="1" applyAlignment="1" applyProtection="1">
      <alignment horizontal="center" vertical="center" shrinkToFit="1"/>
      <protection locked="0"/>
    </xf>
    <xf numFmtId="191" fontId="3" fillId="0" borderId="280" xfId="0" applyNumberFormat="1" applyFont="1" applyBorder="1" applyAlignment="1">
      <alignment horizontal="center" vertical="center" shrinkToFit="1"/>
    </xf>
    <xf numFmtId="3" fontId="13" fillId="25" borderId="281" xfId="4" applyNumberFormat="1" applyFont="1" applyFill="1" applyBorder="1" applyAlignment="1" applyProtection="1">
      <alignment horizontal="center" vertical="center" shrinkToFit="1"/>
      <protection locked="0"/>
    </xf>
    <xf numFmtId="0" fontId="3" fillId="0" borderId="282" xfId="0" applyNumberFormat="1" applyFont="1" applyBorder="1" applyAlignment="1">
      <alignment vertical="center" shrinkToFit="1"/>
    </xf>
    <xf numFmtId="0" fontId="13" fillId="0" borderId="287" xfId="0" applyFont="1" applyBorder="1" applyAlignment="1" applyProtection="1">
      <alignment vertical="center" shrinkToFit="1"/>
      <protection locked="0"/>
    </xf>
    <xf numFmtId="178" fontId="4" fillId="0" borderId="287" xfId="0" applyNumberFormat="1" applyFont="1" applyBorder="1" applyAlignment="1" applyProtection="1">
      <alignment vertical="center" shrinkToFit="1"/>
      <protection locked="0"/>
    </xf>
    <xf numFmtId="186" fontId="13" fillId="0" borderId="288" xfId="0" applyNumberFormat="1" applyFont="1" applyBorder="1" applyAlignment="1" applyProtection="1">
      <alignment horizontal="center" vertical="center" shrinkToFit="1"/>
      <protection locked="0"/>
    </xf>
    <xf numFmtId="191" fontId="3" fillId="0" borderId="287" xfId="0" applyNumberFormat="1" applyFont="1" applyBorder="1" applyAlignment="1">
      <alignment horizontal="center" vertical="center" shrinkToFit="1"/>
    </xf>
    <xf numFmtId="3" fontId="13" fillId="25" borderId="288" xfId="4" applyNumberFormat="1" applyFont="1" applyFill="1" applyBorder="1" applyAlignment="1" applyProtection="1">
      <alignment horizontal="center" vertical="center" shrinkToFit="1"/>
      <protection locked="0"/>
    </xf>
    <xf numFmtId="0" fontId="13" fillId="0" borderId="289" xfId="0" applyNumberFormat="1" applyFont="1" applyBorder="1" applyAlignment="1" applyProtection="1">
      <alignment vertical="center" shrinkToFit="1"/>
      <protection locked="0"/>
    </xf>
    <xf numFmtId="0" fontId="13" fillId="0" borderId="292" xfId="0" applyFont="1" applyBorder="1" applyAlignment="1" applyProtection="1">
      <alignment horizontal="right" vertical="center"/>
      <protection locked="0"/>
    </xf>
    <xf numFmtId="0" fontId="13" fillId="0" borderId="293" xfId="0" applyFont="1" applyBorder="1" applyAlignment="1" applyProtection="1">
      <alignment horizontal="left" vertical="center"/>
      <protection locked="0"/>
    </xf>
    <xf numFmtId="0" fontId="13" fillId="0" borderId="294" xfId="0" applyFont="1" applyBorder="1" applyAlignment="1" applyProtection="1">
      <alignment vertical="center" wrapText="1"/>
      <protection locked="0"/>
    </xf>
    <xf numFmtId="186" fontId="13" fillId="0" borderId="294" xfId="0" applyNumberFormat="1" applyFont="1" applyBorder="1" applyAlignment="1" applyProtection="1">
      <alignment vertical="center" shrinkToFit="1"/>
      <protection locked="0"/>
    </xf>
    <xf numFmtId="0" fontId="13" fillId="0" borderId="294" xfId="0" applyFont="1" applyBorder="1" applyAlignment="1" applyProtection="1">
      <alignment horizontal="center" vertical="center"/>
      <protection locked="0"/>
    </xf>
    <xf numFmtId="177" fontId="13" fillId="0" borderId="294" xfId="0" applyNumberFormat="1" applyFont="1" applyBorder="1" applyAlignment="1" applyProtection="1">
      <alignment vertical="center" shrinkToFit="1"/>
      <protection locked="0"/>
    </xf>
    <xf numFmtId="0" fontId="13" fillId="0" borderId="293" xfId="0" applyFont="1" applyBorder="1" applyAlignment="1" applyProtection="1">
      <alignment vertical="center"/>
      <protection locked="0"/>
    </xf>
    <xf numFmtId="179" fontId="13" fillId="0" borderId="293" xfId="0" applyNumberFormat="1" applyFont="1" applyBorder="1" applyAlignment="1" applyProtection="1">
      <alignment horizontal="right" vertical="center"/>
      <protection locked="0"/>
    </xf>
    <xf numFmtId="179" fontId="13" fillId="0" borderId="295" xfId="0" applyNumberFormat="1" applyFont="1" applyBorder="1" applyAlignment="1" applyProtection="1">
      <alignment horizontal="right" vertical="center"/>
      <protection locked="0"/>
    </xf>
    <xf numFmtId="178" fontId="4" fillId="0" borderId="296" xfId="0" applyNumberFormat="1" applyFont="1" applyBorder="1" applyAlignment="1" applyProtection="1">
      <alignment horizontal="center" vertical="center" shrinkToFit="1"/>
      <protection locked="0"/>
    </xf>
    <xf numFmtId="178" fontId="4" fillId="0" borderId="297" xfId="0" applyNumberFormat="1" applyFont="1" applyBorder="1" applyAlignment="1" applyProtection="1">
      <alignment horizontal="center" vertical="center" shrinkToFit="1"/>
      <protection locked="0"/>
    </xf>
    <xf numFmtId="178" fontId="4" fillId="0" borderId="294" xfId="0" applyNumberFormat="1" applyFont="1" applyBorder="1" applyAlignment="1" applyProtection="1">
      <alignment vertical="center" shrinkToFit="1"/>
      <protection locked="0"/>
    </xf>
    <xf numFmtId="186" fontId="13" fillId="0" borderId="298" xfId="0" applyNumberFormat="1" applyFont="1" applyBorder="1" applyAlignment="1" applyProtection="1">
      <alignment horizontal="center" vertical="center" shrinkToFit="1"/>
      <protection locked="0"/>
    </xf>
    <xf numFmtId="191" fontId="3" fillId="0" borderId="294" xfId="0" applyNumberFormat="1" applyFont="1" applyBorder="1" applyAlignment="1">
      <alignment horizontal="center" vertical="center" shrinkToFit="1"/>
    </xf>
    <xf numFmtId="3" fontId="13" fillId="25" borderId="298" xfId="4" applyNumberFormat="1" applyFont="1" applyFill="1" applyBorder="1" applyAlignment="1" applyProtection="1">
      <alignment horizontal="center" vertical="center" shrinkToFit="1"/>
      <protection locked="0"/>
    </xf>
    <xf numFmtId="0" fontId="13" fillId="0" borderId="299" xfId="0" applyNumberFormat="1" applyFont="1" applyBorder="1" applyAlignment="1" applyProtection="1">
      <alignment vertical="center" shrinkToFit="1"/>
      <protection locked="0"/>
    </xf>
    <xf numFmtId="0" fontId="28" fillId="25" borderId="298" xfId="0" applyFont="1" applyFill="1" applyBorder="1" applyAlignment="1">
      <alignment horizontal="left" vertical="center" wrapText="1"/>
    </xf>
    <xf numFmtId="0" fontId="28" fillId="25" borderId="293" xfId="0" applyFont="1" applyFill="1" applyBorder="1" applyAlignment="1">
      <alignment horizontal="left" vertical="center" wrapText="1"/>
    </xf>
    <xf numFmtId="0" fontId="28" fillId="25" borderId="295" xfId="0" applyFont="1" applyFill="1" applyBorder="1" applyAlignment="1">
      <alignment horizontal="left" vertical="center" wrapText="1"/>
    </xf>
    <xf numFmtId="179" fontId="13" fillId="0" borderId="38" xfId="0" applyNumberFormat="1" applyFont="1" applyBorder="1" applyAlignment="1" applyProtection="1">
      <alignment vertical="center"/>
      <protection locked="0"/>
    </xf>
    <xf numFmtId="177" fontId="27" fillId="0" borderId="153" xfId="0" applyNumberFormat="1" applyFont="1" applyBorder="1" applyAlignment="1" applyProtection="1">
      <alignment horizontal="right" vertical="center"/>
      <protection locked="0"/>
    </xf>
    <xf numFmtId="0" fontId="27" fillId="0" borderId="192" xfId="0" applyFont="1" applyBorder="1" applyAlignment="1" applyProtection="1">
      <alignment horizontal="right" vertical="center"/>
      <protection locked="0"/>
    </xf>
    <xf numFmtId="0" fontId="7" fillId="0" borderId="153" xfId="0" applyFont="1" applyBorder="1" applyAlignment="1" applyProtection="1">
      <alignment horizontal="center" vertical="center"/>
    </xf>
    <xf numFmtId="0" fontId="35" fillId="0" borderId="64" xfId="0" applyFont="1" applyBorder="1" applyAlignment="1" applyProtection="1">
      <alignment horizontal="center" vertical="center"/>
    </xf>
    <xf numFmtId="0" fontId="34" fillId="0" borderId="65" xfId="0" applyFont="1" applyBorder="1" applyAlignment="1">
      <alignment vertical="center"/>
    </xf>
    <xf numFmtId="0" fontId="34" fillId="0" borderId="66" xfId="0" applyFont="1" applyBorder="1" applyAlignment="1">
      <alignment vertical="center"/>
    </xf>
    <xf numFmtId="0" fontId="35" fillId="0" borderId="189" xfId="0" quotePrefix="1" applyFont="1" applyBorder="1" applyAlignment="1" applyProtection="1">
      <alignment horizontal="center" vertical="center"/>
      <protection locked="0"/>
    </xf>
    <xf numFmtId="0" fontId="34" fillId="0" borderId="0" xfId="0" applyFont="1" applyBorder="1" applyAlignment="1">
      <alignment horizontal="center" vertical="center"/>
    </xf>
    <xf numFmtId="0" fontId="34" fillId="0" borderId="190" xfId="0" applyFont="1" applyBorder="1" applyAlignment="1">
      <alignment horizontal="center" vertical="center"/>
    </xf>
    <xf numFmtId="0" fontId="35" fillId="15" borderId="193" xfId="0" applyFont="1" applyFill="1" applyBorder="1" applyAlignment="1" applyProtection="1">
      <alignment horizontal="center" vertical="center"/>
      <protection locked="0"/>
    </xf>
    <xf numFmtId="0" fontId="34" fillId="15" borderId="193" xfId="0" applyFont="1" applyFill="1" applyBorder="1" applyAlignment="1">
      <alignment horizontal="center" vertical="center"/>
    </xf>
    <xf numFmtId="0" fontId="22" fillId="0" borderId="0" xfId="0" applyFont="1" applyBorder="1" applyAlignment="1" applyProtection="1">
      <alignment vertical="center" wrapText="1"/>
      <protection locked="0"/>
    </xf>
    <xf numFmtId="0" fontId="0" fillId="0" borderId="0" xfId="0" applyFont="1" applyAlignment="1">
      <alignment vertical="center"/>
    </xf>
    <xf numFmtId="0" fontId="0" fillId="0" borderId="0" xfId="0" applyFont="1" applyAlignment="1">
      <alignment vertical="center" wrapText="1"/>
    </xf>
    <xf numFmtId="177" fontId="27" fillId="0" borderId="0" xfId="0" applyNumberFormat="1" applyFont="1" applyBorder="1" applyAlignment="1" applyProtection="1">
      <alignment horizontal="right" vertical="center"/>
      <protection locked="0"/>
    </xf>
    <xf numFmtId="0" fontId="27" fillId="0" borderId="190" xfId="0" applyFont="1" applyBorder="1" applyAlignment="1" applyProtection="1">
      <alignment horizontal="right" vertical="center"/>
      <protection locked="0"/>
    </xf>
    <xf numFmtId="177" fontId="52" fillId="26" borderId="263" xfId="0" applyNumberFormat="1" applyFont="1" applyFill="1" applyBorder="1" applyAlignment="1" applyProtection="1">
      <alignment horizontal="center" vertical="center"/>
    </xf>
    <xf numFmtId="177" fontId="52" fillId="26" borderId="264" xfId="0" applyNumberFormat="1" applyFont="1" applyFill="1" applyBorder="1" applyAlignment="1" applyProtection="1">
      <alignment horizontal="center" vertical="center"/>
    </xf>
    <xf numFmtId="0" fontId="24" fillId="0" borderId="0" xfId="0" applyFont="1" applyBorder="1" applyAlignment="1" applyProtection="1">
      <alignment horizontal="center" vertical="center" shrinkToFit="1"/>
    </xf>
    <xf numFmtId="0" fontId="16" fillId="0" borderId="0" xfId="0" applyFont="1" applyFill="1" applyBorder="1" applyAlignment="1" applyProtection="1">
      <alignment horizontal="center" vertical="center"/>
    </xf>
    <xf numFmtId="0" fontId="24" fillId="0" borderId="154" xfId="0" applyFont="1" applyBorder="1" applyAlignment="1" applyProtection="1">
      <alignment horizontal="center" vertical="center" shrinkToFit="1"/>
    </xf>
    <xf numFmtId="0" fontId="24" fillId="0" borderId="176" xfId="0" applyFont="1" applyBorder="1" applyAlignment="1" applyProtection="1">
      <alignment horizontal="center" vertical="center" shrinkToFit="1"/>
    </xf>
    <xf numFmtId="0" fontId="24" fillId="0" borderId="155" xfId="0" applyFont="1" applyBorder="1" applyAlignment="1" applyProtection="1">
      <alignment horizontal="center" vertical="center" shrinkToFit="1"/>
    </xf>
    <xf numFmtId="0" fontId="5" fillId="0" borderId="0" xfId="0" applyFont="1" applyFill="1" applyBorder="1" applyAlignment="1" applyProtection="1">
      <alignment horizontal="center" vertical="center"/>
    </xf>
    <xf numFmtId="0" fontId="12" fillId="0" borderId="218" xfId="0" applyFont="1" applyFill="1" applyBorder="1" applyAlignment="1" applyProtection="1">
      <alignment horizontal="center" vertical="center"/>
    </xf>
    <xf numFmtId="0" fontId="18" fillId="0" borderId="226" xfId="0" applyFont="1" applyBorder="1" applyAlignment="1">
      <alignment horizontal="center" vertical="center" shrinkToFit="1"/>
    </xf>
    <xf numFmtId="0" fontId="18" fillId="0" borderId="227" xfId="0" applyFont="1" applyBorder="1" applyAlignment="1">
      <alignment horizontal="center" vertical="center" shrinkToFit="1"/>
    </xf>
    <xf numFmtId="0" fontId="16" fillId="0" borderId="194" xfId="0" applyFont="1" applyFill="1" applyBorder="1" applyAlignment="1" applyProtection="1">
      <alignment horizontal="center" vertical="center"/>
    </xf>
    <xf numFmtId="0" fontId="15" fillId="0" borderId="193" xfId="0" applyFont="1" applyFill="1" applyBorder="1" applyAlignment="1" applyProtection="1">
      <alignment horizontal="distributed" vertical="center" justifyLastLine="1"/>
      <protection locked="0"/>
    </xf>
    <xf numFmtId="187" fontId="9" fillId="0" borderId="0" xfId="0" applyNumberFormat="1" applyFont="1" applyFill="1" applyBorder="1" applyAlignment="1" applyProtection="1">
      <alignment horizontal="left" vertical="center"/>
      <protection locked="0"/>
    </xf>
    <xf numFmtId="0" fontId="27" fillId="0" borderId="0" xfId="0" applyFont="1" applyBorder="1" applyAlignment="1" applyProtection="1">
      <alignment vertical="center" shrinkToFit="1"/>
    </xf>
    <xf numFmtId="0" fontId="0" fillId="0" borderId="0" xfId="0" applyFont="1" applyAlignment="1">
      <alignment vertical="center" shrinkToFit="1"/>
    </xf>
    <xf numFmtId="0" fontId="12" fillId="0" borderId="152" xfId="0" applyFont="1" applyBorder="1" applyAlignment="1" applyProtection="1">
      <alignment horizontal="center" vertical="center"/>
    </xf>
    <xf numFmtId="0" fontId="12" fillId="0" borderId="65" xfId="0" applyFont="1" applyBorder="1" applyAlignment="1" applyProtection="1">
      <alignment horizontal="center" vertical="center"/>
    </xf>
    <xf numFmtId="0" fontId="12" fillId="0" borderId="66" xfId="0" applyFont="1" applyBorder="1" applyAlignment="1" applyProtection="1">
      <alignment horizontal="center" vertical="center"/>
    </xf>
    <xf numFmtId="177" fontId="12" fillId="0" borderId="70" xfId="0" applyNumberFormat="1" applyFont="1" applyBorder="1" applyAlignment="1" applyProtection="1">
      <alignment horizontal="right" vertical="center"/>
      <protection locked="0"/>
    </xf>
    <xf numFmtId="0" fontId="12" fillId="0" borderId="79" xfId="0" applyFont="1" applyBorder="1" applyAlignment="1" applyProtection="1">
      <alignment horizontal="right" vertical="center"/>
      <protection locked="0"/>
    </xf>
    <xf numFmtId="179" fontId="13" fillId="0" borderId="38" xfId="0" applyNumberFormat="1" applyFont="1" applyBorder="1" applyAlignment="1" applyProtection="1">
      <alignment horizontal="right" vertical="center"/>
      <protection locked="0"/>
    </xf>
    <xf numFmtId="179" fontId="13" fillId="0" borderId="39" xfId="0" applyNumberFormat="1" applyFont="1" applyBorder="1" applyAlignment="1" applyProtection="1">
      <alignment horizontal="right" vertical="center"/>
      <protection locked="0"/>
    </xf>
    <xf numFmtId="179" fontId="13" fillId="0" borderId="38" xfId="2" applyNumberFormat="1" applyFont="1" applyBorder="1" applyAlignment="1" applyProtection="1">
      <alignment horizontal="right" vertical="center"/>
      <protection locked="0"/>
    </xf>
    <xf numFmtId="179" fontId="13" fillId="0" borderId="39" xfId="2" applyNumberFormat="1" applyFont="1" applyBorder="1" applyAlignment="1" applyProtection="1">
      <alignment horizontal="right" vertical="center"/>
      <protection locked="0"/>
    </xf>
    <xf numFmtId="177" fontId="12" fillId="0" borderId="38" xfId="0" applyNumberFormat="1" applyFont="1" applyBorder="1" applyAlignment="1" applyProtection="1">
      <alignment horizontal="right" vertical="center"/>
      <protection locked="0"/>
    </xf>
    <xf numFmtId="0" fontId="12" fillId="0" borderId="39" xfId="0" applyFont="1" applyBorder="1" applyAlignment="1" applyProtection="1">
      <alignment horizontal="right" vertical="center"/>
      <protection locked="0"/>
    </xf>
    <xf numFmtId="177" fontId="12" fillId="0" borderId="38" xfId="2" applyNumberFormat="1" applyFont="1" applyBorder="1" applyAlignment="1" applyProtection="1">
      <alignment horizontal="right" vertical="center"/>
      <protection locked="0"/>
    </xf>
    <xf numFmtId="0" fontId="12" fillId="0" borderId="39" xfId="2" applyFont="1" applyBorder="1" applyAlignment="1" applyProtection="1">
      <alignment horizontal="right" vertical="center"/>
      <protection locked="0"/>
    </xf>
    <xf numFmtId="177" fontId="12" fillId="0" borderId="70" xfId="2" applyNumberFormat="1" applyFont="1" applyBorder="1" applyAlignment="1" applyProtection="1">
      <alignment horizontal="right" vertical="center"/>
      <protection locked="0"/>
    </xf>
    <xf numFmtId="0" fontId="12" fillId="0" borderId="79" xfId="2" applyFont="1" applyBorder="1" applyAlignment="1" applyProtection="1">
      <alignment horizontal="right" vertical="center"/>
      <protection locked="0"/>
    </xf>
    <xf numFmtId="190" fontId="9" fillId="0" borderId="267" xfId="0" applyNumberFormat="1" applyFont="1" applyFill="1" applyBorder="1" applyAlignment="1" applyProtection="1">
      <alignment horizontal="center" vertical="center" shrinkToFit="1"/>
      <protection locked="0"/>
    </xf>
    <xf numFmtId="49" fontId="9" fillId="0" borderId="263" xfId="0" applyNumberFormat="1" applyFont="1" applyFill="1" applyBorder="1" applyAlignment="1" applyProtection="1">
      <alignment horizontal="center" vertical="center" shrinkToFit="1"/>
    </xf>
    <xf numFmtId="49" fontId="9" fillId="0" borderId="264" xfId="0" applyNumberFormat="1" applyFont="1" applyFill="1" applyBorder="1" applyAlignment="1" applyProtection="1">
      <alignment horizontal="center" vertical="center" shrinkToFit="1"/>
    </xf>
    <xf numFmtId="0" fontId="9" fillId="0" borderId="225" xfId="0" applyFont="1" applyFill="1" applyBorder="1" applyAlignment="1" applyProtection="1">
      <alignment horizontal="center" vertical="center" shrinkToFit="1"/>
    </xf>
    <xf numFmtId="0" fontId="9" fillId="0" borderId="268" xfId="0" applyFont="1" applyFill="1" applyBorder="1" applyAlignment="1" applyProtection="1">
      <alignment horizontal="center" vertical="center" shrinkToFit="1"/>
    </xf>
    <xf numFmtId="192" fontId="46" fillId="0" borderId="228" xfId="0" applyNumberFormat="1" applyFont="1" applyFill="1" applyBorder="1" applyAlignment="1" applyProtection="1">
      <alignment horizontal="center" vertical="center" shrinkToFit="1"/>
      <protection locked="0"/>
    </xf>
    <xf numFmtId="192" fontId="46" fillId="0" borderId="229" xfId="0" applyNumberFormat="1" applyFont="1" applyFill="1" applyBorder="1" applyAlignment="1" applyProtection="1">
      <alignment horizontal="center" vertical="center" shrinkToFit="1"/>
      <protection locked="0"/>
    </xf>
    <xf numFmtId="192" fontId="46" fillId="0" borderId="265" xfId="0" applyNumberFormat="1" applyFont="1" applyFill="1" applyBorder="1" applyAlignment="1" applyProtection="1">
      <alignment horizontal="center" vertical="center" shrinkToFit="1"/>
      <protection locked="0"/>
    </xf>
    <xf numFmtId="192" fontId="46" fillId="0" borderId="266" xfId="0" applyNumberFormat="1" applyFont="1" applyFill="1" applyBorder="1" applyAlignment="1" applyProtection="1">
      <alignment horizontal="center" vertical="center" shrinkToFit="1"/>
      <protection locked="0"/>
    </xf>
    <xf numFmtId="0" fontId="3" fillId="0" borderId="0" xfId="0" applyFont="1" applyBorder="1" applyAlignment="1">
      <alignment horizontal="center" vertical="center"/>
    </xf>
    <xf numFmtId="189" fontId="9" fillId="0" borderId="263" xfId="0" applyNumberFormat="1" applyFont="1" applyFill="1" applyBorder="1" applyAlignment="1" applyProtection="1">
      <alignment horizontal="center" vertical="center" shrinkToFit="1"/>
      <protection locked="0"/>
    </xf>
    <xf numFmtId="189" fontId="9" fillId="0" borderId="264" xfId="0" applyNumberFormat="1" applyFont="1" applyFill="1" applyBorder="1" applyAlignment="1" applyProtection="1">
      <alignment horizontal="center" vertical="center" shrinkToFit="1"/>
      <protection locked="0"/>
    </xf>
    <xf numFmtId="0" fontId="51" fillId="0" borderId="0" xfId="0" applyFont="1" applyFill="1" applyBorder="1" applyAlignment="1" applyProtection="1">
      <alignment horizontal="center" vertical="center"/>
    </xf>
    <xf numFmtId="178" fontId="4" fillId="0" borderId="272" xfId="0" applyNumberFormat="1" applyFont="1" applyBorder="1" applyAlignment="1" applyProtection="1">
      <alignment horizontal="center" vertical="center" shrinkToFit="1"/>
      <protection locked="0"/>
    </xf>
    <xf numFmtId="178" fontId="4" fillId="0" borderId="167" xfId="0" applyNumberFormat="1" applyFont="1" applyBorder="1" applyAlignment="1" applyProtection="1">
      <alignment horizontal="center" vertical="center" shrinkToFit="1"/>
      <protection locked="0"/>
    </xf>
    <xf numFmtId="0" fontId="28" fillId="25" borderId="233" xfId="0" applyFont="1" applyFill="1" applyBorder="1" applyAlignment="1">
      <alignment horizontal="left" vertical="center" wrapText="1"/>
    </xf>
    <xf numFmtId="0" fontId="28" fillId="25" borderId="234" xfId="0" applyFont="1" applyFill="1" applyBorder="1" applyAlignment="1">
      <alignment horizontal="left" vertical="center" wrapText="1"/>
    </xf>
    <xf numFmtId="0" fontId="28" fillId="25" borderId="235" xfId="0" applyFont="1" applyFill="1" applyBorder="1" applyAlignment="1">
      <alignment horizontal="left" vertical="center" wrapText="1"/>
    </xf>
    <xf numFmtId="178" fontId="4" fillId="0" borderId="247" xfId="0" applyNumberFormat="1" applyFont="1" applyBorder="1" applyAlignment="1" applyProtection="1">
      <alignment horizontal="center" vertical="center" shrinkToFit="1"/>
      <protection locked="0"/>
    </xf>
    <xf numFmtId="178" fontId="4" fillId="0" borderId="248" xfId="0" applyNumberFormat="1" applyFont="1" applyBorder="1" applyAlignment="1" applyProtection="1">
      <alignment horizontal="center" vertical="center" shrinkToFit="1"/>
      <protection locked="0"/>
    </xf>
    <xf numFmtId="0" fontId="28" fillId="25" borderId="236" xfId="0" applyFont="1" applyFill="1" applyBorder="1" applyAlignment="1">
      <alignment horizontal="left" vertical="center" wrapText="1"/>
    </xf>
    <xf numFmtId="0" fontId="28" fillId="25" borderId="237" xfId="0" applyFont="1" applyFill="1" applyBorder="1" applyAlignment="1">
      <alignment horizontal="left" vertical="center" wrapText="1"/>
    </xf>
    <xf numFmtId="0" fontId="28" fillId="25" borderId="238" xfId="0" applyFont="1" applyFill="1" applyBorder="1" applyAlignment="1">
      <alignment horizontal="left" vertical="center" wrapText="1"/>
    </xf>
    <xf numFmtId="178" fontId="4" fillId="0" borderId="231" xfId="0" applyNumberFormat="1" applyFont="1" applyBorder="1" applyAlignment="1" applyProtection="1">
      <alignment horizontal="center" vertical="center" shrinkToFit="1"/>
      <protection locked="0"/>
    </xf>
    <xf numFmtId="178" fontId="4" fillId="0" borderId="230" xfId="0" applyNumberFormat="1" applyFont="1" applyBorder="1" applyAlignment="1" applyProtection="1">
      <alignment horizontal="center" vertical="center" shrinkToFit="1"/>
      <protection locked="0"/>
    </xf>
    <xf numFmtId="0" fontId="13" fillId="14" borderId="134" xfId="0" applyFont="1" applyFill="1" applyBorder="1" applyAlignment="1" applyProtection="1">
      <alignment horizontal="center" vertical="center"/>
    </xf>
    <xf numFmtId="0" fontId="13" fillId="14" borderId="133" xfId="0" applyFont="1" applyFill="1" applyBorder="1" applyAlignment="1" applyProtection="1">
      <alignment horizontal="center" vertical="center"/>
    </xf>
    <xf numFmtId="0" fontId="13" fillId="14" borderId="152" xfId="0" applyFont="1" applyFill="1" applyBorder="1" applyAlignment="1" applyProtection="1">
      <alignment horizontal="center" vertical="center"/>
    </xf>
    <xf numFmtId="0" fontId="13" fillId="14" borderId="65" xfId="0" applyFont="1" applyFill="1" applyBorder="1" applyAlignment="1" applyProtection="1">
      <alignment horizontal="center" vertical="center"/>
    </xf>
    <xf numFmtId="0" fontId="13" fillId="14" borderId="66" xfId="0" applyFont="1" applyFill="1" applyBorder="1" applyAlignment="1" applyProtection="1">
      <alignment horizontal="center" vertical="center"/>
    </xf>
    <xf numFmtId="178" fontId="4" fillId="0" borderId="246" xfId="0" applyNumberFormat="1" applyFont="1" applyBorder="1" applyAlignment="1" applyProtection="1">
      <alignment horizontal="center" vertical="center" shrinkToFit="1"/>
      <protection locked="0"/>
    </xf>
    <xf numFmtId="0" fontId="28" fillId="25" borderId="239" xfId="0" applyFont="1" applyFill="1" applyBorder="1" applyAlignment="1">
      <alignment horizontal="left" vertical="center" wrapText="1"/>
    </xf>
    <xf numFmtId="0" fontId="28" fillId="25" borderId="274" xfId="0" applyFont="1" applyFill="1" applyBorder="1" applyAlignment="1">
      <alignment horizontal="left" vertical="center" wrapText="1"/>
    </xf>
    <xf numFmtId="0" fontId="28" fillId="25" borderId="276" xfId="0" applyFont="1" applyFill="1" applyBorder="1" applyAlignment="1">
      <alignment horizontal="left" vertical="center" wrapText="1"/>
    </xf>
    <xf numFmtId="0" fontId="28" fillId="25" borderId="277" xfId="0" applyFont="1" applyFill="1" applyBorder="1" applyAlignment="1">
      <alignment horizontal="left" vertical="center" wrapText="1"/>
    </xf>
    <xf numFmtId="0" fontId="28" fillId="25" borderId="281" xfId="0" applyFont="1" applyFill="1" applyBorder="1" applyAlignment="1">
      <alignment horizontal="left" vertical="center" wrapText="1"/>
    </xf>
    <xf numFmtId="0" fontId="28" fillId="25" borderId="283" xfId="0" applyFont="1" applyFill="1" applyBorder="1" applyAlignment="1">
      <alignment horizontal="left" vertical="center" wrapText="1"/>
    </xf>
    <xf numFmtId="0" fontId="28" fillId="25" borderId="284" xfId="0" applyFont="1" applyFill="1" applyBorder="1" applyAlignment="1">
      <alignment horizontal="left" vertical="center" wrapText="1"/>
    </xf>
    <xf numFmtId="0" fontId="28" fillId="25" borderId="288" xfId="0" applyFont="1" applyFill="1" applyBorder="1" applyAlignment="1">
      <alignment horizontal="left" vertical="center" wrapText="1"/>
    </xf>
    <xf numFmtId="0" fontId="28" fillId="25" borderId="290" xfId="0" applyFont="1" applyFill="1" applyBorder="1" applyAlignment="1">
      <alignment horizontal="left" vertical="center" wrapText="1"/>
    </xf>
    <xf numFmtId="0" fontId="28" fillId="25" borderId="291" xfId="0" applyFont="1" applyFill="1" applyBorder="1" applyAlignment="1">
      <alignment horizontal="left" vertical="center" wrapText="1"/>
    </xf>
    <xf numFmtId="178" fontId="4" fillId="0" borderId="278" xfId="0" applyNumberFormat="1" applyFont="1" applyBorder="1" applyAlignment="1" applyProtection="1">
      <alignment horizontal="center" vertical="center" shrinkToFit="1"/>
      <protection locked="0"/>
    </xf>
    <xf numFmtId="178" fontId="4" fillId="0" borderId="279" xfId="0" applyNumberFormat="1" applyFont="1" applyBorder="1" applyAlignment="1" applyProtection="1">
      <alignment horizontal="center" vertical="center" shrinkToFit="1"/>
      <protection locked="0"/>
    </xf>
    <xf numFmtId="178" fontId="4" fillId="0" borderId="285" xfId="0" applyNumberFormat="1" applyFont="1" applyBorder="1" applyAlignment="1" applyProtection="1">
      <alignment horizontal="center" vertical="center" shrinkToFit="1"/>
      <protection locked="0"/>
    </xf>
    <xf numFmtId="178" fontId="4" fillId="0" borderId="286" xfId="0" applyNumberFormat="1" applyFont="1" applyBorder="1" applyAlignment="1" applyProtection="1">
      <alignment horizontal="center" vertical="center" shrinkToFit="1"/>
      <protection locked="0"/>
    </xf>
    <xf numFmtId="0" fontId="3" fillId="18" borderId="89" xfId="0" applyFont="1" applyFill="1" applyBorder="1" applyAlignment="1">
      <alignment horizontal="right" shrinkToFit="1"/>
    </xf>
    <xf numFmtId="0" fontId="0" fillId="0" borderId="89" xfId="0" applyFont="1" applyBorder="1" applyAlignment="1">
      <alignment shrinkToFit="1"/>
    </xf>
    <xf numFmtId="0" fontId="0" fillId="0" borderId="183" xfId="0" applyFont="1" applyBorder="1" applyAlignment="1">
      <alignment shrinkToFit="1"/>
    </xf>
    <xf numFmtId="0" fontId="28" fillId="18" borderId="199" xfId="0" applyFont="1" applyFill="1" applyBorder="1" applyAlignment="1">
      <alignment horizontal="center" wrapText="1"/>
    </xf>
    <xf numFmtId="0" fontId="31" fillId="0" borderId="91" xfId="0" applyFont="1" applyBorder="1" applyAlignment="1">
      <alignment horizontal="center" wrapText="1"/>
    </xf>
    <xf numFmtId="0" fontId="3" fillId="18" borderId="217" xfId="0" applyFont="1" applyFill="1" applyBorder="1" applyAlignment="1">
      <alignment horizontal="center" vertical="center" textRotation="255"/>
    </xf>
    <xf numFmtId="0" fontId="0" fillId="0" borderId="204" xfId="0" applyBorder="1" applyAlignment="1">
      <alignment horizontal="center" vertical="center" textRotation="255"/>
    </xf>
    <xf numFmtId="0" fontId="0" fillId="0" borderId="183" xfId="0" applyBorder="1" applyAlignment="1">
      <alignment horizontal="center" vertical="center" textRotation="255"/>
    </xf>
    <xf numFmtId="181" fontId="24" fillId="0" borderId="156" xfId="0" applyNumberFormat="1" applyFont="1" applyBorder="1" applyAlignment="1" applyProtection="1">
      <alignment horizontal="left" vertical="center" wrapText="1"/>
      <protection locked="0"/>
    </xf>
    <xf numFmtId="181" fontId="24" fillId="0" borderId="38" xfId="0" applyNumberFormat="1" applyFont="1" applyBorder="1" applyAlignment="1" applyProtection="1">
      <alignment horizontal="left" vertical="center" wrapText="1"/>
      <protection locked="0"/>
    </xf>
    <xf numFmtId="181" fontId="24" fillId="0" borderId="39" xfId="0" applyNumberFormat="1" applyFont="1" applyBorder="1" applyAlignment="1" applyProtection="1">
      <alignment horizontal="left" vertical="center" wrapText="1"/>
      <protection locked="0"/>
    </xf>
    <xf numFmtId="0" fontId="22" fillId="0" borderId="11" xfId="0" applyFont="1" applyBorder="1" applyAlignment="1">
      <alignment horizontal="center" vertical="center"/>
    </xf>
    <xf numFmtId="0" fontId="0" fillId="0" borderId="11" xfId="0" applyBorder="1" applyAlignment="1">
      <alignment vertical="center"/>
    </xf>
    <xf numFmtId="179" fontId="18" fillId="0" borderId="157" xfId="0" applyNumberFormat="1" applyFont="1" applyBorder="1" applyAlignment="1">
      <alignment horizontal="center" vertical="center" shrinkToFit="1"/>
    </xf>
    <xf numFmtId="179" fontId="18" fillId="0" borderId="158" xfId="0" applyNumberFormat="1" applyFont="1" applyBorder="1" applyAlignment="1">
      <alignment horizontal="center" vertical="center" shrinkToFit="1"/>
    </xf>
    <xf numFmtId="0" fontId="21" fillId="0" borderId="0" xfId="0" applyFont="1" applyAlignment="1" applyProtection="1">
      <alignment horizontal="center" vertical="center"/>
      <protection locked="0"/>
    </xf>
    <xf numFmtId="179" fontId="18" fillId="0" borderId="159" xfId="0" applyNumberFormat="1" applyFont="1" applyBorder="1" applyAlignment="1" applyProtection="1">
      <alignment horizontal="center" vertical="center" shrinkToFit="1"/>
      <protection locked="0"/>
    </xf>
    <xf numFmtId="179" fontId="18" fillId="0" borderId="103" xfId="0" applyNumberFormat="1" applyFont="1" applyBorder="1" applyAlignment="1" applyProtection="1">
      <alignment horizontal="center" vertical="center" shrinkToFit="1"/>
      <protection locked="0"/>
    </xf>
    <xf numFmtId="179" fontId="18" fillId="0" borderId="104" xfId="0" applyNumberFormat="1" applyFont="1" applyBorder="1" applyAlignment="1" applyProtection="1">
      <alignment horizontal="center" vertical="center" shrinkToFit="1"/>
      <protection locked="0"/>
    </xf>
    <xf numFmtId="179" fontId="18" fillId="0" borderId="160" xfId="0" applyNumberFormat="1" applyFont="1" applyBorder="1" applyAlignment="1" applyProtection="1">
      <alignment horizontal="center" vertical="center" shrinkToFit="1"/>
      <protection locked="0"/>
    </xf>
    <xf numFmtId="0" fontId="23" fillId="0" borderId="166" xfId="0" applyFont="1" applyBorder="1" applyAlignment="1">
      <alignment horizontal="center" vertical="center" shrinkToFit="1"/>
    </xf>
    <xf numFmtId="0" fontId="23" fillId="0" borderId="167" xfId="0" applyFont="1" applyBorder="1" applyAlignment="1">
      <alignment horizontal="center" vertical="center" shrinkToFit="1"/>
    </xf>
    <xf numFmtId="0" fontId="23" fillId="0" borderId="92" xfId="0" applyFont="1" applyBorder="1" applyAlignment="1">
      <alignment horizontal="center" vertical="center" shrinkToFit="1"/>
    </xf>
    <xf numFmtId="0" fontId="23" fillId="0" borderId="166" xfId="0" applyFont="1" applyBorder="1" applyAlignment="1">
      <alignment horizontal="center" shrinkToFit="1"/>
    </xf>
    <xf numFmtId="0" fontId="23" fillId="0" borderId="167" xfId="0" applyFont="1" applyBorder="1" applyAlignment="1">
      <alignment horizontal="center" shrinkToFit="1"/>
    </xf>
    <xf numFmtId="0" fontId="0" fillId="0" borderId="167" xfId="0" applyBorder="1" applyAlignment="1">
      <alignment horizontal="center" shrinkToFit="1"/>
    </xf>
    <xf numFmtId="0" fontId="0" fillId="0" borderId="92" xfId="0" applyBorder="1" applyAlignment="1">
      <alignment horizontal="center" shrinkToFit="1"/>
    </xf>
    <xf numFmtId="0" fontId="0" fillId="0" borderId="167" xfId="0" applyBorder="1" applyAlignment="1">
      <alignment shrinkToFit="1"/>
    </xf>
    <xf numFmtId="0" fontId="0" fillId="0" borderId="92" xfId="0" applyBorder="1" applyAlignment="1">
      <alignment shrinkToFit="1"/>
    </xf>
    <xf numFmtId="0" fontId="23" fillId="12" borderId="161" xfId="0" applyFont="1" applyFill="1" applyBorder="1" applyAlignment="1">
      <alignment horizontal="center" vertical="center" shrinkToFit="1"/>
    </xf>
    <xf numFmtId="0" fontId="23" fillId="12" borderId="162" xfId="0" applyFont="1" applyFill="1" applyBorder="1" applyAlignment="1">
      <alignment horizontal="center" vertical="center" shrinkToFit="1"/>
    </xf>
    <xf numFmtId="0" fontId="23" fillId="12" borderId="94" xfId="0" applyFont="1" applyFill="1" applyBorder="1" applyAlignment="1">
      <alignment horizontal="center" vertical="center" shrinkToFit="1"/>
    </xf>
    <xf numFmtId="0" fontId="23" fillId="12" borderId="163" xfId="0" applyFont="1" applyFill="1" applyBorder="1" applyAlignment="1">
      <alignment horizontal="center" vertical="center" shrinkToFit="1"/>
    </xf>
    <xf numFmtId="0" fontId="23" fillId="12" borderId="164" xfId="0" applyFont="1" applyFill="1" applyBorder="1" applyAlignment="1">
      <alignment horizontal="center" vertical="center" shrinkToFit="1"/>
    </xf>
    <xf numFmtId="0" fontId="23" fillId="12" borderId="99" xfId="0" applyFont="1" applyFill="1" applyBorder="1" applyAlignment="1">
      <alignment horizontal="center" vertical="center" shrinkToFit="1"/>
    </xf>
    <xf numFmtId="0" fontId="23" fillId="12" borderId="118" xfId="0" applyFont="1" applyFill="1" applyBorder="1" applyAlignment="1">
      <alignment horizontal="center" vertical="center" shrinkToFit="1"/>
    </xf>
    <xf numFmtId="0" fontId="23" fillId="12" borderId="165" xfId="0" applyFont="1" applyFill="1" applyBorder="1" applyAlignment="1">
      <alignment horizontal="center" vertical="center" shrinkToFit="1"/>
    </xf>
    <xf numFmtId="0" fontId="23" fillId="12" borderId="93" xfId="0" applyFont="1" applyFill="1" applyBorder="1" applyAlignment="1">
      <alignment horizontal="center" vertical="center" shrinkToFit="1"/>
    </xf>
    <xf numFmtId="0" fontId="23" fillId="12" borderId="163" xfId="0" applyFont="1" applyFill="1" applyBorder="1" applyAlignment="1">
      <alignment horizontal="center" vertical="center"/>
    </xf>
    <xf numFmtId="0" fontId="23" fillId="12" borderId="164" xfId="0" applyFont="1" applyFill="1" applyBorder="1" applyAlignment="1">
      <alignment horizontal="center" vertical="center"/>
    </xf>
    <xf numFmtId="0" fontId="23" fillId="12" borderId="99" xfId="0" applyFont="1" applyFill="1" applyBorder="1" applyAlignment="1">
      <alignment horizontal="center" vertical="center"/>
    </xf>
    <xf numFmtId="0" fontId="23" fillId="12" borderId="118" xfId="0" applyFont="1" applyFill="1" applyBorder="1" applyAlignment="1">
      <alignment horizontal="center" vertical="center"/>
    </xf>
    <xf numFmtId="0" fontId="23" fillId="12" borderId="165" xfId="0" applyFont="1" applyFill="1" applyBorder="1" applyAlignment="1">
      <alignment horizontal="center" vertical="center"/>
    </xf>
    <xf numFmtId="0" fontId="23" fillId="12" borderId="93" xfId="0" applyFont="1" applyFill="1" applyBorder="1" applyAlignment="1">
      <alignment horizontal="center" vertical="center"/>
    </xf>
    <xf numFmtId="0" fontId="18" fillId="0" borderId="133" xfId="0" applyFont="1" applyBorder="1" applyAlignment="1">
      <alignment horizontal="center" vertical="center" shrinkToFit="1"/>
    </xf>
    <xf numFmtId="0" fontId="18" fillId="0" borderId="169" xfId="0" applyFont="1" applyBorder="1" applyAlignment="1">
      <alignment horizontal="center" vertical="center" shrinkToFit="1"/>
    </xf>
    <xf numFmtId="0" fontId="18" fillId="0" borderId="170" xfId="0" applyFont="1" applyBorder="1" applyAlignment="1">
      <alignment horizontal="center" vertical="center"/>
    </xf>
    <xf numFmtId="0" fontId="0" fillId="0" borderId="133" xfId="0" applyBorder="1" applyAlignment="1">
      <alignment horizontal="center" vertical="center"/>
    </xf>
    <xf numFmtId="0" fontId="0" fillId="0" borderId="171" xfId="0" applyBorder="1" applyAlignment="1">
      <alignment horizontal="center" vertical="center"/>
    </xf>
    <xf numFmtId="9" fontId="18" fillId="11" borderId="172" xfId="0" applyNumberFormat="1" applyFont="1" applyFill="1" applyBorder="1" applyAlignment="1" applyProtection="1">
      <alignment horizontal="center" vertical="center" shrinkToFit="1"/>
      <protection locked="0"/>
    </xf>
    <xf numFmtId="9" fontId="0" fillId="11" borderId="173" xfId="0" applyNumberFormat="1" applyFill="1" applyBorder="1" applyAlignment="1">
      <alignment horizontal="center" vertical="center" shrinkToFit="1"/>
    </xf>
    <xf numFmtId="178" fontId="18" fillId="0" borderId="174" xfId="0" applyNumberFormat="1" applyFont="1" applyBorder="1" applyAlignment="1" applyProtection="1">
      <alignment horizontal="left" vertical="center" shrinkToFit="1"/>
      <protection locked="0"/>
    </xf>
    <xf numFmtId="178" fontId="18" fillId="0" borderId="136" xfId="0" applyNumberFormat="1" applyFont="1" applyBorder="1" applyAlignment="1" applyProtection="1">
      <alignment horizontal="left" vertical="center" shrinkToFit="1"/>
      <protection locked="0"/>
    </xf>
    <xf numFmtId="178" fontId="18" fillId="0" borderId="175" xfId="0" applyNumberFormat="1" applyFont="1" applyBorder="1" applyAlignment="1" applyProtection="1">
      <alignment horizontal="left" vertical="center" shrinkToFit="1"/>
      <protection locked="0"/>
    </xf>
    <xf numFmtId="0" fontId="21" fillId="0" borderId="168" xfId="0" applyFont="1" applyBorder="1" applyAlignment="1" applyProtection="1">
      <alignment horizontal="center" vertical="center"/>
      <protection locked="0"/>
    </xf>
    <xf numFmtId="0" fontId="21" fillId="10" borderId="168" xfId="0" applyFont="1" applyFill="1" applyBorder="1" applyAlignment="1" applyProtection="1">
      <alignment vertical="center" shrinkToFit="1"/>
      <protection locked="0"/>
    </xf>
  </cellXfs>
  <cellStyles count="5">
    <cellStyle name="パーセント 2" xfId="3" xr:uid="{00000000-0005-0000-0000-000000000000}"/>
    <cellStyle name="桁区切り" xfId="4" builtinId="6"/>
    <cellStyle name="桁区切り 2" xfId="1" xr:uid="{00000000-0005-0000-0000-000002000000}"/>
    <cellStyle name="標準" xfId="0" builtinId="0"/>
    <cellStyle name="標準 2" xfId="2" xr:uid="{00000000-0005-0000-0000-000004000000}"/>
  </cellStyles>
  <dxfs count="4">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9" defaultPivotStyle="PivotStyleLight16"/>
  <colors>
    <mruColors>
      <color rgb="FFFFFF99"/>
      <color rgb="FF9933FF"/>
      <color rgb="FFCC66FF"/>
      <color rgb="FFFF3399"/>
      <color rgb="FF9966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12</xdr:col>
      <xdr:colOff>156881</xdr:colOff>
      <xdr:row>13</xdr:row>
      <xdr:rowOff>100853</xdr:rowOff>
    </xdr:from>
    <xdr:to>
      <xdr:col>17</xdr:col>
      <xdr:colOff>930087</xdr:colOff>
      <xdr:row>15</xdr:row>
      <xdr:rowOff>145676</xdr:rowOff>
    </xdr:to>
    <xdr:sp macro="" textlink="">
      <xdr:nvSpPr>
        <xdr:cNvPr id="2" name="四角形吹き出し 1">
          <a:extLst>
            <a:ext uri="{FF2B5EF4-FFF2-40B4-BE49-F238E27FC236}">
              <a16:creationId xmlns:a16="http://schemas.microsoft.com/office/drawing/2014/main" id="{00000000-0008-0000-0100-000002000000}"/>
            </a:ext>
          </a:extLst>
        </xdr:cNvPr>
        <xdr:cNvSpPr/>
      </xdr:nvSpPr>
      <xdr:spPr bwMode="auto">
        <a:xfrm>
          <a:off x="10959352" y="2891118"/>
          <a:ext cx="3720353" cy="605117"/>
        </a:xfrm>
        <a:prstGeom prst="wedgeRectCallout">
          <a:avLst>
            <a:gd name="adj1" fmla="val -52421"/>
            <a:gd name="adj2" fmla="val -282718"/>
          </a:avLst>
        </a:prstGeom>
        <a:solidFill>
          <a:srgbClr val="FFFF00"/>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ctr" anchorCtr="1" upright="1"/>
        <a:lstStyle/>
        <a:p>
          <a:pPr algn="l"/>
          <a:r>
            <a:rPr kumimoji="1" lang="ja-JP" altLang="en-US" sz="1100"/>
            <a:t>明細情報欄の黄色塗部は必ず設計担当で入力願います。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828675</xdr:colOff>
      <xdr:row>0</xdr:row>
      <xdr:rowOff>57151</xdr:rowOff>
    </xdr:from>
    <xdr:to>
      <xdr:col>4</xdr:col>
      <xdr:colOff>200025</xdr:colOff>
      <xdr:row>1</xdr:row>
      <xdr:rowOff>114300</xdr:rowOff>
    </xdr:to>
    <xdr:sp macro="" textlink="">
      <xdr:nvSpPr>
        <xdr:cNvPr id="3" name="Text Box 213">
          <a:extLst>
            <a:ext uri="{FF2B5EF4-FFF2-40B4-BE49-F238E27FC236}">
              <a16:creationId xmlns:a16="http://schemas.microsoft.com/office/drawing/2014/main" id="{00000000-0008-0000-0200-000003000000}"/>
            </a:ext>
          </a:extLst>
        </xdr:cNvPr>
        <xdr:cNvSpPr txBox="1">
          <a:spLocks noChangeArrowheads="1"/>
        </xdr:cNvSpPr>
      </xdr:nvSpPr>
      <xdr:spPr bwMode="auto">
        <a:xfrm>
          <a:off x="1295400" y="57151"/>
          <a:ext cx="2867025" cy="304799"/>
        </a:xfrm>
        <a:prstGeom prst="rect">
          <a:avLst/>
        </a:prstGeom>
        <a:solidFill>
          <a:srgbClr val="FFCC99"/>
        </a:solidFill>
        <a:ln w="19050">
          <a:solidFill>
            <a:srgbClr val="000000"/>
          </a:solidFill>
          <a:miter lim="800000"/>
          <a:headEnd/>
          <a:tailEnd/>
        </a:ln>
      </xdr:spPr>
      <xdr:txBody>
        <a:bodyPr vertOverflow="clip" wrap="square" lIns="36576" tIns="22860" rIns="0" bIns="0" anchor="t" upright="1"/>
        <a:lstStyle/>
        <a:p>
          <a:pPr algn="l" rtl="0">
            <a:defRPr sz="1000"/>
          </a:pPr>
          <a:r>
            <a:rPr lang="ja-JP" altLang="en-US" sz="1400" b="0" i="0" strike="noStrike">
              <a:solidFill>
                <a:srgbClr val="000000"/>
              </a:solidFill>
              <a:latin typeface="ＭＳ Ｐゴシック"/>
              <a:ea typeface="ＭＳ Ｐゴシック"/>
            </a:rPr>
            <a:t>＜－工事名称を変更するときは</a:t>
          </a:r>
          <a:r>
            <a:rPr lang="en-US" altLang="ja-JP" sz="1400" b="0" i="0" strike="noStrike">
              <a:solidFill>
                <a:srgbClr val="000000"/>
              </a:solidFill>
              <a:latin typeface="ＭＳ Ｐゴシック"/>
              <a:ea typeface="ＭＳ Ｐゴシック"/>
            </a:rPr>
            <a:t>､</a:t>
          </a:r>
          <a:r>
            <a:rPr lang="ja-JP" altLang="en-US" sz="1400" b="0" i="0" strike="noStrike">
              <a:solidFill>
                <a:srgbClr val="000000"/>
              </a:solidFill>
              <a:latin typeface="ＭＳ Ｐゴシック"/>
              <a:ea typeface="ＭＳ Ｐゴシック"/>
            </a:rPr>
            <a:t>Ｃ２のセルを変更してください。</a:t>
          </a:r>
        </a:p>
      </xdr:txBody>
    </xdr:sp>
    <xdr:clientData fPrintsWithSheet="0"/>
  </xdr:twoCellAnchor>
  <xdr:twoCellAnchor>
    <xdr:from>
      <xdr:col>16</xdr:col>
      <xdr:colOff>649941</xdr:colOff>
      <xdr:row>25</xdr:row>
      <xdr:rowOff>313765</xdr:rowOff>
    </xdr:from>
    <xdr:to>
      <xdr:col>19</xdr:col>
      <xdr:colOff>1109382</xdr:colOff>
      <xdr:row>28</xdr:row>
      <xdr:rowOff>134470</xdr:rowOff>
    </xdr:to>
    <xdr:sp macro="" textlink="">
      <xdr:nvSpPr>
        <xdr:cNvPr id="2" name="左矢印吹き出し 1">
          <a:extLst>
            <a:ext uri="{FF2B5EF4-FFF2-40B4-BE49-F238E27FC236}">
              <a16:creationId xmlns:a16="http://schemas.microsoft.com/office/drawing/2014/main" id="{00000000-0008-0000-0200-000002000000}"/>
            </a:ext>
          </a:extLst>
        </xdr:cNvPr>
        <xdr:cNvSpPr/>
      </xdr:nvSpPr>
      <xdr:spPr bwMode="auto">
        <a:xfrm>
          <a:off x="13267765" y="806824"/>
          <a:ext cx="4022911" cy="986117"/>
        </a:xfrm>
        <a:prstGeom prst="leftArrowCallout">
          <a:avLst>
            <a:gd name="adj1" fmla="val 25000"/>
            <a:gd name="adj2" fmla="val 25000"/>
            <a:gd name="adj3" fmla="val 25000"/>
            <a:gd name="adj4" fmla="val 93348"/>
          </a:avLst>
        </a:prstGeom>
        <a:solidFill>
          <a:schemeClr val="accent5"/>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ctr" anchorCtr="0" upright="1"/>
        <a:lstStyle/>
        <a:p>
          <a:pPr algn="l"/>
          <a:r>
            <a:rPr kumimoji="1" lang="ja-JP" altLang="en-US" sz="1000"/>
            <a:t>資産管理明細書は事業単位で作成して下さい。</a:t>
          </a:r>
          <a:endParaRPr kumimoji="1" lang="en-US" altLang="ja-JP" sz="1000"/>
        </a:p>
        <a:p>
          <a:pPr algn="l"/>
          <a:r>
            <a:rPr kumimoji="1" lang="ja-JP" altLang="en-US" sz="1000"/>
            <a:t>例：２つの事業を一つの工事で発注する場合（ＷＢＳ管理シートが２枚有る場合）はＬ２セルに２を入力し、資産管理明細書を２枚作成。</a:t>
          </a:r>
          <a:r>
            <a:rPr kumimoji="1" lang="en-US" altLang="ja-JP" sz="1000"/>
            <a:t>※</a:t>
          </a:r>
          <a:r>
            <a:rPr kumimoji="1" lang="ja-JP" altLang="en-US" sz="1000"/>
            <a:t>１事業で分類が多く、複数枚に跨るのはＯＫ。</a:t>
          </a:r>
        </a:p>
      </xdr:txBody>
    </xdr:sp>
    <xdr:clientData/>
  </xdr:twoCellAnchor>
  <xdr:twoCellAnchor>
    <xdr:from>
      <xdr:col>16</xdr:col>
      <xdr:colOff>649941</xdr:colOff>
      <xdr:row>2</xdr:row>
      <xdr:rowOff>313765</xdr:rowOff>
    </xdr:from>
    <xdr:to>
      <xdr:col>19</xdr:col>
      <xdr:colOff>1109382</xdr:colOff>
      <xdr:row>5</xdr:row>
      <xdr:rowOff>134470</xdr:rowOff>
    </xdr:to>
    <xdr:sp macro="" textlink="">
      <xdr:nvSpPr>
        <xdr:cNvPr id="4" name="左矢印吹き出し 3">
          <a:extLst>
            <a:ext uri="{FF2B5EF4-FFF2-40B4-BE49-F238E27FC236}">
              <a16:creationId xmlns:a16="http://schemas.microsoft.com/office/drawing/2014/main" id="{00000000-0008-0000-0200-000004000000}"/>
            </a:ext>
          </a:extLst>
        </xdr:cNvPr>
        <xdr:cNvSpPr/>
      </xdr:nvSpPr>
      <xdr:spPr bwMode="auto">
        <a:xfrm>
          <a:off x="13267765" y="6477000"/>
          <a:ext cx="4022911" cy="986117"/>
        </a:xfrm>
        <a:prstGeom prst="leftArrowCallout">
          <a:avLst>
            <a:gd name="adj1" fmla="val 25000"/>
            <a:gd name="adj2" fmla="val 25000"/>
            <a:gd name="adj3" fmla="val 25000"/>
            <a:gd name="adj4" fmla="val 93348"/>
          </a:avLst>
        </a:prstGeom>
        <a:solidFill>
          <a:schemeClr val="accent5"/>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ctr" anchorCtr="0" upright="1"/>
        <a:lstStyle/>
        <a:p>
          <a:pPr algn="l"/>
          <a:r>
            <a:rPr kumimoji="1" lang="ja-JP" altLang="en-US" sz="1000"/>
            <a:t>資産管理明細書は事業単位で作成して下さい。</a:t>
          </a:r>
          <a:endParaRPr kumimoji="1" lang="en-US" altLang="ja-JP" sz="1000"/>
        </a:p>
        <a:p>
          <a:pPr algn="l"/>
          <a:r>
            <a:rPr kumimoji="1" lang="ja-JP" altLang="en-US" sz="1000"/>
            <a:t>例：２つの事業を一つの工事で発注する場合（ＷＢＳ管理シートが２枚有る場合）はＬ２セルに２を入力し、資産管理明細書を２枚作成。</a:t>
          </a:r>
          <a:r>
            <a:rPr kumimoji="1" lang="en-US" altLang="ja-JP" sz="1000"/>
            <a:t>※</a:t>
          </a:r>
          <a:r>
            <a:rPr kumimoji="1" lang="ja-JP" altLang="en-US" sz="1000"/>
            <a:t>１事業で分類が多く、複数枚に跨るのはＯＫ。</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12</xdr:row>
          <xdr:rowOff>88900</xdr:rowOff>
        </xdr:from>
        <xdr:to>
          <xdr:col>3</xdr:col>
          <xdr:colOff>1041400</xdr:colOff>
          <xdr:row>16</xdr:row>
          <xdr:rowOff>76200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300-000001300000}"/>
                </a:ext>
              </a:extLst>
            </xdr:cNvPr>
            <xdr:cNvSpPr/>
          </xdr:nvSpPr>
          <xdr:spPr bwMode="auto">
            <a:xfrm>
              <a:off x="0" y="0"/>
              <a:ext cx="0" cy="0"/>
            </a:xfrm>
            <a:prstGeom prst="rect">
              <a:avLst/>
            </a:prstGeom>
            <a:noFill/>
            <a:ln w="9525">
              <a:miter lim="800000"/>
              <a:headEnd/>
              <a:tailEnd/>
            </a:ln>
          </xdr:spPr>
          <xdr:txBody>
            <a:bodyPr vertOverflow="clip" wrap="square" lIns="36576" tIns="22860" rIns="0" bIns="22860" anchor="ctr" upright="1"/>
            <a:lstStyle/>
            <a:p>
              <a:pPr algn="l" rtl="0">
                <a:defRPr sz="1000"/>
              </a:pPr>
              <a:r>
                <a:rPr lang="ja-JP" altLang="en-US" sz="1000" b="0" i="0" u="none" strike="noStrike" baseline="0">
                  <a:solidFill>
                    <a:srgbClr val="000000"/>
                  </a:solidFill>
                  <a:latin typeface="ＭＳ Ｐゴシック"/>
                  <a:ea typeface="ＭＳ Ｐゴシック"/>
                </a:rPr>
                <a:t>手順③</a:t>
              </a:r>
            </a:p>
            <a:p>
              <a:pPr algn="l" rtl="0">
                <a:defRPr sz="1000"/>
              </a:pPr>
              <a:r>
                <a:rPr lang="ja-JP" altLang="en-US" sz="1000" b="0" i="0" u="none" strike="noStrike" baseline="0">
                  <a:solidFill>
                    <a:srgbClr val="000000"/>
                  </a:solidFill>
                  <a:latin typeface="ＭＳ Ｐゴシック"/>
                  <a:ea typeface="ＭＳ Ｐゴシック"/>
                </a:rPr>
                <a:t>本表の金額入力が完了したらクリック（不要な行を非表示）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8</xdr:row>
          <xdr:rowOff>50800</xdr:rowOff>
        </xdr:from>
        <xdr:to>
          <xdr:col>3</xdr:col>
          <xdr:colOff>1054100</xdr:colOff>
          <xdr:row>12</xdr:row>
          <xdr:rowOff>25400</xdr:rowOff>
        </xdr:to>
        <xdr:sp macro="" textlink="">
          <xdr:nvSpPr>
            <xdr:cNvPr id="12318" name="Button 30" hidden="1">
              <a:extLst>
                <a:ext uri="{63B3BB69-23CF-44E3-9099-C40C66FF867C}">
                  <a14:compatExt spid="_x0000_s12318"/>
                </a:ext>
                <a:ext uri="{FF2B5EF4-FFF2-40B4-BE49-F238E27FC236}">
                  <a16:creationId xmlns:a16="http://schemas.microsoft.com/office/drawing/2014/main" id="{00000000-0008-0000-0300-00001E300000}"/>
                </a:ext>
              </a:extLst>
            </xdr:cNvPr>
            <xdr:cNvSpPr/>
          </xdr:nvSpPr>
          <xdr:spPr bwMode="auto">
            <a:xfrm>
              <a:off x="0" y="0"/>
              <a:ext cx="0" cy="0"/>
            </a:xfrm>
            <a:prstGeom prst="rect">
              <a:avLst/>
            </a:prstGeom>
            <a:noFill/>
            <a:ln w="9525">
              <a:miter lim="800000"/>
              <a:headEnd/>
              <a:tailEnd/>
            </a:ln>
          </xdr:spPr>
          <xdr:txBody>
            <a:bodyPr vertOverflow="clip" wrap="square" lIns="36576" tIns="22860" rIns="0" bIns="22860" anchor="ctr" upright="1"/>
            <a:lstStyle/>
            <a:p>
              <a:pPr algn="l" rtl="0">
                <a:defRPr sz="1000"/>
              </a:pPr>
              <a:r>
                <a:rPr lang="ja-JP" altLang="en-US" sz="1000" b="0" i="0" u="none" strike="noStrike" baseline="0">
                  <a:solidFill>
                    <a:srgbClr val="000000"/>
                  </a:solidFill>
                  <a:latin typeface="ＭＳ Ｐゴシック"/>
                  <a:ea typeface="ＭＳ Ｐゴシック"/>
                </a:rPr>
                <a:t>手順②</a:t>
              </a:r>
            </a:p>
            <a:p>
              <a:pPr algn="l" rtl="0">
                <a:defRPr sz="1000"/>
              </a:pPr>
              <a:r>
                <a:rPr lang="ja-JP" altLang="en-US" sz="1000" b="0" i="0" u="none" strike="noStrike" baseline="0">
                  <a:solidFill>
                    <a:srgbClr val="000000"/>
                  </a:solidFill>
                  <a:latin typeface="ＭＳ Ｐゴシック"/>
                  <a:ea typeface="ＭＳ Ｐゴシック"/>
                </a:rPr>
                <a:t>Ｈ列が完成したらクリック（工事２以降がある場合）</a:t>
              </a:r>
            </a:p>
          </xdr:txBody>
        </xdr:sp>
        <xdr:clientData fPrintsWithSheet="0"/>
      </xdr:twoCellAnchor>
    </mc:Choice>
    <mc:Fallback/>
  </mc:AlternateContent>
  <xdr:twoCellAnchor>
    <xdr:from>
      <xdr:col>9</xdr:col>
      <xdr:colOff>428625</xdr:colOff>
      <xdr:row>64</xdr:row>
      <xdr:rowOff>28575</xdr:rowOff>
    </xdr:from>
    <xdr:to>
      <xdr:col>18</xdr:col>
      <xdr:colOff>85725</xdr:colOff>
      <xdr:row>74</xdr:row>
      <xdr:rowOff>76200</xdr:rowOff>
    </xdr:to>
    <xdr:sp macro="" textlink="">
      <xdr:nvSpPr>
        <xdr:cNvPr id="5" name="テキスト ボックス 4">
          <a:extLst>
            <a:ext uri="{FF2B5EF4-FFF2-40B4-BE49-F238E27FC236}">
              <a16:creationId xmlns:a16="http://schemas.microsoft.com/office/drawing/2014/main" id="{00000000-0008-0000-0300-000005000000}"/>
            </a:ext>
          </a:extLst>
        </xdr:cNvPr>
        <xdr:cNvSpPr txBox="1"/>
      </xdr:nvSpPr>
      <xdr:spPr>
        <a:xfrm>
          <a:off x="8782050" y="11001375"/>
          <a:ext cx="5829300" cy="1762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a:t>
          </a:r>
          <a:r>
            <a:rPr kumimoji="1" lang="ja-JP" altLang="en-US" sz="1100"/>
            <a:t>費用分類</a:t>
          </a:r>
          <a:r>
            <a:rPr kumimoji="1" lang="en-US" altLang="ja-JP" sz="1100"/>
            <a:t>】,</a:t>
          </a:r>
          <a:r>
            <a:rPr kumimoji="1" lang="ja-JP" altLang="en-US" sz="1100"/>
            <a:t>費用</a:t>
          </a:r>
          <a:r>
            <a:rPr kumimoji="1" lang="en-US" altLang="ja-JP" sz="1100"/>
            <a:t>,</a:t>
          </a:r>
          <a:r>
            <a:rPr kumimoji="1" lang="ja-JP" altLang="en-US" sz="1100"/>
            <a:t>　</a:t>
          </a:r>
          <a:r>
            <a:rPr kumimoji="1" lang="en-US" altLang="ja-JP" sz="1100"/>
            <a:t>,【</a:t>
          </a:r>
          <a:r>
            <a:rPr kumimoji="1" lang="ja-JP" altLang="en-US" sz="1100"/>
            <a:t>資産区分</a:t>
          </a:r>
          <a:r>
            <a:rPr kumimoji="1" lang="en-US" altLang="ja-JP" sz="1100"/>
            <a:t>】,</a:t>
          </a:r>
          <a:r>
            <a:rPr kumimoji="1" lang="ja-JP" altLang="en-US" sz="1100"/>
            <a:t>＜建物附属設備＞</a:t>
          </a:r>
          <a:r>
            <a:rPr kumimoji="1" lang="en-US" altLang="ja-JP" sz="1100"/>
            <a:t>,</a:t>
          </a:r>
          <a:r>
            <a:rPr kumimoji="1" lang="ja-JP" altLang="en-US" sz="1100"/>
            <a:t>店舗用簡易設備</a:t>
          </a:r>
          <a:r>
            <a:rPr kumimoji="1" lang="en-US" altLang="ja-JP" sz="1100"/>
            <a:t>,</a:t>
          </a:r>
          <a:r>
            <a:rPr kumimoji="1" lang="ja-JP" altLang="en-US" sz="1100"/>
            <a:t>可動間仕切り</a:t>
          </a:r>
          <a:r>
            <a:rPr kumimoji="1" lang="en-US" altLang="ja-JP" sz="1100"/>
            <a:t>-</a:t>
          </a:r>
          <a:r>
            <a:rPr kumimoji="1" lang="ja-JP" altLang="en-US" sz="1100"/>
            <a:t>簡易なもの</a:t>
          </a:r>
          <a:r>
            <a:rPr kumimoji="1" lang="en-US" altLang="ja-JP" sz="1100"/>
            <a:t>,</a:t>
          </a:r>
          <a:r>
            <a:rPr kumimoji="1" lang="ja-JP" altLang="en-US" sz="1100"/>
            <a:t>可動間仕切り</a:t>
          </a:r>
          <a:r>
            <a:rPr kumimoji="1" lang="en-US" altLang="ja-JP" sz="1100"/>
            <a:t>-</a:t>
          </a:r>
          <a:r>
            <a:rPr kumimoji="1" lang="ja-JP" altLang="en-US" sz="1100"/>
            <a:t>その他</a:t>
          </a:r>
          <a:r>
            <a:rPr kumimoji="1" lang="en-US" altLang="ja-JP" sz="1100"/>
            <a:t>,</a:t>
          </a:r>
          <a:r>
            <a:rPr kumimoji="1" lang="ja-JP" altLang="en-US" sz="1100"/>
            <a:t>シャッター・止水鉄扉等（金属製）</a:t>
          </a:r>
          <a:r>
            <a:rPr kumimoji="1" lang="en-US" altLang="ja-JP" sz="1100"/>
            <a:t>,</a:t>
          </a:r>
        </a:p>
        <a:p>
          <a:r>
            <a:rPr kumimoji="1" lang="en-US" altLang="ja-JP" sz="1100"/>
            <a:t>,</a:t>
          </a:r>
          <a:r>
            <a:rPr kumimoji="1" lang="ja-JP" altLang="en-US" sz="1100"/>
            <a:t>　</a:t>
          </a:r>
          <a:r>
            <a:rPr kumimoji="1" lang="en-US" altLang="ja-JP" sz="1100"/>
            <a:t>,</a:t>
          </a:r>
          <a:r>
            <a:rPr kumimoji="1" lang="ja-JP" altLang="en-US" sz="1100"/>
            <a:t>＜工具・器具・備品＞</a:t>
          </a:r>
          <a:r>
            <a:rPr kumimoji="1" lang="en-US" altLang="ja-JP" sz="1100"/>
            <a:t>,</a:t>
          </a:r>
          <a:r>
            <a:rPr kumimoji="1" lang="ja-JP" altLang="en-US" sz="1100"/>
            <a:t>電照サイン（金属製）</a:t>
          </a:r>
          <a:r>
            <a:rPr kumimoji="1" lang="en-US" altLang="ja-JP" sz="1100"/>
            <a:t>,</a:t>
          </a:r>
          <a:r>
            <a:rPr kumimoji="1" lang="ja-JP" altLang="en-US" sz="1100"/>
            <a:t>非電照サイン（金属製）</a:t>
          </a:r>
          <a:r>
            <a:rPr kumimoji="1" lang="en-US" altLang="ja-JP" sz="1100"/>
            <a:t>,</a:t>
          </a:r>
          <a:r>
            <a:rPr kumimoji="1" lang="ja-JP" altLang="en-US" sz="1100"/>
            <a:t>電照広告（金属製）</a:t>
          </a:r>
          <a:r>
            <a:rPr kumimoji="1" lang="en-US" altLang="ja-JP" sz="1100"/>
            <a:t>,</a:t>
          </a:r>
          <a:r>
            <a:rPr kumimoji="1" lang="ja-JP" altLang="en-US" sz="1100"/>
            <a:t>非電照広告（金属製）</a:t>
          </a:r>
          <a:r>
            <a:rPr kumimoji="1" lang="en-US" altLang="ja-JP" sz="1100"/>
            <a:t>,</a:t>
          </a:r>
          <a:r>
            <a:rPr kumimoji="1" lang="ja-JP" altLang="en-US" sz="1100"/>
            <a:t>電気設備</a:t>
          </a:r>
          <a:r>
            <a:rPr kumimoji="1" lang="en-US" altLang="ja-JP" sz="1100"/>
            <a:t>,</a:t>
          </a:r>
          <a:r>
            <a:rPr kumimoji="1" lang="ja-JP" altLang="en-US" sz="1100"/>
            <a:t>非電照サイン（その他）</a:t>
          </a:r>
          <a:r>
            <a:rPr kumimoji="1" lang="en-US" altLang="ja-JP" sz="1100"/>
            <a:t>,</a:t>
          </a:r>
          <a:r>
            <a:rPr kumimoji="1" lang="ja-JP" altLang="en-US" sz="1100"/>
            <a:t>非電照広告（その他）</a:t>
          </a:r>
          <a:r>
            <a:rPr kumimoji="1" lang="en-US" altLang="ja-JP" sz="1100"/>
            <a:t>,</a:t>
          </a:r>
          <a:r>
            <a:rPr kumimoji="1" lang="ja-JP" altLang="en-US" sz="1100"/>
            <a:t>無人駐車管理装置</a:t>
          </a:r>
          <a:r>
            <a:rPr kumimoji="1" lang="en-US" altLang="ja-JP" sz="1100"/>
            <a:t>,</a:t>
          </a:r>
          <a:r>
            <a:rPr kumimoji="1" lang="ja-JP" altLang="en-US" sz="1100"/>
            <a:t>その他（金属製）</a:t>
          </a:r>
          <a:r>
            <a:rPr kumimoji="1" lang="en-US" altLang="ja-JP" sz="1100"/>
            <a:t>,</a:t>
          </a:r>
          <a:r>
            <a:rPr kumimoji="1" lang="ja-JP" altLang="en-US" sz="1100"/>
            <a:t>その他（その他）</a:t>
          </a:r>
        </a:p>
      </xdr:txBody>
    </xdr:sp>
    <xdr:clientData/>
  </xdr:twoCellAnchor>
  <mc:AlternateContent xmlns:mc="http://schemas.openxmlformats.org/markup-compatibility/2006">
    <mc:Choice xmlns:a14="http://schemas.microsoft.com/office/drawing/2010/main" Requires="a14">
      <xdr:twoCellAnchor>
        <xdr:from>
          <xdr:col>0</xdr:col>
          <xdr:colOff>0</xdr:colOff>
          <xdr:row>5</xdr:row>
          <xdr:rowOff>38100</xdr:rowOff>
        </xdr:from>
        <xdr:to>
          <xdr:col>4</xdr:col>
          <xdr:colOff>0</xdr:colOff>
          <xdr:row>7</xdr:row>
          <xdr:rowOff>139700</xdr:rowOff>
        </xdr:to>
        <xdr:sp macro="" textlink="">
          <xdr:nvSpPr>
            <xdr:cNvPr id="12375" name="Button 87" hidden="1">
              <a:extLst>
                <a:ext uri="{63B3BB69-23CF-44E3-9099-C40C66FF867C}">
                  <a14:compatExt spid="_x0000_s12375"/>
                </a:ext>
                <a:ext uri="{FF2B5EF4-FFF2-40B4-BE49-F238E27FC236}">
                  <a16:creationId xmlns:a16="http://schemas.microsoft.com/office/drawing/2014/main" id="{00000000-0008-0000-0300-000057300000}"/>
                </a:ext>
              </a:extLst>
            </xdr:cNvPr>
            <xdr:cNvSpPr/>
          </xdr:nvSpPr>
          <xdr:spPr bwMode="auto">
            <a:xfrm>
              <a:off x="0" y="0"/>
              <a:ext cx="0" cy="0"/>
            </a:xfrm>
            <a:prstGeom prst="rect">
              <a:avLst/>
            </a:prstGeom>
            <a:noFill/>
            <a:ln w="9525">
              <a:miter lim="800000"/>
              <a:headEnd/>
              <a:tailEnd/>
            </a:ln>
          </xdr:spPr>
          <xdr:txBody>
            <a:bodyPr vertOverflow="clip" wrap="square" lIns="36576" tIns="22860" rIns="0" bIns="22860" anchor="ctr" upright="1"/>
            <a:lstStyle/>
            <a:p>
              <a:pPr algn="l" rtl="0">
                <a:defRPr sz="1000"/>
              </a:pPr>
              <a:r>
                <a:rPr lang="ja-JP" altLang="en-US" sz="1000" b="0" i="0" u="none" strike="noStrike" baseline="0">
                  <a:solidFill>
                    <a:srgbClr val="000000"/>
                  </a:solidFill>
                  <a:latin typeface="ＭＳ Ｐゴシック"/>
                  <a:ea typeface="ＭＳ Ｐゴシック"/>
                </a:rPr>
                <a:t>手順①</a:t>
              </a:r>
            </a:p>
            <a:p>
              <a:pPr algn="l" rtl="0">
                <a:defRPr sz="1000"/>
              </a:pPr>
              <a:r>
                <a:rPr lang="ja-JP" altLang="en-US" sz="1000" b="0" i="0" u="none" strike="noStrike" baseline="0">
                  <a:solidFill>
                    <a:srgbClr val="000000"/>
                  </a:solidFill>
                  <a:latin typeface="ＭＳ Ｐゴシック"/>
                  <a:ea typeface="ＭＳ Ｐゴシック"/>
                </a:rPr>
                <a:t>諸経費表が完成したらクリック</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962025</xdr:colOff>
      <xdr:row>0</xdr:row>
      <xdr:rowOff>85725</xdr:rowOff>
    </xdr:from>
    <xdr:to>
      <xdr:col>4</xdr:col>
      <xdr:colOff>1647825</xdr:colOff>
      <xdr:row>1</xdr:row>
      <xdr:rowOff>238125</xdr:rowOff>
    </xdr:to>
    <xdr:sp macro="" textlink="">
      <xdr:nvSpPr>
        <xdr:cNvPr id="2261" name="Text Box 213">
          <a:extLst>
            <a:ext uri="{FF2B5EF4-FFF2-40B4-BE49-F238E27FC236}">
              <a16:creationId xmlns:a16="http://schemas.microsoft.com/office/drawing/2014/main" id="{00000000-0008-0000-0400-0000D5080000}"/>
            </a:ext>
          </a:extLst>
        </xdr:cNvPr>
        <xdr:cNvSpPr txBox="1">
          <a:spLocks noChangeArrowheads="1"/>
        </xdr:cNvSpPr>
      </xdr:nvSpPr>
      <xdr:spPr bwMode="auto">
        <a:xfrm>
          <a:off x="2019300" y="85725"/>
          <a:ext cx="2867025" cy="476250"/>
        </a:xfrm>
        <a:prstGeom prst="rect">
          <a:avLst/>
        </a:prstGeom>
        <a:solidFill>
          <a:srgbClr val="FFCC99"/>
        </a:solidFill>
        <a:ln w="19050">
          <a:solidFill>
            <a:srgbClr val="000000"/>
          </a:solidFill>
          <a:miter lim="800000"/>
          <a:headEnd/>
          <a:tailEnd/>
        </a:ln>
      </xdr:spPr>
      <xdr:txBody>
        <a:bodyPr vertOverflow="clip" wrap="square" lIns="36576" tIns="22860" rIns="0" bIns="0" anchor="t" upright="1"/>
        <a:lstStyle/>
        <a:p>
          <a:pPr algn="l" rtl="0">
            <a:defRPr sz="1000"/>
          </a:pPr>
          <a:r>
            <a:rPr lang="ja-JP" altLang="en-US" sz="1400" b="0" i="0" strike="noStrike">
              <a:solidFill>
                <a:srgbClr val="000000"/>
              </a:solidFill>
              <a:latin typeface="ＭＳ Ｐゴシック"/>
              <a:ea typeface="ＭＳ Ｐゴシック"/>
            </a:rPr>
            <a:t>＜－工事名称を変更するときは</a:t>
          </a:r>
          <a:r>
            <a:rPr lang="en-US" altLang="ja-JP" sz="1400" b="0" i="0" strike="noStrike">
              <a:solidFill>
                <a:srgbClr val="000000"/>
              </a:solidFill>
              <a:latin typeface="ＭＳ Ｐゴシック"/>
              <a:ea typeface="ＭＳ Ｐゴシック"/>
            </a:rPr>
            <a:t>､</a:t>
          </a:r>
          <a:r>
            <a:rPr lang="ja-JP" altLang="en-US" sz="1400" b="0" i="0" strike="noStrike">
              <a:solidFill>
                <a:srgbClr val="000000"/>
              </a:solidFill>
              <a:latin typeface="ＭＳ Ｐゴシック"/>
              <a:ea typeface="ＭＳ Ｐゴシック"/>
            </a:rPr>
            <a:t>Ｃ２のセルを変更してください。</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123825</xdr:rowOff>
    </xdr:from>
    <xdr:to>
      <xdr:col>4</xdr:col>
      <xdr:colOff>1333500</xdr:colOff>
      <xdr:row>3</xdr:row>
      <xdr:rowOff>219075</xdr:rowOff>
    </xdr:to>
    <xdr:sp macro="" textlink="">
      <xdr:nvSpPr>
        <xdr:cNvPr id="11267" name="Text Box 3">
          <a:extLst>
            <a:ext uri="{FF2B5EF4-FFF2-40B4-BE49-F238E27FC236}">
              <a16:creationId xmlns:a16="http://schemas.microsoft.com/office/drawing/2014/main" id="{00000000-0008-0000-0500-0000032C0000}"/>
            </a:ext>
          </a:extLst>
        </xdr:cNvPr>
        <xdr:cNvSpPr txBox="1">
          <a:spLocks noChangeArrowheads="1"/>
        </xdr:cNvSpPr>
      </xdr:nvSpPr>
      <xdr:spPr bwMode="auto">
        <a:xfrm>
          <a:off x="714375" y="0"/>
          <a:ext cx="3857625" cy="542925"/>
        </a:xfrm>
        <a:prstGeom prst="rect">
          <a:avLst/>
        </a:prstGeom>
        <a:solidFill>
          <a:srgbClr val="FFCC99"/>
        </a:solidFill>
        <a:ln w="28575">
          <a:solidFill>
            <a:srgbClr val="000000"/>
          </a:solidFill>
          <a:miter lim="800000"/>
          <a:headEnd/>
          <a:tailEnd/>
        </a:ln>
      </xdr:spPr>
      <xdr:txBody>
        <a:bodyPr vertOverflow="clip" wrap="square" lIns="27432" tIns="18288" rIns="0" bIns="0" anchor="t" upright="1"/>
        <a:lstStyle/>
        <a:p>
          <a:pPr algn="l" rtl="0">
            <a:defRPr sz="1000"/>
          </a:pPr>
          <a:r>
            <a:rPr lang="ja-JP" altLang="en-US" sz="1200" b="0" i="0" strike="noStrike">
              <a:solidFill>
                <a:srgbClr val="000000"/>
              </a:solidFill>
              <a:latin typeface="ＭＳ Ｐゴシック"/>
              <a:ea typeface="ＭＳ Ｐゴシック"/>
            </a:rPr>
            <a:t>代価では、各ページの先頭行（名称の下の代価</a:t>
          </a:r>
          <a:r>
            <a:rPr lang="en-US" altLang="ja-JP" sz="1200" b="0" i="0" strike="noStrike">
              <a:solidFill>
                <a:srgbClr val="000000"/>
              </a:solidFill>
              <a:latin typeface="ＭＳ Ｐゴシック"/>
              <a:ea typeface="ＭＳ Ｐゴシック"/>
            </a:rPr>
            <a:t>??</a:t>
          </a:r>
          <a:r>
            <a:rPr lang="ja-JP" altLang="en-US" sz="1200" b="0" i="0" strike="noStrike">
              <a:solidFill>
                <a:srgbClr val="000000"/>
              </a:solidFill>
              <a:latin typeface="ＭＳ Ｐゴシック"/>
              <a:ea typeface="ＭＳ Ｐゴシック"/>
            </a:rPr>
            <a:t>の行）に、そのページの項目、単位を記載してください。コード入力の際に使用します。　</a:t>
          </a:r>
          <a:r>
            <a:rPr lang="en-US" altLang="ja-JP" sz="1200" b="0" i="0" strike="noStrike">
              <a:solidFill>
                <a:srgbClr val="000000"/>
              </a:solidFill>
              <a:latin typeface="ＭＳ Ｐゴシック"/>
              <a:ea typeface="ＭＳ Ｐゴシック"/>
            </a:rPr>
            <a:t>[</a:t>
          </a:r>
          <a:r>
            <a:rPr lang="ja-JP" altLang="en-US" sz="1200" b="0" i="0" strike="noStrike">
              <a:solidFill>
                <a:srgbClr val="000000"/>
              </a:solidFill>
              <a:latin typeface="ＭＳ Ｐゴシック"/>
              <a:ea typeface="ＭＳ Ｐゴシック"/>
            </a:rPr>
            <a:t>未使用</a:t>
          </a:r>
          <a:r>
            <a:rPr lang="en-US" altLang="ja-JP" sz="1200" b="0" i="0" strike="noStrike">
              <a:solidFill>
                <a:srgbClr val="000000"/>
              </a:solidFill>
              <a:latin typeface="ＭＳ Ｐゴシック"/>
              <a:ea typeface="ＭＳ Ｐゴシック"/>
            </a:rPr>
            <a:t>]</a:t>
          </a:r>
          <a:r>
            <a:rPr lang="ja-JP" altLang="en-US" sz="1200" b="0" i="0" strike="noStrike">
              <a:solidFill>
                <a:srgbClr val="000000"/>
              </a:solidFill>
              <a:latin typeface="ＭＳ Ｐゴシック"/>
              <a:ea typeface="ＭＳ Ｐゴシック"/>
            </a:rPr>
            <a:t>の欄を記入してください</a:t>
          </a:r>
          <a:r>
            <a:rPr lang="en-US" altLang="ja-JP" sz="1200" b="0" i="0" strike="noStrike">
              <a:solidFill>
                <a:srgbClr val="000000"/>
              </a:solidFill>
              <a:latin typeface="ＭＳ Ｐゴシック"/>
              <a:ea typeface="ＭＳ Ｐゴシック"/>
            </a:rPr>
            <a:t>.</a:t>
          </a:r>
        </a:p>
        <a:p>
          <a:pPr algn="l" rtl="0">
            <a:defRPr sz="1000"/>
          </a:pPr>
          <a:r>
            <a:rPr lang="en-US" altLang="ja-JP" sz="1200" b="0" i="0" strike="noStrike">
              <a:solidFill>
                <a:srgbClr val="000000"/>
              </a:solidFill>
              <a:latin typeface="ＭＳ Ｐゴシック"/>
              <a:ea typeface="ＭＳ Ｐゴシック"/>
            </a:rPr>
            <a:t>Z</a:t>
          </a:r>
          <a:r>
            <a:rPr lang="ja-JP" altLang="en-US" sz="1200" b="0" i="0" strike="noStrike">
              <a:solidFill>
                <a:srgbClr val="000000"/>
              </a:solidFill>
              <a:latin typeface="ＭＳ Ｐゴシック"/>
              <a:ea typeface="ＭＳ Ｐゴシック"/>
            </a:rPr>
            <a:t>列以降に表計算が記入されています。</a:t>
          </a:r>
        </a:p>
        <a:p>
          <a:pPr algn="l" rtl="0">
            <a:defRPr sz="1000"/>
          </a:pPr>
          <a:r>
            <a:rPr lang="ja-JP" altLang="en-US" sz="1200" b="0" i="0" strike="noStrike">
              <a:solidFill>
                <a:srgbClr val="000000"/>
              </a:solidFill>
              <a:latin typeface="ＭＳ Ｐゴシック"/>
              <a:ea typeface="ＭＳ Ｐゴシック"/>
            </a:rPr>
            <a:t>！！！行全体の削除は止めてください！！</a:t>
          </a:r>
        </a:p>
      </xdr:txBody>
    </xdr:sp>
    <xdr:clientData fPrintsWithSheet="0"/>
  </xdr:twoCellAnchor>
  <xdr:twoCellAnchor>
    <xdr:from>
      <xdr:col>3</xdr:col>
      <xdr:colOff>1917700</xdr:colOff>
      <xdr:row>8</xdr:row>
      <xdr:rowOff>152400</xdr:rowOff>
    </xdr:from>
    <xdr:to>
      <xdr:col>5</xdr:col>
      <xdr:colOff>749300</xdr:colOff>
      <xdr:row>12</xdr:row>
      <xdr:rowOff>228600</xdr:rowOff>
    </xdr:to>
    <xdr:sp macro="" textlink="">
      <xdr:nvSpPr>
        <xdr:cNvPr id="3" name="テキスト ボックス 2">
          <a:extLst>
            <a:ext uri="{FF2B5EF4-FFF2-40B4-BE49-F238E27FC236}">
              <a16:creationId xmlns:a16="http://schemas.microsoft.com/office/drawing/2014/main" id="{00000000-0008-0000-0500-000003000000}"/>
            </a:ext>
          </a:extLst>
        </xdr:cNvPr>
        <xdr:cNvSpPr txBox="1"/>
      </xdr:nvSpPr>
      <xdr:spPr>
        <a:xfrm>
          <a:off x="2984500" y="2235200"/>
          <a:ext cx="2921000" cy="129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1400" b="1">
              <a:solidFill>
                <a:srgbClr val="FF0000"/>
              </a:solidFill>
            </a:rPr>
            <a:t>・右欄の小運搬重量の計算部がマクロ修正必要です。</a:t>
          </a:r>
          <a:endParaRPr kumimoji="1" lang="en-US" altLang="ja-JP" sz="1400" b="1">
            <a:solidFill>
              <a:srgbClr val="FF0000"/>
            </a:solidFill>
          </a:endParaRPr>
        </a:p>
        <a:p>
          <a:pPr algn="l"/>
          <a:r>
            <a:rPr kumimoji="1" lang="ja-JP" altLang="en-US" sz="1400" b="1">
              <a:solidFill>
                <a:srgbClr val="FF0000"/>
              </a:solidFill>
            </a:rPr>
            <a:t>・ページ数を増やすと、正しく集計されません。当面非表示にしときます</a:t>
          </a:r>
          <a:r>
            <a:rPr kumimoji="1" lang="ja-JP" altLang="en-US" sz="1100"/>
            <a: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239245</xdr:colOff>
      <xdr:row>0</xdr:row>
      <xdr:rowOff>100293</xdr:rowOff>
    </xdr:from>
    <xdr:to>
      <xdr:col>4</xdr:col>
      <xdr:colOff>267820</xdr:colOff>
      <xdr:row>1</xdr:row>
      <xdr:rowOff>81243</xdr:rowOff>
    </xdr:to>
    <xdr:sp macro="" textlink="">
      <xdr:nvSpPr>
        <xdr:cNvPr id="9217" name="Text Box 1">
          <a:extLst>
            <a:ext uri="{FF2B5EF4-FFF2-40B4-BE49-F238E27FC236}">
              <a16:creationId xmlns:a16="http://schemas.microsoft.com/office/drawing/2014/main" id="{00000000-0008-0000-0700-000001240000}"/>
            </a:ext>
          </a:extLst>
        </xdr:cNvPr>
        <xdr:cNvSpPr txBox="1">
          <a:spLocks noChangeArrowheads="1"/>
        </xdr:cNvSpPr>
      </xdr:nvSpPr>
      <xdr:spPr bwMode="auto">
        <a:xfrm>
          <a:off x="239245" y="100293"/>
          <a:ext cx="2953310" cy="227479"/>
        </a:xfrm>
        <a:prstGeom prst="rect">
          <a:avLst/>
        </a:prstGeom>
        <a:solidFill>
          <a:srgbClr val="FFCC00"/>
        </a:solidFill>
        <a:ln w="9525">
          <a:solidFill>
            <a:srgbClr val="000000"/>
          </a:solidFill>
          <a:miter lim="800000"/>
          <a:headEnd/>
          <a:tailEnd/>
        </a:ln>
      </xdr:spPr>
      <xdr:txBody>
        <a:bodyPr vertOverflow="clip" wrap="square" lIns="0" tIns="0" rIns="0" bIns="0" anchor="t" upright="1"/>
        <a:lstStyle/>
        <a:p>
          <a:pPr algn="l" rtl="0">
            <a:defRPr sz="1000"/>
          </a:pPr>
          <a:r>
            <a:rPr lang="ja-JP" altLang="en-US" sz="1100" b="0" i="0" strike="noStrike">
              <a:solidFill>
                <a:srgbClr val="000000"/>
              </a:solidFill>
              <a:latin typeface="ＭＳ Ｐゴシック"/>
              <a:ea typeface="ＭＳ Ｐゴシック"/>
            </a:rPr>
            <a:t>コード</a:t>
          </a:r>
          <a:r>
            <a:rPr lang="en-US" altLang="ja-JP" sz="1100" b="0" i="0" strike="noStrike">
              <a:solidFill>
                <a:srgbClr val="000000"/>
              </a:solidFill>
              <a:latin typeface="ＭＳ Ｐゴシック"/>
              <a:ea typeface="ＭＳ Ｐゴシック"/>
            </a:rPr>
            <a:t>No</a:t>
          </a:r>
          <a:r>
            <a:rPr lang="ja-JP" altLang="en-US" sz="1100" b="0" i="0" strike="noStrike">
              <a:solidFill>
                <a:srgbClr val="000000"/>
              </a:solidFill>
              <a:latin typeface="ＭＳ Ｐゴシック"/>
              <a:ea typeface="ＭＳ Ｐゴシック"/>
            </a:rPr>
            <a:t>は</a:t>
          </a:r>
          <a:r>
            <a:rPr lang="en-US" altLang="ja-JP" sz="1100" b="0" i="0" strike="noStrike">
              <a:solidFill>
                <a:srgbClr val="000000"/>
              </a:solidFill>
              <a:latin typeface="ＭＳ Ｐゴシック"/>
              <a:ea typeface="ＭＳ Ｐゴシック"/>
            </a:rPr>
            <a:t>3</a:t>
          </a:r>
          <a:r>
            <a:rPr lang="ja-JP" altLang="en-US" sz="1100" b="0" i="0" strike="noStrike">
              <a:solidFill>
                <a:srgbClr val="000000"/>
              </a:solidFill>
              <a:latin typeface="ＭＳ Ｐゴシック"/>
              <a:ea typeface="ＭＳ Ｐゴシック"/>
            </a:rPr>
            <a:t>桁までで代価一覧と重ならない数字</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1</xdr:col>
      <xdr:colOff>1266825</xdr:colOff>
      <xdr:row>31</xdr:row>
      <xdr:rowOff>19050</xdr:rowOff>
    </xdr:from>
    <xdr:to>
      <xdr:col>6</xdr:col>
      <xdr:colOff>400050</xdr:colOff>
      <xdr:row>37</xdr:row>
      <xdr:rowOff>47625</xdr:rowOff>
    </xdr:to>
    <xdr:sp macro="" textlink="">
      <xdr:nvSpPr>
        <xdr:cNvPr id="10244" name="Text Box 4">
          <a:extLst>
            <a:ext uri="{FF2B5EF4-FFF2-40B4-BE49-F238E27FC236}">
              <a16:creationId xmlns:a16="http://schemas.microsoft.com/office/drawing/2014/main" id="{00000000-0008-0000-0800-000004280000}"/>
            </a:ext>
          </a:extLst>
        </xdr:cNvPr>
        <xdr:cNvSpPr txBox="1">
          <a:spLocks noChangeArrowheads="1"/>
        </xdr:cNvSpPr>
      </xdr:nvSpPr>
      <xdr:spPr bwMode="auto">
        <a:xfrm>
          <a:off x="1266825" y="3667125"/>
          <a:ext cx="3486150" cy="885825"/>
        </a:xfrm>
        <a:prstGeom prst="rect">
          <a:avLst/>
        </a:prstGeom>
        <a:solidFill>
          <a:srgbClr val="FFCC99"/>
        </a:solidFill>
        <a:ln w="57150">
          <a:solidFill>
            <a:srgbClr val="FF0000"/>
          </a:solidFill>
          <a:miter lim="800000"/>
          <a:headEnd/>
          <a:tailEnd/>
        </a:ln>
      </xdr:spPr>
      <xdr:txBody>
        <a:bodyPr vertOverflow="clip" wrap="square" lIns="27432" tIns="18288" rIns="0" bIns="0" anchor="t" upright="1"/>
        <a:lstStyle/>
        <a:p>
          <a:pPr algn="l" rtl="0">
            <a:defRPr sz="1000"/>
          </a:pPr>
          <a:r>
            <a:rPr lang="ja-JP" altLang="en-US" sz="1100" b="0" i="0" strike="noStrike">
              <a:solidFill>
                <a:srgbClr val="000000"/>
              </a:solidFill>
              <a:latin typeface="ＭＳ Ｐゴシック"/>
              <a:ea typeface="ＭＳ Ｐゴシック"/>
            </a:rPr>
            <a:t>非表示セルにデータが入っています。</a:t>
          </a:r>
        </a:p>
        <a:p>
          <a:pPr algn="l" rtl="0">
            <a:defRPr sz="1000"/>
          </a:pPr>
          <a:r>
            <a:rPr lang="ja-JP" altLang="en-US" sz="1100" b="0" i="0" strike="noStrike">
              <a:solidFill>
                <a:srgbClr val="000000"/>
              </a:solidFill>
              <a:latin typeface="ＭＳ Ｐゴシック"/>
              <a:ea typeface="ＭＳ Ｐゴシック"/>
            </a:rPr>
            <a:t>挿入する場合は、それぞれ下３行より上で挿入してください。また、削除も、下３行はしないでください。</a:t>
          </a:r>
        </a:p>
        <a:p>
          <a:pPr algn="l" rtl="0">
            <a:defRPr sz="1000"/>
          </a:pPr>
          <a:endParaRPr lang="ja-JP" altLang="en-US" sz="1100" b="0" i="0" strike="noStrike">
            <a:solidFill>
              <a:srgbClr val="000000"/>
            </a:solidFill>
            <a:latin typeface="ＭＳ Ｐゴシック"/>
            <a:ea typeface="ＭＳ Ｐゴシック"/>
          </a:endParaRP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oneCell">
    <xdr:from>
      <xdr:col>5</xdr:col>
      <xdr:colOff>752475</xdr:colOff>
      <xdr:row>11</xdr:row>
      <xdr:rowOff>0</xdr:rowOff>
    </xdr:from>
    <xdr:to>
      <xdr:col>5</xdr:col>
      <xdr:colOff>828675</xdr:colOff>
      <xdr:row>12</xdr:row>
      <xdr:rowOff>57150</xdr:rowOff>
    </xdr:to>
    <xdr:sp macro="" textlink="">
      <xdr:nvSpPr>
        <xdr:cNvPr id="13349" name="Text Box 1">
          <a:extLst>
            <a:ext uri="{FF2B5EF4-FFF2-40B4-BE49-F238E27FC236}">
              <a16:creationId xmlns:a16="http://schemas.microsoft.com/office/drawing/2014/main" id="{00000000-0008-0000-0900-000025340000}"/>
            </a:ext>
          </a:extLst>
        </xdr:cNvPr>
        <xdr:cNvSpPr txBox="1">
          <a:spLocks noChangeArrowheads="1"/>
        </xdr:cNvSpPr>
      </xdr:nvSpPr>
      <xdr:spPr bwMode="auto">
        <a:xfrm>
          <a:off x="4333875" y="1676400"/>
          <a:ext cx="76200" cy="209550"/>
        </a:xfrm>
        <a:prstGeom prst="rect">
          <a:avLst/>
        </a:prstGeom>
        <a:noFill/>
        <a:ln w="9525">
          <a:noFill/>
          <a:miter lim="800000"/>
          <a:headEnd/>
          <a:tailEnd/>
        </a:ln>
      </xdr:spPr>
    </xdr:sp>
    <xdr:clientData/>
  </xdr:twoCellAnchor>
  <xdr:twoCellAnchor>
    <xdr:from>
      <xdr:col>5</xdr:col>
      <xdr:colOff>838200</xdr:colOff>
      <xdr:row>3</xdr:row>
      <xdr:rowOff>28575</xdr:rowOff>
    </xdr:from>
    <xdr:to>
      <xdr:col>9</xdr:col>
      <xdr:colOff>9525</xdr:colOff>
      <xdr:row>8</xdr:row>
      <xdr:rowOff>28575</xdr:rowOff>
    </xdr:to>
    <xdr:sp macro="" textlink="">
      <xdr:nvSpPr>
        <xdr:cNvPr id="13314" name="Text Box 2">
          <a:extLst>
            <a:ext uri="{FF2B5EF4-FFF2-40B4-BE49-F238E27FC236}">
              <a16:creationId xmlns:a16="http://schemas.microsoft.com/office/drawing/2014/main" id="{00000000-0008-0000-0900-000002340000}"/>
            </a:ext>
          </a:extLst>
        </xdr:cNvPr>
        <xdr:cNvSpPr txBox="1">
          <a:spLocks noChangeArrowheads="1"/>
        </xdr:cNvSpPr>
      </xdr:nvSpPr>
      <xdr:spPr bwMode="auto">
        <a:xfrm>
          <a:off x="4419600" y="485775"/>
          <a:ext cx="2038350" cy="762000"/>
        </a:xfrm>
        <a:prstGeom prst="rect">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strike="noStrike">
              <a:solidFill>
                <a:srgbClr val="000000"/>
              </a:solidFill>
              <a:latin typeface="ＭＳ Ｐゴシック"/>
              <a:ea typeface="ＭＳ Ｐゴシック"/>
            </a:rPr>
            <a:t>コード番号は</a:t>
          </a:r>
          <a:r>
            <a:rPr lang="en-US" altLang="ja-JP" sz="1100" b="0" i="0" strike="noStrike">
              <a:solidFill>
                <a:srgbClr val="000000"/>
              </a:solidFill>
              <a:latin typeface="ＭＳ Ｐゴシック"/>
              <a:ea typeface="ＭＳ Ｐゴシック"/>
            </a:rPr>
            <a:t>100</a:t>
          </a:r>
          <a:r>
            <a:rPr lang="ja-JP" altLang="en-US" sz="1100" b="0" i="0" strike="noStrike">
              <a:solidFill>
                <a:srgbClr val="000000"/>
              </a:solidFill>
              <a:latin typeface="ＭＳ Ｐゴシック"/>
              <a:ea typeface="ＭＳ Ｐゴシック"/>
            </a:rPr>
            <a:t>以上。</a:t>
          </a:r>
        </a:p>
        <a:p>
          <a:pPr algn="l" rtl="0">
            <a:defRPr sz="1000"/>
          </a:pPr>
          <a:r>
            <a:rPr lang="en-US" altLang="ja-JP" sz="1100" b="0" i="0" strike="noStrike">
              <a:solidFill>
                <a:srgbClr val="000000"/>
              </a:solidFill>
              <a:latin typeface="ＭＳ Ｐゴシック"/>
              <a:ea typeface="ＭＳ Ｐゴシック"/>
            </a:rPr>
            <a:t>1</a:t>
          </a:r>
          <a:r>
            <a:rPr lang="ja-JP" altLang="en-US" sz="1100" b="0" i="0" strike="noStrike">
              <a:solidFill>
                <a:srgbClr val="000000"/>
              </a:solidFill>
              <a:latin typeface="ＭＳ Ｐゴシック"/>
              <a:ea typeface="ＭＳ Ｐゴシック"/>
            </a:rPr>
            <a:t>～</a:t>
          </a:r>
          <a:r>
            <a:rPr lang="en-US" altLang="ja-JP" sz="1100" b="0" i="0" strike="noStrike">
              <a:solidFill>
                <a:srgbClr val="000000"/>
              </a:solidFill>
              <a:latin typeface="ＭＳ Ｐゴシック"/>
              <a:ea typeface="ＭＳ Ｐゴシック"/>
            </a:rPr>
            <a:t>99</a:t>
          </a:r>
          <a:r>
            <a:rPr lang="ja-JP" altLang="en-US" sz="1100" b="0" i="0" strike="noStrike">
              <a:solidFill>
                <a:srgbClr val="000000"/>
              </a:solidFill>
              <a:latin typeface="ＭＳ Ｐゴシック"/>
              <a:ea typeface="ＭＳ Ｐゴシック"/>
            </a:rPr>
            <a:t>は代価（複合）で使用するため、</a:t>
          </a:r>
        </a:p>
        <a:p>
          <a:pPr algn="l" rtl="0">
            <a:defRPr sz="1000"/>
          </a:pPr>
          <a:r>
            <a:rPr lang="ja-JP" altLang="en-US" sz="1100" b="0" i="0" strike="noStrike">
              <a:solidFill>
                <a:srgbClr val="000000"/>
              </a:solidFill>
              <a:latin typeface="ＭＳ Ｐゴシック"/>
              <a:ea typeface="ＭＳ Ｐゴシック"/>
            </a:rPr>
            <a:t>入力しても削除されます。</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0</xdr:col>
      <xdr:colOff>104775</xdr:colOff>
      <xdr:row>109</xdr:row>
      <xdr:rowOff>66675</xdr:rowOff>
    </xdr:from>
    <xdr:to>
      <xdr:col>4</xdr:col>
      <xdr:colOff>133350</xdr:colOff>
      <xdr:row>110</xdr:row>
      <xdr:rowOff>47625</xdr:rowOff>
    </xdr:to>
    <xdr:sp macro="" textlink="">
      <xdr:nvSpPr>
        <xdr:cNvPr id="14337" name="Text Box 1">
          <a:extLst>
            <a:ext uri="{FF2B5EF4-FFF2-40B4-BE49-F238E27FC236}">
              <a16:creationId xmlns:a16="http://schemas.microsoft.com/office/drawing/2014/main" id="{00000000-0008-0000-0B00-000001380000}"/>
            </a:ext>
          </a:extLst>
        </xdr:cNvPr>
        <xdr:cNvSpPr txBox="1">
          <a:spLocks noChangeArrowheads="1"/>
        </xdr:cNvSpPr>
      </xdr:nvSpPr>
      <xdr:spPr bwMode="auto">
        <a:xfrm>
          <a:off x="104775" y="24450675"/>
          <a:ext cx="2619375" cy="228600"/>
        </a:xfrm>
        <a:prstGeom prst="rect">
          <a:avLst/>
        </a:prstGeom>
        <a:solidFill>
          <a:srgbClr val="FFCC00"/>
        </a:solidFill>
        <a:ln w="9525">
          <a:solidFill>
            <a:srgbClr val="000000"/>
          </a:solidFill>
          <a:miter lim="800000"/>
          <a:headEnd/>
          <a:tailEnd/>
        </a:ln>
      </xdr:spPr>
      <xdr:txBody>
        <a:bodyPr vertOverflow="clip" wrap="square" lIns="0" tIns="0" rIns="0" bIns="0" anchor="t" upright="1"/>
        <a:lstStyle/>
        <a:p>
          <a:pPr algn="l" rtl="0">
            <a:defRPr sz="1000"/>
          </a:pPr>
          <a:r>
            <a:rPr lang="ja-JP" altLang="en-US" sz="1100" b="0" i="0" strike="noStrike">
              <a:solidFill>
                <a:srgbClr val="000000"/>
              </a:solidFill>
              <a:latin typeface="ＭＳ Ｐゴシック"/>
              <a:ea typeface="ＭＳ Ｐゴシック"/>
            </a:rPr>
            <a:t>コード</a:t>
          </a:r>
          <a:r>
            <a:rPr lang="en-US" altLang="ja-JP" sz="1100" b="0" i="0" strike="noStrike">
              <a:solidFill>
                <a:srgbClr val="000000"/>
              </a:solidFill>
              <a:latin typeface="ＭＳ Ｐゴシック"/>
              <a:ea typeface="ＭＳ Ｐゴシック"/>
            </a:rPr>
            <a:t>No</a:t>
          </a:r>
          <a:r>
            <a:rPr lang="ja-JP" altLang="en-US" sz="1100" b="0" i="0" strike="noStrike">
              <a:solidFill>
                <a:srgbClr val="000000"/>
              </a:solidFill>
              <a:latin typeface="ＭＳ Ｐゴシック"/>
              <a:ea typeface="ＭＳ Ｐゴシック"/>
            </a:rPr>
            <a:t>は</a:t>
          </a:r>
          <a:r>
            <a:rPr lang="en-US" altLang="ja-JP" sz="1100" b="0" i="0" strike="noStrike">
              <a:solidFill>
                <a:srgbClr val="000000"/>
              </a:solidFill>
              <a:latin typeface="ＭＳ Ｐゴシック"/>
              <a:ea typeface="ＭＳ Ｐゴシック"/>
            </a:rPr>
            <a:t>3</a:t>
          </a:r>
          <a:r>
            <a:rPr lang="ja-JP" altLang="en-US" sz="1100" b="0" i="0" strike="noStrike">
              <a:solidFill>
                <a:srgbClr val="000000"/>
              </a:solidFill>
              <a:latin typeface="ＭＳ Ｐゴシック"/>
              <a:ea typeface="ＭＳ Ｐゴシック"/>
            </a:rPr>
            <a:t>桁までで代価一覧と重ならない数字</a:t>
          </a:r>
        </a:p>
      </xdr:txBody>
    </xdr:sp>
    <xdr:clientData fPrintsWithSheet="0"/>
  </xdr:twoCellAnchor>
  <xdr:twoCellAnchor>
    <xdr:from>
      <xdr:col>0</xdr:col>
      <xdr:colOff>104775</xdr:colOff>
      <xdr:row>109</xdr:row>
      <xdr:rowOff>66675</xdr:rowOff>
    </xdr:from>
    <xdr:to>
      <xdr:col>4</xdr:col>
      <xdr:colOff>133350</xdr:colOff>
      <xdr:row>110</xdr:row>
      <xdr:rowOff>47625</xdr:rowOff>
    </xdr:to>
    <xdr:sp macro="" textlink="">
      <xdr:nvSpPr>
        <xdr:cNvPr id="14338" name="Text Box 2">
          <a:extLst>
            <a:ext uri="{FF2B5EF4-FFF2-40B4-BE49-F238E27FC236}">
              <a16:creationId xmlns:a16="http://schemas.microsoft.com/office/drawing/2014/main" id="{00000000-0008-0000-0B00-000002380000}"/>
            </a:ext>
          </a:extLst>
        </xdr:cNvPr>
        <xdr:cNvSpPr txBox="1">
          <a:spLocks noChangeArrowheads="1"/>
        </xdr:cNvSpPr>
      </xdr:nvSpPr>
      <xdr:spPr bwMode="auto">
        <a:xfrm>
          <a:off x="104775" y="24450675"/>
          <a:ext cx="2619375" cy="228600"/>
        </a:xfrm>
        <a:prstGeom prst="rect">
          <a:avLst/>
        </a:prstGeom>
        <a:solidFill>
          <a:srgbClr val="FFCC00"/>
        </a:solidFill>
        <a:ln w="9525">
          <a:solidFill>
            <a:srgbClr val="000000"/>
          </a:solidFill>
          <a:miter lim="800000"/>
          <a:headEnd/>
          <a:tailEnd/>
        </a:ln>
      </xdr:spPr>
      <xdr:txBody>
        <a:bodyPr vertOverflow="clip" wrap="square" lIns="0" tIns="0" rIns="0" bIns="0" anchor="t" upright="1"/>
        <a:lstStyle/>
        <a:p>
          <a:pPr algn="l" rtl="0">
            <a:defRPr sz="1000"/>
          </a:pPr>
          <a:r>
            <a:rPr lang="ja-JP" altLang="en-US" sz="1100" b="0" i="0" strike="noStrike">
              <a:solidFill>
                <a:srgbClr val="000000"/>
              </a:solidFill>
              <a:latin typeface="ＭＳ Ｐゴシック"/>
              <a:ea typeface="ＭＳ Ｐゴシック"/>
            </a:rPr>
            <a:t>コード</a:t>
          </a:r>
          <a:r>
            <a:rPr lang="en-US" altLang="ja-JP" sz="1100" b="0" i="0" strike="noStrike">
              <a:solidFill>
                <a:srgbClr val="000000"/>
              </a:solidFill>
              <a:latin typeface="ＭＳ Ｐゴシック"/>
              <a:ea typeface="ＭＳ Ｐゴシック"/>
            </a:rPr>
            <a:t>No</a:t>
          </a:r>
          <a:r>
            <a:rPr lang="ja-JP" altLang="en-US" sz="1100" b="0" i="0" strike="noStrike">
              <a:solidFill>
                <a:srgbClr val="000000"/>
              </a:solidFill>
              <a:latin typeface="ＭＳ Ｐゴシック"/>
              <a:ea typeface="ＭＳ Ｐゴシック"/>
            </a:rPr>
            <a:t>は</a:t>
          </a:r>
          <a:r>
            <a:rPr lang="en-US" altLang="ja-JP" sz="1100" b="0" i="0" strike="noStrike">
              <a:solidFill>
                <a:srgbClr val="000000"/>
              </a:solidFill>
              <a:latin typeface="ＭＳ Ｐゴシック"/>
              <a:ea typeface="ＭＳ Ｐゴシック"/>
            </a:rPr>
            <a:t>3</a:t>
          </a:r>
          <a:r>
            <a:rPr lang="ja-JP" altLang="en-US" sz="1100" b="0" i="0" strike="noStrike">
              <a:solidFill>
                <a:srgbClr val="000000"/>
              </a:solidFill>
              <a:latin typeface="ＭＳ Ｐゴシック"/>
              <a:ea typeface="ＭＳ Ｐゴシック"/>
            </a:rPr>
            <a:t>桁までで代価一覧と重ならない数字</a:t>
          </a:r>
        </a:p>
      </xdr:txBody>
    </xdr:sp>
    <xdr:clientData fPrintsWithSheet="0"/>
  </xdr:twoCellAnchor>
  <xdr:twoCellAnchor>
    <xdr:from>
      <xdr:col>0</xdr:col>
      <xdr:colOff>104775</xdr:colOff>
      <xdr:row>109</xdr:row>
      <xdr:rowOff>66675</xdr:rowOff>
    </xdr:from>
    <xdr:to>
      <xdr:col>4</xdr:col>
      <xdr:colOff>133350</xdr:colOff>
      <xdr:row>110</xdr:row>
      <xdr:rowOff>47625</xdr:rowOff>
    </xdr:to>
    <xdr:sp macro="" textlink="">
      <xdr:nvSpPr>
        <xdr:cNvPr id="14339" name="Text Box 3">
          <a:extLst>
            <a:ext uri="{FF2B5EF4-FFF2-40B4-BE49-F238E27FC236}">
              <a16:creationId xmlns:a16="http://schemas.microsoft.com/office/drawing/2014/main" id="{00000000-0008-0000-0B00-000003380000}"/>
            </a:ext>
          </a:extLst>
        </xdr:cNvPr>
        <xdr:cNvSpPr txBox="1">
          <a:spLocks noChangeArrowheads="1"/>
        </xdr:cNvSpPr>
      </xdr:nvSpPr>
      <xdr:spPr bwMode="auto">
        <a:xfrm>
          <a:off x="104775" y="24450675"/>
          <a:ext cx="2619375" cy="228600"/>
        </a:xfrm>
        <a:prstGeom prst="rect">
          <a:avLst/>
        </a:prstGeom>
        <a:solidFill>
          <a:srgbClr val="FFCC00"/>
        </a:solidFill>
        <a:ln w="9525">
          <a:solidFill>
            <a:srgbClr val="000000"/>
          </a:solidFill>
          <a:miter lim="800000"/>
          <a:headEnd/>
          <a:tailEnd/>
        </a:ln>
      </xdr:spPr>
      <xdr:txBody>
        <a:bodyPr vertOverflow="clip" wrap="square" lIns="0" tIns="0" rIns="0" bIns="0" anchor="t" upright="1"/>
        <a:lstStyle/>
        <a:p>
          <a:pPr algn="l" rtl="0">
            <a:defRPr sz="1000"/>
          </a:pPr>
          <a:r>
            <a:rPr lang="ja-JP" altLang="en-US" sz="1100" b="0" i="0" strike="noStrike">
              <a:solidFill>
                <a:srgbClr val="000000"/>
              </a:solidFill>
              <a:latin typeface="ＭＳ Ｐゴシック"/>
              <a:ea typeface="ＭＳ Ｐゴシック"/>
            </a:rPr>
            <a:t>コード</a:t>
          </a:r>
          <a:r>
            <a:rPr lang="en-US" altLang="ja-JP" sz="1100" b="0" i="0" strike="noStrike">
              <a:solidFill>
                <a:srgbClr val="000000"/>
              </a:solidFill>
              <a:latin typeface="ＭＳ Ｐゴシック"/>
              <a:ea typeface="ＭＳ Ｐゴシック"/>
            </a:rPr>
            <a:t>No</a:t>
          </a:r>
          <a:r>
            <a:rPr lang="ja-JP" altLang="en-US" sz="1100" b="0" i="0" strike="noStrike">
              <a:solidFill>
                <a:srgbClr val="000000"/>
              </a:solidFill>
              <a:latin typeface="ＭＳ Ｐゴシック"/>
              <a:ea typeface="ＭＳ Ｐゴシック"/>
            </a:rPr>
            <a:t>は</a:t>
          </a:r>
          <a:r>
            <a:rPr lang="en-US" altLang="ja-JP" sz="1100" b="0" i="0" strike="noStrike">
              <a:solidFill>
                <a:srgbClr val="000000"/>
              </a:solidFill>
              <a:latin typeface="ＭＳ Ｐゴシック"/>
              <a:ea typeface="ＭＳ Ｐゴシック"/>
            </a:rPr>
            <a:t>3</a:t>
          </a:r>
          <a:r>
            <a:rPr lang="ja-JP" altLang="en-US" sz="1100" b="0" i="0" strike="noStrike">
              <a:solidFill>
                <a:srgbClr val="000000"/>
              </a:solidFill>
              <a:latin typeface="ＭＳ Ｐゴシック"/>
              <a:ea typeface="ＭＳ Ｐゴシック"/>
            </a:rPr>
            <a:t>桁までで代価一覧と重ならない数字</a:t>
          </a:r>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vfile92/k1_eizen$/&#24314;&#31689;/&#31309;&#31639;/&#12415;&#12435;&#12394;&#12398;&#12527;&#12540;&#12463;&#12501;&#12457;&#12523;&#12480;/&#33509;&#23798;&#23515;&#23376;0410533/&#22266;&#23450;&#36039;&#29987;/&#32933;&#24460;&#27211;&#22806;2&#39365;&#12488;&#12452;&#12524;&#25913;&#36896;&#24037;&#20107;&#12288;&#21442;&#32771;&#26126;&#32048;Ver500c&#65288;&#20837;&#21147;&#34920;&#20316;&#25104;&#35201;&#38936;&#12395;&#20351;&#29992;&#6528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vfile92/kenchiku$/&#9733;&#24314;&#31689;&#36039;&#29987;&#31649;&#29702;&#25285;&#24403;/8.&#36942;&#21435;&#26126;&#32048;/2019&#24180;&#24230;/2019-1011_1&#12539;3&#21495;&#32218;&#21508;&#39365;&#21487;&#21205;&#24335;&#12507;&#12540;&#12512;&#26613;&#35373;&#32622;&#12395;&#20276;&#12358;&#24314;&#31689;&#24037;&#20107;&#35373;&#35336;&#26989;&#21209;&#22996;&#35351;/&#20803;&#35373;&#35336;/&#12304;1&#12305;2019-1011_1&#12539;3&#21495;&#32218;&#21508;&#39365;&#21487;&#21205;&#24335;&#12507;&#12540;&#12512;&#26613;&#35373;&#32622;&#12395;&#20276;&#12358;&#24314;&#31689;&#24037;&#20107;&#35373;&#35336;&#26989;&#21209;&#22996;&#35351;&#12288;&#31639;&#20986;&#12471;&#12540;&#12488;201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まとめ"/>
    </sheetNames>
    <sheetDataSet>
      <sheetData sheetId="0"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Z23"/>
  <sheetViews>
    <sheetView view="pageBreakPreview" topLeftCell="A7" zoomScale="75" zoomScaleNormal="80" zoomScaleSheetLayoutView="75" workbookViewId="0"/>
  </sheetViews>
  <sheetFormatPr defaultColWidth="6.6328125" defaultRowHeight="26" customHeight="1"/>
  <cols>
    <col min="1" max="2" width="2.6328125" style="6" customWidth="1"/>
    <col min="3" max="3" width="8.6328125" style="1" customWidth="1"/>
    <col min="4" max="4" width="28.6328125" style="1" customWidth="1"/>
    <col min="5" max="5" width="25" style="2" customWidth="1"/>
    <col min="6" max="6" width="10.6328125" style="1" customWidth="1"/>
    <col min="7" max="7" width="7.6328125" style="3" customWidth="1"/>
    <col min="8" max="8" width="11.6328125" style="4" customWidth="1"/>
    <col min="9" max="9" width="15.6328125" style="4" customWidth="1"/>
    <col min="10" max="12" width="9.6328125" style="1" customWidth="1"/>
    <col min="13" max="14" width="6.6328125" style="1" customWidth="1"/>
    <col min="15" max="16" width="4.81640625" style="1" customWidth="1"/>
    <col min="17" max="23" width="15.6328125" style="1" customWidth="1"/>
    <col min="24" max="25" width="6.6328125" style="1"/>
    <col min="26" max="26" width="6.6328125" style="483"/>
    <col min="27" max="16384" width="6.6328125" style="1"/>
  </cols>
  <sheetData>
    <row r="1" spans="1:26" ht="26" customHeight="1" thickBot="1">
      <c r="C1" s="938"/>
      <c r="D1" s="938"/>
      <c r="E1" s="938"/>
      <c r="F1" s="938"/>
      <c r="G1" s="938"/>
      <c r="H1" s="938"/>
      <c r="I1" s="938"/>
      <c r="J1" s="938"/>
      <c r="K1" s="938"/>
      <c r="L1" s="938"/>
      <c r="Z1" s="483" t="s">
        <v>354</v>
      </c>
    </row>
    <row r="2" spans="1:26" ht="42" customHeight="1">
      <c r="A2" s="5"/>
      <c r="B2" s="5"/>
      <c r="C2" s="939" t="s">
        <v>327</v>
      </c>
      <c r="D2" s="940"/>
      <c r="E2" s="940"/>
      <c r="F2" s="940"/>
      <c r="G2" s="940"/>
      <c r="H2" s="940"/>
      <c r="I2" s="940"/>
      <c r="J2" s="940"/>
      <c r="K2" s="940"/>
      <c r="L2" s="941"/>
      <c r="Z2" s="1" t="s">
        <v>358</v>
      </c>
    </row>
    <row r="3" spans="1:26" ht="24" customHeight="1">
      <c r="A3" s="36"/>
      <c r="B3" s="36"/>
      <c r="C3" s="428"/>
      <c r="D3" s="429"/>
      <c r="E3" s="430"/>
      <c r="F3" s="431"/>
      <c r="G3" s="432"/>
      <c r="H3" s="433"/>
      <c r="I3" s="433"/>
      <c r="J3" s="429"/>
      <c r="K3" s="429"/>
      <c r="L3" s="434"/>
      <c r="Z3" s="483" t="s">
        <v>359</v>
      </c>
    </row>
    <row r="4" spans="1:26" ht="24" customHeight="1">
      <c r="A4" s="36"/>
      <c r="B4" s="36"/>
      <c r="C4" s="435"/>
      <c r="D4" s="234"/>
      <c r="E4" s="436"/>
      <c r="F4" s="437"/>
      <c r="G4" s="438"/>
      <c r="H4" s="439"/>
      <c r="I4" s="439"/>
      <c r="J4" s="234"/>
      <c r="K4" s="234"/>
      <c r="L4" s="440"/>
      <c r="Z4" s="483" t="s">
        <v>360</v>
      </c>
    </row>
    <row r="5" spans="1:26" ht="24" customHeight="1">
      <c r="A5" s="36"/>
      <c r="B5" s="36"/>
      <c r="C5" s="441"/>
      <c r="D5" s="234"/>
      <c r="E5" s="436"/>
      <c r="F5" s="437"/>
      <c r="G5" s="438"/>
      <c r="H5" s="439"/>
      <c r="I5" s="439"/>
      <c r="J5" s="234"/>
      <c r="K5" s="234"/>
      <c r="L5" s="440"/>
      <c r="Z5" s="483" t="s">
        <v>361</v>
      </c>
    </row>
    <row r="6" spans="1:26" ht="24" customHeight="1">
      <c r="A6" s="36"/>
      <c r="B6" s="36"/>
      <c r="C6" s="942" t="s">
        <v>328</v>
      </c>
      <c r="D6" s="943"/>
      <c r="E6" s="943"/>
      <c r="F6" s="943"/>
      <c r="G6" s="943"/>
      <c r="H6" s="943"/>
      <c r="I6" s="943"/>
      <c r="J6" s="943"/>
      <c r="K6" s="943"/>
      <c r="L6" s="944"/>
      <c r="Z6" s="483" t="s">
        <v>362</v>
      </c>
    </row>
    <row r="7" spans="1:26" ht="24" customHeight="1">
      <c r="A7" s="36"/>
      <c r="B7" s="36"/>
      <c r="C7" s="441"/>
      <c r="D7" s="234"/>
      <c r="E7" s="436"/>
      <c r="F7" s="437"/>
      <c r="G7" s="438"/>
      <c r="H7" s="439"/>
      <c r="I7" s="439"/>
      <c r="J7" s="234"/>
      <c r="K7" s="234"/>
      <c r="L7" s="440"/>
      <c r="Z7" s="483" t="s">
        <v>363</v>
      </c>
    </row>
    <row r="8" spans="1:26" ht="24" customHeight="1">
      <c r="A8" s="36"/>
      <c r="B8" s="36"/>
      <c r="C8" s="435"/>
      <c r="L8" s="440"/>
      <c r="Z8" s="483" t="s">
        <v>364</v>
      </c>
    </row>
    <row r="9" spans="1:26" ht="24" customHeight="1" thickBot="1">
      <c r="A9" s="36"/>
      <c r="B9" s="36"/>
      <c r="C9" s="441"/>
      <c r="D9" s="945" t="str">
        <f>表紙!D12</f>
        <v>1･3号線各駅可動式ホーム柵設置に伴う建築工事設計業務委託</v>
      </c>
      <c r="E9" s="946"/>
      <c r="F9" s="946"/>
      <c r="G9" s="946"/>
      <c r="H9" s="946"/>
      <c r="I9" s="946"/>
      <c r="J9" s="946"/>
      <c r="K9" s="946"/>
      <c r="L9" s="440"/>
      <c r="Z9" s="483" t="s">
        <v>365</v>
      </c>
    </row>
    <row r="10" spans="1:26" ht="24" customHeight="1">
      <c r="A10" s="36"/>
      <c r="B10" s="36"/>
      <c r="C10" s="441"/>
      <c r="D10" s="442"/>
      <c r="E10" s="436"/>
      <c r="F10" s="437"/>
      <c r="G10" s="438"/>
      <c r="H10" s="439"/>
      <c r="I10" s="439"/>
      <c r="J10" s="234"/>
      <c r="K10" s="234"/>
      <c r="L10" s="440"/>
      <c r="Z10" s="483" t="s">
        <v>366</v>
      </c>
    </row>
    <row r="11" spans="1:26" ht="24" customHeight="1">
      <c r="A11" s="36"/>
      <c r="B11" s="36"/>
      <c r="C11" s="441"/>
      <c r="D11" s="484"/>
      <c r="E11" s="436"/>
      <c r="F11" s="437"/>
      <c r="G11" s="438"/>
      <c r="H11" s="439"/>
      <c r="I11" s="439"/>
      <c r="J11" s="234"/>
      <c r="K11" s="234"/>
      <c r="L11" s="440"/>
      <c r="Z11" s="483" t="s">
        <v>367</v>
      </c>
    </row>
    <row r="12" spans="1:26" ht="24" customHeight="1">
      <c r="A12" s="36"/>
      <c r="B12" s="36"/>
      <c r="C12" s="441"/>
      <c r="D12" s="442" t="s">
        <v>329</v>
      </c>
      <c r="E12" s="436"/>
      <c r="F12" s="437"/>
      <c r="G12" s="438"/>
      <c r="H12" s="439"/>
      <c r="I12" s="439"/>
      <c r="J12" s="234"/>
      <c r="K12" s="234"/>
      <c r="L12" s="440"/>
    </row>
    <row r="13" spans="1:26" ht="24" customHeight="1">
      <c r="A13" s="36"/>
      <c r="B13" s="36"/>
      <c r="C13" s="441"/>
      <c r="D13" s="947" t="s">
        <v>333</v>
      </c>
      <c r="E13" s="948"/>
      <c r="F13" s="948"/>
      <c r="G13" s="948"/>
      <c r="H13" s="948"/>
      <c r="I13" s="948"/>
      <c r="J13" s="948"/>
      <c r="K13" s="948"/>
      <c r="L13" s="443"/>
    </row>
    <row r="14" spans="1:26" ht="24" customHeight="1">
      <c r="A14" s="36"/>
      <c r="B14" s="36"/>
      <c r="C14" s="441"/>
      <c r="D14" s="948"/>
      <c r="E14" s="948"/>
      <c r="F14" s="948"/>
      <c r="G14" s="948"/>
      <c r="H14" s="948"/>
      <c r="I14" s="948"/>
      <c r="J14" s="948"/>
      <c r="K14" s="948"/>
      <c r="L14" s="443"/>
    </row>
    <row r="15" spans="1:26" ht="24" customHeight="1">
      <c r="A15" s="36"/>
      <c r="B15" s="36"/>
      <c r="C15" s="441"/>
      <c r="D15" s="947" t="s">
        <v>332</v>
      </c>
      <c r="E15" s="948"/>
      <c r="F15" s="948"/>
      <c r="G15" s="948"/>
      <c r="H15" s="948"/>
      <c r="I15" s="948"/>
      <c r="J15" s="948"/>
      <c r="K15" s="948"/>
      <c r="L15" s="443"/>
    </row>
    <row r="16" spans="1:26" ht="24" customHeight="1">
      <c r="A16" s="36"/>
      <c r="B16" s="36"/>
      <c r="C16" s="441"/>
      <c r="D16" s="948"/>
      <c r="E16" s="948"/>
      <c r="F16" s="948"/>
      <c r="G16" s="948"/>
      <c r="H16" s="948"/>
      <c r="I16" s="948"/>
      <c r="J16" s="948"/>
      <c r="K16" s="948"/>
      <c r="L16" s="443"/>
    </row>
    <row r="17" spans="1:13" ht="24" customHeight="1">
      <c r="A17" s="36"/>
      <c r="B17" s="36"/>
      <c r="C17" s="441"/>
      <c r="D17" s="948"/>
      <c r="E17" s="948"/>
      <c r="F17" s="948"/>
      <c r="G17" s="948"/>
      <c r="H17" s="948"/>
      <c r="I17" s="948"/>
      <c r="J17" s="948"/>
      <c r="K17" s="948"/>
      <c r="L17" s="443"/>
    </row>
    <row r="18" spans="1:13" ht="24" customHeight="1">
      <c r="A18" s="36"/>
      <c r="B18" s="36"/>
      <c r="C18" s="441"/>
      <c r="D18" s="947" t="s">
        <v>330</v>
      </c>
      <c r="E18" s="949"/>
      <c r="F18" s="949"/>
      <c r="G18" s="949"/>
      <c r="H18" s="949"/>
      <c r="I18" s="949"/>
      <c r="J18" s="949"/>
      <c r="K18" s="949"/>
      <c r="L18" s="444"/>
    </row>
    <row r="19" spans="1:13" ht="24" customHeight="1">
      <c r="A19" s="36"/>
      <c r="B19" s="36"/>
      <c r="C19" s="441"/>
      <c r="D19" s="949"/>
      <c r="E19" s="949"/>
      <c r="F19" s="949"/>
      <c r="G19" s="949"/>
      <c r="H19" s="949"/>
      <c r="I19" s="949"/>
      <c r="J19" s="949"/>
      <c r="K19" s="949"/>
      <c r="L19" s="444"/>
    </row>
    <row r="20" spans="1:13" ht="24" customHeight="1">
      <c r="A20" s="36"/>
      <c r="B20" s="36"/>
      <c r="C20" s="441"/>
      <c r="D20" s="442" t="s">
        <v>331</v>
      </c>
      <c r="E20" s="436"/>
      <c r="F20" s="437"/>
      <c r="G20" s="438"/>
      <c r="H20" s="439"/>
      <c r="I20" s="439"/>
      <c r="J20" s="445"/>
      <c r="K20" s="442"/>
      <c r="L20" s="446"/>
    </row>
    <row r="21" spans="1:13" ht="24" customHeight="1">
      <c r="A21" s="36"/>
      <c r="B21" s="36"/>
      <c r="C21" s="441"/>
      <c r="D21" s="442"/>
      <c r="E21" s="436"/>
      <c r="F21" s="437"/>
      <c r="G21" s="438"/>
      <c r="H21" s="439"/>
      <c r="I21" s="439"/>
      <c r="J21" s="234"/>
      <c r="K21" s="950"/>
      <c r="L21" s="951"/>
    </row>
    <row r="22" spans="1:13" ht="24" customHeight="1" thickBot="1">
      <c r="A22" s="36"/>
      <c r="B22" s="36"/>
      <c r="C22" s="447"/>
      <c r="D22" s="448"/>
      <c r="E22" s="449" t="s">
        <v>339</v>
      </c>
      <c r="F22" s="450">
        <f>+表紙!H25</f>
        <v>6</v>
      </c>
      <c r="G22" s="451"/>
      <c r="H22" s="452"/>
      <c r="I22" s="452"/>
      <c r="J22" s="453"/>
      <c r="K22" s="936"/>
      <c r="L22" s="937"/>
    </row>
    <row r="23" spans="1:13" ht="14.25" customHeight="1">
      <c r="E23" s="32"/>
      <c r="F23" s="102"/>
      <c r="G23" s="33"/>
      <c r="M23" s="31"/>
    </row>
  </sheetData>
  <mergeCells count="9">
    <mergeCell ref="K22:L22"/>
    <mergeCell ref="C1:L1"/>
    <mergeCell ref="C2:L2"/>
    <mergeCell ref="C6:L6"/>
    <mergeCell ref="D9:K9"/>
    <mergeCell ref="D13:K14"/>
    <mergeCell ref="D15:K17"/>
    <mergeCell ref="D18:K19"/>
    <mergeCell ref="K21:L21"/>
  </mergeCells>
  <phoneticPr fontId="2"/>
  <printOptions horizontalCentered="1" verticalCentered="1"/>
  <pageMargins left="0.19685039370078741" right="0.19685039370078741" top="0.78740157480314965" bottom="0.19685039370078741" header="0.51181102362204722" footer="0.51181102362204722"/>
  <pageSetup paperSize="9" orientation="landscape" cellComments="asDisplayed"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E117"/>
  <sheetViews>
    <sheetView tabSelected="1" topLeftCell="A89" zoomScale="80" zoomScaleNormal="80" zoomScaleSheetLayoutView="85" workbookViewId="0">
      <selection activeCell="L107" sqref="L107"/>
    </sheetView>
  </sheetViews>
  <sheetFormatPr defaultColWidth="6.6328125" defaultRowHeight="26" customHeight="1"/>
  <cols>
    <col min="1" max="2" width="2.6328125" style="6" customWidth="1"/>
    <col min="3" max="3" width="8.6328125" style="1" customWidth="1"/>
    <col min="4" max="4" width="28.6328125" style="1" customWidth="1"/>
    <col min="5" max="5" width="25" style="2" customWidth="1"/>
    <col min="6" max="6" width="10.6328125" style="1" customWidth="1"/>
    <col min="7" max="7" width="7.6328125" style="3" customWidth="1"/>
    <col min="8" max="8" width="11.6328125" style="4" customWidth="1"/>
    <col min="9" max="9" width="15.6328125" style="4" customWidth="1"/>
    <col min="10" max="12" width="9.6328125" style="1" customWidth="1"/>
    <col min="13" max="14" width="6.6328125" style="1" customWidth="1"/>
    <col min="15" max="16" width="4.81640625" style="1" customWidth="1"/>
    <col min="17" max="23" width="15.6328125" style="1" customWidth="1"/>
    <col min="24" max="25" width="6.6328125" style="1"/>
    <col min="26" max="26" width="6.6328125" style="483"/>
    <col min="27" max="16384" width="6.6328125" style="1"/>
  </cols>
  <sheetData>
    <row r="1" spans="1:31" ht="13">
      <c r="H1" s="795"/>
      <c r="I1" s="795"/>
      <c r="J1" s="992"/>
      <c r="K1" s="992"/>
      <c r="L1" s="992"/>
    </row>
    <row r="2" spans="1:31" ht="14" customHeight="1">
      <c r="A2" s="8"/>
      <c r="B2" s="8"/>
      <c r="C2" s="791"/>
      <c r="D2" s="791"/>
      <c r="E2" s="9"/>
      <c r="F2" s="10"/>
      <c r="G2" s="10"/>
      <c r="H2" s="952" t="s">
        <v>4260</v>
      </c>
      <c r="I2" s="953"/>
      <c r="J2" s="853" t="s">
        <v>4135</v>
      </c>
      <c r="K2" s="993">
        <v>43594</v>
      </c>
      <c r="L2" s="994"/>
    </row>
    <row r="3" spans="1:31" ht="14" customHeight="1">
      <c r="A3" s="8"/>
      <c r="B3" s="773"/>
      <c r="C3" s="366"/>
      <c r="D3" s="366"/>
      <c r="E3" s="9"/>
      <c r="F3" s="10"/>
      <c r="G3" s="10"/>
      <c r="H3" s="852" t="s">
        <v>4116</v>
      </c>
      <c r="I3" s="900" t="s">
        <v>4127</v>
      </c>
      <c r="J3" s="901" t="s">
        <v>4136</v>
      </c>
      <c r="K3" s="993">
        <v>43594</v>
      </c>
      <c r="L3" s="994"/>
    </row>
    <row r="4" spans="1:31" ht="14" customHeight="1">
      <c r="A4" s="11"/>
      <c r="B4" s="11"/>
      <c r="C4" s="12"/>
      <c r="D4" s="13"/>
      <c r="E4" s="14"/>
      <c r="F4" s="13"/>
      <c r="G4" s="10"/>
      <c r="H4" s="852" t="s">
        <v>4117</v>
      </c>
      <c r="I4" s="900" t="s">
        <v>4283</v>
      </c>
      <c r="J4" s="901" t="s">
        <v>4104</v>
      </c>
      <c r="K4" s="993">
        <v>43609</v>
      </c>
      <c r="L4" s="994"/>
      <c r="Q4" s="225" t="s">
        <v>223</v>
      </c>
      <c r="Z4" s="483" t="s">
        <v>342</v>
      </c>
      <c r="AE4" s="1" t="s">
        <v>4107</v>
      </c>
    </row>
    <row r="5" spans="1:31" ht="14" customHeight="1">
      <c r="A5" s="11"/>
      <c r="B5" s="11"/>
      <c r="C5" s="12"/>
      <c r="D5" s="13"/>
      <c r="E5" s="14"/>
      <c r="F5" s="13"/>
      <c r="G5" s="10"/>
      <c r="H5" s="853" t="s">
        <v>4100</v>
      </c>
      <c r="I5" s="900" t="s">
        <v>4284</v>
      </c>
      <c r="J5" s="901" t="s">
        <v>4105</v>
      </c>
      <c r="K5" s="993">
        <v>43623</v>
      </c>
      <c r="L5" s="994"/>
      <c r="Q5" s="150" t="s">
        <v>44</v>
      </c>
      <c r="R5" s="150"/>
      <c r="S5" s="151" t="s">
        <v>4214</v>
      </c>
      <c r="U5" s="150" t="s">
        <v>125</v>
      </c>
      <c r="V5" s="150"/>
      <c r="W5" s="480" t="s">
        <v>4213</v>
      </c>
      <c r="Z5" s="483" t="s">
        <v>99</v>
      </c>
      <c r="AE5" s="1" t="s">
        <v>4118</v>
      </c>
    </row>
    <row r="6" spans="1:31" ht="14" customHeight="1">
      <c r="A6" s="11"/>
      <c r="B6" s="11"/>
      <c r="C6" s="12"/>
      <c r="D6" s="13"/>
      <c r="E6" s="14"/>
      <c r="F6" s="13"/>
      <c r="G6" s="10"/>
      <c r="H6" s="853" t="s">
        <v>4101</v>
      </c>
      <c r="I6" s="902" t="s">
        <v>4285</v>
      </c>
      <c r="J6" s="901" t="s">
        <v>4106</v>
      </c>
      <c r="K6" s="993">
        <v>43798</v>
      </c>
      <c r="L6" s="994"/>
      <c r="Q6" s="150" t="s">
        <v>45</v>
      </c>
      <c r="R6" s="150"/>
      <c r="S6" s="152" t="s">
        <v>100</v>
      </c>
      <c r="U6" s="150" t="s">
        <v>45</v>
      </c>
      <c r="V6" s="150"/>
      <c r="W6" s="152" t="s">
        <v>100</v>
      </c>
      <c r="Z6" s="483" t="s">
        <v>343</v>
      </c>
      <c r="AE6" s="1" t="s">
        <v>4119</v>
      </c>
    </row>
    <row r="7" spans="1:31" ht="14" customHeight="1">
      <c r="A7" s="11"/>
      <c r="B7" s="11"/>
      <c r="C7" s="12"/>
      <c r="D7" s="13"/>
      <c r="E7" s="14"/>
      <c r="F7" s="13"/>
      <c r="G7" s="10"/>
      <c r="H7" s="853" t="s">
        <v>4102</v>
      </c>
      <c r="I7" s="903" t="s">
        <v>366</v>
      </c>
      <c r="J7" s="904" t="s">
        <v>4108</v>
      </c>
      <c r="K7" s="984" t="s">
        <v>4267</v>
      </c>
      <c r="L7" s="985"/>
      <c r="Q7" s="153"/>
      <c r="R7" s="153"/>
      <c r="S7" s="153"/>
      <c r="Z7" s="483" t="s">
        <v>355</v>
      </c>
      <c r="AE7" s="1" t="s">
        <v>4120</v>
      </c>
    </row>
    <row r="8" spans="1:31" ht="14" customHeight="1">
      <c r="A8" s="11"/>
      <c r="B8" s="11"/>
      <c r="C8" s="12"/>
      <c r="D8" s="13"/>
      <c r="E8" s="14"/>
      <c r="F8" s="13"/>
      <c r="G8" s="10"/>
      <c r="H8" s="853" t="s">
        <v>4262</v>
      </c>
      <c r="I8" s="902" t="s">
        <v>4343</v>
      </c>
      <c r="J8" s="901" t="s">
        <v>4261</v>
      </c>
      <c r="K8" s="983" t="s">
        <v>4344</v>
      </c>
      <c r="L8" s="983"/>
      <c r="Q8" s="154" t="s">
        <v>69</v>
      </c>
      <c r="U8" s="150" t="s">
        <v>216</v>
      </c>
      <c r="V8" s="150"/>
      <c r="W8" s="151" t="s">
        <v>4139</v>
      </c>
      <c r="Z8" s="483" t="s">
        <v>356</v>
      </c>
      <c r="AE8" s="1" t="s">
        <v>4121</v>
      </c>
    </row>
    <row r="9" spans="1:31" ht="14" customHeight="1">
      <c r="A9" s="11"/>
      <c r="B9" s="11"/>
      <c r="C9" s="12"/>
      <c r="D9" s="13"/>
      <c r="E9" s="14"/>
      <c r="F9" s="13"/>
      <c r="G9" s="10"/>
      <c r="H9" s="853" t="s">
        <v>4103</v>
      </c>
      <c r="I9" s="902" t="s">
        <v>368</v>
      </c>
      <c r="J9" s="986" t="s">
        <v>4259</v>
      </c>
      <c r="K9" s="988">
        <v>1011</v>
      </c>
      <c r="L9" s="989"/>
      <c r="S9" s="155">
        <v>1</v>
      </c>
      <c r="U9" s="150" t="s">
        <v>217</v>
      </c>
      <c r="V9" s="150"/>
      <c r="W9" s="152" t="s">
        <v>100</v>
      </c>
      <c r="Z9" s="483" t="s">
        <v>357</v>
      </c>
    </row>
    <row r="10" spans="1:31" ht="14" customHeight="1">
      <c r="A10" s="11"/>
      <c r="B10" s="11"/>
      <c r="C10" s="12"/>
      <c r="D10" s="13"/>
      <c r="E10" s="14"/>
      <c r="F10" s="13"/>
      <c r="G10" s="10"/>
      <c r="H10" s="853" t="s">
        <v>4270</v>
      </c>
      <c r="I10" s="902" t="s">
        <v>4281</v>
      </c>
      <c r="J10" s="987"/>
      <c r="K10" s="990"/>
      <c r="L10" s="991"/>
      <c r="Q10" s="482"/>
      <c r="R10" s="482" t="s">
        <v>341</v>
      </c>
      <c r="S10" s="482" t="s">
        <v>341</v>
      </c>
      <c r="T10" s="482" t="s">
        <v>341</v>
      </c>
      <c r="U10" s="482" t="s">
        <v>341</v>
      </c>
      <c r="V10" s="482" t="s">
        <v>341</v>
      </c>
      <c r="Z10" s="483" t="s">
        <v>344</v>
      </c>
      <c r="AE10" s="1" t="s">
        <v>4124</v>
      </c>
    </row>
    <row r="11" spans="1:31" ht="25" customHeight="1">
      <c r="A11" s="11"/>
      <c r="B11" s="11"/>
      <c r="C11" s="15"/>
      <c r="D11" s="485"/>
      <c r="E11" s="486"/>
      <c r="F11" s="485"/>
      <c r="G11" s="487"/>
      <c r="H11" s="488"/>
      <c r="I11" s="488"/>
      <c r="J11" s="489"/>
      <c r="K11" s="490"/>
      <c r="L11" s="492"/>
      <c r="O11" s="154"/>
      <c r="P11" s="154"/>
      <c r="Q11" s="482" t="s">
        <v>4105</v>
      </c>
      <c r="R11" s="788">
        <f>K5</f>
        <v>43623</v>
      </c>
      <c r="S11" s="788"/>
      <c r="T11" s="788"/>
      <c r="U11" s="788"/>
      <c r="V11" s="788"/>
      <c r="Z11" s="483" t="s">
        <v>4109</v>
      </c>
      <c r="AE11" s="1" t="s">
        <v>4125</v>
      </c>
    </row>
    <row r="12" spans="1:31" ht="25" customHeight="1" thickBot="1">
      <c r="A12" s="11"/>
      <c r="B12" s="11"/>
      <c r="C12" s="15"/>
      <c r="D12" s="964" t="s">
        <v>4286</v>
      </c>
      <c r="E12" s="964"/>
      <c r="F12" s="964"/>
      <c r="G12" s="964"/>
      <c r="H12" s="964"/>
      <c r="I12" s="964"/>
      <c r="J12" s="964"/>
      <c r="K12" s="964"/>
      <c r="L12" s="493"/>
      <c r="Q12" s="482" t="s">
        <v>4106</v>
      </c>
      <c r="R12" s="788">
        <f>K6</f>
        <v>43798</v>
      </c>
      <c r="S12" s="788"/>
      <c r="T12" s="482"/>
      <c r="U12" s="482"/>
      <c r="V12" s="482"/>
      <c r="Z12" s="483" t="s">
        <v>4110</v>
      </c>
      <c r="AE12" s="1" t="s">
        <v>4126</v>
      </c>
    </row>
    <row r="13" spans="1:31" ht="37.5" customHeight="1">
      <c r="A13" s="11"/>
      <c r="B13" s="11"/>
      <c r="C13" s="15"/>
      <c r="D13" s="963"/>
      <c r="E13" s="963"/>
      <c r="F13" s="963"/>
      <c r="G13" s="963"/>
      <c r="H13" s="963"/>
      <c r="I13" s="963"/>
      <c r="J13" s="963"/>
      <c r="K13" s="963"/>
      <c r="L13" s="493"/>
      <c r="Q13" s="789"/>
      <c r="R13" s="790">
        <f>IF(R11="","",IF(OR(R11,R12)="","",ROUND((R12-R11-7)/30,1)))</f>
        <v>5.6</v>
      </c>
      <c r="S13" s="790" t="str">
        <f>IF(S11="","",IF(OR(S11,S12)="","",ROUND((S12-S11-7)/30,1)))</f>
        <v/>
      </c>
      <c r="T13" s="790" t="str">
        <f>IF(T11="","",IF(OR(T11,T12)="","",ROUND((T12-T11-7)/30,1)))</f>
        <v/>
      </c>
      <c r="U13" s="790" t="str">
        <f>IF(U11="","",IF(OR(U11,U12)="","",ROUND((U12-U11-7)/30,1)))</f>
        <v/>
      </c>
      <c r="V13" s="790" t="str">
        <f>IF(V11="","",IF(OR(V11,V12)="","",ROUND((V12-V11-7)/30,1)))</f>
        <v/>
      </c>
      <c r="Z13" s="483" t="s">
        <v>4111</v>
      </c>
      <c r="AE13" s="1" t="s">
        <v>4127</v>
      </c>
    </row>
    <row r="14" spans="1:31" ht="25" customHeight="1">
      <c r="A14" s="11"/>
      <c r="B14" s="11"/>
      <c r="C14" s="15"/>
      <c r="D14" s="955" t="s">
        <v>4271</v>
      </c>
      <c r="E14" s="955"/>
      <c r="F14" s="955"/>
      <c r="G14" s="955"/>
      <c r="H14" s="955"/>
      <c r="I14" s="955"/>
      <c r="J14" s="955"/>
      <c r="K14" s="955"/>
      <c r="L14" s="493"/>
      <c r="Z14" s="483" t="s">
        <v>4112</v>
      </c>
      <c r="AE14" s="1" t="s">
        <v>4122</v>
      </c>
    </row>
    <row r="15" spans="1:31" ht="20" customHeight="1">
      <c r="A15" s="11"/>
      <c r="B15" s="11"/>
      <c r="C15" s="15"/>
      <c r="D15" s="775"/>
      <c r="E15" s="775"/>
      <c r="F15" s="775"/>
      <c r="G15" s="775"/>
      <c r="H15" s="775"/>
      <c r="I15" s="775"/>
      <c r="J15" s="775"/>
      <c r="K15" s="775"/>
      <c r="L15" s="493"/>
      <c r="Z15" s="483" t="s">
        <v>4113</v>
      </c>
      <c r="AE15" s="1" t="s">
        <v>4123</v>
      </c>
    </row>
    <row r="16" spans="1:31" ht="14" customHeight="1">
      <c r="A16" s="11"/>
      <c r="B16" s="11"/>
      <c r="C16" s="15"/>
      <c r="D16" s="775"/>
      <c r="E16" s="775"/>
      <c r="F16" s="775"/>
      <c r="G16" s="775"/>
      <c r="H16" s="775"/>
      <c r="I16" s="775"/>
      <c r="J16" s="956" t="s">
        <v>4115</v>
      </c>
      <c r="K16" s="957"/>
      <c r="L16" s="958"/>
      <c r="Z16" s="483" t="s">
        <v>345</v>
      </c>
    </row>
    <row r="17" spans="1:31" ht="14" customHeight="1">
      <c r="A17" s="11"/>
      <c r="B17" s="11"/>
      <c r="C17" s="15"/>
      <c r="D17" s="775"/>
      <c r="E17" s="775"/>
      <c r="F17" s="775"/>
      <c r="G17" s="775"/>
      <c r="H17" s="787"/>
      <c r="I17" s="787"/>
      <c r="J17" s="956" t="s">
        <v>4097</v>
      </c>
      <c r="K17" s="958"/>
      <c r="L17" s="961" t="s">
        <v>4096</v>
      </c>
      <c r="N17" s="231"/>
      <c r="O17" s="231"/>
      <c r="P17" s="231"/>
      <c r="Q17" s="231"/>
      <c r="Z17" s="483" t="s">
        <v>346</v>
      </c>
      <c r="AE17" s="1" t="s">
        <v>4128</v>
      </c>
    </row>
    <row r="18" spans="1:31" ht="14" customHeight="1">
      <c r="A18" s="11"/>
      <c r="B18" s="11"/>
      <c r="C18" s="15"/>
      <c r="D18" s="775"/>
      <c r="E18" s="775"/>
      <c r="F18" s="775"/>
      <c r="G18" s="775"/>
      <c r="H18" s="796"/>
      <c r="I18" s="797"/>
      <c r="J18" s="827" t="s">
        <v>4252</v>
      </c>
      <c r="K18" s="827" t="s">
        <v>4095</v>
      </c>
      <c r="L18" s="962"/>
      <c r="N18" s="231"/>
      <c r="O18" s="231"/>
      <c r="P18" s="231"/>
      <c r="Q18" s="231"/>
      <c r="Z18" s="483" t="s">
        <v>347</v>
      </c>
      <c r="AE18" s="1" t="s">
        <v>4129</v>
      </c>
    </row>
    <row r="19" spans="1:31" ht="14" customHeight="1">
      <c r="A19" s="11"/>
      <c r="B19" s="11"/>
      <c r="C19" s="15"/>
      <c r="D19" s="775"/>
      <c r="E19" s="775"/>
      <c r="F19" s="775"/>
      <c r="G19" s="775"/>
      <c r="H19" s="796"/>
      <c r="I19" s="787"/>
      <c r="J19" s="960" t="s">
        <v>4287</v>
      </c>
      <c r="K19" s="960" t="s">
        <v>4288</v>
      </c>
      <c r="L19" s="960" t="s">
        <v>4289</v>
      </c>
      <c r="N19" s="954"/>
      <c r="O19" s="954"/>
      <c r="P19" s="954"/>
      <c r="Q19" s="231"/>
      <c r="Z19" s="483" t="s">
        <v>348</v>
      </c>
      <c r="AE19" s="1" t="s">
        <v>4137</v>
      </c>
    </row>
    <row r="20" spans="1:31" ht="14" customHeight="1">
      <c r="A20" s="11"/>
      <c r="B20" s="11"/>
      <c r="C20" s="15"/>
      <c r="D20" s="775"/>
      <c r="E20" s="775"/>
      <c r="F20" s="775"/>
      <c r="G20" s="775"/>
      <c r="H20" s="794"/>
      <c r="I20" s="490"/>
      <c r="J20" s="960"/>
      <c r="K20" s="960"/>
      <c r="L20" s="960"/>
      <c r="N20" s="954"/>
      <c r="O20" s="954"/>
      <c r="P20" s="954"/>
      <c r="Q20" s="231"/>
      <c r="Z20" s="483" t="s">
        <v>4114</v>
      </c>
      <c r="AE20" s="1" t="s">
        <v>4130</v>
      </c>
    </row>
    <row r="21" spans="1:31" ht="14" customHeight="1">
      <c r="A21" s="11"/>
      <c r="B21" s="11"/>
      <c r="C21" s="15"/>
      <c r="D21" s="775"/>
      <c r="E21" s="775"/>
      <c r="F21" s="775"/>
      <c r="G21" s="775"/>
      <c r="H21" s="794"/>
      <c r="I21" s="490"/>
      <c r="J21" s="960"/>
      <c r="K21" s="960"/>
      <c r="L21" s="960"/>
      <c r="N21" s="954"/>
      <c r="O21" s="792"/>
      <c r="P21" s="793"/>
      <c r="Q21" s="231"/>
      <c r="Z21" s="483" t="s">
        <v>349</v>
      </c>
      <c r="AE21" s="1" t="s">
        <v>4131</v>
      </c>
    </row>
    <row r="22" spans="1:31" ht="14" customHeight="1">
      <c r="A22" s="11"/>
      <c r="B22" s="11"/>
      <c r="C22" s="15"/>
      <c r="D22" s="775"/>
      <c r="E22" s="775"/>
      <c r="F22" s="775"/>
      <c r="G22" s="775"/>
      <c r="H22" s="794"/>
      <c r="I22" s="491"/>
      <c r="J22" s="960"/>
      <c r="K22" s="960"/>
      <c r="L22" s="960"/>
      <c r="N22" s="955"/>
      <c r="O22" s="955"/>
      <c r="P22" s="959"/>
      <c r="Q22" s="231"/>
      <c r="Z22" s="483" t="s">
        <v>350</v>
      </c>
      <c r="AE22" s="1" t="s">
        <v>4132</v>
      </c>
    </row>
    <row r="23" spans="1:31" ht="14" customHeight="1">
      <c r="A23" s="11"/>
      <c r="B23" s="11"/>
      <c r="C23" s="15"/>
      <c r="D23" s="493"/>
      <c r="E23" s="494"/>
      <c r="F23" s="493"/>
      <c r="G23" s="495"/>
      <c r="H23" s="794"/>
      <c r="I23" s="490"/>
      <c r="J23" s="490"/>
      <c r="K23" s="490"/>
      <c r="L23" s="490"/>
      <c r="N23" s="955"/>
      <c r="O23" s="955"/>
      <c r="P23" s="959"/>
      <c r="Q23" s="231"/>
      <c r="Z23" s="483" t="s">
        <v>351</v>
      </c>
      <c r="AE23" s="1" t="s">
        <v>4133</v>
      </c>
    </row>
    <row r="24" spans="1:31" ht="20" customHeight="1">
      <c r="A24" s="11"/>
      <c r="B24" s="11"/>
      <c r="C24" s="15"/>
      <c r="D24" s="493"/>
      <c r="E24" s="494"/>
      <c r="F24" s="493"/>
      <c r="G24" s="495"/>
      <c r="H24" s="496"/>
      <c r="I24" s="497"/>
      <c r="J24" s="774"/>
      <c r="K24" s="774"/>
      <c r="L24" s="13"/>
      <c r="N24" s="231"/>
      <c r="O24" s="231"/>
      <c r="P24" s="231"/>
      <c r="Q24" s="231"/>
      <c r="Z24" s="483" t="s">
        <v>352</v>
      </c>
      <c r="AE24" s="1" t="s">
        <v>4134</v>
      </c>
    </row>
    <row r="25" spans="1:31" ht="20" customHeight="1">
      <c r="B25" s="966" t="s">
        <v>340</v>
      </c>
      <c r="C25" s="967"/>
      <c r="D25" s="967"/>
      <c r="E25" s="967"/>
      <c r="F25" s="226">
        <v>0</v>
      </c>
      <c r="H25" s="227">
        <f>+work!H18</f>
        <v>6</v>
      </c>
      <c r="I25" s="101">
        <v>4</v>
      </c>
      <c r="J25" s="17"/>
      <c r="K25" s="13"/>
      <c r="L25" s="13"/>
      <c r="M25" s="489"/>
      <c r="N25" s="965"/>
      <c r="O25" s="965"/>
      <c r="Z25" s="483" t="s">
        <v>353</v>
      </c>
    </row>
    <row r="26" spans="1:31" ht="26" customHeight="1" thickBot="1">
      <c r="C26" s="938" t="s">
        <v>4272</v>
      </c>
      <c r="D26" s="938"/>
      <c r="E26" s="938"/>
      <c r="F26" s="938"/>
      <c r="G26" s="938"/>
      <c r="H26" s="938"/>
      <c r="I26" s="938"/>
      <c r="J26" s="938"/>
      <c r="K26" s="938"/>
      <c r="L26" s="938"/>
      <c r="M26" s="489"/>
      <c r="N26" s="965"/>
      <c r="O26" s="965"/>
      <c r="Z26" s="483" t="s">
        <v>354</v>
      </c>
    </row>
    <row r="27" spans="1:31" ht="42" customHeight="1">
      <c r="A27" s="5" t="s">
        <v>3822</v>
      </c>
      <c r="B27" s="5" t="s">
        <v>10</v>
      </c>
      <c r="C27" s="120" t="s">
        <v>0</v>
      </c>
      <c r="D27" s="116"/>
      <c r="E27" s="117" t="s">
        <v>1</v>
      </c>
      <c r="F27" s="118" t="s">
        <v>2</v>
      </c>
      <c r="G27" s="118" t="s">
        <v>3</v>
      </c>
      <c r="H27" s="119" t="s">
        <v>4</v>
      </c>
      <c r="I27" s="119" t="s">
        <v>5</v>
      </c>
      <c r="J27" s="968" t="s">
        <v>6</v>
      </c>
      <c r="K27" s="969"/>
      <c r="L27" s="970"/>
      <c r="M27" s="489"/>
      <c r="N27" s="965"/>
      <c r="O27" s="965"/>
      <c r="Z27" s="1" t="s">
        <v>358</v>
      </c>
    </row>
    <row r="28" spans="1:31" ht="24" customHeight="1">
      <c r="A28" s="36"/>
      <c r="B28" s="36"/>
      <c r="C28" s="406" t="str">
        <f>D12</f>
        <v>1･3号線各駅可動式ホーム柵設置に伴う建築工事設計業務委託</v>
      </c>
      <c r="D28" s="407"/>
      <c r="E28" s="408"/>
      <c r="F28" s="409"/>
      <c r="G28" s="410"/>
      <c r="H28" s="411" t="s">
        <v>12</v>
      </c>
      <c r="I28" s="411" t="s">
        <v>12</v>
      </c>
      <c r="J28" s="412"/>
      <c r="K28" s="412"/>
      <c r="L28" s="413"/>
      <c r="M28" s="489"/>
      <c r="N28" s="965"/>
      <c r="O28" s="965"/>
      <c r="Z28" s="483" t="s">
        <v>359</v>
      </c>
    </row>
    <row r="29" spans="1:31" ht="24" customHeight="1">
      <c r="A29" s="36"/>
      <c r="B29" s="36"/>
      <c r="C29" s="414"/>
      <c r="D29" s="415"/>
      <c r="E29" s="416"/>
      <c r="F29" s="417"/>
      <c r="G29" s="418"/>
      <c r="H29" s="419"/>
      <c r="I29" s="419"/>
      <c r="J29" s="415"/>
      <c r="K29" s="415"/>
      <c r="L29" s="420"/>
      <c r="Z29" s="483" t="s">
        <v>360</v>
      </c>
    </row>
    <row r="30" spans="1:31" ht="24" customHeight="1">
      <c r="A30" s="36"/>
      <c r="B30" s="36"/>
      <c r="C30" s="421"/>
      <c r="D30" s="861" t="s">
        <v>4273</v>
      </c>
      <c r="E30" s="862"/>
      <c r="F30" s="863">
        <v>1</v>
      </c>
      <c r="G30" s="864" t="s">
        <v>7</v>
      </c>
      <c r="H30" s="865"/>
      <c r="I30" s="865">
        <f>+[2]まとめ!$C$29</f>
        <v>9204000</v>
      </c>
      <c r="J30" s="861" t="s">
        <v>4274</v>
      </c>
      <c r="K30" s="422"/>
      <c r="L30" s="423"/>
      <c r="Z30" s="483" t="s">
        <v>361</v>
      </c>
    </row>
    <row r="31" spans="1:31" ht="24" customHeight="1">
      <c r="A31" s="36"/>
      <c r="B31" s="36"/>
      <c r="C31" s="424"/>
      <c r="D31" s="861" t="s">
        <v>4275</v>
      </c>
      <c r="E31" s="862"/>
      <c r="F31" s="863">
        <v>1</v>
      </c>
      <c r="G31" s="864" t="s">
        <v>7</v>
      </c>
      <c r="H31" s="865"/>
      <c r="I31" s="865">
        <f>+[2]まとめ!$C$33</f>
        <v>300000</v>
      </c>
      <c r="J31" s="861" t="s">
        <v>4311</v>
      </c>
      <c r="K31" s="422"/>
      <c r="L31" s="423"/>
      <c r="Z31" s="483" t="s">
        <v>362</v>
      </c>
    </row>
    <row r="32" spans="1:31" ht="24" customHeight="1">
      <c r="A32" s="36"/>
      <c r="B32" s="36"/>
      <c r="C32" s="421"/>
      <c r="D32" s="861"/>
      <c r="E32" s="862"/>
      <c r="F32" s="863"/>
      <c r="G32" s="864"/>
      <c r="H32" s="865"/>
      <c r="I32" s="865"/>
      <c r="J32" s="861"/>
      <c r="K32" s="422"/>
      <c r="L32" s="423"/>
      <c r="Z32" s="483" t="s">
        <v>363</v>
      </c>
    </row>
    <row r="33" spans="1:26" ht="24" customHeight="1">
      <c r="A33" s="36"/>
      <c r="B33" s="36"/>
      <c r="C33" s="424"/>
      <c r="D33" s="861" t="s">
        <v>4276</v>
      </c>
      <c r="E33" s="862"/>
      <c r="F33" s="863">
        <v>1</v>
      </c>
      <c r="G33" s="864" t="s">
        <v>7</v>
      </c>
      <c r="H33" s="865"/>
      <c r="I33" s="865">
        <f>+[2]まとめ!$C$32</f>
        <v>2889000</v>
      </c>
      <c r="J33" s="861" t="s">
        <v>4277</v>
      </c>
      <c r="K33" s="422"/>
      <c r="L33" s="423"/>
      <c r="Z33" s="483" t="s">
        <v>364</v>
      </c>
    </row>
    <row r="34" spans="1:26" ht="24" customHeight="1">
      <c r="A34" s="36"/>
      <c r="B34" s="36"/>
      <c r="C34" s="421"/>
      <c r="D34" s="861"/>
      <c r="E34" s="862"/>
      <c r="F34" s="863"/>
      <c r="G34" s="864"/>
      <c r="H34" s="865"/>
      <c r="I34" s="865"/>
      <c r="J34" s="861"/>
      <c r="K34" s="422"/>
      <c r="L34" s="423"/>
      <c r="Z34" s="483" t="s">
        <v>365</v>
      </c>
    </row>
    <row r="35" spans="1:26" ht="24" customHeight="1">
      <c r="A35" s="36"/>
      <c r="B35" s="36"/>
      <c r="C35" s="424"/>
      <c r="D35" s="866" t="s">
        <v>4278</v>
      </c>
      <c r="E35" s="862"/>
      <c r="F35" s="863">
        <v>1</v>
      </c>
      <c r="G35" s="864" t="s">
        <v>336</v>
      </c>
      <c r="H35" s="865"/>
      <c r="I35" s="865">
        <f>+[2]まとめ!$C$31</f>
        <v>10118000</v>
      </c>
      <c r="J35" s="861" t="s">
        <v>4279</v>
      </c>
      <c r="K35" s="422"/>
      <c r="L35" s="423"/>
      <c r="Z35" s="483" t="s">
        <v>366</v>
      </c>
    </row>
    <row r="36" spans="1:26" ht="24" customHeight="1">
      <c r="A36" s="36"/>
      <c r="B36" s="36"/>
      <c r="C36" s="424"/>
      <c r="D36" s="866"/>
      <c r="E36" s="862"/>
      <c r="F36" s="863"/>
      <c r="G36" s="864"/>
      <c r="H36" s="865"/>
      <c r="I36" s="865"/>
      <c r="J36" s="861"/>
      <c r="K36" s="422"/>
      <c r="L36" s="423"/>
    </row>
    <row r="37" spans="1:26" ht="24" customHeight="1">
      <c r="A37" s="36"/>
      <c r="B37" s="36"/>
      <c r="C37" s="424"/>
      <c r="D37" s="866"/>
      <c r="E37" s="862"/>
      <c r="F37" s="863"/>
      <c r="G37" s="864"/>
      <c r="H37" s="865"/>
      <c r="I37" s="865"/>
      <c r="J37" s="861"/>
      <c r="K37" s="422"/>
      <c r="L37" s="423"/>
    </row>
    <row r="38" spans="1:26" ht="24" customHeight="1">
      <c r="A38" s="36"/>
      <c r="B38" s="36"/>
      <c r="C38" s="424"/>
      <c r="D38" s="866"/>
      <c r="E38" s="862"/>
      <c r="F38" s="863"/>
      <c r="G38" s="864"/>
      <c r="H38" s="865"/>
      <c r="I38" s="865"/>
      <c r="J38" s="861"/>
      <c r="K38" s="422"/>
      <c r="L38" s="423"/>
    </row>
    <row r="39" spans="1:26" ht="24" customHeight="1">
      <c r="A39" s="36"/>
      <c r="B39" s="36"/>
      <c r="C39" s="424"/>
      <c r="D39" s="867"/>
      <c r="E39" s="862"/>
      <c r="F39" s="863"/>
      <c r="G39" s="864"/>
      <c r="H39" s="865"/>
      <c r="I39" s="865"/>
      <c r="J39" s="861"/>
      <c r="K39" s="422"/>
      <c r="L39" s="423"/>
    </row>
    <row r="40" spans="1:26" ht="24" customHeight="1">
      <c r="A40" s="36"/>
      <c r="B40" s="36"/>
      <c r="C40" s="424"/>
      <c r="D40" s="861"/>
      <c r="E40" s="862"/>
      <c r="F40" s="863"/>
      <c r="G40" s="864"/>
      <c r="H40" s="865"/>
      <c r="I40" s="865"/>
      <c r="J40" s="861"/>
      <c r="K40" s="422"/>
      <c r="L40" s="423"/>
    </row>
    <row r="41" spans="1:26" ht="24" customHeight="1">
      <c r="A41" s="36"/>
      <c r="B41" s="36"/>
      <c r="C41" s="424"/>
      <c r="D41" s="861"/>
      <c r="E41" s="862"/>
      <c r="F41" s="863"/>
      <c r="G41" s="864"/>
      <c r="H41" s="865"/>
      <c r="I41" s="865"/>
      <c r="J41" s="868"/>
      <c r="K41" s="975"/>
      <c r="L41" s="976"/>
    </row>
    <row r="42" spans="1:26" ht="24" customHeight="1">
      <c r="A42" s="36"/>
      <c r="B42" s="36"/>
      <c r="C42" s="424"/>
      <c r="D42" s="861"/>
      <c r="E42" s="862"/>
      <c r="F42" s="863"/>
      <c r="G42" s="864"/>
      <c r="H42" s="865"/>
      <c r="I42" s="865"/>
      <c r="J42" s="868"/>
      <c r="K42" s="975"/>
      <c r="L42" s="976"/>
    </row>
    <row r="43" spans="1:26" ht="24" customHeight="1">
      <c r="A43" s="36"/>
      <c r="B43" s="36"/>
      <c r="C43" s="424"/>
      <c r="D43" s="861" t="s">
        <v>65</v>
      </c>
      <c r="E43" s="862"/>
      <c r="F43" s="863"/>
      <c r="G43" s="864"/>
      <c r="H43" s="865"/>
      <c r="I43" s="865">
        <f>SUM(I30:I41)</f>
        <v>22511000</v>
      </c>
      <c r="J43" s="869"/>
      <c r="K43" s="975"/>
      <c r="L43" s="976"/>
    </row>
    <row r="44" spans="1:26" ht="24" customHeight="1">
      <c r="A44" s="36"/>
      <c r="B44" s="36"/>
      <c r="C44" s="424"/>
      <c r="D44" s="861"/>
      <c r="E44" s="862"/>
      <c r="F44" s="863"/>
      <c r="G44" s="864"/>
      <c r="H44" s="865"/>
      <c r="I44" s="865"/>
      <c r="J44" s="868"/>
      <c r="K44" s="975"/>
      <c r="L44" s="976"/>
    </row>
    <row r="45" spans="1:26" ht="24" customHeight="1">
      <c r="A45" s="36"/>
      <c r="B45" s="36"/>
      <c r="C45" s="424"/>
      <c r="D45" s="861" t="s">
        <v>337</v>
      </c>
      <c r="E45" s="862"/>
      <c r="F45" s="863">
        <v>1</v>
      </c>
      <c r="G45" s="864" t="s">
        <v>336</v>
      </c>
      <c r="H45" s="865"/>
      <c r="I45" s="865">
        <f>I43*0.08</f>
        <v>1800880</v>
      </c>
      <c r="J45" s="870"/>
      <c r="K45" s="425"/>
      <c r="L45" s="426"/>
    </row>
    <row r="46" spans="1:26" ht="24" customHeight="1">
      <c r="A46" s="36"/>
      <c r="B46" s="36"/>
      <c r="C46" s="424"/>
      <c r="D46" s="861"/>
      <c r="E46" s="862"/>
      <c r="F46" s="863"/>
      <c r="G46" s="864"/>
      <c r="H46" s="865"/>
      <c r="I46" s="865" t="s">
        <v>338</v>
      </c>
      <c r="J46" s="861"/>
      <c r="K46" s="979"/>
      <c r="L46" s="980"/>
    </row>
    <row r="47" spans="1:26" ht="24" customHeight="1" thickBot="1">
      <c r="A47" s="36"/>
      <c r="B47" s="36"/>
      <c r="C47" s="427"/>
      <c r="D47" s="871" t="s">
        <v>4280</v>
      </c>
      <c r="E47" s="872"/>
      <c r="F47" s="873"/>
      <c r="G47" s="874"/>
      <c r="H47" s="875"/>
      <c r="I47" s="875">
        <f>I43+I45</f>
        <v>24311880</v>
      </c>
      <c r="J47" s="871"/>
      <c r="K47" s="981"/>
      <c r="L47" s="982"/>
    </row>
    <row r="48" spans="1:26" ht="14.25" customHeight="1">
      <c r="E48" s="32" t="s">
        <v>66</v>
      </c>
      <c r="F48" s="102">
        <f>F25+1</f>
        <v>1</v>
      </c>
      <c r="G48" s="33" t="s">
        <v>67</v>
      </c>
      <c r="H48" s="4">
        <f>H25</f>
        <v>6</v>
      </c>
      <c r="M48" s="31" t="str">
        <f>IF(A96="","EOL","")</f>
        <v/>
      </c>
      <c r="N48" s="1">
        <f>+F48</f>
        <v>1</v>
      </c>
    </row>
    <row r="49" spans="1:26" s="499" customFormat="1" ht="26" customHeight="1" thickBot="1">
      <c r="A49" s="6"/>
      <c r="B49" s="6"/>
      <c r="C49" s="938" t="s">
        <v>4272</v>
      </c>
      <c r="D49" s="938"/>
      <c r="E49" s="938"/>
      <c r="F49" s="938"/>
      <c r="G49" s="938"/>
      <c r="H49" s="938"/>
      <c r="I49" s="938"/>
      <c r="J49" s="938"/>
      <c r="K49" s="938"/>
      <c r="L49" s="938"/>
      <c r="Z49" s="500"/>
    </row>
    <row r="50" spans="1:26" ht="42" customHeight="1">
      <c r="A50" s="5" t="s">
        <v>11</v>
      </c>
      <c r="B50" s="5" t="s">
        <v>10</v>
      </c>
      <c r="C50" s="120" t="s">
        <v>0</v>
      </c>
      <c r="D50" s="116"/>
      <c r="E50" s="117" t="s">
        <v>1</v>
      </c>
      <c r="F50" s="118" t="s">
        <v>2</v>
      </c>
      <c r="G50" s="118" t="s">
        <v>3</v>
      </c>
      <c r="H50" s="119" t="s">
        <v>4</v>
      </c>
      <c r="I50" s="119" t="s">
        <v>5</v>
      </c>
      <c r="J50" s="968" t="s">
        <v>6</v>
      </c>
      <c r="K50" s="969"/>
      <c r="L50" s="970"/>
    </row>
    <row r="51" spans="1:26" ht="24" customHeight="1">
      <c r="A51" s="36"/>
      <c r="B51" s="36"/>
      <c r="C51" s="105"/>
      <c r="D51" s="103"/>
      <c r="E51" s="106"/>
      <c r="F51" s="293"/>
      <c r="G51" s="107"/>
      <c r="H51" s="87" t="s">
        <v>12</v>
      </c>
      <c r="I51" s="87" t="s">
        <v>12</v>
      </c>
      <c r="J51" s="103"/>
      <c r="K51" s="103"/>
      <c r="L51" s="104"/>
    </row>
    <row r="52" spans="1:26" ht="24" customHeight="1">
      <c r="A52" s="36"/>
      <c r="B52" s="36"/>
      <c r="C52" s="883"/>
      <c r="D52" s="828"/>
      <c r="E52" s="829"/>
      <c r="F52" s="884"/>
      <c r="G52" s="885"/>
      <c r="H52" s="886"/>
      <c r="I52" s="886"/>
      <c r="J52" s="828"/>
      <c r="K52" s="828"/>
      <c r="L52" s="834"/>
    </row>
    <row r="53" spans="1:26" ht="24" customHeight="1">
      <c r="A53" s="36"/>
      <c r="B53" s="36"/>
      <c r="C53" s="108"/>
      <c r="D53" s="882" t="s">
        <v>4341</v>
      </c>
      <c r="E53" s="109" t="s">
        <v>4313</v>
      </c>
      <c r="F53" s="838">
        <v>1</v>
      </c>
      <c r="G53" s="876" t="s">
        <v>4312</v>
      </c>
      <c r="H53" s="111"/>
      <c r="I53" s="111">
        <f>+I103</f>
        <v>20850000</v>
      </c>
      <c r="J53" s="68" t="s">
        <v>4314</v>
      </c>
      <c r="K53" s="68"/>
      <c r="L53" s="69"/>
    </row>
    <row r="54" spans="1:26" ht="24" customHeight="1">
      <c r="A54" s="36"/>
      <c r="B54" s="36"/>
      <c r="C54" s="112"/>
      <c r="D54" s="861" t="s">
        <v>337</v>
      </c>
      <c r="E54" s="837"/>
      <c r="F54" s="838"/>
      <c r="G54" s="876"/>
      <c r="H54" s="877"/>
      <c r="I54" s="111">
        <f>+I53*0.08</f>
        <v>1668000</v>
      </c>
      <c r="J54" s="68"/>
      <c r="K54" s="68"/>
      <c r="L54" s="69"/>
    </row>
    <row r="55" spans="1:26" ht="24" customHeight="1">
      <c r="A55" s="36"/>
      <c r="B55" s="36"/>
      <c r="C55" s="108"/>
      <c r="D55" s="881" t="s">
        <v>4307</v>
      </c>
      <c r="E55" s="837"/>
      <c r="F55" s="838"/>
      <c r="G55" s="876"/>
      <c r="H55" s="877"/>
      <c r="I55" s="111">
        <f>+I53+I54</f>
        <v>22518000</v>
      </c>
      <c r="J55" s="68"/>
      <c r="K55" s="68"/>
      <c r="L55" s="69"/>
    </row>
    <row r="56" spans="1:26" ht="24" customHeight="1">
      <c r="A56" s="36"/>
      <c r="B56" s="36"/>
      <c r="C56" s="112"/>
      <c r="D56" s="867"/>
      <c r="E56" s="837"/>
      <c r="F56" s="838"/>
      <c r="G56" s="876"/>
      <c r="H56" s="877"/>
      <c r="I56" s="111"/>
      <c r="J56" s="68"/>
      <c r="K56" s="68"/>
      <c r="L56" s="69"/>
    </row>
    <row r="57" spans="1:26" ht="24" customHeight="1">
      <c r="A57" s="36"/>
      <c r="B57" s="36"/>
      <c r="C57" s="108"/>
      <c r="D57" s="867"/>
      <c r="E57" s="837"/>
      <c r="F57" s="838"/>
      <c r="G57" s="876"/>
      <c r="H57" s="877"/>
      <c r="I57" s="111"/>
      <c r="J57" s="68"/>
      <c r="K57" s="68"/>
      <c r="L57" s="69"/>
    </row>
    <row r="58" spans="1:26" ht="24" customHeight="1">
      <c r="A58" s="36"/>
      <c r="B58" s="36"/>
      <c r="C58" s="112"/>
      <c r="D58" s="867"/>
      <c r="E58" s="837"/>
      <c r="F58" s="838"/>
      <c r="G58" s="876"/>
      <c r="H58" s="877"/>
      <c r="I58" s="111"/>
      <c r="J58" s="68"/>
      <c r="K58" s="68"/>
      <c r="L58" s="69"/>
    </row>
    <row r="59" spans="1:26" ht="24" customHeight="1">
      <c r="A59" s="36"/>
      <c r="B59" s="36"/>
      <c r="C59" s="112"/>
      <c r="D59" s="882" t="s">
        <v>4342</v>
      </c>
      <c r="E59" s="109" t="s">
        <v>4313</v>
      </c>
      <c r="F59" s="838">
        <v>1</v>
      </c>
      <c r="G59" s="876" t="s">
        <v>336</v>
      </c>
      <c r="H59" s="111"/>
      <c r="I59" s="111">
        <f>+I111</f>
        <v>1661000</v>
      </c>
      <c r="J59" s="68" t="s">
        <v>4314</v>
      </c>
      <c r="K59" s="68"/>
      <c r="L59" s="69"/>
    </row>
    <row r="60" spans="1:26" ht="24" customHeight="1">
      <c r="A60" s="36"/>
      <c r="B60" s="36"/>
      <c r="C60" s="112"/>
      <c r="D60" s="861" t="s">
        <v>337</v>
      </c>
      <c r="E60" s="109"/>
      <c r="F60" s="838"/>
      <c r="G60" s="876"/>
      <c r="H60" s="111"/>
      <c r="I60" s="111">
        <f>+I59*0.08</f>
        <v>132880</v>
      </c>
      <c r="J60" s="68"/>
      <c r="K60" s="68"/>
      <c r="L60" s="69"/>
    </row>
    <row r="61" spans="1:26" ht="24" customHeight="1">
      <c r="A61" s="36"/>
      <c r="B61" s="36"/>
      <c r="C61" s="112"/>
      <c r="D61" s="881" t="s">
        <v>4307</v>
      </c>
      <c r="E61" s="109"/>
      <c r="F61" s="838"/>
      <c r="G61" s="876"/>
      <c r="H61" s="111"/>
      <c r="I61" s="111">
        <f>+I59+I60</f>
        <v>1793880</v>
      </c>
      <c r="J61" s="684"/>
      <c r="K61" s="68"/>
      <c r="L61" s="69"/>
    </row>
    <row r="62" spans="1:26" ht="24" customHeight="1">
      <c r="A62" s="36"/>
      <c r="B62" s="36"/>
      <c r="C62" s="112"/>
      <c r="D62" s="881"/>
      <c r="E62" s="109"/>
      <c r="F62" s="838"/>
      <c r="G62" s="876"/>
      <c r="H62" s="111"/>
      <c r="I62" s="111"/>
      <c r="J62" s="68"/>
      <c r="K62" s="68"/>
      <c r="L62" s="69"/>
    </row>
    <row r="63" spans="1:26" ht="24" customHeight="1">
      <c r="A63" s="36"/>
      <c r="B63" s="36"/>
      <c r="C63" s="112"/>
      <c r="D63" s="881"/>
      <c r="E63" s="837"/>
      <c r="F63" s="838"/>
      <c r="G63" s="876"/>
      <c r="H63" s="877"/>
      <c r="I63" s="111"/>
      <c r="J63" s="68"/>
      <c r="K63" s="68"/>
      <c r="L63" s="69"/>
    </row>
    <row r="64" spans="1:26" ht="24" customHeight="1">
      <c r="A64" s="36"/>
      <c r="B64" s="36"/>
      <c r="C64" s="112"/>
      <c r="D64" s="867"/>
      <c r="E64" s="837"/>
      <c r="F64" s="838"/>
      <c r="G64" s="876"/>
      <c r="H64" s="877"/>
      <c r="I64" s="111"/>
      <c r="J64" s="68"/>
      <c r="K64" s="68"/>
      <c r="L64" s="69"/>
    </row>
    <row r="65" spans="1:26" ht="24" customHeight="1">
      <c r="A65" s="36"/>
      <c r="B65" s="36"/>
      <c r="C65" s="112"/>
      <c r="D65" s="867"/>
      <c r="E65" s="837"/>
      <c r="F65" s="838"/>
      <c r="G65" s="876"/>
      <c r="H65" s="877"/>
      <c r="I65" s="111"/>
      <c r="J65" s="68"/>
      <c r="K65" s="973"/>
      <c r="L65" s="974"/>
    </row>
    <row r="66" spans="1:26" ht="24" customHeight="1">
      <c r="A66" s="36"/>
      <c r="B66" s="36"/>
      <c r="C66" s="112"/>
      <c r="D66" s="867"/>
      <c r="E66" s="109"/>
      <c r="F66" s="294"/>
      <c r="G66" s="683"/>
      <c r="H66" s="111"/>
      <c r="I66" s="111"/>
      <c r="J66" s="68"/>
      <c r="K66" s="973"/>
      <c r="L66" s="974"/>
    </row>
    <row r="67" spans="1:26" ht="24" customHeight="1">
      <c r="A67" s="36"/>
      <c r="B67" s="36"/>
      <c r="C67" s="112"/>
      <c r="D67" s="68"/>
      <c r="E67" s="109"/>
      <c r="F67" s="294"/>
      <c r="G67" s="683"/>
      <c r="H67" s="111"/>
      <c r="I67" s="111"/>
      <c r="J67" s="68"/>
      <c r="K67" s="973"/>
      <c r="L67" s="974"/>
    </row>
    <row r="68" spans="1:26" ht="24" customHeight="1">
      <c r="A68" s="36"/>
      <c r="B68" s="36"/>
      <c r="C68" s="112"/>
      <c r="D68" s="861"/>
      <c r="E68" s="862"/>
      <c r="F68" s="863"/>
      <c r="G68" s="864"/>
      <c r="H68" s="865"/>
      <c r="I68" s="865"/>
      <c r="J68" s="684"/>
      <c r="K68" s="62"/>
      <c r="L68" s="63"/>
    </row>
    <row r="69" spans="1:26" ht="24" customHeight="1">
      <c r="A69" s="36"/>
      <c r="B69" s="36"/>
      <c r="C69" s="112"/>
      <c r="D69" s="861"/>
      <c r="E69" s="862"/>
      <c r="F69" s="863"/>
      <c r="G69" s="864"/>
      <c r="H69" s="865"/>
      <c r="I69" s="865" t="s">
        <v>338</v>
      </c>
      <c r="J69" s="68"/>
      <c r="K69" s="977"/>
      <c r="L69" s="978"/>
    </row>
    <row r="70" spans="1:26" ht="24" customHeight="1" thickBot="1">
      <c r="A70" s="36"/>
      <c r="B70" s="36"/>
      <c r="C70" s="113"/>
      <c r="D70" s="871" t="s">
        <v>4280</v>
      </c>
      <c r="E70" s="872"/>
      <c r="F70" s="873"/>
      <c r="G70" s="874"/>
      <c r="H70" s="875"/>
      <c r="I70" s="875">
        <f>+I61+I55</f>
        <v>24311880</v>
      </c>
      <c r="J70" s="99"/>
      <c r="K70" s="971"/>
      <c r="L70" s="972"/>
    </row>
    <row r="71" spans="1:26" ht="14.25" customHeight="1">
      <c r="E71" s="32" t="s">
        <v>66</v>
      </c>
      <c r="F71" s="102">
        <f>F48+1</f>
        <v>2</v>
      </c>
      <c r="G71" s="33" t="s">
        <v>67</v>
      </c>
      <c r="H71" s="4">
        <f>H25</f>
        <v>6</v>
      </c>
      <c r="M71" s="31" t="str">
        <f>IF(A73="","EOL","")</f>
        <v/>
      </c>
      <c r="N71" s="1">
        <f>+F71</f>
        <v>2</v>
      </c>
    </row>
    <row r="72" spans="1:26" s="499" customFormat="1" ht="26" customHeight="1" thickBot="1">
      <c r="A72" s="6"/>
      <c r="B72" s="6"/>
      <c r="C72" s="938" t="s">
        <v>4272</v>
      </c>
      <c r="D72" s="938"/>
      <c r="E72" s="938"/>
      <c r="F72" s="938"/>
      <c r="G72" s="938"/>
      <c r="H72" s="938"/>
      <c r="I72" s="938"/>
      <c r="J72" s="938"/>
      <c r="K72" s="938"/>
      <c r="L72" s="938"/>
      <c r="Z72" s="500"/>
    </row>
    <row r="73" spans="1:26" ht="42" customHeight="1">
      <c r="A73" s="5" t="s">
        <v>3822</v>
      </c>
      <c r="B73" s="5" t="s">
        <v>10</v>
      </c>
      <c r="C73" s="120" t="s">
        <v>0</v>
      </c>
      <c r="D73" s="116"/>
      <c r="E73" s="117" t="s">
        <v>1</v>
      </c>
      <c r="F73" s="118" t="s">
        <v>2</v>
      </c>
      <c r="G73" s="118" t="s">
        <v>3</v>
      </c>
      <c r="H73" s="119" t="s">
        <v>4</v>
      </c>
      <c r="I73" s="119" t="s">
        <v>5</v>
      </c>
      <c r="J73" s="968" t="s">
        <v>6</v>
      </c>
      <c r="K73" s="969"/>
      <c r="L73" s="970"/>
    </row>
    <row r="74" spans="1:26" ht="24" customHeight="1">
      <c r="A74" s="36"/>
      <c r="B74" s="36"/>
      <c r="C74" s="105"/>
      <c r="D74" s="103"/>
      <c r="E74" s="106"/>
      <c r="F74" s="293"/>
      <c r="G74" s="107"/>
      <c r="H74" s="87" t="s">
        <v>12</v>
      </c>
      <c r="I74" s="87" t="s">
        <v>12</v>
      </c>
      <c r="J74" s="103"/>
      <c r="K74" s="103"/>
      <c r="L74" s="104"/>
    </row>
    <row r="75" spans="1:26" ht="24" customHeight="1">
      <c r="A75" s="36"/>
      <c r="B75" s="36"/>
      <c r="C75" s="883"/>
      <c r="D75" s="882" t="s">
        <v>4341</v>
      </c>
      <c r="E75" s="829"/>
      <c r="F75" s="884"/>
      <c r="G75" s="885"/>
      <c r="H75" s="886"/>
      <c r="I75" s="886"/>
      <c r="J75" s="828"/>
      <c r="K75" s="828"/>
      <c r="L75" s="834" t="s">
        <v>4366</v>
      </c>
    </row>
    <row r="76" spans="1:26" ht="24" customHeight="1">
      <c r="A76" s="36"/>
      <c r="B76" s="36"/>
      <c r="C76" s="108"/>
      <c r="D76" s="882" t="s">
        <v>4290</v>
      </c>
      <c r="E76" s="109"/>
      <c r="F76" s="838">
        <v>1</v>
      </c>
      <c r="G76" s="876" t="s">
        <v>336</v>
      </c>
      <c r="H76" s="111"/>
      <c r="I76" s="111">
        <f>+[2]まとめ!$D$34</f>
        <v>1009000</v>
      </c>
      <c r="J76" s="68"/>
      <c r="K76" s="68"/>
      <c r="L76" s="69" t="s">
        <v>4346</v>
      </c>
    </row>
    <row r="77" spans="1:26" ht="24" customHeight="1">
      <c r="A77" s="36"/>
      <c r="B77" s="36"/>
      <c r="C77" s="112"/>
      <c r="D77" s="867" t="s">
        <v>4291</v>
      </c>
      <c r="E77" s="837"/>
      <c r="F77" s="838">
        <v>1</v>
      </c>
      <c r="G77" s="876" t="s">
        <v>336</v>
      </c>
      <c r="H77" s="877"/>
      <c r="I77" s="111">
        <f>+[2]まとめ!$E$34</f>
        <v>1038000</v>
      </c>
      <c r="J77" s="68"/>
      <c r="K77" s="68"/>
      <c r="L77" s="69" t="s">
        <v>4347</v>
      </c>
    </row>
    <row r="78" spans="1:26" ht="24" customHeight="1">
      <c r="A78" s="36"/>
      <c r="B78" s="36"/>
      <c r="C78" s="108"/>
      <c r="D78" s="867" t="s">
        <v>4292</v>
      </c>
      <c r="E78" s="837"/>
      <c r="F78" s="838">
        <v>1</v>
      </c>
      <c r="G78" s="876" t="s">
        <v>336</v>
      </c>
      <c r="H78" s="877"/>
      <c r="I78" s="111">
        <f>+[2]まとめ!$F$34</f>
        <v>1396000</v>
      </c>
      <c r="J78" s="68"/>
      <c r="K78" s="68"/>
      <c r="L78" s="69" t="s">
        <v>4348</v>
      </c>
    </row>
    <row r="79" spans="1:26" ht="24" customHeight="1">
      <c r="A79" s="36"/>
      <c r="B79" s="36"/>
      <c r="C79" s="112"/>
      <c r="D79" s="867" t="s">
        <v>4293</v>
      </c>
      <c r="E79" s="837"/>
      <c r="F79" s="838">
        <v>1</v>
      </c>
      <c r="G79" s="876" t="s">
        <v>336</v>
      </c>
      <c r="H79" s="877"/>
      <c r="I79" s="111">
        <f>+[2]まとめ!$G$34</f>
        <v>1086000</v>
      </c>
      <c r="J79" s="68"/>
      <c r="K79" s="68"/>
      <c r="L79" s="69" t="s">
        <v>4349</v>
      </c>
    </row>
    <row r="80" spans="1:26" ht="24" customHeight="1">
      <c r="A80" s="36"/>
      <c r="B80" s="36"/>
      <c r="C80" s="108"/>
      <c r="D80" s="867" t="s">
        <v>4294</v>
      </c>
      <c r="E80" s="837"/>
      <c r="F80" s="838">
        <v>1</v>
      </c>
      <c r="G80" s="876" t="s">
        <v>336</v>
      </c>
      <c r="H80" s="877"/>
      <c r="I80" s="111">
        <f>+[2]まとめ!$H$34</f>
        <v>1009000</v>
      </c>
      <c r="J80" s="68"/>
      <c r="K80" s="68"/>
      <c r="L80" s="69" t="s">
        <v>4350</v>
      </c>
    </row>
    <row r="81" spans="1:26" ht="24" customHeight="1">
      <c r="A81" s="36"/>
      <c r="B81" s="36"/>
      <c r="C81" s="112"/>
      <c r="D81" s="867" t="s">
        <v>4295</v>
      </c>
      <c r="E81" s="837"/>
      <c r="F81" s="838">
        <v>1</v>
      </c>
      <c r="G81" s="876" t="s">
        <v>336</v>
      </c>
      <c r="H81" s="877"/>
      <c r="I81" s="111">
        <f>+[2]まとめ!$I$34</f>
        <v>1947000</v>
      </c>
      <c r="J81" s="68"/>
      <c r="K81" s="68"/>
      <c r="L81" s="69" t="s">
        <v>4351</v>
      </c>
    </row>
    <row r="82" spans="1:26" ht="24" customHeight="1">
      <c r="A82" s="36"/>
      <c r="B82" s="36"/>
      <c r="C82" s="112"/>
      <c r="D82" s="867" t="s">
        <v>4296</v>
      </c>
      <c r="E82" s="109"/>
      <c r="F82" s="838">
        <v>1</v>
      </c>
      <c r="G82" s="876" t="s">
        <v>336</v>
      </c>
      <c r="H82" s="111"/>
      <c r="I82" s="111">
        <f>+[2]まとめ!$J$34</f>
        <v>1009000</v>
      </c>
      <c r="J82" s="68"/>
      <c r="K82" s="68"/>
      <c r="L82" s="69" t="s">
        <v>4352</v>
      </c>
    </row>
    <row r="83" spans="1:26" ht="24" customHeight="1">
      <c r="A83" s="36"/>
      <c r="B83" s="36"/>
      <c r="C83" s="112"/>
      <c r="D83" s="881" t="s">
        <v>4297</v>
      </c>
      <c r="E83" s="109"/>
      <c r="F83" s="838">
        <v>1</v>
      </c>
      <c r="G83" s="876" t="s">
        <v>336</v>
      </c>
      <c r="H83" s="111"/>
      <c r="I83" s="111">
        <f>+[2]まとめ!$K$34</f>
        <v>981000</v>
      </c>
      <c r="J83" s="68"/>
      <c r="K83" s="68"/>
      <c r="L83" s="69" t="s">
        <v>4353</v>
      </c>
    </row>
    <row r="84" spans="1:26" ht="24" customHeight="1">
      <c r="A84" s="36"/>
      <c r="B84" s="36"/>
      <c r="C84" s="112"/>
      <c r="D84" s="881" t="s">
        <v>4298</v>
      </c>
      <c r="E84" s="109"/>
      <c r="F84" s="838">
        <v>1</v>
      </c>
      <c r="G84" s="876" t="s">
        <v>336</v>
      </c>
      <c r="H84" s="111"/>
      <c r="I84" s="111">
        <f>+[2]まとめ!$L$34</f>
        <v>1608000</v>
      </c>
      <c r="J84" s="684"/>
      <c r="K84" s="68"/>
      <c r="L84" s="69" t="s">
        <v>4354</v>
      </c>
    </row>
    <row r="85" spans="1:26" ht="24" customHeight="1">
      <c r="A85" s="36"/>
      <c r="B85" s="36"/>
      <c r="C85" s="112"/>
      <c r="D85" s="881" t="s">
        <v>4309</v>
      </c>
      <c r="E85" s="109"/>
      <c r="F85" s="838">
        <v>1</v>
      </c>
      <c r="G85" s="876" t="s">
        <v>336</v>
      </c>
      <c r="H85" s="111"/>
      <c r="I85" s="111">
        <f>+[2]まとめ!$M$34</f>
        <v>623000</v>
      </c>
      <c r="J85" s="68"/>
      <c r="K85" s="68"/>
      <c r="L85" s="69" t="s">
        <v>4355</v>
      </c>
    </row>
    <row r="86" spans="1:26" ht="24" customHeight="1">
      <c r="A86" s="36"/>
      <c r="B86" s="36"/>
      <c r="C86" s="112"/>
      <c r="D86" s="867" t="s">
        <v>4308</v>
      </c>
      <c r="E86" s="837"/>
      <c r="F86" s="838">
        <v>1</v>
      </c>
      <c r="G86" s="876" t="s">
        <v>336</v>
      </c>
      <c r="H86" s="877"/>
      <c r="I86" s="111">
        <f>+[2]まとめ!$O$34</f>
        <v>1106000</v>
      </c>
      <c r="J86" s="68"/>
      <c r="K86" s="68"/>
      <c r="L86" s="69" t="s">
        <v>4356</v>
      </c>
    </row>
    <row r="87" spans="1:26" ht="24" customHeight="1">
      <c r="A87" s="36"/>
      <c r="B87" s="36"/>
      <c r="C87" s="112"/>
      <c r="D87" s="867" t="s">
        <v>4299</v>
      </c>
      <c r="E87" s="837"/>
      <c r="F87" s="838">
        <v>1</v>
      </c>
      <c r="G87" s="876" t="s">
        <v>336</v>
      </c>
      <c r="H87" s="877"/>
      <c r="I87" s="111">
        <f>+[2]まとめ!$P$34</f>
        <v>1038000</v>
      </c>
      <c r="J87" s="68"/>
      <c r="K87" s="68"/>
      <c r="L87" s="69" t="s">
        <v>4357</v>
      </c>
    </row>
    <row r="88" spans="1:26" ht="24" customHeight="1">
      <c r="A88" s="36"/>
      <c r="B88" s="36"/>
      <c r="C88" s="112"/>
      <c r="D88" s="867" t="s">
        <v>4300</v>
      </c>
      <c r="E88" s="837"/>
      <c r="F88" s="838">
        <v>1</v>
      </c>
      <c r="G88" s="876" t="s">
        <v>336</v>
      </c>
      <c r="H88" s="877"/>
      <c r="I88" s="111">
        <f>+[2]まとめ!$Q$34</f>
        <v>999000</v>
      </c>
      <c r="J88" s="68"/>
      <c r="K88" s="935"/>
      <c r="L88" s="69" t="s">
        <v>4358</v>
      </c>
    </row>
    <row r="89" spans="1:26" ht="24" customHeight="1">
      <c r="A89" s="36"/>
      <c r="B89" s="36"/>
      <c r="C89" s="112"/>
      <c r="D89" s="867" t="s">
        <v>4301</v>
      </c>
      <c r="E89" s="837"/>
      <c r="F89" s="838">
        <v>1</v>
      </c>
      <c r="G89" s="876" t="s">
        <v>336</v>
      </c>
      <c r="H89" s="111"/>
      <c r="I89" s="111">
        <f>+[2]まとめ!$R$34</f>
        <v>1473000</v>
      </c>
      <c r="J89" s="68"/>
      <c r="K89" s="935"/>
      <c r="L89" s="69" t="s">
        <v>4359</v>
      </c>
    </row>
    <row r="90" spans="1:26" ht="24" customHeight="1">
      <c r="A90" s="36"/>
      <c r="B90" s="36"/>
      <c r="C90" s="112"/>
      <c r="D90" s="867" t="s">
        <v>4302</v>
      </c>
      <c r="E90" s="109"/>
      <c r="F90" s="838">
        <v>1</v>
      </c>
      <c r="G90" s="876" t="s">
        <v>336</v>
      </c>
      <c r="H90" s="111"/>
      <c r="I90" s="111">
        <f>+[2]まとめ!$S$34</f>
        <v>1337000</v>
      </c>
      <c r="J90" s="68"/>
      <c r="K90" s="935"/>
      <c r="L90" s="69" t="s">
        <v>4360</v>
      </c>
    </row>
    <row r="91" spans="1:26" ht="24" customHeight="1">
      <c r="A91" s="36"/>
      <c r="B91" s="36"/>
      <c r="C91" s="112"/>
      <c r="D91" s="881"/>
      <c r="E91" s="109"/>
      <c r="F91" s="294"/>
      <c r="G91" s="683"/>
      <c r="H91" s="111"/>
      <c r="I91" s="111"/>
      <c r="J91" s="684"/>
      <c r="K91" s="62"/>
      <c r="L91" s="63"/>
    </row>
    <row r="92" spans="1:26" ht="24" customHeight="1">
      <c r="A92" s="36"/>
      <c r="B92" s="36"/>
      <c r="C92" s="112"/>
      <c r="D92" s="881"/>
      <c r="E92" s="109"/>
      <c r="F92" s="294"/>
      <c r="G92" s="683"/>
      <c r="H92" s="111"/>
      <c r="I92" s="111"/>
      <c r="J92" s="68"/>
      <c r="K92" s="977"/>
      <c r="L92" s="978"/>
    </row>
    <row r="93" spans="1:26" ht="24" customHeight="1" thickBot="1">
      <c r="A93" s="36"/>
      <c r="B93" s="36"/>
      <c r="C93" s="113"/>
      <c r="D93" s="99"/>
      <c r="E93" s="114"/>
      <c r="F93" s="295"/>
      <c r="G93" s="685"/>
      <c r="H93" s="115"/>
      <c r="I93" s="115"/>
      <c r="J93" s="99"/>
      <c r="K93" s="971"/>
      <c r="L93" s="972"/>
    </row>
    <row r="94" spans="1:26" ht="14.25" customHeight="1">
      <c r="E94" s="32" t="s">
        <v>66</v>
      </c>
      <c r="F94" s="102">
        <f>F71+1</f>
        <v>3</v>
      </c>
      <c r="G94" s="33" t="s">
        <v>67</v>
      </c>
      <c r="H94" s="4">
        <f>H25</f>
        <v>6</v>
      </c>
      <c r="M94" s="31" t="str">
        <f>IF(A96="","EOL","")</f>
        <v/>
      </c>
      <c r="N94" s="1">
        <f>+F94</f>
        <v>3</v>
      </c>
    </row>
    <row r="95" spans="1:26" s="499" customFormat="1" ht="26" customHeight="1" thickBot="1">
      <c r="A95" s="6"/>
      <c r="B95" s="6"/>
      <c r="C95" s="938" t="s">
        <v>4272</v>
      </c>
      <c r="D95" s="938"/>
      <c r="E95" s="938"/>
      <c r="F95" s="938"/>
      <c r="G95" s="938"/>
      <c r="H95" s="938"/>
      <c r="I95" s="938"/>
      <c r="J95" s="938"/>
      <c r="K95" s="938"/>
      <c r="L95" s="938"/>
      <c r="Z95" s="500"/>
    </row>
    <row r="96" spans="1:26" ht="42" customHeight="1">
      <c r="A96" s="5" t="s">
        <v>3823</v>
      </c>
      <c r="B96" s="5" t="s">
        <v>10</v>
      </c>
      <c r="C96" s="120" t="s">
        <v>0</v>
      </c>
      <c r="D96" s="116"/>
      <c r="E96" s="117" t="s">
        <v>1</v>
      </c>
      <c r="F96" s="118" t="s">
        <v>2</v>
      </c>
      <c r="G96" s="118" t="s">
        <v>3</v>
      </c>
      <c r="H96" s="119" t="s">
        <v>4</v>
      </c>
      <c r="I96" s="119" t="s">
        <v>5</v>
      </c>
      <c r="J96" s="968" t="s">
        <v>6</v>
      </c>
      <c r="K96" s="969"/>
      <c r="L96" s="970"/>
    </row>
    <row r="97" spans="1:12" ht="24" customHeight="1">
      <c r="A97" s="36"/>
      <c r="B97" s="36"/>
      <c r="C97" s="105"/>
      <c r="D97" s="103"/>
      <c r="E97" s="106"/>
      <c r="F97" s="293"/>
      <c r="G97" s="107"/>
      <c r="H97" s="87" t="s">
        <v>12</v>
      </c>
      <c r="I97" s="87" t="s">
        <v>12</v>
      </c>
      <c r="J97" s="103"/>
      <c r="K97" s="103"/>
      <c r="L97" s="104"/>
    </row>
    <row r="98" spans="1:12" ht="24" customHeight="1">
      <c r="A98" s="36"/>
      <c r="B98" s="36"/>
      <c r="C98" s="883"/>
      <c r="D98" s="828"/>
      <c r="E98" s="829"/>
      <c r="F98" s="884"/>
      <c r="G98" s="885"/>
      <c r="H98" s="886"/>
      <c r="I98" s="886"/>
      <c r="J98" s="828"/>
      <c r="K98" s="828"/>
      <c r="L98" s="834"/>
    </row>
    <row r="99" spans="1:12" ht="24" customHeight="1">
      <c r="A99" s="36"/>
      <c r="B99" s="36"/>
      <c r="C99" s="108"/>
      <c r="D99" s="867" t="s">
        <v>4303</v>
      </c>
      <c r="E99" s="109"/>
      <c r="F99" s="838">
        <v>1</v>
      </c>
      <c r="G99" s="876" t="s">
        <v>336</v>
      </c>
      <c r="H99" s="111"/>
      <c r="I99" s="111">
        <f>+[2]まとめ!$T$34</f>
        <v>1047000</v>
      </c>
      <c r="J99" s="68"/>
      <c r="K99" s="68"/>
      <c r="L99" s="69" t="s">
        <v>4361</v>
      </c>
    </row>
    <row r="100" spans="1:12" ht="24" customHeight="1">
      <c r="A100" s="36"/>
      <c r="B100" s="36"/>
      <c r="C100" s="112"/>
      <c r="D100" s="68" t="s">
        <v>4304</v>
      </c>
      <c r="E100" s="109"/>
      <c r="F100" s="838">
        <v>1</v>
      </c>
      <c r="G100" s="876" t="s">
        <v>336</v>
      </c>
      <c r="H100" s="111"/>
      <c r="I100" s="111">
        <f>+[2]まとめ!$U$34</f>
        <v>1077000</v>
      </c>
      <c r="J100" s="68"/>
      <c r="K100" s="68"/>
      <c r="L100" s="69" t="s">
        <v>4362</v>
      </c>
    </row>
    <row r="101" spans="1:12" ht="24" customHeight="1">
      <c r="A101" s="36"/>
      <c r="B101" s="36"/>
      <c r="C101" s="108"/>
      <c r="D101" s="881" t="s">
        <v>4305</v>
      </c>
      <c r="E101" s="109"/>
      <c r="F101" s="838">
        <v>1</v>
      </c>
      <c r="G101" s="876" t="s">
        <v>336</v>
      </c>
      <c r="H101" s="111"/>
      <c r="I101" s="111">
        <f>+[2]まとめ!$V$34</f>
        <v>1067000</v>
      </c>
      <c r="J101" s="68"/>
      <c r="K101" s="68"/>
      <c r="L101" s="69" t="s">
        <v>4363</v>
      </c>
    </row>
    <row r="102" spans="1:12" ht="24" customHeight="1">
      <c r="A102" s="36"/>
      <c r="B102" s="36"/>
      <c r="C102" s="112"/>
      <c r="D102" s="881"/>
      <c r="E102" s="109"/>
      <c r="F102" s="838"/>
      <c r="G102" s="876"/>
      <c r="H102" s="111"/>
      <c r="I102" s="111"/>
      <c r="J102" s="684"/>
      <c r="K102" s="68"/>
      <c r="L102" s="69"/>
    </row>
    <row r="103" spans="1:12" ht="24" customHeight="1">
      <c r="A103" s="36"/>
      <c r="B103" s="36"/>
      <c r="C103" s="112"/>
      <c r="D103" s="881" t="s">
        <v>4307</v>
      </c>
      <c r="E103" s="837"/>
      <c r="F103" s="838"/>
      <c r="G103" s="876"/>
      <c r="H103" s="877"/>
      <c r="I103" s="111">
        <f>+SUM(I76:I91)+SUM(I99:I102)</f>
        <v>20850000</v>
      </c>
      <c r="J103" s="68"/>
      <c r="K103" s="68"/>
      <c r="L103" s="69"/>
    </row>
    <row r="104" spans="1:12" ht="24" customHeight="1">
      <c r="A104" s="36"/>
      <c r="B104" s="36"/>
      <c r="C104" s="112"/>
      <c r="D104" s="867"/>
      <c r="E104" s="837"/>
      <c r="F104" s="838"/>
      <c r="G104" s="876"/>
      <c r="H104" s="877"/>
      <c r="I104" s="111"/>
      <c r="J104" s="68"/>
      <c r="K104" s="68"/>
      <c r="L104" s="69"/>
    </row>
    <row r="105" spans="1:12" ht="24" customHeight="1">
      <c r="A105" s="36"/>
      <c r="B105" s="36"/>
      <c r="C105" s="112"/>
      <c r="D105" s="881"/>
      <c r="E105" s="837"/>
      <c r="F105" s="838"/>
      <c r="G105" s="876"/>
      <c r="H105" s="877"/>
      <c r="I105" s="111"/>
      <c r="J105" s="68"/>
      <c r="K105" s="68"/>
      <c r="L105" s="69"/>
    </row>
    <row r="106" spans="1:12" ht="24" customHeight="1">
      <c r="A106" s="36"/>
      <c r="B106" s="36"/>
      <c r="C106" s="112"/>
      <c r="D106" s="881"/>
      <c r="E106" s="109"/>
      <c r="F106" s="838"/>
      <c r="G106" s="876"/>
      <c r="H106" s="111"/>
      <c r="I106" s="111"/>
      <c r="J106" s="684"/>
      <c r="K106" s="68"/>
      <c r="L106" s="69"/>
    </row>
    <row r="107" spans="1:12" ht="24" customHeight="1">
      <c r="A107" s="36"/>
      <c r="B107" s="36"/>
      <c r="C107" s="112"/>
      <c r="D107" s="882" t="s">
        <v>4342</v>
      </c>
      <c r="E107" s="837"/>
      <c r="F107" s="838"/>
      <c r="G107" s="876"/>
      <c r="H107" s="877"/>
      <c r="I107" s="111"/>
      <c r="J107" s="68"/>
      <c r="K107" s="68"/>
      <c r="L107" s="69" t="s">
        <v>4366</v>
      </c>
    </row>
    <row r="108" spans="1:12" ht="24" customHeight="1">
      <c r="A108" s="36"/>
      <c r="B108" s="36"/>
      <c r="C108" s="112"/>
      <c r="D108" s="881" t="s">
        <v>4306</v>
      </c>
      <c r="E108" s="109"/>
      <c r="F108" s="838">
        <v>1</v>
      </c>
      <c r="G108" s="876" t="s">
        <v>336</v>
      </c>
      <c r="H108" s="111"/>
      <c r="I108" s="111">
        <f>+[2]まとめ!$W$34</f>
        <v>1038000</v>
      </c>
      <c r="J108" s="68"/>
      <c r="K108" s="68"/>
      <c r="L108" s="69" t="s">
        <v>4364</v>
      </c>
    </row>
    <row r="109" spans="1:12" ht="24" customHeight="1">
      <c r="A109" s="36"/>
      <c r="B109" s="36"/>
      <c r="C109" s="112"/>
      <c r="D109" s="881" t="s">
        <v>4310</v>
      </c>
      <c r="E109" s="109"/>
      <c r="F109" s="838">
        <v>1</v>
      </c>
      <c r="G109" s="876" t="s">
        <v>336</v>
      </c>
      <c r="H109" s="111"/>
      <c r="I109" s="111">
        <f>+[2]まとめ!$N$34</f>
        <v>623000</v>
      </c>
      <c r="J109" s="68"/>
      <c r="L109" s="935" t="s">
        <v>4365</v>
      </c>
    </row>
    <row r="110" spans="1:12" ht="24" customHeight="1">
      <c r="A110" s="36"/>
      <c r="B110" s="36"/>
      <c r="C110" s="112"/>
      <c r="D110" s="881"/>
      <c r="E110" s="109"/>
      <c r="F110" s="294"/>
      <c r="G110" s="683"/>
      <c r="H110" s="111"/>
      <c r="I110" s="111"/>
      <c r="J110" s="68"/>
      <c r="K110" s="973"/>
      <c r="L110" s="974"/>
    </row>
    <row r="111" spans="1:12" ht="24" customHeight="1">
      <c r="A111" s="36"/>
      <c r="B111" s="36"/>
      <c r="C111" s="112"/>
      <c r="D111" s="881" t="s">
        <v>4307</v>
      </c>
      <c r="E111" s="837"/>
      <c r="F111" s="838"/>
      <c r="G111" s="876"/>
      <c r="H111" s="877"/>
      <c r="I111" s="111">
        <f>SUM(I108:I110)</f>
        <v>1661000</v>
      </c>
      <c r="J111" s="68"/>
      <c r="K111" s="973"/>
      <c r="L111" s="974"/>
    </row>
    <row r="112" spans="1:12" ht="24" customHeight="1">
      <c r="A112" s="36"/>
      <c r="B112" s="36"/>
      <c r="C112" s="916"/>
      <c r="D112" s="917"/>
      <c r="E112" s="918"/>
      <c r="F112" s="919"/>
      <c r="G112" s="920"/>
      <c r="H112" s="921"/>
      <c r="I112" s="921"/>
      <c r="J112" s="922"/>
      <c r="K112" s="923"/>
      <c r="L112" s="924"/>
    </row>
    <row r="113" spans="1:14" ht="24" customHeight="1">
      <c r="A113" s="36"/>
      <c r="B113" s="36"/>
      <c r="C113" s="112"/>
      <c r="D113" s="881"/>
      <c r="E113" s="109"/>
      <c r="F113" s="838"/>
      <c r="G113" s="876"/>
      <c r="H113" s="111"/>
      <c r="I113" s="111"/>
      <c r="J113" s="68"/>
      <c r="K113" s="973"/>
      <c r="L113" s="974"/>
    </row>
    <row r="114" spans="1:14" ht="24" customHeight="1">
      <c r="A114" s="36"/>
      <c r="B114" s="36"/>
      <c r="C114" s="112"/>
      <c r="D114" s="881"/>
      <c r="E114" s="109"/>
      <c r="F114" s="294"/>
      <c r="G114" s="683"/>
      <c r="H114" s="111"/>
      <c r="I114" s="111"/>
      <c r="J114" s="684"/>
      <c r="K114" s="62"/>
      <c r="L114" s="63"/>
    </row>
    <row r="115" spans="1:14" ht="24" customHeight="1">
      <c r="A115" s="36"/>
      <c r="B115" s="36"/>
      <c r="C115" s="112"/>
      <c r="D115" s="881"/>
      <c r="E115" s="109"/>
      <c r="F115" s="294"/>
      <c r="G115" s="683"/>
      <c r="H115" s="111"/>
      <c r="I115" s="111">
        <f>+I103+I111</f>
        <v>22511000</v>
      </c>
      <c r="J115" s="68"/>
      <c r="K115" s="977"/>
      <c r="L115" s="978"/>
    </row>
    <row r="116" spans="1:14" ht="24" customHeight="1" thickBot="1">
      <c r="A116" s="36"/>
      <c r="B116" s="36"/>
      <c r="C116" s="113"/>
      <c r="D116" s="871" t="s">
        <v>4280</v>
      </c>
      <c r="E116" s="114"/>
      <c r="F116" s="295"/>
      <c r="G116" s="685"/>
      <c r="H116" s="115"/>
      <c r="I116" s="875">
        <v>24311880</v>
      </c>
      <c r="J116" s="99"/>
      <c r="K116" s="971"/>
      <c r="L116" s="972"/>
    </row>
    <row r="117" spans="1:14" ht="14.25" customHeight="1">
      <c r="E117" s="32" t="s">
        <v>66</v>
      </c>
      <c r="F117" s="102">
        <f>F94+1</f>
        <v>4</v>
      </c>
      <c r="G117" s="33" t="s">
        <v>67</v>
      </c>
      <c r="H117" s="4">
        <f>H25</f>
        <v>6</v>
      </c>
      <c r="M117" s="31" t="str">
        <f>IF(A119="","EOL","")</f>
        <v>EOL</v>
      </c>
      <c r="N117" s="1">
        <f>+F117</f>
        <v>4</v>
      </c>
    </row>
  </sheetData>
  <mergeCells count="57">
    <mergeCell ref="J1:L1"/>
    <mergeCell ref="K3:L3"/>
    <mergeCell ref="K4:L4"/>
    <mergeCell ref="K5:L5"/>
    <mergeCell ref="K6:L6"/>
    <mergeCell ref="K2:L2"/>
    <mergeCell ref="J73:L73"/>
    <mergeCell ref="K8:L8"/>
    <mergeCell ref="K7:L7"/>
    <mergeCell ref="J9:J10"/>
    <mergeCell ref="K9:L10"/>
    <mergeCell ref="K69:L69"/>
    <mergeCell ref="K70:L70"/>
    <mergeCell ref="C49:L49"/>
    <mergeCell ref="J50:L50"/>
    <mergeCell ref="K65:L65"/>
    <mergeCell ref="K66:L66"/>
    <mergeCell ref="K67:L67"/>
    <mergeCell ref="K116:L116"/>
    <mergeCell ref="C95:L95"/>
    <mergeCell ref="J96:L96"/>
    <mergeCell ref="K110:L110"/>
    <mergeCell ref="K41:L41"/>
    <mergeCell ref="K42:L42"/>
    <mergeCell ref="K43:L43"/>
    <mergeCell ref="K44:L44"/>
    <mergeCell ref="K115:L115"/>
    <mergeCell ref="K113:L113"/>
    <mergeCell ref="K111:L111"/>
    <mergeCell ref="K46:L46"/>
    <mergeCell ref="K47:L47"/>
    <mergeCell ref="K92:L92"/>
    <mergeCell ref="K93:L93"/>
    <mergeCell ref="C72:L72"/>
    <mergeCell ref="N25:O25"/>
    <mergeCell ref="N26:O26"/>
    <mergeCell ref="N27:O27"/>
    <mergeCell ref="N28:O28"/>
    <mergeCell ref="C26:L26"/>
    <mergeCell ref="B25:E25"/>
    <mergeCell ref="J27:L27"/>
    <mergeCell ref="H2:I2"/>
    <mergeCell ref="N19:P19"/>
    <mergeCell ref="N20:N21"/>
    <mergeCell ref="O20:P20"/>
    <mergeCell ref="N22:N23"/>
    <mergeCell ref="J16:L16"/>
    <mergeCell ref="O22:O23"/>
    <mergeCell ref="P22:P23"/>
    <mergeCell ref="J19:J22"/>
    <mergeCell ref="K19:K22"/>
    <mergeCell ref="L19:L22"/>
    <mergeCell ref="J17:K17"/>
    <mergeCell ref="L17:L18"/>
    <mergeCell ref="D13:K13"/>
    <mergeCell ref="D14:K14"/>
    <mergeCell ref="D12:K12"/>
  </mergeCells>
  <phoneticPr fontId="2"/>
  <dataValidations count="9">
    <dataValidation type="list" showInputMessage="1" showErrorMessage="1" sqref="I21 I6" xr:uid="{00000000-0002-0000-0100-000000000000}">
      <formula1>"有り,無し"</formula1>
    </dataValidation>
    <dataValidation type="list" allowBlank="1" showInputMessage="1" sqref="I23" xr:uid="{00000000-0002-0000-0100-000001000000}">
      <formula1>"有り,無し"</formula1>
    </dataValidation>
    <dataValidation type="list" allowBlank="1" showInputMessage="1" sqref="I9" xr:uid="{00000000-0002-0000-0100-000002000000}">
      <formula1>"適用,適用外"</formula1>
    </dataValidation>
    <dataValidation type="list" allowBlank="1" showInputMessage="1" showErrorMessage="1" sqref="I22" xr:uid="{00000000-0002-0000-0100-000003000000}">
      <formula1>$Z$11:$Z$25</formula1>
    </dataValidation>
    <dataValidation type="list" allowBlank="1" showInputMessage="1" showErrorMessage="1" sqref="I3" xr:uid="{00000000-0002-0000-0100-000004000000}">
      <formula1>$AE$5:$AE$24</formula1>
    </dataValidation>
    <dataValidation type="list" allowBlank="1" showInputMessage="1" showErrorMessage="1" sqref="I7" xr:uid="{00000000-0002-0000-0100-000005000000}">
      <formula1>$Z$4:$Z$35</formula1>
    </dataValidation>
    <dataValidation allowBlank="1" showInputMessage="1" sqref="J23:L25 K11" xr:uid="{00000000-0002-0000-0100-000006000000}"/>
    <dataValidation type="list" allowBlank="1" showInputMessage="1" sqref="I8" xr:uid="{00000000-0002-0000-0100-000007000000}">
      <formula1>"一般競争,指名競争,随意契約"</formula1>
    </dataValidation>
    <dataValidation type="list" allowBlank="1" showInputMessage="1" sqref="I10" xr:uid="{00000000-0002-0000-0100-000008000000}">
      <formula1>"有り(40％),有り(年度分割),無し"</formula1>
    </dataValidation>
  </dataValidations>
  <printOptions horizontalCentered="1" verticalCentered="1"/>
  <pageMargins left="0.196850393700787" right="0.196850393700787" top="0.78740157480314998" bottom="0.196850393700787" header="0.51181102362204722" footer="0.51181102362204722"/>
  <pageSetup paperSize="9" orientation="landscape" cellComments="asDisplayed" horizontalDpi="300" verticalDpi="300" r:id="rId1"/>
  <headerFooter alignWithMargins="0"/>
  <rowBreaks count="2" manualBreakCount="2">
    <brk id="25" max="22" man="1"/>
    <brk id="94" max="22" man="1"/>
  </rowBreaks>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Z48"/>
  <sheetViews>
    <sheetView view="pageBreakPreview" topLeftCell="A34" zoomScale="85" zoomScaleNormal="100" zoomScaleSheetLayoutView="85" workbookViewId="0">
      <selection activeCell="D33" sqref="D33"/>
    </sheetView>
  </sheetViews>
  <sheetFormatPr defaultColWidth="6.6328125" defaultRowHeight="26" customHeight="1"/>
  <cols>
    <col min="1" max="1" width="2.6328125" style="6" customWidth="1"/>
    <col min="2" max="2" width="3.453125" style="6" customWidth="1"/>
    <col min="3" max="3" width="24.6328125" style="1" customWidth="1"/>
    <col min="4" max="4" width="25" style="1" customWidth="1"/>
    <col min="5" max="5" width="15.6328125" style="2" customWidth="1"/>
    <col min="6" max="6" width="9.1796875" style="1" customWidth="1"/>
    <col min="7" max="7" width="11" style="3" bestFit="1" customWidth="1"/>
    <col min="8" max="8" width="11.6328125" style="4" customWidth="1"/>
    <col min="9" max="9" width="10.6328125" style="4" customWidth="1"/>
    <col min="10" max="12" width="9.6328125" style="1" customWidth="1"/>
    <col min="13" max="14" width="6.6328125" style="1" customWidth="1"/>
    <col min="15" max="16" width="4.81640625" style="1" customWidth="1"/>
    <col min="17" max="23" width="15.6328125" style="1" customWidth="1"/>
    <col min="24" max="25" width="6.6328125" style="1"/>
    <col min="26" max="26" width="6.6328125" style="483"/>
    <col min="27" max="16384" width="6.6328125" style="1"/>
  </cols>
  <sheetData>
    <row r="1" spans="1:26" ht="20" customHeight="1">
      <c r="B1" s="1"/>
      <c r="E1" s="14"/>
      <c r="F1" s="48">
        <v>0</v>
      </c>
      <c r="H1" s="16"/>
      <c r="I1" s="1"/>
      <c r="J1" s="17"/>
      <c r="K1" s="481"/>
      <c r="L1" s="687" t="s">
        <v>3825</v>
      </c>
      <c r="Z1" s="483" t="s">
        <v>352</v>
      </c>
    </row>
    <row r="2" spans="1:26" ht="20" customHeight="1" thickBot="1">
      <c r="C2" s="35" t="s">
        <v>99</v>
      </c>
      <c r="E2" s="34" t="s">
        <v>68</v>
      </c>
      <c r="F2" s="688">
        <f>VLOOKUP("EOL",表紙!$M$25:$N$65572,2,FALSE)</f>
        <v>4</v>
      </c>
      <c r="G2" s="1" t="s">
        <v>224</v>
      </c>
      <c r="H2" s="4">
        <f>表紙!H25</f>
        <v>6</v>
      </c>
      <c r="I2" s="4" t="s">
        <v>74</v>
      </c>
      <c r="J2" s="37">
        <f>VLOOKUP("EOL",$M$26:$N$65789,2,FALSE)</f>
        <v>6</v>
      </c>
      <c r="K2" s="686"/>
      <c r="L2" s="692">
        <v>2</v>
      </c>
      <c r="Z2" s="483" t="s">
        <v>353</v>
      </c>
    </row>
    <row r="3" spans="1:26" s="499" customFormat="1" ht="26" customHeight="1" thickBot="1">
      <c r="A3" s="995" t="s">
        <v>4212</v>
      </c>
      <c r="B3" s="995"/>
      <c r="C3" s="995"/>
      <c r="D3" s="995"/>
      <c r="E3" s="995"/>
      <c r="F3" s="995"/>
      <c r="G3" s="995"/>
      <c r="H3" s="995"/>
      <c r="I3" s="815" t="s">
        <v>4217</v>
      </c>
      <c r="J3" s="816">
        <v>64185011</v>
      </c>
      <c r="K3" s="855" t="s">
        <v>4266</v>
      </c>
      <c r="L3" s="816" t="s">
        <v>4340</v>
      </c>
      <c r="Z3" s="500"/>
    </row>
    <row r="4" spans="1:26" ht="42" customHeight="1">
      <c r="A4" s="1008" t="s">
        <v>4211</v>
      </c>
      <c r="B4" s="1009"/>
      <c r="C4" s="810" t="s">
        <v>4140</v>
      </c>
      <c r="D4" s="498" t="s">
        <v>4215</v>
      </c>
      <c r="E4" s="498" t="s">
        <v>4138</v>
      </c>
      <c r="F4" s="822" t="s">
        <v>4143</v>
      </c>
      <c r="G4" s="823" t="s">
        <v>4216</v>
      </c>
      <c r="H4" s="801" t="s">
        <v>4210</v>
      </c>
      <c r="I4" s="802" t="s">
        <v>4142</v>
      </c>
      <c r="J4" s="1010" t="s">
        <v>4141</v>
      </c>
      <c r="K4" s="1011"/>
      <c r="L4" s="1012"/>
      <c r="M4" s="800"/>
      <c r="N4" s="231"/>
      <c r="O4" s="231"/>
      <c r="P4" s="231"/>
      <c r="Q4" s="3"/>
    </row>
    <row r="5" spans="1:26" ht="24" customHeight="1">
      <c r="A5" s="1006"/>
      <c r="B5" s="1007"/>
      <c r="C5" s="882" t="s">
        <v>4341</v>
      </c>
      <c r="D5" s="811"/>
      <c r="E5" s="812"/>
      <c r="F5" s="824"/>
      <c r="G5" s="825"/>
      <c r="H5" s="809" t="str">
        <f>IFERROR(INDEX(資産クラス!$A$90:$K$318,MATCH(資産管理明細書!I5,資産クラス!$C$90:$C$318,0),MATCH(資産管理明細書!A5,資産クラス!$A$91:$K$91,0)),"")</f>
        <v/>
      </c>
      <c r="I5" s="803"/>
      <c r="J5" s="998" t="str">
        <f>IFERROR(VLOOKUP(I5,資産クラス一覧表!A$2:D$1687,2,FALSE),"")</f>
        <v/>
      </c>
      <c r="K5" s="999"/>
      <c r="L5" s="1000"/>
      <c r="P5" s="820" t="s">
        <v>4218</v>
      </c>
      <c r="Q5" s="821" t="s">
        <v>4219</v>
      </c>
    </row>
    <row r="6" spans="1:26" ht="24" customHeight="1">
      <c r="A6" s="1006"/>
      <c r="B6" s="1007"/>
      <c r="C6" s="811" t="s">
        <v>4282</v>
      </c>
      <c r="D6" s="811" t="s">
        <v>4315</v>
      </c>
      <c r="E6" s="812" t="s">
        <v>4335</v>
      </c>
      <c r="F6" s="798" t="s">
        <v>4336</v>
      </c>
      <c r="G6" s="825" t="s">
        <v>4339</v>
      </c>
      <c r="H6" s="809">
        <v>1009000</v>
      </c>
      <c r="I6" s="894">
        <v>10500703</v>
      </c>
      <c r="J6" s="998" t="str">
        <f>IFERROR(VLOOKUP(I6,資産クラス一覧表!A$2:D$1687,2,FALSE),"")</f>
        <v>鉄有固-運送施設 建物-金属造(骨格材の肉厚が4mm超)-停車場建物</v>
      </c>
      <c r="K6" s="999"/>
      <c r="L6" s="1000"/>
      <c r="P6" s="820" t="s">
        <v>4220</v>
      </c>
      <c r="Q6" s="821" t="s">
        <v>4221</v>
      </c>
    </row>
    <row r="7" spans="1:26" ht="24" customHeight="1">
      <c r="A7" s="1006"/>
      <c r="B7" s="1007"/>
      <c r="C7" s="811" t="s">
        <v>4282</v>
      </c>
      <c r="D7" s="811" t="s">
        <v>4316</v>
      </c>
      <c r="E7" s="812" t="s">
        <v>4335</v>
      </c>
      <c r="F7" s="798" t="s">
        <v>4336</v>
      </c>
      <c r="G7" s="825" t="s">
        <v>4339</v>
      </c>
      <c r="H7" s="809">
        <v>1038000</v>
      </c>
      <c r="I7" s="894">
        <v>10500703</v>
      </c>
      <c r="J7" s="1014" t="str">
        <f>IFERROR(VLOOKUP(I7,資産クラス一覧表!A$2:D$1687,2,FALSE),"")</f>
        <v>鉄有固-運送施設 建物-金属造(骨格材の肉厚が4mm超)-停車場建物</v>
      </c>
      <c r="K7" s="999"/>
      <c r="L7" s="1000"/>
      <c r="N7" s="812"/>
      <c r="P7" s="820" t="s">
        <v>4222</v>
      </c>
      <c r="Q7" s="821" t="s">
        <v>4223</v>
      </c>
    </row>
    <row r="8" spans="1:26" ht="24" customHeight="1">
      <c r="A8" s="1006"/>
      <c r="B8" s="1007"/>
      <c r="C8" s="811" t="s">
        <v>4282</v>
      </c>
      <c r="D8" s="811" t="s">
        <v>4317</v>
      </c>
      <c r="E8" s="812" t="s">
        <v>4335</v>
      </c>
      <c r="F8" s="798" t="s">
        <v>4336</v>
      </c>
      <c r="G8" s="825" t="s">
        <v>4339</v>
      </c>
      <c r="H8" s="809">
        <v>1396000</v>
      </c>
      <c r="I8" s="894">
        <v>10500703</v>
      </c>
      <c r="J8" s="998" t="str">
        <f>IFERROR(VLOOKUP(I8,資産クラス一覧表!A$2:D$1687,2,FALSE),"")</f>
        <v>鉄有固-運送施設 建物-金属造(骨格材の肉厚が4mm超)-停車場建物</v>
      </c>
      <c r="K8" s="999"/>
      <c r="L8" s="1000"/>
      <c r="P8" s="820" t="s">
        <v>4224</v>
      </c>
      <c r="Q8" s="821" t="s">
        <v>4225</v>
      </c>
    </row>
    <row r="9" spans="1:26" ht="24" customHeight="1">
      <c r="A9" s="1006"/>
      <c r="B9" s="1007"/>
      <c r="C9" s="811" t="s">
        <v>4282</v>
      </c>
      <c r="D9" s="811" t="s">
        <v>4318</v>
      </c>
      <c r="E9" s="812" t="s">
        <v>4335</v>
      </c>
      <c r="F9" s="798" t="s">
        <v>4336</v>
      </c>
      <c r="G9" s="825" t="s">
        <v>4339</v>
      </c>
      <c r="H9" s="809">
        <v>1086000</v>
      </c>
      <c r="I9" s="894">
        <v>10500703</v>
      </c>
      <c r="J9" s="998" t="str">
        <f>IFERROR(VLOOKUP(I9,資産クラス一覧表!A$2:D$1687,2,FALSE),"")</f>
        <v>鉄有固-運送施設 建物-金属造(骨格材の肉厚が4mm超)-停車場建物</v>
      </c>
      <c r="K9" s="999"/>
      <c r="L9" s="1000"/>
      <c r="P9" s="820" t="s">
        <v>4226</v>
      </c>
      <c r="Q9" s="821" t="s">
        <v>4227</v>
      </c>
    </row>
    <row r="10" spans="1:26" ht="24" customHeight="1">
      <c r="A10" s="1006"/>
      <c r="B10" s="1007"/>
      <c r="C10" s="811" t="s">
        <v>4282</v>
      </c>
      <c r="D10" s="811" t="s">
        <v>4319</v>
      </c>
      <c r="E10" s="812" t="s">
        <v>4335</v>
      </c>
      <c r="F10" s="798" t="s">
        <v>4336</v>
      </c>
      <c r="G10" s="825" t="s">
        <v>4339</v>
      </c>
      <c r="H10" s="809">
        <v>1009000</v>
      </c>
      <c r="I10" s="894">
        <v>10500701</v>
      </c>
      <c r="J10" s="998" t="str">
        <f>IFERROR(VLOOKUP(I10,資産クラス一覧表!A$2:D$1687,2,FALSE),"")</f>
        <v>鉄有固-運送施設 建物-鉄骨鉄筋コンクリート造又は鉄筋コンクリート造-停車場建物</v>
      </c>
      <c r="K10" s="999"/>
      <c r="L10" s="1000"/>
      <c r="P10" s="820" t="s">
        <v>4228</v>
      </c>
      <c r="Q10" s="821" t="s">
        <v>4229</v>
      </c>
    </row>
    <row r="11" spans="1:26" ht="24" customHeight="1">
      <c r="A11" s="1006"/>
      <c r="B11" s="1007"/>
      <c r="C11" s="811" t="s">
        <v>4282</v>
      </c>
      <c r="D11" s="811" t="s">
        <v>4320</v>
      </c>
      <c r="E11" s="812" t="s">
        <v>4335</v>
      </c>
      <c r="F11" s="798" t="s">
        <v>4336</v>
      </c>
      <c r="G11" s="825" t="s">
        <v>4339</v>
      </c>
      <c r="H11" s="809">
        <v>1947000</v>
      </c>
      <c r="I11" s="894">
        <v>10500701</v>
      </c>
      <c r="J11" s="998" t="str">
        <f>IFERROR(VLOOKUP(I11,資産クラス一覧表!A$2:D$1687,2,FALSE),"")</f>
        <v>鉄有固-運送施設 建物-鉄骨鉄筋コンクリート造又は鉄筋コンクリート造-停車場建物</v>
      </c>
      <c r="K11" s="999"/>
      <c r="L11" s="1000"/>
      <c r="P11" s="820" t="s">
        <v>4230</v>
      </c>
      <c r="Q11" s="821" t="s">
        <v>4231</v>
      </c>
    </row>
    <row r="12" spans="1:26" ht="24" customHeight="1">
      <c r="A12" s="1006"/>
      <c r="B12" s="1007"/>
      <c r="C12" s="811" t="s">
        <v>4282</v>
      </c>
      <c r="D12" s="811" t="s">
        <v>4321</v>
      </c>
      <c r="E12" s="812" t="s">
        <v>4335</v>
      </c>
      <c r="F12" s="798" t="s">
        <v>4336</v>
      </c>
      <c r="G12" s="825" t="s">
        <v>4339</v>
      </c>
      <c r="H12" s="809">
        <v>1009000</v>
      </c>
      <c r="I12" s="894">
        <v>10500701</v>
      </c>
      <c r="J12" s="998" t="str">
        <f>IFERROR(VLOOKUP(I12,資産クラス一覧表!A$2:D$1687,2,FALSE),"")</f>
        <v>鉄有固-運送施設 建物-鉄骨鉄筋コンクリート造又は鉄筋コンクリート造-停車場建物</v>
      </c>
      <c r="K12" s="999"/>
      <c r="L12" s="1000"/>
      <c r="P12" s="820" t="s">
        <v>4232</v>
      </c>
      <c r="Q12" s="821" t="s">
        <v>4233</v>
      </c>
    </row>
    <row r="13" spans="1:26" ht="24" customHeight="1">
      <c r="A13" s="1006"/>
      <c r="B13" s="1007"/>
      <c r="C13" s="811" t="s">
        <v>4282</v>
      </c>
      <c r="D13" s="811" t="s">
        <v>4322</v>
      </c>
      <c r="E13" s="812" t="s">
        <v>4335</v>
      </c>
      <c r="F13" s="798" t="s">
        <v>4336</v>
      </c>
      <c r="G13" s="825" t="s">
        <v>4339</v>
      </c>
      <c r="H13" s="809">
        <v>981000</v>
      </c>
      <c r="I13" s="894">
        <v>10500701</v>
      </c>
      <c r="J13" s="998" t="str">
        <f>IFERROR(VLOOKUP(I13,資産クラス一覧表!A$2:D$1687,2,FALSE),"")</f>
        <v>鉄有固-運送施設 建物-鉄骨鉄筋コンクリート造又は鉄筋コンクリート造-停車場建物</v>
      </c>
      <c r="K13" s="999"/>
      <c r="L13" s="1000"/>
      <c r="P13" s="820" t="s">
        <v>4234</v>
      </c>
      <c r="Q13" s="821" t="s">
        <v>4235</v>
      </c>
    </row>
    <row r="14" spans="1:26" ht="24" customHeight="1">
      <c r="A14" s="1006"/>
      <c r="B14" s="1007"/>
      <c r="C14" s="811" t="s">
        <v>4282</v>
      </c>
      <c r="D14" s="811" t="s">
        <v>4323</v>
      </c>
      <c r="E14" s="812" t="s">
        <v>4335</v>
      </c>
      <c r="F14" s="798" t="s">
        <v>4336</v>
      </c>
      <c r="G14" s="825" t="s">
        <v>4339</v>
      </c>
      <c r="H14" s="809">
        <v>1608000</v>
      </c>
      <c r="I14" s="894">
        <v>10500701</v>
      </c>
      <c r="J14" s="998" t="str">
        <f>IFERROR(VLOOKUP(I14,資産クラス一覧表!A$2:D$1687,2,FALSE),"")</f>
        <v>鉄有固-運送施設 建物-鉄骨鉄筋コンクリート造又は鉄筋コンクリート造-停車場建物</v>
      </c>
      <c r="K14" s="999"/>
      <c r="L14" s="1000"/>
      <c r="P14" s="820" t="s">
        <v>4236</v>
      </c>
      <c r="Q14" s="821" t="s">
        <v>4237</v>
      </c>
    </row>
    <row r="15" spans="1:26" ht="24" customHeight="1">
      <c r="A15" s="1006"/>
      <c r="B15" s="1007"/>
      <c r="C15" s="811" t="s">
        <v>4282</v>
      </c>
      <c r="D15" s="811" t="s">
        <v>4324</v>
      </c>
      <c r="E15" s="812" t="s">
        <v>4335</v>
      </c>
      <c r="F15" s="798" t="s">
        <v>4336</v>
      </c>
      <c r="G15" s="825" t="s">
        <v>4339</v>
      </c>
      <c r="H15" s="809">
        <v>623000</v>
      </c>
      <c r="I15" s="894">
        <v>10500701</v>
      </c>
      <c r="J15" s="998" t="str">
        <f>IFERROR(VLOOKUP(I15,資産クラス一覧表!A$2:D$1687,2,FALSE),"")</f>
        <v>鉄有固-運送施設 建物-鉄骨鉄筋コンクリート造又は鉄筋コンクリート造-停車場建物</v>
      </c>
      <c r="K15" s="999"/>
      <c r="L15" s="1000"/>
      <c r="P15" s="820" t="s">
        <v>4238</v>
      </c>
      <c r="Q15" s="821" t="s">
        <v>4239</v>
      </c>
    </row>
    <row r="16" spans="1:26" ht="24" customHeight="1">
      <c r="A16" s="1006"/>
      <c r="B16" s="1007"/>
      <c r="C16" s="811" t="s">
        <v>4282</v>
      </c>
      <c r="D16" s="811" t="s">
        <v>4326</v>
      </c>
      <c r="E16" s="812" t="s">
        <v>4335</v>
      </c>
      <c r="F16" s="798" t="s">
        <v>4336</v>
      </c>
      <c r="G16" s="825" t="s">
        <v>4339</v>
      </c>
      <c r="H16" s="809">
        <v>1106000</v>
      </c>
      <c r="I16" s="894">
        <v>10500701</v>
      </c>
      <c r="J16" s="998" t="str">
        <f>IFERROR(VLOOKUP(I16,資産クラス一覧表!A$2:D$1687,2,FALSE),"")</f>
        <v>鉄有固-運送施設 建物-鉄骨鉄筋コンクリート造又は鉄筋コンクリート造-停車場建物</v>
      </c>
      <c r="K16" s="999"/>
      <c r="L16" s="1000"/>
      <c r="P16" s="820" t="s">
        <v>4240</v>
      </c>
      <c r="Q16" s="821" t="s">
        <v>4241</v>
      </c>
    </row>
    <row r="17" spans="1:26" ht="24" customHeight="1">
      <c r="A17" s="1006"/>
      <c r="B17" s="1007"/>
      <c r="C17" s="811" t="s">
        <v>4282</v>
      </c>
      <c r="D17" s="811" t="s">
        <v>4327</v>
      </c>
      <c r="E17" s="812" t="s">
        <v>4335</v>
      </c>
      <c r="F17" s="798" t="s">
        <v>4336</v>
      </c>
      <c r="G17" s="825" t="s">
        <v>4339</v>
      </c>
      <c r="H17" s="809">
        <v>1038000</v>
      </c>
      <c r="I17" s="894">
        <v>10500701</v>
      </c>
      <c r="J17" s="998" t="str">
        <f>IFERROR(VLOOKUP(I17,資産クラス一覧表!A$2:D$1687,2,FALSE),"")</f>
        <v>鉄有固-運送施設 建物-鉄骨鉄筋コンクリート造又は鉄筋コンクリート造-停車場建物</v>
      </c>
      <c r="K17" s="999"/>
      <c r="L17" s="1000"/>
      <c r="P17" s="820" t="s">
        <v>4242</v>
      </c>
      <c r="Q17" s="821" t="s">
        <v>4243</v>
      </c>
    </row>
    <row r="18" spans="1:26" ht="24" customHeight="1">
      <c r="A18" s="1006"/>
      <c r="B18" s="1007"/>
      <c r="C18" s="811" t="s">
        <v>4282</v>
      </c>
      <c r="D18" s="811" t="s">
        <v>4328</v>
      </c>
      <c r="E18" s="812" t="s">
        <v>4335</v>
      </c>
      <c r="F18" s="798" t="s">
        <v>4336</v>
      </c>
      <c r="G18" s="825" t="s">
        <v>4339</v>
      </c>
      <c r="H18" s="809">
        <v>999000</v>
      </c>
      <c r="I18" s="894">
        <v>10500701</v>
      </c>
      <c r="J18" s="998" t="str">
        <f>IFERROR(VLOOKUP(I18,資産クラス一覧表!A$2:D$1687,2,FALSE),"")</f>
        <v>鉄有固-運送施設 建物-鉄骨鉄筋コンクリート造又は鉄筋コンクリート造-停車場建物</v>
      </c>
      <c r="K18" s="999"/>
      <c r="L18" s="1000"/>
      <c r="P18" s="820" t="s">
        <v>4337</v>
      </c>
      <c r="Q18" s="821" t="s">
        <v>4338</v>
      </c>
    </row>
    <row r="19" spans="1:26" ht="24" customHeight="1">
      <c r="A19" s="1006"/>
      <c r="B19" s="1007"/>
      <c r="C19" s="811" t="s">
        <v>4282</v>
      </c>
      <c r="D19" s="811" t="s">
        <v>4329</v>
      </c>
      <c r="E19" s="812" t="s">
        <v>4335</v>
      </c>
      <c r="F19" s="798" t="s">
        <v>4336</v>
      </c>
      <c r="G19" s="825" t="s">
        <v>4339</v>
      </c>
      <c r="H19" s="809">
        <v>1473000</v>
      </c>
      <c r="I19" s="878">
        <v>10500701</v>
      </c>
      <c r="J19" s="998" t="str">
        <f>IFERROR(VLOOKUP(I19,資産クラス一覧表!A$2:D$1687,2,FALSE),"")</f>
        <v>鉄有固-運送施設 建物-鉄骨鉄筋コンクリート造又は鉄筋コンクリート造-停車場建物</v>
      </c>
      <c r="K19" s="999"/>
      <c r="L19" s="1000"/>
      <c r="P19" s="820" t="s">
        <v>4246</v>
      </c>
      <c r="Q19" s="821" t="s">
        <v>4247</v>
      </c>
    </row>
    <row r="20" spans="1:26" ht="24" customHeight="1">
      <c r="A20" s="1006"/>
      <c r="B20" s="1007"/>
      <c r="C20" s="811" t="s">
        <v>4282</v>
      </c>
      <c r="D20" s="811" t="s">
        <v>4330</v>
      </c>
      <c r="E20" s="812" t="s">
        <v>4335</v>
      </c>
      <c r="F20" s="798" t="s">
        <v>4336</v>
      </c>
      <c r="G20" s="825" t="s">
        <v>4339</v>
      </c>
      <c r="H20" s="809">
        <v>1337000</v>
      </c>
      <c r="I20" s="878">
        <v>10500701</v>
      </c>
      <c r="J20" s="1014" t="str">
        <f>IFERROR(VLOOKUP(I20,資産クラス一覧表!A$2:D$1687,2,FALSE),"")</f>
        <v>鉄有固-運送施設 建物-鉄骨鉄筋コンクリート造又は鉄筋コンクリート造-停車場建物</v>
      </c>
      <c r="K20" s="999"/>
      <c r="L20" s="1000"/>
      <c r="P20" s="820" t="s">
        <v>4248</v>
      </c>
      <c r="Q20" s="821" t="s">
        <v>4249</v>
      </c>
    </row>
    <row r="21" spans="1:26" ht="24" customHeight="1">
      <c r="A21" s="1006"/>
      <c r="B21" s="1007"/>
      <c r="C21" s="811" t="s">
        <v>4282</v>
      </c>
      <c r="D21" s="811" t="s">
        <v>4331</v>
      </c>
      <c r="E21" s="812" t="s">
        <v>4335</v>
      </c>
      <c r="F21" s="798" t="s">
        <v>4336</v>
      </c>
      <c r="G21" s="825" t="s">
        <v>4339</v>
      </c>
      <c r="H21" s="809">
        <v>1047000</v>
      </c>
      <c r="I21" s="878">
        <v>10500701</v>
      </c>
      <c r="J21" s="998" t="str">
        <f>IFERROR(VLOOKUP(I21,資産クラス一覧表!A$2:D$1687,2,FALSE),"")</f>
        <v>鉄有固-運送施設 建物-鉄骨鉄筋コンクリート造又は鉄筋コンクリート造-停車場建物</v>
      </c>
      <c r="K21" s="999"/>
      <c r="L21" s="1000"/>
      <c r="P21" s="820" t="s">
        <v>4250</v>
      </c>
      <c r="Q21" s="821" t="s">
        <v>4251</v>
      </c>
    </row>
    <row r="22" spans="1:26" ht="24" customHeight="1">
      <c r="A22" s="1006"/>
      <c r="B22" s="1007"/>
      <c r="C22" s="811"/>
      <c r="D22" s="811"/>
      <c r="E22" s="812"/>
      <c r="F22" s="798"/>
      <c r="G22" s="825"/>
      <c r="H22" s="809"/>
      <c r="I22" s="894"/>
      <c r="J22" s="858" t="str">
        <f>IFERROR(VLOOKUP(I22,資産クラス一覧表!A$2:D$1687,2,FALSE),"")</f>
        <v/>
      </c>
      <c r="K22" s="859"/>
      <c r="L22" s="860"/>
    </row>
    <row r="23" spans="1:26" ht="24" customHeight="1">
      <c r="A23" s="1013"/>
      <c r="B23" s="1007"/>
      <c r="C23" s="811"/>
      <c r="D23" s="807"/>
      <c r="E23" s="812"/>
      <c r="F23" s="817"/>
      <c r="G23" s="825"/>
      <c r="H23" s="856" t="str">
        <f>IFERROR(INDEX(資産クラス!$A$90:$K$318,MATCH(資産管理明細書!I23,資産クラス!$C$90:$C$318,0),MATCH(資産管理明細書!A23,資産クラス!$A$91:$K$91,0)),"")</f>
        <v/>
      </c>
      <c r="I23" s="804"/>
      <c r="J23" s="998" t="str">
        <f>IFERROR(VLOOKUP(I23,資産クラス一覧表!A$2:D$1687,2,FALSE),"")</f>
        <v/>
      </c>
      <c r="K23" s="999"/>
      <c r="L23" s="1000"/>
    </row>
    <row r="24" spans="1:26" ht="24" customHeight="1" thickBot="1">
      <c r="A24" s="1001"/>
      <c r="B24" s="1002"/>
      <c r="C24" s="813"/>
      <c r="D24" s="814"/>
      <c r="E24" s="818"/>
      <c r="F24" s="819"/>
      <c r="G24" s="826"/>
      <c r="H24" s="857" t="str">
        <f>IFERROR(INDEX(資産クラス!$A$90:$K$318,MATCH(資産管理明細書!I24,資産クラス!$C$90:$C$318,0),MATCH(資産管理明細書!A24,資産クラス!$A$91:$K$91,0)),"")</f>
        <v/>
      </c>
      <c r="I24" s="808"/>
      <c r="J24" s="1003" t="str">
        <f>IFERROR(VLOOKUP(I24,資産クラス一覧表!A$2:D$1687,2,FALSE),"")</f>
        <v/>
      </c>
      <c r="K24" s="1004"/>
      <c r="L24" s="1005"/>
    </row>
    <row r="25" spans="1:26" ht="14.25" customHeight="1" thickBot="1">
      <c r="E25" s="32" t="s">
        <v>106</v>
      </c>
      <c r="F25" s="102">
        <f>F2+1</f>
        <v>5</v>
      </c>
      <c r="G25" s="33" t="s">
        <v>67</v>
      </c>
      <c r="H25" s="4">
        <f>H2</f>
        <v>6</v>
      </c>
      <c r="M25" s="31" t="str">
        <f>IF(A27="","EOL","")</f>
        <v/>
      </c>
      <c r="N25" s="1">
        <f>+F25</f>
        <v>5</v>
      </c>
    </row>
    <row r="26" spans="1:26" s="499" customFormat="1" ht="26" customHeight="1" thickBot="1">
      <c r="A26" s="995" t="s">
        <v>4212</v>
      </c>
      <c r="B26" s="995"/>
      <c r="C26" s="995"/>
      <c r="D26" s="995"/>
      <c r="E26" s="995"/>
      <c r="F26" s="995"/>
      <c r="G26" s="995"/>
      <c r="H26" s="995"/>
      <c r="I26" s="815" t="s">
        <v>4217</v>
      </c>
      <c r="J26" s="816">
        <f>+J3</f>
        <v>64185011</v>
      </c>
      <c r="K26" s="855" t="s">
        <v>4266</v>
      </c>
      <c r="L26" s="816" t="str">
        <f>+L3</f>
        <v>BK17008</v>
      </c>
      <c r="Z26" s="500"/>
    </row>
    <row r="27" spans="1:26" ht="42" customHeight="1">
      <c r="A27" s="1008" t="s">
        <v>4211</v>
      </c>
      <c r="B27" s="1009"/>
      <c r="C27" s="810" t="s">
        <v>4140</v>
      </c>
      <c r="D27" s="498" t="s">
        <v>4215</v>
      </c>
      <c r="E27" s="498" t="s">
        <v>4138</v>
      </c>
      <c r="F27" s="822" t="s">
        <v>4143</v>
      </c>
      <c r="G27" s="823" t="s">
        <v>4216</v>
      </c>
      <c r="H27" s="801" t="s">
        <v>4210</v>
      </c>
      <c r="I27" s="802" t="s">
        <v>4142</v>
      </c>
      <c r="J27" s="1010" t="s">
        <v>4141</v>
      </c>
      <c r="K27" s="1011"/>
      <c r="L27" s="1012"/>
      <c r="M27" s="800"/>
      <c r="N27" s="231"/>
      <c r="O27" s="231"/>
      <c r="P27" s="231"/>
      <c r="Q27" s="3"/>
    </row>
    <row r="28" spans="1:26" ht="24" customHeight="1">
      <c r="A28" s="1006"/>
      <c r="B28" s="1007"/>
      <c r="C28" s="811"/>
      <c r="D28" s="811"/>
      <c r="E28" s="812"/>
      <c r="F28" s="824"/>
      <c r="G28" s="825"/>
      <c r="H28" s="809" t="str">
        <f>IFERROR(INDEX(資産クラス!$A$90:$K$318,MATCH(資産管理明細書!I28,資産クラス!$C$90:$C$318,0),MATCH(資産管理明細書!A28,資産クラス!$A$91:$K$91,0)),"")</f>
        <v/>
      </c>
      <c r="I28" s="803"/>
      <c r="J28" s="998" t="str">
        <f>IFERROR(VLOOKUP(I28,資産クラス一覧表!A$2:D$1687,2,FALSE),"")</f>
        <v/>
      </c>
      <c r="K28" s="999"/>
      <c r="L28" s="1000"/>
      <c r="P28" s="820" t="s">
        <v>4218</v>
      </c>
      <c r="Q28" s="821" t="s">
        <v>4219</v>
      </c>
    </row>
    <row r="29" spans="1:26" ht="24" customHeight="1">
      <c r="A29" s="898"/>
      <c r="B29" s="899"/>
      <c r="C29" s="811" t="s">
        <v>4282</v>
      </c>
      <c r="D29" s="811" t="s">
        <v>4332</v>
      </c>
      <c r="E29" s="812" t="s">
        <v>4335</v>
      </c>
      <c r="F29" s="798" t="s">
        <v>4336</v>
      </c>
      <c r="G29" s="825" t="s">
        <v>4339</v>
      </c>
      <c r="H29" s="809">
        <v>1077000</v>
      </c>
      <c r="I29" s="878">
        <v>10500701</v>
      </c>
      <c r="J29" s="998" t="str">
        <f>IFERROR(VLOOKUP(I29,資産クラス一覧表!A$2:D$1687,2,FALSE),"")</f>
        <v>鉄有固-運送施設 建物-鉄骨鉄筋コンクリート造又は鉄筋コンクリート造-停車場建物</v>
      </c>
      <c r="K29" s="999"/>
      <c r="L29" s="1000"/>
      <c r="P29" s="820" t="s">
        <v>4220</v>
      </c>
      <c r="Q29" s="821" t="s">
        <v>4221</v>
      </c>
    </row>
    <row r="30" spans="1:26" ht="24" customHeight="1">
      <c r="A30" s="898"/>
      <c r="B30" s="899"/>
      <c r="C30" s="811" t="s">
        <v>4282</v>
      </c>
      <c r="D30" s="811" t="s">
        <v>4333</v>
      </c>
      <c r="E30" s="812" t="s">
        <v>4335</v>
      </c>
      <c r="F30" s="798" t="s">
        <v>4336</v>
      </c>
      <c r="G30" s="825" t="s">
        <v>4339</v>
      </c>
      <c r="H30" s="809">
        <v>1067000</v>
      </c>
      <c r="I30" s="878">
        <v>10500701</v>
      </c>
      <c r="J30" s="998" t="str">
        <f>IFERROR(VLOOKUP(I30,資産クラス一覧表!A$2:D$1687,2,FALSE),"")</f>
        <v>鉄有固-運送施設 建物-鉄骨鉄筋コンクリート造又は鉄筋コンクリート造-停車場建物</v>
      </c>
      <c r="K30" s="999"/>
      <c r="L30" s="1000"/>
      <c r="N30" s="812"/>
      <c r="P30" s="820" t="s">
        <v>4222</v>
      </c>
      <c r="Q30" s="821" t="s">
        <v>4223</v>
      </c>
    </row>
    <row r="31" spans="1:26" ht="24" customHeight="1">
      <c r="A31" s="1006"/>
      <c r="B31" s="1007"/>
      <c r="C31" s="811"/>
      <c r="D31" s="811"/>
      <c r="E31" s="812"/>
      <c r="F31" s="798"/>
      <c r="G31" s="825"/>
      <c r="H31" s="809"/>
      <c r="I31" s="880"/>
      <c r="J31" s="998" t="str">
        <f>IFERROR(VLOOKUP(I31,資産クラス一覧表!A$2:D$1687,2,FALSE),"")</f>
        <v/>
      </c>
      <c r="K31" s="999"/>
      <c r="L31" s="1000"/>
      <c r="P31" s="820" t="s">
        <v>4226</v>
      </c>
      <c r="Q31" s="821" t="s">
        <v>4227</v>
      </c>
    </row>
    <row r="32" spans="1:26" ht="24" customHeight="1">
      <c r="A32" s="996"/>
      <c r="B32" s="997"/>
      <c r="C32" s="888" t="s">
        <v>4307</v>
      </c>
      <c r="D32" s="888"/>
      <c r="E32" s="889"/>
      <c r="F32" s="890"/>
      <c r="G32" s="891"/>
      <c r="H32" s="892">
        <f>SUM(H29:H31)+SUM(H6:H22)</f>
        <v>20850000</v>
      </c>
      <c r="I32" s="893"/>
      <c r="J32" s="1015" t="str">
        <f>IFERROR(VLOOKUP(I32,資産クラス一覧表!A$2:D$1687,2,FALSE),"")</f>
        <v/>
      </c>
      <c r="K32" s="1016"/>
      <c r="L32" s="1017"/>
      <c r="P32" s="820" t="s">
        <v>4228</v>
      </c>
      <c r="Q32" s="821" t="s">
        <v>4229</v>
      </c>
    </row>
    <row r="33" spans="1:17" ht="24" customHeight="1">
      <c r="A33" s="1013"/>
      <c r="B33" s="1007"/>
      <c r="C33" s="811"/>
      <c r="D33" s="807"/>
      <c r="E33" s="812"/>
      <c r="F33" s="817"/>
      <c r="G33" s="825"/>
      <c r="H33" s="856" t="str">
        <f>IFERROR(INDEX(資産クラス!$A$90:$K$318,MATCH(資産管理明細書!I33,資産クラス!$C$90:$C$318,0),MATCH(資産管理明細書!A33,資産クラス!$A$91:$K$91,0)),"")</f>
        <v/>
      </c>
      <c r="I33" s="804"/>
      <c r="J33" s="998" t="str">
        <f>IFERROR(VLOOKUP(I33,資産クラス一覧表!A$2:D$1687,2,FALSE),"")</f>
        <v/>
      </c>
      <c r="K33" s="999"/>
      <c r="L33" s="1000"/>
      <c r="P33" s="820"/>
      <c r="Q33" s="821"/>
    </row>
    <row r="34" spans="1:17" ht="24" customHeight="1">
      <c r="A34" s="1006"/>
      <c r="B34" s="1007"/>
      <c r="C34" s="811"/>
      <c r="D34" s="811"/>
      <c r="E34" s="812"/>
      <c r="F34" s="798"/>
      <c r="G34" s="825"/>
      <c r="H34" s="809"/>
      <c r="I34" s="894"/>
      <c r="J34" s="998"/>
      <c r="K34" s="999"/>
      <c r="L34" s="1000"/>
      <c r="P34" s="820"/>
      <c r="Q34" s="821"/>
    </row>
    <row r="35" spans="1:17" ht="24" customHeight="1">
      <c r="A35" s="1006"/>
      <c r="B35" s="1007"/>
      <c r="C35" s="811"/>
      <c r="D35" s="811"/>
      <c r="E35" s="812"/>
      <c r="F35" s="798"/>
      <c r="G35" s="825"/>
      <c r="H35" s="809"/>
      <c r="I35" s="879"/>
      <c r="J35" s="998"/>
      <c r="K35" s="999"/>
      <c r="L35" s="1000"/>
      <c r="P35" s="820" t="s">
        <v>4230</v>
      </c>
      <c r="Q35" s="821" t="s">
        <v>4231</v>
      </c>
    </row>
    <row r="36" spans="1:17" ht="24" customHeight="1">
      <c r="A36" s="898"/>
      <c r="B36" s="899"/>
      <c r="C36" s="811" t="s">
        <v>4342</v>
      </c>
      <c r="D36" s="811"/>
      <c r="E36" s="812"/>
      <c r="F36" s="798"/>
      <c r="G36" s="825"/>
      <c r="H36" s="809"/>
      <c r="I36" s="879"/>
      <c r="J36" s="895" t="str">
        <f>IFERROR(VLOOKUP(I36,資産クラス一覧表!A$2:D$1687,2,FALSE),"")</f>
        <v/>
      </c>
      <c r="K36" s="896"/>
      <c r="L36" s="897"/>
      <c r="P36" s="820" t="s">
        <v>4232</v>
      </c>
      <c r="Q36" s="821" t="s">
        <v>4233</v>
      </c>
    </row>
    <row r="37" spans="1:17" ht="24" customHeight="1">
      <c r="A37" s="898"/>
      <c r="B37" s="899"/>
      <c r="C37" s="811" t="s">
        <v>4282</v>
      </c>
      <c r="D37" s="811" t="s">
        <v>4334</v>
      </c>
      <c r="E37" s="812" t="s">
        <v>4335</v>
      </c>
      <c r="F37" s="798" t="s">
        <v>4336</v>
      </c>
      <c r="G37" s="825" t="s">
        <v>4339</v>
      </c>
      <c r="H37" s="809">
        <v>1038000</v>
      </c>
      <c r="I37" s="878">
        <v>10500701</v>
      </c>
      <c r="J37" s="998" t="str">
        <f>IFERROR(VLOOKUP(I37,資産クラス一覧表!A$2:D$1687,2,FALSE),"")</f>
        <v>鉄有固-運送施設 建物-鉄骨鉄筋コンクリート造又は鉄筋コンクリート造-停車場建物</v>
      </c>
      <c r="K37" s="999"/>
      <c r="L37" s="1000"/>
      <c r="P37" s="820" t="s">
        <v>4234</v>
      </c>
      <c r="Q37" s="821" t="s">
        <v>4235</v>
      </c>
    </row>
    <row r="38" spans="1:17" ht="24" customHeight="1">
      <c r="A38" s="1006"/>
      <c r="B38" s="1007"/>
      <c r="C38" s="811" t="s">
        <v>4282</v>
      </c>
      <c r="D38" s="811" t="s">
        <v>4325</v>
      </c>
      <c r="E38" s="812" t="s">
        <v>4335</v>
      </c>
      <c r="F38" s="798" t="s">
        <v>4336</v>
      </c>
      <c r="G38" s="825" t="s">
        <v>4339</v>
      </c>
      <c r="H38" s="809">
        <v>623000</v>
      </c>
      <c r="I38" s="894">
        <v>10500701</v>
      </c>
      <c r="J38" s="998" t="str">
        <f>IFERROR(VLOOKUP(I38,資産クラス一覧表!A$2:D$1687,2,FALSE),"")</f>
        <v>鉄有固-運送施設 建物-鉄骨鉄筋コンクリート造又は鉄筋コンクリート造-停車場建物</v>
      </c>
      <c r="K38" s="999"/>
      <c r="L38" s="1000"/>
      <c r="P38" s="820" t="s">
        <v>4236</v>
      </c>
      <c r="Q38" s="821" t="s">
        <v>4237</v>
      </c>
    </row>
    <row r="39" spans="1:17" ht="24" customHeight="1">
      <c r="A39" s="1006"/>
      <c r="B39" s="1007"/>
      <c r="C39" s="811"/>
      <c r="D39" s="811"/>
      <c r="E39" s="812"/>
      <c r="F39" s="798"/>
      <c r="G39" s="825"/>
      <c r="H39" s="809"/>
      <c r="I39" s="880"/>
      <c r="J39" s="998" t="str">
        <f>IFERROR(VLOOKUP(I39,資産クラス一覧表!A$2:D$1687,2,FALSE),"")</f>
        <v/>
      </c>
      <c r="K39" s="999"/>
      <c r="L39" s="1000"/>
      <c r="P39" s="820" t="s">
        <v>4238</v>
      </c>
      <c r="Q39" s="821" t="s">
        <v>4239</v>
      </c>
    </row>
    <row r="40" spans="1:17" ht="24" customHeight="1">
      <c r="A40" s="996"/>
      <c r="B40" s="997"/>
      <c r="C40" s="888" t="s">
        <v>4307</v>
      </c>
      <c r="D40" s="888"/>
      <c r="E40" s="889"/>
      <c r="F40" s="890"/>
      <c r="G40" s="891"/>
      <c r="H40" s="892">
        <f>SUM(H37:H39)</f>
        <v>1661000</v>
      </c>
      <c r="I40" s="893"/>
      <c r="J40" s="1015" t="str">
        <f>IFERROR(VLOOKUP(I40,資産クラス一覧表!A$2:D$1687,2,FALSE),"")</f>
        <v/>
      </c>
      <c r="K40" s="1016"/>
      <c r="L40" s="1017"/>
      <c r="P40" s="820" t="s">
        <v>4240</v>
      </c>
      <c r="Q40" s="821" t="s">
        <v>4241</v>
      </c>
    </row>
    <row r="41" spans="1:17" ht="24" customHeight="1">
      <c r="A41" s="1006"/>
      <c r="B41" s="1007"/>
      <c r="C41" s="811"/>
      <c r="D41" s="811"/>
      <c r="E41" s="812"/>
      <c r="F41" s="798"/>
      <c r="G41" s="825"/>
      <c r="H41" s="809" t="str">
        <f>IFERROR(INDEX(資産クラス!$A$90:$K$318,MATCH(資産管理明細書!I41,資産クラス!$C$90:$C$318,0),MATCH(資産管理明細書!A41,資産クラス!$A$91:$K$91,0)),"")</f>
        <v/>
      </c>
      <c r="I41" s="879"/>
      <c r="J41" s="998" t="str">
        <f>IFERROR(VLOOKUP(I41,資産クラス一覧表!A$2:D$1687,2,FALSE),"")</f>
        <v/>
      </c>
      <c r="K41" s="999"/>
      <c r="L41" s="1000"/>
      <c r="P41" s="820" t="s">
        <v>4242</v>
      </c>
      <c r="Q41" s="821" t="s">
        <v>4243</v>
      </c>
    </row>
    <row r="42" spans="1:17" ht="24" customHeight="1">
      <c r="A42" s="925"/>
      <c r="B42" s="926"/>
      <c r="C42" s="811"/>
      <c r="D42" s="811"/>
      <c r="E42" s="927"/>
      <c r="F42" s="928"/>
      <c r="G42" s="929"/>
      <c r="H42" s="930"/>
      <c r="I42" s="931"/>
      <c r="J42" s="932"/>
      <c r="K42" s="933"/>
      <c r="L42" s="934"/>
      <c r="P42" s="820"/>
      <c r="Q42" s="821"/>
    </row>
    <row r="43" spans="1:17" ht="24" customHeight="1">
      <c r="A43" s="1013"/>
      <c r="B43" s="1007"/>
      <c r="C43" s="811"/>
      <c r="D43" s="807"/>
      <c r="E43" s="812"/>
      <c r="F43" s="817"/>
      <c r="G43" s="825"/>
      <c r="H43" s="856" t="str">
        <f>IFERROR(INDEX(資産クラス!$A$90:$K$318,MATCH(資産管理明細書!I43,資産クラス!$C$90:$C$318,0),MATCH(資産管理明細書!A43,資産クラス!$A$91:$K$91,0)),"")</f>
        <v/>
      </c>
      <c r="I43" s="804"/>
      <c r="J43" s="998" t="str">
        <f>IFERROR(VLOOKUP(I43,資産クラス一覧表!A$2:D$1687,2,FALSE),"")</f>
        <v/>
      </c>
      <c r="K43" s="999"/>
      <c r="L43" s="1000"/>
      <c r="P43" s="820" t="s">
        <v>4244</v>
      </c>
      <c r="Q43" s="821" t="s">
        <v>4245</v>
      </c>
    </row>
    <row r="44" spans="1:17" ht="24" customHeight="1" thickBot="1">
      <c r="A44" s="1024"/>
      <c r="B44" s="1025"/>
      <c r="C44" s="887"/>
      <c r="D44" s="887"/>
      <c r="E44" s="905"/>
      <c r="F44" s="906"/>
      <c r="G44" s="907"/>
      <c r="H44" s="908"/>
      <c r="I44" s="909"/>
      <c r="J44" s="1018"/>
      <c r="K44" s="1019"/>
      <c r="L44" s="1020"/>
      <c r="P44" s="820" t="s">
        <v>4246</v>
      </c>
      <c r="Q44" s="821" t="s">
        <v>4247</v>
      </c>
    </row>
    <row r="45" spans="1:17" ht="24" customHeight="1" thickTop="1">
      <c r="A45" s="1026"/>
      <c r="B45" s="1027"/>
      <c r="C45" s="910"/>
      <c r="D45" s="910"/>
      <c r="E45" s="911"/>
      <c r="F45" s="912"/>
      <c r="G45" s="913"/>
      <c r="H45" s="914"/>
      <c r="I45" s="915"/>
      <c r="J45" s="1021"/>
      <c r="K45" s="1022"/>
      <c r="L45" s="1023"/>
    </row>
    <row r="46" spans="1:17" ht="24" customHeight="1">
      <c r="A46" s="1013"/>
      <c r="B46" s="1007"/>
      <c r="C46" s="811" t="s">
        <v>4345</v>
      </c>
      <c r="D46" s="807"/>
      <c r="E46" s="812"/>
      <c r="F46" s="817"/>
      <c r="G46" s="825"/>
      <c r="H46" s="856">
        <f>+H32+H40</f>
        <v>22511000</v>
      </c>
      <c r="I46" s="804"/>
      <c r="J46" s="998" t="str">
        <f>IFERROR(VLOOKUP(I46,資産クラス一覧表!A$2:D$1687,2,FALSE),"")</f>
        <v/>
      </c>
      <c r="K46" s="999"/>
      <c r="L46" s="1000"/>
    </row>
    <row r="47" spans="1:17" ht="24" customHeight="1" thickBot="1">
      <c r="A47" s="1001"/>
      <c r="B47" s="1002"/>
      <c r="C47" s="813"/>
      <c r="D47" s="814"/>
      <c r="E47" s="818"/>
      <c r="F47" s="819"/>
      <c r="G47" s="826"/>
      <c r="H47" s="857" t="str">
        <f>IFERROR(INDEX(資産クラス!$A$90:$K$318,MATCH(資産管理明細書!I47,資産クラス!$C$90:$C$318,0),MATCH(資産管理明細書!A47,資産クラス!$A$91:$K$91,0)),"")</f>
        <v/>
      </c>
      <c r="I47" s="808"/>
      <c r="J47" s="1003" t="str">
        <f>IFERROR(VLOOKUP(I47,資産クラス一覧表!A$2:D$1687,2,FALSE),"")</f>
        <v/>
      </c>
      <c r="K47" s="1004"/>
      <c r="L47" s="1005"/>
    </row>
    <row r="48" spans="1:17" ht="14.25" customHeight="1">
      <c r="E48" s="32" t="s">
        <v>3824</v>
      </c>
      <c r="F48" s="102">
        <f>F25+1</f>
        <v>6</v>
      </c>
      <c r="G48" s="33" t="s">
        <v>67</v>
      </c>
      <c r="H48" s="4">
        <f>H2</f>
        <v>6</v>
      </c>
      <c r="M48" s="31" t="str">
        <f>IF(A50="","EOL","")</f>
        <v>EOL</v>
      </c>
      <c r="N48" s="1">
        <f>+F48</f>
        <v>6</v>
      </c>
    </row>
  </sheetData>
  <sheetProtection formatCells="0" formatColumns="0" formatRows="0" insertColumns="0" insertRows="0" insertHyperlinks="0" deleteColumns="0" deleteRows="0" sort="0" autoFilter="0" pivotTables="0"/>
  <mergeCells count="78">
    <mergeCell ref="A47:B47"/>
    <mergeCell ref="A44:B44"/>
    <mergeCell ref="A43:B43"/>
    <mergeCell ref="A45:B45"/>
    <mergeCell ref="A46:B46"/>
    <mergeCell ref="A40:B40"/>
    <mergeCell ref="A41:B41"/>
    <mergeCell ref="A38:B38"/>
    <mergeCell ref="A39:B39"/>
    <mergeCell ref="A33:B33"/>
    <mergeCell ref="J46:L46"/>
    <mergeCell ref="J47:L47"/>
    <mergeCell ref="J39:L39"/>
    <mergeCell ref="J40:L40"/>
    <mergeCell ref="J41:L41"/>
    <mergeCell ref="J43:L43"/>
    <mergeCell ref="J44:L44"/>
    <mergeCell ref="J45:L45"/>
    <mergeCell ref="J38:L38"/>
    <mergeCell ref="J30:L30"/>
    <mergeCell ref="A35:B35"/>
    <mergeCell ref="A34:B34"/>
    <mergeCell ref="A31:B31"/>
    <mergeCell ref="J33:L33"/>
    <mergeCell ref="J37:L37"/>
    <mergeCell ref="J35:L35"/>
    <mergeCell ref="J34:L34"/>
    <mergeCell ref="J31:L31"/>
    <mergeCell ref="J32:L32"/>
    <mergeCell ref="A14:B14"/>
    <mergeCell ref="J14:L14"/>
    <mergeCell ref="J23:L23"/>
    <mergeCell ref="A18:B18"/>
    <mergeCell ref="J18:L18"/>
    <mergeCell ref="A19:B19"/>
    <mergeCell ref="A20:B20"/>
    <mergeCell ref="A15:B15"/>
    <mergeCell ref="J15:L15"/>
    <mergeCell ref="A16:B16"/>
    <mergeCell ref="J16:L16"/>
    <mergeCell ref="A17:B17"/>
    <mergeCell ref="J17:L17"/>
    <mergeCell ref="J19:L19"/>
    <mergeCell ref="J20:L20"/>
    <mergeCell ref="A21:B21"/>
    <mergeCell ref="A11:B11"/>
    <mergeCell ref="J11:L11"/>
    <mergeCell ref="A6:B6"/>
    <mergeCell ref="J6:L6"/>
    <mergeCell ref="A7:B7"/>
    <mergeCell ref="J7:L7"/>
    <mergeCell ref="A8:B8"/>
    <mergeCell ref="J8:L8"/>
    <mergeCell ref="A22:B22"/>
    <mergeCell ref="A23:B23"/>
    <mergeCell ref="J21:L21"/>
    <mergeCell ref="A3:H3"/>
    <mergeCell ref="A4:B4"/>
    <mergeCell ref="J4:L4"/>
    <mergeCell ref="A5:B5"/>
    <mergeCell ref="J5:L5"/>
    <mergeCell ref="A12:B12"/>
    <mergeCell ref="J12:L12"/>
    <mergeCell ref="A13:B13"/>
    <mergeCell ref="J13:L13"/>
    <mergeCell ref="A9:B9"/>
    <mergeCell ref="J9:L9"/>
    <mergeCell ref="A10:B10"/>
    <mergeCell ref="J10:L10"/>
    <mergeCell ref="A26:H26"/>
    <mergeCell ref="A32:B32"/>
    <mergeCell ref="J28:L28"/>
    <mergeCell ref="A24:B24"/>
    <mergeCell ref="J24:L24"/>
    <mergeCell ref="J29:L29"/>
    <mergeCell ref="A28:B28"/>
    <mergeCell ref="A27:B27"/>
    <mergeCell ref="J27:L27"/>
  </mergeCells>
  <phoneticPr fontId="2"/>
  <dataValidations count="5">
    <dataValidation type="list" allowBlank="1" showInputMessage="1" sqref="K1" xr:uid="{00000000-0002-0000-0200-000000000000}">
      <formula1>"有り,無し"</formula1>
    </dataValidation>
    <dataValidation type="list" allowBlank="1" showInputMessage="1" showErrorMessage="1" sqref="N30 E5:E24 N7 E28:E47" xr:uid="{00000000-0002-0000-0200-000001000000}">
      <formula1>"１　資産【自己調達資金】,２　費用（撤去費）【自己調達資金】,３　費用（修繕費）【自己調達資金】,４　費用（保守費）【自己調達資金】,６　資産【その他調達資金】,７　費用（撤去費）　【その他調達資金】,８　費用（修繕費）【その他調達資金】,９　費用（保守費）【その他調達資金】,Ａ　他流動資産（受託工事）,Ｂ　資産【補助対象】,Ｃ　費用（撤去費）【補助金対象】,Ｄ　費用（修繕費）【補助金対象】,Ｅ　費用（保守費）【補助金対象】,Ｗ　費用（原価企画）【自己調達資金】,Ｘ　費用【その他調達資金】"</formula1>
    </dataValidation>
    <dataValidation type="list" allowBlank="1" showInputMessage="1" showErrorMessage="1" sqref="A5:B24 A28:B47" xr:uid="{00000000-0002-0000-0200-000002000000}">
      <formula1>"工事1,工事2,工事3,工事4,工事5,工事6,工事7,工事8,工事10,工事11,工事12,工事13,工事14,工事15,工事16,工事17,工事18,工事19,工事20"</formula1>
    </dataValidation>
    <dataValidation type="list" allowBlank="1" showInputMessage="1" showErrorMessage="1" sqref="G23:G24 G5 G28 G39:G43 G45:G47 G31:G33 G35:G36" xr:uid="{00000000-0002-0000-0200-000003000000}">
      <formula1>"1　経営戦略・グループ戦略部,2　新規事業開発部,3　総務部,4　財務部,5　調達部,6　統括部,7　駅務部,8　運転部,9　営業部,A　電気部,B　車両部,C　工務部,D　建築部,E　安全推進室,F　監査室,G　人事部,H　監査役室"</formula1>
    </dataValidation>
    <dataValidation type="list" allowBlank="1" showInputMessage="1" showErrorMessage="1" sqref="G29:G30 G6:G22 G44 G37:G38 G34" xr:uid="{00000000-0002-0000-0200-000004000000}">
      <formula1>"K　計画部,2　新規事業開発部,3　総務部,4　財務部,5　調達部,6　統括部,7　駅務部,8　運転部,9　営業部,A　電気部,B　車両部,C　工務部,D　建築部,E　安全推進室,F　監査室,G　人事部,H　監査役室"</formula1>
    </dataValidation>
  </dataValidations>
  <printOptions horizontalCentered="1" verticalCentered="1"/>
  <pageMargins left="0.196850393700787" right="0.196850393700787" top="0.78740157480314998" bottom="0.196850393700787" header="0.51181102362204722" footer="0.51181102362204722"/>
  <pageSetup paperSize="9" orientation="landscape" cellComments="asDisplayed" horizontalDpi="300" verticalDpi="30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Q2117"/>
  <sheetViews>
    <sheetView view="pageBreakPreview" zoomScaleNormal="100" zoomScaleSheetLayoutView="100" workbookViewId="0"/>
  </sheetViews>
  <sheetFormatPr defaultColWidth="8.81640625" defaultRowHeight="13.5" customHeight="1"/>
  <cols>
    <col min="1" max="2" width="2.453125" style="524" customWidth="1"/>
    <col min="3" max="3" width="9.6328125" style="524" customWidth="1"/>
    <col min="4" max="4" width="13.81640625" style="524" customWidth="1"/>
    <col min="5" max="5" width="4.1796875" style="524" customWidth="1"/>
    <col min="6" max="6" width="45.1796875" style="524" customWidth="1"/>
    <col min="7" max="7" width="15.1796875" style="524" customWidth="1"/>
    <col min="8" max="8" width="14.1796875" style="574" customWidth="1"/>
    <col min="9" max="9" width="2.1796875" style="561" customWidth="1"/>
    <col min="10" max="227" width="9" style="524"/>
    <col min="228" max="228" width="2.453125" style="524" customWidth="1"/>
    <col min="229" max="229" width="3.453125" style="524" customWidth="1"/>
    <col min="230" max="230" width="21.453125" style="524" customWidth="1"/>
    <col min="231" max="231" width="4" style="524" customWidth="1"/>
    <col min="232" max="232" width="5.36328125" style="524" customWidth="1"/>
    <col min="233" max="233" width="15.1796875" style="524" customWidth="1"/>
    <col min="234" max="241" width="14.1796875" style="524" customWidth="1"/>
    <col min="242" max="483" width="9" style="524"/>
    <col min="484" max="484" width="2.453125" style="524" customWidth="1"/>
    <col min="485" max="485" width="3.453125" style="524" customWidth="1"/>
    <col min="486" max="486" width="21.453125" style="524" customWidth="1"/>
    <col min="487" max="487" width="4" style="524" customWidth="1"/>
    <col min="488" max="488" width="5.36328125" style="524" customWidth="1"/>
    <col min="489" max="489" width="15.1796875" style="524" customWidth="1"/>
    <col min="490" max="497" width="14.1796875" style="524" customWidth="1"/>
    <col min="498" max="739" width="9" style="524"/>
    <col min="740" max="740" width="2.453125" style="524" customWidth="1"/>
    <col min="741" max="741" width="3.453125" style="524" customWidth="1"/>
    <col min="742" max="742" width="21.453125" style="524" customWidth="1"/>
    <col min="743" max="743" width="4" style="524" customWidth="1"/>
    <col min="744" max="744" width="5.36328125" style="524" customWidth="1"/>
    <col min="745" max="745" width="15.1796875" style="524" customWidth="1"/>
    <col min="746" max="753" width="14.1796875" style="524" customWidth="1"/>
    <col min="754" max="995" width="9" style="524"/>
    <col min="996" max="996" width="2.453125" style="524" customWidth="1"/>
    <col min="997" max="997" width="3.453125" style="524" customWidth="1"/>
    <col min="998" max="998" width="21.453125" style="524" customWidth="1"/>
    <col min="999" max="999" width="4" style="524" customWidth="1"/>
    <col min="1000" max="1000" width="5.36328125" style="524" customWidth="1"/>
    <col min="1001" max="1001" width="15.1796875" style="524" customWidth="1"/>
    <col min="1002" max="1009" width="14.1796875" style="524" customWidth="1"/>
    <col min="1010" max="1251" width="9" style="524"/>
    <col min="1252" max="1252" width="2.453125" style="524" customWidth="1"/>
    <col min="1253" max="1253" width="3.453125" style="524" customWidth="1"/>
    <col min="1254" max="1254" width="21.453125" style="524" customWidth="1"/>
    <col min="1255" max="1255" width="4" style="524" customWidth="1"/>
    <col min="1256" max="1256" width="5.36328125" style="524" customWidth="1"/>
    <col min="1257" max="1257" width="15.1796875" style="524" customWidth="1"/>
    <col min="1258" max="1265" width="14.1796875" style="524" customWidth="1"/>
    <col min="1266" max="1507" width="9" style="524"/>
    <col min="1508" max="1508" width="2.453125" style="524" customWidth="1"/>
    <col min="1509" max="1509" width="3.453125" style="524" customWidth="1"/>
    <col min="1510" max="1510" width="21.453125" style="524" customWidth="1"/>
    <col min="1511" max="1511" width="4" style="524" customWidth="1"/>
    <col min="1512" max="1512" width="5.36328125" style="524" customWidth="1"/>
    <col min="1513" max="1513" width="15.1796875" style="524" customWidth="1"/>
    <col min="1514" max="1521" width="14.1796875" style="524" customWidth="1"/>
    <col min="1522" max="1763" width="9" style="524"/>
    <col min="1764" max="1764" width="2.453125" style="524" customWidth="1"/>
    <col min="1765" max="1765" width="3.453125" style="524" customWidth="1"/>
    <col min="1766" max="1766" width="21.453125" style="524" customWidth="1"/>
    <col min="1767" max="1767" width="4" style="524" customWidth="1"/>
    <col min="1768" max="1768" width="5.36328125" style="524" customWidth="1"/>
    <col min="1769" max="1769" width="15.1796875" style="524" customWidth="1"/>
    <col min="1770" max="1777" width="14.1796875" style="524" customWidth="1"/>
    <col min="1778" max="2019" width="9" style="524"/>
    <col min="2020" max="2020" width="2.453125" style="524" customWidth="1"/>
    <col min="2021" max="2021" width="3.453125" style="524" customWidth="1"/>
    <col min="2022" max="2022" width="21.453125" style="524" customWidth="1"/>
    <col min="2023" max="2023" width="4" style="524" customWidth="1"/>
    <col min="2024" max="2024" width="5.36328125" style="524" customWidth="1"/>
    <col min="2025" max="2025" width="15.1796875" style="524" customWidth="1"/>
    <col min="2026" max="2033" width="14.1796875" style="524" customWidth="1"/>
    <col min="2034" max="2275" width="9" style="524"/>
    <col min="2276" max="2276" width="2.453125" style="524" customWidth="1"/>
    <col min="2277" max="2277" width="3.453125" style="524" customWidth="1"/>
    <col min="2278" max="2278" width="21.453125" style="524" customWidth="1"/>
    <col min="2279" max="2279" width="4" style="524" customWidth="1"/>
    <col min="2280" max="2280" width="5.36328125" style="524" customWidth="1"/>
    <col min="2281" max="2281" width="15.1796875" style="524" customWidth="1"/>
    <col min="2282" max="2289" width="14.1796875" style="524" customWidth="1"/>
    <col min="2290" max="2531" width="9" style="524"/>
    <col min="2532" max="2532" width="2.453125" style="524" customWidth="1"/>
    <col min="2533" max="2533" width="3.453125" style="524" customWidth="1"/>
    <col min="2534" max="2534" width="21.453125" style="524" customWidth="1"/>
    <col min="2535" max="2535" width="4" style="524" customWidth="1"/>
    <col min="2536" max="2536" width="5.36328125" style="524" customWidth="1"/>
    <col min="2537" max="2537" width="15.1796875" style="524" customWidth="1"/>
    <col min="2538" max="2545" width="14.1796875" style="524" customWidth="1"/>
    <col min="2546" max="2787" width="9" style="524"/>
    <col min="2788" max="2788" width="2.453125" style="524" customWidth="1"/>
    <col min="2789" max="2789" width="3.453125" style="524" customWidth="1"/>
    <col min="2790" max="2790" width="21.453125" style="524" customWidth="1"/>
    <col min="2791" max="2791" width="4" style="524" customWidth="1"/>
    <col min="2792" max="2792" width="5.36328125" style="524" customWidth="1"/>
    <col min="2793" max="2793" width="15.1796875" style="524" customWidth="1"/>
    <col min="2794" max="2801" width="14.1796875" style="524" customWidth="1"/>
    <col min="2802" max="3043" width="9" style="524"/>
    <col min="3044" max="3044" width="2.453125" style="524" customWidth="1"/>
    <col min="3045" max="3045" width="3.453125" style="524" customWidth="1"/>
    <col min="3046" max="3046" width="21.453125" style="524" customWidth="1"/>
    <col min="3047" max="3047" width="4" style="524" customWidth="1"/>
    <col min="3048" max="3048" width="5.36328125" style="524" customWidth="1"/>
    <col min="3049" max="3049" width="15.1796875" style="524" customWidth="1"/>
    <col min="3050" max="3057" width="14.1796875" style="524" customWidth="1"/>
    <col min="3058" max="3299" width="9" style="524"/>
    <col min="3300" max="3300" width="2.453125" style="524" customWidth="1"/>
    <col min="3301" max="3301" width="3.453125" style="524" customWidth="1"/>
    <col min="3302" max="3302" width="21.453125" style="524" customWidth="1"/>
    <col min="3303" max="3303" width="4" style="524" customWidth="1"/>
    <col min="3304" max="3304" width="5.36328125" style="524" customWidth="1"/>
    <col min="3305" max="3305" width="15.1796875" style="524" customWidth="1"/>
    <col min="3306" max="3313" width="14.1796875" style="524" customWidth="1"/>
    <col min="3314" max="3555" width="9" style="524"/>
    <col min="3556" max="3556" width="2.453125" style="524" customWidth="1"/>
    <col min="3557" max="3557" width="3.453125" style="524" customWidth="1"/>
    <col min="3558" max="3558" width="21.453125" style="524" customWidth="1"/>
    <col min="3559" max="3559" width="4" style="524" customWidth="1"/>
    <col min="3560" max="3560" width="5.36328125" style="524" customWidth="1"/>
    <col min="3561" max="3561" width="15.1796875" style="524" customWidth="1"/>
    <col min="3562" max="3569" width="14.1796875" style="524" customWidth="1"/>
    <col min="3570" max="3811" width="9" style="524"/>
    <col min="3812" max="3812" width="2.453125" style="524" customWidth="1"/>
    <col min="3813" max="3813" width="3.453125" style="524" customWidth="1"/>
    <col min="3814" max="3814" width="21.453125" style="524" customWidth="1"/>
    <col min="3815" max="3815" width="4" style="524" customWidth="1"/>
    <col min="3816" max="3816" width="5.36328125" style="524" customWidth="1"/>
    <col min="3817" max="3817" width="15.1796875" style="524" customWidth="1"/>
    <col min="3818" max="3825" width="14.1796875" style="524" customWidth="1"/>
    <col min="3826" max="4067" width="9" style="524"/>
    <col min="4068" max="4068" width="2.453125" style="524" customWidth="1"/>
    <col min="4069" max="4069" width="3.453125" style="524" customWidth="1"/>
    <col min="4070" max="4070" width="21.453125" style="524" customWidth="1"/>
    <col min="4071" max="4071" width="4" style="524" customWidth="1"/>
    <col min="4072" max="4072" width="5.36328125" style="524" customWidth="1"/>
    <col min="4073" max="4073" width="15.1796875" style="524" customWidth="1"/>
    <col min="4074" max="4081" width="14.1796875" style="524" customWidth="1"/>
    <col min="4082" max="4323" width="9" style="524"/>
    <col min="4324" max="4324" width="2.453125" style="524" customWidth="1"/>
    <col min="4325" max="4325" width="3.453125" style="524" customWidth="1"/>
    <col min="4326" max="4326" width="21.453125" style="524" customWidth="1"/>
    <col min="4327" max="4327" width="4" style="524" customWidth="1"/>
    <col min="4328" max="4328" width="5.36328125" style="524" customWidth="1"/>
    <col min="4329" max="4329" width="15.1796875" style="524" customWidth="1"/>
    <col min="4330" max="4337" width="14.1796875" style="524" customWidth="1"/>
    <col min="4338" max="4579" width="9" style="524"/>
    <col min="4580" max="4580" width="2.453125" style="524" customWidth="1"/>
    <col min="4581" max="4581" width="3.453125" style="524" customWidth="1"/>
    <col min="4582" max="4582" width="21.453125" style="524" customWidth="1"/>
    <col min="4583" max="4583" width="4" style="524" customWidth="1"/>
    <col min="4584" max="4584" width="5.36328125" style="524" customWidth="1"/>
    <col min="4585" max="4585" width="15.1796875" style="524" customWidth="1"/>
    <col min="4586" max="4593" width="14.1796875" style="524" customWidth="1"/>
    <col min="4594" max="4835" width="9" style="524"/>
    <col min="4836" max="4836" width="2.453125" style="524" customWidth="1"/>
    <col min="4837" max="4837" width="3.453125" style="524" customWidth="1"/>
    <col min="4838" max="4838" width="21.453125" style="524" customWidth="1"/>
    <col min="4839" max="4839" width="4" style="524" customWidth="1"/>
    <col min="4840" max="4840" width="5.36328125" style="524" customWidth="1"/>
    <col min="4841" max="4841" width="15.1796875" style="524" customWidth="1"/>
    <col min="4842" max="4849" width="14.1796875" style="524" customWidth="1"/>
    <col min="4850" max="5091" width="9" style="524"/>
    <col min="5092" max="5092" width="2.453125" style="524" customWidth="1"/>
    <col min="5093" max="5093" width="3.453125" style="524" customWidth="1"/>
    <col min="5094" max="5094" width="21.453125" style="524" customWidth="1"/>
    <col min="5095" max="5095" width="4" style="524" customWidth="1"/>
    <col min="5096" max="5096" width="5.36328125" style="524" customWidth="1"/>
    <col min="5097" max="5097" width="15.1796875" style="524" customWidth="1"/>
    <col min="5098" max="5105" width="14.1796875" style="524" customWidth="1"/>
    <col min="5106" max="5347" width="9" style="524"/>
    <col min="5348" max="5348" width="2.453125" style="524" customWidth="1"/>
    <col min="5349" max="5349" width="3.453125" style="524" customWidth="1"/>
    <col min="5350" max="5350" width="21.453125" style="524" customWidth="1"/>
    <col min="5351" max="5351" width="4" style="524" customWidth="1"/>
    <col min="5352" max="5352" width="5.36328125" style="524" customWidth="1"/>
    <col min="5353" max="5353" width="15.1796875" style="524" customWidth="1"/>
    <col min="5354" max="5361" width="14.1796875" style="524" customWidth="1"/>
    <col min="5362" max="5603" width="9" style="524"/>
    <col min="5604" max="5604" width="2.453125" style="524" customWidth="1"/>
    <col min="5605" max="5605" width="3.453125" style="524" customWidth="1"/>
    <col min="5606" max="5606" width="21.453125" style="524" customWidth="1"/>
    <col min="5607" max="5607" width="4" style="524" customWidth="1"/>
    <col min="5608" max="5608" width="5.36328125" style="524" customWidth="1"/>
    <col min="5609" max="5609" width="15.1796875" style="524" customWidth="1"/>
    <col min="5610" max="5617" width="14.1796875" style="524" customWidth="1"/>
    <col min="5618" max="5859" width="9" style="524"/>
    <col min="5860" max="5860" width="2.453125" style="524" customWidth="1"/>
    <col min="5861" max="5861" width="3.453125" style="524" customWidth="1"/>
    <col min="5862" max="5862" width="21.453125" style="524" customWidth="1"/>
    <col min="5863" max="5863" width="4" style="524" customWidth="1"/>
    <col min="5864" max="5864" width="5.36328125" style="524" customWidth="1"/>
    <col min="5865" max="5865" width="15.1796875" style="524" customWidth="1"/>
    <col min="5866" max="5873" width="14.1796875" style="524" customWidth="1"/>
    <col min="5874" max="6115" width="9" style="524"/>
    <col min="6116" max="6116" width="2.453125" style="524" customWidth="1"/>
    <col min="6117" max="6117" width="3.453125" style="524" customWidth="1"/>
    <col min="6118" max="6118" width="21.453125" style="524" customWidth="1"/>
    <col min="6119" max="6119" width="4" style="524" customWidth="1"/>
    <col min="6120" max="6120" width="5.36328125" style="524" customWidth="1"/>
    <col min="6121" max="6121" width="15.1796875" style="524" customWidth="1"/>
    <col min="6122" max="6129" width="14.1796875" style="524" customWidth="1"/>
    <col min="6130" max="6371" width="9" style="524"/>
    <col min="6372" max="6372" width="2.453125" style="524" customWidth="1"/>
    <col min="6373" max="6373" width="3.453125" style="524" customWidth="1"/>
    <col min="6374" max="6374" width="21.453125" style="524" customWidth="1"/>
    <col min="6375" max="6375" width="4" style="524" customWidth="1"/>
    <col min="6376" max="6376" width="5.36328125" style="524" customWidth="1"/>
    <col min="6377" max="6377" width="15.1796875" style="524" customWidth="1"/>
    <col min="6378" max="6385" width="14.1796875" style="524" customWidth="1"/>
    <col min="6386" max="6627" width="9" style="524"/>
    <col min="6628" max="6628" width="2.453125" style="524" customWidth="1"/>
    <col min="6629" max="6629" width="3.453125" style="524" customWidth="1"/>
    <col min="6630" max="6630" width="21.453125" style="524" customWidth="1"/>
    <col min="6631" max="6631" width="4" style="524" customWidth="1"/>
    <col min="6632" max="6632" width="5.36328125" style="524" customWidth="1"/>
    <col min="6633" max="6633" width="15.1796875" style="524" customWidth="1"/>
    <col min="6634" max="6641" width="14.1796875" style="524" customWidth="1"/>
    <col min="6642" max="6883" width="9" style="524"/>
    <col min="6884" max="6884" width="2.453125" style="524" customWidth="1"/>
    <col min="6885" max="6885" width="3.453125" style="524" customWidth="1"/>
    <col min="6886" max="6886" width="21.453125" style="524" customWidth="1"/>
    <col min="6887" max="6887" width="4" style="524" customWidth="1"/>
    <col min="6888" max="6888" width="5.36328125" style="524" customWidth="1"/>
    <col min="6889" max="6889" width="15.1796875" style="524" customWidth="1"/>
    <col min="6890" max="6897" width="14.1796875" style="524" customWidth="1"/>
    <col min="6898" max="7139" width="9" style="524"/>
    <col min="7140" max="7140" width="2.453125" style="524" customWidth="1"/>
    <col min="7141" max="7141" width="3.453125" style="524" customWidth="1"/>
    <col min="7142" max="7142" width="21.453125" style="524" customWidth="1"/>
    <col min="7143" max="7143" width="4" style="524" customWidth="1"/>
    <col min="7144" max="7144" width="5.36328125" style="524" customWidth="1"/>
    <col min="7145" max="7145" width="15.1796875" style="524" customWidth="1"/>
    <col min="7146" max="7153" width="14.1796875" style="524" customWidth="1"/>
    <col min="7154" max="7395" width="9" style="524"/>
    <col min="7396" max="7396" width="2.453125" style="524" customWidth="1"/>
    <col min="7397" max="7397" width="3.453125" style="524" customWidth="1"/>
    <col min="7398" max="7398" width="21.453125" style="524" customWidth="1"/>
    <col min="7399" max="7399" width="4" style="524" customWidth="1"/>
    <col min="7400" max="7400" width="5.36328125" style="524" customWidth="1"/>
    <col min="7401" max="7401" width="15.1796875" style="524" customWidth="1"/>
    <col min="7402" max="7409" width="14.1796875" style="524" customWidth="1"/>
    <col min="7410" max="7651" width="9" style="524"/>
    <col min="7652" max="7652" width="2.453125" style="524" customWidth="1"/>
    <col min="7653" max="7653" width="3.453125" style="524" customWidth="1"/>
    <col min="7654" max="7654" width="21.453125" style="524" customWidth="1"/>
    <col min="7655" max="7655" width="4" style="524" customWidth="1"/>
    <col min="7656" max="7656" width="5.36328125" style="524" customWidth="1"/>
    <col min="7657" max="7657" width="15.1796875" style="524" customWidth="1"/>
    <col min="7658" max="7665" width="14.1796875" style="524" customWidth="1"/>
    <col min="7666" max="7907" width="9" style="524"/>
    <col min="7908" max="7908" width="2.453125" style="524" customWidth="1"/>
    <col min="7909" max="7909" width="3.453125" style="524" customWidth="1"/>
    <col min="7910" max="7910" width="21.453125" style="524" customWidth="1"/>
    <col min="7911" max="7911" width="4" style="524" customWidth="1"/>
    <col min="7912" max="7912" width="5.36328125" style="524" customWidth="1"/>
    <col min="7913" max="7913" width="15.1796875" style="524" customWidth="1"/>
    <col min="7914" max="7921" width="14.1796875" style="524" customWidth="1"/>
    <col min="7922" max="8163" width="9" style="524"/>
    <col min="8164" max="8164" width="2.453125" style="524" customWidth="1"/>
    <col min="8165" max="8165" width="3.453125" style="524" customWidth="1"/>
    <col min="8166" max="8166" width="21.453125" style="524" customWidth="1"/>
    <col min="8167" max="8167" width="4" style="524" customWidth="1"/>
    <col min="8168" max="8168" width="5.36328125" style="524" customWidth="1"/>
    <col min="8169" max="8169" width="15.1796875" style="524" customWidth="1"/>
    <col min="8170" max="8177" width="14.1796875" style="524" customWidth="1"/>
    <col min="8178" max="8419" width="9" style="524"/>
    <col min="8420" max="8420" width="2.453125" style="524" customWidth="1"/>
    <col min="8421" max="8421" width="3.453125" style="524" customWidth="1"/>
    <col min="8422" max="8422" width="21.453125" style="524" customWidth="1"/>
    <col min="8423" max="8423" width="4" style="524" customWidth="1"/>
    <col min="8424" max="8424" width="5.36328125" style="524" customWidth="1"/>
    <col min="8425" max="8425" width="15.1796875" style="524" customWidth="1"/>
    <col min="8426" max="8433" width="14.1796875" style="524" customWidth="1"/>
    <col min="8434" max="8675" width="9" style="524"/>
    <col min="8676" max="8676" width="2.453125" style="524" customWidth="1"/>
    <col min="8677" max="8677" width="3.453125" style="524" customWidth="1"/>
    <col min="8678" max="8678" width="21.453125" style="524" customWidth="1"/>
    <col min="8679" max="8679" width="4" style="524" customWidth="1"/>
    <col min="8680" max="8680" width="5.36328125" style="524" customWidth="1"/>
    <col min="8681" max="8681" width="15.1796875" style="524" customWidth="1"/>
    <col min="8682" max="8689" width="14.1796875" style="524" customWidth="1"/>
    <col min="8690" max="8931" width="9" style="524"/>
    <col min="8932" max="8932" width="2.453125" style="524" customWidth="1"/>
    <col min="8933" max="8933" width="3.453125" style="524" customWidth="1"/>
    <col min="8934" max="8934" width="21.453125" style="524" customWidth="1"/>
    <col min="8935" max="8935" width="4" style="524" customWidth="1"/>
    <col min="8936" max="8936" width="5.36328125" style="524" customWidth="1"/>
    <col min="8937" max="8937" width="15.1796875" style="524" customWidth="1"/>
    <col min="8938" max="8945" width="14.1796875" style="524" customWidth="1"/>
    <col min="8946" max="9187" width="9" style="524"/>
    <col min="9188" max="9188" width="2.453125" style="524" customWidth="1"/>
    <col min="9189" max="9189" width="3.453125" style="524" customWidth="1"/>
    <col min="9190" max="9190" width="21.453125" style="524" customWidth="1"/>
    <col min="9191" max="9191" width="4" style="524" customWidth="1"/>
    <col min="9192" max="9192" width="5.36328125" style="524" customWidth="1"/>
    <col min="9193" max="9193" width="15.1796875" style="524" customWidth="1"/>
    <col min="9194" max="9201" width="14.1796875" style="524" customWidth="1"/>
    <col min="9202" max="9443" width="9" style="524"/>
    <col min="9444" max="9444" width="2.453125" style="524" customWidth="1"/>
    <col min="9445" max="9445" width="3.453125" style="524" customWidth="1"/>
    <col min="9446" max="9446" width="21.453125" style="524" customWidth="1"/>
    <col min="9447" max="9447" width="4" style="524" customWidth="1"/>
    <col min="9448" max="9448" width="5.36328125" style="524" customWidth="1"/>
    <col min="9449" max="9449" width="15.1796875" style="524" customWidth="1"/>
    <col min="9450" max="9457" width="14.1796875" style="524" customWidth="1"/>
    <col min="9458" max="9699" width="9" style="524"/>
    <col min="9700" max="9700" width="2.453125" style="524" customWidth="1"/>
    <col min="9701" max="9701" width="3.453125" style="524" customWidth="1"/>
    <col min="9702" max="9702" width="21.453125" style="524" customWidth="1"/>
    <col min="9703" max="9703" width="4" style="524" customWidth="1"/>
    <col min="9704" max="9704" width="5.36328125" style="524" customWidth="1"/>
    <col min="9705" max="9705" width="15.1796875" style="524" customWidth="1"/>
    <col min="9706" max="9713" width="14.1796875" style="524" customWidth="1"/>
    <col min="9714" max="9955" width="9" style="524"/>
    <col min="9956" max="9956" width="2.453125" style="524" customWidth="1"/>
    <col min="9957" max="9957" width="3.453125" style="524" customWidth="1"/>
    <col min="9958" max="9958" width="21.453125" style="524" customWidth="1"/>
    <col min="9959" max="9959" width="4" style="524" customWidth="1"/>
    <col min="9960" max="9960" width="5.36328125" style="524" customWidth="1"/>
    <col min="9961" max="9961" width="15.1796875" style="524" customWidth="1"/>
    <col min="9962" max="9969" width="14.1796875" style="524" customWidth="1"/>
    <col min="9970" max="10211" width="9" style="524"/>
    <col min="10212" max="10212" width="2.453125" style="524" customWidth="1"/>
    <col min="10213" max="10213" width="3.453125" style="524" customWidth="1"/>
    <col min="10214" max="10214" width="21.453125" style="524" customWidth="1"/>
    <col min="10215" max="10215" width="4" style="524" customWidth="1"/>
    <col min="10216" max="10216" width="5.36328125" style="524" customWidth="1"/>
    <col min="10217" max="10217" width="15.1796875" style="524" customWidth="1"/>
    <col min="10218" max="10225" width="14.1796875" style="524" customWidth="1"/>
    <col min="10226" max="10467" width="9" style="524"/>
    <col min="10468" max="10468" width="2.453125" style="524" customWidth="1"/>
    <col min="10469" max="10469" width="3.453125" style="524" customWidth="1"/>
    <col min="10470" max="10470" width="21.453125" style="524" customWidth="1"/>
    <col min="10471" max="10471" width="4" style="524" customWidth="1"/>
    <col min="10472" max="10472" width="5.36328125" style="524" customWidth="1"/>
    <col min="10473" max="10473" width="15.1796875" style="524" customWidth="1"/>
    <col min="10474" max="10481" width="14.1796875" style="524" customWidth="1"/>
    <col min="10482" max="10723" width="9" style="524"/>
    <col min="10724" max="10724" width="2.453125" style="524" customWidth="1"/>
    <col min="10725" max="10725" width="3.453125" style="524" customWidth="1"/>
    <col min="10726" max="10726" width="21.453125" style="524" customWidth="1"/>
    <col min="10727" max="10727" width="4" style="524" customWidth="1"/>
    <col min="10728" max="10728" width="5.36328125" style="524" customWidth="1"/>
    <col min="10729" max="10729" width="15.1796875" style="524" customWidth="1"/>
    <col min="10730" max="10737" width="14.1796875" style="524" customWidth="1"/>
    <col min="10738" max="10979" width="9" style="524"/>
    <col min="10980" max="10980" width="2.453125" style="524" customWidth="1"/>
    <col min="10981" max="10981" width="3.453125" style="524" customWidth="1"/>
    <col min="10982" max="10982" width="21.453125" style="524" customWidth="1"/>
    <col min="10983" max="10983" width="4" style="524" customWidth="1"/>
    <col min="10984" max="10984" width="5.36328125" style="524" customWidth="1"/>
    <col min="10985" max="10985" width="15.1796875" style="524" customWidth="1"/>
    <col min="10986" max="10993" width="14.1796875" style="524" customWidth="1"/>
    <col min="10994" max="11235" width="9" style="524"/>
    <col min="11236" max="11236" width="2.453125" style="524" customWidth="1"/>
    <col min="11237" max="11237" width="3.453125" style="524" customWidth="1"/>
    <col min="11238" max="11238" width="21.453125" style="524" customWidth="1"/>
    <col min="11239" max="11239" width="4" style="524" customWidth="1"/>
    <col min="11240" max="11240" width="5.36328125" style="524" customWidth="1"/>
    <col min="11241" max="11241" width="15.1796875" style="524" customWidth="1"/>
    <col min="11242" max="11249" width="14.1796875" style="524" customWidth="1"/>
    <col min="11250" max="11491" width="9" style="524"/>
    <col min="11492" max="11492" width="2.453125" style="524" customWidth="1"/>
    <col min="11493" max="11493" width="3.453125" style="524" customWidth="1"/>
    <col min="11494" max="11494" width="21.453125" style="524" customWidth="1"/>
    <col min="11495" max="11495" width="4" style="524" customWidth="1"/>
    <col min="11496" max="11496" width="5.36328125" style="524" customWidth="1"/>
    <col min="11497" max="11497" width="15.1796875" style="524" customWidth="1"/>
    <col min="11498" max="11505" width="14.1796875" style="524" customWidth="1"/>
    <col min="11506" max="11747" width="9" style="524"/>
    <col min="11748" max="11748" width="2.453125" style="524" customWidth="1"/>
    <col min="11749" max="11749" width="3.453125" style="524" customWidth="1"/>
    <col min="11750" max="11750" width="21.453125" style="524" customWidth="1"/>
    <col min="11751" max="11751" width="4" style="524" customWidth="1"/>
    <col min="11752" max="11752" width="5.36328125" style="524" customWidth="1"/>
    <col min="11753" max="11753" width="15.1796875" style="524" customWidth="1"/>
    <col min="11754" max="11761" width="14.1796875" style="524" customWidth="1"/>
    <col min="11762" max="12003" width="9" style="524"/>
    <col min="12004" max="12004" width="2.453125" style="524" customWidth="1"/>
    <col min="12005" max="12005" width="3.453125" style="524" customWidth="1"/>
    <col min="12006" max="12006" width="21.453125" style="524" customWidth="1"/>
    <col min="12007" max="12007" width="4" style="524" customWidth="1"/>
    <col min="12008" max="12008" width="5.36328125" style="524" customWidth="1"/>
    <col min="12009" max="12009" width="15.1796875" style="524" customWidth="1"/>
    <col min="12010" max="12017" width="14.1796875" style="524" customWidth="1"/>
    <col min="12018" max="12259" width="9" style="524"/>
    <col min="12260" max="12260" width="2.453125" style="524" customWidth="1"/>
    <col min="12261" max="12261" width="3.453125" style="524" customWidth="1"/>
    <col min="12262" max="12262" width="21.453125" style="524" customWidth="1"/>
    <col min="12263" max="12263" width="4" style="524" customWidth="1"/>
    <col min="12264" max="12264" width="5.36328125" style="524" customWidth="1"/>
    <col min="12265" max="12265" width="15.1796875" style="524" customWidth="1"/>
    <col min="12266" max="12273" width="14.1796875" style="524" customWidth="1"/>
    <col min="12274" max="12515" width="9" style="524"/>
    <col min="12516" max="12516" width="2.453125" style="524" customWidth="1"/>
    <col min="12517" max="12517" width="3.453125" style="524" customWidth="1"/>
    <col min="12518" max="12518" width="21.453125" style="524" customWidth="1"/>
    <col min="12519" max="12519" width="4" style="524" customWidth="1"/>
    <col min="12520" max="12520" width="5.36328125" style="524" customWidth="1"/>
    <col min="12521" max="12521" width="15.1796875" style="524" customWidth="1"/>
    <col min="12522" max="12529" width="14.1796875" style="524" customWidth="1"/>
    <col min="12530" max="12771" width="9" style="524"/>
    <col min="12772" max="12772" width="2.453125" style="524" customWidth="1"/>
    <col min="12773" max="12773" width="3.453125" style="524" customWidth="1"/>
    <col min="12774" max="12774" width="21.453125" style="524" customWidth="1"/>
    <col min="12775" max="12775" width="4" style="524" customWidth="1"/>
    <col min="12776" max="12776" width="5.36328125" style="524" customWidth="1"/>
    <col min="12777" max="12777" width="15.1796875" style="524" customWidth="1"/>
    <col min="12778" max="12785" width="14.1796875" style="524" customWidth="1"/>
    <col min="12786" max="13027" width="9" style="524"/>
    <col min="13028" max="13028" width="2.453125" style="524" customWidth="1"/>
    <col min="13029" max="13029" width="3.453125" style="524" customWidth="1"/>
    <col min="13030" max="13030" width="21.453125" style="524" customWidth="1"/>
    <col min="13031" max="13031" width="4" style="524" customWidth="1"/>
    <col min="13032" max="13032" width="5.36328125" style="524" customWidth="1"/>
    <col min="13033" max="13033" width="15.1796875" style="524" customWidth="1"/>
    <col min="13034" max="13041" width="14.1796875" style="524" customWidth="1"/>
    <col min="13042" max="13283" width="9" style="524"/>
    <col min="13284" max="13284" width="2.453125" style="524" customWidth="1"/>
    <col min="13285" max="13285" width="3.453125" style="524" customWidth="1"/>
    <col min="13286" max="13286" width="21.453125" style="524" customWidth="1"/>
    <col min="13287" max="13287" width="4" style="524" customWidth="1"/>
    <col min="13288" max="13288" width="5.36328125" style="524" customWidth="1"/>
    <col min="13289" max="13289" width="15.1796875" style="524" customWidth="1"/>
    <col min="13290" max="13297" width="14.1796875" style="524" customWidth="1"/>
    <col min="13298" max="13539" width="9" style="524"/>
    <col min="13540" max="13540" width="2.453125" style="524" customWidth="1"/>
    <col min="13541" max="13541" width="3.453125" style="524" customWidth="1"/>
    <col min="13542" max="13542" width="21.453125" style="524" customWidth="1"/>
    <col min="13543" max="13543" width="4" style="524" customWidth="1"/>
    <col min="13544" max="13544" width="5.36328125" style="524" customWidth="1"/>
    <col min="13545" max="13545" width="15.1796875" style="524" customWidth="1"/>
    <col min="13546" max="13553" width="14.1796875" style="524" customWidth="1"/>
    <col min="13554" max="13795" width="9" style="524"/>
    <col min="13796" max="13796" width="2.453125" style="524" customWidth="1"/>
    <col min="13797" max="13797" width="3.453125" style="524" customWidth="1"/>
    <col min="13798" max="13798" width="21.453125" style="524" customWidth="1"/>
    <col min="13799" max="13799" width="4" style="524" customWidth="1"/>
    <col min="13800" max="13800" width="5.36328125" style="524" customWidth="1"/>
    <col min="13801" max="13801" width="15.1796875" style="524" customWidth="1"/>
    <col min="13802" max="13809" width="14.1796875" style="524" customWidth="1"/>
    <col min="13810" max="14051" width="9" style="524"/>
    <col min="14052" max="14052" width="2.453125" style="524" customWidth="1"/>
    <col min="14053" max="14053" width="3.453125" style="524" customWidth="1"/>
    <col min="14054" max="14054" width="21.453125" style="524" customWidth="1"/>
    <col min="14055" max="14055" width="4" style="524" customWidth="1"/>
    <col min="14056" max="14056" width="5.36328125" style="524" customWidth="1"/>
    <col min="14057" max="14057" width="15.1796875" style="524" customWidth="1"/>
    <col min="14058" max="14065" width="14.1796875" style="524" customWidth="1"/>
    <col min="14066" max="14307" width="9" style="524"/>
    <col min="14308" max="14308" width="2.453125" style="524" customWidth="1"/>
    <col min="14309" max="14309" width="3.453125" style="524" customWidth="1"/>
    <col min="14310" max="14310" width="21.453125" style="524" customWidth="1"/>
    <col min="14311" max="14311" width="4" style="524" customWidth="1"/>
    <col min="14312" max="14312" width="5.36328125" style="524" customWidth="1"/>
    <col min="14313" max="14313" width="15.1796875" style="524" customWidth="1"/>
    <col min="14314" max="14321" width="14.1796875" style="524" customWidth="1"/>
    <col min="14322" max="14563" width="9" style="524"/>
    <col min="14564" max="14564" width="2.453125" style="524" customWidth="1"/>
    <col min="14565" max="14565" width="3.453125" style="524" customWidth="1"/>
    <col min="14566" max="14566" width="21.453125" style="524" customWidth="1"/>
    <col min="14567" max="14567" width="4" style="524" customWidth="1"/>
    <col min="14568" max="14568" width="5.36328125" style="524" customWidth="1"/>
    <col min="14569" max="14569" width="15.1796875" style="524" customWidth="1"/>
    <col min="14570" max="14577" width="14.1796875" style="524" customWidth="1"/>
    <col min="14578" max="14819" width="9" style="524"/>
    <col min="14820" max="14820" width="2.453125" style="524" customWidth="1"/>
    <col min="14821" max="14821" width="3.453125" style="524" customWidth="1"/>
    <col min="14822" max="14822" width="21.453125" style="524" customWidth="1"/>
    <col min="14823" max="14823" width="4" style="524" customWidth="1"/>
    <col min="14824" max="14824" width="5.36328125" style="524" customWidth="1"/>
    <col min="14825" max="14825" width="15.1796875" style="524" customWidth="1"/>
    <col min="14826" max="14833" width="14.1796875" style="524" customWidth="1"/>
    <col min="14834" max="15075" width="9" style="524"/>
    <col min="15076" max="15076" width="2.453125" style="524" customWidth="1"/>
    <col min="15077" max="15077" width="3.453125" style="524" customWidth="1"/>
    <col min="15078" max="15078" width="21.453125" style="524" customWidth="1"/>
    <col min="15079" max="15079" width="4" style="524" customWidth="1"/>
    <col min="15080" max="15080" width="5.36328125" style="524" customWidth="1"/>
    <col min="15081" max="15081" width="15.1796875" style="524" customWidth="1"/>
    <col min="15082" max="15089" width="14.1796875" style="524" customWidth="1"/>
    <col min="15090" max="15331" width="9" style="524"/>
    <col min="15332" max="15332" width="2.453125" style="524" customWidth="1"/>
    <col min="15333" max="15333" width="3.453125" style="524" customWidth="1"/>
    <col min="15334" max="15334" width="21.453125" style="524" customWidth="1"/>
    <col min="15335" max="15335" width="4" style="524" customWidth="1"/>
    <col min="15336" max="15336" width="5.36328125" style="524" customWidth="1"/>
    <col min="15337" max="15337" width="15.1796875" style="524" customWidth="1"/>
    <col min="15338" max="15345" width="14.1796875" style="524" customWidth="1"/>
    <col min="15346" max="15587" width="9" style="524"/>
    <col min="15588" max="15588" width="2.453125" style="524" customWidth="1"/>
    <col min="15589" max="15589" width="3.453125" style="524" customWidth="1"/>
    <col min="15590" max="15590" width="21.453125" style="524" customWidth="1"/>
    <col min="15591" max="15591" width="4" style="524" customWidth="1"/>
    <col min="15592" max="15592" width="5.36328125" style="524" customWidth="1"/>
    <col min="15593" max="15593" width="15.1796875" style="524" customWidth="1"/>
    <col min="15594" max="15601" width="14.1796875" style="524" customWidth="1"/>
    <col min="15602" max="15843" width="9" style="524"/>
    <col min="15844" max="15844" width="2.453125" style="524" customWidth="1"/>
    <col min="15845" max="15845" width="3.453125" style="524" customWidth="1"/>
    <col min="15846" max="15846" width="21.453125" style="524" customWidth="1"/>
    <col min="15847" max="15847" width="4" style="524" customWidth="1"/>
    <col min="15848" max="15848" width="5.36328125" style="524" customWidth="1"/>
    <col min="15849" max="15849" width="15.1796875" style="524" customWidth="1"/>
    <col min="15850" max="15857" width="14.1796875" style="524" customWidth="1"/>
    <col min="15858" max="16099" width="9" style="524"/>
    <col min="16100" max="16100" width="2.453125" style="524" customWidth="1"/>
    <col min="16101" max="16101" width="3.453125" style="524" customWidth="1"/>
    <col min="16102" max="16102" width="21.453125" style="524" customWidth="1"/>
    <col min="16103" max="16103" width="4" style="524" customWidth="1"/>
    <col min="16104" max="16104" width="5.36328125" style="524" customWidth="1"/>
    <col min="16105" max="16105" width="15.1796875" style="524" customWidth="1"/>
    <col min="16106" max="16113" width="14.1796875" style="524" customWidth="1"/>
    <col min="16114" max="16384" width="9" style="524"/>
  </cols>
  <sheetData>
    <row r="1" spans="1:9" ht="13.5" customHeight="1">
      <c r="A1" s="521"/>
      <c r="B1" s="521"/>
      <c r="C1" s="522"/>
      <c r="D1" s="522"/>
      <c r="E1" s="522"/>
      <c r="F1" s="523" t="s">
        <v>372</v>
      </c>
      <c r="G1" s="508" t="str">
        <f>表紙!D12</f>
        <v>1･3号線各駅可動式ホーム柵設置に伴う建築工事設計業務委託</v>
      </c>
      <c r="H1" s="503"/>
    </row>
    <row r="2" spans="1:9" ht="13.5" customHeight="1">
      <c r="A2" s="508"/>
      <c r="B2" s="521"/>
      <c r="C2" s="508" t="s">
        <v>3718</v>
      </c>
      <c r="D2" s="503"/>
      <c r="E2" s="503"/>
      <c r="F2" s="522"/>
      <c r="G2" s="522"/>
      <c r="H2" s="654"/>
    </row>
    <row r="3" spans="1:9" ht="13.5" customHeight="1">
      <c r="A3" s="508"/>
      <c r="B3" s="521"/>
      <c r="C3" s="508"/>
      <c r="D3" s="503"/>
      <c r="E3" s="503"/>
      <c r="F3" s="522"/>
      <c r="G3" s="522"/>
      <c r="H3" s="654"/>
    </row>
    <row r="4" spans="1:9" ht="13.5" customHeight="1">
      <c r="A4" s="611"/>
      <c r="B4" s="612"/>
      <c r="C4" s="639"/>
      <c r="D4" s="608"/>
      <c r="E4" s="609"/>
      <c r="F4" s="610"/>
      <c r="G4" s="553" t="s">
        <v>3762</v>
      </c>
      <c r="H4" s="690" t="s">
        <v>4091</v>
      </c>
    </row>
    <row r="5" spans="1:9" s="526" customFormat="1" ht="13.5" customHeight="1">
      <c r="A5" s="527"/>
      <c r="B5" s="528"/>
      <c r="C5" s="640"/>
      <c r="D5" s="637" t="s">
        <v>334</v>
      </c>
      <c r="E5" s="516"/>
      <c r="F5" s="578"/>
      <c r="G5" s="579">
        <f t="shared" ref="G5:G19" si="0">SUM(H5:I5)</f>
        <v>0</v>
      </c>
      <c r="H5" s="655"/>
      <c r="I5" s="680"/>
    </row>
    <row r="6" spans="1:9" s="526" customFormat="1" ht="13.5" customHeight="1">
      <c r="A6" s="527"/>
      <c r="B6" s="528"/>
      <c r="C6" s="636"/>
      <c r="D6" s="517"/>
      <c r="E6" s="515"/>
      <c r="F6" s="633" t="s">
        <v>3831</v>
      </c>
      <c r="G6" s="577">
        <f t="shared" ca="1" si="0"/>
        <v>0</v>
      </c>
      <c r="H6" s="666" t="str">
        <f ca="1">IF(H$3&gt;0,INDIRECT("'"&amp;H$3&amp;"'!＄i$7"),"")</f>
        <v/>
      </c>
      <c r="I6" s="561"/>
    </row>
    <row r="7" spans="1:9" s="526" customFormat="1" ht="13.5" customHeight="1">
      <c r="A7" s="527"/>
      <c r="B7" s="528"/>
      <c r="C7" s="636"/>
      <c r="D7" s="719"/>
      <c r="E7" s="720"/>
      <c r="F7" s="721" t="s">
        <v>3832</v>
      </c>
      <c r="G7" s="722" t="e">
        <f t="shared" ca="1" si="0"/>
        <v>#REF!</v>
      </c>
      <c r="H7" s="723" t="e">
        <f ca="1">IF(COUNTIF(INDIRECT("'"&amp;H$3&amp;"'!＄ｄ:$ｄ"),"部分撤去工事")=0,"0",VLOOKUP("部分撤去工事",INDIRECT("'"&amp;H$3&amp;"'!＄D:$L"),6,FALSE))</f>
        <v>#REF!</v>
      </c>
      <c r="I7" s="561"/>
    </row>
    <row r="8" spans="1:9" s="526" customFormat="1" ht="13.5" customHeight="1">
      <c r="A8" s="527"/>
      <c r="B8" s="528"/>
      <c r="C8" s="636"/>
      <c r="D8" s="519"/>
      <c r="E8" s="507"/>
      <c r="F8" s="724" t="s">
        <v>3833</v>
      </c>
      <c r="G8" s="725" t="e">
        <f t="shared" ca="1" si="0"/>
        <v>#VALUE!</v>
      </c>
      <c r="H8" s="726" t="e">
        <f ca="1">H5-H6-H7</f>
        <v>#VALUE!</v>
      </c>
      <c r="I8" s="680"/>
    </row>
    <row r="9" spans="1:9" s="526" customFormat="1" ht="13.5" customHeight="1">
      <c r="A9" s="527"/>
      <c r="B9" s="528"/>
      <c r="C9" s="636"/>
      <c r="D9" s="727"/>
      <c r="E9" s="1033" t="s">
        <v>3834</v>
      </c>
      <c r="F9" s="728" t="s">
        <v>334</v>
      </c>
      <c r="G9" s="722" t="e">
        <f t="shared" ca="1" si="0"/>
        <v>#REF!</v>
      </c>
      <c r="H9" s="723" t="e">
        <f ca="1">H5-H12</f>
        <v>#REF!</v>
      </c>
      <c r="I9" s="680"/>
    </row>
    <row r="10" spans="1:9" s="526" customFormat="1" ht="13.5" customHeight="1">
      <c r="A10" s="527"/>
      <c r="B10" s="528"/>
      <c r="C10" s="636"/>
      <c r="D10" s="729"/>
      <c r="E10" s="1034"/>
      <c r="F10" s="730" t="s">
        <v>3835</v>
      </c>
      <c r="G10" s="722" t="e">
        <f t="shared" ca="1" si="0"/>
        <v>#REF!</v>
      </c>
      <c r="H10" s="723" t="e">
        <f ca="1">H7-H13</f>
        <v>#REF!</v>
      </c>
      <c r="I10" s="680"/>
    </row>
    <row r="11" spans="1:9" s="526" customFormat="1" ht="13.5" customHeight="1">
      <c r="A11" s="527"/>
      <c r="B11" s="528"/>
      <c r="C11" s="636"/>
      <c r="D11" s="729"/>
      <c r="E11" s="1035"/>
      <c r="F11" s="731" t="s">
        <v>3833</v>
      </c>
      <c r="G11" s="722" t="e">
        <f t="shared" ca="1" si="0"/>
        <v>#VALUE!</v>
      </c>
      <c r="H11" s="723" t="e">
        <f ca="1">H8-H14</f>
        <v>#VALUE!</v>
      </c>
      <c r="I11" s="680"/>
    </row>
    <row r="12" spans="1:9" s="526" customFormat="1" ht="13.5" customHeight="1">
      <c r="A12" s="527"/>
      <c r="B12" s="528"/>
      <c r="C12" s="636"/>
      <c r="D12" s="732"/>
      <c r="E12" s="1033" t="s">
        <v>370</v>
      </c>
      <c r="F12" s="728" t="s">
        <v>334</v>
      </c>
      <c r="G12" s="733" t="e">
        <f t="shared" ca="1" si="0"/>
        <v>#REF!</v>
      </c>
      <c r="H12" s="662" t="e">
        <f ca="1">IF(H4="費用",H5,SUMIF(INDIRECT(H$3&amp;"!$ｊ:$ｊ"),"うち費用",INDIRECT(H$3&amp;"!$ｋ:$ｋ")))</f>
        <v>#REF!</v>
      </c>
      <c r="I12" s="680"/>
    </row>
    <row r="13" spans="1:9" s="526" customFormat="1" ht="13.5" customHeight="1">
      <c r="A13" s="527"/>
      <c r="B13" s="528"/>
      <c r="C13" s="636"/>
      <c r="D13" s="729"/>
      <c r="E13" s="1034"/>
      <c r="F13" s="730" t="s">
        <v>3835</v>
      </c>
      <c r="G13" s="734" t="e">
        <f t="shared" ca="1" si="0"/>
        <v>#REF!</v>
      </c>
      <c r="H13" s="735" t="e">
        <f ca="1">IF(H4="費用",H7,SUMIF(INDIRECT(H$3&amp;"!$ｊ:$ｊ"),"）うち費用",INDIRECT(H$3&amp;"!$ｋ:$ｋ")))</f>
        <v>#REF!</v>
      </c>
      <c r="I13" s="680"/>
    </row>
    <row r="14" spans="1:9" s="526" customFormat="1" ht="13.5" customHeight="1">
      <c r="A14" s="527"/>
      <c r="B14" s="528"/>
      <c r="C14" s="636"/>
      <c r="D14" s="736"/>
      <c r="E14" s="1035"/>
      <c r="F14" s="737" t="s">
        <v>3833</v>
      </c>
      <c r="G14" s="738" t="e">
        <f t="shared" ca="1" si="0"/>
        <v>#REF!</v>
      </c>
      <c r="H14" s="726" t="e">
        <f ca="1">IF(H4="費用",H12-H13-H6,H12-H13)</f>
        <v>#REF!</v>
      </c>
      <c r="I14" s="680"/>
    </row>
    <row r="15" spans="1:9" s="526" customFormat="1" ht="13.5" customHeight="1">
      <c r="A15" s="527"/>
      <c r="B15" s="528"/>
      <c r="C15" s="641"/>
      <c r="D15" s="637" t="s">
        <v>335</v>
      </c>
      <c r="E15" s="516"/>
      <c r="F15" s="578"/>
      <c r="G15" s="579" t="e">
        <f t="shared" ca="1" si="0"/>
        <v>#REF!</v>
      </c>
      <c r="H15" s="656" t="e">
        <f ca="1">SUM(H16:H18)</f>
        <v>#REF!</v>
      </c>
      <c r="I15" s="680"/>
    </row>
    <row r="16" spans="1:9" s="526" customFormat="1" ht="13.5" customHeight="1">
      <c r="A16" s="527"/>
      <c r="B16" s="528"/>
      <c r="C16" s="636"/>
      <c r="D16" s="517"/>
      <c r="E16" s="515"/>
      <c r="F16" s="633" t="s">
        <v>3798</v>
      </c>
      <c r="G16" s="577" t="e">
        <f t="shared" ca="1" si="0"/>
        <v>#REF!</v>
      </c>
      <c r="H16" s="666" t="e">
        <f ca="1">SUMIF(INDIRECT(H$3&amp;"!$ｄ:$ｄ"),"共通仮設費",INDIRECT(H$3&amp;"!$I:$ｉ"))</f>
        <v>#REF!</v>
      </c>
      <c r="I16" s="680"/>
    </row>
    <row r="17" spans="1:17" ht="13.5" customHeight="1">
      <c r="A17" s="527"/>
      <c r="B17" s="528"/>
      <c r="C17" s="636"/>
      <c r="D17" s="518"/>
      <c r="E17" s="506"/>
      <c r="F17" s="635" t="s">
        <v>3799</v>
      </c>
      <c r="G17" s="529">
        <f t="shared" si="0"/>
        <v>0</v>
      </c>
      <c r="H17" s="657"/>
    </row>
    <row r="18" spans="1:17" ht="13.5" customHeight="1">
      <c r="A18" s="527"/>
      <c r="B18" s="528"/>
      <c r="C18" s="636"/>
      <c r="D18" s="519"/>
      <c r="E18" s="507"/>
      <c r="F18" s="634" t="s">
        <v>3797</v>
      </c>
      <c r="G18" s="530">
        <f t="shared" si="0"/>
        <v>0</v>
      </c>
      <c r="H18" s="658"/>
      <c r="Q18" s="533"/>
    </row>
    <row r="19" spans="1:17" s="533" customFormat="1" ht="13.5" customHeight="1">
      <c r="A19" s="531"/>
      <c r="B19" s="504"/>
      <c r="C19" s="520"/>
      <c r="D19" s="638" t="s">
        <v>373</v>
      </c>
      <c r="E19" s="514"/>
      <c r="F19" s="532"/>
      <c r="G19" s="580" t="e">
        <f t="shared" ca="1" si="0"/>
        <v>#REF!</v>
      </c>
      <c r="H19" s="659" t="e">
        <f ca="1">+H15+H5</f>
        <v>#REF!</v>
      </c>
      <c r="I19" s="681"/>
    </row>
    <row r="20" spans="1:17" s="533" customFormat="1" ht="13.5" customHeight="1">
      <c r="A20" s="513"/>
      <c r="B20" s="513"/>
      <c r="C20" s="534"/>
      <c r="D20" s="513"/>
      <c r="E20" s="513"/>
      <c r="F20" s="535"/>
      <c r="G20" s="536" t="e">
        <f ca="1">IF(G$19=G324,"","工事価格が一致ません。↑")</f>
        <v>#REF!</v>
      </c>
      <c r="H20" s="660" t="e">
        <f ca="1">IF(H$19=H324,"","↑error")</f>
        <v>#REF!</v>
      </c>
      <c r="I20" s="681"/>
    </row>
    <row r="21" spans="1:17" s="533" customFormat="1" ht="13.5" customHeight="1">
      <c r="A21" s="537" t="s">
        <v>3800</v>
      </c>
      <c r="B21" s="505"/>
      <c r="C21" s="538"/>
      <c r="D21" s="505"/>
      <c r="E21" s="1031" t="s">
        <v>3704</v>
      </c>
      <c r="F21" s="539"/>
      <c r="G21" s="583" t="s">
        <v>3727</v>
      </c>
      <c r="H21" s="661" t="s">
        <v>3818</v>
      </c>
      <c r="I21" s="681"/>
    </row>
    <row r="22" spans="1:17" s="533" customFormat="1" ht="13.5" customHeight="1">
      <c r="A22" s="512"/>
      <c r="B22" s="1028" t="s">
        <v>4089</v>
      </c>
      <c r="C22" s="1029"/>
      <c r="D22" s="1030"/>
      <c r="E22" s="1032"/>
      <c r="F22" s="540"/>
      <c r="G22" s="584" t="s">
        <v>3726</v>
      </c>
      <c r="H22" s="691" t="s">
        <v>4090</v>
      </c>
      <c r="I22" s="681"/>
    </row>
    <row r="23" spans="1:17" ht="13.5" customHeight="1">
      <c r="A23" s="527"/>
      <c r="B23" s="541"/>
      <c r="C23" s="629" t="s">
        <v>3836</v>
      </c>
      <c r="D23" s="542" t="s">
        <v>3703</v>
      </c>
      <c r="E23" s="596">
        <v>38</v>
      </c>
      <c r="F23" s="543" t="s">
        <v>3837</v>
      </c>
      <c r="G23" s="544" t="e">
        <f t="shared" ref="G23:G49" ca="1" si="1">SUM(H23:I23)</f>
        <v>#VALUE!</v>
      </c>
      <c r="H23" s="662" t="e">
        <f ca="1">IF(H$4="費用",0,H11-SUM(H24:H48)-H87-H69)</f>
        <v>#VALUE!</v>
      </c>
    </row>
    <row r="24" spans="1:17" ht="13.5" customHeight="1">
      <c r="A24" s="527"/>
      <c r="B24" s="528"/>
      <c r="C24" s="628" t="s">
        <v>3838</v>
      </c>
      <c r="D24" s="546" t="s">
        <v>3703</v>
      </c>
      <c r="E24" s="597">
        <v>34</v>
      </c>
      <c r="F24" s="547" t="s">
        <v>3839</v>
      </c>
      <c r="G24" s="548">
        <f t="shared" si="1"/>
        <v>0</v>
      </c>
      <c r="H24" s="689"/>
    </row>
    <row r="25" spans="1:17" ht="13.5" customHeight="1">
      <c r="A25" s="527"/>
      <c r="B25" s="528"/>
      <c r="C25" s="629" t="s">
        <v>3840</v>
      </c>
      <c r="D25" s="546" t="s">
        <v>3703</v>
      </c>
      <c r="E25" s="597">
        <v>31</v>
      </c>
      <c r="F25" s="547" t="s">
        <v>3841</v>
      </c>
      <c r="G25" s="548">
        <f t="shared" si="1"/>
        <v>0</v>
      </c>
      <c r="H25" s="689"/>
    </row>
    <row r="26" spans="1:17" ht="13.5" customHeight="1">
      <c r="A26" s="527"/>
      <c r="B26" s="528"/>
      <c r="C26" s="628" t="s">
        <v>3842</v>
      </c>
      <c r="D26" s="546" t="s">
        <v>3703</v>
      </c>
      <c r="E26" s="597">
        <v>25</v>
      </c>
      <c r="F26" s="547" t="s">
        <v>3843</v>
      </c>
      <c r="G26" s="548">
        <f t="shared" si="1"/>
        <v>0</v>
      </c>
      <c r="H26" s="689"/>
    </row>
    <row r="27" spans="1:17" ht="13.5" customHeight="1">
      <c r="A27" s="527"/>
      <c r="B27" s="528"/>
      <c r="C27" s="629" t="s">
        <v>3844</v>
      </c>
      <c r="D27" s="546" t="s">
        <v>3703</v>
      </c>
      <c r="E27" s="597">
        <v>19</v>
      </c>
      <c r="F27" s="547" t="s">
        <v>3845</v>
      </c>
      <c r="G27" s="548">
        <f t="shared" si="1"/>
        <v>0</v>
      </c>
      <c r="H27" s="689"/>
    </row>
    <row r="28" spans="1:17" ht="13.5" customHeight="1">
      <c r="A28" s="527"/>
      <c r="B28" s="528"/>
      <c r="C28" s="628" t="s">
        <v>3846</v>
      </c>
      <c r="D28" s="546" t="s">
        <v>3703</v>
      </c>
      <c r="E28" s="597">
        <v>17</v>
      </c>
      <c r="F28" s="547" t="s">
        <v>3847</v>
      </c>
      <c r="G28" s="548">
        <f t="shared" si="1"/>
        <v>0</v>
      </c>
      <c r="H28" s="689"/>
    </row>
    <row r="29" spans="1:17" ht="13.5" customHeight="1">
      <c r="A29" s="527"/>
      <c r="B29" s="528"/>
      <c r="C29" s="629" t="s">
        <v>3848</v>
      </c>
      <c r="D29" s="546" t="s">
        <v>3703</v>
      </c>
      <c r="E29" s="597">
        <v>15</v>
      </c>
      <c r="F29" s="547" t="s">
        <v>3849</v>
      </c>
      <c r="G29" s="548">
        <f t="shared" si="1"/>
        <v>0</v>
      </c>
      <c r="H29" s="689"/>
    </row>
    <row r="30" spans="1:17" ht="13.5" customHeight="1">
      <c r="A30" s="527"/>
      <c r="B30" s="528"/>
      <c r="C30" s="628" t="s">
        <v>3850</v>
      </c>
      <c r="D30" s="546" t="s">
        <v>3703</v>
      </c>
      <c r="E30" s="597">
        <v>10</v>
      </c>
      <c r="F30" s="547" t="s">
        <v>3851</v>
      </c>
      <c r="G30" s="548">
        <f t="shared" si="1"/>
        <v>0</v>
      </c>
      <c r="H30" s="689"/>
    </row>
    <row r="31" spans="1:17" ht="13.5" customHeight="1">
      <c r="A31" s="527"/>
      <c r="B31" s="528"/>
      <c r="C31" s="629" t="s">
        <v>3852</v>
      </c>
      <c r="D31" s="546" t="s">
        <v>3703</v>
      </c>
      <c r="E31" s="597">
        <v>7</v>
      </c>
      <c r="F31" s="547" t="s">
        <v>3853</v>
      </c>
      <c r="G31" s="548">
        <f t="shared" si="1"/>
        <v>0</v>
      </c>
      <c r="H31" s="689"/>
    </row>
    <row r="32" spans="1:17" s="561" customFormat="1" ht="13.5" customHeight="1">
      <c r="A32" s="527"/>
      <c r="B32" s="528"/>
      <c r="C32" s="628" t="s">
        <v>3854</v>
      </c>
      <c r="D32" s="550" t="s">
        <v>371</v>
      </c>
      <c r="E32" s="597">
        <v>6</v>
      </c>
      <c r="F32" s="591" t="s">
        <v>3855</v>
      </c>
      <c r="G32" s="558">
        <f t="shared" si="1"/>
        <v>0</v>
      </c>
      <c r="H32" s="663"/>
    </row>
    <row r="33" spans="1:9" s="561" customFormat="1" ht="13.5" customHeight="1">
      <c r="A33" s="527"/>
      <c r="B33" s="528"/>
      <c r="C33" s="629" t="s">
        <v>3856</v>
      </c>
      <c r="D33" s="550" t="s">
        <v>371</v>
      </c>
      <c r="E33" s="597">
        <v>15</v>
      </c>
      <c r="F33" s="591" t="s">
        <v>3857</v>
      </c>
      <c r="G33" s="558">
        <f t="shared" si="1"/>
        <v>0</v>
      </c>
      <c r="H33" s="663"/>
    </row>
    <row r="34" spans="1:9" s="561" customFormat="1" ht="13.5" customHeight="1">
      <c r="A34" s="527"/>
      <c r="B34" s="528"/>
      <c r="C34" s="628" t="s">
        <v>3858</v>
      </c>
      <c r="D34" s="550" t="s">
        <v>371</v>
      </c>
      <c r="E34" s="597">
        <v>15</v>
      </c>
      <c r="F34" s="591" t="s">
        <v>3859</v>
      </c>
      <c r="G34" s="558">
        <f t="shared" si="1"/>
        <v>0</v>
      </c>
      <c r="H34" s="663"/>
    </row>
    <row r="35" spans="1:9" s="561" customFormat="1" ht="13.5" customHeight="1">
      <c r="A35" s="527"/>
      <c r="B35" s="528"/>
      <c r="C35" s="629" t="s">
        <v>3860</v>
      </c>
      <c r="D35" s="550" t="s">
        <v>371</v>
      </c>
      <c r="E35" s="597">
        <v>13</v>
      </c>
      <c r="F35" s="591" t="s">
        <v>3861</v>
      </c>
      <c r="G35" s="558">
        <f t="shared" si="1"/>
        <v>0</v>
      </c>
      <c r="H35" s="663"/>
    </row>
    <row r="36" spans="1:9" s="561" customFormat="1" ht="13.5" customHeight="1">
      <c r="A36" s="527"/>
      <c r="B36" s="528"/>
      <c r="C36" s="628" t="s">
        <v>3862</v>
      </c>
      <c r="D36" s="550" t="s">
        <v>371</v>
      </c>
      <c r="E36" s="597">
        <v>15</v>
      </c>
      <c r="F36" s="591" t="s">
        <v>3863</v>
      </c>
      <c r="G36" s="558">
        <f t="shared" si="1"/>
        <v>0</v>
      </c>
      <c r="H36" s="663"/>
    </row>
    <row r="37" spans="1:9" s="561" customFormat="1" ht="13.5" customHeight="1">
      <c r="A37" s="527"/>
      <c r="B37" s="528"/>
      <c r="C37" s="629" t="s">
        <v>3864</v>
      </c>
      <c r="D37" s="550" t="s">
        <v>371</v>
      </c>
      <c r="E37" s="597">
        <v>17</v>
      </c>
      <c r="F37" s="591" t="s">
        <v>3865</v>
      </c>
      <c r="G37" s="558">
        <f t="shared" si="1"/>
        <v>0</v>
      </c>
      <c r="H37" s="663"/>
    </row>
    <row r="38" spans="1:9" s="561" customFormat="1" ht="13.5" customHeight="1">
      <c r="A38" s="527"/>
      <c r="B38" s="528"/>
      <c r="C38" s="628" t="s">
        <v>3866</v>
      </c>
      <c r="D38" s="550" t="s">
        <v>371</v>
      </c>
      <c r="E38" s="597">
        <v>15</v>
      </c>
      <c r="F38" s="591" t="s">
        <v>3867</v>
      </c>
      <c r="G38" s="558">
        <f t="shared" si="1"/>
        <v>0</v>
      </c>
      <c r="H38" s="663"/>
    </row>
    <row r="39" spans="1:9" ht="13.5" customHeight="1">
      <c r="A39" s="527"/>
      <c r="B39" s="528"/>
      <c r="C39" s="629" t="s">
        <v>3868</v>
      </c>
      <c r="D39" s="546"/>
      <c r="E39" s="597">
        <v>8</v>
      </c>
      <c r="F39" s="547" t="s">
        <v>3869</v>
      </c>
      <c r="G39" s="548">
        <f t="shared" si="1"/>
        <v>0</v>
      </c>
      <c r="H39" s="689"/>
    </row>
    <row r="40" spans="1:9" ht="13.5" customHeight="1">
      <c r="A40" s="527"/>
      <c r="B40" s="528"/>
      <c r="C40" s="628" t="s">
        <v>3870</v>
      </c>
      <c r="D40" s="546" t="s">
        <v>3821</v>
      </c>
      <c r="E40" s="597">
        <v>12</v>
      </c>
      <c r="F40" s="547" t="s">
        <v>3871</v>
      </c>
      <c r="G40" s="548">
        <f t="shared" si="1"/>
        <v>0</v>
      </c>
      <c r="H40" s="689"/>
    </row>
    <row r="41" spans="1:9" ht="13.5" customHeight="1">
      <c r="A41" s="527"/>
      <c r="B41" s="528"/>
      <c r="C41" s="629" t="s">
        <v>3872</v>
      </c>
      <c r="D41" s="546" t="s">
        <v>3821</v>
      </c>
      <c r="E41" s="597">
        <v>15</v>
      </c>
      <c r="F41" s="547" t="s">
        <v>3873</v>
      </c>
      <c r="G41" s="548">
        <f t="shared" si="1"/>
        <v>0</v>
      </c>
      <c r="H41" s="689"/>
    </row>
    <row r="42" spans="1:9" ht="13.5" customHeight="1">
      <c r="A42" s="527"/>
      <c r="B42" s="528"/>
      <c r="C42" s="628" t="s">
        <v>3874</v>
      </c>
      <c r="D42" s="546" t="s">
        <v>3821</v>
      </c>
      <c r="E42" s="597">
        <v>8</v>
      </c>
      <c r="F42" s="547" t="s">
        <v>3701</v>
      </c>
      <c r="G42" s="548">
        <f t="shared" si="1"/>
        <v>0</v>
      </c>
      <c r="H42" s="689"/>
    </row>
    <row r="43" spans="1:9" ht="13.5" customHeight="1">
      <c r="A43" s="527"/>
      <c r="B43" s="528"/>
      <c r="C43" s="629" t="s">
        <v>3875</v>
      </c>
      <c r="D43" s="546" t="s">
        <v>3821</v>
      </c>
      <c r="E43" s="597">
        <v>3</v>
      </c>
      <c r="F43" s="547" t="s">
        <v>3702</v>
      </c>
      <c r="G43" s="548" t="e">
        <f t="shared" ca="1" si="1"/>
        <v>#REF!</v>
      </c>
      <c r="H43" s="663" t="e">
        <f ca="1">SUMIF(INDIRECT(H$3&amp;"!$ｎ:$ｎ"),"店舗用簡易設備",INDIRECT(H$3&amp;"!$i:$i"))</f>
        <v>#REF!</v>
      </c>
    </row>
    <row r="44" spans="1:9" ht="13.5" customHeight="1">
      <c r="A44" s="527"/>
      <c r="B44" s="528"/>
      <c r="C44" s="628" t="s">
        <v>3876</v>
      </c>
      <c r="D44" s="546" t="s">
        <v>3821</v>
      </c>
      <c r="E44" s="597">
        <v>3</v>
      </c>
      <c r="F44" s="547" t="s">
        <v>3877</v>
      </c>
      <c r="G44" s="548" t="e">
        <f t="shared" ca="1" si="1"/>
        <v>#REF!</v>
      </c>
      <c r="H44" s="663" t="e">
        <f ca="1">SUMIF(INDIRECT(H$3&amp;"!$ｎ:$ｎ"),"可動間仕切り-簡易なもの",INDIRECT(H$3&amp;"!$i:$i"))</f>
        <v>#REF!</v>
      </c>
    </row>
    <row r="45" spans="1:9" ht="13.5" customHeight="1">
      <c r="A45" s="527"/>
      <c r="B45" s="541"/>
      <c r="C45" s="629" t="s">
        <v>3878</v>
      </c>
      <c r="D45" s="546" t="s">
        <v>3821</v>
      </c>
      <c r="E45" s="597">
        <v>15</v>
      </c>
      <c r="F45" s="547" t="s">
        <v>3879</v>
      </c>
      <c r="G45" s="548" t="e">
        <f t="shared" ca="1" si="1"/>
        <v>#REF!</v>
      </c>
      <c r="H45" s="663" t="e">
        <f ca="1">SUMIF(INDIRECT(H$3&amp;"!$ｎ:$ｎ"),"可動間仕切り-その他",INDIRECT(H$3&amp;"!$i:$i"))</f>
        <v>#REF!</v>
      </c>
    </row>
    <row r="46" spans="1:9" ht="13.5" customHeight="1">
      <c r="A46" s="527"/>
      <c r="B46" s="528"/>
      <c r="C46" s="628" t="s">
        <v>3880</v>
      </c>
      <c r="D46" s="546" t="s">
        <v>3821</v>
      </c>
      <c r="E46" s="597">
        <v>18</v>
      </c>
      <c r="F46" s="547" t="s">
        <v>3881</v>
      </c>
      <c r="G46" s="548" t="e">
        <f t="shared" ca="1" si="1"/>
        <v>#REF!</v>
      </c>
      <c r="H46" s="663" t="e">
        <f ca="1">SUMIF(INDIRECT(H$3&amp;"!$ｎ:$ｎ"),"シャッター等（金属製）",INDIRECT(H$3&amp;"!$i:$i"))</f>
        <v>#REF!</v>
      </c>
    </row>
    <row r="47" spans="1:9" ht="13.5" customHeight="1">
      <c r="A47" s="527"/>
      <c r="B47" s="528"/>
      <c r="C47" s="629" t="s">
        <v>3882</v>
      </c>
      <c r="D47" s="546" t="s">
        <v>3821</v>
      </c>
      <c r="E47" s="599">
        <v>10</v>
      </c>
      <c r="F47" s="547" t="s">
        <v>3883</v>
      </c>
      <c r="G47" s="548" t="e">
        <f t="shared" ca="1" si="1"/>
        <v>#REF!</v>
      </c>
      <c r="H47" s="663" t="e">
        <f ca="1">SUMIF(INDIRECT(H$3&amp;"!$ｎ:$ｎ"),"シャッター等（その他）",INDIRECT(H$3&amp;"!$i:$i"))</f>
        <v>#REF!</v>
      </c>
    </row>
    <row r="48" spans="1:9" ht="13.5" customHeight="1">
      <c r="A48" s="527"/>
      <c r="B48" s="528"/>
      <c r="C48" s="715"/>
      <c r="D48" s="702"/>
      <c r="E48" s="716"/>
      <c r="F48" s="717"/>
      <c r="G48" s="718">
        <f t="shared" si="1"/>
        <v>0</v>
      </c>
      <c r="H48" s="689"/>
    </row>
    <row r="49" spans="1:9" ht="13.5" customHeight="1">
      <c r="A49" s="551"/>
      <c r="B49" s="552"/>
      <c r="C49" s="552"/>
      <c r="D49" s="552"/>
      <c r="E49" s="646"/>
      <c r="F49" s="617" t="s">
        <v>3724</v>
      </c>
      <c r="G49" s="554" t="e">
        <f t="shared" ca="1" si="1"/>
        <v>#VALUE!</v>
      </c>
      <c r="H49" s="664" t="e">
        <f ca="1">IF(H$4="費用",0,SUM(H23:H48))</f>
        <v>#VALUE!</v>
      </c>
    </row>
    <row r="50" spans="1:9" s="533" customFormat="1" ht="13.5" customHeight="1">
      <c r="A50" s="537" t="s">
        <v>3801</v>
      </c>
      <c r="B50" s="505"/>
      <c r="C50" s="538"/>
      <c r="D50" s="505"/>
      <c r="E50" s="1031" t="s">
        <v>3704</v>
      </c>
      <c r="F50" s="539"/>
      <c r="G50" s="583" t="s">
        <v>3727</v>
      </c>
      <c r="H50" s="661" t="s">
        <v>3819</v>
      </c>
      <c r="I50" s="681"/>
    </row>
    <row r="51" spans="1:9" s="533" customFormat="1" ht="13.5" customHeight="1">
      <c r="A51" s="512"/>
      <c r="B51" s="1028" t="s">
        <v>4089</v>
      </c>
      <c r="C51" s="1029"/>
      <c r="D51" s="1030"/>
      <c r="E51" s="1032"/>
      <c r="F51" s="540"/>
      <c r="G51" s="584" t="s">
        <v>3728</v>
      </c>
      <c r="H51" s="665" t="s">
        <v>3739</v>
      </c>
      <c r="I51" s="681"/>
    </row>
    <row r="52" spans="1:9" ht="13.5" customHeight="1">
      <c r="A52" s="527"/>
      <c r="B52" s="541"/>
      <c r="C52" s="542" t="s">
        <v>3830</v>
      </c>
      <c r="D52" s="542"/>
      <c r="E52" s="596">
        <v>32</v>
      </c>
      <c r="F52" s="543"/>
      <c r="G52" s="548">
        <f>SUM(H52:I52)</f>
        <v>0</v>
      </c>
      <c r="H52" s="663">
        <f>SUM(H53:H54)</f>
        <v>0</v>
      </c>
    </row>
    <row r="53" spans="1:9" ht="13.5" customHeight="1">
      <c r="A53" s="527"/>
      <c r="B53" s="528"/>
      <c r="C53" s="628" t="s">
        <v>3836</v>
      </c>
      <c r="D53" s="546" t="s">
        <v>3738</v>
      </c>
      <c r="E53" s="597"/>
      <c r="F53" s="547" t="s">
        <v>3826</v>
      </c>
      <c r="G53" s="548"/>
      <c r="H53" s="689"/>
    </row>
    <row r="54" spans="1:9" ht="13.5" customHeight="1">
      <c r="A54" s="527"/>
      <c r="B54" s="528"/>
      <c r="C54" s="707" t="s">
        <v>3744</v>
      </c>
      <c r="D54" s="620" t="s">
        <v>3884</v>
      </c>
      <c r="E54" s="621"/>
      <c r="F54" s="622" t="s">
        <v>3884</v>
      </c>
      <c r="G54" s="623"/>
      <c r="H54" s="708"/>
    </row>
    <row r="55" spans="1:9" ht="13.5" customHeight="1">
      <c r="A55" s="527"/>
      <c r="B55" s="528"/>
      <c r="C55" s="709"/>
      <c r="D55" s="710"/>
      <c r="E55" s="711"/>
      <c r="F55" s="712"/>
      <c r="G55" s="713" t="s">
        <v>3727</v>
      </c>
      <c r="H55" s="714" t="s">
        <v>3819</v>
      </c>
    </row>
    <row r="56" spans="1:9" ht="13.5" customHeight="1">
      <c r="A56" s="527"/>
      <c r="B56" s="528"/>
      <c r="C56" s="624"/>
      <c r="D56" s="625"/>
      <c r="E56" s="626"/>
      <c r="F56" s="627"/>
      <c r="G56" s="584" t="s">
        <v>3726</v>
      </c>
      <c r="H56" s="694"/>
    </row>
    <row r="57" spans="1:9" ht="13.5" customHeight="1">
      <c r="A57" s="527"/>
      <c r="B57" s="528"/>
      <c r="C57" s="614" t="s">
        <v>3885</v>
      </c>
      <c r="D57" s="614"/>
      <c r="E57" s="615"/>
      <c r="F57" s="616"/>
      <c r="G57" s="618"/>
      <c r="H57" s="666"/>
    </row>
    <row r="58" spans="1:9" ht="13.5" customHeight="1">
      <c r="A58" s="527"/>
      <c r="B58" s="528"/>
      <c r="C58" s="628" t="s">
        <v>3886</v>
      </c>
      <c r="D58" s="546" t="s">
        <v>3738</v>
      </c>
      <c r="E58" s="597">
        <v>15</v>
      </c>
      <c r="F58" s="547" t="s">
        <v>3740</v>
      </c>
      <c r="G58" s="548">
        <f t="shared" ref="G58:G69" si="2">SUM(H58:I58)</f>
        <v>0</v>
      </c>
      <c r="H58" s="689"/>
    </row>
    <row r="59" spans="1:9" ht="13.5" customHeight="1">
      <c r="A59" s="527"/>
      <c r="B59" s="528"/>
      <c r="C59" s="628" t="s">
        <v>3744</v>
      </c>
      <c r="D59" s="546" t="s">
        <v>3738</v>
      </c>
      <c r="E59" s="597">
        <v>10</v>
      </c>
      <c r="F59" s="547" t="s">
        <v>3741</v>
      </c>
      <c r="G59" s="548">
        <f t="shared" si="2"/>
        <v>0</v>
      </c>
      <c r="H59" s="689"/>
    </row>
    <row r="60" spans="1:9" ht="13.5" customHeight="1">
      <c r="A60" s="527"/>
      <c r="B60" s="528"/>
      <c r="C60" s="628" t="s">
        <v>3745</v>
      </c>
      <c r="D60" s="546" t="s">
        <v>3738</v>
      </c>
      <c r="E60" s="597">
        <v>3</v>
      </c>
      <c r="F60" s="591" t="s">
        <v>3742</v>
      </c>
      <c r="G60" s="558">
        <f t="shared" si="2"/>
        <v>0</v>
      </c>
      <c r="H60" s="689"/>
    </row>
    <row r="61" spans="1:9" ht="13.5" customHeight="1">
      <c r="A61" s="527"/>
      <c r="B61" s="528"/>
      <c r="C61" s="628" t="s">
        <v>3746</v>
      </c>
      <c r="D61" s="546" t="s">
        <v>3887</v>
      </c>
      <c r="E61" s="597">
        <v>30</v>
      </c>
      <c r="F61" s="591" t="s">
        <v>3750</v>
      </c>
      <c r="G61" s="558">
        <f t="shared" si="2"/>
        <v>0</v>
      </c>
      <c r="H61" s="689"/>
    </row>
    <row r="62" spans="1:9" ht="13.5" customHeight="1">
      <c r="A62" s="527"/>
      <c r="B62" s="528"/>
      <c r="C62" s="628" t="s">
        <v>3747</v>
      </c>
      <c r="D62" s="546" t="s">
        <v>3743</v>
      </c>
      <c r="E62" s="597">
        <v>60</v>
      </c>
      <c r="F62" s="591" t="s">
        <v>3750</v>
      </c>
      <c r="G62" s="558">
        <f t="shared" si="2"/>
        <v>0</v>
      </c>
      <c r="H62" s="689"/>
    </row>
    <row r="63" spans="1:9" ht="13.5" customHeight="1">
      <c r="A63" s="527"/>
      <c r="B63" s="528"/>
      <c r="C63" s="628" t="s">
        <v>3748</v>
      </c>
      <c r="D63" s="546" t="s">
        <v>3887</v>
      </c>
      <c r="E63" s="597">
        <v>15</v>
      </c>
      <c r="F63" s="591" t="s">
        <v>3751</v>
      </c>
      <c r="G63" s="558">
        <f t="shared" si="2"/>
        <v>0</v>
      </c>
      <c r="H63" s="689"/>
    </row>
    <row r="64" spans="1:9" ht="13.5" customHeight="1">
      <c r="A64" s="527"/>
      <c r="B64" s="528"/>
      <c r="C64" s="628" t="s">
        <v>3749</v>
      </c>
      <c r="D64" s="546" t="s">
        <v>3743</v>
      </c>
      <c r="E64" s="597">
        <v>40</v>
      </c>
      <c r="F64" s="591" t="s">
        <v>3751</v>
      </c>
      <c r="G64" s="558">
        <f t="shared" si="2"/>
        <v>0</v>
      </c>
      <c r="H64" s="689"/>
    </row>
    <row r="65" spans="1:9" ht="13.5" customHeight="1">
      <c r="A65" s="527"/>
      <c r="B65" s="528"/>
      <c r="C65" s="628" t="s">
        <v>3752</v>
      </c>
      <c r="D65" s="546" t="s">
        <v>3887</v>
      </c>
      <c r="E65" s="597">
        <v>10</v>
      </c>
      <c r="F65" s="591" t="s">
        <v>3754</v>
      </c>
      <c r="G65" s="558">
        <f t="shared" si="2"/>
        <v>0</v>
      </c>
      <c r="H65" s="689"/>
    </row>
    <row r="66" spans="1:9" ht="13.5" customHeight="1">
      <c r="A66" s="527"/>
      <c r="B66" s="528"/>
      <c r="C66" s="628" t="s">
        <v>3753</v>
      </c>
      <c r="D66" s="546" t="s">
        <v>3743</v>
      </c>
      <c r="E66" s="597">
        <v>45</v>
      </c>
      <c r="F66" s="591" t="s">
        <v>3754</v>
      </c>
      <c r="G66" s="558">
        <f t="shared" si="2"/>
        <v>0</v>
      </c>
      <c r="H66" s="689"/>
    </row>
    <row r="67" spans="1:9" ht="13.5" customHeight="1">
      <c r="A67" s="527"/>
      <c r="B67" s="528"/>
      <c r="C67" s="628" t="s">
        <v>3888</v>
      </c>
      <c r="D67" s="546" t="s">
        <v>3887</v>
      </c>
      <c r="E67" s="597">
        <v>10</v>
      </c>
      <c r="F67" s="591" t="s">
        <v>3755</v>
      </c>
      <c r="G67" s="558">
        <f t="shared" si="2"/>
        <v>0</v>
      </c>
      <c r="H67" s="689"/>
    </row>
    <row r="68" spans="1:9" ht="13.5" customHeight="1">
      <c r="A68" s="527"/>
      <c r="B68" s="528"/>
      <c r="C68" s="628" t="s">
        <v>3889</v>
      </c>
      <c r="D68" s="546" t="s">
        <v>3743</v>
      </c>
      <c r="E68" s="597">
        <v>15</v>
      </c>
      <c r="F68" s="591" t="s">
        <v>3755</v>
      </c>
      <c r="G68" s="558">
        <f t="shared" si="2"/>
        <v>0</v>
      </c>
      <c r="H68" s="689"/>
    </row>
    <row r="69" spans="1:9" ht="13.5" customHeight="1">
      <c r="A69" s="551"/>
      <c r="B69" s="552"/>
      <c r="C69" s="552"/>
      <c r="D69" s="552"/>
      <c r="E69" s="646"/>
      <c r="F69" s="617" t="s">
        <v>3737</v>
      </c>
      <c r="G69" s="554">
        <f t="shared" si="2"/>
        <v>0</v>
      </c>
      <c r="H69" s="664">
        <f>IF(H$4="費用",0,SUM(H52,H58:H68))</f>
        <v>0</v>
      </c>
    </row>
    <row r="70" spans="1:9" ht="13.5" customHeight="1">
      <c r="A70" s="528"/>
      <c r="B70" s="541"/>
      <c r="C70" s="541"/>
      <c r="D70" s="541"/>
      <c r="E70" s="541"/>
      <c r="F70" s="642"/>
      <c r="G70" s="645"/>
      <c r="H70" s="667"/>
    </row>
    <row r="71" spans="1:9" ht="13.5" customHeight="1">
      <c r="A71" s="624"/>
      <c r="B71" s="638"/>
      <c r="C71" s="638"/>
      <c r="D71" s="638"/>
      <c r="E71" s="638"/>
      <c r="F71" s="594"/>
      <c r="G71" s="644"/>
      <c r="H71" s="668"/>
    </row>
    <row r="72" spans="1:9" s="533" customFormat="1" ht="13.5" customHeight="1">
      <c r="A72" s="582" t="s">
        <v>3802</v>
      </c>
      <c r="B72" s="505"/>
      <c r="C72" s="538"/>
      <c r="D72" s="505"/>
      <c r="E72" s="1031" t="s">
        <v>3704</v>
      </c>
      <c r="F72" s="539"/>
      <c r="G72" s="583" t="s">
        <v>3727</v>
      </c>
      <c r="H72" s="661" t="s">
        <v>3890</v>
      </c>
      <c r="I72" s="681"/>
    </row>
    <row r="73" spans="1:9" s="533" customFormat="1" ht="13.5" customHeight="1">
      <c r="A73" s="512"/>
      <c r="B73" s="1028" t="s">
        <v>4089</v>
      </c>
      <c r="C73" s="1029"/>
      <c r="D73" s="1030"/>
      <c r="E73" s="1032"/>
      <c r="F73" s="540"/>
      <c r="G73" s="584" t="s">
        <v>3728</v>
      </c>
      <c r="H73" s="665" t="s">
        <v>3891</v>
      </c>
      <c r="I73" s="681"/>
    </row>
    <row r="74" spans="1:9" ht="13.5" customHeight="1">
      <c r="A74" s="527"/>
      <c r="B74" s="541"/>
      <c r="C74" s="555" t="s">
        <v>1093</v>
      </c>
      <c r="D74" s="542"/>
      <c r="E74" s="596">
        <v>10</v>
      </c>
      <c r="F74" s="556" t="s">
        <v>3892</v>
      </c>
      <c r="G74" s="544" t="e">
        <f ca="1">SUM(H74:I74)</f>
        <v>#REF!</v>
      </c>
      <c r="H74" s="663" t="e">
        <f ca="1">SUM(H75:H79)</f>
        <v>#REF!</v>
      </c>
    </row>
    <row r="75" spans="1:9" ht="13.5" customHeight="1">
      <c r="A75" s="527"/>
      <c r="B75" s="528"/>
      <c r="C75" s="628" t="s">
        <v>3886</v>
      </c>
      <c r="D75" s="546" t="s">
        <v>3756</v>
      </c>
      <c r="E75" s="597"/>
      <c r="F75" s="557" t="s">
        <v>3713</v>
      </c>
      <c r="G75" s="558"/>
      <c r="H75" s="663" t="e">
        <f ca="1">SUMIF(INDIRECT(H$3&amp;"!$ｎ:$ｎ"),"電照サイン（金属製）",INDIRECT(H$3&amp;"!$i:$i"))</f>
        <v>#REF!</v>
      </c>
    </row>
    <row r="76" spans="1:9" ht="13.5" customHeight="1">
      <c r="A76" s="527"/>
      <c r="B76" s="528"/>
      <c r="C76" s="628" t="s">
        <v>3744</v>
      </c>
      <c r="D76" s="546" t="s">
        <v>3757</v>
      </c>
      <c r="E76" s="597"/>
      <c r="F76" s="557"/>
      <c r="G76" s="558"/>
      <c r="H76" s="663" t="e">
        <f ca="1">SUMIF(INDIRECT(H$3&amp;"!$ｎ:$ｎ"),"非電照サイン（金属製）",INDIRECT(H$3&amp;"!$i:$i"))</f>
        <v>#REF!</v>
      </c>
    </row>
    <row r="77" spans="1:9" ht="13.5" customHeight="1">
      <c r="A77" s="527"/>
      <c r="B77" s="528"/>
      <c r="C77" s="628" t="s">
        <v>3745</v>
      </c>
      <c r="D77" s="546" t="s">
        <v>3758</v>
      </c>
      <c r="E77" s="597"/>
      <c r="F77" s="557"/>
      <c r="G77" s="558"/>
      <c r="H77" s="663" t="e">
        <f ca="1">SUMIF(INDIRECT(H$3&amp;"!$ｎ:$ｎ"),"電照広告（金属製）",INDIRECT(H$3&amp;"!$i:$i"))</f>
        <v>#REF!</v>
      </c>
    </row>
    <row r="78" spans="1:9" s="561" customFormat="1" ht="13.5" customHeight="1">
      <c r="A78" s="527"/>
      <c r="B78" s="528"/>
      <c r="C78" s="628" t="s">
        <v>3746</v>
      </c>
      <c r="D78" s="546" t="s">
        <v>3759</v>
      </c>
      <c r="E78" s="598"/>
      <c r="F78" s="560"/>
      <c r="G78" s="558"/>
      <c r="H78" s="663" t="e">
        <f ca="1">SUMIF(INDIRECT(H$3&amp;"!$ｎ:$ｎ"),"非電照広告（金属製）",INDIRECT(H$3&amp;"!$i:$i"))</f>
        <v>#REF!</v>
      </c>
    </row>
    <row r="79" spans="1:9" s="561" customFormat="1" ht="13.5" customHeight="1">
      <c r="A79" s="527"/>
      <c r="B79" s="528"/>
      <c r="C79" s="628" t="s">
        <v>3747</v>
      </c>
      <c r="D79" s="559" t="s">
        <v>3760</v>
      </c>
      <c r="E79" s="598"/>
      <c r="F79" s="560"/>
      <c r="G79" s="558"/>
      <c r="H79" s="663" t="e">
        <f ca="1">SUMIF(INDIRECT(H$3&amp;"!$ｎ:$ｎ"),"電気設備",INDIRECT(H$3&amp;"!$i:$i"))</f>
        <v>#REF!</v>
      </c>
    </row>
    <row r="80" spans="1:9" ht="13.5" customHeight="1">
      <c r="A80" s="527"/>
      <c r="B80" s="528"/>
      <c r="C80" s="549" t="s">
        <v>1095</v>
      </c>
      <c r="D80" s="546"/>
      <c r="E80" s="597">
        <v>5</v>
      </c>
      <c r="F80" s="557" t="s">
        <v>3893</v>
      </c>
      <c r="G80" s="548" t="e">
        <f ca="1">SUM(H80:I80)</f>
        <v>#REF!</v>
      </c>
      <c r="H80" s="663" t="e">
        <f ca="1">SUM(H81:H82)</f>
        <v>#REF!</v>
      </c>
    </row>
    <row r="81" spans="1:8" ht="13.5" customHeight="1">
      <c r="A81" s="527"/>
      <c r="B81" s="528"/>
      <c r="C81" s="628" t="s">
        <v>3886</v>
      </c>
      <c r="D81" s="546" t="s">
        <v>3757</v>
      </c>
      <c r="E81" s="597"/>
      <c r="F81" s="557" t="s">
        <v>3714</v>
      </c>
      <c r="G81" s="558"/>
      <c r="H81" s="663" t="e">
        <f ca="1">SUMIF(INDIRECT(H$3&amp;"!$ｎ:$ｎ"),"非電照サイン（その他）",INDIRECT(H$3&amp;"!$i:$i"))</f>
        <v>#REF!</v>
      </c>
    </row>
    <row r="82" spans="1:8" ht="13.5" customHeight="1">
      <c r="A82" s="527"/>
      <c r="B82" s="528"/>
      <c r="C82" s="628" t="s">
        <v>3744</v>
      </c>
      <c r="D82" s="546" t="s">
        <v>3820</v>
      </c>
      <c r="E82" s="597"/>
      <c r="F82" s="557"/>
      <c r="G82" s="558"/>
      <c r="H82" s="663" t="e">
        <f ca="1">SUMIF(INDIRECT(H$3&amp;"!$ｎ:$ｎ"),"非電照広告（その他）",INDIRECT(H$3&amp;"!$i:$i"))</f>
        <v>#REF!</v>
      </c>
    </row>
    <row r="83" spans="1:8" ht="13.5" customHeight="1">
      <c r="A83" s="527"/>
      <c r="B83" s="528"/>
      <c r="C83" s="700" t="s">
        <v>3894</v>
      </c>
      <c r="D83" s="546" t="s">
        <v>3827</v>
      </c>
      <c r="E83" s="597">
        <v>5</v>
      </c>
      <c r="F83" s="557"/>
      <c r="G83" s="558" t="e">
        <f t="shared" ref="G83:G88" ca="1" si="3">SUM(H83:I83)</f>
        <v>#REF!</v>
      </c>
      <c r="H83" s="663" t="e">
        <f ca="1">SUMIF(INDIRECT(H$3&amp;"!$ｎ:$ｎ"),"無人駐車管理装置",INDIRECT(H$3&amp;"!$i:$i"))</f>
        <v>#REF!</v>
      </c>
    </row>
    <row r="84" spans="1:8" ht="13.5" customHeight="1">
      <c r="A84" s="527"/>
      <c r="B84" s="528"/>
      <c r="C84" s="700" t="s">
        <v>3895</v>
      </c>
      <c r="D84" s="546" t="s">
        <v>3828</v>
      </c>
      <c r="E84" s="597">
        <v>10</v>
      </c>
      <c r="F84" s="557"/>
      <c r="G84" s="558" t="e">
        <f t="shared" ca="1" si="3"/>
        <v>#REF!</v>
      </c>
      <c r="H84" s="663" t="e">
        <f ca="1">SUMIF(INDIRECT(H$3&amp;"!$ｎ:$ｎ"),"その他（金造製）",INDIRECT(H$3&amp;"!$i:$i"))</f>
        <v>#REF!</v>
      </c>
    </row>
    <row r="85" spans="1:8" ht="13.5" customHeight="1">
      <c r="A85" s="527"/>
      <c r="B85" s="528"/>
      <c r="C85" s="700" t="s">
        <v>3896</v>
      </c>
      <c r="D85" s="546" t="s">
        <v>3829</v>
      </c>
      <c r="E85" s="597">
        <v>5</v>
      </c>
      <c r="F85" s="557"/>
      <c r="G85" s="558" t="e">
        <f t="shared" ca="1" si="3"/>
        <v>#REF!</v>
      </c>
      <c r="H85" s="663" t="e">
        <f ca="1">SUMIF(INDIRECT(H$3&amp;"!$ｎ:$ｎ"),"その他（その他）",INDIRECT(H$3&amp;"!$i:$i"))</f>
        <v>#REF!</v>
      </c>
    </row>
    <row r="86" spans="1:8" ht="13.5" customHeight="1">
      <c r="A86" s="527"/>
      <c r="B86" s="528"/>
      <c r="C86" s="705"/>
      <c r="D86" s="702"/>
      <c r="E86" s="703"/>
      <c r="F86" s="704"/>
      <c r="G86" s="706">
        <f t="shared" si="3"/>
        <v>0</v>
      </c>
      <c r="H86" s="689"/>
    </row>
    <row r="87" spans="1:8" ht="13.5" customHeight="1" thickBot="1">
      <c r="A87" s="562"/>
      <c r="B87" s="563"/>
      <c r="C87" s="563"/>
      <c r="D87" s="563"/>
      <c r="E87" s="563"/>
      <c r="F87" s="619" t="s">
        <v>3725</v>
      </c>
      <c r="G87" s="564" t="e">
        <f t="shared" ca="1" si="3"/>
        <v>#REF!</v>
      </c>
      <c r="H87" s="669" t="e">
        <f ca="1">IF(H4="費用",0,SUM(H74,H80,H83:H86))</f>
        <v>#REF!</v>
      </c>
    </row>
    <row r="88" spans="1:8" ht="13.5" customHeight="1" thickTop="1">
      <c r="A88" s="565"/>
      <c r="B88" s="566"/>
      <c r="C88" s="566"/>
      <c r="D88" s="566"/>
      <c r="E88" s="566"/>
      <c r="F88" s="581" t="s">
        <v>3897</v>
      </c>
      <c r="G88" s="567" t="e">
        <f t="shared" ca="1" si="3"/>
        <v>#REF!</v>
      </c>
      <c r="H88" s="670" t="e">
        <f ca="1">+H87+H49+H69</f>
        <v>#REF!</v>
      </c>
    </row>
    <row r="89" spans="1:8" ht="13.5" customHeight="1">
      <c r="A89" s="528"/>
      <c r="B89" s="541"/>
      <c r="C89" s="541"/>
      <c r="D89" s="541"/>
      <c r="E89" s="541"/>
      <c r="F89" s="642"/>
      <c r="G89" s="643"/>
      <c r="H89" s="667"/>
    </row>
    <row r="90" spans="1:8" ht="13.5" customHeight="1">
      <c r="A90" s="521"/>
      <c r="B90" s="508" t="s">
        <v>3718</v>
      </c>
      <c r="C90" s="522"/>
      <c r="D90" s="522"/>
      <c r="E90" s="522"/>
      <c r="F90" s="523" t="s">
        <v>372</v>
      </c>
      <c r="G90" s="508" t="str">
        <f>+G1</f>
        <v>1･3号線各駅可動式ホーム柵設置に伴う建築工事設計業務委託</v>
      </c>
      <c r="H90" s="671"/>
    </row>
    <row r="91" spans="1:8" ht="13.5" customHeight="1">
      <c r="A91" s="525"/>
      <c r="C91" s="647"/>
      <c r="D91" s="503"/>
      <c r="E91" s="522" t="s">
        <v>3803</v>
      </c>
      <c r="F91" s="522"/>
      <c r="G91" s="522" t="s">
        <v>376</v>
      </c>
      <c r="H91" s="672">
        <f>H3</f>
        <v>0</v>
      </c>
    </row>
    <row r="92" spans="1:8" s="561" customFormat="1" ht="13.5" customHeight="1">
      <c r="A92" s="739"/>
      <c r="B92" s="740"/>
      <c r="C92" s="741">
        <v>10500701</v>
      </c>
      <c r="D92" s="742" t="s">
        <v>3898</v>
      </c>
      <c r="E92" s="743"/>
      <c r="F92" s="744"/>
      <c r="G92" s="745" t="e">
        <f t="shared" ref="G92:G155" ca="1" si="4">SUM(H92:I92)</f>
        <v>#VALUE!</v>
      </c>
      <c r="H92" s="662" t="e">
        <f t="shared" ref="H92:H107" ca="1" si="5">IF(H$22="007停車場建物",ROUND(H23+H23/(H$5-H$6)*H$6+H23/(H$5-H$6)*H$15,-3),"")</f>
        <v>#VALUE!</v>
      </c>
    </row>
    <row r="93" spans="1:8" s="561" customFormat="1" ht="13.5" customHeight="1">
      <c r="A93" s="746"/>
      <c r="B93" s="747"/>
      <c r="C93" s="748">
        <v>10500702</v>
      </c>
      <c r="D93" s="749" t="s">
        <v>3899</v>
      </c>
      <c r="E93" s="750"/>
      <c r="F93" s="751"/>
      <c r="G93" s="558" t="e">
        <f t="shared" ca="1" si="4"/>
        <v>#VALUE!</v>
      </c>
      <c r="H93" s="666" t="e">
        <f t="shared" ca="1" si="5"/>
        <v>#VALUE!</v>
      </c>
    </row>
    <row r="94" spans="1:8" ht="13.5" customHeight="1">
      <c r="A94" s="630"/>
      <c r="B94" s="632"/>
      <c r="C94" s="569">
        <v>10500703</v>
      </c>
      <c r="D94" s="501" t="s">
        <v>3900</v>
      </c>
      <c r="E94" s="585"/>
      <c r="F94" s="586"/>
      <c r="G94" s="548" t="e">
        <f t="shared" ca="1" si="4"/>
        <v>#VALUE!</v>
      </c>
      <c r="H94" s="673" t="e">
        <f t="shared" ca="1" si="5"/>
        <v>#VALUE!</v>
      </c>
    </row>
    <row r="95" spans="1:8" ht="13.5" customHeight="1">
      <c r="A95" s="630"/>
      <c r="B95" s="632"/>
      <c r="C95" s="569">
        <v>10500704</v>
      </c>
      <c r="D95" s="501" t="s">
        <v>3901</v>
      </c>
      <c r="E95" s="585"/>
      <c r="F95" s="586"/>
      <c r="G95" s="548" t="e">
        <f t="shared" ca="1" si="4"/>
        <v>#VALUE!</v>
      </c>
      <c r="H95" s="673" t="e">
        <f t="shared" ca="1" si="5"/>
        <v>#VALUE!</v>
      </c>
    </row>
    <row r="96" spans="1:8" ht="13.5" customHeight="1">
      <c r="A96" s="630"/>
      <c r="B96" s="632"/>
      <c r="C96" s="569">
        <v>10500705</v>
      </c>
      <c r="D96" s="501" t="s">
        <v>3902</v>
      </c>
      <c r="E96" s="585"/>
      <c r="F96" s="586"/>
      <c r="G96" s="548" t="e">
        <f t="shared" ca="1" si="4"/>
        <v>#VALUE!</v>
      </c>
      <c r="H96" s="673" t="e">
        <f t="shared" ca="1" si="5"/>
        <v>#VALUE!</v>
      </c>
    </row>
    <row r="97" spans="1:8" ht="13.5" customHeight="1">
      <c r="A97" s="630"/>
      <c r="B97" s="632"/>
      <c r="C97" s="569">
        <v>10500706</v>
      </c>
      <c r="D97" s="501" t="s">
        <v>3903</v>
      </c>
      <c r="E97" s="585"/>
      <c r="F97" s="586"/>
      <c r="G97" s="548" t="e">
        <f t="shared" ca="1" si="4"/>
        <v>#VALUE!</v>
      </c>
      <c r="H97" s="673" t="e">
        <f t="shared" ca="1" si="5"/>
        <v>#VALUE!</v>
      </c>
    </row>
    <row r="98" spans="1:8" ht="13.5" customHeight="1">
      <c r="A98" s="630"/>
      <c r="B98" s="632"/>
      <c r="C98" s="569">
        <v>10500707</v>
      </c>
      <c r="D98" s="501" t="s">
        <v>3904</v>
      </c>
      <c r="E98" s="585"/>
      <c r="F98" s="586"/>
      <c r="G98" s="548" t="e">
        <f t="shared" ca="1" si="4"/>
        <v>#VALUE!</v>
      </c>
      <c r="H98" s="673" t="e">
        <f t="shared" ca="1" si="5"/>
        <v>#VALUE!</v>
      </c>
    </row>
    <row r="99" spans="1:8" ht="13.5" customHeight="1">
      <c r="A99" s="630"/>
      <c r="B99" s="632"/>
      <c r="C99" s="569">
        <v>10500708</v>
      </c>
      <c r="D99" s="501" t="s">
        <v>3905</v>
      </c>
      <c r="E99" s="585"/>
      <c r="F99" s="586"/>
      <c r="G99" s="548" t="e">
        <f t="shared" ca="1" si="4"/>
        <v>#VALUE!</v>
      </c>
      <c r="H99" s="673" t="e">
        <f t="shared" ca="1" si="5"/>
        <v>#VALUE!</v>
      </c>
    </row>
    <row r="100" spans="1:8" ht="13.5" customHeight="1">
      <c r="A100" s="630"/>
      <c r="B100" s="632"/>
      <c r="C100" s="569">
        <v>10500709</v>
      </c>
      <c r="D100" s="501" t="s">
        <v>3906</v>
      </c>
      <c r="E100" s="585"/>
      <c r="F100" s="586"/>
      <c r="G100" s="548" t="e">
        <f t="shared" ca="1" si="4"/>
        <v>#VALUE!</v>
      </c>
      <c r="H100" s="673" t="e">
        <f t="shared" ca="1" si="5"/>
        <v>#VALUE!</v>
      </c>
    </row>
    <row r="101" spans="1:8" ht="13.5" customHeight="1">
      <c r="A101" s="630"/>
      <c r="B101" s="632"/>
      <c r="C101" s="569">
        <v>10500710</v>
      </c>
      <c r="D101" s="501" t="s">
        <v>3907</v>
      </c>
      <c r="E101" s="585"/>
      <c r="F101" s="586"/>
      <c r="G101" s="548" t="e">
        <f t="shared" ca="1" si="4"/>
        <v>#VALUE!</v>
      </c>
      <c r="H101" s="673" t="e">
        <f t="shared" ca="1" si="5"/>
        <v>#VALUE!</v>
      </c>
    </row>
    <row r="102" spans="1:8" ht="13.5" customHeight="1">
      <c r="A102" s="630"/>
      <c r="B102" s="632"/>
      <c r="C102" s="569">
        <v>10500711</v>
      </c>
      <c r="D102" s="501" t="s">
        <v>3908</v>
      </c>
      <c r="E102" s="585"/>
      <c r="F102" s="586"/>
      <c r="G102" s="548" t="e">
        <f t="shared" ca="1" si="4"/>
        <v>#VALUE!</v>
      </c>
      <c r="H102" s="673" t="e">
        <f t="shared" ca="1" si="5"/>
        <v>#VALUE!</v>
      </c>
    </row>
    <row r="103" spans="1:8" ht="13.5" customHeight="1">
      <c r="A103" s="630"/>
      <c r="B103" s="632"/>
      <c r="C103" s="569">
        <v>10500712</v>
      </c>
      <c r="D103" s="501" t="s">
        <v>3909</v>
      </c>
      <c r="E103" s="585"/>
      <c r="F103" s="586"/>
      <c r="G103" s="548" t="e">
        <f t="shared" ca="1" si="4"/>
        <v>#VALUE!</v>
      </c>
      <c r="H103" s="673" t="e">
        <f t="shared" ca="1" si="5"/>
        <v>#VALUE!</v>
      </c>
    </row>
    <row r="104" spans="1:8" ht="13.5" customHeight="1">
      <c r="A104" s="630"/>
      <c r="B104" s="632"/>
      <c r="C104" s="569">
        <v>10500713</v>
      </c>
      <c r="D104" s="501" t="s">
        <v>3910</v>
      </c>
      <c r="E104" s="585"/>
      <c r="F104" s="586"/>
      <c r="G104" s="548" t="e">
        <f t="shared" ca="1" si="4"/>
        <v>#VALUE!</v>
      </c>
      <c r="H104" s="673" t="e">
        <f t="shared" ca="1" si="5"/>
        <v>#VALUE!</v>
      </c>
    </row>
    <row r="105" spans="1:8" ht="13.5" customHeight="1">
      <c r="A105" s="630"/>
      <c r="B105" s="632"/>
      <c r="C105" s="569">
        <v>10500714</v>
      </c>
      <c r="D105" s="501" t="s">
        <v>3911</v>
      </c>
      <c r="E105" s="585"/>
      <c r="F105" s="586"/>
      <c r="G105" s="548" t="e">
        <f t="shared" ca="1" si="4"/>
        <v>#VALUE!</v>
      </c>
      <c r="H105" s="673" t="e">
        <f t="shared" ca="1" si="5"/>
        <v>#VALUE!</v>
      </c>
    </row>
    <row r="106" spans="1:8" ht="13.5" customHeight="1">
      <c r="A106" s="630"/>
      <c r="B106" s="632"/>
      <c r="C106" s="569">
        <v>10500715</v>
      </c>
      <c r="D106" s="501" t="s">
        <v>3912</v>
      </c>
      <c r="E106" s="585"/>
      <c r="F106" s="586"/>
      <c r="G106" s="548" t="e">
        <f t="shared" ca="1" si="4"/>
        <v>#VALUE!</v>
      </c>
      <c r="H106" s="673" t="e">
        <f t="shared" ca="1" si="5"/>
        <v>#VALUE!</v>
      </c>
    </row>
    <row r="107" spans="1:8" ht="13.5" customHeight="1">
      <c r="A107" s="630"/>
      <c r="B107" s="632"/>
      <c r="C107" s="569">
        <v>10500716</v>
      </c>
      <c r="D107" s="501" t="s">
        <v>3913</v>
      </c>
      <c r="E107" s="585"/>
      <c r="F107" s="586"/>
      <c r="G107" s="548" t="e">
        <f t="shared" ca="1" si="4"/>
        <v>#VALUE!</v>
      </c>
      <c r="H107" s="673" t="e">
        <f t="shared" ca="1" si="5"/>
        <v>#VALUE!</v>
      </c>
    </row>
    <row r="108" spans="1:8" ht="13.5" customHeight="1">
      <c r="A108" s="630"/>
      <c r="B108" s="632"/>
      <c r="C108" s="569">
        <v>10500717</v>
      </c>
      <c r="D108" s="501" t="s">
        <v>3914</v>
      </c>
      <c r="E108" s="585"/>
      <c r="F108" s="586"/>
      <c r="G108" s="548" t="e">
        <f t="shared" ca="1" si="4"/>
        <v>#VALUE!</v>
      </c>
      <c r="H108" s="673" t="e">
        <f t="shared" ref="H108:H117" ca="1" si="6">IF(H$22="007停車場建物",ROUND(H39+H39/(H$5-H$6)*H$6+H39/(H$5-H$6)*H$15,-3),"")</f>
        <v>#VALUE!</v>
      </c>
    </row>
    <row r="109" spans="1:8" ht="13.5" customHeight="1">
      <c r="A109" s="630"/>
      <c r="B109" s="632"/>
      <c r="C109" s="569">
        <v>10500718</v>
      </c>
      <c r="D109" s="501" t="s">
        <v>3915</v>
      </c>
      <c r="E109" s="585"/>
      <c r="F109" s="586"/>
      <c r="G109" s="548" t="e">
        <f t="shared" ca="1" si="4"/>
        <v>#VALUE!</v>
      </c>
      <c r="H109" s="673" t="e">
        <f t="shared" ca="1" si="6"/>
        <v>#VALUE!</v>
      </c>
    </row>
    <row r="110" spans="1:8" ht="13.5" customHeight="1">
      <c r="A110" s="630"/>
      <c r="B110" s="632"/>
      <c r="C110" s="569">
        <v>10500719</v>
      </c>
      <c r="D110" s="501" t="s">
        <v>3916</v>
      </c>
      <c r="E110" s="585"/>
      <c r="F110" s="586"/>
      <c r="G110" s="548" t="e">
        <f t="shared" ca="1" si="4"/>
        <v>#VALUE!</v>
      </c>
      <c r="H110" s="673" t="e">
        <f t="shared" ca="1" si="6"/>
        <v>#VALUE!</v>
      </c>
    </row>
    <row r="111" spans="1:8" ht="13.5" customHeight="1">
      <c r="A111" s="630"/>
      <c r="B111" s="632"/>
      <c r="C111" s="569">
        <v>10500720</v>
      </c>
      <c r="D111" s="501" t="s">
        <v>3917</v>
      </c>
      <c r="E111" s="585"/>
      <c r="F111" s="586"/>
      <c r="G111" s="548" t="e">
        <f t="shared" ca="1" si="4"/>
        <v>#VALUE!</v>
      </c>
      <c r="H111" s="673" t="e">
        <f t="shared" ca="1" si="6"/>
        <v>#VALUE!</v>
      </c>
    </row>
    <row r="112" spans="1:8" ht="13.5" customHeight="1">
      <c r="A112" s="630"/>
      <c r="B112" s="632"/>
      <c r="C112" s="569">
        <v>10500721</v>
      </c>
      <c r="D112" s="501" t="s">
        <v>3918</v>
      </c>
      <c r="E112" s="585"/>
      <c r="F112" s="586"/>
      <c r="G112" s="548" t="e">
        <f t="shared" ca="1" si="4"/>
        <v>#REF!</v>
      </c>
      <c r="H112" s="673" t="e">
        <f t="shared" ca="1" si="6"/>
        <v>#REF!</v>
      </c>
    </row>
    <row r="113" spans="1:8" ht="13.5" customHeight="1">
      <c r="A113" s="630"/>
      <c r="B113" s="632"/>
      <c r="C113" s="569">
        <v>10500722</v>
      </c>
      <c r="D113" s="501" t="s">
        <v>3919</v>
      </c>
      <c r="E113" s="585"/>
      <c r="F113" s="586"/>
      <c r="G113" s="548" t="e">
        <f t="shared" ca="1" si="4"/>
        <v>#REF!</v>
      </c>
      <c r="H113" s="673" t="e">
        <f t="shared" ca="1" si="6"/>
        <v>#REF!</v>
      </c>
    </row>
    <row r="114" spans="1:8" ht="13.5" customHeight="1">
      <c r="A114" s="630"/>
      <c r="B114" s="632"/>
      <c r="C114" s="569">
        <v>10500723</v>
      </c>
      <c r="D114" s="501" t="s">
        <v>3920</v>
      </c>
      <c r="E114" s="585"/>
      <c r="F114" s="586"/>
      <c r="G114" s="548" t="e">
        <f t="shared" ca="1" si="4"/>
        <v>#REF!</v>
      </c>
      <c r="H114" s="673" t="e">
        <f t="shared" ca="1" si="6"/>
        <v>#REF!</v>
      </c>
    </row>
    <row r="115" spans="1:8" ht="13.5" customHeight="1">
      <c r="A115" s="630"/>
      <c r="B115" s="632"/>
      <c r="C115" s="569">
        <v>10500724</v>
      </c>
      <c r="D115" s="501" t="s">
        <v>3921</v>
      </c>
      <c r="E115" s="585"/>
      <c r="F115" s="586"/>
      <c r="G115" s="548" t="e">
        <f t="shared" ca="1" si="4"/>
        <v>#REF!</v>
      </c>
      <c r="H115" s="673" t="e">
        <f t="shared" ca="1" si="6"/>
        <v>#REF!</v>
      </c>
    </row>
    <row r="116" spans="1:8" ht="13.5" customHeight="1">
      <c r="A116" s="630"/>
      <c r="B116" s="632"/>
      <c r="C116" s="569">
        <v>10500725</v>
      </c>
      <c r="D116" s="501" t="s">
        <v>3922</v>
      </c>
      <c r="E116" s="585"/>
      <c r="F116" s="586"/>
      <c r="G116" s="548" t="e">
        <f t="shared" ca="1" si="4"/>
        <v>#REF!</v>
      </c>
      <c r="H116" s="673" t="e">
        <f t="shared" ca="1" si="6"/>
        <v>#REF!</v>
      </c>
    </row>
    <row r="117" spans="1:8" ht="13.5" customHeight="1">
      <c r="A117" s="630"/>
      <c r="B117" s="632"/>
      <c r="C117" s="701"/>
      <c r="D117" s="752"/>
      <c r="E117" s="753"/>
      <c r="F117" s="702"/>
      <c r="G117" s="754" t="e">
        <f t="shared" ca="1" si="4"/>
        <v>#VALUE!</v>
      </c>
      <c r="H117" s="755" t="e">
        <f t="shared" ca="1" si="6"/>
        <v>#VALUE!</v>
      </c>
    </row>
    <row r="118" spans="1:8" ht="13.5" customHeight="1">
      <c r="A118" s="630"/>
      <c r="B118" s="632"/>
      <c r="C118" s="569">
        <v>10500801</v>
      </c>
      <c r="D118" s="501" t="s">
        <v>3923</v>
      </c>
      <c r="E118" s="585"/>
      <c r="F118" s="586"/>
      <c r="G118" s="548">
        <f t="shared" si="4"/>
        <v>0</v>
      </c>
      <c r="H118" s="756" t="str">
        <f t="shared" ref="H118:H133" si="7">IF(H$22="008変電所建物",ROUND(H23+H23/(H$5-H$6)*H$6+H23/(H$5-H$6)*H$15,-3),"")</f>
        <v/>
      </c>
    </row>
    <row r="119" spans="1:8" ht="13.5" customHeight="1">
      <c r="A119" s="630"/>
      <c r="B119" s="632"/>
      <c r="C119" s="569">
        <v>10500802</v>
      </c>
      <c r="D119" s="501" t="s">
        <v>3924</v>
      </c>
      <c r="E119" s="585"/>
      <c r="F119" s="586"/>
      <c r="G119" s="548">
        <f t="shared" si="4"/>
        <v>0</v>
      </c>
      <c r="H119" s="674" t="str">
        <f t="shared" si="7"/>
        <v/>
      </c>
    </row>
    <row r="120" spans="1:8" ht="13.5" customHeight="1">
      <c r="A120" s="630"/>
      <c r="B120" s="632"/>
      <c r="C120" s="569">
        <v>10500803</v>
      </c>
      <c r="D120" s="501" t="s">
        <v>3925</v>
      </c>
      <c r="E120" s="585"/>
      <c r="F120" s="586"/>
      <c r="G120" s="548">
        <f t="shared" si="4"/>
        <v>0</v>
      </c>
      <c r="H120" s="674" t="str">
        <f t="shared" si="7"/>
        <v/>
      </c>
    </row>
    <row r="121" spans="1:8" ht="13.5" customHeight="1">
      <c r="A121" s="630"/>
      <c r="B121" s="632"/>
      <c r="C121" s="569">
        <v>10500804</v>
      </c>
      <c r="D121" s="501" t="s">
        <v>3926</v>
      </c>
      <c r="E121" s="585"/>
      <c r="F121" s="586"/>
      <c r="G121" s="548">
        <f t="shared" si="4"/>
        <v>0</v>
      </c>
      <c r="H121" s="674" t="str">
        <f t="shared" si="7"/>
        <v/>
      </c>
    </row>
    <row r="122" spans="1:8" ht="13.5" customHeight="1">
      <c r="A122" s="630"/>
      <c r="B122" s="632"/>
      <c r="C122" s="569">
        <v>10500805</v>
      </c>
      <c r="D122" s="501" t="s">
        <v>3927</v>
      </c>
      <c r="E122" s="585"/>
      <c r="F122" s="586"/>
      <c r="G122" s="548">
        <f t="shared" si="4"/>
        <v>0</v>
      </c>
      <c r="H122" s="674" t="str">
        <f t="shared" si="7"/>
        <v/>
      </c>
    </row>
    <row r="123" spans="1:8" ht="13.5" customHeight="1">
      <c r="A123" s="630"/>
      <c r="B123" s="632"/>
      <c r="C123" s="569">
        <v>10500806</v>
      </c>
      <c r="D123" s="501" t="s">
        <v>3928</v>
      </c>
      <c r="E123" s="585"/>
      <c r="F123" s="586"/>
      <c r="G123" s="548">
        <f t="shared" si="4"/>
        <v>0</v>
      </c>
      <c r="H123" s="674" t="str">
        <f t="shared" si="7"/>
        <v/>
      </c>
    </row>
    <row r="124" spans="1:8" ht="13.5" customHeight="1">
      <c r="A124" s="630"/>
      <c r="B124" s="632"/>
      <c r="C124" s="569">
        <v>10500807</v>
      </c>
      <c r="D124" s="501" t="s">
        <v>3929</v>
      </c>
      <c r="E124" s="585"/>
      <c r="F124" s="586"/>
      <c r="G124" s="548">
        <f t="shared" si="4"/>
        <v>0</v>
      </c>
      <c r="H124" s="674" t="str">
        <f t="shared" si="7"/>
        <v/>
      </c>
    </row>
    <row r="125" spans="1:8" ht="13.5" customHeight="1">
      <c r="A125" s="630"/>
      <c r="B125" s="632"/>
      <c r="C125" s="569">
        <v>10500808</v>
      </c>
      <c r="D125" s="501" t="s">
        <v>3930</v>
      </c>
      <c r="E125" s="585"/>
      <c r="F125" s="586"/>
      <c r="G125" s="548">
        <f t="shared" si="4"/>
        <v>0</v>
      </c>
      <c r="H125" s="674" t="str">
        <f t="shared" si="7"/>
        <v/>
      </c>
    </row>
    <row r="126" spans="1:8" ht="13.5" customHeight="1">
      <c r="A126" s="630"/>
      <c r="B126" s="632"/>
      <c r="C126" s="569">
        <v>10500809</v>
      </c>
      <c r="D126" s="501" t="s">
        <v>3931</v>
      </c>
      <c r="E126" s="585"/>
      <c r="F126" s="586"/>
      <c r="G126" s="548">
        <f t="shared" si="4"/>
        <v>0</v>
      </c>
      <c r="H126" s="674" t="str">
        <f t="shared" si="7"/>
        <v/>
      </c>
    </row>
    <row r="127" spans="1:8" ht="13.5" customHeight="1">
      <c r="A127" s="630"/>
      <c r="B127" s="632"/>
      <c r="C127" s="569">
        <v>10500810</v>
      </c>
      <c r="D127" s="501" t="s">
        <v>3932</v>
      </c>
      <c r="E127" s="585"/>
      <c r="F127" s="586"/>
      <c r="G127" s="548">
        <f t="shared" si="4"/>
        <v>0</v>
      </c>
      <c r="H127" s="674" t="str">
        <f t="shared" si="7"/>
        <v/>
      </c>
    </row>
    <row r="128" spans="1:8" ht="13.5" customHeight="1">
      <c r="A128" s="630"/>
      <c r="B128" s="632"/>
      <c r="C128" s="569">
        <v>10500811</v>
      </c>
      <c r="D128" s="501" t="s">
        <v>3933</v>
      </c>
      <c r="E128" s="585"/>
      <c r="F128" s="586"/>
      <c r="G128" s="548">
        <f t="shared" si="4"/>
        <v>0</v>
      </c>
      <c r="H128" s="674" t="str">
        <f t="shared" si="7"/>
        <v/>
      </c>
    </row>
    <row r="129" spans="1:8" ht="13.5" customHeight="1">
      <c r="A129" s="630"/>
      <c r="B129" s="632"/>
      <c r="C129" s="569">
        <v>10500812</v>
      </c>
      <c r="D129" s="501" t="s">
        <v>3934</v>
      </c>
      <c r="E129" s="585"/>
      <c r="F129" s="586"/>
      <c r="G129" s="548">
        <f t="shared" si="4"/>
        <v>0</v>
      </c>
      <c r="H129" s="674" t="str">
        <f t="shared" si="7"/>
        <v/>
      </c>
    </row>
    <row r="130" spans="1:8" ht="13.5" customHeight="1">
      <c r="A130" s="630"/>
      <c r="B130" s="632"/>
      <c r="C130" s="569">
        <v>10500813</v>
      </c>
      <c r="D130" s="501" t="s">
        <v>3935</v>
      </c>
      <c r="E130" s="585"/>
      <c r="F130" s="586"/>
      <c r="G130" s="548">
        <f t="shared" si="4"/>
        <v>0</v>
      </c>
      <c r="H130" s="674" t="str">
        <f t="shared" si="7"/>
        <v/>
      </c>
    </row>
    <row r="131" spans="1:8" ht="13.5" customHeight="1">
      <c r="A131" s="630"/>
      <c r="B131" s="632"/>
      <c r="C131" s="569">
        <v>10500814</v>
      </c>
      <c r="D131" s="501" t="s">
        <v>3936</v>
      </c>
      <c r="E131" s="585"/>
      <c r="F131" s="586"/>
      <c r="G131" s="548">
        <f t="shared" si="4"/>
        <v>0</v>
      </c>
      <c r="H131" s="674" t="str">
        <f t="shared" si="7"/>
        <v/>
      </c>
    </row>
    <row r="132" spans="1:8" ht="13.5" customHeight="1">
      <c r="A132" s="630"/>
      <c r="B132" s="632"/>
      <c r="C132" s="569">
        <v>10500815</v>
      </c>
      <c r="D132" s="501" t="s">
        <v>3937</v>
      </c>
      <c r="E132" s="585"/>
      <c r="F132" s="586"/>
      <c r="G132" s="548">
        <f t="shared" si="4"/>
        <v>0</v>
      </c>
      <c r="H132" s="674" t="str">
        <f t="shared" si="7"/>
        <v/>
      </c>
    </row>
    <row r="133" spans="1:8" ht="13.5" customHeight="1">
      <c r="A133" s="630"/>
      <c r="B133" s="632"/>
      <c r="C133" s="569">
        <v>10500816</v>
      </c>
      <c r="D133" s="501" t="s">
        <v>3938</v>
      </c>
      <c r="E133" s="585"/>
      <c r="F133" s="586"/>
      <c r="G133" s="548">
        <f t="shared" si="4"/>
        <v>0</v>
      </c>
      <c r="H133" s="674" t="str">
        <f t="shared" si="7"/>
        <v/>
      </c>
    </row>
    <row r="134" spans="1:8" ht="13.5" customHeight="1">
      <c r="A134" s="630"/>
      <c r="B134" s="632"/>
      <c r="C134" s="569">
        <v>10500817</v>
      </c>
      <c r="D134" s="501" t="s">
        <v>3939</v>
      </c>
      <c r="E134" s="585"/>
      <c r="F134" s="586"/>
      <c r="G134" s="548">
        <f t="shared" si="4"/>
        <v>0</v>
      </c>
      <c r="H134" s="674" t="str">
        <f t="shared" ref="H134:H143" si="8">IF(H$22="008変電所建物",ROUND(H39+H39/(H$5-H$6)*H$6+H39/(H$5-H$6)*H$15,-3),"")</f>
        <v/>
      </c>
    </row>
    <row r="135" spans="1:8" ht="13.5" customHeight="1">
      <c r="A135" s="630"/>
      <c r="B135" s="632"/>
      <c r="C135" s="569">
        <v>10500818</v>
      </c>
      <c r="D135" s="501" t="s">
        <v>3940</v>
      </c>
      <c r="E135" s="585"/>
      <c r="F135" s="586"/>
      <c r="G135" s="548">
        <f t="shared" si="4"/>
        <v>0</v>
      </c>
      <c r="H135" s="674" t="str">
        <f t="shared" si="8"/>
        <v/>
      </c>
    </row>
    <row r="136" spans="1:8" ht="13.5" customHeight="1">
      <c r="A136" s="630"/>
      <c r="B136" s="632"/>
      <c r="C136" s="569">
        <v>10500819</v>
      </c>
      <c r="D136" s="501" t="s">
        <v>3941</v>
      </c>
      <c r="E136" s="585"/>
      <c r="F136" s="586"/>
      <c r="G136" s="548">
        <f t="shared" si="4"/>
        <v>0</v>
      </c>
      <c r="H136" s="674" t="str">
        <f t="shared" si="8"/>
        <v/>
      </c>
    </row>
    <row r="137" spans="1:8" ht="13.5" customHeight="1">
      <c r="A137" s="630"/>
      <c r="B137" s="632"/>
      <c r="C137" s="569">
        <v>10500820</v>
      </c>
      <c r="D137" s="501" t="s">
        <v>3942</v>
      </c>
      <c r="E137" s="585"/>
      <c r="F137" s="586"/>
      <c r="G137" s="548">
        <f t="shared" si="4"/>
        <v>0</v>
      </c>
      <c r="H137" s="674" t="str">
        <f t="shared" si="8"/>
        <v/>
      </c>
    </row>
    <row r="138" spans="1:8" ht="13.5" customHeight="1">
      <c r="A138" s="630"/>
      <c r="B138" s="632"/>
      <c r="C138" s="569">
        <v>10500821</v>
      </c>
      <c r="D138" s="501" t="s">
        <v>3943</v>
      </c>
      <c r="E138" s="585"/>
      <c r="F138" s="586"/>
      <c r="G138" s="548">
        <f t="shared" si="4"/>
        <v>0</v>
      </c>
      <c r="H138" s="674" t="str">
        <f t="shared" si="8"/>
        <v/>
      </c>
    </row>
    <row r="139" spans="1:8" ht="13.5" customHeight="1">
      <c r="A139" s="630"/>
      <c r="B139" s="632"/>
      <c r="C139" s="569">
        <v>10500822</v>
      </c>
      <c r="D139" s="501" t="s">
        <v>3944</v>
      </c>
      <c r="E139" s="585"/>
      <c r="F139" s="586"/>
      <c r="G139" s="548">
        <f t="shared" si="4"/>
        <v>0</v>
      </c>
      <c r="H139" s="674" t="str">
        <f t="shared" si="8"/>
        <v/>
      </c>
    </row>
    <row r="140" spans="1:8" ht="13.5" customHeight="1">
      <c r="A140" s="630"/>
      <c r="B140" s="632"/>
      <c r="C140" s="569">
        <v>10500823</v>
      </c>
      <c r="D140" s="501" t="s">
        <v>3945</v>
      </c>
      <c r="E140" s="585"/>
      <c r="F140" s="586"/>
      <c r="G140" s="548">
        <f t="shared" si="4"/>
        <v>0</v>
      </c>
      <c r="H140" s="674" t="str">
        <f t="shared" si="8"/>
        <v/>
      </c>
    </row>
    <row r="141" spans="1:8" ht="13.5" customHeight="1">
      <c r="A141" s="630"/>
      <c r="B141" s="632"/>
      <c r="C141" s="569">
        <v>10500824</v>
      </c>
      <c r="D141" s="501" t="s">
        <v>3946</v>
      </c>
      <c r="E141" s="585"/>
      <c r="F141" s="586"/>
      <c r="G141" s="548">
        <f t="shared" si="4"/>
        <v>0</v>
      </c>
      <c r="H141" s="674" t="str">
        <f t="shared" si="8"/>
        <v/>
      </c>
    </row>
    <row r="142" spans="1:8" ht="13.5" customHeight="1">
      <c r="A142" s="630"/>
      <c r="B142" s="632"/>
      <c r="C142" s="569">
        <v>10500825</v>
      </c>
      <c r="D142" s="501" t="s">
        <v>3947</v>
      </c>
      <c r="E142" s="585"/>
      <c r="F142" s="586"/>
      <c r="G142" s="548">
        <f t="shared" si="4"/>
        <v>0</v>
      </c>
      <c r="H142" s="674" t="str">
        <f t="shared" si="8"/>
        <v/>
      </c>
    </row>
    <row r="143" spans="1:8" ht="13.5" customHeight="1">
      <c r="A143" s="630"/>
      <c r="B143" s="632"/>
      <c r="C143" s="701"/>
      <c r="D143" s="752"/>
      <c r="E143" s="753"/>
      <c r="F143" s="702"/>
      <c r="G143" s="754">
        <f t="shared" si="4"/>
        <v>0</v>
      </c>
      <c r="H143" s="755" t="str">
        <f t="shared" si="8"/>
        <v/>
      </c>
    </row>
    <row r="144" spans="1:8" ht="13.5" customHeight="1">
      <c r="A144" s="630"/>
      <c r="B144" s="632"/>
      <c r="C144" s="569">
        <v>10500901</v>
      </c>
      <c r="D144" s="501" t="s">
        <v>3948</v>
      </c>
      <c r="E144" s="585"/>
      <c r="F144" s="586"/>
      <c r="G144" s="548">
        <f t="shared" si="4"/>
        <v>0</v>
      </c>
      <c r="H144" s="757" t="str">
        <f t="shared" ref="H144:H159" si="9">IF(H$22="009車庫、工場建物",ROUND(H23+H23/(H$5-H$6)*H$6+H23/(H$5-H$6)*H$15,-3),"")</f>
        <v/>
      </c>
    </row>
    <row r="145" spans="1:8" ht="13.5" customHeight="1">
      <c r="A145" s="630"/>
      <c r="B145" s="632"/>
      <c r="C145" s="569">
        <v>10500902</v>
      </c>
      <c r="D145" s="501" t="s">
        <v>3949</v>
      </c>
      <c r="E145" s="585"/>
      <c r="F145" s="586"/>
      <c r="G145" s="548">
        <f t="shared" si="4"/>
        <v>0</v>
      </c>
      <c r="H145" s="673" t="str">
        <f t="shared" si="9"/>
        <v/>
      </c>
    </row>
    <row r="146" spans="1:8" ht="13.5" customHeight="1">
      <c r="A146" s="630"/>
      <c r="B146" s="632"/>
      <c r="C146" s="569">
        <v>10500903</v>
      </c>
      <c r="D146" s="501" t="s">
        <v>3950</v>
      </c>
      <c r="E146" s="585"/>
      <c r="F146" s="586"/>
      <c r="G146" s="548">
        <f t="shared" si="4"/>
        <v>0</v>
      </c>
      <c r="H146" s="673" t="str">
        <f t="shared" si="9"/>
        <v/>
      </c>
    </row>
    <row r="147" spans="1:8" ht="13.5" customHeight="1">
      <c r="A147" s="630"/>
      <c r="B147" s="632"/>
      <c r="C147" s="569">
        <v>10500904</v>
      </c>
      <c r="D147" s="501" t="s">
        <v>3951</v>
      </c>
      <c r="E147" s="585"/>
      <c r="F147" s="586"/>
      <c r="G147" s="548">
        <f t="shared" si="4"/>
        <v>0</v>
      </c>
      <c r="H147" s="673" t="str">
        <f t="shared" si="9"/>
        <v/>
      </c>
    </row>
    <row r="148" spans="1:8" ht="13.5" customHeight="1">
      <c r="A148" s="630"/>
      <c r="B148" s="632"/>
      <c r="C148" s="569">
        <v>10500905</v>
      </c>
      <c r="D148" s="501" t="s">
        <v>3952</v>
      </c>
      <c r="E148" s="585"/>
      <c r="F148" s="586"/>
      <c r="G148" s="548">
        <f t="shared" si="4"/>
        <v>0</v>
      </c>
      <c r="H148" s="673" t="str">
        <f t="shared" si="9"/>
        <v/>
      </c>
    </row>
    <row r="149" spans="1:8" ht="13.5" customHeight="1">
      <c r="A149" s="630"/>
      <c r="B149" s="632"/>
      <c r="C149" s="569">
        <v>10500906</v>
      </c>
      <c r="D149" s="501" t="s">
        <v>3953</v>
      </c>
      <c r="E149" s="585"/>
      <c r="F149" s="586"/>
      <c r="G149" s="548">
        <f t="shared" si="4"/>
        <v>0</v>
      </c>
      <c r="H149" s="673" t="str">
        <f t="shared" si="9"/>
        <v/>
      </c>
    </row>
    <row r="150" spans="1:8" ht="13.5" customHeight="1">
      <c r="A150" s="630"/>
      <c r="B150" s="632"/>
      <c r="C150" s="569">
        <v>10500907</v>
      </c>
      <c r="D150" s="501" t="s">
        <v>3954</v>
      </c>
      <c r="E150" s="585"/>
      <c r="F150" s="586"/>
      <c r="G150" s="548">
        <f t="shared" si="4"/>
        <v>0</v>
      </c>
      <c r="H150" s="673" t="str">
        <f t="shared" si="9"/>
        <v/>
      </c>
    </row>
    <row r="151" spans="1:8" ht="13.5" customHeight="1">
      <c r="A151" s="630"/>
      <c r="B151" s="632"/>
      <c r="C151" s="569">
        <v>10500908</v>
      </c>
      <c r="D151" s="501" t="s">
        <v>3955</v>
      </c>
      <c r="E151" s="585"/>
      <c r="F151" s="586"/>
      <c r="G151" s="548">
        <f t="shared" si="4"/>
        <v>0</v>
      </c>
      <c r="H151" s="673" t="str">
        <f t="shared" si="9"/>
        <v/>
      </c>
    </row>
    <row r="152" spans="1:8" ht="13.5" customHeight="1">
      <c r="A152" s="630"/>
      <c r="B152" s="632"/>
      <c r="C152" s="569">
        <v>10500909</v>
      </c>
      <c r="D152" s="501" t="s">
        <v>3956</v>
      </c>
      <c r="E152" s="585"/>
      <c r="F152" s="586"/>
      <c r="G152" s="548">
        <f t="shared" si="4"/>
        <v>0</v>
      </c>
      <c r="H152" s="673" t="str">
        <f t="shared" si="9"/>
        <v/>
      </c>
    </row>
    <row r="153" spans="1:8" ht="13.5" customHeight="1">
      <c r="A153" s="630"/>
      <c r="B153" s="632"/>
      <c r="C153" s="569">
        <v>10500910</v>
      </c>
      <c r="D153" s="501" t="s">
        <v>3957</v>
      </c>
      <c r="E153" s="585"/>
      <c r="F153" s="586"/>
      <c r="G153" s="548">
        <f t="shared" si="4"/>
        <v>0</v>
      </c>
      <c r="H153" s="673" t="str">
        <f t="shared" si="9"/>
        <v/>
      </c>
    </row>
    <row r="154" spans="1:8" ht="13.5" customHeight="1">
      <c r="A154" s="630"/>
      <c r="B154" s="632"/>
      <c r="C154" s="569">
        <v>10500911</v>
      </c>
      <c r="D154" s="501" t="s">
        <v>3958</v>
      </c>
      <c r="E154" s="585"/>
      <c r="F154" s="586"/>
      <c r="G154" s="548">
        <f t="shared" si="4"/>
        <v>0</v>
      </c>
      <c r="H154" s="673" t="str">
        <f t="shared" si="9"/>
        <v/>
      </c>
    </row>
    <row r="155" spans="1:8" ht="13.5" customHeight="1">
      <c r="A155" s="630"/>
      <c r="B155" s="632"/>
      <c r="C155" s="569">
        <v>10500912</v>
      </c>
      <c r="D155" s="501" t="s">
        <v>3959</v>
      </c>
      <c r="E155" s="585"/>
      <c r="F155" s="586"/>
      <c r="G155" s="548">
        <f t="shared" si="4"/>
        <v>0</v>
      </c>
      <c r="H155" s="673" t="str">
        <f t="shared" si="9"/>
        <v/>
      </c>
    </row>
    <row r="156" spans="1:8" ht="13.5" customHeight="1">
      <c r="A156" s="630"/>
      <c r="B156" s="632"/>
      <c r="C156" s="569">
        <v>10500913</v>
      </c>
      <c r="D156" s="501" t="s">
        <v>3960</v>
      </c>
      <c r="E156" s="585"/>
      <c r="F156" s="586"/>
      <c r="G156" s="548">
        <f t="shared" ref="G156:G219" si="10">SUM(H156:I156)</f>
        <v>0</v>
      </c>
      <c r="H156" s="673" t="str">
        <f t="shared" si="9"/>
        <v/>
      </c>
    </row>
    <row r="157" spans="1:8" ht="13.5" customHeight="1">
      <c r="A157" s="630"/>
      <c r="B157" s="632"/>
      <c r="C157" s="569">
        <v>10500914</v>
      </c>
      <c r="D157" s="501" t="s">
        <v>3961</v>
      </c>
      <c r="E157" s="585"/>
      <c r="F157" s="586"/>
      <c r="G157" s="548">
        <f t="shared" si="10"/>
        <v>0</v>
      </c>
      <c r="H157" s="673" t="str">
        <f t="shared" si="9"/>
        <v/>
      </c>
    </row>
    <row r="158" spans="1:8" ht="13.5" customHeight="1">
      <c r="A158" s="630"/>
      <c r="B158" s="632"/>
      <c r="C158" s="569">
        <v>10500915</v>
      </c>
      <c r="D158" s="501" t="s">
        <v>3962</v>
      </c>
      <c r="E158" s="585"/>
      <c r="F158" s="586"/>
      <c r="G158" s="548">
        <f t="shared" si="10"/>
        <v>0</v>
      </c>
      <c r="H158" s="673" t="str">
        <f t="shared" si="9"/>
        <v/>
      </c>
    </row>
    <row r="159" spans="1:8" ht="13.5" customHeight="1">
      <c r="A159" s="630"/>
      <c r="B159" s="632"/>
      <c r="C159" s="569">
        <v>10500916</v>
      </c>
      <c r="D159" s="501" t="s">
        <v>3963</v>
      </c>
      <c r="E159" s="585"/>
      <c r="F159" s="586"/>
      <c r="G159" s="548">
        <f t="shared" si="10"/>
        <v>0</v>
      </c>
      <c r="H159" s="673" t="str">
        <f t="shared" si="9"/>
        <v/>
      </c>
    </row>
    <row r="160" spans="1:8" ht="13.5" customHeight="1">
      <c r="A160" s="630"/>
      <c r="B160" s="632"/>
      <c r="C160" s="569">
        <v>10500917</v>
      </c>
      <c r="D160" s="501" t="s">
        <v>3964</v>
      </c>
      <c r="E160" s="585"/>
      <c r="F160" s="586"/>
      <c r="G160" s="548">
        <f t="shared" si="10"/>
        <v>0</v>
      </c>
      <c r="H160" s="673" t="str">
        <f t="shared" ref="H160:H169" si="11">IF(H$22="009車庫、工場建物",ROUND(H39+H39/(H$5-H$6)*H$6+H39/(H$5-H$6)*H$15,-3),"")</f>
        <v/>
      </c>
    </row>
    <row r="161" spans="1:8" ht="13.5" customHeight="1">
      <c r="A161" s="630"/>
      <c r="B161" s="632"/>
      <c r="C161" s="569">
        <v>10500918</v>
      </c>
      <c r="D161" s="501" t="s">
        <v>3965</v>
      </c>
      <c r="E161" s="585"/>
      <c r="F161" s="586"/>
      <c r="G161" s="548">
        <f t="shared" si="10"/>
        <v>0</v>
      </c>
      <c r="H161" s="673" t="str">
        <f t="shared" si="11"/>
        <v/>
      </c>
    </row>
    <row r="162" spans="1:8" ht="13.5" customHeight="1">
      <c r="A162" s="630"/>
      <c r="B162" s="632"/>
      <c r="C162" s="569">
        <v>10500919</v>
      </c>
      <c r="D162" s="501" t="s">
        <v>3966</v>
      </c>
      <c r="E162" s="585"/>
      <c r="F162" s="586"/>
      <c r="G162" s="548">
        <f t="shared" si="10"/>
        <v>0</v>
      </c>
      <c r="H162" s="673" t="str">
        <f t="shared" si="11"/>
        <v/>
      </c>
    </row>
    <row r="163" spans="1:8" ht="13.5" customHeight="1">
      <c r="A163" s="630"/>
      <c r="B163" s="632"/>
      <c r="C163" s="569">
        <v>10500920</v>
      </c>
      <c r="D163" s="501" t="s">
        <v>3967</v>
      </c>
      <c r="E163" s="585"/>
      <c r="F163" s="586"/>
      <c r="G163" s="548">
        <f t="shared" si="10"/>
        <v>0</v>
      </c>
      <c r="H163" s="673" t="str">
        <f t="shared" si="11"/>
        <v/>
      </c>
    </row>
    <row r="164" spans="1:8" ht="13.5" customHeight="1">
      <c r="A164" s="630"/>
      <c r="B164" s="632"/>
      <c r="C164" s="569">
        <v>10500921</v>
      </c>
      <c r="D164" s="501" t="s">
        <v>3968</v>
      </c>
      <c r="E164" s="585"/>
      <c r="F164" s="586"/>
      <c r="G164" s="548">
        <f t="shared" si="10"/>
        <v>0</v>
      </c>
      <c r="H164" s="673" t="str">
        <f t="shared" si="11"/>
        <v/>
      </c>
    </row>
    <row r="165" spans="1:8" ht="13.5" customHeight="1">
      <c r="A165" s="630"/>
      <c r="B165" s="632"/>
      <c r="C165" s="569">
        <v>10500922</v>
      </c>
      <c r="D165" s="501" t="s">
        <v>3969</v>
      </c>
      <c r="E165" s="585"/>
      <c r="F165" s="586"/>
      <c r="G165" s="548">
        <f t="shared" si="10"/>
        <v>0</v>
      </c>
      <c r="H165" s="673" t="str">
        <f t="shared" si="11"/>
        <v/>
      </c>
    </row>
    <row r="166" spans="1:8" ht="13.5" customHeight="1">
      <c r="A166" s="630"/>
      <c r="B166" s="632"/>
      <c r="C166" s="569">
        <v>10500923</v>
      </c>
      <c r="D166" s="501" t="s">
        <v>3970</v>
      </c>
      <c r="E166" s="585"/>
      <c r="F166" s="586"/>
      <c r="G166" s="548">
        <f t="shared" si="10"/>
        <v>0</v>
      </c>
      <c r="H166" s="673" t="str">
        <f t="shared" si="11"/>
        <v/>
      </c>
    </row>
    <row r="167" spans="1:8" ht="13.5" customHeight="1">
      <c r="A167" s="630"/>
      <c r="B167" s="632"/>
      <c r="C167" s="569">
        <v>10500924</v>
      </c>
      <c r="D167" s="501" t="s">
        <v>3971</v>
      </c>
      <c r="E167" s="585"/>
      <c r="F167" s="586"/>
      <c r="G167" s="548">
        <f t="shared" si="10"/>
        <v>0</v>
      </c>
      <c r="H167" s="673" t="str">
        <f t="shared" si="11"/>
        <v/>
      </c>
    </row>
    <row r="168" spans="1:8" ht="13.5" customHeight="1">
      <c r="A168" s="630"/>
      <c r="B168" s="632"/>
      <c r="C168" s="569">
        <v>10500925</v>
      </c>
      <c r="D168" s="501" t="s">
        <v>3972</v>
      </c>
      <c r="E168" s="585"/>
      <c r="F168" s="586"/>
      <c r="G168" s="548">
        <f t="shared" si="10"/>
        <v>0</v>
      </c>
      <c r="H168" s="673" t="str">
        <f t="shared" si="11"/>
        <v/>
      </c>
    </row>
    <row r="169" spans="1:8" ht="13.5" customHeight="1">
      <c r="A169" s="630"/>
      <c r="B169" s="632"/>
      <c r="C169" s="701"/>
      <c r="D169" s="752"/>
      <c r="E169" s="753"/>
      <c r="F169" s="702"/>
      <c r="G169" s="754">
        <f t="shared" si="10"/>
        <v>0</v>
      </c>
      <c r="H169" s="755" t="str">
        <f t="shared" si="11"/>
        <v/>
      </c>
    </row>
    <row r="170" spans="1:8" ht="13.5" customHeight="1">
      <c r="A170" s="630"/>
      <c r="B170" s="528"/>
      <c r="C170" s="569">
        <v>10501001</v>
      </c>
      <c r="D170" s="501" t="s">
        <v>3973</v>
      </c>
      <c r="E170" s="585"/>
      <c r="F170" s="586"/>
      <c r="G170" s="548">
        <f t="shared" si="10"/>
        <v>0</v>
      </c>
      <c r="H170" s="757" t="str">
        <f t="shared" ref="H170:H185" si="12">IF(H$22="010倉庫建物",ROUND(H23+H23/(H$5-H$6)*H$6+H23/(H$5-H$6)*H$15,-3),"")</f>
        <v/>
      </c>
    </row>
    <row r="171" spans="1:8" ht="13.5" customHeight="1">
      <c r="A171" s="630"/>
      <c r="C171" s="569">
        <v>10501002</v>
      </c>
      <c r="D171" s="501" t="s">
        <v>3974</v>
      </c>
      <c r="E171" s="585"/>
      <c r="F171" s="586"/>
      <c r="G171" s="548">
        <f t="shared" si="10"/>
        <v>0</v>
      </c>
      <c r="H171" s="673" t="str">
        <f t="shared" si="12"/>
        <v/>
      </c>
    </row>
    <row r="172" spans="1:8" ht="13.5" customHeight="1">
      <c r="A172" s="630"/>
      <c r="C172" s="569">
        <v>10501003</v>
      </c>
      <c r="D172" s="501" t="s">
        <v>3975</v>
      </c>
      <c r="E172" s="585"/>
      <c r="F172" s="586"/>
      <c r="G172" s="548">
        <f t="shared" si="10"/>
        <v>0</v>
      </c>
      <c r="H172" s="673" t="str">
        <f t="shared" si="12"/>
        <v/>
      </c>
    </row>
    <row r="173" spans="1:8" ht="13.5" customHeight="1">
      <c r="A173" s="630"/>
      <c r="C173" s="569">
        <v>10501004</v>
      </c>
      <c r="D173" s="501" t="s">
        <v>3976</v>
      </c>
      <c r="E173" s="585"/>
      <c r="F173" s="586"/>
      <c r="G173" s="548">
        <f t="shared" si="10"/>
        <v>0</v>
      </c>
      <c r="H173" s="673" t="str">
        <f t="shared" si="12"/>
        <v/>
      </c>
    </row>
    <row r="174" spans="1:8" ht="13.5" customHeight="1">
      <c r="A174" s="630"/>
      <c r="C174" s="569">
        <v>10501005</v>
      </c>
      <c r="D174" s="501" t="s">
        <v>3977</v>
      </c>
      <c r="E174" s="585"/>
      <c r="F174" s="586"/>
      <c r="G174" s="548">
        <f t="shared" si="10"/>
        <v>0</v>
      </c>
      <c r="H174" s="673" t="str">
        <f t="shared" si="12"/>
        <v/>
      </c>
    </row>
    <row r="175" spans="1:8" ht="13.5" customHeight="1">
      <c r="A175" s="630"/>
      <c r="C175" s="569">
        <v>10501006</v>
      </c>
      <c r="D175" s="501" t="s">
        <v>3978</v>
      </c>
      <c r="E175" s="585"/>
      <c r="F175" s="586"/>
      <c r="G175" s="548">
        <f t="shared" si="10"/>
        <v>0</v>
      </c>
      <c r="H175" s="673" t="str">
        <f t="shared" si="12"/>
        <v/>
      </c>
    </row>
    <row r="176" spans="1:8" ht="13.5" customHeight="1">
      <c r="A176" s="630"/>
      <c r="C176" s="569">
        <v>10501007</v>
      </c>
      <c r="D176" s="501" t="s">
        <v>3979</v>
      </c>
      <c r="E176" s="585"/>
      <c r="F176" s="586"/>
      <c r="G176" s="548">
        <f t="shared" si="10"/>
        <v>0</v>
      </c>
      <c r="H176" s="673" t="str">
        <f t="shared" si="12"/>
        <v/>
      </c>
    </row>
    <row r="177" spans="1:8" ht="13.5" customHeight="1">
      <c r="A177" s="630"/>
      <c r="C177" s="569">
        <v>10501008</v>
      </c>
      <c r="D177" s="501" t="s">
        <v>3980</v>
      </c>
      <c r="E177" s="585"/>
      <c r="F177" s="586"/>
      <c r="G177" s="548">
        <f t="shared" si="10"/>
        <v>0</v>
      </c>
      <c r="H177" s="673" t="str">
        <f t="shared" si="12"/>
        <v/>
      </c>
    </row>
    <row r="178" spans="1:8" ht="13.5" customHeight="1">
      <c r="A178" s="630"/>
      <c r="C178" s="569">
        <v>10501009</v>
      </c>
      <c r="D178" s="501" t="s">
        <v>3981</v>
      </c>
      <c r="E178" s="585"/>
      <c r="F178" s="586"/>
      <c r="G178" s="548">
        <f t="shared" si="10"/>
        <v>0</v>
      </c>
      <c r="H178" s="673" t="str">
        <f t="shared" si="12"/>
        <v/>
      </c>
    </row>
    <row r="179" spans="1:8" ht="13.5" customHeight="1">
      <c r="A179" s="630"/>
      <c r="C179" s="569">
        <v>10501010</v>
      </c>
      <c r="D179" s="501" t="s">
        <v>3982</v>
      </c>
      <c r="E179" s="585"/>
      <c r="F179" s="586"/>
      <c r="G179" s="548">
        <f t="shared" si="10"/>
        <v>0</v>
      </c>
      <c r="H179" s="673" t="str">
        <f t="shared" si="12"/>
        <v/>
      </c>
    </row>
    <row r="180" spans="1:8" ht="13.5" customHeight="1">
      <c r="A180" s="630"/>
      <c r="C180" s="569">
        <v>10501011</v>
      </c>
      <c r="D180" s="501" t="s">
        <v>3719</v>
      </c>
      <c r="E180" s="585"/>
      <c r="F180" s="586"/>
      <c r="G180" s="548">
        <f t="shared" si="10"/>
        <v>0</v>
      </c>
      <c r="H180" s="673" t="str">
        <f t="shared" si="12"/>
        <v/>
      </c>
    </row>
    <row r="181" spans="1:8" ht="13.5" customHeight="1">
      <c r="A181" s="630"/>
      <c r="C181" s="569">
        <v>10501012</v>
      </c>
      <c r="D181" s="501" t="s">
        <v>3983</v>
      </c>
      <c r="E181" s="585"/>
      <c r="F181" s="586"/>
      <c r="G181" s="548">
        <f t="shared" si="10"/>
        <v>0</v>
      </c>
      <c r="H181" s="673" t="str">
        <f t="shared" si="12"/>
        <v/>
      </c>
    </row>
    <row r="182" spans="1:8" ht="13.5" customHeight="1">
      <c r="A182" s="630"/>
      <c r="C182" s="569">
        <v>10501013</v>
      </c>
      <c r="D182" s="501" t="s">
        <v>3984</v>
      </c>
      <c r="E182" s="585"/>
      <c r="F182" s="586"/>
      <c r="G182" s="548">
        <f t="shared" si="10"/>
        <v>0</v>
      </c>
      <c r="H182" s="673" t="str">
        <f t="shared" si="12"/>
        <v/>
      </c>
    </row>
    <row r="183" spans="1:8" ht="13.5" customHeight="1">
      <c r="A183" s="630"/>
      <c r="C183" s="569">
        <v>10501014</v>
      </c>
      <c r="D183" s="501" t="s">
        <v>3985</v>
      </c>
      <c r="E183" s="585"/>
      <c r="F183" s="586"/>
      <c r="G183" s="548">
        <f t="shared" si="10"/>
        <v>0</v>
      </c>
      <c r="H183" s="673" t="str">
        <f t="shared" si="12"/>
        <v/>
      </c>
    </row>
    <row r="184" spans="1:8" ht="13.5" customHeight="1">
      <c r="A184" s="630"/>
      <c r="C184" s="569">
        <v>10501015</v>
      </c>
      <c r="D184" s="501" t="s">
        <v>3986</v>
      </c>
      <c r="E184" s="585"/>
      <c r="F184" s="586"/>
      <c r="G184" s="548">
        <f t="shared" si="10"/>
        <v>0</v>
      </c>
      <c r="H184" s="673" t="str">
        <f t="shared" si="12"/>
        <v/>
      </c>
    </row>
    <row r="185" spans="1:8" ht="13.5" customHeight="1">
      <c r="A185" s="630"/>
      <c r="C185" s="569">
        <v>10501016</v>
      </c>
      <c r="D185" s="501" t="s">
        <v>3987</v>
      </c>
      <c r="E185" s="585"/>
      <c r="F185" s="586"/>
      <c r="G185" s="548">
        <f t="shared" si="10"/>
        <v>0</v>
      </c>
      <c r="H185" s="673" t="str">
        <f t="shared" si="12"/>
        <v/>
      </c>
    </row>
    <row r="186" spans="1:8" ht="13.5" customHeight="1">
      <c r="A186" s="630"/>
      <c r="C186" s="569">
        <v>10501017</v>
      </c>
      <c r="D186" s="501" t="s">
        <v>3720</v>
      </c>
      <c r="E186" s="585"/>
      <c r="F186" s="586"/>
      <c r="G186" s="548">
        <f t="shared" si="10"/>
        <v>0</v>
      </c>
      <c r="H186" s="673" t="str">
        <f t="shared" ref="H186:H195" si="13">IF(H$22="010倉庫建物",ROUND(H39+H39/(H$5-H$6)*H$6+H39/(H$5-H$6)*H$15,-3),"")</f>
        <v/>
      </c>
    </row>
    <row r="187" spans="1:8" ht="13.5" customHeight="1">
      <c r="A187" s="630"/>
      <c r="C187" s="569">
        <v>10501018</v>
      </c>
      <c r="D187" s="501" t="s">
        <v>3988</v>
      </c>
      <c r="E187" s="585"/>
      <c r="F187" s="586"/>
      <c r="G187" s="548">
        <f t="shared" si="10"/>
        <v>0</v>
      </c>
      <c r="H187" s="673" t="str">
        <f t="shared" si="13"/>
        <v/>
      </c>
    </row>
    <row r="188" spans="1:8" ht="13.5" customHeight="1">
      <c r="A188" s="630"/>
      <c r="C188" s="569">
        <v>10501019</v>
      </c>
      <c r="D188" s="501" t="s">
        <v>3989</v>
      </c>
      <c r="E188" s="585"/>
      <c r="F188" s="586"/>
      <c r="G188" s="548">
        <f t="shared" si="10"/>
        <v>0</v>
      </c>
      <c r="H188" s="673" t="str">
        <f t="shared" si="13"/>
        <v/>
      </c>
    </row>
    <row r="189" spans="1:8" ht="13.5" customHeight="1">
      <c r="A189" s="630"/>
      <c r="C189" s="569">
        <v>10501020</v>
      </c>
      <c r="D189" s="501" t="s">
        <v>3721</v>
      </c>
      <c r="E189" s="585"/>
      <c r="F189" s="586"/>
      <c r="G189" s="548">
        <f t="shared" si="10"/>
        <v>0</v>
      </c>
      <c r="H189" s="673" t="str">
        <f t="shared" si="13"/>
        <v/>
      </c>
    </row>
    <row r="190" spans="1:8" ht="13.5" customHeight="1">
      <c r="A190" s="630"/>
      <c r="C190" s="569">
        <v>10501021</v>
      </c>
      <c r="D190" s="501" t="s">
        <v>3990</v>
      </c>
      <c r="E190" s="585"/>
      <c r="F190" s="586"/>
      <c r="G190" s="548">
        <f t="shared" si="10"/>
        <v>0</v>
      </c>
      <c r="H190" s="673" t="str">
        <f t="shared" si="13"/>
        <v/>
      </c>
    </row>
    <row r="191" spans="1:8" ht="13.5" customHeight="1">
      <c r="A191" s="630"/>
      <c r="C191" s="569">
        <v>10501022</v>
      </c>
      <c r="D191" s="501" t="s">
        <v>3991</v>
      </c>
      <c r="E191" s="585"/>
      <c r="F191" s="586"/>
      <c r="G191" s="548">
        <f t="shared" si="10"/>
        <v>0</v>
      </c>
      <c r="H191" s="673" t="str">
        <f t="shared" si="13"/>
        <v/>
      </c>
    </row>
    <row r="192" spans="1:8" ht="13.5" customHeight="1">
      <c r="A192" s="630"/>
      <c r="C192" s="569">
        <v>10501023</v>
      </c>
      <c r="D192" s="501" t="s">
        <v>3722</v>
      </c>
      <c r="E192" s="585"/>
      <c r="F192" s="586"/>
      <c r="G192" s="548">
        <f t="shared" si="10"/>
        <v>0</v>
      </c>
      <c r="H192" s="673" t="str">
        <f t="shared" si="13"/>
        <v/>
      </c>
    </row>
    <row r="193" spans="1:8" ht="13.5" customHeight="1">
      <c r="A193" s="630"/>
      <c r="C193" s="569">
        <v>10501024</v>
      </c>
      <c r="D193" s="501" t="s">
        <v>3992</v>
      </c>
      <c r="E193" s="585"/>
      <c r="F193" s="586"/>
      <c r="G193" s="548">
        <f t="shared" si="10"/>
        <v>0</v>
      </c>
      <c r="H193" s="673" t="str">
        <f t="shared" si="13"/>
        <v/>
      </c>
    </row>
    <row r="194" spans="1:8" ht="13.5" customHeight="1">
      <c r="A194" s="630"/>
      <c r="C194" s="569">
        <v>10501025</v>
      </c>
      <c r="D194" s="501" t="s">
        <v>3993</v>
      </c>
      <c r="E194" s="585"/>
      <c r="F194" s="586"/>
      <c r="G194" s="548">
        <f t="shared" si="10"/>
        <v>0</v>
      </c>
      <c r="H194" s="673" t="str">
        <f t="shared" si="13"/>
        <v/>
      </c>
    </row>
    <row r="195" spans="1:8" ht="13.5" customHeight="1">
      <c r="A195" s="630"/>
      <c r="B195" s="632"/>
      <c r="C195" s="701"/>
      <c r="D195" s="752"/>
      <c r="E195" s="753"/>
      <c r="F195" s="702"/>
      <c r="G195" s="754">
        <f t="shared" si="10"/>
        <v>0</v>
      </c>
      <c r="H195" s="755" t="str">
        <f t="shared" si="13"/>
        <v/>
      </c>
    </row>
    <row r="196" spans="1:8" ht="13.5" customHeight="1">
      <c r="A196" s="630"/>
      <c r="C196" s="569">
        <v>10501101</v>
      </c>
      <c r="D196" s="501" t="s">
        <v>3994</v>
      </c>
      <c r="E196" s="585"/>
      <c r="F196" s="586"/>
      <c r="G196" s="548">
        <f t="shared" si="10"/>
        <v>0</v>
      </c>
      <c r="H196" s="757" t="str">
        <f t="shared" ref="H196:H211" si="14">IF(H$22="011詰所建物",ROUND(H23+H23/(H$5-H$6)*H$6+H23/(H$5-H$6)*H$15,-3),"")</f>
        <v/>
      </c>
    </row>
    <row r="197" spans="1:8" ht="13.5" customHeight="1">
      <c r="A197" s="630"/>
      <c r="C197" s="569">
        <v>10501102</v>
      </c>
      <c r="D197" s="501" t="s">
        <v>3995</v>
      </c>
      <c r="E197" s="585"/>
      <c r="F197" s="586"/>
      <c r="G197" s="548">
        <f t="shared" si="10"/>
        <v>0</v>
      </c>
      <c r="H197" s="673" t="str">
        <f t="shared" si="14"/>
        <v/>
      </c>
    </row>
    <row r="198" spans="1:8" ht="13.5" customHeight="1">
      <c r="A198" s="630"/>
      <c r="C198" s="569">
        <v>10501103</v>
      </c>
      <c r="D198" s="501" t="s">
        <v>3996</v>
      </c>
      <c r="E198" s="585"/>
      <c r="F198" s="586"/>
      <c r="G198" s="548">
        <f t="shared" si="10"/>
        <v>0</v>
      </c>
      <c r="H198" s="673" t="str">
        <f t="shared" si="14"/>
        <v/>
      </c>
    </row>
    <row r="199" spans="1:8" ht="13.5" customHeight="1">
      <c r="A199" s="630"/>
      <c r="C199" s="569">
        <v>10501104</v>
      </c>
      <c r="D199" s="501" t="s">
        <v>3997</v>
      </c>
      <c r="E199" s="585"/>
      <c r="F199" s="586"/>
      <c r="G199" s="548">
        <f t="shared" si="10"/>
        <v>0</v>
      </c>
      <c r="H199" s="673" t="str">
        <f t="shared" si="14"/>
        <v/>
      </c>
    </row>
    <row r="200" spans="1:8" ht="13.5" customHeight="1">
      <c r="A200" s="630"/>
      <c r="C200" s="569">
        <v>10501105</v>
      </c>
      <c r="D200" s="501" t="s">
        <v>3998</v>
      </c>
      <c r="E200" s="585"/>
      <c r="F200" s="586"/>
      <c r="G200" s="548">
        <f t="shared" si="10"/>
        <v>0</v>
      </c>
      <c r="H200" s="673" t="str">
        <f t="shared" si="14"/>
        <v/>
      </c>
    </row>
    <row r="201" spans="1:8" ht="13.5" customHeight="1">
      <c r="A201" s="630"/>
      <c r="C201" s="569">
        <v>10501106</v>
      </c>
      <c r="D201" s="501" t="s">
        <v>3999</v>
      </c>
      <c r="E201" s="585"/>
      <c r="F201" s="586"/>
      <c r="G201" s="548">
        <f t="shared" si="10"/>
        <v>0</v>
      </c>
      <c r="H201" s="673" t="str">
        <f t="shared" si="14"/>
        <v/>
      </c>
    </row>
    <row r="202" spans="1:8" ht="13.5" customHeight="1">
      <c r="A202" s="630"/>
      <c r="C202" s="569">
        <v>10501107</v>
      </c>
      <c r="D202" s="501" t="s">
        <v>4000</v>
      </c>
      <c r="E202" s="585"/>
      <c r="F202" s="586"/>
      <c r="G202" s="548">
        <f t="shared" si="10"/>
        <v>0</v>
      </c>
      <c r="H202" s="673" t="str">
        <f t="shared" si="14"/>
        <v/>
      </c>
    </row>
    <row r="203" spans="1:8" ht="13.5" customHeight="1">
      <c r="A203" s="630"/>
      <c r="C203" s="569">
        <v>10501108</v>
      </c>
      <c r="D203" s="501" t="s">
        <v>4001</v>
      </c>
      <c r="E203" s="585"/>
      <c r="F203" s="586"/>
      <c r="G203" s="548">
        <f t="shared" si="10"/>
        <v>0</v>
      </c>
      <c r="H203" s="673" t="str">
        <f t="shared" si="14"/>
        <v/>
      </c>
    </row>
    <row r="204" spans="1:8" ht="13.5" customHeight="1">
      <c r="A204" s="630"/>
      <c r="C204" s="569">
        <v>10501109</v>
      </c>
      <c r="D204" s="501" t="s">
        <v>4002</v>
      </c>
      <c r="E204" s="585"/>
      <c r="F204" s="586"/>
      <c r="G204" s="548">
        <f t="shared" si="10"/>
        <v>0</v>
      </c>
      <c r="H204" s="673" t="str">
        <f t="shared" si="14"/>
        <v/>
      </c>
    </row>
    <row r="205" spans="1:8" ht="13.5" customHeight="1">
      <c r="A205" s="630"/>
      <c r="C205" s="569">
        <v>10501110</v>
      </c>
      <c r="D205" s="501" t="s">
        <v>4003</v>
      </c>
      <c r="E205" s="585"/>
      <c r="F205" s="586"/>
      <c r="G205" s="548">
        <f t="shared" si="10"/>
        <v>0</v>
      </c>
      <c r="H205" s="673" t="str">
        <f t="shared" si="14"/>
        <v/>
      </c>
    </row>
    <row r="206" spans="1:8" ht="13.5" customHeight="1">
      <c r="A206" s="630"/>
      <c r="C206" s="569">
        <v>10501111</v>
      </c>
      <c r="D206" s="501" t="s">
        <v>4004</v>
      </c>
      <c r="E206" s="585"/>
      <c r="F206" s="586"/>
      <c r="G206" s="548">
        <f t="shared" si="10"/>
        <v>0</v>
      </c>
      <c r="H206" s="673" t="str">
        <f t="shared" si="14"/>
        <v/>
      </c>
    </row>
    <row r="207" spans="1:8" ht="13.5" customHeight="1">
      <c r="A207" s="630"/>
      <c r="C207" s="569">
        <v>10501112</v>
      </c>
      <c r="D207" s="501" t="s">
        <v>4005</v>
      </c>
      <c r="E207" s="585"/>
      <c r="F207" s="586"/>
      <c r="G207" s="548">
        <f t="shared" si="10"/>
        <v>0</v>
      </c>
      <c r="H207" s="673" t="str">
        <f t="shared" si="14"/>
        <v/>
      </c>
    </row>
    <row r="208" spans="1:8" ht="13.5" customHeight="1">
      <c r="A208" s="630"/>
      <c r="C208" s="569">
        <v>10501113</v>
      </c>
      <c r="D208" s="501" t="s">
        <v>4006</v>
      </c>
      <c r="E208" s="585"/>
      <c r="F208" s="586"/>
      <c r="G208" s="548">
        <f t="shared" si="10"/>
        <v>0</v>
      </c>
      <c r="H208" s="673" t="str">
        <f t="shared" si="14"/>
        <v/>
      </c>
    </row>
    <row r="209" spans="1:8" ht="13.5" customHeight="1">
      <c r="A209" s="630"/>
      <c r="C209" s="569">
        <v>10501114</v>
      </c>
      <c r="D209" s="501" t="s">
        <v>4007</v>
      </c>
      <c r="E209" s="585"/>
      <c r="F209" s="586"/>
      <c r="G209" s="548">
        <f t="shared" si="10"/>
        <v>0</v>
      </c>
      <c r="H209" s="673" t="str">
        <f t="shared" si="14"/>
        <v/>
      </c>
    </row>
    <row r="210" spans="1:8" ht="13.5" customHeight="1">
      <c r="A210" s="630"/>
      <c r="C210" s="569">
        <v>10501115</v>
      </c>
      <c r="D210" s="501" t="s">
        <v>4008</v>
      </c>
      <c r="E210" s="585"/>
      <c r="F210" s="586"/>
      <c r="G210" s="548">
        <f t="shared" si="10"/>
        <v>0</v>
      </c>
      <c r="H210" s="673" t="str">
        <f t="shared" si="14"/>
        <v/>
      </c>
    </row>
    <row r="211" spans="1:8" ht="13.5" customHeight="1">
      <c r="A211" s="630"/>
      <c r="C211" s="569">
        <v>10501116</v>
      </c>
      <c r="D211" s="501" t="s">
        <v>4009</v>
      </c>
      <c r="E211" s="585"/>
      <c r="F211" s="586"/>
      <c r="G211" s="548">
        <f t="shared" si="10"/>
        <v>0</v>
      </c>
      <c r="H211" s="673" t="str">
        <f t="shared" si="14"/>
        <v/>
      </c>
    </row>
    <row r="212" spans="1:8" ht="13.5" customHeight="1">
      <c r="A212" s="630"/>
      <c r="C212" s="569">
        <v>10501117</v>
      </c>
      <c r="D212" s="501" t="s">
        <v>4010</v>
      </c>
      <c r="E212" s="585"/>
      <c r="F212" s="586"/>
      <c r="G212" s="548">
        <f t="shared" si="10"/>
        <v>0</v>
      </c>
      <c r="H212" s="673" t="str">
        <f t="shared" ref="H212:H221" si="15">IF(H$22="011詰所建物",ROUND(H39+H39/(H$5-H$6)*H$6+H39/(H$5-H$6)*H$15,-3),"")</f>
        <v/>
      </c>
    </row>
    <row r="213" spans="1:8" ht="13.5" customHeight="1">
      <c r="A213" s="630"/>
      <c r="C213" s="569">
        <v>10501118</v>
      </c>
      <c r="D213" s="501" t="s">
        <v>4011</v>
      </c>
      <c r="E213" s="585"/>
      <c r="F213" s="586"/>
      <c r="G213" s="548">
        <f t="shared" si="10"/>
        <v>0</v>
      </c>
      <c r="H213" s="673" t="str">
        <f t="shared" si="15"/>
        <v/>
      </c>
    </row>
    <row r="214" spans="1:8" ht="13.5" customHeight="1">
      <c r="A214" s="630"/>
      <c r="C214" s="569">
        <v>10501119</v>
      </c>
      <c r="D214" s="501" t="s">
        <v>4012</v>
      </c>
      <c r="E214" s="585"/>
      <c r="F214" s="586"/>
      <c r="G214" s="548">
        <f t="shared" si="10"/>
        <v>0</v>
      </c>
      <c r="H214" s="673" t="str">
        <f t="shared" si="15"/>
        <v/>
      </c>
    </row>
    <row r="215" spans="1:8" ht="13.5" customHeight="1">
      <c r="A215" s="630"/>
      <c r="C215" s="569">
        <v>10501120</v>
      </c>
      <c r="D215" s="501" t="s">
        <v>4013</v>
      </c>
      <c r="E215" s="585"/>
      <c r="F215" s="586"/>
      <c r="G215" s="548">
        <f t="shared" si="10"/>
        <v>0</v>
      </c>
      <c r="H215" s="673" t="str">
        <f t="shared" si="15"/>
        <v/>
      </c>
    </row>
    <row r="216" spans="1:8" ht="13.5" customHeight="1">
      <c r="A216" s="630"/>
      <c r="C216" s="569">
        <v>10501121</v>
      </c>
      <c r="D216" s="501" t="s">
        <v>4014</v>
      </c>
      <c r="E216" s="585"/>
      <c r="F216" s="586"/>
      <c r="G216" s="548">
        <f t="shared" si="10"/>
        <v>0</v>
      </c>
      <c r="H216" s="673" t="str">
        <f t="shared" si="15"/>
        <v/>
      </c>
    </row>
    <row r="217" spans="1:8" ht="13.5" customHeight="1">
      <c r="A217" s="630"/>
      <c r="C217" s="569">
        <v>10501122</v>
      </c>
      <c r="D217" s="501" t="s">
        <v>4015</v>
      </c>
      <c r="E217" s="585"/>
      <c r="F217" s="586"/>
      <c r="G217" s="548">
        <f t="shared" si="10"/>
        <v>0</v>
      </c>
      <c r="H217" s="673" t="str">
        <f t="shared" si="15"/>
        <v/>
      </c>
    </row>
    <row r="218" spans="1:8" ht="13.5" customHeight="1">
      <c r="A218" s="630"/>
      <c r="C218" s="569">
        <v>10501123</v>
      </c>
      <c r="D218" s="501" t="s">
        <v>4016</v>
      </c>
      <c r="E218" s="585"/>
      <c r="F218" s="586"/>
      <c r="G218" s="548">
        <f t="shared" si="10"/>
        <v>0</v>
      </c>
      <c r="H218" s="673" t="str">
        <f t="shared" si="15"/>
        <v/>
      </c>
    </row>
    <row r="219" spans="1:8" ht="13.5" customHeight="1">
      <c r="A219" s="630"/>
      <c r="C219" s="569">
        <v>10501124</v>
      </c>
      <c r="D219" s="501" t="s">
        <v>4017</v>
      </c>
      <c r="E219" s="585"/>
      <c r="F219" s="586"/>
      <c r="G219" s="548">
        <f t="shared" si="10"/>
        <v>0</v>
      </c>
      <c r="H219" s="673" t="str">
        <f t="shared" si="15"/>
        <v/>
      </c>
    </row>
    <row r="220" spans="1:8" ht="13.5" customHeight="1">
      <c r="A220" s="630"/>
      <c r="C220" s="569">
        <v>10501125</v>
      </c>
      <c r="D220" s="501" t="s">
        <v>4018</v>
      </c>
      <c r="E220" s="585"/>
      <c r="F220" s="586"/>
      <c r="G220" s="548">
        <f t="shared" ref="G220:G283" si="16">SUM(H220:I220)</f>
        <v>0</v>
      </c>
      <c r="H220" s="673" t="str">
        <f t="shared" si="15"/>
        <v/>
      </c>
    </row>
    <row r="221" spans="1:8" ht="13.5" customHeight="1">
      <c r="A221" s="630"/>
      <c r="B221" s="632"/>
      <c r="C221" s="701"/>
      <c r="D221" s="752"/>
      <c r="E221" s="753"/>
      <c r="F221" s="702"/>
      <c r="G221" s="754">
        <f t="shared" si="16"/>
        <v>0</v>
      </c>
      <c r="H221" s="755" t="str">
        <f t="shared" si="15"/>
        <v/>
      </c>
    </row>
    <row r="222" spans="1:8" ht="13.5" customHeight="1">
      <c r="A222" s="630"/>
      <c r="C222" s="569">
        <v>10501201</v>
      </c>
      <c r="D222" s="501" t="s">
        <v>4019</v>
      </c>
      <c r="E222" s="585"/>
      <c r="F222" s="586"/>
      <c r="G222" s="548">
        <f t="shared" si="16"/>
        <v>0</v>
      </c>
      <c r="H222" s="757" t="str">
        <f t="shared" ref="H222:H237" si="17">IF(H$22="012事務所建物",ROUND(H23+H23/(H$5-H$6)*H$6+H23/(H$5-H$6)*H$15,-3),"")</f>
        <v/>
      </c>
    </row>
    <row r="223" spans="1:8" ht="13.5" customHeight="1">
      <c r="A223" s="630"/>
      <c r="C223" s="569">
        <v>10501202</v>
      </c>
      <c r="D223" s="501" t="s">
        <v>4020</v>
      </c>
      <c r="E223" s="585"/>
      <c r="F223" s="586"/>
      <c r="G223" s="548">
        <f t="shared" si="16"/>
        <v>0</v>
      </c>
      <c r="H223" s="673" t="str">
        <f t="shared" si="17"/>
        <v/>
      </c>
    </row>
    <row r="224" spans="1:8" ht="13.5" customHeight="1">
      <c r="A224" s="630"/>
      <c r="C224" s="569">
        <v>10501203</v>
      </c>
      <c r="D224" s="501" t="s">
        <v>4021</v>
      </c>
      <c r="E224" s="585"/>
      <c r="F224" s="586"/>
      <c r="G224" s="548">
        <f t="shared" si="16"/>
        <v>0</v>
      </c>
      <c r="H224" s="673" t="str">
        <f t="shared" si="17"/>
        <v/>
      </c>
    </row>
    <row r="225" spans="1:8" ht="13.5" customHeight="1">
      <c r="A225" s="630"/>
      <c r="C225" s="569">
        <v>10501204</v>
      </c>
      <c r="D225" s="501" t="s">
        <v>4022</v>
      </c>
      <c r="E225" s="585"/>
      <c r="F225" s="586"/>
      <c r="G225" s="548">
        <f t="shared" si="16"/>
        <v>0</v>
      </c>
      <c r="H225" s="673" t="str">
        <f t="shared" si="17"/>
        <v/>
      </c>
    </row>
    <row r="226" spans="1:8" ht="13.5" customHeight="1">
      <c r="A226" s="630"/>
      <c r="C226" s="569">
        <v>10501205</v>
      </c>
      <c r="D226" s="501" t="s">
        <v>4023</v>
      </c>
      <c r="E226" s="585"/>
      <c r="F226" s="586"/>
      <c r="G226" s="548">
        <f t="shared" si="16"/>
        <v>0</v>
      </c>
      <c r="H226" s="673" t="str">
        <f t="shared" si="17"/>
        <v/>
      </c>
    </row>
    <row r="227" spans="1:8" ht="13.5" customHeight="1">
      <c r="A227" s="630"/>
      <c r="C227" s="569">
        <v>10501206</v>
      </c>
      <c r="D227" s="501" t="s">
        <v>4024</v>
      </c>
      <c r="E227" s="585"/>
      <c r="F227" s="586"/>
      <c r="G227" s="548">
        <f t="shared" si="16"/>
        <v>0</v>
      </c>
      <c r="H227" s="673" t="str">
        <f t="shared" si="17"/>
        <v/>
      </c>
    </row>
    <row r="228" spans="1:8" ht="13.5" customHeight="1">
      <c r="A228" s="630"/>
      <c r="C228" s="569">
        <v>10501207</v>
      </c>
      <c r="D228" s="501" t="s">
        <v>4025</v>
      </c>
      <c r="E228" s="585"/>
      <c r="F228" s="586"/>
      <c r="G228" s="548">
        <f t="shared" si="16"/>
        <v>0</v>
      </c>
      <c r="H228" s="673" t="str">
        <f t="shared" si="17"/>
        <v/>
      </c>
    </row>
    <row r="229" spans="1:8" ht="13.5" customHeight="1">
      <c r="A229" s="630"/>
      <c r="C229" s="569">
        <v>10501208</v>
      </c>
      <c r="D229" s="501" t="s">
        <v>3723</v>
      </c>
      <c r="E229" s="585"/>
      <c r="F229" s="586"/>
      <c r="G229" s="548">
        <f t="shared" si="16"/>
        <v>0</v>
      </c>
      <c r="H229" s="673" t="str">
        <f t="shared" si="17"/>
        <v/>
      </c>
    </row>
    <row r="230" spans="1:8" ht="13.5" customHeight="1">
      <c r="A230" s="630"/>
      <c r="C230" s="569">
        <v>10501209</v>
      </c>
      <c r="D230" s="501" t="s">
        <v>4026</v>
      </c>
      <c r="E230" s="585"/>
      <c r="F230" s="586"/>
      <c r="G230" s="548">
        <f t="shared" si="16"/>
        <v>0</v>
      </c>
      <c r="H230" s="673" t="str">
        <f t="shared" si="17"/>
        <v/>
      </c>
    </row>
    <row r="231" spans="1:8" ht="13.5" customHeight="1">
      <c r="A231" s="630"/>
      <c r="C231" s="569">
        <v>10501210</v>
      </c>
      <c r="D231" s="501" t="s">
        <v>4027</v>
      </c>
      <c r="E231" s="585"/>
      <c r="F231" s="586"/>
      <c r="G231" s="548">
        <f t="shared" si="16"/>
        <v>0</v>
      </c>
      <c r="H231" s="673" t="str">
        <f t="shared" si="17"/>
        <v/>
      </c>
    </row>
    <row r="232" spans="1:8" ht="13.5" customHeight="1">
      <c r="A232" s="630"/>
      <c r="C232" s="569">
        <v>10501211</v>
      </c>
      <c r="D232" s="501" t="s">
        <v>4028</v>
      </c>
      <c r="E232" s="585"/>
      <c r="F232" s="586"/>
      <c r="G232" s="548">
        <f t="shared" si="16"/>
        <v>0</v>
      </c>
      <c r="H232" s="673" t="str">
        <f t="shared" si="17"/>
        <v/>
      </c>
    </row>
    <row r="233" spans="1:8" ht="13.5" customHeight="1">
      <c r="A233" s="630"/>
      <c r="C233" s="569">
        <v>10501212</v>
      </c>
      <c r="D233" s="501" t="s">
        <v>4029</v>
      </c>
      <c r="E233" s="585"/>
      <c r="F233" s="586"/>
      <c r="G233" s="548">
        <f t="shared" si="16"/>
        <v>0</v>
      </c>
      <c r="H233" s="673" t="str">
        <f t="shared" si="17"/>
        <v/>
      </c>
    </row>
    <row r="234" spans="1:8" ht="13.5" customHeight="1">
      <c r="A234" s="630"/>
      <c r="C234" s="569">
        <v>10501213</v>
      </c>
      <c r="D234" s="501" t="s">
        <v>4030</v>
      </c>
      <c r="E234" s="585"/>
      <c r="F234" s="586"/>
      <c r="G234" s="548">
        <f t="shared" si="16"/>
        <v>0</v>
      </c>
      <c r="H234" s="673" t="str">
        <f t="shared" si="17"/>
        <v/>
      </c>
    </row>
    <row r="235" spans="1:8" ht="13.5" customHeight="1">
      <c r="A235" s="630"/>
      <c r="C235" s="569">
        <v>10501214</v>
      </c>
      <c r="D235" s="501" t="s">
        <v>4031</v>
      </c>
      <c r="E235" s="585"/>
      <c r="F235" s="586"/>
      <c r="G235" s="548">
        <f t="shared" si="16"/>
        <v>0</v>
      </c>
      <c r="H235" s="673" t="str">
        <f t="shared" si="17"/>
        <v/>
      </c>
    </row>
    <row r="236" spans="1:8" ht="13.5" customHeight="1">
      <c r="A236" s="630"/>
      <c r="C236" s="569">
        <v>10501215</v>
      </c>
      <c r="D236" s="501" t="s">
        <v>4032</v>
      </c>
      <c r="E236" s="585"/>
      <c r="F236" s="586"/>
      <c r="G236" s="548">
        <f t="shared" si="16"/>
        <v>0</v>
      </c>
      <c r="H236" s="673" t="str">
        <f t="shared" si="17"/>
        <v/>
      </c>
    </row>
    <row r="237" spans="1:8" ht="13.5" customHeight="1">
      <c r="A237" s="630"/>
      <c r="C237" s="569">
        <v>10501216</v>
      </c>
      <c r="D237" s="501" t="s">
        <v>4033</v>
      </c>
      <c r="E237" s="585"/>
      <c r="F237" s="586"/>
      <c r="G237" s="548">
        <f t="shared" si="16"/>
        <v>0</v>
      </c>
      <c r="H237" s="673" t="str">
        <f t="shared" si="17"/>
        <v/>
      </c>
    </row>
    <row r="238" spans="1:8" ht="13.5" customHeight="1">
      <c r="A238" s="630"/>
      <c r="C238" s="569">
        <v>10501217</v>
      </c>
      <c r="D238" s="501" t="s">
        <v>4034</v>
      </c>
      <c r="E238" s="585"/>
      <c r="F238" s="586"/>
      <c r="G238" s="548">
        <f t="shared" si="16"/>
        <v>0</v>
      </c>
      <c r="H238" s="673" t="str">
        <f t="shared" ref="H238:H247" si="18">IF(H$22="012事務所建物",ROUND(H39+H39/(H$5-H$6)*H$6+H39/(H$5-H$6)*H$15,-3),"")</f>
        <v/>
      </c>
    </row>
    <row r="239" spans="1:8" ht="13.5" customHeight="1">
      <c r="A239" s="630"/>
      <c r="C239" s="569">
        <v>10501218</v>
      </c>
      <c r="D239" s="501" t="s">
        <v>4035</v>
      </c>
      <c r="E239" s="585"/>
      <c r="F239" s="586"/>
      <c r="G239" s="548">
        <f t="shared" si="16"/>
        <v>0</v>
      </c>
      <c r="H239" s="673" t="str">
        <f t="shared" si="18"/>
        <v/>
      </c>
    </row>
    <row r="240" spans="1:8" ht="13.5" customHeight="1">
      <c r="A240" s="630"/>
      <c r="C240" s="569">
        <v>10501219</v>
      </c>
      <c r="D240" s="501" t="s">
        <v>4036</v>
      </c>
      <c r="E240" s="585"/>
      <c r="F240" s="586"/>
      <c r="G240" s="548">
        <f t="shared" si="16"/>
        <v>0</v>
      </c>
      <c r="H240" s="673" t="str">
        <f t="shared" si="18"/>
        <v/>
      </c>
    </row>
    <row r="241" spans="1:8" ht="13.5" customHeight="1">
      <c r="A241" s="630"/>
      <c r="C241" s="569">
        <v>10501220</v>
      </c>
      <c r="D241" s="501" t="s">
        <v>4037</v>
      </c>
      <c r="E241" s="585"/>
      <c r="F241" s="586"/>
      <c r="G241" s="548">
        <f t="shared" si="16"/>
        <v>0</v>
      </c>
      <c r="H241" s="673" t="str">
        <f t="shared" si="18"/>
        <v/>
      </c>
    </row>
    <row r="242" spans="1:8" ht="13.5" customHeight="1">
      <c r="A242" s="630"/>
      <c r="C242" s="569">
        <v>10501221</v>
      </c>
      <c r="D242" s="501" t="s">
        <v>4038</v>
      </c>
      <c r="E242" s="585"/>
      <c r="F242" s="586"/>
      <c r="G242" s="548">
        <f t="shared" si="16"/>
        <v>0</v>
      </c>
      <c r="H242" s="673" t="str">
        <f t="shared" si="18"/>
        <v/>
      </c>
    </row>
    <row r="243" spans="1:8" ht="13.5" customHeight="1">
      <c r="A243" s="630"/>
      <c r="C243" s="569">
        <v>10501222</v>
      </c>
      <c r="D243" s="501" t="s">
        <v>4039</v>
      </c>
      <c r="E243" s="585"/>
      <c r="F243" s="586"/>
      <c r="G243" s="548">
        <f t="shared" si="16"/>
        <v>0</v>
      </c>
      <c r="H243" s="673" t="str">
        <f t="shared" si="18"/>
        <v/>
      </c>
    </row>
    <row r="244" spans="1:8" ht="13.5" customHeight="1">
      <c r="A244" s="630"/>
      <c r="C244" s="569">
        <v>10501223</v>
      </c>
      <c r="D244" s="501" t="s">
        <v>4040</v>
      </c>
      <c r="E244" s="585"/>
      <c r="F244" s="586"/>
      <c r="G244" s="548">
        <f t="shared" si="16"/>
        <v>0</v>
      </c>
      <c r="H244" s="673" t="str">
        <f t="shared" si="18"/>
        <v/>
      </c>
    </row>
    <row r="245" spans="1:8" ht="13.5" customHeight="1">
      <c r="A245" s="630"/>
      <c r="C245" s="569">
        <v>10501224</v>
      </c>
      <c r="D245" s="501" t="s">
        <v>4041</v>
      </c>
      <c r="E245" s="585"/>
      <c r="F245" s="586"/>
      <c r="G245" s="548">
        <f t="shared" si="16"/>
        <v>0</v>
      </c>
      <c r="H245" s="673" t="str">
        <f t="shared" si="18"/>
        <v/>
      </c>
    </row>
    <row r="246" spans="1:8" ht="13.5" customHeight="1">
      <c r="A246" s="630"/>
      <c r="C246" s="569">
        <v>10501225</v>
      </c>
      <c r="D246" s="501" t="s">
        <v>4042</v>
      </c>
      <c r="E246" s="585"/>
      <c r="F246" s="586"/>
      <c r="G246" s="548">
        <f t="shared" si="16"/>
        <v>0</v>
      </c>
      <c r="H246" s="673" t="str">
        <f t="shared" si="18"/>
        <v/>
      </c>
    </row>
    <row r="247" spans="1:8" ht="13.5" customHeight="1">
      <c r="A247" s="630"/>
      <c r="B247" s="632"/>
      <c r="C247" s="701"/>
      <c r="D247" s="752"/>
      <c r="E247" s="753"/>
      <c r="F247" s="702"/>
      <c r="G247" s="754">
        <f t="shared" si="16"/>
        <v>0</v>
      </c>
      <c r="H247" s="755" t="str">
        <f t="shared" si="18"/>
        <v/>
      </c>
    </row>
    <row r="248" spans="1:8" ht="13.5" customHeight="1">
      <c r="A248" s="630"/>
      <c r="C248" s="569">
        <v>10501301</v>
      </c>
      <c r="D248" s="501" t="s">
        <v>4043</v>
      </c>
      <c r="E248" s="585"/>
      <c r="F248" s="586"/>
      <c r="G248" s="548">
        <f t="shared" si="16"/>
        <v>0</v>
      </c>
      <c r="H248" s="757" t="str">
        <f t="shared" ref="H248:H263" si="19">IF(H$22="013社宅及び寮建物",ROUND(H23+H23/(H$5-H$6)*H$6+H23/(H$5-H$6)*H$15,-3),"")</f>
        <v/>
      </c>
    </row>
    <row r="249" spans="1:8" ht="13.5" customHeight="1">
      <c r="A249" s="630"/>
      <c r="C249" s="569">
        <v>10501302</v>
      </c>
      <c r="D249" s="501" t="s">
        <v>4044</v>
      </c>
      <c r="E249" s="585"/>
      <c r="F249" s="586"/>
      <c r="G249" s="548">
        <f t="shared" si="16"/>
        <v>0</v>
      </c>
      <c r="H249" s="673" t="str">
        <f t="shared" si="19"/>
        <v/>
      </c>
    </row>
    <row r="250" spans="1:8" ht="13.5" customHeight="1">
      <c r="A250" s="630"/>
      <c r="C250" s="569">
        <v>10501303</v>
      </c>
      <c r="D250" s="501" t="s">
        <v>4045</v>
      </c>
      <c r="E250" s="585"/>
      <c r="F250" s="586"/>
      <c r="G250" s="548">
        <f t="shared" si="16"/>
        <v>0</v>
      </c>
      <c r="H250" s="673" t="str">
        <f t="shared" si="19"/>
        <v/>
      </c>
    </row>
    <row r="251" spans="1:8" ht="13.5" customHeight="1">
      <c r="A251" s="630"/>
      <c r="C251" s="569">
        <v>10501304</v>
      </c>
      <c r="D251" s="501" t="s">
        <v>4046</v>
      </c>
      <c r="E251" s="585"/>
      <c r="F251" s="586"/>
      <c r="G251" s="548">
        <f t="shared" si="16"/>
        <v>0</v>
      </c>
      <c r="H251" s="673" t="str">
        <f t="shared" si="19"/>
        <v/>
      </c>
    </row>
    <row r="252" spans="1:8" ht="13.5" customHeight="1">
      <c r="A252" s="630"/>
      <c r="C252" s="569">
        <v>10501305</v>
      </c>
      <c r="D252" s="501" t="s">
        <v>4047</v>
      </c>
      <c r="E252" s="585"/>
      <c r="F252" s="586"/>
      <c r="G252" s="548">
        <f t="shared" si="16"/>
        <v>0</v>
      </c>
      <c r="H252" s="673" t="str">
        <f t="shared" si="19"/>
        <v/>
      </c>
    </row>
    <row r="253" spans="1:8" ht="13.5" customHeight="1">
      <c r="A253" s="630"/>
      <c r="C253" s="569">
        <v>10501306</v>
      </c>
      <c r="D253" s="501" t="s">
        <v>4048</v>
      </c>
      <c r="E253" s="585"/>
      <c r="F253" s="586"/>
      <c r="G253" s="548">
        <f t="shared" si="16"/>
        <v>0</v>
      </c>
      <c r="H253" s="673" t="str">
        <f t="shared" si="19"/>
        <v/>
      </c>
    </row>
    <row r="254" spans="1:8" ht="13.5" customHeight="1">
      <c r="A254" s="630"/>
      <c r="C254" s="569">
        <v>10501307</v>
      </c>
      <c r="D254" s="501" t="s">
        <v>4049</v>
      </c>
      <c r="E254" s="585"/>
      <c r="F254" s="586"/>
      <c r="G254" s="548">
        <f t="shared" si="16"/>
        <v>0</v>
      </c>
      <c r="H254" s="673" t="str">
        <f t="shared" si="19"/>
        <v/>
      </c>
    </row>
    <row r="255" spans="1:8" ht="13.5" customHeight="1">
      <c r="A255" s="630"/>
      <c r="C255" s="569">
        <v>10501308</v>
      </c>
      <c r="D255" s="501" t="s">
        <v>4050</v>
      </c>
      <c r="E255" s="585"/>
      <c r="F255" s="586"/>
      <c r="G255" s="548">
        <f t="shared" si="16"/>
        <v>0</v>
      </c>
      <c r="H255" s="673" t="str">
        <f t="shared" si="19"/>
        <v/>
      </c>
    </row>
    <row r="256" spans="1:8" ht="13.5" customHeight="1">
      <c r="A256" s="630"/>
      <c r="C256" s="569">
        <v>10501309</v>
      </c>
      <c r="D256" s="501" t="s">
        <v>4051</v>
      </c>
      <c r="E256" s="585"/>
      <c r="F256" s="586"/>
      <c r="G256" s="548">
        <f t="shared" si="16"/>
        <v>0</v>
      </c>
      <c r="H256" s="673" t="str">
        <f t="shared" si="19"/>
        <v/>
      </c>
    </row>
    <row r="257" spans="1:8" ht="13.5" customHeight="1">
      <c r="A257" s="630"/>
      <c r="C257" s="569">
        <v>10501310</v>
      </c>
      <c r="D257" s="501" t="s">
        <v>4052</v>
      </c>
      <c r="E257" s="585"/>
      <c r="F257" s="586"/>
      <c r="G257" s="548">
        <f t="shared" si="16"/>
        <v>0</v>
      </c>
      <c r="H257" s="673" t="str">
        <f t="shared" si="19"/>
        <v/>
      </c>
    </row>
    <row r="258" spans="1:8" ht="13.5" customHeight="1">
      <c r="A258" s="630"/>
      <c r="C258" s="569">
        <v>10501311</v>
      </c>
      <c r="D258" s="501" t="s">
        <v>4053</v>
      </c>
      <c r="E258" s="585"/>
      <c r="F258" s="586"/>
      <c r="G258" s="548">
        <f t="shared" si="16"/>
        <v>0</v>
      </c>
      <c r="H258" s="673" t="str">
        <f t="shared" si="19"/>
        <v/>
      </c>
    </row>
    <row r="259" spans="1:8" ht="13.5" customHeight="1">
      <c r="A259" s="630"/>
      <c r="C259" s="569">
        <v>10501312</v>
      </c>
      <c r="D259" s="501" t="s">
        <v>4054</v>
      </c>
      <c r="E259" s="585"/>
      <c r="F259" s="586"/>
      <c r="G259" s="548">
        <f t="shared" si="16"/>
        <v>0</v>
      </c>
      <c r="H259" s="673" t="str">
        <f t="shared" si="19"/>
        <v/>
      </c>
    </row>
    <row r="260" spans="1:8" ht="13.5" customHeight="1">
      <c r="A260" s="630"/>
      <c r="C260" s="569">
        <v>10501313</v>
      </c>
      <c r="D260" s="501" t="s">
        <v>4055</v>
      </c>
      <c r="E260" s="585"/>
      <c r="F260" s="586"/>
      <c r="G260" s="548">
        <f t="shared" si="16"/>
        <v>0</v>
      </c>
      <c r="H260" s="673" t="str">
        <f t="shared" si="19"/>
        <v/>
      </c>
    </row>
    <row r="261" spans="1:8" ht="13.5" customHeight="1">
      <c r="A261" s="630"/>
      <c r="C261" s="569">
        <v>10501314</v>
      </c>
      <c r="D261" s="501" t="s">
        <v>4056</v>
      </c>
      <c r="E261" s="585"/>
      <c r="F261" s="586"/>
      <c r="G261" s="548">
        <f t="shared" si="16"/>
        <v>0</v>
      </c>
      <c r="H261" s="673" t="str">
        <f t="shared" si="19"/>
        <v/>
      </c>
    </row>
    <row r="262" spans="1:8" ht="13.5" customHeight="1">
      <c r="A262" s="630"/>
      <c r="C262" s="569">
        <v>10501315</v>
      </c>
      <c r="D262" s="501" t="s">
        <v>4057</v>
      </c>
      <c r="E262" s="585"/>
      <c r="F262" s="586"/>
      <c r="G262" s="548">
        <f t="shared" si="16"/>
        <v>0</v>
      </c>
      <c r="H262" s="673" t="str">
        <f t="shared" si="19"/>
        <v/>
      </c>
    </row>
    <row r="263" spans="1:8" ht="13.5" customHeight="1">
      <c r="A263" s="630"/>
      <c r="C263" s="569">
        <v>10501316</v>
      </c>
      <c r="D263" s="501" t="s">
        <v>4058</v>
      </c>
      <c r="E263" s="585"/>
      <c r="F263" s="586"/>
      <c r="G263" s="548">
        <f t="shared" si="16"/>
        <v>0</v>
      </c>
      <c r="H263" s="673" t="str">
        <f t="shared" si="19"/>
        <v/>
      </c>
    </row>
    <row r="264" spans="1:8" ht="13.5" customHeight="1">
      <c r="A264" s="630"/>
      <c r="C264" s="569">
        <v>10501317</v>
      </c>
      <c r="D264" s="501" t="s">
        <v>4059</v>
      </c>
      <c r="E264" s="585"/>
      <c r="F264" s="586"/>
      <c r="G264" s="548">
        <f t="shared" si="16"/>
        <v>0</v>
      </c>
      <c r="H264" s="673" t="str">
        <f t="shared" ref="H264:H273" si="20">IF(H$22="013社宅及び寮建物",ROUND(H39+H39/(H$5-H$6)*H$6+H39/(H$5-H$6)*H$15,-3),"")</f>
        <v/>
      </c>
    </row>
    <row r="265" spans="1:8" ht="13.5" customHeight="1">
      <c r="A265" s="630"/>
      <c r="C265" s="569">
        <v>10501318</v>
      </c>
      <c r="D265" s="501" t="s">
        <v>4060</v>
      </c>
      <c r="E265" s="585"/>
      <c r="F265" s="586"/>
      <c r="G265" s="548">
        <f t="shared" si="16"/>
        <v>0</v>
      </c>
      <c r="H265" s="673" t="str">
        <f t="shared" si="20"/>
        <v/>
      </c>
    </row>
    <row r="266" spans="1:8" ht="13.5" customHeight="1">
      <c r="A266" s="630"/>
      <c r="C266" s="569">
        <v>10501319</v>
      </c>
      <c r="D266" s="501" t="s">
        <v>4061</v>
      </c>
      <c r="E266" s="585"/>
      <c r="F266" s="586"/>
      <c r="G266" s="548">
        <f t="shared" si="16"/>
        <v>0</v>
      </c>
      <c r="H266" s="673" t="str">
        <f t="shared" si="20"/>
        <v/>
      </c>
    </row>
    <row r="267" spans="1:8" ht="13.5" customHeight="1">
      <c r="A267" s="630"/>
      <c r="C267" s="569">
        <v>10501320</v>
      </c>
      <c r="D267" s="501" t="s">
        <v>4062</v>
      </c>
      <c r="E267" s="585"/>
      <c r="F267" s="586"/>
      <c r="G267" s="548">
        <f t="shared" si="16"/>
        <v>0</v>
      </c>
      <c r="H267" s="673" t="str">
        <f t="shared" si="20"/>
        <v/>
      </c>
    </row>
    <row r="268" spans="1:8" ht="13.5" customHeight="1">
      <c r="A268" s="630"/>
      <c r="C268" s="569">
        <v>10501321</v>
      </c>
      <c r="D268" s="501" t="s">
        <v>4063</v>
      </c>
      <c r="E268" s="585"/>
      <c r="F268" s="586"/>
      <c r="G268" s="548">
        <f t="shared" si="16"/>
        <v>0</v>
      </c>
      <c r="H268" s="673" t="str">
        <f t="shared" si="20"/>
        <v/>
      </c>
    </row>
    <row r="269" spans="1:8" ht="13.5" customHeight="1">
      <c r="A269" s="630"/>
      <c r="C269" s="569">
        <v>10501322</v>
      </c>
      <c r="D269" s="501" t="s">
        <v>4064</v>
      </c>
      <c r="E269" s="585"/>
      <c r="F269" s="586"/>
      <c r="G269" s="548">
        <f t="shared" si="16"/>
        <v>0</v>
      </c>
      <c r="H269" s="673" t="str">
        <f t="shared" si="20"/>
        <v/>
      </c>
    </row>
    <row r="270" spans="1:8" ht="13.5" customHeight="1">
      <c r="A270" s="630"/>
      <c r="C270" s="569">
        <v>10501323</v>
      </c>
      <c r="D270" s="501" t="s">
        <v>4065</v>
      </c>
      <c r="E270" s="585"/>
      <c r="F270" s="586"/>
      <c r="G270" s="548">
        <f t="shared" si="16"/>
        <v>0</v>
      </c>
      <c r="H270" s="673" t="str">
        <f t="shared" si="20"/>
        <v/>
      </c>
    </row>
    <row r="271" spans="1:8" ht="13.5" customHeight="1">
      <c r="A271" s="630"/>
      <c r="C271" s="569">
        <v>10501324</v>
      </c>
      <c r="D271" s="501" t="s">
        <v>4066</v>
      </c>
      <c r="E271" s="585"/>
      <c r="F271" s="586"/>
      <c r="G271" s="548">
        <f t="shared" si="16"/>
        <v>0</v>
      </c>
      <c r="H271" s="673" t="str">
        <f t="shared" si="20"/>
        <v/>
      </c>
    </row>
    <row r="272" spans="1:8" ht="13.5" customHeight="1">
      <c r="A272" s="630"/>
      <c r="C272" s="569">
        <v>10501325</v>
      </c>
      <c r="D272" s="501" t="s">
        <v>4067</v>
      </c>
      <c r="E272" s="585"/>
      <c r="F272" s="586"/>
      <c r="G272" s="548">
        <f t="shared" si="16"/>
        <v>0</v>
      </c>
      <c r="H272" s="673" t="str">
        <f t="shared" si="20"/>
        <v/>
      </c>
    </row>
    <row r="273" spans="1:9" ht="13.5" customHeight="1">
      <c r="A273" s="630"/>
      <c r="B273" s="632"/>
      <c r="C273" s="701"/>
      <c r="D273" s="752"/>
      <c r="E273" s="753"/>
      <c r="F273" s="702"/>
      <c r="G273" s="754">
        <f t="shared" si="16"/>
        <v>0</v>
      </c>
      <c r="H273" s="758" t="str">
        <f t="shared" si="20"/>
        <v/>
      </c>
    </row>
    <row r="274" spans="1:9" s="575" customFormat="1" ht="13.5" customHeight="1">
      <c r="A274" s="603"/>
      <c r="B274" s="604"/>
      <c r="C274" s="604"/>
      <c r="D274" s="604"/>
      <c r="E274" s="604"/>
      <c r="F274" s="605" t="s">
        <v>3715</v>
      </c>
      <c r="G274" s="606" t="e">
        <f t="shared" ca="1" si="16"/>
        <v>#VALUE!</v>
      </c>
      <c r="H274" s="675" t="e">
        <f ca="1">IF(H4="費用",0,SUM(H92:H273))</f>
        <v>#VALUE!</v>
      </c>
      <c r="I274" s="561"/>
    </row>
    <row r="275" spans="1:9" s="561" customFormat="1" ht="13.5" customHeight="1">
      <c r="A275" s="630"/>
      <c r="B275" s="524"/>
      <c r="C275" s="748">
        <v>11002401</v>
      </c>
      <c r="D275" s="501" t="s">
        <v>4068</v>
      </c>
      <c r="E275" s="585"/>
      <c r="F275" s="586"/>
      <c r="G275" s="558">
        <f t="shared" si="16"/>
        <v>0</v>
      </c>
      <c r="H275" s="663" t="str">
        <f>IF(H53="","",ROUND(H53+H53/(H$5-H$6)*H$6+H53/(H$5-H$6)*H$15,-3))</f>
        <v/>
      </c>
    </row>
    <row r="276" spans="1:9" s="561" customFormat="1" ht="13.5" customHeight="1">
      <c r="A276" s="630"/>
      <c r="B276" s="524"/>
      <c r="C276" s="748">
        <v>11002402</v>
      </c>
      <c r="D276" s="501" t="s">
        <v>4069</v>
      </c>
      <c r="E276" s="585"/>
      <c r="F276" s="586"/>
      <c r="G276" s="558">
        <f t="shared" si="16"/>
        <v>0</v>
      </c>
      <c r="H276" s="663" t="str">
        <f>IF(H54="","",ROUND(H54+H54/(H$5-H$6)*H$6+H54/(H$5-H$6)*H$15,-3))</f>
        <v/>
      </c>
    </row>
    <row r="277" spans="1:9" s="561" customFormat="1" ht="13.5" customHeight="1">
      <c r="A277" s="630"/>
      <c r="B277" s="631"/>
      <c r="C277" s="569">
        <v>11004901</v>
      </c>
      <c r="D277" s="501" t="s">
        <v>3764</v>
      </c>
      <c r="E277" s="585"/>
      <c r="F277" s="586"/>
      <c r="G277" s="548">
        <f t="shared" si="16"/>
        <v>0</v>
      </c>
      <c r="H277" s="673" t="str">
        <f t="shared" ref="H277:H287" si="21">IF(H58="","",ROUND(H58+H58/(H$5-H$6)*H$6+H58/(H$5-H$6)*H$15,-3))</f>
        <v/>
      </c>
    </row>
    <row r="278" spans="1:9" s="561" customFormat="1" ht="13.5" customHeight="1">
      <c r="A278" s="630"/>
      <c r="B278" s="631"/>
      <c r="C278" s="569">
        <v>11004902</v>
      </c>
      <c r="D278" s="501" t="s">
        <v>3765</v>
      </c>
      <c r="E278" s="585"/>
      <c r="F278" s="586"/>
      <c r="G278" s="548">
        <f t="shared" si="16"/>
        <v>0</v>
      </c>
      <c r="H278" s="673" t="str">
        <f t="shared" si="21"/>
        <v/>
      </c>
    </row>
    <row r="279" spans="1:9" s="561" customFormat="1" ht="13.5" customHeight="1">
      <c r="A279" s="630"/>
      <c r="B279" s="631"/>
      <c r="C279" s="569">
        <v>11004903</v>
      </c>
      <c r="D279" s="501" t="s">
        <v>3766</v>
      </c>
      <c r="E279" s="585"/>
      <c r="F279" s="586"/>
      <c r="G279" s="548">
        <f t="shared" si="16"/>
        <v>0</v>
      </c>
      <c r="H279" s="673" t="str">
        <f t="shared" si="21"/>
        <v/>
      </c>
    </row>
    <row r="280" spans="1:9" s="561" customFormat="1" ht="13.5" customHeight="1">
      <c r="A280" s="630"/>
      <c r="B280" s="631"/>
      <c r="C280" s="569">
        <v>11004904</v>
      </c>
      <c r="D280" s="501" t="s">
        <v>3767</v>
      </c>
      <c r="E280" s="585"/>
      <c r="F280" s="586"/>
      <c r="G280" s="548">
        <f t="shared" si="16"/>
        <v>0</v>
      </c>
      <c r="H280" s="673" t="str">
        <f t="shared" si="21"/>
        <v/>
      </c>
    </row>
    <row r="281" spans="1:9" s="561" customFormat="1" ht="13.5" customHeight="1">
      <c r="A281" s="630"/>
      <c r="B281" s="631"/>
      <c r="C281" s="569">
        <v>11004905</v>
      </c>
      <c r="D281" s="501" t="s">
        <v>3768</v>
      </c>
      <c r="E281" s="585"/>
      <c r="F281" s="586"/>
      <c r="G281" s="548">
        <f t="shared" si="16"/>
        <v>0</v>
      </c>
      <c r="H281" s="673" t="str">
        <f t="shared" si="21"/>
        <v/>
      </c>
    </row>
    <row r="282" spans="1:9" s="561" customFormat="1" ht="13.5" customHeight="1">
      <c r="A282" s="630"/>
      <c r="B282" s="631"/>
      <c r="C282" s="569">
        <v>11004906</v>
      </c>
      <c r="D282" s="501" t="s">
        <v>3769</v>
      </c>
      <c r="E282" s="585"/>
      <c r="F282" s="586"/>
      <c r="G282" s="548">
        <f t="shared" si="16"/>
        <v>0</v>
      </c>
      <c r="H282" s="673" t="str">
        <f t="shared" si="21"/>
        <v/>
      </c>
    </row>
    <row r="283" spans="1:9" s="561" customFormat="1" ht="13.5" customHeight="1">
      <c r="A283" s="630"/>
      <c r="B283" s="631"/>
      <c r="C283" s="569">
        <v>11004907</v>
      </c>
      <c r="D283" s="501" t="s">
        <v>3770</v>
      </c>
      <c r="E283" s="585"/>
      <c r="F283" s="586"/>
      <c r="G283" s="548">
        <f t="shared" si="16"/>
        <v>0</v>
      </c>
      <c r="H283" s="673" t="str">
        <f t="shared" si="21"/>
        <v/>
      </c>
    </row>
    <row r="284" spans="1:9" s="561" customFormat="1" ht="13.5" customHeight="1">
      <c r="A284" s="630"/>
      <c r="B284" s="631"/>
      <c r="C284" s="569">
        <v>11004908</v>
      </c>
      <c r="D284" s="501" t="s">
        <v>3771</v>
      </c>
      <c r="E284" s="585"/>
      <c r="F284" s="586"/>
      <c r="G284" s="548">
        <f t="shared" ref="G284:G309" si="22">SUM(H284:I284)</f>
        <v>0</v>
      </c>
      <c r="H284" s="673" t="str">
        <f t="shared" si="21"/>
        <v/>
      </c>
    </row>
    <row r="285" spans="1:9" s="561" customFormat="1" ht="13.5" customHeight="1">
      <c r="A285" s="630"/>
      <c r="B285" s="631"/>
      <c r="C285" s="569">
        <v>11004909</v>
      </c>
      <c r="D285" s="501" t="s">
        <v>3772</v>
      </c>
      <c r="E285" s="585"/>
      <c r="F285" s="586"/>
      <c r="G285" s="548">
        <f t="shared" si="22"/>
        <v>0</v>
      </c>
      <c r="H285" s="673" t="str">
        <f t="shared" si="21"/>
        <v/>
      </c>
    </row>
    <row r="286" spans="1:9" s="561" customFormat="1" ht="13.5" customHeight="1">
      <c r="A286" s="630"/>
      <c r="B286" s="631"/>
      <c r="C286" s="569">
        <v>11004910</v>
      </c>
      <c r="D286" s="501" t="s">
        <v>3773</v>
      </c>
      <c r="E286" s="585"/>
      <c r="F286" s="586"/>
      <c r="G286" s="548">
        <f t="shared" si="22"/>
        <v>0</v>
      </c>
      <c r="H286" s="673" t="str">
        <f t="shared" si="21"/>
        <v/>
      </c>
    </row>
    <row r="287" spans="1:9" s="561" customFormat="1" ht="13.5" customHeight="1">
      <c r="A287" s="630"/>
      <c r="B287" s="631"/>
      <c r="C287" s="569">
        <v>11004911</v>
      </c>
      <c r="D287" s="501" t="s">
        <v>3774</v>
      </c>
      <c r="E287" s="585"/>
      <c r="F287" s="586"/>
      <c r="G287" s="548">
        <f t="shared" si="22"/>
        <v>0</v>
      </c>
      <c r="H287" s="673" t="str">
        <f t="shared" si="21"/>
        <v/>
      </c>
    </row>
    <row r="288" spans="1:9" s="561" customFormat="1" ht="13.5" customHeight="1">
      <c r="A288" s="630"/>
      <c r="B288" s="631"/>
      <c r="C288" s="569">
        <v>11005001</v>
      </c>
      <c r="D288" s="501" t="s">
        <v>3775</v>
      </c>
      <c r="E288" s="585"/>
      <c r="F288" s="586"/>
      <c r="G288" s="548">
        <f t="shared" si="22"/>
        <v>0</v>
      </c>
      <c r="H288" s="673" t="str">
        <f>IF(H$56="050変電所構築物",ROUND(H58+H58/(H$5-H$6)*H$6+H58/(H$5-H$6)*H$15,-3),"")</f>
        <v/>
      </c>
    </row>
    <row r="289" spans="1:8" s="561" customFormat="1" ht="13.5" customHeight="1">
      <c r="A289" s="630"/>
      <c r="B289" s="631"/>
      <c r="C289" s="569">
        <v>11005002</v>
      </c>
      <c r="D289" s="501" t="s">
        <v>3776</v>
      </c>
      <c r="E289" s="585"/>
      <c r="F289" s="586"/>
      <c r="G289" s="548">
        <f t="shared" si="22"/>
        <v>0</v>
      </c>
      <c r="H289" s="673" t="str">
        <f t="shared" ref="H289:H298" si="23">IF(H$56="050変電所構築物",ROUND(H59+H59/(H$5-H$6)*H$6+H59/(H$5-H$6)*H$15,-3),"")</f>
        <v/>
      </c>
    </row>
    <row r="290" spans="1:8" s="561" customFormat="1" ht="13.5" customHeight="1">
      <c r="A290" s="630"/>
      <c r="B290" s="631"/>
      <c r="C290" s="569">
        <v>11005003</v>
      </c>
      <c r="D290" s="501" t="s">
        <v>3777</v>
      </c>
      <c r="E290" s="585"/>
      <c r="F290" s="586"/>
      <c r="G290" s="548">
        <f t="shared" si="22"/>
        <v>0</v>
      </c>
      <c r="H290" s="673" t="str">
        <f t="shared" si="23"/>
        <v/>
      </c>
    </row>
    <row r="291" spans="1:8" s="561" customFormat="1" ht="13.5" customHeight="1">
      <c r="A291" s="630"/>
      <c r="B291" s="631"/>
      <c r="C291" s="569">
        <v>11005004</v>
      </c>
      <c r="D291" s="501" t="s">
        <v>3778</v>
      </c>
      <c r="E291" s="585"/>
      <c r="F291" s="586"/>
      <c r="G291" s="548">
        <f t="shared" si="22"/>
        <v>0</v>
      </c>
      <c r="H291" s="673" t="str">
        <f t="shared" si="23"/>
        <v/>
      </c>
    </row>
    <row r="292" spans="1:8" s="561" customFormat="1" ht="13.5" customHeight="1">
      <c r="A292" s="630"/>
      <c r="B292" s="631"/>
      <c r="C292" s="569">
        <v>11005005</v>
      </c>
      <c r="D292" s="501" t="s">
        <v>3779</v>
      </c>
      <c r="E292" s="585"/>
      <c r="F292" s="586"/>
      <c r="G292" s="548">
        <f t="shared" si="22"/>
        <v>0</v>
      </c>
      <c r="H292" s="673" t="str">
        <f t="shared" si="23"/>
        <v/>
      </c>
    </row>
    <row r="293" spans="1:8" s="561" customFormat="1" ht="13.5" customHeight="1">
      <c r="A293" s="630"/>
      <c r="B293" s="631"/>
      <c r="C293" s="569">
        <v>11005006</v>
      </c>
      <c r="D293" s="501" t="s">
        <v>3780</v>
      </c>
      <c r="E293" s="585"/>
      <c r="F293" s="586"/>
      <c r="G293" s="548">
        <f t="shared" si="22"/>
        <v>0</v>
      </c>
      <c r="H293" s="673" t="str">
        <f>IF(H$56="050変電所構築物",ROUND(H63+H63/(H$5-H$6)*H$6+H63/(H$5-H$6)*H$15,-3),"")</f>
        <v/>
      </c>
    </row>
    <row r="294" spans="1:8" s="561" customFormat="1" ht="13.5" customHeight="1">
      <c r="A294" s="630"/>
      <c r="B294" s="631"/>
      <c r="C294" s="569">
        <v>11005007</v>
      </c>
      <c r="D294" s="501" t="s">
        <v>3781</v>
      </c>
      <c r="E294" s="585"/>
      <c r="F294" s="586"/>
      <c r="G294" s="548">
        <f t="shared" si="22"/>
        <v>0</v>
      </c>
      <c r="H294" s="673" t="str">
        <f t="shared" si="23"/>
        <v/>
      </c>
    </row>
    <row r="295" spans="1:8" s="561" customFormat="1" ht="13.5" customHeight="1">
      <c r="A295" s="630"/>
      <c r="B295" s="631"/>
      <c r="C295" s="569">
        <v>11005008</v>
      </c>
      <c r="D295" s="501" t="s">
        <v>3782</v>
      </c>
      <c r="E295" s="585"/>
      <c r="F295" s="586"/>
      <c r="G295" s="548">
        <f t="shared" si="22"/>
        <v>0</v>
      </c>
      <c r="H295" s="673" t="str">
        <f t="shared" si="23"/>
        <v/>
      </c>
    </row>
    <row r="296" spans="1:8" s="561" customFormat="1" ht="13.5" customHeight="1">
      <c r="A296" s="630"/>
      <c r="B296" s="631"/>
      <c r="C296" s="569">
        <v>11005009</v>
      </c>
      <c r="D296" s="501" t="s">
        <v>3783</v>
      </c>
      <c r="E296" s="585"/>
      <c r="F296" s="586"/>
      <c r="G296" s="548">
        <f t="shared" si="22"/>
        <v>0</v>
      </c>
      <c r="H296" s="673" t="str">
        <f t="shared" si="23"/>
        <v/>
      </c>
    </row>
    <row r="297" spans="1:8" s="561" customFormat="1" ht="13.5" customHeight="1">
      <c r="A297" s="630"/>
      <c r="B297" s="631"/>
      <c r="C297" s="569">
        <v>11005010</v>
      </c>
      <c r="D297" s="501" t="s">
        <v>3784</v>
      </c>
      <c r="E297" s="585"/>
      <c r="F297" s="586"/>
      <c r="G297" s="548">
        <f t="shared" si="22"/>
        <v>0</v>
      </c>
      <c r="H297" s="673" t="str">
        <f t="shared" si="23"/>
        <v/>
      </c>
    </row>
    <row r="298" spans="1:8" s="561" customFormat="1" ht="13.5" customHeight="1">
      <c r="A298" s="630"/>
      <c r="B298" s="631"/>
      <c r="C298" s="569">
        <v>11005011</v>
      </c>
      <c r="D298" s="501" t="s">
        <v>3785</v>
      </c>
      <c r="E298" s="585"/>
      <c r="F298" s="586"/>
      <c r="G298" s="548">
        <f t="shared" si="22"/>
        <v>0</v>
      </c>
      <c r="H298" s="673" t="str">
        <f t="shared" si="23"/>
        <v/>
      </c>
    </row>
    <row r="299" spans="1:8" s="561" customFormat="1" ht="13.5" customHeight="1">
      <c r="A299" s="630"/>
      <c r="B299" s="631"/>
      <c r="C299" s="569">
        <v>11099901</v>
      </c>
      <c r="D299" s="501" t="s">
        <v>3786</v>
      </c>
      <c r="E299" s="585"/>
      <c r="F299" s="586"/>
      <c r="G299" s="548">
        <f t="shared" si="22"/>
        <v>0</v>
      </c>
      <c r="H299" s="673" t="str">
        <f>IF(H$56="999雑構築物",ROUND(H58+H58/(H$5-H$6)*H$6+H58/(H$5-H$6)*H$15,-3),"")</f>
        <v/>
      </c>
    </row>
    <row r="300" spans="1:8" s="561" customFormat="1" ht="13.5" customHeight="1">
      <c r="A300" s="630"/>
      <c r="B300" s="631"/>
      <c r="C300" s="569">
        <v>11099902</v>
      </c>
      <c r="D300" s="501" t="s">
        <v>3787</v>
      </c>
      <c r="E300" s="585"/>
      <c r="F300" s="586"/>
      <c r="G300" s="548">
        <f t="shared" si="22"/>
        <v>0</v>
      </c>
      <c r="H300" s="673" t="str">
        <f>IF(H$56="999雑構築物",ROUND(H59+H59/(H$5-H$6)*H$6+H59/(H$5-H$6)*H$15,-3),"")</f>
        <v/>
      </c>
    </row>
    <row r="301" spans="1:8" s="561" customFormat="1" ht="13.5" customHeight="1">
      <c r="A301" s="630"/>
      <c r="B301" s="631"/>
      <c r="C301" s="569">
        <v>11099903</v>
      </c>
      <c r="D301" s="501" t="s">
        <v>3788</v>
      </c>
      <c r="E301" s="585"/>
      <c r="F301" s="586"/>
      <c r="G301" s="548">
        <f t="shared" si="22"/>
        <v>0</v>
      </c>
      <c r="H301" s="673" t="str">
        <f t="shared" ref="H301:H307" si="24">IF(H$56="999雑構築物",ROUND(H60+H60/(H$5-H$6)*H$6+H60/(H$5-H$6)*H$15,-3),"")</f>
        <v/>
      </c>
    </row>
    <row r="302" spans="1:8" s="561" customFormat="1" ht="13.5" customHeight="1">
      <c r="A302" s="630"/>
      <c r="B302" s="631"/>
      <c r="C302" s="569">
        <v>11099904</v>
      </c>
      <c r="D302" s="501" t="s">
        <v>3789</v>
      </c>
      <c r="E302" s="585"/>
      <c r="F302" s="586"/>
      <c r="G302" s="548">
        <f t="shared" si="22"/>
        <v>0</v>
      </c>
      <c r="H302" s="673" t="str">
        <f t="shared" si="24"/>
        <v/>
      </c>
    </row>
    <row r="303" spans="1:8" s="561" customFormat="1" ht="13.5" customHeight="1">
      <c r="A303" s="630"/>
      <c r="B303" s="631"/>
      <c r="C303" s="569">
        <v>11099905</v>
      </c>
      <c r="D303" s="501" t="s">
        <v>3790</v>
      </c>
      <c r="E303" s="585"/>
      <c r="F303" s="586"/>
      <c r="G303" s="548">
        <f t="shared" si="22"/>
        <v>0</v>
      </c>
      <c r="H303" s="673" t="str">
        <f t="shared" si="24"/>
        <v/>
      </c>
    </row>
    <row r="304" spans="1:8" s="561" customFormat="1" ht="13.5" customHeight="1">
      <c r="A304" s="630"/>
      <c r="B304" s="631"/>
      <c r="C304" s="569">
        <v>11099906</v>
      </c>
      <c r="D304" s="501" t="s">
        <v>3791</v>
      </c>
      <c r="E304" s="585"/>
      <c r="F304" s="586"/>
      <c r="G304" s="548">
        <f t="shared" si="22"/>
        <v>0</v>
      </c>
      <c r="H304" s="673" t="str">
        <f t="shared" si="24"/>
        <v/>
      </c>
    </row>
    <row r="305" spans="1:9" s="561" customFormat="1" ht="13.5" customHeight="1">
      <c r="A305" s="630"/>
      <c r="B305" s="631"/>
      <c r="C305" s="569">
        <v>11099907</v>
      </c>
      <c r="D305" s="501" t="s">
        <v>3792</v>
      </c>
      <c r="E305" s="585"/>
      <c r="F305" s="586"/>
      <c r="G305" s="548">
        <f t="shared" si="22"/>
        <v>0</v>
      </c>
      <c r="H305" s="673" t="str">
        <f t="shared" si="24"/>
        <v/>
      </c>
    </row>
    <row r="306" spans="1:9" s="561" customFormat="1" ht="13.5" customHeight="1">
      <c r="A306" s="630"/>
      <c r="B306" s="631"/>
      <c r="C306" s="569">
        <v>11099908</v>
      </c>
      <c r="D306" s="501" t="s">
        <v>3793</v>
      </c>
      <c r="E306" s="585"/>
      <c r="F306" s="586"/>
      <c r="G306" s="548">
        <f t="shared" si="22"/>
        <v>0</v>
      </c>
      <c r="H306" s="673" t="str">
        <f t="shared" si="24"/>
        <v/>
      </c>
    </row>
    <row r="307" spans="1:9" s="561" customFormat="1" ht="13.5" customHeight="1">
      <c r="A307" s="630"/>
      <c r="B307" s="631"/>
      <c r="C307" s="569">
        <v>11099909</v>
      </c>
      <c r="D307" s="501" t="s">
        <v>3794</v>
      </c>
      <c r="E307" s="585"/>
      <c r="F307" s="586"/>
      <c r="G307" s="548">
        <f t="shared" si="22"/>
        <v>0</v>
      </c>
      <c r="H307" s="673" t="str">
        <f t="shared" si="24"/>
        <v/>
      </c>
    </row>
    <row r="308" spans="1:9" s="561" customFormat="1" ht="13.5" customHeight="1">
      <c r="A308" s="630"/>
      <c r="B308" s="631"/>
      <c r="C308" s="569">
        <v>11099910</v>
      </c>
      <c r="D308" s="501" t="s">
        <v>3795</v>
      </c>
      <c r="E308" s="585"/>
      <c r="F308" s="586"/>
      <c r="G308" s="548">
        <f t="shared" si="22"/>
        <v>0</v>
      </c>
      <c r="H308" s="673" t="str">
        <f>IF(H$56="999雑構築物",ROUND(H67+H67/(H$5-H$6)*H$6+H67/(H$5-H$6)*H$15,-3),"")</f>
        <v/>
      </c>
    </row>
    <row r="309" spans="1:9" s="561" customFormat="1" ht="13.5" customHeight="1">
      <c r="A309" s="630"/>
      <c r="B309" s="631"/>
      <c r="C309" s="569">
        <v>11099911</v>
      </c>
      <c r="D309" s="501" t="s">
        <v>3796</v>
      </c>
      <c r="E309" s="585"/>
      <c r="F309" s="586"/>
      <c r="G309" s="548">
        <f t="shared" si="22"/>
        <v>0</v>
      </c>
      <c r="H309" s="673" t="str">
        <f>IF(H$56="999雑構築物",ROUND(H68+H68/(H$5-H$6)*H$6+H68/(H$5-H$6)*H$15,-3),"")</f>
        <v/>
      </c>
    </row>
    <row r="310" spans="1:9" s="575" customFormat="1" ht="13.5" customHeight="1">
      <c r="A310" s="603"/>
      <c r="B310" s="604"/>
      <c r="C310" s="604"/>
      <c r="D310" s="604"/>
      <c r="E310" s="604"/>
      <c r="F310" s="605" t="s">
        <v>3761</v>
      </c>
      <c r="G310" s="606">
        <f t="shared" ref="G310:G324" si="25">SUM(H310:I310)</f>
        <v>0</v>
      </c>
      <c r="H310" s="676">
        <f>IF(H4="費用",0,SUM(H275:H309))</f>
        <v>0</v>
      </c>
      <c r="I310" s="561"/>
    </row>
    <row r="311" spans="1:9" ht="13.5" customHeight="1">
      <c r="A311" s="527"/>
      <c r="B311" s="541"/>
      <c r="C311" s="759">
        <v>12505958</v>
      </c>
      <c r="D311" s="568" t="str">
        <f>+F74</f>
        <v>看板・広告機器-(主として金属製)</v>
      </c>
      <c r="E311" s="568"/>
      <c r="F311" s="542"/>
      <c r="G311" s="544" t="e">
        <f t="shared" ca="1" si="25"/>
        <v>#REF!</v>
      </c>
      <c r="H311" s="673" t="e">
        <f ca="1">IF(H74="","",ROUND(H74+H74/(H$5-H$6)*H$6+H74/(H$5-H$6)*H$15,-3))</f>
        <v>#REF!</v>
      </c>
    </row>
    <row r="312" spans="1:9" ht="13.5" customHeight="1">
      <c r="A312" s="527"/>
      <c r="B312" s="541"/>
      <c r="C312" s="805">
        <v>12505959</v>
      </c>
      <c r="D312" s="545" t="str">
        <f>+F80</f>
        <v>看板・広告機器-その他のもの</v>
      </c>
      <c r="E312" s="545"/>
      <c r="F312" s="546"/>
      <c r="G312" s="548" t="e">
        <f t="shared" ca="1" si="25"/>
        <v>#REF!</v>
      </c>
      <c r="H312" s="673" t="e">
        <f ca="1">IF(H80="","",ROUND(H80+H80/(H$5-H$6)*H$6+H80/(H$5-H$6)*H$15,-3))</f>
        <v>#REF!</v>
      </c>
    </row>
    <row r="313" spans="1:9" ht="13.5" customHeight="1">
      <c r="A313" s="527"/>
      <c r="B313" s="541"/>
      <c r="C313" s="806">
        <v>12505988</v>
      </c>
      <c r="D313" s="545" t="s">
        <v>3827</v>
      </c>
      <c r="E313" s="545"/>
      <c r="F313" s="546"/>
      <c r="G313" s="548" t="e">
        <f t="shared" ca="1" si="25"/>
        <v>#REF!</v>
      </c>
      <c r="H313" s="663" t="e">
        <f ca="1">IF(H83="","",ROUND(H83+H83/(H$5-H$6)*H$6+H83/(H$5-H$6)*H$15,-3))</f>
        <v>#REF!</v>
      </c>
    </row>
    <row r="314" spans="1:9" ht="13.5" customHeight="1">
      <c r="A314" s="527"/>
      <c r="B314" s="541"/>
      <c r="C314" s="806">
        <v>12505990</v>
      </c>
      <c r="D314" s="545" t="s">
        <v>3828</v>
      </c>
      <c r="E314" s="545"/>
      <c r="F314" s="546"/>
      <c r="G314" s="548" t="e">
        <f t="shared" ca="1" si="25"/>
        <v>#REF!</v>
      </c>
      <c r="H314" s="663" t="e">
        <f ca="1">IF(H84="","",ROUND(H84+H84/(H$5-H$6)*H$6+H84/(H$5-H$6)*H$15,-3))</f>
        <v>#REF!</v>
      </c>
    </row>
    <row r="315" spans="1:9" ht="13.5" customHeight="1">
      <c r="A315" s="527"/>
      <c r="B315" s="541"/>
      <c r="C315" s="806">
        <v>12505991</v>
      </c>
      <c r="D315" s="545" t="s">
        <v>3829</v>
      </c>
      <c r="E315" s="545"/>
      <c r="F315" s="546"/>
      <c r="G315" s="548" t="e">
        <f t="shared" ca="1" si="25"/>
        <v>#REF!</v>
      </c>
      <c r="H315" s="663" t="e">
        <f ca="1">IF(H85="","",ROUND(H85+H85/(H$5-H$6)*H$6+H85/(H$5-H$6)*H$15,-3))</f>
        <v>#REF!</v>
      </c>
    </row>
    <row r="316" spans="1:9" ht="13.5" customHeight="1">
      <c r="A316" s="527"/>
      <c r="B316" s="541"/>
      <c r="C316" s="701"/>
      <c r="D316" s="752"/>
      <c r="E316" s="753"/>
      <c r="F316" s="702"/>
      <c r="G316" s="754">
        <f t="shared" si="25"/>
        <v>0</v>
      </c>
      <c r="H316" s="758" t="str">
        <f>IF(H86="","",ROUND(H86+H86/(H$5-H$6)*H$6+H86/(H$5-H$6)*H$15,-3))</f>
        <v/>
      </c>
    </row>
    <row r="317" spans="1:9" s="575" customFormat="1" ht="13.5" customHeight="1" thickBot="1">
      <c r="A317" s="607"/>
      <c r="B317" s="600"/>
      <c r="C317" s="600"/>
      <c r="D317" s="600"/>
      <c r="E317" s="600"/>
      <c r="F317" s="601" t="s">
        <v>3716</v>
      </c>
      <c r="G317" s="602" t="e">
        <f t="shared" ca="1" si="25"/>
        <v>#REF!</v>
      </c>
      <c r="H317" s="677" t="e">
        <f ca="1">IF(H$4="費用",0,SUM(H311:H315))</f>
        <v>#REF!</v>
      </c>
      <c r="I317" s="561"/>
    </row>
    <row r="318" spans="1:9" ht="13.5" customHeight="1" thickTop="1">
      <c r="A318" s="527"/>
      <c r="B318" s="541"/>
      <c r="C318" s="545" t="s">
        <v>4070</v>
      </c>
      <c r="D318" s="759" t="s">
        <v>4071</v>
      </c>
      <c r="E318" s="759"/>
      <c r="F318" s="760"/>
      <c r="G318" s="548" t="e">
        <f t="shared" ca="1" si="25"/>
        <v>#REF!</v>
      </c>
      <c r="H318" s="673" t="e">
        <f ca="1">IF(H10="","",ROUND(H10+H10/(H$5-H$6)*H$6+H10/(H$5-H$6)*H$15,-3))</f>
        <v>#REF!</v>
      </c>
    </row>
    <row r="319" spans="1:9" ht="13.5" customHeight="1">
      <c r="A319" s="527"/>
      <c r="B319" s="541"/>
      <c r="C319" s="545" t="s">
        <v>4070</v>
      </c>
      <c r="D319" s="759" t="s">
        <v>4072</v>
      </c>
      <c r="E319" s="545"/>
      <c r="F319" s="550"/>
      <c r="G319" s="548" t="e">
        <f t="shared" ca="1" si="25"/>
        <v>#REF!</v>
      </c>
      <c r="H319" s="673" t="e">
        <f ca="1">IF(H4="費用",0,IF(H13="","",ROUND(H13+H13/(H$5-H$6)*H$6+H13/(H$5-H$6)*H$15,-3)))</f>
        <v>#REF!</v>
      </c>
    </row>
    <row r="320" spans="1:9" s="575" customFormat="1" ht="13.5" customHeight="1" thickBot="1">
      <c r="A320" s="761"/>
      <c r="B320" s="762"/>
      <c r="C320" s="762"/>
      <c r="D320" s="762"/>
      <c r="E320" s="762"/>
      <c r="F320" s="763" t="s">
        <v>4073</v>
      </c>
      <c r="G320" s="764" t="e">
        <f t="shared" ca="1" si="25"/>
        <v>#REF!</v>
      </c>
      <c r="H320" s="764" t="e">
        <f ca="1">SUM(H318:H319)</f>
        <v>#REF!</v>
      </c>
      <c r="I320" s="561"/>
    </row>
    <row r="321" spans="1:9" ht="13.5" customHeight="1" thickTop="1">
      <c r="A321" s="527"/>
      <c r="B321" s="541"/>
      <c r="C321" s="545" t="s">
        <v>4070</v>
      </c>
      <c r="D321" s="545" t="s">
        <v>4074</v>
      </c>
      <c r="E321" s="545"/>
      <c r="F321" s="550"/>
      <c r="G321" s="548" t="e">
        <f t="shared" ca="1" si="25"/>
        <v>#REF!</v>
      </c>
      <c r="H321" s="673" t="e">
        <f ca="1">IF(H4="費用",0,IF(H12="","",ROUND(H14+H14/(H$5-H$6)*H$6+H14/(H$5-H$6)*H$15,-3)))</f>
        <v>#REF!</v>
      </c>
    </row>
    <row r="322" spans="1:9" ht="13.5" customHeight="1">
      <c r="A322" s="527"/>
      <c r="B322" s="541"/>
      <c r="C322" s="545" t="s">
        <v>4070</v>
      </c>
      <c r="D322" s="545" t="s">
        <v>3763</v>
      </c>
      <c r="E322" s="545"/>
      <c r="F322" s="550"/>
      <c r="G322" s="548">
        <f t="shared" si="25"/>
        <v>0</v>
      </c>
      <c r="H322" s="673">
        <f>IF(H$4="費用",H19,0)</f>
        <v>0</v>
      </c>
    </row>
    <row r="323" spans="1:9" s="575" customFormat="1" ht="13.5" customHeight="1" thickBot="1">
      <c r="A323" s="587"/>
      <c r="B323" s="588"/>
      <c r="C323" s="588"/>
      <c r="D323" s="588"/>
      <c r="E323" s="588"/>
      <c r="F323" s="589" t="s">
        <v>4075</v>
      </c>
      <c r="G323" s="590" t="e">
        <f t="shared" ca="1" si="25"/>
        <v>#REF!</v>
      </c>
      <c r="H323" s="678" t="e">
        <f ca="1">SUM(H321:H322)</f>
        <v>#REF!</v>
      </c>
      <c r="I323" s="561"/>
    </row>
    <row r="324" spans="1:9" ht="13.5" customHeight="1" thickTop="1">
      <c r="A324" s="570"/>
      <c r="B324" s="571"/>
      <c r="C324" s="571"/>
      <c r="D324" s="571"/>
      <c r="E324" s="571"/>
      <c r="F324" s="572" t="s">
        <v>3717</v>
      </c>
      <c r="G324" s="573" t="e">
        <f t="shared" ca="1" si="25"/>
        <v>#VALUE!</v>
      </c>
      <c r="H324" s="679" t="e">
        <f ca="1">H274+H310+H317+H320+H323</f>
        <v>#VALUE!</v>
      </c>
    </row>
    <row r="325" spans="1:9" ht="13.5" customHeight="1">
      <c r="A325" s="592"/>
      <c r="B325" s="593"/>
      <c r="C325" s="593"/>
      <c r="D325" s="593"/>
      <c r="E325" s="593"/>
      <c r="F325" s="594"/>
      <c r="G325" s="765" t="e">
        <f ca="1">IF(G$19=G324,"","工事価格が一致ません。↑")</f>
        <v>#REF!</v>
      </c>
      <c r="H325" s="595" t="e">
        <f ca="1">IF(H$19=H324,"","↑error")</f>
        <v>#REF!</v>
      </c>
    </row>
    <row r="326" spans="1:9" ht="13.5" customHeight="1">
      <c r="C326" s="541">
        <v>1</v>
      </c>
      <c r="D326" s="524" t="s">
        <v>3593</v>
      </c>
    </row>
    <row r="327" spans="1:9" ht="13.5" customHeight="1">
      <c r="C327" s="541">
        <v>2</v>
      </c>
      <c r="D327" s="524" t="s">
        <v>3594</v>
      </c>
    </row>
    <row r="328" spans="1:9" ht="13.5" customHeight="1">
      <c r="C328" s="541">
        <v>3</v>
      </c>
      <c r="D328" s="524" t="s">
        <v>3595</v>
      </c>
    </row>
    <row r="329" spans="1:9" ht="13.5" customHeight="1">
      <c r="C329" s="541">
        <v>4</v>
      </c>
    </row>
    <row r="330" spans="1:9" ht="13.5" customHeight="1">
      <c r="C330" s="541">
        <v>5</v>
      </c>
    </row>
    <row r="331" spans="1:9" ht="13.5" customHeight="1">
      <c r="C331" s="541">
        <v>6</v>
      </c>
    </row>
    <row r="332" spans="1:9" ht="13.5" customHeight="1">
      <c r="C332" s="541">
        <v>7</v>
      </c>
    </row>
    <row r="333" spans="1:9" ht="13.5" customHeight="1">
      <c r="C333" s="541">
        <v>8</v>
      </c>
    </row>
    <row r="334" spans="1:9" ht="13.5" customHeight="1">
      <c r="C334" s="541">
        <v>9</v>
      </c>
      <c r="H334" s="524"/>
    </row>
    <row r="335" spans="1:9" ht="13.5" customHeight="1">
      <c r="C335" s="541">
        <v>1</v>
      </c>
      <c r="D335" s="524" t="s">
        <v>3597</v>
      </c>
      <c r="H335" s="524"/>
    </row>
    <row r="336" spans="1:9" ht="13.5" customHeight="1">
      <c r="C336" s="541">
        <v>5</v>
      </c>
      <c r="D336" s="524" t="s">
        <v>3598</v>
      </c>
      <c r="H336" s="524"/>
    </row>
    <row r="337" spans="1:9" ht="13.5" customHeight="1">
      <c r="C337" s="541">
        <v>10</v>
      </c>
      <c r="D337" s="524" t="s">
        <v>3599</v>
      </c>
      <c r="H337" s="524"/>
    </row>
    <row r="338" spans="1:9" ht="13.5" customHeight="1">
      <c r="C338" s="541">
        <v>15</v>
      </c>
      <c r="D338" s="524" t="s">
        <v>3600</v>
      </c>
      <c r="H338" s="524"/>
    </row>
    <row r="339" spans="1:9" ht="13.5" customHeight="1">
      <c r="C339" s="541">
        <v>20</v>
      </c>
      <c r="D339" s="524" t="s">
        <v>3601</v>
      </c>
      <c r="H339" s="524"/>
    </row>
    <row r="340" spans="1:9" ht="13.5" customHeight="1">
      <c r="C340" s="541">
        <v>25</v>
      </c>
      <c r="D340" s="524" t="s">
        <v>3602</v>
      </c>
      <c r="H340" s="524"/>
    </row>
    <row r="341" spans="1:9" ht="13.5" customHeight="1">
      <c r="C341" s="541">
        <v>30</v>
      </c>
      <c r="D341" s="524" t="s">
        <v>3603</v>
      </c>
      <c r="H341" s="524"/>
    </row>
    <row r="342" spans="1:9" s="510" customFormat="1" ht="13">
      <c r="A342" s="509" t="s">
        <v>4076</v>
      </c>
      <c r="E342" s="511"/>
      <c r="I342" s="682"/>
    </row>
    <row r="343" spans="1:9" s="510" customFormat="1" ht="13">
      <c r="A343" s="511" t="s">
        <v>3596</v>
      </c>
      <c r="C343" s="511" t="s">
        <v>3604</v>
      </c>
      <c r="E343" s="511" t="s">
        <v>3605</v>
      </c>
      <c r="I343" s="682"/>
    </row>
    <row r="344" spans="1:9" s="510" customFormat="1" ht="13">
      <c r="A344" s="511">
        <v>1</v>
      </c>
      <c r="B344" s="510" t="s">
        <v>3606</v>
      </c>
      <c r="E344" s="511"/>
      <c r="I344" s="682"/>
    </row>
    <row r="345" spans="1:9" s="510" customFormat="1" ht="13">
      <c r="A345" s="511"/>
      <c r="B345" s="510" t="s">
        <v>3607</v>
      </c>
      <c r="C345" s="511">
        <v>1</v>
      </c>
      <c r="D345" s="510" t="s">
        <v>3608</v>
      </c>
      <c r="E345" s="511"/>
      <c r="I345" s="682"/>
    </row>
    <row r="346" spans="1:9" s="510" customFormat="1" ht="13">
      <c r="A346" s="511"/>
      <c r="C346" s="511">
        <v>2</v>
      </c>
      <c r="D346" s="510" t="s">
        <v>3609</v>
      </c>
      <c r="E346" s="511"/>
      <c r="I346" s="682"/>
    </row>
    <row r="347" spans="1:9" s="510" customFormat="1" ht="13">
      <c r="A347" s="511"/>
      <c r="C347" s="511">
        <v>3</v>
      </c>
      <c r="D347" s="510" t="s">
        <v>3610</v>
      </c>
      <c r="E347" s="511"/>
      <c r="I347" s="682"/>
    </row>
    <row r="348" spans="1:9" s="510" customFormat="1" ht="13">
      <c r="A348" s="511"/>
      <c r="C348" s="511">
        <v>4</v>
      </c>
      <c r="D348" s="510" t="s">
        <v>3611</v>
      </c>
      <c r="E348" s="511"/>
      <c r="I348" s="682"/>
    </row>
    <row r="349" spans="1:9" s="510" customFormat="1" ht="13">
      <c r="A349" s="511"/>
      <c r="C349" s="511">
        <v>5</v>
      </c>
      <c r="D349" s="510" t="s">
        <v>3612</v>
      </c>
      <c r="E349" s="511"/>
      <c r="I349" s="682"/>
    </row>
    <row r="350" spans="1:9" s="510" customFormat="1" ht="13">
      <c r="A350" s="511"/>
      <c r="C350" s="511">
        <v>6</v>
      </c>
      <c r="D350" s="510" t="s">
        <v>3613</v>
      </c>
      <c r="E350" s="511"/>
      <c r="I350" s="682"/>
    </row>
    <row r="351" spans="1:9" s="510" customFormat="1" ht="13">
      <c r="A351" s="511"/>
      <c r="C351" s="511">
        <v>999</v>
      </c>
      <c r="D351" s="510" t="s">
        <v>3614</v>
      </c>
      <c r="E351" s="511"/>
      <c r="I351" s="682"/>
    </row>
    <row r="352" spans="1:9" s="510" customFormat="1" ht="13">
      <c r="A352" s="511">
        <v>5</v>
      </c>
      <c r="B352" s="510" t="s">
        <v>3615</v>
      </c>
      <c r="C352" s="511"/>
      <c r="E352" s="511"/>
      <c r="F352" s="510" t="s">
        <v>3736</v>
      </c>
      <c r="I352" s="682"/>
    </row>
    <row r="353" spans="1:9" s="510" customFormat="1" ht="13">
      <c r="A353" s="511"/>
      <c r="B353" s="510" t="s">
        <v>3607</v>
      </c>
      <c r="C353" s="511">
        <v>7</v>
      </c>
      <c r="D353" s="510" t="s">
        <v>4077</v>
      </c>
      <c r="E353" s="511"/>
      <c r="F353" s="510" t="s">
        <v>3732</v>
      </c>
      <c r="I353" s="682"/>
    </row>
    <row r="354" spans="1:9" s="510" customFormat="1" ht="13">
      <c r="A354" s="511"/>
      <c r="C354" s="511">
        <v>8</v>
      </c>
      <c r="D354" s="510" t="s">
        <v>4078</v>
      </c>
      <c r="E354" s="511"/>
      <c r="F354" s="510" t="s">
        <v>3733</v>
      </c>
      <c r="I354" s="682"/>
    </row>
    <row r="355" spans="1:9" s="510" customFormat="1" ht="13">
      <c r="A355" s="511"/>
      <c r="C355" s="511">
        <v>9</v>
      </c>
      <c r="D355" s="510" t="s">
        <v>4079</v>
      </c>
      <c r="E355" s="511"/>
      <c r="F355" s="510" t="s">
        <v>3734</v>
      </c>
      <c r="I355" s="682"/>
    </row>
    <row r="356" spans="1:9" s="510" customFormat="1" ht="13">
      <c r="A356" s="511"/>
      <c r="C356" s="511">
        <v>10</v>
      </c>
      <c r="D356" s="510" t="s">
        <v>4080</v>
      </c>
      <c r="E356" s="511"/>
      <c r="F356" s="510" t="s">
        <v>3735</v>
      </c>
      <c r="I356" s="682"/>
    </row>
    <row r="357" spans="1:9" s="510" customFormat="1" ht="13">
      <c r="A357" s="511"/>
      <c r="C357" s="511">
        <v>11</v>
      </c>
      <c r="D357" s="510" t="s">
        <v>4081</v>
      </c>
      <c r="E357" s="511"/>
      <c r="I357" s="682"/>
    </row>
    <row r="358" spans="1:9" s="510" customFormat="1" ht="13">
      <c r="A358" s="511"/>
      <c r="C358" s="511">
        <v>12</v>
      </c>
      <c r="D358" s="510" t="s">
        <v>4082</v>
      </c>
      <c r="E358" s="511"/>
      <c r="I358" s="682"/>
    </row>
    <row r="359" spans="1:9" s="510" customFormat="1" ht="13">
      <c r="A359" s="511"/>
      <c r="C359" s="511">
        <v>13</v>
      </c>
      <c r="D359" s="510" t="s">
        <v>4083</v>
      </c>
      <c r="E359" s="511"/>
      <c r="I359" s="682"/>
    </row>
    <row r="360" spans="1:9" s="510" customFormat="1" ht="13">
      <c r="A360" s="511"/>
      <c r="C360" s="511">
        <v>999</v>
      </c>
      <c r="D360" s="510" t="s">
        <v>3623</v>
      </c>
      <c r="E360" s="511"/>
      <c r="I360" s="682"/>
    </row>
    <row r="361" spans="1:9" s="510" customFormat="1" ht="13">
      <c r="A361" s="511">
        <v>10</v>
      </c>
      <c r="B361" s="510" t="s">
        <v>3599</v>
      </c>
      <c r="C361" s="511"/>
      <c r="E361" s="511"/>
      <c r="I361" s="682"/>
    </row>
    <row r="362" spans="1:9" s="510" customFormat="1" ht="13">
      <c r="A362" s="511"/>
      <c r="B362" s="510" t="s">
        <v>3624</v>
      </c>
      <c r="C362" s="511">
        <v>14</v>
      </c>
      <c r="D362" s="510" t="s">
        <v>3625</v>
      </c>
      <c r="E362" s="511">
        <v>1</v>
      </c>
      <c r="F362" s="510" t="s">
        <v>3626</v>
      </c>
      <c r="I362" s="682"/>
    </row>
    <row r="363" spans="1:9" s="510" customFormat="1" ht="13">
      <c r="A363" s="511"/>
      <c r="C363" s="511"/>
      <c r="E363" s="511">
        <v>2</v>
      </c>
      <c r="F363" s="510" t="s">
        <v>3627</v>
      </c>
      <c r="I363" s="682"/>
    </row>
    <row r="364" spans="1:9" s="510" customFormat="1" ht="13">
      <c r="A364" s="511"/>
      <c r="C364" s="511"/>
      <c r="E364" s="511">
        <v>3</v>
      </c>
      <c r="F364" s="510" t="s">
        <v>3628</v>
      </c>
      <c r="I364" s="682"/>
    </row>
    <row r="365" spans="1:9" s="510" customFormat="1" ht="13">
      <c r="A365" s="511"/>
      <c r="C365" s="511"/>
      <c r="E365" s="511">
        <v>6</v>
      </c>
      <c r="F365" s="510" t="s">
        <v>3629</v>
      </c>
      <c r="I365" s="682"/>
    </row>
    <row r="366" spans="1:9" s="510" customFormat="1" ht="13">
      <c r="A366" s="511"/>
      <c r="C366" s="511"/>
      <c r="E366" s="511">
        <v>7</v>
      </c>
      <c r="F366" s="510" t="s">
        <v>3630</v>
      </c>
      <c r="I366" s="682"/>
    </row>
    <row r="367" spans="1:9" s="510" customFormat="1" ht="13">
      <c r="A367" s="511"/>
      <c r="C367" s="511"/>
      <c r="E367" s="511">
        <v>8</v>
      </c>
      <c r="F367" s="510" t="s">
        <v>3631</v>
      </c>
      <c r="I367" s="682"/>
    </row>
    <row r="368" spans="1:9" s="510" customFormat="1" ht="13">
      <c r="A368" s="511"/>
      <c r="C368" s="511">
        <v>15</v>
      </c>
      <c r="D368" s="510" t="s">
        <v>3632</v>
      </c>
      <c r="E368" s="511">
        <v>1</v>
      </c>
      <c r="F368" s="510" t="s">
        <v>3633</v>
      </c>
      <c r="I368" s="682"/>
    </row>
    <row r="369" spans="1:9" s="510" customFormat="1" ht="13">
      <c r="A369" s="511"/>
      <c r="C369" s="511"/>
      <c r="E369" s="511">
        <v>2</v>
      </c>
      <c r="F369" s="510" t="s">
        <v>3634</v>
      </c>
      <c r="I369" s="682"/>
    </row>
    <row r="370" spans="1:9" s="510" customFormat="1" ht="13">
      <c r="A370" s="511"/>
      <c r="C370" s="511"/>
      <c r="E370" s="511">
        <v>3</v>
      </c>
      <c r="F370" s="510" t="s">
        <v>3635</v>
      </c>
      <c r="I370" s="682"/>
    </row>
    <row r="371" spans="1:9" s="510" customFormat="1" ht="13">
      <c r="A371" s="511"/>
      <c r="C371" s="511"/>
      <c r="E371" s="511">
        <v>4</v>
      </c>
      <c r="F371" s="510" t="s">
        <v>3636</v>
      </c>
      <c r="I371" s="682"/>
    </row>
    <row r="372" spans="1:9" s="510" customFormat="1" ht="13">
      <c r="A372" s="511"/>
      <c r="C372" s="511">
        <v>16</v>
      </c>
      <c r="D372" s="510" t="s">
        <v>3637</v>
      </c>
      <c r="E372" s="511">
        <v>1</v>
      </c>
      <c r="F372" s="510" t="s">
        <v>3638</v>
      </c>
      <c r="I372" s="682"/>
    </row>
    <row r="373" spans="1:9" s="510" customFormat="1" ht="13">
      <c r="A373" s="511"/>
      <c r="C373" s="511"/>
      <c r="E373" s="511">
        <v>2</v>
      </c>
      <c r="F373" s="510" t="s">
        <v>3639</v>
      </c>
      <c r="I373" s="682"/>
    </row>
    <row r="374" spans="1:9" s="510" customFormat="1" ht="13">
      <c r="A374" s="511"/>
      <c r="C374" s="511"/>
      <c r="E374" s="511">
        <v>3</v>
      </c>
      <c r="F374" s="510" t="s">
        <v>3640</v>
      </c>
      <c r="I374" s="682"/>
    </row>
    <row r="375" spans="1:9" s="510" customFormat="1" ht="13">
      <c r="A375" s="511"/>
      <c r="C375" s="511">
        <v>17</v>
      </c>
      <c r="D375" s="510" t="s">
        <v>3641</v>
      </c>
      <c r="E375" s="511">
        <v>1</v>
      </c>
      <c r="F375" s="510" t="s">
        <v>3638</v>
      </c>
      <c r="I375" s="682"/>
    </row>
    <row r="376" spans="1:9" s="510" customFormat="1" ht="13">
      <c r="A376" s="511"/>
      <c r="C376" s="511"/>
      <c r="E376" s="511">
        <v>2</v>
      </c>
      <c r="F376" s="510" t="s">
        <v>3639</v>
      </c>
      <c r="I376" s="682"/>
    </row>
    <row r="377" spans="1:9" s="510" customFormat="1" ht="13">
      <c r="C377" s="511"/>
      <c r="E377" s="511">
        <v>3</v>
      </c>
      <c r="F377" s="510" t="s">
        <v>3640</v>
      </c>
      <c r="I377" s="682"/>
    </row>
    <row r="378" spans="1:9" s="510" customFormat="1" ht="13">
      <c r="C378" s="511">
        <v>18</v>
      </c>
      <c r="D378" s="510" t="s">
        <v>3642</v>
      </c>
      <c r="E378" s="511">
        <v>1</v>
      </c>
      <c r="F378" s="510" t="s">
        <v>3638</v>
      </c>
      <c r="I378" s="682"/>
    </row>
    <row r="379" spans="1:9" s="510" customFormat="1" ht="13">
      <c r="C379" s="511"/>
      <c r="E379" s="511">
        <v>2</v>
      </c>
      <c r="F379" s="510" t="s">
        <v>3640</v>
      </c>
      <c r="I379" s="682"/>
    </row>
    <row r="380" spans="1:9" s="510" customFormat="1" ht="13">
      <c r="C380" s="511">
        <v>19</v>
      </c>
      <c r="D380" s="510" t="s">
        <v>3643</v>
      </c>
      <c r="E380" s="511"/>
      <c r="I380" s="682"/>
    </row>
    <row r="381" spans="1:9" s="510" customFormat="1" ht="13">
      <c r="C381" s="511">
        <v>20</v>
      </c>
      <c r="D381" s="510" t="s">
        <v>3644</v>
      </c>
      <c r="E381" s="511">
        <v>1</v>
      </c>
      <c r="F381" s="510" t="s">
        <v>3645</v>
      </c>
      <c r="I381" s="682"/>
    </row>
    <row r="382" spans="1:9" s="510" customFormat="1" ht="13">
      <c r="C382" s="511"/>
      <c r="E382" s="511">
        <v>2</v>
      </c>
      <c r="F382" s="510" t="s">
        <v>3646</v>
      </c>
      <c r="I382" s="682"/>
    </row>
    <row r="383" spans="1:9" s="510" customFormat="1" ht="13">
      <c r="C383" s="511">
        <v>21</v>
      </c>
      <c r="D383" s="510" t="s">
        <v>3647</v>
      </c>
      <c r="E383" s="511">
        <v>1</v>
      </c>
      <c r="F383" s="510" t="s">
        <v>3648</v>
      </c>
      <c r="I383" s="682"/>
    </row>
    <row r="384" spans="1:9" s="510" customFormat="1" ht="13">
      <c r="C384" s="511"/>
      <c r="E384" s="511">
        <v>2</v>
      </c>
      <c r="F384" s="510" t="s">
        <v>3649</v>
      </c>
      <c r="I384" s="682"/>
    </row>
    <row r="385" spans="2:9" s="510" customFormat="1" ht="13">
      <c r="C385" s="511"/>
      <c r="E385" s="511">
        <v>3</v>
      </c>
      <c r="F385" s="510" t="s">
        <v>3650</v>
      </c>
      <c r="I385" s="682"/>
    </row>
    <row r="386" spans="2:9" s="510" customFormat="1" ht="13">
      <c r="C386" s="511"/>
      <c r="E386" s="511"/>
      <c r="I386" s="682"/>
    </row>
    <row r="387" spans="2:9" s="510" customFormat="1" ht="13">
      <c r="B387" s="510" t="s">
        <v>3651</v>
      </c>
      <c r="C387" s="511">
        <v>22</v>
      </c>
      <c r="D387" s="510" t="s">
        <v>3652</v>
      </c>
      <c r="E387" s="511"/>
      <c r="I387" s="682"/>
    </row>
    <row r="388" spans="2:9" s="510" customFormat="1" ht="13">
      <c r="C388" s="511"/>
      <c r="D388" s="510" t="s">
        <v>3653</v>
      </c>
      <c r="E388" s="511"/>
      <c r="I388" s="682"/>
    </row>
    <row r="389" spans="2:9" s="510" customFormat="1" ht="13">
      <c r="C389" s="511">
        <v>23</v>
      </c>
      <c r="D389" s="510" t="s">
        <v>3654</v>
      </c>
      <c r="E389" s="511"/>
      <c r="I389" s="682"/>
    </row>
    <row r="390" spans="2:9" s="510" customFormat="1" ht="13">
      <c r="C390" s="511">
        <v>24</v>
      </c>
      <c r="D390" s="510" t="s">
        <v>4084</v>
      </c>
      <c r="E390" s="511"/>
      <c r="I390" s="682"/>
    </row>
    <row r="391" spans="2:9" s="510" customFormat="1" ht="13">
      <c r="C391" s="511"/>
      <c r="E391" s="511"/>
      <c r="I391" s="682"/>
    </row>
    <row r="392" spans="2:9" s="510" customFormat="1" ht="13">
      <c r="B392" s="510" t="s">
        <v>3655</v>
      </c>
      <c r="C392" s="511">
        <v>25</v>
      </c>
      <c r="D392" s="510" t="s">
        <v>3656</v>
      </c>
      <c r="E392" s="511"/>
      <c r="I392" s="682"/>
    </row>
    <row r="393" spans="2:9" s="510" customFormat="1" ht="13">
      <c r="C393" s="511">
        <v>26</v>
      </c>
      <c r="D393" s="510" t="s">
        <v>3657</v>
      </c>
      <c r="E393" s="511"/>
      <c r="I393" s="682"/>
    </row>
    <row r="394" spans="2:9" s="510" customFormat="1" ht="13">
      <c r="C394" s="511">
        <v>27</v>
      </c>
      <c r="D394" s="510" t="s">
        <v>3658</v>
      </c>
      <c r="E394" s="511"/>
      <c r="I394" s="682"/>
    </row>
    <row r="395" spans="2:9" s="510" customFormat="1" ht="13">
      <c r="C395" s="511">
        <v>28</v>
      </c>
      <c r="D395" s="510" t="s">
        <v>3659</v>
      </c>
      <c r="I395" s="682"/>
    </row>
    <row r="396" spans="2:9" s="510" customFormat="1" ht="13">
      <c r="C396" s="511">
        <v>29</v>
      </c>
      <c r="D396" s="510" t="s">
        <v>3660</v>
      </c>
      <c r="I396" s="682"/>
    </row>
    <row r="397" spans="2:9" s="510" customFormat="1" ht="13">
      <c r="C397" s="511">
        <v>30</v>
      </c>
      <c r="D397" s="510" t="s">
        <v>3661</v>
      </c>
      <c r="I397" s="682"/>
    </row>
    <row r="398" spans="2:9" s="510" customFormat="1" ht="13">
      <c r="C398" s="511">
        <v>31</v>
      </c>
      <c r="D398" s="510" t="s">
        <v>3662</v>
      </c>
      <c r="I398" s="682"/>
    </row>
    <row r="399" spans="2:9" s="510" customFormat="1" ht="13">
      <c r="C399" s="511">
        <v>32</v>
      </c>
      <c r="D399" s="510" t="s">
        <v>3663</v>
      </c>
      <c r="I399" s="682"/>
    </row>
    <row r="400" spans="2:9" s="510" customFormat="1" ht="13">
      <c r="C400" s="511">
        <v>33</v>
      </c>
      <c r="D400" s="510" t="s">
        <v>3664</v>
      </c>
      <c r="I400" s="682"/>
    </row>
    <row r="401" spans="3:9" s="510" customFormat="1" ht="13">
      <c r="C401" s="511">
        <v>34</v>
      </c>
      <c r="D401" s="510" t="s">
        <v>3665</v>
      </c>
      <c r="I401" s="682"/>
    </row>
    <row r="402" spans="3:9" s="510" customFormat="1" ht="13">
      <c r="C402" s="511">
        <v>35</v>
      </c>
      <c r="D402" s="510" t="s">
        <v>3666</v>
      </c>
      <c r="I402" s="682"/>
    </row>
    <row r="403" spans="3:9" s="510" customFormat="1" ht="13">
      <c r="C403" s="511">
        <v>36</v>
      </c>
      <c r="D403" s="510" t="s">
        <v>3667</v>
      </c>
      <c r="I403" s="682"/>
    </row>
    <row r="404" spans="3:9" s="510" customFormat="1" ht="13">
      <c r="C404" s="511">
        <v>37</v>
      </c>
      <c r="D404" s="510" t="s">
        <v>3668</v>
      </c>
      <c r="I404" s="682"/>
    </row>
    <row r="405" spans="3:9" s="510" customFormat="1" ht="13">
      <c r="C405" s="511">
        <v>38</v>
      </c>
      <c r="D405" s="510" t="s">
        <v>3669</v>
      </c>
      <c r="I405" s="682"/>
    </row>
    <row r="406" spans="3:9" s="510" customFormat="1" ht="13">
      <c r="C406" s="511">
        <v>39</v>
      </c>
      <c r="D406" s="510" t="s">
        <v>3670</v>
      </c>
      <c r="I406" s="682"/>
    </row>
    <row r="407" spans="3:9" s="510" customFormat="1" ht="13">
      <c r="C407" s="511">
        <v>40</v>
      </c>
      <c r="D407" s="510" t="s">
        <v>3671</v>
      </c>
      <c r="I407" s="682"/>
    </row>
    <row r="408" spans="3:9" s="510" customFormat="1" ht="13">
      <c r="C408" s="511">
        <v>41</v>
      </c>
      <c r="D408" s="510" t="s">
        <v>3672</v>
      </c>
      <c r="I408" s="682"/>
    </row>
    <row r="409" spans="3:9" s="510" customFormat="1" ht="13">
      <c r="C409" s="511">
        <v>42</v>
      </c>
      <c r="D409" s="510" t="s">
        <v>3673</v>
      </c>
      <c r="I409" s="682"/>
    </row>
    <row r="410" spans="3:9" s="510" customFormat="1" ht="13">
      <c r="C410" s="511">
        <v>43</v>
      </c>
      <c r="D410" s="510" t="s">
        <v>3674</v>
      </c>
      <c r="I410" s="682"/>
    </row>
    <row r="411" spans="3:9" s="510" customFormat="1" ht="13">
      <c r="C411" s="511">
        <v>44</v>
      </c>
      <c r="D411" s="510" t="s">
        <v>3675</v>
      </c>
      <c r="E411" s="511"/>
      <c r="I411" s="682"/>
    </row>
    <row r="412" spans="3:9" s="510" customFormat="1" ht="13">
      <c r="C412" s="511">
        <v>45</v>
      </c>
      <c r="D412" s="510" t="s">
        <v>3676</v>
      </c>
      <c r="E412" s="511"/>
      <c r="I412" s="682"/>
    </row>
    <row r="413" spans="3:9" s="510" customFormat="1" ht="13">
      <c r="C413" s="511">
        <v>46</v>
      </c>
      <c r="D413" s="510" t="s">
        <v>3677</v>
      </c>
      <c r="E413" s="511"/>
      <c r="I413" s="682"/>
    </row>
    <row r="414" spans="3:9" s="510" customFormat="1" ht="13">
      <c r="C414" s="511">
        <v>47</v>
      </c>
      <c r="D414" s="510" t="s">
        <v>3678</v>
      </c>
      <c r="E414" s="511"/>
      <c r="I414" s="682"/>
    </row>
    <row r="415" spans="3:9" s="510" customFormat="1" ht="13">
      <c r="C415" s="511">
        <v>48</v>
      </c>
      <c r="D415" s="510" t="s">
        <v>3679</v>
      </c>
      <c r="E415" s="511">
        <v>1</v>
      </c>
      <c r="F415" s="510" t="s">
        <v>3680</v>
      </c>
      <c r="I415" s="682"/>
    </row>
    <row r="416" spans="3:9" s="510" customFormat="1" ht="13">
      <c r="C416" s="511"/>
      <c r="E416" s="511">
        <v>2</v>
      </c>
      <c r="F416" s="510" t="s">
        <v>3681</v>
      </c>
      <c r="I416" s="682"/>
    </row>
    <row r="417" spans="2:9" s="510" customFormat="1" ht="13">
      <c r="C417" s="511"/>
      <c r="E417" s="511">
        <v>3</v>
      </c>
      <c r="F417" s="510" t="s">
        <v>3682</v>
      </c>
      <c r="I417" s="682"/>
    </row>
    <row r="418" spans="2:9" s="510" customFormat="1" ht="13">
      <c r="B418" s="510" t="s">
        <v>3683</v>
      </c>
      <c r="C418" s="511">
        <v>49</v>
      </c>
      <c r="D418" s="510" t="s">
        <v>4085</v>
      </c>
      <c r="E418" s="511"/>
      <c r="I418" s="682"/>
    </row>
    <row r="419" spans="2:9" s="510" customFormat="1" ht="13">
      <c r="C419" s="511">
        <v>50</v>
      </c>
      <c r="D419" s="510" t="s">
        <v>4086</v>
      </c>
      <c r="E419" s="511"/>
      <c r="I419" s="682"/>
    </row>
    <row r="420" spans="2:9" s="510" customFormat="1" ht="13">
      <c r="C420" s="511">
        <v>999</v>
      </c>
      <c r="D420" s="510" t="s">
        <v>4087</v>
      </c>
      <c r="E420" s="511"/>
      <c r="I420" s="682"/>
    </row>
    <row r="421" spans="2:9" s="510" customFormat="1" ht="13">
      <c r="B421" s="510" t="s">
        <v>3684</v>
      </c>
      <c r="C421" s="511">
        <v>51</v>
      </c>
      <c r="D421" s="510" t="s">
        <v>3685</v>
      </c>
      <c r="E421" s="511">
        <v>1</v>
      </c>
      <c r="F421" s="510" t="s">
        <v>3686</v>
      </c>
      <c r="I421" s="682"/>
    </row>
    <row r="422" spans="2:9" s="510" customFormat="1" ht="13">
      <c r="C422" s="511">
        <v>52</v>
      </c>
      <c r="D422" s="510" t="s">
        <v>3685</v>
      </c>
      <c r="E422" s="511">
        <v>1</v>
      </c>
      <c r="F422" s="510" t="s">
        <v>3687</v>
      </c>
      <c r="I422" s="682"/>
    </row>
    <row r="423" spans="2:9" s="510" customFormat="1" ht="13">
      <c r="C423" s="511">
        <v>53</v>
      </c>
      <c r="D423" s="510" t="s">
        <v>3685</v>
      </c>
      <c r="E423" s="511">
        <v>1</v>
      </c>
      <c r="F423" s="510" t="s">
        <v>3688</v>
      </c>
      <c r="I423" s="682"/>
    </row>
    <row r="424" spans="2:9" s="510" customFormat="1" ht="13">
      <c r="C424" s="511">
        <v>54</v>
      </c>
      <c r="D424" s="510" t="s">
        <v>3685</v>
      </c>
      <c r="E424" s="511">
        <v>1</v>
      </c>
      <c r="F424" s="510" t="s">
        <v>3689</v>
      </c>
      <c r="I424" s="682"/>
    </row>
    <row r="425" spans="2:9" s="510" customFormat="1" ht="13">
      <c r="B425" s="510" t="s">
        <v>3601</v>
      </c>
      <c r="C425" s="511">
        <v>55</v>
      </c>
      <c r="D425" s="510" t="s">
        <v>3690</v>
      </c>
      <c r="E425" s="511"/>
      <c r="I425" s="682"/>
    </row>
    <row r="426" spans="2:9" s="510" customFormat="1" ht="13">
      <c r="C426" s="511">
        <v>56</v>
      </c>
      <c r="D426" s="510" t="s">
        <v>3691</v>
      </c>
      <c r="E426" s="511">
        <v>1</v>
      </c>
      <c r="F426" s="510" t="s">
        <v>3692</v>
      </c>
      <c r="I426" s="682"/>
    </row>
    <row r="427" spans="2:9" s="510" customFormat="1" ht="13">
      <c r="C427" s="511"/>
      <c r="E427" s="511">
        <v>2</v>
      </c>
      <c r="F427" s="510" t="s">
        <v>3693</v>
      </c>
      <c r="I427" s="682"/>
    </row>
    <row r="428" spans="2:9" s="510" customFormat="1" ht="13">
      <c r="C428" s="511"/>
      <c r="E428" s="511">
        <v>3</v>
      </c>
      <c r="F428" s="510" t="s">
        <v>3694</v>
      </c>
      <c r="I428" s="682"/>
    </row>
    <row r="429" spans="2:9" s="510" customFormat="1" ht="13">
      <c r="C429" s="511"/>
      <c r="E429" s="511">
        <v>4</v>
      </c>
      <c r="F429" s="510" t="s">
        <v>3646</v>
      </c>
      <c r="I429" s="682"/>
    </row>
    <row r="430" spans="2:9" s="510" customFormat="1" ht="13">
      <c r="C430" s="511">
        <v>57</v>
      </c>
      <c r="D430" s="510" t="s">
        <v>3695</v>
      </c>
      <c r="E430" s="511"/>
      <c r="I430" s="682"/>
    </row>
    <row r="431" spans="2:9" s="510" customFormat="1" ht="13">
      <c r="C431" s="511">
        <v>58</v>
      </c>
      <c r="D431" s="510" t="s">
        <v>3696</v>
      </c>
      <c r="E431" s="511"/>
      <c r="I431" s="682"/>
    </row>
    <row r="432" spans="2:9" s="510" customFormat="1" ht="13">
      <c r="C432" s="511">
        <v>999</v>
      </c>
      <c r="D432" s="510" t="s">
        <v>3697</v>
      </c>
      <c r="E432" s="511"/>
      <c r="I432" s="682"/>
    </row>
    <row r="433" spans="2:9" s="510" customFormat="1" ht="13">
      <c r="B433" s="510" t="s">
        <v>3602</v>
      </c>
      <c r="C433" s="511">
        <v>59</v>
      </c>
      <c r="D433" s="510" t="s">
        <v>3602</v>
      </c>
      <c r="E433" s="511"/>
      <c r="I433" s="682"/>
    </row>
    <row r="434" spans="2:9" s="510" customFormat="1" ht="13">
      <c r="C434" s="511">
        <v>60</v>
      </c>
      <c r="D434" s="510" t="s">
        <v>3698</v>
      </c>
      <c r="E434" s="511"/>
      <c r="I434" s="682"/>
    </row>
    <row r="435" spans="2:9" s="510" customFormat="1" ht="13">
      <c r="B435" s="510" t="s">
        <v>3603</v>
      </c>
      <c r="C435" s="511"/>
      <c r="E435" s="511"/>
      <c r="I435" s="682"/>
    </row>
    <row r="436" spans="2:9" s="510" customFormat="1" ht="13">
      <c r="B436" s="510" t="s">
        <v>3699</v>
      </c>
      <c r="C436" s="511"/>
      <c r="E436" s="511"/>
      <c r="I436" s="682"/>
    </row>
    <row r="437" spans="2:9" s="510" customFormat="1" ht="13">
      <c r="B437" s="510" t="s">
        <v>3606</v>
      </c>
      <c r="C437" s="511"/>
      <c r="E437" s="511"/>
      <c r="I437" s="682"/>
    </row>
    <row r="438" spans="2:9" s="510" customFormat="1" ht="13">
      <c r="B438" s="510" t="s">
        <v>3700</v>
      </c>
      <c r="C438" s="511">
        <v>63</v>
      </c>
      <c r="D438" s="510" t="s">
        <v>3608</v>
      </c>
      <c r="E438" s="511"/>
      <c r="I438" s="682"/>
    </row>
    <row r="439" spans="2:9" s="510" customFormat="1" ht="13">
      <c r="C439" s="511">
        <v>64</v>
      </c>
      <c r="D439" s="510" t="s">
        <v>3609</v>
      </c>
      <c r="E439" s="511"/>
      <c r="I439" s="682"/>
    </row>
    <row r="440" spans="2:9" s="510" customFormat="1" ht="13">
      <c r="C440" s="511">
        <v>65</v>
      </c>
      <c r="D440" s="510" t="s">
        <v>3610</v>
      </c>
      <c r="E440" s="511"/>
      <c r="I440" s="682"/>
    </row>
    <row r="441" spans="2:9" s="510" customFormat="1" ht="13">
      <c r="C441" s="511">
        <v>66</v>
      </c>
      <c r="D441" s="510" t="s">
        <v>3611</v>
      </c>
      <c r="E441" s="511"/>
      <c r="I441" s="682"/>
    </row>
    <row r="442" spans="2:9" s="510" customFormat="1" ht="13">
      <c r="C442" s="511">
        <v>67</v>
      </c>
      <c r="D442" s="510" t="s">
        <v>3612</v>
      </c>
      <c r="E442" s="511"/>
      <c r="I442" s="682"/>
    </row>
    <row r="443" spans="2:9" s="510" customFormat="1" ht="13">
      <c r="C443" s="511">
        <v>68</v>
      </c>
      <c r="D443" s="510" t="s">
        <v>3613</v>
      </c>
      <c r="E443" s="511"/>
      <c r="I443" s="682"/>
    </row>
    <row r="444" spans="2:9" s="510" customFormat="1" ht="13">
      <c r="C444" s="511">
        <v>999</v>
      </c>
      <c r="D444" s="510" t="s">
        <v>3614</v>
      </c>
      <c r="E444" s="511"/>
      <c r="I444" s="682"/>
    </row>
    <row r="445" spans="2:9" s="510" customFormat="1" ht="13">
      <c r="B445" s="510" t="s">
        <v>3615</v>
      </c>
      <c r="C445" s="511"/>
      <c r="E445" s="511"/>
      <c r="I445" s="682"/>
    </row>
    <row r="446" spans="2:9" s="510" customFormat="1" ht="13">
      <c r="B446" s="510" t="s">
        <v>3700</v>
      </c>
      <c r="C446" s="511">
        <v>69</v>
      </c>
      <c r="D446" s="510" t="s">
        <v>3616</v>
      </c>
      <c r="E446" s="511"/>
      <c r="I446" s="682"/>
    </row>
    <row r="447" spans="2:9" s="510" customFormat="1" ht="13">
      <c r="C447" s="511">
        <v>70</v>
      </c>
      <c r="D447" s="510" t="s">
        <v>3617</v>
      </c>
      <c r="E447" s="511"/>
      <c r="I447" s="682"/>
    </row>
    <row r="448" spans="2:9" s="510" customFormat="1" ht="13">
      <c r="C448" s="511">
        <v>71</v>
      </c>
      <c r="D448" s="510" t="s">
        <v>3618</v>
      </c>
      <c r="E448" s="511"/>
      <c r="I448" s="682"/>
    </row>
    <row r="449" spans="1:9" s="510" customFormat="1" ht="13">
      <c r="C449" s="511">
        <v>72</v>
      </c>
      <c r="D449" s="510" t="s">
        <v>3619</v>
      </c>
      <c r="E449" s="511"/>
      <c r="I449" s="682"/>
    </row>
    <row r="450" spans="1:9" s="510" customFormat="1" ht="13">
      <c r="C450" s="511">
        <v>73</v>
      </c>
      <c r="D450" s="510" t="s">
        <v>3620</v>
      </c>
      <c r="E450" s="511"/>
      <c r="I450" s="682"/>
    </row>
    <row r="451" spans="1:9" s="510" customFormat="1" ht="13">
      <c r="C451" s="511">
        <v>74</v>
      </c>
      <c r="D451" s="510" t="s">
        <v>3621</v>
      </c>
      <c r="E451" s="511"/>
      <c r="I451" s="682"/>
    </row>
    <row r="452" spans="1:9" s="510" customFormat="1" ht="13">
      <c r="C452" s="511">
        <v>75</v>
      </c>
      <c r="D452" s="510" t="s">
        <v>3622</v>
      </c>
      <c r="E452" s="511"/>
      <c r="I452" s="682"/>
    </row>
    <row r="453" spans="1:9" s="510" customFormat="1" ht="13">
      <c r="C453" s="511">
        <v>999</v>
      </c>
      <c r="D453" s="510" t="s">
        <v>3623</v>
      </c>
      <c r="E453" s="511"/>
      <c r="I453" s="682"/>
    </row>
    <row r="454" spans="1:9" s="510" customFormat="1" ht="13">
      <c r="A454" s="510">
        <v>50</v>
      </c>
      <c r="B454" s="510" t="s">
        <v>3699</v>
      </c>
      <c r="C454" s="511">
        <v>76</v>
      </c>
      <c r="E454" s="511"/>
      <c r="I454" s="682"/>
    </row>
    <row r="455" spans="1:9" s="510" customFormat="1" ht="13">
      <c r="C455" s="511"/>
      <c r="E455" s="511"/>
      <c r="I455" s="682"/>
    </row>
    <row r="456" spans="1:9" ht="13.5" customHeight="1">
      <c r="C456" s="541"/>
      <c r="H456" s="524"/>
    </row>
    <row r="457" spans="1:9" ht="13.5" customHeight="1">
      <c r="C457" s="541"/>
      <c r="H457" s="524"/>
    </row>
    <row r="458" spans="1:9" ht="13.5" customHeight="1">
      <c r="C458" s="541"/>
      <c r="H458" s="524"/>
    </row>
    <row r="459" spans="1:9" ht="13.5" customHeight="1">
      <c r="C459" s="541"/>
      <c r="H459" s="524"/>
    </row>
    <row r="460" spans="1:9" ht="13.5" customHeight="1">
      <c r="C460" s="541"/>
      <c r="H460" s="524"/>
    </row>
    <row r="461" spans="1:9" ht="13.5" customHeight="1">
      <c r="C461" s="541"/>
      <c r="H461" s="524"/>
    </row>
    <row r="462" spans="1:9" ht="13.5" customHeight="1">
      <c r="C462" s="541"/>
      <c r="H462" s="524"/>
    </row>
    <row r="463" spans="1:9" ht="13.5" customHeight="1">
      <c r="C463" s="541"/>
      <c r="H463" s="524"/>
    </row>
    <row r="464" spans="1:9" ht="13.5" customHeight="1">
      <c r="C464" s="541"/>
      <c r="H464" s="524"/>
    </row>
    <row r="465" spans="3:8" ht="13.5" customHeight="1">
      <c r="C465" s="541"/>
      <c r="H465" s="524"/>
    </row>
    <row r="466" spans="3:8" ht="13.5" customHeight="1">
      <c r="C466" s="541"/>
      <c r="H466" s="524"/>
    </row>
    <row r="467" spans="3:8" ht="13.5" customHeight="1">
      <c r="C467" s="541"/>
      <c r="H467" s="524"/>
    </row>
    <row r="468" spans="3:8" ht="13.5" customHeight="1">
      <c r="C468" s="541"/>
      <c r="H468" s="524"/>
    </row>
    <row r="469" spans="3:8" ht="13.5" customHeight="1">
      <c r="C469" s="541"/>
      <c r="H469" s="524"/>
    </row>
    <row r="470" spans="3:8" ht="13.5" customHeight="1">
      <c r="C470" s="541"/>
      <c r="H470" s="524"/>
    </row>
    <row r="471" spans="3:8" ht="13.5" customHeight="1">
      <c r="C471" s="541"/>
      <c r="H471" s="524"/>
    </row>
    <row r="472" spans="3:8" ht="13.5" customHeight="1">
      <c r="C472" s="541"/>
      <c r="H472" s="524"/>
    </row>
    <row r="473" spans="3:8" ht="13.5" customHeight="1">
      <c r="C473" s="541"/>
      <c r="H473" s="524"/>
    </row>
    <row r="474" spans="3:8" ht="13.5" customHeight="1">
      <c r="C474" s="524" t="s">
        <v>377</v>
      </c>
      <c r="D474" s="524" t="s">
        <v>378</v>
      </c>
      <c r="H474" s="524"/>
    </row>
    <row r="475" spans="3:8" ht="13.5" customHeight="1">
      <c r="C475" s="524" t="s">
        <v>379</v>
      </c>
      <c r="D475" s="524" t="s">
        <v>380</v>
      </c>
      <c r="H475" s="524"/>
    </row>
    <row r="476" spans="3:8" ht="13.5" customHeight="1">
      <c r="C476" s="524" t="s">
        <v>381</v>
      </c>
      <c r="D476" s="524" t="s">
        <v>382</v>
      </c>
      <c r="H476" s="524"/>
    </row>
    <row r="477" spans="3:8" ht="13.5" customHeight="1">
      <c r="C477" s="524" t="s">
        <v>383</v>
      </c>
      <c r="D477" s="524" t="s">
        <v>384</v>
      </c>
      <c r="H477" s="524"/>
    </row>
    <row r="478" spans="3:8" ht="13.5" customHeight="1">
      <c r="C478" s="524" t="s">
        <v>385</v>
      </c>
      <c r="D478" s="524" t="s">
        <v>386</v>
      </c>
    </row>
    <row r="479" spans="3:8" ht="13.5" customHeight="1">
      <c r="C479" s="524" t="s">
        <v>387</v>
      </c>
      <c r="D479" s="524" t="s">
        <v>388</v>
      </c>
    </row>
    <row r="480" spans="3:8" ht="13.5" customHeight="1">
      <c r="C480" s="524" t="s">
        <v>389</v>
      </c>
      <c r="D480" s="524" t="s">
        <v>390</v>
      </c>
    </row>
    <row r="481" spans="2:9" s="575" customFormat="1" ht="13.5" customHeight="1">
      <c r="B481" s="575" t="s">
        <v>3705</v>
      </c>
      <c r="C481" s="575">
        <v>10500701</v>
      </c>
      <c r="D481" s="575" t="s">
        <v>391</v>
      </c>
      <c r="H481" s="576"/>
      <c r="I481" s="561"/>
    </row>
    <row r="482" spans="2:9" s="575" customFormat="1" ht="13.5" customHeight="1">
      <c r="B482" s="575" t="s">
        <v>3705</v>
      </c>
      <c r="C482" s="575" t="s">
        <v>392</v>
      </c>
      <c r="D482" s="575" t="s">
        <v>393</v>
      </c>
      <c r="H482" s="576"/>
      <c r="I482" s="561"/>
    </row>
    <row r="483" spans="2:9" s="575" customFormat="1" ht="13.5" customHeight="1">
      <c r="B483" s="575" t="s">
        <v>3705</v>
      </c>
      <c r="C483" s="575" t="s">
        <v>394</v>
      </c>
      <c r="D483" s="575" t="s">
        <v>395</v>
      </c>
      <c r="H483" s="576"/>
      <c r="I483" s="561"/>
    </row>
    <row r="484" spans="2:9" s="575" customFormat="1" ht="13.5" customHeight="1">
      <c r="B484" s="575" t="s">
        <v>3705</v>
      </c>
      <c r="C484" s="575" t="s">
        <v>396</v>
      </c>
      <c r="D484" s="575" t="s">
        <v>397</v>
      </c>
      <c r="H484" s="576"/>
      <c r="I484" s="561"/>
    </row>
    <row r="485" spans="2:9" s="575" customFormat="1" ht="13.5" customHeight="1">
      <c r="B485" s="575" t="s">
        <v>3705</v>
      </c>
      <c r="C485" s="575" t="s">
        <v>398</v>
      </c>
      <c r="D485" s="575" t="s">
        <v>399</v>
      </c>
      <c r="H485" s="576"/>
      <c r="I485" s="561"/>
    </row>
    <row r="486" spans="2:9" s="575" customFormat="1" ht="13.5" customHeight="1">
      <c r="B486" s="575" t="s">
        <v>3705</v>
      </c>
      <c r="C486" s="575" t="s">
        <v>400</v>
      </c>
      <c r="D486" s="575" t="s">
        <v>401</v>
      </c>
      <c r="H486" s="576"/>
      <c r="I486" s="561"/>
    </row>
    <row r="487" spans="2:9" s="575" customFormat="1" ht="13.5" customHeight="1">
      <c r="B487" s="575" t="s">
        <v>3705</v>
      </c>
      <c r="C487" s="575" t="s">
        <v>402</v>
      </c>
      <c r="D487" s="575" t="s">
        <v>403</v>
      </c>
      <c r="H487" s="576"/>
      <c r="I487" s="561"/>
    </row>
    <row r="488" spans="2:9" s="575" customFormat="1" ht="13.5" customHeight="1">
      <c r="B488" s="575" t="s">
        <v>3705</v>
      </c>
      <c r="C488" s="575" t="s">
        <v>404</v>
      </c>
      <c r="D488" s="575" t="s">
        <v>405</v>
      </c>
      <c r="H488" s="576"/>
      <c r="I488" s="561"/>
    </row>
    <row r="489" spans="2:9" s="575" customFormat="1" ht="13.5" customHeight="1">
      <c r="B489" s="575" t="s">
        <v>3705</v>
      </c>
      <c r="C489" s="575" t="s">
        <v>406</v>
      </c>
      <c r="D489" s="575" t="s">
        <v>407</v>
      </c>
      <c r="H489" s="576"/>
      <c r="I489" s="561"/>
    </row>
    <row r="490" spans="2:9" s="575" customFormat="1" ht="13.5" customHeight="1">
      <c r="B490" s="575" t="s">
        <v>3705</v>
      </c>
      <c r="C490" s="575" t="s">
        <v>408</v>
      </c>
      <c r="D490" s="575" t="s">
        <v>409</v>
      </c>
      <c r="H490" s="576"/>
      <c r="I490" s="561"/>
    </row>
    <row r="491" spans="2:9" s="575" customFormat="1" ht="13.5" customHeight="1">
      <c r="B491" s="575" t="s">
        <v>3705</v>
      </c>
      <c r="C491" s="575" t="s">
        <v>410</v>
      </c>
      <c r="D491" s="575" t="s">
        <v>411</v>
      </c>
      <c r="H491" s="576"/>
      <c r="I491" s="561"/>
    </row>
    <row r="492" spans="2:9" s="575" customFormat="1" ht="13.5" customHeight="1">
      <c r="B492" s="575" t="s">
        <v>3705</v>
      </c>
      <c r="C492" s="575" t="s">
        <v>412</v>
      </c>
      <c r="D492" s="575" t="s">
        <v>413</v>
      </c>
      <c r="H492" s="576"/>
      <c r="I492" s="561"/>
    </row>
    <row r="493" spans="2:9" s="575" customFormat="1" ht="13.5" customHeight="1">
      <c r="B493" s="575" t="s">
        <v>3705</v>
      </c>
      <c r="C493" s="575" t="s">
        <v>414</v>
      </c>
      <c r="D493" s="575" t="s">
        <v>415</v>
      </c>
      <c r="H493" s="576"/>
      <c r="I493" s="561"/>
    </row>
    <row r="494" spans="2:9" s="575" customFormat="1" ht="13.5" customHeight="1">
      <c r="B494" s="575" t="s">
        <v>3705</v>
      </c>
      <c r="C494" s="575" t="s">
        <v>416</v>
      </c>
      <c r="D494" s="575" t="s">
        <v>417</v>
      </c>
      <c r="H494" s="576"/>
      <c r="I494" s="561"/>
    </row>
    <row r="495" spans="2:9" s="575" customFormat="1" ht="13.5" customHeight="1">
      <c r="B495" s="575" t="s">
        <v>3705</v>
      </c>
      <c r="C495" s="575" t="s">
        <v>418</v>
      </c>
      <c r="D495" s="575" t="s">
        <v>419</v>
      </c>
      <c r="H495" s="576"/>
      <c r="I495" s="561"/>
    </row>
    <row r="496" spans="2:9" s="575" customFormat="1" ht="13.5" customHeight="1">
      <c r="B496" s="575" t="s">
        <v>3705</v>
      </c>
      <c r="C496" s="575" t="s">
        <v>420</v>
      </c>
      <c r="D496" s="575" t="s">
        <v>421</v>
      </c>
      <c r="H496" s="576"/>
      <c r="I496" s="561"/>
    </row>
    <row r="497" spans="2:9" s="575" customFormat="1" ht="13.5" customHeight="1">
      <c r="B497" s="575" t="s">
        <v>3705</v>
      </c>
      <c r="C497" s="575" t="s">
        <v>422</v>
      </c>
      <c r="D497" s="575" t="s">
        <v>423</v>
      </c>
      <c r="H497" s="576"/>
      <c r="I497" s="561"/>
    </row>
    <row r="498" spans="2:9" s="575" customFormat="1" ht="13.5" customHeight="1">
      <c r="B498" s="575" t="s">
        <v>3705</v>
      </c>
      <c r="C498" s="575" t="s">
        <v>424</v>
      </c>
      <c r="D498" s="575" t="s">
        <v>425</v>
      </c>
      <c r="H498" s="576"/>
      <c r="I498" s="561"/>
    </row>
    <row r="499" spans="2:9" s="575" customFormat="1" ht="13.5" customHeight="1">
      <c r="B499" s="575" t="s">
        <v>3705</v>
      </c>
      <c r="C499" s="575" t="s">
        <v>426</v>
      </c>
      <c r="D499" s="575" t="s">
        <v>427</v>
      </c>
      <c r="H499" s="576"/>
      <c r="I499" s="561"/>
    </row>
    <row r="500" spans="2:9" s="575" customFormat="1" ht="13.5" customHeight="1">
      <c r="B500" s="575" t="s">
        <v>3705</v>
      </c>
      <c r="C500" s="575" t="s">
        <v>428</v>
      </c>
      <c r="D500" s="575" t="s">
        <v>429</v>
      </c>
      <c r="H500" s="576"/>
      <c r="I500" s="561"/>
    </row>
    <row r="501" spans="2:9" s="575" customFormat="1" ht="13.5" customHeight="1">
      <c r="B501" s="575" t="s">
        <v>3705</v>
      </c>
      <c r="C501" s="575" t="s">
        <v>430</v>
      </c>
      <c r="D501" s="575" t="s">
        <v>431</v>
      </c>
      <c r="H501" s="576"/>
      <c r="I501" s="561"/>
    </row>
    <row r="502" spans="2:9" s="575" customFormat="1" ht="13.5" customHeight="1">
      <c r="B502" s="575" t="s">
        <v>3705</v>
      </c>
      <c r="C502" s="575" t="s">
        <v>432</v>
      </c>
      <c r="D502" s="575" t="s">
        <v>433</v>
      </c>
      <c r="H502" s="576"/>
      <c r="I502" s="561"/>
    </row>
    <row r="503" spans="2:9" s="575" customFormat="1" ht="13.5" customHeight="1">
      <c r="B503" s="575" t="s">
        <v>3705</v>
      </c>
      <c r="C503" s="575" t="s">
        <v>434</v>
      </c>
      <c r="D503" s="575" t="s">
        <v>435</v>
      </c>
      <c r="H503" s="576"/>
      <c r="I503" s="561"/>
    </row>
    <row r="504" spans="2:9" s="575" customFormat="1" ht="13.5" customHeight="1">
      <c r="B504" s="575" t="s">
        <v>3705</v>
      </c>
      <c r="C504" s="575" t="s">
        <v>436</v>
      </c>
      <c r="D504" s="575" t="s">
        <v>437</v>
      </c>
      <c r="H504" s="576"/>
      <c r="I504" s="561"/>
    </row>
    <row r="505" spans="2:9" s="575" customFormat="1" ht="13.5" customHeight="1">
      <c r="B505" s="575" t="s">
        <v>3705</v>
      </c>
      <c r="C505" s="575" t="s">
        <v>438</v>
      </c>
      <c r="D505" s="575" t="s">
        <v>439</v>
      </c>
      <c r="H505" s="576"/>
      <c r="I505" s="561"/>
    </row>
    <row r="506" spans="2:9" ht="13.5" customHeight="1">
      <c r="B506" s="524" t="s">
        <v>3706</v>
      </c>
      <c r="C506" s="524" t="s">
        <v>440</v>
      </c>
      <c r="D506" s="524" t="s">
        <v>441</v>
      </c>
    </row>
    <row r="507" spans="2:9" ht="13.5" customHeight="1">
      <c r="B507" s="524" t="s">
        <v>3706</v>
      </c>
      <c r="C507" s="524" t="s">
        <v>442</v>
      </c>
      <c r="D507" s="524" t="s">
        <v>443</v>
      </c>
    </row>
    <row r="508" spans="2:9" ht="13.5" customHeight="1">
      <c r="B508" s="524" t="s">
        <v>3706</v>
      </c>
      <c r="C508" s="524" t="s">
        <v>444</v>
      </c>
      <c r="D508" s="524" t="s">
        <v>445</v>
      </c>
    </row>
    <row r="509" spans="2:9" ht="13.5" customHeight="1">
      <c r="B509" s="524" t="s">
        <v>3706</v>
      </c>
      <c r="C509" s="524" t="s">
        <v>446</v>
      </c>
      <c r="D509" s="524" t="s">
        <v>447</v>
      </c>
    </row>
    <row r="510" spans="2:9" ht="13.5" customHeight="1">
      <c r="B510" s="524" t="s">
        <v>3706</v>
      </c>
      <c r="C510" s="524" t="s">
        <v>448</v>
      </c>
      <c r="D510" s="524" t="s">
        <v>449</v>
      </c>
    </row>
    <row r="511" spans="2:9" ht="13.5" customHeight="1">
      <c r="B511" s="524" t="s">
        <v>3706</v>
      </c>
      <c r="C511" s="524" t="s">
        <v>450</v>
      </c>
      <c r="D511" s="524" t="s">
        <v>451</v>
      </c>
    </row>
    <row r="512" spans="2:9" ht="13.5" customHeight="1">
      <c r="B512" s="524" t="s">
        <v>3706</v>
      </c>
      <c r="C512" s="524" t="s">
        <v>452</v>
      </c>
      <c r="D512" s="524" t="s">
        <v>453</v>
      </c>
    </row>
    <row r="513" spans="2:8" ht="13.5" customHeight="1">
      <c r="B513" s="524" t="s">
        <v>3706</v>
      </c>
      <c r="C513" s="524" t="s">
        <v>454</v>
      </c>
      <c r="D513" s="524" t="s">
        <v>455</v>
      </c>
    </row>
    <row r="514" spans="2:8" ht="13.5" customHeight="1">
      <c r="B514" s="524" t="s">
        <v>3706</v>
      </c>
      <c r="C514" s="524" t="s">
        <v>456</v>
      </c>
      <c r="D514" s="524" t="s">
        <v>457</v>
      </c>
    </row>
    <row r="515" spans="2:8" ht="13.5" customHeight="1">
      <c r="B515" s="524" t="s">
        <v>3706</v>
      </c>
      <c r="C515" s="524" t="s">
        <v>458</v>
      </c>
      <c r="D515" s="524" t="s">
        <v>459</v>
      </c>
    </row>
    <row r="516" spans="2:8" ht="13.5" customHeight="1">
      <c r="B516" s="524" t="s">
        <v>3706</v>
      </c>
      <c r="C516" s="524" t="s">
        <v>460</v>
      </c>
      <c r="D516" s="524" t="s">
        <v>461</v>
      </c>
    </row>
    <row r="517" spans="2:8" ht="13.5" customHeight="1">
      <c r="B517" s="524" t="s">
        <v>3706</v>
      </c>
      <c r="C517" s="524" t="s">
        <v>462</v>
      </c>
      <c r="D517" s="524" t="s">
        <v>463</v>
      </c>
    </row>
    <row r="518" spans="2:8" ht="13.5" customHeight="1">
      <c r="B518" s="524" t="s">
        <v>3706</v>
      </c>
      <c r="C518" s="524" t="s">
        <v>464</v>
      </c>
      <c r="D518" s="524" t="s">
        <v>465</v>
      </c>
      <c r="H518" s="524"/>
    </row>
    <row r="519" spans="2:8" ht="13.5" customHeight="1">
      <c r="B519" s="524" t="s">
        <v>3706</v>
      </c>
      <c r="C519" s="524" t="s">
        <v>466</v>
      </c>
      <c r="D519" s="524" t="s">
        <v>467</v>
      </c>
      <c r="H519" s="524"/>
    </row>
    <row r="520" spans="2:8" ht="13.5" customHeight="1">
      <c r="B520" s="524" t="s">
        <v>3706</v>
      </c>
      <c r="C520" s="524" t="s">
        <v>468</v>
      </c>
      <c r="D520" s="524" t="s">
        <v>469</v>
      </c>
      <c r="H520" s="524"/>
    </row>
    <row r="521" spans="2:8" ht="13.5" customHeight="1">
      <c r="B521" s="524" t="s">
        <v>3706</v>
      </c>
      <c r="C521" s="524" t="s">
        <v>470</v>
      </c>
      <c r="D521" s="524" t="s">
        <v>471</v>
      </c>
      <c r="H521" s="524"/>
    </row>
    <row r="522" spans="2:8" ht="13.5" customHeight="1">
      <c r="B522" s="524" t="s">
        <v>3706</v>
      </c>
      <c r="C522" s="524" t="s">
        <v>472</v>
      </c>
      <c r="D522" s="524" t="s">
        <v>473</v>
      </c>
      <c r="H522" s="524"/>
    </row>
    <row r="523" spans="2:8" ht="13.5" customHeight="1">
      <c r="B523" s="524" t="s">
        <v>3706</v>
      </c>
      <c r="C523" s="524" t="s">
        <v>474</v>
      </c>
      <c r="D523" s="524" t="s">
        <v>475</v>
      </c>
      <c r="H523" s="524"/>
    </row>
    <row r="524" spans="2:8" ht="13.5" customHeight="1">
      <c r="B524" s="524" t="s">
        <v>3706</v>
      </c>
      <c r="C524" s="524" t="s">
        <v>476</v>
      </c>
      <c r="D524" s="524" t="s">
        <v>477</v>
      </c>
      <c r="H524" s="524"/>
    </row>
    <row r="525" spans="2:8" ht="13.5" customHeight="1">
      <c r="B525" s="524" t="s">
        <v>3706</v>
      </c>
      <c r="C525" s="524" t="s">
        <v>478</v>
      </c>
      <c r="D525" s="524" t="s">
        <v>479</v>
      </c>
      <c r="H525" s="524"/>
    </row>
    <row r="526" spans="2:8" ht="13.5" customHeight="1">
      <c r="B526" s="524" t="s">
        <v>3706</v>
      </c>
      <c r="C526" s="524" t="s">
        <v>480</v>
      </c>
      <c r="D526" s="524" t="s">
        <v>481</v>
      </c>
      <c r="H526" s="524"/>
    </row>
    <row r="527" spans="2:8" ht="13.5" customHeight="1">
      <c r="B527" s="524" t="s">
        <v>3706</v>
      </c>
      <c r="C527" s="524" t="s">
        <v>482</v>
      </c>
      <c r="D527" s="524" t="s">
        <v>483</v>
      </c>
      <c r="H527" s="524"/>
    </row>
    <row r="528" spans="2:8" ht="13.5" customHeight="1">
      <c r="B528" s="524" t="s">
        <v>3706</v>
      </c>
      <c r="C528" s="524" t="s">
        <v>484</v>
      </c>
      <c r="D528" s="524" t="s">
        <v>485</v>
      </c>
      <c r="H528" s="524"/>
    </row>
    <row r="529" spans="2:8" ht="13.5" customHeight="1">
      <c r="B529" s="524" t="s">
        <v>3706</v>
      </c>
      <c r="C529" s="524" t="s">
        <v>486</v>
      </c>
      <c r="D529" s="524" t="s">
        <v>487</v>
      </c>
      <c r="H529" s="524"/>
    </row>
    <row r="530" spans="2:8" ht="13.5" customHeight="1">
      <c r="B530" s="524" t="s">
        <v>3706</v>
      </c>
      <c r="C530" s="524" t="s">
        <v>488</v>
      </c>
      <c r="D530" s="524" t="s">
        <v>489</v>
      </c>
      <c r="H530" s="524"/>
    </row>
    <row r="531" spans="2:8" ht="13.5" customHeight="1">
      <c r="B531" s="524" t="s">
        <v>3707</v>
      </c>
      <c r="C531" s="524" t="s">
        <v>490</v>
      </c>
      <c r="D531" s="524" t="s">
        <v>491</v>
      </c>
      <c r="H531" s="524"/>
    </row>
    <row r="532" spans="2:8" ht="13.5" customHeight="1">
      <c r="B532" s="524" t="s">
        <v>3707</v>
      </c>
      <c r="C532" s="524" t="s">
        <v>492</v>
      </c>
      <c r="D532" s="524" t="s">
        <v>493</v>
      </c>
      <c r="H532" s="524"/>
    </row>
    <row r="533" spans="2:8" ht="13.5" customHeight="1">
      <c r="B533" s="524" t="s">
        <v>3707</v>
      </c>
      <c r="C533" s="524" t="s">
        <v>494</v>
      </c>
      <c r="D533" s="524" t="s">
        <v>495</v>
      </c>
      <c r="H533" s="524"/>
    </row>
    <row r="534" spans="2:8" ht="13.5" customHeight="1">
      <c r="B534" s="524" t="s">
        <v>3707</v>
      </c>
      <c r="C534" s="524" t="s">
        <v>496</v>
      </c>
      <c r="D534" s="524" t="s">
        <v>497</v>
      </c>
      <c r="H534" s="524"/>
    </row>
    <row r="535" spans="2:8" ht="13.5" customHeight="1">
      <c r="B535" s="524" t="s">
        <v>3707</v>
      </c>
      <c r="C535" s="524" t="s">
        <v>498</v>
      </c>
      <c r="D535" s="524" t="s">
        <v>499</v>
      </c>
      <c r="H535" s="524"/>
    </row>
    <row r="536" spans="2:8" ht="13.5" customHeight="1">
      <c r="B536" s="524" t="s">
        <v>3707</v>
      </c>
      <c r="C536" s="524" t="s">
        <v>500</v>
      </c>
      <c r="D536" s="524" t="s">
        <v>501</v>
      </c>
      <c r="H536" s="524"/>
    </row>
    <row r="537" spans="2:8" ht="13.5" customHeight="1">
      <c r="B537" s="524" t="s">
        <v>3707</v>
      </c>
      <c r="C537" s="524" t="s">
        <v>502</v>
      </c>
      <c r="D537" s="524" t="s">
        <v>503</v>
      </c>
      <c r="H537" s="524"/>
    </row>
    <row r="538" spans="2:8" ht="13.5" customHeight="1">
      <c r="B538" s="524" t="s">
        <v>3707</v>
      </c>
      <c r="C538" s="524" t="s">
        <v>504</v>
      </c>
      <c r="D538" s="524" t="s">
        <v>505</v>
      </c>
      <c r="H538" s="524"/>
    </row>
    <row r="539" spans="2:8" ht="13.5" customHeight="1">
      <c r="B539" s="524" t="s">
        <v>3707</v>
      </c>
      <c r="C539" s="524" t="s">
        <v>506</v>
      </c>
      <c r="D539" s="524" t="s">
        <v>507</v>
      </c>
      <c r="H539" s="524"/>
    </row>
    <row r="540" spans="2:8" ht="13.5" customHeight="1">
      <c r="B540" s="524" t="s">
        <v>3707</v>
      </c>
      <c r="C540" s="524" t="s">
        <v>508</v>
      </c>
      <c r="D540" s="524" t="s">
        <v>509</v>
      </c>
      <c r="H540" s="524"/>
    </row>
    <row r="541" spans="2:8" ht="13.5" customHeight="1">
      <c r="B541" s="524" t="s">
        <v>3707</v>
      </c>
      <c r="C541" s="524" t="s">
        <v>510</v>
      </c>
      <c r="D541" s="524" t="s">
        <v>511</v>
      </c>
      <c r="H541" s="524"/>
    </row>
    <row r="542" spans="2:8" ht="13.5" customHeight="1">
      <c r="B542" s="524" t="s">
        <v>3707</v>
      </c>
      <c r="C542" s="524" t="s">
        <v>512</v>
      </c>
      <c r="D542" s="524" t="s">
        <v>513</v>
      </c>
      <c r="H542" s="524"/>
    </row>
    <row r="543" spans="2:8" ht="13.5" customHeight="1">
      <c r="B543" s="524" t="s">
        <v>3707</v>
      </c>
      <c r="C543" s="524" t="s">
        <v>514</v>
      </c>
      <c r="D543" s="524" t="s">
        <v>515</v>
      </c>
      <c r="H543" s="524"/>
    </row>
    <row r="544" spans="2:8" ht="13.5" customHeight="1">
      <c r="B544" s="524" t="s">
        <v>3707</v>
      </c>
      <c r="C544" s="524" t="s">
        <v>516</v>
      </c>
      <c r="D544" s="524" t="s">
        <v>517</v>
      </c>
      <c r="H544" s="524"/>
    </row>
    <row r="545" spans="2:8" ht="13.5" customHeight="1">
      <c r="B545" s="524" t="s">
        <v>3707</v>
      </c>
      <c r="C545" s="524" t="s">
        <v>518</v>
      </c>
      <c r="D545" s="524" t="s">
        <v>519</v>
      </c>
      <c r="H545" s="524"/>
    </row>
    <row r="546" spans="2:8" ht="13.5" customHeight="1">
      <c r="B546" s="524" t="s">
        <v>3707</v>
      </c>
      <c r="C546" s="524" t="s">
        <v>520</v>
      </c>
      <c r="D546" s="524" t="s">
        <v>521</v>
      </c>
      <c r="H546" s="524"/>
    </row>
    <row r="547" spans="2:8" ht="13.5" customHeight="1">
      <c r="B547" s="524" t="s">
        <v>3707</v>
      </c>
      <c r="C547" s="524" t="s">
        <v>522</v>
      </c>
      <c r="D547" s="524" t="s">
        <v>523</v>
      </c>
      <c r="H547" s="524"/>
    </row>
    <row r="548" spans="2:8" ht="13.5" customHeight="1">
      <c r="B548" s="524" t="s">
        <v>3707</v>
      </c>
      <c r="C548" s="524" t="s">
        <v>524</v>
      </c>
      <c r="D548" s="524" t="s">
        <v>525</v>
      </c>
      <c r="H548" s="524"/>
    </row>
    <row r="549" spans="2:8" ht="13.5" customHeight="1">
      <c r="B549" s="524" t="s">
        <v>3707</v>
      </c>
      <c r="C549" s="524" t="s">
        <v>526</v>
      </c>
      <c r="D549" s="524" t="s">
        <v>527</v>
      </c>
      <c r="H549" s="524"/>
    </row>
    <row r="550" spans="2:8" ht="13.5" customHeight="1">
      <c r="B550" s="524" t="s">
        <v>3707</v>
      </c>
      <c r="C550" s="524" t="s">
        <v>528</v>
      </c>
      <c r="D550" s="524" t="s">
        <v>529</v>
      </c>
      <c r="H550" s="524"/>
    </row>
    <row r="551" spans="2:8" ht="13.5" customHeight="1">
      <c r="B551" s="524" t="s">
        <v>3707</v>
      </c>
      <c r="C551" s="524" t="s">
        <v>530</v>
      </c>
      <c r="D551" s="524" t="s">
        <v>531</v>
      </c>
      <c r="H551" s="524"/>
    </row>
    <row r="552" spans="2:8" ht="13.5" customHeight="1">
      <c r="B552" s="524" t="s">
        <v>3707</v>
      </c>
      <c r="C552" s="524" t="s">
        <v>532</v>
      </c>
      <c r="D552" s="524" t="s">
        <v>533</v>
      </c>
      <c r="H552" s="524"/>
    </row>
    <row r="553" spans="2:8" ht="13.5" customHeight="1">
      <c r="B553" s="524" t="s">
        <v>3707</v>
      </c>
      <c r="C553" s="524" t="s">
        <v>534</v>
      </c>
      <c r="D553" s="524" t="s">
        <v>535</v>
      </c>
      <c r="H553" s="524"/>
    </row>
    <row r="554" spans="2:8" ht="13.5" customHeight="1">
      <c r="B554" s="524" t="s">
        <v>3707</v>
      </c>
      <c r="C554" s="524" t="s">
        <v>536</v>
      </c>
      <c r="D554" s="524" t="s">
        <v>537</v>
      </c>
      <c r="H554" s="524"/>
    </row>
    <row r="555" spans="2:8" ht="13.5" customHeight="1">
      <c r="B555" s="524" t="s">
        <v>3707</v>
      </c>
      <c r="C555" s="524" t="s">
        <v>538</v>
      </c>
      <c r="D555" s="524" t="s">
        <v>539</v>
      </c>
      <c r="H555" s="524"/>
    </row>
    <row r="556" spans="2:8" ht="13.5" customHeight="1">
      <c r="B556" s="524" t="s">
        <v>3708</v>
      </c>
      <c r="C556" s="524" t="s">
        <v>540</v>
      </c>
      <c r="D556" s="524" t="s">
        <v>541</v>
      </c>
      <c r="H556" s="524"/>
    </row>
    <row r="557" spans="2:8" ht="13.5" customHeight="1">
      <c r="B557" s="524" t="s">
        <v>3708</v>
      </c>
      <c r="C557" s="524" t="s">
        <v>542</v>
      </c>
      <c r="D557" s="524" t="s">
        <v>543</v>
      </c>
      <c r="H557" s="524"/>
    </row>
    <row r="558" spans="2:8" ht="13.5" customHeight="1">
      <c r="B558" s="524" t="s">
        <v>3708</v>
      </c>
      <c r="C558" s="524" t="s">
        <v>544</v>
      </c>
      <c r="D558" s="524" t="s">
        <v>545</v>
      </c>
      <c r="H558" s="524"/>
    </row>
    <row r="559" spans="2:8" ht="13.5" customHeight="1">
      <c r="B559" s="524" t="s">
        <v>3708</v>
      </c>
      <c r="C559" s="524" t="s">
        <v>546</v>
      </c>
      <c r="D559" s="524" t="s">
        <v>547</v>
      </c>
      <c r="H559" s="524"/>
    </row>
    <row r="560" spans="2:8" ht="13.5" customHeight="1">
      <c r="B560" s="524" t="s">
        <v>3708</v>
      </c>
      <c r="C560" s="524" t="s">
        <v>548</v>
      </c>
      <c r="D560" s="524" t="s">
        <v>549</v>
      </c>
      <c r="H560" s="524"/>
    </row>
    <row r="561" spans="2:8" ht="13.5" customHeight="1">
      <c r="B561" s="524" t="s">
        <v>3708</v>
      </c>
      <c r="C561" s="524" t="s">
        <v>550</v>
      </c>
      <c r="D561" s="524" t="s">
        <v>551</v>
      </c>
      <c r="H561" s="524"/>
    </row>
    <row r="562" spans="2:8" ht="13.5" customHeight="1">
      <c r="B562" s="524" t="s">
        <v>3708</v>
      </c>
      <c r="C562" s="524" t="s">
        <v>552</v>
      </c>
      <c r="D562" s="524" t="s">
        <v>553</v>
      </c>
      <c r="H562" s="524"/>
    </row>
    <row r="563" spans="2:8" ht="13.5" customHeight="1">
      <c r="B563" s="524" t="s">
        <v>3708</v>
      </c>
      <c r="C563" s="524" t="s">
        <v>554</v>
      </c>
      <c r="D563" s="524" t="s">
        <v>555</v>
      </c>
      <c r="H563" s="524"/>
    </row>
    <row r="564" spans="2:8" ht="13.5" customHeight="1">
      <c r="B564" s="524" t="s">
        <v>3708</v>
      </c>
      <c r="C564" s="524" t="s">
        <v>556</v>
      </c>
      <c r="D564" s="524" t="s">
        <v>557</v>
      </c>
      <c r="H564" s="524"/>
    </row>
    <row r="565" spans="2:8" ht="13.5" customHeight="1">
      <c r="B565" s="524" t="s">
        <v>3708</v>
      </c>
      <c r="C565" s="524" t="s">
        <v>558</v>
      </c>
      <c r="D565" s="524" t="s">
        <v>559</v>
      </c>
      <c r="H565" s="524"/>
    </row>
    <row r="566" spans="2:8" ht="13.5" customHeight="1">
      <c r="B566" s="524" t="s">
        <v>3708</v>
      </c>
      <c r="C566" s="524" t="s">
        <v>560</v>
      </c>
      <c r="D566" s="524" t="s">
        <v>561</v>
      </c>
      <c r="H566" s="524"/>
    </row>
    <row r="567" spans="2:8" ht="13.5" customHeight="1">
      <c r="B567" s="524" t="s">
        <v>3708</v>
      </c>
      <c r="C567" s="524" t="s">
        <v>562</v>
      </c>
      <c r="D567" s="524" t="s">
        <v>563</v>
      </c>
      <c r="H567" s="524"/>
    </row>
    <row r="568" spans="2:8" ht="13.5" customHeight="1">
      <c r="B568" s="524" t="s">
        <v>3708</v>
      </c>
      <c r="C568" s="524" t="s">
        <v>564</v>
      </c>
      <c r="D568" s="524" t="s">
        <v>565</v>
      </c>
      <c r="H568" s="524"/>
    </row>
    <row r="569" spans="2:8" ht="13.5" customHeight="1">
      <c r="B569" s="524" t="s">
        <v>3708</v>
      </c>
      <c r="C569" s="524" t="s">
        <v>566</v>
      </c>
      <c r="D569" s="524" t="s">
        <v>567</v>
      </c>
      <c r="H569" s="524"/>
    </row>
    <row r="570" spans="2:8" ht="13.5" customHeight="1">
      <c r="B570" s="524" t="s">
        <v>3708</v>
      </c>
      <c r="C570" s="524" t="s">
        <v>568</v>
      </c>
      <c r="D570" s="524" t="s">
        <v>569</v>
      </c>
      <c r="H570" s="524"/>
    </row>
    <row r="571" spans="2:8" ht="13.5" customHeight="1">
      <c r="B571" s="524" t="s">
        <v>3708</v>
      </c>
      <c r="C571" s="524" t="s">
        <v>570</v>
      </c>
      <c r="D571" s="524" t="s">
        <v>571</v>
      </c>
      <c r="H571" s="524"/>
    </row>
    <row r="572" spans="2:8" ht="13.5" customHeight="1">
      <c r="B572" s="524" t="s">
        <v>3708</v>
      </c>
      <c r="C572" s="524" t="s">
        <v>572</v>
      </c>
      <c r="D572" s="524" t="s">
        <v>573</v>
      </c>
      <c r="H572" s="524"/>
    </row>
    <row r="573" spans="2:8" ht="13.5" customHeight="1">
      <c r="B573" s="524" t="s">
        <v>3708</v>
      </c>
      <c r="C573" s="524" t="s">
        <v>574</v>
      </c>
      <c r="D573" s="524" t="s">
        <v>575</v>
      </c>
      <c r="H573" s="524"/>
    </row>
    <row r="574" spans="2:8" ht="13.5" customHeight="1">
      <c r="B574" s="524" t="s">
        <v>3708</v>
      </c>
      <c r="C574" s="524" t="s">
        <v>576</v>
      </c>
      <c r="D574" s="524" t="s">
        <v>577</v>
      </c>
      <c r="H574" s="524"/>
    </row>
    <row r="575" spans="2:8" ht="13.5" customHeight="1">
      <c r="B575" s="524" t="s">
        <v>3708</v>
      </c>
      <c r="C575" s="524" t="s">
        <v>578</v>
      </c>
      <c r="D575" s="524" t="s">
        <v>579</v>
      </c>
      <c r="H575" s="524"/>
    </row>
    <row r="576" spans="2:8" ht="13.5" customHeight="1">
      <c r="B576" s="524" t="s">
        <v>3708</v>
      </c>
      <c r="C576" s="524" t="s">
        <v>580</v>
      </c>
      <c r="D576" s="524" t="s">
        <v>581</v>
      </c>
      <c r="H576" s="524"/>
    </row>
    <row r="577" spans="2:8" ht="13.5" customHeight="1">
      <c r="B577" s="524" t="s">
        <v>3708</v>
      </c>
      <c r="C577" s="524" t="s">
        <v>582</v>
      </c>
      <c r="D577" s="524" t="s">
        <v>583</v>
      </c>
      <c r="H577" s="524"/>
    </row>
    <row r="578" spans="2:8" ht="13.5" customHeight="1">
      <c r="B578" s="524" t="s">
        <v>3708</v>
      </c>
      <c r="C578" s="524" t="s">
        <v>584</v>
      </c>
      <c r="D578" s="524" t="s">
        <v>585</v>
      </c>
      <c r="H578" s="524"/>
    </row>
    <row r="579" spans="2:8" ht="13.5" customHeight="1">
      <c r="B579" s="524" t="s">
        <v>3708</v>
      </c>
      <c r="C579" s="524" t="s">
        <v>586</v>
      </c>
      <c r="D579" s="524" t="s">
        <v>587</v>
      </c>
      <c r="H579" s="524"/>
    </row>
    <row r="580" spans="2:8" ht="13.5" customHeight="1">
      <c r="B580" s="524" t="s">
        <v>3708</v>
      </c>
      <c r="C580" s="524" t="s">
        <v>588</v>
      </c>
      <c r="D580" s="524" t="s">
        <v>589</v>
      </c>
      <c r="H580" s="524"/>
    </row>
    <row r="581" spans="2:8" ht="13.5" customHeight="1">
      <c r="B581" s="524" t="s">
        <v>3709</v>
      </c>
      <c r="C581" s="524" t="s">
        <v>590</v>
      </c>
      <c r="D581" s="524" t="s">
        <v>591</v>
      </c>
      <c r="H581" s="524"/>
    </row>
    <row r="582" spans="2:8" ht="13.5" customHeight="1">
      <c r="B582" s="524" t="s">
        <v>3709</v>
      </c>
      <c r="C582" s="524" t="s">
        <v>592</v>
      </c>
      <c r="D582" s="524" t="s">
        <v>593</v>
      </c>
      <c r="H582" s="524"/>
    </row>
    <row r="583" spans="2:8" ht="13.5" customHeight="1">
      <c r="B583" s="524" t="s">
        <v>3709</v>
      </c>
      <c r="C583" s="524" t="s">
        <v>594</v>
      </c>
      <c r="D583" s="524" t="s">
        <v>595</v>
      </c>
      <c r="H583" s="524"/>
    </row>
    <row r="584" spans="2:8" ht="13.5" customHeight="1">
      <c r="B584" s="524" t="s">
        <v>3709</v>
      </c>
      <c r="C584" s="524" t="s">
        <v>596</v>
      </c>
      <c r="D584" s="524" t="s">
        <v>597</v>
      </c>
      <c r="H584" s="524"/>
    </row>
    <row r="585" spans="2:8" ht="13.5" customHeight="1">
      <c r="B585" s="524" t="s">
        <v>3709</v>
      </c>
      <c r="C585" s="524" t="s">
        <v>598</v>
      </c>
      <c r="D585" s="524" t="s">
        <v>599</v>
      </c>
      <c r="H585" s="524"/>
    </row>
    <row r="586" spans="2:8" ht="13.5" customHeight="1">
      <c r="B586" s="524" t="s">
        <v>3709</v>
      </c>
      <c r="C586" s="524" t="s">
        <v>600</v>
      </c>
      <c r="D586" s="524" t="s">
        <v>601</v>
      </c>
      <c r="H586" s="524"/>
    </row>
    <row r="587" spans="2:8" ht="13.5" customHeight="1">
      <c r="B587" s="524" t="s">
        <v>3709</v>
      </c>
      <c r="C587" s="524" t="s">
        <v>602</v>
      </c>
      <c r="D587" s="524" t="s">
        <v>603</v>
      </c>
      <c r="H587" s="524"/>
    </row>
    <row r="588" spans="2:8" ht="13.5" customHeight="1">
      <c r="B588" s="524" t="s">
        <v>3709</v>
      </c>
      <c r="C588" s="524" t="s">
        <v>604</v>
      </c>
      <c r="D588" s="524" t="s">
        <v>605</v>
      </c>
      <c r="H588" s="524"/>
    </row>
    <row r="589" spans="2:8" ht="13.5" customHeight="1">
      <c r="B589" s="524" t="s">
        <v>3709</v>
      </c>
      <c r="C589" s="524" t="s">
        <v>606</v>
      </c>
      <c r="D589" s="524" t="s">
        <v>607</v>
      </c>
      <c r="H589" s="524"/>
    </row>
    <row r="590" spans="2:8" ht="13.5" customHeight="1">
      <c r="B590" s="524" t="s">
        <v>3709</v>
      </c>
      <c r="C590" s="524" t="s">
        <v>608</v>
      </c>
      <c r="D590" s="524" t="s">
        <v>609</v>
      </c>
      <c r="H590" s="524"/>
    </row>
    <row r="591" spans="2:8" ht="13.5" customHeight="1">
      <c r="B591" s="524" t="s">
        <v>3709</v>
      </c>
      <c r="C591" s="524" t="s">
        <v>610</v>
      </c>
      <c r="D591" s="524" t="s">
        <v>611</v>
      </c>
      <c r="H591" s="524"/>
    </row>
    <row r="592" spans="2:8" ht="13.5" customHeight="1">
      <c r="B592" s="524" t="s">
        <v>3709</v>
      </c>
      <c r="C592" s="524" t="s">
        <v>612</v>
      </c>
      <c r="D592" s="524" t="s">
        <v>613</v>
      </c>
      <c r="H592" s="524"/>
    </row>
    <row r="593" spans="2:8" ht="13.5" customHeight="1">
      <c r="B593" s="524" t="s">
        <v>3709</v>
      </c>
      <c r="C593" s="524" t="s">
        <v>614</v>
      </c>
      <c r="D593" s="524" t="s">
        <v>615</v>
      </c>
      <c r="H593" s="524"/>
    </row>
    <row r="594" spans="2:8" ht="13.5" customHeight="1">
      <c r="B594" s="524" t="s">
        <v>3709</v>
      </c>
      <c r="C594" s="524" t="s">
        <v>616</v>
      </c>
      <c r="D594" s="524" t="s">
        <v>617</v>
      </c>
      <c r="H594" s="524"/>
    </row>
    <row r="595" spans="2:8" ht="13.5" customHeight="1">
      <c r="B595" s="524" t="s">
        <v>3709</v>
      </c>
      <c r="C595" s="524" t="s">
        <v>618</v>
      </c>
      <c r="D595" s="524" t="s">
        <v>619</v>
      </c>
      <c r="H595" s="524"/>
    </row>
    <row r="596" spans="2:8" ht="13.5" customHeight="1">
      <c r="B596" s="524" t="s">
        <v>3709</v>
      </c>
      <c r="C596" s="524" t="s">
        <v>620</v>
      </c>
      <c r="D596" s="524" t="s">
        <v>621</v>
      </c>
      <c r="H596" s="524"/>
    </row>
    <row r="597" spans="2:8" ht="13.5" customHeight="1">
      <c r="B597" s="524" t="s">
        <v>3709</v>
      </c>
      <c r="C597" s="524" t="s">
        <v>622</v>
      </c>
      <c r="D597" s="524" t="s">
        <v>623</v>
      </c>
      <c r="H597" s="524"/>
    </row>
    <row r="598" spans="2:8" ht="13.5" customHeight="1">
      <c r="B598" s="524" t="s">
        <v>3709</v>
      </c>
      <c r="C598" s="524" t="s">
        <v>624</v>
      </c>
      <c r="D598" s="524" t="s">
        <v>625</v>
      </c>
      <c r="H598" s="524"/>
    </row>
    <row r="599" spans="2:8" ht="13.5" customHeight="1">
      <c r="B599" s="524" t="s">
        <v>3709</v>
      </c>
      <c r="C599" s="524" t="s">
        <v>626</v>
      </c>
      <c r="D599" s="524" t="s">
        <v>627</v>
      </c>
      <c r="H599" s="524"/>
    </row>
    <row r="600" spans="2:8" ht="13.5" customHeight="1">
      <c r="B600" s="524" t="s">
        <v>3709</v>
      </c>
      <c r="C600" s="524" t="s">
        <v>628</v>
      </c>
      <c r="D600" s="524" t="s">
        <v>629</v>
      </c>
      <c r="H600" s="524"/>
    </row>
    <row r="601" spans="2:8" ht="13.5" customHeight="1">
      <c r="B601" s="524" t="s">
        <v>3709</v>
      </c>
      <c r="C601" s="524" t="s">
        <v>630</v>
      </c>
      <c r="D601" s="524" t="s">
        <v>631</v>
      </c>
      <c r="H601" s="524"/>
    </row>
    <row r="602" spans="2:8" ht="13.5" customHeight="1">
      <c r="B602" s="524" t="s">
        <v>3709</v>
      </c>
      <c r="C602" s="524" t="s">
        <v>632</v>
      </c>
      <c r="D602" s="524" t="s">
        <v>633</v>
      </c>
      <c r="H602" s="524"/>
    </row>
    <row r="603" spans="2:8" ht="13.5" customHeight="1">
      <c r="B603" s="524" t="s">
        <v>3709</v>
      </c>
      <c r="C603" s="524" t="s">
        <v>634</v>
      </c>
      <c r="D603" s="524" t="s">
        <v>635</v>
      </c>
      <c r="H603" s="524"/>
    </row>
    <row r="604" spans="2:8" ht="13.5" customHeight="1">
      <c r="B604" s="524" t="s">
        <v>3709</v>
      </c>
      <c r="C604" s="524" t="s">
        <v>636</v>
      </c>
      <c r="D604" s="524" t="s">
        <v>637</v>
      </c>
      <c r="H604" s="524"/>
    </row>
    <row r="605" spans="2:8" ht="13.5" customHeight="1">
      <c r="B605" s="524" t="s">
        <v>3709</v>
      </c>
      <c r="C605" s="524" t="s">
        <v>638</v>
      </c>
      <c r="D605" s="524" t="s">
        <v>639</v>
      </c>
      <c r="H605" s="524"/>
    </row>
    <row r="606" spans="2:8" ht="13.5" customHeight="1">
      <c r="B606" s="524" t="s">
        <v>3710</v>
      </c>
      <c r="C606" s="524" t="s">
        <v>640</v>
      </c>
      <c r="D606" s="524" t="s">
        <v>641</v>
      </c>
      <c r="H606" s="524"/>
    </row>
    <row r="607" spans="2:8" ht="13.5" customHeight="1">
      <c r="B607" s="524" t="s">
        <v>3710</v>
      </c>
      <c r="C607" s="524" t="s">
        <v>642</v>
      </c>
      <c r="D607" s="524" t="s">
        <v>643</v>
      </c>
      <c r="H607" s="524"/>
    </row>
    <row r="608" spans="2:8" ht="13.5" customHeight="1">
      <c r="B608" s="524" t="s">
        <v>3710</v>
      </c>
      <c r="C608" s="524" t="s">
        <v>644</v>
      </c>
      <c r="D608" s="524" t="s">
        <v>645</v>
      </c>
      <c r="H608" s="524"/>
    </row>
    <row r="609" spans="2:8" ht="13.5" customHeight="1">
      <c r="B609" s="524" t="s">
        <v>3710</v>
      </c>
      <c r="C609" s="524" t="s">
        <v>646</v>
      </c>
      <c r="D609" s="524" t="s">
        <v>647</v>
      </c>
      <c r="H609" s="524"/>
    </row>
    <row r="610" spans="2:8" ht="13.5" customHeight="1">
      <c r="B610" s="524" t="s">
        <v>3710</v>
      </c>
      <c r="C610" s="524" t="s">
        <v>648</v>
      </c>
      <c r="D610" s="524" t="s">
        <v>649</v>
      </c>
      <c r="H610" s="524"/>
    </row>
    <row r="611" spans="2:8" ht="13.5" customHeight="1">
      <c r="B611" s="524" t="s">
        <v>3710</v>
      </c>
      <c r="C611" s="524" t="s">
        <v>650</v>
      </c>
      <c r="D611" s="524" t="s">
        <v>651</v>
      </c>
      <c r="H611" s="524"/>
    </row>
    <row r="612" spans="2:8" ht="13.5" customHeight="1">
      <c r="B612" s="524" t="s">
        <v>3710</v>
      </c>
      <c r="C612" s="524" t="s">
        <v>652</v>
      </c>
      <c r="D612" s="524" t="s">
        <v>653</v>
      </c>
      <c r="H612" s="524"/>
    </row>
    <row r="613" spans="2:8" ht="13.5" customHeight="1">
      <c r="B613" s="524" t="s">
        <v>3710</v>
      </c>
      <c r="C613" s="524" t="s">
        <v>654</v>
      </c>
      <c r="D613" s="524" t="s">
        <v>655</v>
      </c>
      <c r="H613" s="524"/>
    </row>
    <row r="614" spans="2:8" ht="13.5" customHeight="1">
      <c r="B614" s="524" t="s">
        <v>3710</v>
      </c>
      <c r="C614" s="524" t="s">
        <v>656</v>
      </c>
      <c r="D614" s="524" t="s">
        <v>657</v>
      </c>
      <c r="H614" s="524"/>
    </row>
    <row r="615" spans="2:8" ht="13.5" customHeight="1">
      <c r="B615" s="524" t="s">
        <v>3710</v>
      </c>
      <c r="C615" s="524" t="s">
        <v>658</v>
      </c>
      <c r="D615" s="524" t="s">
        <v>659</v>
      </c>
      <c r="H615" s="524"/>
    </row>
    <row r="616" spans="2:8" ht="13.5" customHeight="1">
      <c r="B616" s="524" t="s">
        <v>3710</v>
      </c>
      <c r="C616" s="524" t="s">
        <v>660</v>
      </c>
      <c r="D616" s="524" t="s">
        <v>661</v>
      </c>
      <c r="H616" s="524"/>
    </row>
    <row r="617" spans="2:8" ht="13.5" customHeight="1">
      <c r="B617" s="524" t="s">
        <v>3710</v>
      </c>
      <c r="C617" s="524" t="s">
        <v>662</v>
      </c>
      <c r="D617" s="524" t="s">
        <v>663</v>
      </c>
      <c r="H617" s="524"/>
    </row>
    <row r="618" spans="2:8" ht="13.5" customHeight="1">
      <c r="B618" s="524" t="s">
        <v>3710</v>
      </c>
      <c r="C618" s="524" t="s">
        <v>664</v>
      </c>
      <c r="D618" s="524" t="s">
        <v>665</v>
      </c>
      <c r="H618" s="524"/>
    </row>
    <row r="619" spans="2:8" ht="13.5" customHeight="1">
      <c r="B619" s="524" t="s">
        <v>3710</v>
      </c>
      <c r="C619" s="524" t="s">
        <v>666</v>
      </c>
      <c r="D619" s="524" t="s">
        <v>667</v>
      </c>
      <c r="H619" s="524"/>
    </row>
    <row r="620" spans="2:8" ht="13.5" customHeight="1">
      <c r="B620" s="524" t="s">
        <v>3710</v>
      </c>
      <c r="C620" s="524" t="s">
        <v>668</v>
      </c>
      <c r="D620" s="524" t="s">
        <v>669</v>
      </c>
      <c r="H620" s="524"/>
    </row>
    <row r="621" spans="2:8" ht="13.5" customHeight="1">
      <c r="B621" s="524" t="s">
        <v>3710</v>
      </c>
      <c r="C621" s="524" t="s">
        <v>670</v>
      </c>
      <c r="D621" s="524" t="s">
        <v>671</v>
      </c>
      <c r="H621" s="524"/>
    </row>
    <row r="622" spans="2:8" ht="13.5" customHeight="1">
      <c r="B622" s="524" t="s">
        <v>3710</v>
      </c>
      <c r="C622" s="524" t="s">
        <v>672</v>
      </c>
      <c r="D622" s="524" t="s">
        <v>673</v>
      </c>
      <c r="H622" s="524"/>
    </row>
    <row r="623" spans="2:8" ht="13.5" customHeight="1">
      <c r="B623" s="524" t="s">
        <v>3710</v>
      </c>
      <c r="C623" s="524" t="s">
        <v>674</v>
      </c>
      <c r="D623" s="524" t="s">
        <v>675</v>
      </c>
      <c r="H623" s="524"/>
    </row>
    <row r="624" spans="2:8" ht="13.5" customHeight="1">
      <c r="B624" s="524" t="s">
        <v>3710</v>
      </c>
      <c r="C624" s="524" t="s">
        <v>676</v>
      </c>
      <c r="D624" s="524" t="s">
        <v>677</v>
      </c>
      <c r="H624" s="524"/>
    </row>
    <row r="625" spans="2:8" ht="13.5" customHeight="1">
      <c r="B625" s="524" t="s">
        <v>3710</v>
      </c>
      <c r="C625" s="524" t="s">
        <v>678</v>
      </c>
      <c r="D625" s="524" t="s">
        <v>679</v>
      </c>
      <c r="H625" s="524"/>
    </row>
    <row r="626" spans="2:8" ht="13.5" customHeight="1">
      <c r="B626" s="524" t="s">
        <v>3710</v>
      </c>
      <c r="C626" s="524" t="s">
        <v>680</v>
      </c>
      <c r="D626" s="524" t="s">
        <v>681</v>
      </c>
      <c r="H626" s="524"/>
    </row>
    <row r="627" spans="2:8" ht="13.5" customHeight="1">
      <c r="B627" s="524" t="s">
        <v>3710</v>
      </c>
      <c r="C627" s="524" t="s">
        <v>682</v>
      </c>
      <c r="D627" s="524" t="s">
        <v>683</v>
      </c>
      <c r="H627" s="524"/>
    </row>
    <row r="628" spans="2:8" ht="13.5" customHeight="1">
      <c r="B628" s="524" t="s">
        <v>3710</v>
      </c>
      <c r="C628" s="524" t="s">
        <v>684</v>
      </c>
      <c r="D628" s="524" t="s">
        <v>685</v>
      </c>
      <c r="H628" s="524"/>
    </row>
    <row r="629" spans="2:8" ht="13.5" customHeight="1">
      <c r="B629" s="524" t="s">
        <v>3710</v>
      </c>
      <c r="C629" s="524" t="s">
        <v>686</v>
      </c>
      <c r="D629" s="524" t="s">
        <v>687</v>
      </c>
      <c r="H629" s="524"/>
    </row>
    <row r="630" spans="2:8" ht="13.5" customHeight="1">
      <c r="B630" s="524" t="s">
        <v>3710</v>
      </c>
      <c r="C630" s="524" t="s">
        <v>688</v>
      </c>
      <c r="D630" s="524" t="s">
        <v>689</v>
      </c>
      <c r="H630" s="524"/>
    </row>
    <row r="631" spans="2:8" ht="13.5" customHeight="1">
      <c r="B631" s="524" t="s">
        <v>3711</v>
      </c>
      <c r="C631" s="524" t="s">
        <v>690</v>
      </c>
      <c r="D631" s="524" t="s">
        <v>691</v>
      </c>
      <c r="H631" s="524"/>
    </row>
    <row r="632" spans="2:8" ht="13.5" customHeight="1">
      <c r="B632" s="524" t="s">
        <v>3711</v>
      </c>
      <c r="C632" s="524" t="s">
        <v>692</v>
      </c>
      <c r="D632" s="524" t="s">
        <v>693</v>
      </c>
      <c r="H632" s="524"/>
    </row>
    <row r="633" spans="2:8" ht="13.5" customHeight="1">
      <c r="B633" s="524" t="s">
        <v>3711</v>
      </c>
      <c r="C633" s="524" t="s">
        <v>694</v>
      </c>
      <c r="D633" s="524" t="s">
        <v>695</v>
      </c>
      <c r="H633" s="524"/>
    </row>
    <row r="634" spans="2:8" ht="13.5" customHeight="1">
      <c r="B634" s="524" t="s">
        <v>3711</v>
      </c>
      <c r="C634" s="524" t="s">
        <v>696</v>
      </c>
      <c r="D634" s="524" t="s">
        <v>697</v>
      </c>
      <c r="H634" s="524"/>
    </row>
    <row r="635" spans="2:8" ht="13.5" customHeight="1">
      <c r="B635" s="524" t="s">
        <v>3711</v>
      </c>
      <c r="C635" s="524" t="s">
        <v>698</v>
      </c>
      <c r="D635" s="524" t="s">
        <v>699</v>
      </c>
      <c r="H635" s="524"/>
    </row>
    <row r="636" spans="2:8" ht="13.5" customHeight="1">
      <c r="B636" s="524" t="s">
        <v>3711</v>
      </c>
      <c r="C636" s="524" t="s">
        <v>700</v>
      </c>
      <c r="D636" s="524" t="s">
        <v>701</v>
      </c>
      <c r="H636" s="524"/>
    </row>
    <row r="637" spans="2:8" ht="13.5" customHeight="1">
      <c r="B637" s="524" t="s">
        <v>3711</v>
      </c>
      <c r="C637" s="524" t="s">
        <v>702</v>
      </c>
      <c r="D637" s="524" t="s">
        <v>703</v>
      </c>
      <c r="H637" s="524"/>
    </row>
    <row r="638" spans="2:8" ht="13.5" customHeight="1">
      <c r="B638" s="524" t="s">
        <v>3711</v>
      </c>
      <c r="C638" s="524" t="s">
        <v>704</v>
      </c>
      <c r="D638" s="524" t="s">
        <v>705</v>
      </c>
      <c r="H638" s="524"/>
    </row>
    <row r="639" spans="2:8" ht="13.5" customHeight="1">
      <c r="B639" s="524" t="s">
        <v>3711</v>
      </c>
      <c r="C639" s="524" t="s">
        <v>706</v>
      </c>
      <c r="D639" s="524" t="s">
        <v>707</v>
      </c>
      <c r="H639" s="524"/>
    </row>
    <row r="640" spans="2:8" ht="13.5" customHeight="1">
      <c r="B640" s="524" t="s">
        <v>3711</v>
      </c>
      <c r="C640" s="524" t="s">
        <v>708</v>
      </c>
      <c r="D640" s="524" t="s">
        <v>709</v>
      </c>
      <c r="H640" s="524"/>
    </row>
    <row r="641" spans="2:8" ht="13.5" customHeight="1">
      <c r="B641" s="524" t="s">
        <v>3711</v>
      </c>
      <c r="C641" s="524" t="s">
        <v>710</v>
      </c>
      <c r="D641" s="524" t="s">
        <v>711</v>
      </c>
      <c r="H641" s="524"/>
    </row>
    <row r="642" spans="2:8" ht="13.5" customHeight="1">
      <c r="B642" s="524" t="s">
        <v>3711</v>
      </c>
      <c r="C642" s="524" t="s">
        <v>712</v>
      </c>
      <c r="D642" s="524" t="s">
        <v>713</v>
      </c>
      <c r="H642" s="524"/>
    </row>
    <row r="643" spans="2:8" ht="13.5" customHeight="1">
      <c r="B643" s="524" t="s">
        <v>3711</v>
      </c>
      <c r="C643" s="524" t="s">
        <v>714</v>
      </c>
      <c r="D643" s="524" t="s">
        <v>715</v>
      </c>
      <c r="H643" s="524"/>
    </row>
    <row r="644" spans="2:8" ht="13.5" customHeight="1">
      <c r="B644" s="524" t="s">
        <v>3711</v>
      </c>
      <c r="C644" s="524" t="s">
        <v>716</v>
      </c>
      <c r="D644" s="524" t="s">
        <v>717</v>
      </c>
      <c r="H644" s="524"/>
    </row>
    <row r="645" spans="2:8" ht="13.5" customHeight="1">
      <c r="B645" s="524" t="s">
        <v>3711</v>
      </c>
      <c r="C645" s="524" t="s">
        <v>718</v>
      </c>
      <c r="D645" s="524" t="s">
        <v>719</v>
      </c>
      <c r="H645" s="524"/>
    </row>
    <row r="646" spans="2:8" ht="13.5" customHeight="1">
      <c r="B646" s="524" t="s">
        <v>3711</v>
      </c>
      <c r="C646" s="524" t="s">
        <v>720</v>
      </c>
      <c r="D646" s="524" t="s">
        <v>721</v>
      </c>
      <c r="H646" s="524"/>
    </row>
    <row r="647" spans="2:8" ht="13.5" customHeight="1">
      <c r="B647" s="524" t="s">
        <v>3711</v>
      </c>
      <c r="C647" s="524" t="s">
        <v>722</v>
      </c>
      <c r="D647" s="524" t="s">
        <v>723</v>
      </c>
      <c r="H647" s="524"/>
    </row>
    <row r="648" spans="2:8" ht="13.5" customHeight="1">
      <c r="B648" s="524" t="s">
        <v>3711</v>
      </c>
      <c r="C648" s="524" t="s">
        <v>724</v>
      </c>
      <c r="D648" s="524" t="s">
        <v>725</v>
      </c>
      <c r="H648" s="524"/>
    </row>
    <row r="649" spans="2:8" ht="13.5" customHeight="1">
      <c r="B649" s="524" t="s">
        <v>3711</v>
      </c>
      <c r="C649" s="524" t="s">
        <v>726</v>
      </c>
      <c r="D649" s="524" t="s">
        <v>727</v>
      </c>
      <c r="H649" s="524"/>
    </row>
    <row r="650" spans="2:8" ht="13.5" customHeight="1">
      <c r="B650" s="524" t="s">
        <v>3711</v>
      </c>
      <c r="C650" s="524" t="s">
        <v>728</v>
      </c>
      <c r="D650" s="524" t="s">
        <v>729</v>
      </c>
      <c r="H650" s="524"/>
    </row>
    <row r="651" spans="2:8" ht="13.5" customHeight="1">
      <c r="B651" s="524" t="s">
        <v>3711</v>
      </c>
      <c r="C651" s="524" t="s">
        <v>730</v>
      </c>
      <c r="D651" s="524" t="s">
        <v>731</v>
      </c>
      <c r="H651" s="524"/>
    </row>
    <row r="652" spans="2:8" ht="13.5" customHeight="1">
      <c r="B652" s="524" t="s">
        <v>3711</v>
      </c>
      <c r="C652" s="524" t="s">
        <v>732</v>
      </c>
      <c r="D652" s="524" t="s">
        <v>733</v>
      </c>
      <c r="H652" s="524"/>
    </row>
    <row r="653" spans="2:8" ht="13.5" customHeight="1">
      <c r="B653" s="524" t="s">
        <v>3711</v>
      </c>
      <c r="C653" s="524" t="s">
        <v>734</v>
      </c>
      <c r="D653" s="524" t="s">
        <v>735</v>
      </c>
      <c r="H653" s="524"/>
    </row>
    <row r="654" spans="2:8" ht="13.5" customHeight="1">
      <c r="B654" s="524" t="s">
        <v>3711</v>
      </c>
      <c r="C654" s="524" t="s">
        <v>736</v>
      </c>
      <c r="D654" s="524" t="s">
        <v>737</v>
      </c>
      <c r="H654" s="524"/>
    </row>
    <row r="655" spans="2:8" ht="13.5" customHeight="1">
      <c r="B655" s="524" t="s">
        <v>3711</v>
      </c>
      <c r="C655" s="524" t="s">
        <v>738</v>
      </c>
      <c r="D655" s="524" t="s">
        <v>739</v>
      </c>
      <c r="H655" s="524"/>
    </row>
    <row r="656" spans="2:8" ht="13.5" customHeight="1">
      <c r="B656" s="524" t="s">
        <v>3712</v>
      </c>
      <c r="C656" s="524" t="s">
        <v>740</v>
      </c>
      <c r="D656" s="524" t="s">
        <v>741</v>
      </c>
      <c r="H656" s="524"/>
    </row>
    <row r="657" spans="2:8" ht="13.5" customHeight="1">
      <c r="B657" s="524" t="s">
        <v>3712</v>
      </c>
      <c r="C657" s="524" t="s">
        <v>742</v>
      </c>
      <c r="D657" s="524" t="s">
        <v>743</v>
      </c>
      <c r="H657" s="524"/>
    </row>
    <row r="658" spans="2:8" ht="13.5" customHeight="1">
      <c r="B658" s="524" t="s">
        <v>3712</v>
      </c>
      <c r="C658" s="524" t="s">
        <v>744</v>
      </c>
      <c r="D658" s="524" t="s">
        <v>745</v>
      </c>
      <c r="H658" s="524"/>
    </row>
    <row r="659" spans="2:8" ht="13.5" customHeight="1">
      <c r="B659" s="524" t="s">
        <v>3712</v>
      </c>
      <c r="C659" s="524" t="s">
        <v>746</v>
      </c>
      <c r="D659" s="524" t="s">
        <v>747</v>
      </c>
      <c r="H659" s="524"/>
    </row>
    <row r="660" spans="2:8" ht="13.5" customHeight="1">
      <c r="B660" s="524" t="s">
        <v>3712</v>
      </c>
      <c r="C660" s="524" t="s">
        <v>748</v>
      </c>
      <c r="D660" s="524" t="s">
        <v>749</v>
      </c>
      <c r="H660" s="524"/>
    </row>
    <row r="661" spans="2:8" ht="13.5" customHeight="1">
      <c r="B661" s="524" t="s">
        <v>3712</v>
      </c>
      <c r="C661" s="524" t="s">
        <v>750</v>
      </c>
      <c r="D661" s="524" t="s">
        <v>751</v>
      </c>
      <c r="H661" s="524"/>
    </row>
    <row r="662" spans="2:8" ht="13.5" customHeight="1">
      <c r="B662" s="524" t="s">
        <v>3712</v>
      </c>
      <c r="C662" s="524" t="s">
        <v>752</v>
      </c>
      <c r="D662" s="524" t="s">
        <v>753</v>
      </c>
      <c r="H662" s="524"/>
    </row>
    <row r="663" spans="2:8" ht="13.5" customHeight="1">
      <c r="B663" s="524" t="s">
        <v>3712</v>
      </c>
      <c r="C663" s="524" t="s">
        <v>754</v>
      </c>
      <c r="D663" s="524" t="s">
        <v>755</v>
      </c>
      <c r="H663" s="524"/>
    </row>
    <row r="664" spans="2:8" ht="13.5" customHeight="1">
      <c r="B664" s="524" t="s">
        <v>3712</v>
      </c>
      <c r="C664" s="524" t="s">
        <v>756</v>
      </c>
      <c r="D664" s="524" t="s">
        <v>757</v>
      </c>
      <c r="H664" s="524"/>
    </row>
    <row r="665" spans="2:8" ht="13.5" customHeight="1">
      <c r="B665" s="524" t="s">
        <v>3712</v>
      </c>
      <c r="C665" s="524" t="s">
        <v>758</v>
      </c>
      <c r="D665" s="524" t="s">
        <v>759</v>
      </c>
      <c r="H665" s="524"/>
    </row>
    <row r="666" spans="2:8" ht="13.5" customHeight="1">
      <c r="B666" s="524" t="s">
        <v>3712</v>
      </c>
      <c r="C666" s="524" t="s">
        <v>760</v>
      </c>
      <c r="D666" s="524" t="s">
        <v>761</v>
      </c>
      <c r="H666" s="524"/>
    </row>
    <row r="667" spans="2:8" ht="13.5" customHeight="1">
      <c r="B667" s="524" t="s">
        <v>3712</v>
      </c>
      <c r="C667" s="524" t="s">
        <v>762</v>
      </c>
      <c r="D667" s="524" t="s">
        <v>763</v>
      </c>
      <c r="H667" s="524"/>
    </row>
    <row r="668" spans="2:8" ht="13.5" customHeight="1">
      <c r="B668" s="524" t="s">
        <v>3712</v>
      </c>
      <c r="C668" s="524" t="s">
        <v>764</v>
      </c>
      <c r="D668" s="524" t="s">
        <v>765</v>
      </c>
      <c r="H668" s="524"/>
    </row>
    <row r="669" spans="2:8" ht="13.5" customHeight="1">
      <c r="B669" s="524" t="s">
        <v>3712</v>
      </c>
      <c r="C669" s="524" t="s">
        <v>766</v>
      </c>
      <c r="D669" s="524" t="s">
        <v>767</v>
      </c>
      <c r="H669" s="524"/>
    </row>
    <row r="670" spans="2:8" ht="13.5" customHeight="1">
      <c r="B670" s="524" t="s">
        <v>3712</v>
      </c>
      <c r="C670" s="524" t="s">
        <v>768</v>
      </c>
      <c r="D670" s="524" t="s">
        <v>769</v>
      </c>
      <c r="H670" s="524"/>
    </row>
    <row r="671" spans="2:8" ht="13.5" customHeight="1">
      <c r="B671" s="524" t="s">
        <v>3712</v>
      </c>
      <c r="C671" s="524" t="s">
        <v>770</v>
      </c>
      <c r="D671" s="524" t="s">
        <v>771</v>
      </c>
      <c r="H671" s="524"/>
    </row>
    <row r="672" spans="2:8" ht="13.5" customHeight="1">
      <c r="B672" s="524" t="s">
        <v>3712</v>
      </c>
      <c r="C672" s="524" t="s">
        <v>772</v>
      </c>
      <c r="D672" s="524" t="s">
        <v>773</v>
      </c>
      <c r="H672" s="524"/>
    </row>
    <row r="673" spans="2:8" ht="13.5" customHeight="1">
      <c r="B673" s="524" t="s">
        <v>3712</v>
      </c>
      <c r="C673" s="524" t="s">
        <v>774</v>
      </c>
      <c r="D673" s="524" t="s">
        <v>775</v>
      </c>
      <c r="H673" s="524"/>
    </row>
    <row r="674" spans="2:8" ht="13.5" customHeight="1">
      <c r="B674" s="524" t="s">
        <v>3712</v>
      </c>
      <c r="C674" s="524" t="s">
        <v>776</v>
      </c>
      <c r="D674" s="524" t="s">
        <v>777</v>
      </c>
      <c r="H674" s="524"/>
    </row>
    <row r="675" spans="2:8" ht="13.5" customHeight="1">
      <c r="B675" s="524" t="s">
        <v>3712</v>
      </c>
      <c r="C675" s="524" t="s">
        <v>778</v>
      </c>
      <c r="D675" s="524" t="s">
        <v>779</v>
      </c>
      <c r="H675" s="524"/>
    </row>
    <row r="676" spans="2:8" ht="13.5" customHeight="1">
      <c r="B676" s="524" t="s">
        <v>3712</v>
      </c>
      <c r="C676" s="524" t="s">
        <v>780</v>
      </c>
      <c r="D676" s="524" t="s">
        <v>781</v>
      </c>
      <c r="H676" s="524"/>
    </row>
    <row r="677" spans="2:8" ht="13.5" customHeight="1">
      <c r="B677" s="524" t="s">
        <v>3712</v>
      </c>
      <c r="C677" s="524" t="s">
        <v>782</v>
      </c>
      <c r="D677" s="524" t="s">
        <v>783</v>
      </c>
      <c r="H677" s="524"/>
    </row>
    <row r="678" spans="2:8" ht="13.5" customHeight="1">
      <c r="B678" s="524" t="s">
        <v>3712</v>
      </c>
      <c r="C678" s="524" t="s">
        <v>784</v>
      </c>
      <c r="D678" s="524" t="s">
        <v>785</v>
      </c>
      <c r="H678" s="524"/>
    </row>
    <row r="679" spans="2:8" ht="13.5" customHeight="1">
      <c r="B679" s="524" t="s">
        <v>3712</v>
      </c>
      <c r="C679" s="524" t="s">
        <v>786</v>
      </c>
      <c r="D679" s="524" t="s">
        <v>787</v>
      </c>
      <c r="H679" s="524"/>
    </row>
    <row r="680" spans="2:8" ht="13.5" customHeight="1">
      <c r="B680" s="524" t="s">
        <v>3712</v>
      </c>
      <c r="C680" s="524" t="s">
        <v>788</v>
      </c>
      <c r="D680" s="524" t="s">
        <v>789</v>
      </c>
      <c r="H680" s="524"/>
    </row>
    <row r="681" spans="2:8" ht="13.5" customHeight="1">
      <c r="B681" s="524" t="s">
        <v>3712</v>
      </c>
      <c r="C681" s="524" t="s">
        <v>790</v>
      </c>
      <c r="D681" s="524" t="s">
        <v>791</v>
      </c>
      <c r="H681" s="524"/>
    </row>
    <row r="682" spans="2:8" ht="13.5" customHeight="1">
      <c r="B682" s="524" t="s">
        <v>3712</v>
      </c>
      <c r="C682" s="524" t="s">
        <v>792</v>
      </c>
      <c r="D682" s="524" t="s">
        <v>793</v>
      </c>
      <c r="H682" s="524"/>
    </row>
    <row r="683" spans="2:8" ht="13.5" customHeight="1">
      <c r="B683" s="524" t="s">
        <v>3712</v>
      </c>
      <c r="C683" s="524" t="s">
        <v>794</v>
      </c>
      <c r="D683" s="524" t="s">
        <v>795</v>
      </c>
      <c r="H683" s="524"/>
    </row>
    <row r="684" spans="2:8" ht="13.5" customHeight="1">
      <c r="B684" s="524" t="s">
        <v>3712</v>
      </c>
      <c r="C684" s="524" t="s">
        <v>796</v>
      </c>
      <c r="D684" s="524" t="s">
        <v>797</v>
      </c>
      <c r="H684" s="524"/>
    </row>
    <row r="685" spans="2:8" ht="13.5" customHeight="1">
      <c r="B685" s="524" t="s">
        <v>3712</v>
      </c>
      <c r="C685" s="524" t="s">
        <v>798</v>
      </c>
      <c r="D685" s="524" t="s">
        <v>799</v>
      </c>
      <c r="H685" s="524"/>
    </row>
    <row r="686" spans="2:8" ht="13.5" customHeight="1">
      <c r="B686" s="524" t="s">
        <v>3712</v>
      </c>
      <c r="C686" s="524" t="s">
        <v>800</v>
      </c>
      <c r="D686" s="524" t="s">
        <v>801</v>
      </c>
      <c r="H686" s="524"/>
    </row>
    <row r="687" spans="2:8" ht="13.5" customHeight="1">
      <c r="B687" s="524" t="s">
        <v>3712</v>
      </c>
      <c r="C687" s="524" t="s">
        <v>802</v>
      </c>
      <c r="D687" s="524" t="s">
        <v>803</v>
      </c>
      <c r="H687" s="524"/>
    </row>
    <row r="688" spans="2:8" ht="13.5" customHeight="1">
      <c r="B688" s="524" t="s">
        <v>3712</v>
      </c>
      <c r="C688" s="524" t="s">
        <v>804</v>
      </c>
      <c r="D688" s="524" t="s">
        <v>805</v>
      </c>
      <c r="H688" s="524"/>
    </row>
    <row r="689" spans="2:9" ht="13.5" customHeight="1">
      <c r="B689" s="524" t="s">
        <v>3712</v>
      </c>
      <c r="C689" s="524" t="s">
        <v>806</v>
      </c>
      <c r="D689" s="524" t="s">
        <v>807</v>
      </c>
      <c r="H689" s="524"/>
    </row>
    <row r="690" spans="2:9" ht="13.5" customHeight="1">
      <c r="B690" s="524" t="s">
        <v>3712</v>
      </c>
      <c r="C690" s="524" t="s">
        <v>808</v>
      </c>
      <c r="D690" s="524" t="s">
        <v>809</v>
      </c>
      <c r="H690" s="524"/>
    </row>
    <row r="691" spans="2:9" ht="13.5" customHeight="1">
      <c r="B691" s="524" t="s">
        <v>3712</v>
      </c>
      <c r="C691" s="524" t="s">
        <v>810</v>
      </c>
      <c r="D691" s="524" t="s">
        <v>811</v>
      </c>
      <c r="H691" s="524"/>
    </row>
    <row r="692" spans="2:9" ht="13.5" customHeight="1">
      <c r="B692" s="524" t="s">
        <v>3712</v>
      </c>
      <c r="C692" s="524" t="s">
        <v>812</v>
      </c>
      <c r="D692" s="524" t="s">
        <v>813</v>
      </c>
      <c r="H692" s="524"/>
    </row>
    <row r="693" spans="2:9" ht="13.5" customHeight="1">
      <c r="B693" s="524" t="s">
        <v>3712</v>
      </c>
      <c r="C693" s="524" t="s">
        <v>814</v>
      </c>
      <c r="D693" s="524" t="s">
        <v>815</v>
      </c>
      <c r="H693" s="524"/>
    </row>
    <row r="694" spans="2:9" ht="13.5" customHeight="1">
      <c r="B694" s="524" t="s">
        <v>3712</v>
      </c>
      <c r="C694" s="524" t="s">
        <v>816</v>
      </c>
      <c r="D694" s="524" t="s">
        <v>817</v>
      </c>
      <c r="H694" s="524"/>
    </row>
    <row r="695" spans="2:9" ht="13.5" customHeight="1">
      <c r="B695" s="524" t="s">
        <v>3712</v>
      </c>
      <c r="C695" s="524" t="s">
        <v>818</v>
      </c>
      <c r="D695" s="524" t="s">
        <v>819</v>
      </c>
      <c r="H695" s="524"/>
    </row>
    <row r="696" spans="2:9" ht="13.5" customHeight="1">
      <c r="B696" s="524" t="s">
        <v>3712</v>
      </c>
      <c r="C696" s="524" t="s">
        <v>820</v>
      </c>
      <c r="D696" s="524" t="s">
        <v>821</v>
      </c>
      <c r="H696" s="524"/>
    </row>
    <row r="697" spans="2:9" ht="13.5" customHeight="1">
      <c r="B697" s="524" t="s">
        <v>3712</v>
      </c>
      <c r="C697" s="524" t="s">
        <v>822</v>
      </c>
      <c r="D697" s="524" t="s">
        <v>823</v>
      </c>
      <c r="H697" s="524"/>
    </row>
    <row r="698" spans="2:9" ht="13.5" customHeight="1">
      <c r="B698" s="524" t="s">
        <v>3712</v>
      </c>
      <c r="C698" s="524" t="s">
        <v>824</v>
      </c>
      <c r="D698" s="524" t="s">
        <v>825</v>
      </c>
      <c r="H698" s="524"/>
    </row>
    <row r="699" spans="2:9" s="613" customFormat="1" ht="13.5" customHeight="1">
      <c r="C699" s="613" t="s">
        <v>826</v>
      </c>
      <c r="D699" s="613" t="s">
        <v>827</v>
      </c>
      <c r="I699" s="561"/>
    </row>
    <row r="700" spans="2:9" s="613" customFormat="1" ht="13.5" customHeight="1">
      <c r="C700" s="613" t="s">
        <v>828</v>
      </c>
      <c r="D700" s="613" t="s">
        <v>829</v>
      </c>
      <c r="I700" s="561"/>
    </row>
    <row r="701" spans="2:9" s="613" customFormat="1" ht="13.5" customHeight="1">
      <c r="C701" s="613" t="s">
        <v>830</v>
      </c>
      <c r="D701" s="613" t="s">
        <v>831</v>
      </c>
      <c r="I701" s="561"/>
    </row>
    <row r="702" spans="2:9" s="613" customFormat="1" ht="13.5" customHeight="1">
      <c r="C702" s="613" t="s">
        <v>832</v>
      </c>
      <c r="D702" s="613" t="s">
        <v>833</v>
      </c>
      <c r="I702" s="561"/>
    </row>
    <row r="703" spans="2:9" s="613" customFormat="1" ht="13.5" customHeight="1">
      <c r="C703" s="613" t="s">
        <v>834</v>
      </c>
      <c r="D703" s="613" t="s">
        <v>835</v>
      </c>
      <c r="I703" s="561"/>
    </row>
    <row r="704" spans="2:9" s="613" customFormat="1" ht="13.5" customHeight="1">
      <c r="C704" s="613" t="s">
        <v>836</v>
      </c>
      <c r="D704" s="613" t="s">
        <v>837</v>
      </c>
      <c r="I704" s="561"/>
    </row>
    <row r="705" spans="3:9" s="613" customFormat="1" ht="13.5" customHeight="1">
      <c r="C705" s="613" t="s">
        <v>838</v>
      </c>
      <c r="D705" s="613" t="s">
        <v>839</v>
      </c>
      <c r="I705" s="561"/>
    </row>
    <row r="706" spans="3:9" s="613" customFormat="1" ht="13.5" customHeight="1">
      <c r="C706" s="613" t="s">
        <v>840</v>
      </c>
      <c r="D706" s="613" t="s">
        <v>841</v>
      </c>
      <c r="I706" s="561"/>
    </row>
    <row r="707" spans="3:9" s="613" customFormat="1" ht="13.5" customHeight="1">
      <c r="C707" s="613" t="s">
        <v>842</v>
      </c>
      <c r="D707" s="613" t="s">
        <v>843</v>
      </c>
      <c r="I707" s="561"/>
    </row>
    <row r="708" spans="3:9" s="613" customFormat="1" ht="13.5" customHeight="1">
      <c r="C708" s="613" t="s">
        <v>844</v>
      </c>
      <c r="D708" s="613" t="s">
        <v>845</v>
      </c>
      <c r="I708" s="561"/>
    </row>
    <row r="709" spans="3:9" s="613" customFormat="1" ht="13.5" customHeight="1">
      <c r="C709" s="613" t="s">
        <v>846</v>
      </c>
      <c r="D709" s="613" t="s">
        <v>847</v>
      </c>
      <c r="I709" s="561"/>
    </row>
    <row r="710" spans="3:9" s="613" customFormat="1" ht="13.5" customHeight="1">
      <c r="C710" s="613" t="s">
        <v>848</v>
      </c>
      <c r="D710" s="613" t="s">
        <v>849</v>
      </c>
      <c r="I710" s="561"/>
    </row>
    <row r="711" spans="3:9" s="613" customFormat="1" ht="13.5" customHeight="1">
      <c r="C711" s="613" t="s">
        <v>850</v>
      </c>
      <c r="D711" s="613" t="s">
        <v>851</v>
      </c>
      <c r="I711" s="561"/>
    </row>
    <row r="712" spans="3:9" s="613" customFormat="1" ht="13.5" customHeight="1">
      <c r="C712" s="613" t="s">
        <v>852</v>
      </c>
      <c r="D712" s="613" t="s">
        <v>853</v>
      </c>
      <c r="I712" s="561"/>
    </row>
    <row r="713" spans="3:9" s="613" customFormat="1" ht="13.5" customHeight="1">
      <c r="C713" s="613" t="s">
        <v>854</v>
      </c>
      <c r="D713" s="613" t="s">
        <v>855</v>
      </c>
      <c r="I713" s="561"/>
    </row>
    <row r="714" spans="3:9" s="613" customFormat="1" ht="13.5" customHeight="1">
      <c r="C714" s="613" t="s">
        <v>856</v>
      </c>
      <c r="D714" s="613" t="s">
        <v>857</v>
      </c>
      <c r="I714" s="561"/>
    </row>
    <row r="715" spans="3:9" s="613" customFormat="1" ht="13.5" customHeight="1">
      <c r="C715" s="613" t="s">
        <v>858</v>
      </c>
      <c r="D715" s="613" t="s">
        <v>859</v>
      </c>
      <c r="I715" s="561"/>
    </row>
    <row r="716" spans="3:9" s="613" customFormat="1" ht="13.5" customHeight="1">
      <c r="C716" s="613" t="s">
        <v>860</v>
      </c>
      <c r="D716" s="613" t="s">
        <v>861</v>
      </c>
      <c r="I716" s="561"/>
    </row>
    <row r="717" spans="3:9" s="613" customFormat="1" ht="13.5" customHeight="1">
      <c r="C717" s="613" t="s">
        <v>862</v>
      </c>
      <c r="D717" s="613" t="s">
        <v>863</v>
      </c>
      <c r="I717" s="561"/>
    </row>
    <row r="718" spans="3:9" s="613" customFormat="1" ht="13.5" customHeight="1">
      <c r="C718" s="613" t="s">
        <v>864</v>
      </c>
      <c r="D718" s="613" t="s">
        <v>865</v>
      </c>
      <c r="I718" s="561"/>
    </row>
    <row r="719" spans="3:9" s="613" customFormat="1" ht="13.5" customHeight="1">
      <c r="C719" s="613" t="s">
        <v>866</v>
      </c>
      <c r="D719" s="613" t="s">
        <v>867</v>
      </c>
      <c r="I719" s="561"/>
    </row>
    <row r="720" spans="3:9" s="613" customFormat="1" ht="13.5" customHeight="1">
      <c r="C720" s="613" t="s">
        <v>868</v>
      </c>
      <c r="D720" s="613" t="s">
        <v>869</v>
      </c>
      <c r="I720" s="561"/>
    </row>
    <row r="721" spans="3:9" s="613" customFormat="1" ht="13.5" customHeight="1">
      <c r="C721" s="613" t="s">
        <v>870</v>
      </c>
      <c r="D721" s="613" t="s">
        <v>871</v>
      </c>
      <c r="I721" s="561"/>
    </row>
    <row r="722" spans="3:9" s="613" customFormat="1" ht="13.5" customHeight="1">
      <c r="C722" s="613" t="s">
        <v>872</v>
      </c>
      <c r="D722" s="613" t="s">
        <v>873</v>
      </c>
      <c r="I722" s="561"/>
    </row>
    <row r="723" spans="3:9" s="613" customFormat="1" ht="13.5" customHeight="1">
      <c r="C723" s="613" t="s">
        <v>874</v>
      </c>
      <c r="D723" s="613" t="s">
        <v>875</v>
      </c>
      <c r="I723" s="561"/>
    </row>
    <row r="724" spans="3:9" s="613" customFormat="1" ht="13.5" customHeight="1">
      <c r="C724" s="613" t="s">
        <v>876</v>
      </c>
      <c r="D724" s="613" t="s">
        <v>877</v>
      </c>
      <c r="I724" s="561"/>
    </row>
    <row r="725" spans="3:9" s="613" customFormat="1" ht="13.5" customHeight="1">
      <c r="C725" s="613" t="s">
        <v>878</v>
      </c>
      <c r="D725" s="613" t="s">
        <v>879</v>
      </c>
      <c r="I725" s="561"/>
    </row>
    <row r="726" spans="3:9" s="613" customFormat="1" ht="13.5" customHeight="1">
      <c r="C726" s="613" t="s">
        <v>880</v>
      </c>
      <c r="D726" s="613" t="s">
        <v>881</v>
      </c>
      <c r="I726" s="561"/>
    </row>
    <row r="727" spans="3:9" s="613" customFormat="1" ht="13.5" customHeight="1">
      <c r="C727" s="613" t="s">
        <v>882</v>
      </c>
      <c r="D727" s="613" t="s">
        <v>4088</v>
      </c>
      <c r="I727" s="561"/>
    </row>
    <row r="728" spans="3:9" s="613" customFormat="1" ht="13.5" customHeight="1">
      <c r="C728" s="613" t="s">
        <v>883</v>
      </c>
      <c r="D728" s="613" t="s">
        <v>884</v>
      </c>
      <c r="I728" s="561"/>
    </row>
    <row r="729" spans="3:9" s="613" customFormat="1" ht="13.5" customHeight="1">
      <c r="C729" s="613" t="s">
        <v>885</v>
      </c>
      <c r="D729" s="613" t="s">
        <v>886</v>
      </c>
      <c r="I729" s="561"/>
    </row>
    <row r="730" spans="3:9" s="613" customFormat="1" ht="13.5" customHeight="1">
      <c r="C730" s="613" t="s">
        <v>887</v>
      </c>
      <c r="D730" s="613" t="s">
        <v>888</v>
      </c>
      <c r="I730" s="561"/>
    </row>
    <row r="731" spans="3:9" s="613" customFormat="1" ht="13.5" customHeight="1">
      <c r="C731" s="613" t="s">
        <v>889</v>
      </c>
      <c r="D731" s="613" t="s">
        <v>890</v>
      </c>
      <c r="I731" s="561"/>
    </row>
    <row r="732" spans="3:9" s="613" customFormat="1" ht="13.5" customHeight="1">
      <c r="C732" s="613" t="s">
        <v>891</v>
      </c>
      <c r="D732" s="613" t="s">
        <v>892</v>
      </c>
      <c r="I732" s="561"/>
    </row>
    <row r="733" spans="3:9" s="613" customFormat="1" ht="13.5" customHeight="1">
      <c r="C733" s="613" t="s">
        <v>893</v>
      </c>
      <c r="D733" s="613" t="s">
        <v>894</v>
      </c>
      <c r="I733" s="561"/>
    </row>
    <row r="734" spans="3:9" s="613" customFormat="1" ht="13.5" customHeight="1">
      <c r="C734" s="613" t="s">
        <v>895</v>
      </c>
      <c r="D734" s="613" t="s">
        <v>896</v>
      </c>
      <c r="I734" s="561"/>
    </row>
    <row r="735" spans="3:9" s="613" customFormat="1" ht="13.5" customHeight="1">
      <c r="C735" s="613" t="s">
        <v>897</v>
      </c>
      <c r="D735" s="613" t="s">
        <v>898</v>
      </c>
      <c r="I735" s="561"/>
    </row>
    <row r="736" spans="3:9" s="613" customFormat="1" ht="13.5" customHeight="1">
      <c r="C736" s="613" t="s">
        <v>899</v>
      </c>
      <c r="D736" s="613" t="s">
        <v>900</v>
      </c>
      <c r="I736" s="561"/>
    </row>
    <row r="737" spans="3:9" s="613" customFormat="1" ht="13.5" customHeight="1">
      <c r="C737" s="613" t="s">
        <v>901</v>
      </c>
      <c r="D737" s="613" t="s">
        <v>902</v>
      </c>
      <c r="I737" s="561"/>
    </row>
    <row r="738" spans="3:9" s="613" customFormat="1" ht="13.5" customHeight="1">
      <c r="C738" s="613" t="s">
        <v>903</v>
      </c>
      <c r="D738" s="613" t="s">
        <v>904</v>
      </c>
      <c r="I738" s="561"/>
    </row>
    <row r="739" spans="3:9" s="613" customFormat="1" ht="13.5" customHeight="1">
      <c r="C739" s="613" t="s">
        <v>905</v>
      </c>
      <c r="D739" s="613" t="s">
        <v>906</v>
      </c>
      <c r="I739" s="561"/>
    </row>
    <row r="740" spans="3:9" s="613" customFormat="1" ht="13.5" customHeight="1">
      <c r="C740" s="613" t="s">
        <v>907</v>
      </c>
      <c r="D740" s="613" t="s">
        <v>908</v>
      </c>
      <c r="I740" s="561"/>
    </row>
    <row r="741" spans="3:9" s="613" customFormat="1" ht="13.5" customHeight="1">
      <c r="C741" s="613" t="s">
        <v>909</v>
      </c>
      <c r="D741" s="613" t="s">
        <v>910</v>
      </c>
      <c r="I741" s="561"/>
    </row>
    <row r="742" spans="3:9" s="613" customFormat="1" ht="13.5" customHeight="1">
      <c r="C742" s="613" t="s">
        <v>911</v>
      </c>
      <c r="D742" s="613" t="s">
        <v>912</v>
      </c>
      <c r="I742" s="561"/>
    </row>
    <row r="743" spans="3:9" s="613" customFormat="1" ht="13.5" customHeight="1">
      <c r="C743" s="613" t="s">
        <v>913</v>
      </c>
      <c r="D743" s="613" t="s">
        <v>914</v>
      </c>
      <c r="I743" s="561"/>
    </row>
    <row r="744" spans="3:9" s="613" customFormat="1" ht="13.5" customHeight="1">
      <c r="C744" s="613" t="s">
        <v>915</v>
      </c>
      <c r="D744" s="613" t="s">
        <v>916</v>
      </c>
      <c r="I744" s="561"/>
    </row>
    <row r="745" spans="3:9" s="613" customFormat="1" ht="13.5" customHeight="1">
      <c r="C745" s="613" t="s">
        <v>917</v>
      </c>
      <c r="D745" s="613" t="s">
        <v>918</v>
      </c>
      <c r="I745" s="561"/>
    </row>
    <row r="746" spans="3:9" s="613" customFormat="1" ht="13.5" customHeight="1">
      <c r="C746" s="613" t="s">
        <v>919</v>
      </c>
      <c r="D746" s="613" t="s">
        <v>920</v>
      </c>
      <c r="I746" s="561"/>
    </row>
    <row r="747" spans="3:9" s="613" customFormat="1" ht="13.5" customHeight="1">
      <c r="C747" s="613" t="s">
        <v>921</v>
      </c>
      <c r="D747" s="613" t="s">
        <v>922</v>
      </c>
      <c r="I747" s="561"/>
    </row>
    <row r="748" spans="3:9" s="613" customFormat="1" ht="13.5" customHeight="1">
      <c r="C748" s="613" t="s">
        <v>923</v>
      </c>
      <c r="D748" s="613" t="s">
        <v>924</v>
      </c>
      <c r="I748" s="561"/>
    </row>
    <row r="749" spans="3:9" s="613" customFormat="1" ht="13.5" customHeight="1">
      <c r="C749" s="613" t="s">
        <v>925</v>
      </c>
      <c r="D749" s="613" t="s">
        <v>926</v>
      </c>
      <c r="I749" s="561"/>
    </row>
    <row r="750" spans="3:9" s="613" customFormat="1" ht="13.5" customHeight="1">
      <c r="C750" s="613" t="s">
        <v>927</v>
      </c>
      <c r="D750" s="613" t="s">
        <v>928</v>
      </c>
      <c r="I750" s="561"/>
    </row>
    <row r="751" spans="3:9" s="613" customFormat="1" ht="13.5" customHeight="1">
      <c r="C751" s="613" t="s">
        <v>929</v>
      </c>
      <c r="D751" s="613" t="s">
        <v>930</v>
      </c>
      <c r="I751" s="561"/>
    </row>
    <row r="752" spans="3:9" s="613" customFormat="1" ht="13.5" customHeight="1">
      <c r="C752" s="613" t="s">
        <v>931</v>
      </c>
      <c r="D752" s="613" t="s">
        <v>932</v>
      </c>
      <c r="I752" s="561"/>
    </row>
    <row r="753" spans="3:9" s="613" customFormat="1" ht="13.5" customHeight="1">
      <c r="C753" s="613" t="s">
        <v>933</v>
      </c>
      <c r="D753" s="613" t="s">
        <v>934</v>
      </c>
      <c r="I753" s="561"/>
    </row>
    <row r="754" spans="3:9" s="613" customFormat="1" ht="13.5" customHeight="1">
      <c r="C754" s="613" t="s">
        <v>935</v>
      </c>
      <c r="D754" s="613" t="s">
        <v>936</v>
      </c>
      <c r="I754" s="561"/>
    </row>
    <row r="755" spans="3:9" s="613" customFormat="1" ht="13.5" customHeight="1">
      <c r="C755" s="613" t="s">
        <v>937</v>
      </c>
      <c r="D755" s="613" t="s">
        <v>938</v>
      </c>
      <c r="I755" s="561"/>
    </row>
    <row r="756" spans="3:9" s="613" customFormat="1" ht="13.5" customHeight="1">
      <c r="C756" s="613" t="s">
        <v>939</v>
      </c>
      <c r="D756" s="613" t="s">
        <v>940</v>
      </c>
      <c r="I756" s="561"/>
    </row>
    <row r="757" spans="3:9" s="613" customFormat="1" ht="13.5" customHeight="1">
      <c r="C757" s="613" t="s">
        <v>941</v>
      </c>
      <c r="D757" s="613" t="s">
        <v>942</v>
      </c>
      <c r="I757" s="561"/>
    </row>
    <row r="758" spans="3:9" s="613" customFormat="1" ht="13.5" customHeight="1">
      <c r="C758" s="613" t="s">
        <v>943</v>
      </c>
      <c r="D758" s="613" t="s">
        <v>944</v>
      </c>
      <c r="I758" s="561"/>
    </row>
    <row r="759" spans="3:9" s="613" customFormat="1" ht="13.5" customHeight="1">
      <c r="C759" s="613" t="s">
        <v>945</v>
      </c>
      <c r="D759" s="613" t="s">
        <v>946</v>
      </c>
      <c r="I759" s="561"/>
    </row>
    <row r="760" spans="3:9" s="613" customFormat="1" ht="13.5" customHeight="1">
      <c r="C760" s="613" t="s">
        <v>947</v>
      </c>
      <c r="D760" s="613" t="s">
        <v>948</v>
      </c>
      <c r="I760" s="561"/>
    </row>
    <row r="761" spans="3:9" ht="13.5" customHeight="1">
      <c r="C761" s="524" t="s">
        <v>949</v>
      </c>
      <c r="D761" s="524" t="s">
        <v>950</v>
      </c>
      <c r="H761" s="524"/>
    </row>
    <row r="762" spans="3:9" ht="13.5" customHeight="1">
      <c r="C762" s="524" t="s">
        <v>951</v>
      </c>
      <c r="D762" s="524" t="s">
        <v>952</v>
      </c>
      <c r="H762" s="524"/>
    </row>
    <row r="763" spans="3:9" ht="13.5" customHeight="1">
      <c r="C763" s="524" t="s">
        <v>953</v>
      </c>
      <c r="D763" s="524" t="s">
        <v>954</v>
      </c>
      <c r="H763" s="524"/>
    </row>
    <row r="764" spans="3:9" ht="13.5" customHeight="1">
      <c r="C764" s="524" t="s">
        <v>955</v>
      </c>
      <c r="D764" s="524" t="s">
        <v>956</v>
      </c>
      <c r="H764" s="524"/>
    </row>
    <row r="765" spans="3:9" ht="13.5" customHeight="1">
      <c r="C765" s="524" t="s">
        <v>957</v>
      </c>
      <c r="D765" s="524" t="s">
        <v>958</v>
      </c>
      <c r="H765" s="524"/>
    </row>
    <row r="766" spans="3:9" ht="13.5" customHeight="1">
      <c r="C766" s="524" t="s">
        <v>959</v>
      </c>
      <c r="D766" s="524" t="s">
        <v>960</v>
      </c>
      <c r="H766" s="524"/>
    </row>
    <row r="767" spans="3:9" ht="13.5" customHeight="1">
      <c r="C767" s="524" t="s">
        <v>961</v>
      </c>
      <c r="D767" s="524" t="s">
        <v>962</v>
      </c>
      <c r="H767" s="524"/>
    </row>
    <row r="768" spans="3:9" ht="13.5" customHeight="1">
      <c r="C768" s="524" t="s">
        <v>963</v>
      </c>
      <c r="D768" s="524" t="s">
        <v>964</v>
      </c>
      <c r="H768" s="524"/>
    </row>
    <row r="769" spans="3:8" ht="13.5" customHeight="1">
      <c r="C769" s="524" t="s">
        <v>965</v>
      </c>
      <c r="D769" s="524" t="s">
        <v>966</v>
      </c>
      <c r="H769" s="524"/>
    </row>
    <row r="770" spans="3:8" ht="13.5" customHeight="1">
      <c r="C770" s="524" t="s">
        <v>967</v>
      </c>
      <c r="D770" s="524" t="s">
        <v>968</v>
      </c>
      <c r="H770" s="524"/>
    </row>
    <row r="771" spans="3:8" ht="13.5" customHeight="1">
      <c r="C771" s="524" t="s">
        <v>969</v>
      </c>
      <c r="D771" s="524" t="s">
        <v>970</v>
      </c>
      <c r="H771" s="524"/>
    </row>
    <row r="772" spans="3:8" ht="13.5" customHeight="1">
      <c r="C772" s="524" t="s">
        <v>971</v>
      </c>
      <c r="D772" s="524" t="s">
        <v>972</v>
      </c>
      <c r="H772" s="524"/>
    </row>
    <row r="773" spans="3:8" ht="13.5" customHeight="1">
      <c r="C773" s="524" t="s">
        <v>973</v>
      </c>
      <c r="D773" s="524" t="s">
        <v>974</v>
      </c>
      <c r="H773" s="524"/>
    </row>
    <row r="774" spans="3:8" ht="13.5" customHeight="1">
      <c r="C774" s="524" t="s">
        <v>975</v>
      </c>
      <c r="D774" s="524" t="s">
        <v>976</v>
      </c>
      <c r="H774" s="524"/>
    </row>
    <row r="775" spans="3:8" ht="13.5" customHeight="1">
      <c r="C775" s="524" t="s">
        <v>977</v>
      </c>
      <c r="D775" s="524" t="s">
        <v>978</v>
      </c>
      <c r="H775" s="524"/>
    </row>
    <row r="776" spans="3:8" ht="13.5" customHeight="1">
      <c r="C776" s="524" t="s">
        <v>979</v>
      </c>
      <c r="D776" s="524" t="s">
        <v>980</v>
      </c>
      <c r="H776" s="524"/>
    </row>
    <row r="777" spans="3:8" ht="13.5" customHeight="1">
      <c r="C777" s="524" t="s">
        <v>981</v>
      </c>
      <c r="D777" s="524" t="s">
        <v>982</v>
      </c>
      <c r="H777" s="524"/>
    </row>
    <row r="778" spans="3:8" ht="13.5" customHeight="1">
      <c r="C778" s="524" t="s">
        <v>983</v>
      </c>
      <c r="D778" s="524" t="s">
        <v>984</v>
      </c>
      <c r="H778" s="524"/>
    </row>
    <row r="779" spans="3:8" ht="13.5" customHeight="1">
      <c r="C779" s="524" t="s">
        <v>985</v>
      </c>
      <c r="D779" s="524" t="s">
        <v>986</v>
      </c>
      <c r="H779" s="524"/>
    </row>
    <row r="780" spans="3:8" ht="13.5" customHeight="1">
      <c r="C780" s="524" t="s">
        <v>987</v>
      </c>
      <c r="D780" s="524" t="s">
        <v>988</v>
      </c>
      <c r="H780" s="524"/>
    </row>
    <row r="781" spans="3:8" ht="13.5" customHeight="1">
      <c r="C781" s="524" t="s">
        <v>989</v>
      </c>
      <c r="D781" s="524" t="s">
        <v>990</v>
      </c>
      <c r="H781" s="524"/>
    </row>
    <row r="782" spans="3:8" ht="13.5" customHeight="1">
      <c r="C782" s="524" t="s">
        <v>991</v>
      </c>
      <c r="D782" s="524" t="s">
        <v>992</v>
      </c>
      <c r="H782" s="524"/>
    </row>
    <row r="783" spans="3:8" ht="13.5" customHeight="1">
      <c r="C783" s="524" t="s">
        <v>993</v>
      </c>
      <c r="D783" s="524" t="s">
        <v>994</v>
      </c>
      <c r="H783" s="524"/>
    </row>
    <row r="784" spans="3:8" ht="13.5" customHeight="1">
      <c r="C784" s="524" t="s">
        <v>995</v>
      </c>
      <c r="D784" s="524" t="s">
        <v>996</v>
      </c>
      <c r="H784" s="524"/>
    </row>
    <row r="785" spans="3:8" ht="13.5" customHeight="1">
      <c r="C785" s="524" t="s">
        <v>997</v>
      </c>
      <c r="D785" s="524" t="s">
        <v>998</v>
      </c>
      <c r="H785" s="524"/>
    </row>
    <row r="786" spans="3:8" ht="13.5" customHeight="1">
      <c r="C786" s="524" t="s">
        <v>999</v>
      </c>
      <c r="D786" s="524" t="s">
        <v>1000</v>
      </c>
      <c r="H786" s="524"/>
    </row>
    <row r="787" spans="3:8" ht="13.5" customHeight="1">
      <c r="C787" s="524" t="s">
        <v>1001</v>
      </c>
      <c r="D787" s="524" t="s">
        <v>1002</v>
      </c>
      <c r="H787" s="524"/>
    </row>
    <row r="788" spans="3:8" ht="13.5" customHeight="1">
      <c r="C788" s="524" t="s">
        <v>1003</v>
      </c>
      <c r="D788" s="524" t="s">
        <v>1004</v>
      </c>
      <c r="H788" s="524"/>
    </row>
    <row r="789" spans="3:8" ht="13.5" customHeight="1">
      <c r="C789" s="524" t="s">
        <v>1005</v>
      </c>
      <c r="D789" s="524" t="s">
        <v>1006</v>
      </c>
      <c r="H789" s="524"/>
    </row>
    <row r="790" spans="3:8" ht="13.5" customHeight="1">
      <c r="C790" s="524" t="s">
        <v>1007</v>
      </c>
      <c r="D790" s="524" t="s">
        <v>1008</v>
      </c>
      <c r="H790" s="524"/>
    </row>
    <row r="791" spans="3:8" ht="13.5" customHeight="1">
      <c r="C791" s="524" t="s">
        <v>1009</v>
      </c>
      <c r="D791" s="524" t="s">
        <v>1010</v>
      </c>
      <c r="H791" s="524"/>
    </row>
    <row r="792" spans="3:8" ht="13.5" customHeight="1">
      <c r="C792" s="524" t="s">
        <v>1011</v>
      </c>
      <c r="D792" s="524" t="s">
        <v>1012</v>
      </c>
      <c r="H792" s="524"/>
    </row>
    <row r="793" spans="3:8" ht="13.5" customHeight="1">
      <c r="C793" s="524" t="s">
        <v>1013</v>
      </c>
      <c r="D793" s="524" t="s">
        <v>1014</v>
      </c>
      <c r="H793" s="524"/>
    </row>
    <row r="794" spans="3:8" ht="13.5" customHeight="1">
      <c r="C794" s="524" t="s">
        <v>1015</v>
      </c>
      <c r="D794" s="524" t="s">
        <v>1016</v>
      </c>
      <c r="H794" s="524"/>
    </row>
    <row r="795" spans="3:8" ht="13.5" customHeight="1">
      <c r="C795" s="524" t="s">
        <v>1017</v>
      </c>
      <c r="D795" s="524" t="s">
        <v>1018</v>
      </c>
      <c r="H795" s="524"/>
    </row>
    <row r="796" spans="3:8" ht="13.5" customHeight="1">
      <c r="C796" s="524" t="s">
        <v>1019</v>
      </c>
      <c r="D796" s="524" t="s">
        <v>1020</v>
      </c>
      <c r="H796" s="524"/>
    </row>
    <row r="797" spans="3:8" ht="13.5" customHeight="1">
      <c r="C797" s="524" t="s">
        <v>1021</v>
      </c>
      <c r="D797" s="524" t="s">
        <v>1022</v>
      </c>
      <c r="H797" s="524"/>
    </row>
    <row r="798" spans="3:8" ht="13.5" customHeight="1">
      <c r="C798" s="524" t="s">
        <v>1023</v>
      </c>
      <c r="D798" s="524" t="s">
        <v>1024</v>
      </c>
      <c r="H798" s="524"/>
    </row>
    <row r="799" spans="3:8" ht="13.5" customHeight="1">
      <c r="C799" s="524" t="s">
        <v>1025</v>
      </c>
      <c r="D799" s="524" t="s">
        <v>1026</v>
      </c>
      <c r="H799" s="524"/>
    </row>
    <row r="800" spans="3:8" ht="13.5" customHeight="1">
      <c r="C800" s="524" t="s">
        <v>1027</v>
      </c>
      <c r="D800" s="524" t="s">
        <v>1028</v>
      </c>
      <c r="H800" s="524"/>
    </row>
    <row r="801" spans="3:8" ht="13.5" customHeight="1">
      <c r="C801" s="524" t="s">
        <v>1029</v>
      </c>
      <c r="D801" s="524" t="s">
        <v>1030</v>
      </c>
      <c r="H801" s="524"/>
    </row>
    <row r="802" spans="3:8" ht="13.5" customHeight="1">
      <c r="C802" s="524" t="s">
        <v>1031</v>
      </c>
      <c r="D802" s="524" t="s">
        <v>1032</v>
      </c>
      <c r="H802" s="524"/>
    </row>
    <row r="803" spans="3:8" ht="13.5" customHeight="1">
      <c r="C803" s="524" t="s">
        <v>1033</v>
      </c>
      <c r="D803" s="524" t="s">
        <v>1034</v>
      </c>
      <c r="H803" s="524"/>
    </row>
    <row r="804" spans="3:8" ht="13.5" customHeight="1">
      <c r="C804" s="524" t="s">
        <v>1035</v>
      </c>
      <c r="D804" s="524" t="s">
        <v>1036</v>
      </c>
      <c r="H804" s="524"/>
    </row>
    <row r="805" spans="3:8" ht="13.5" customHeight="1">
      <c r="C805" s="524" t="s">
        <v>1037</v>
      </c>
      <c r="D805" s="524" t="s">
        <v>1038</v>
      </c>
      <c r="H805" s="524"/>
    </row>
    <row r="806" spans="3:8" ht="13.5" customHeight="1">
      <c r="C806" s="524" t="s">
        <v>1039</v>
      </c>
      <c r="D806" s="524" t="s">
        <v>1040</v>
      </c>
      <c r="H806" s="524"/>
    </row>
    <row r="807" spans="3:8" ht="13.5" customHeight="1">
      <c r="C807" s="524" t="s">
        <v>1041</v>
      </c>
      <c r="D807" s="524" t="s">
        <v>1042</v>
      </c>
      <c r="H807" s="524"/>
    </row>
    <row r="808" spans="3:8" ht="13.5" customHeight="1">
      <c r="C808" s="524" t="s">
        <v>1043</v>
      </c>
      <c r="D808" s="524" t="s">
        <v>1044</v>
      </c>
      <c r="H808" s="524"/>
    </row>
    <row r="809" spans="3:8" ht="13.5" customHeight="1">
      <c r="C809" s="524" t="s">
        <v>1045</v>
      </c>
      <c r="D809" s="524" t="s">
        <v>1046</v>
      </c>
      <c r="H809" s="524"/>
    </row>
    <row r="810" spans="3:8" ht="13.5" customHeight="1">
      <c r="C810" s="524" t="s">
        <v>1047</v>
      </c>
      <c r="D810" s="524" t="s">
        <v>1048</v>
      </c>
      <c r="H810" s="524"/>
    </row>
    <row r="811" spans="3:8" ht="13.5" customHeight="1">
      <c r="C811" s="524" t="s">
        <v>1049</v>
      </c>
      <c r="D811" s="524" t="s">
        <v>1050</v>
      </c>
      <c r="H811" s="524"/>
    </row>
    <row r="812" spans="3:8" ht="13.5" customHeight="1">
      <c r="C812" s="524" t="s">
        <v>1051</v>
      </c>
      <c r="D812" s="524" t="s">
        <v>1052</v>
      </c>
      <c r="H812" s="524"/>
    </row>
    <row r="813" spans="3:8" ht="13.5" customHeight="1">
      <c r="C813" s="524" t="s">
        <v>1053</v>
      </c>
      <c r="D813" s="524" t="s">
        <v>1054</v>
      </c>
      <c r="H813" s="524"/>
    </row>
    <row r="814" spans="3:8" ht="13.5" customHeight="1">
      <c r="C814" s="524" t="s">
        <v>1055</v>
      </c>
      <c r="D814" s="524" t="s">
        <v>1056</v>
      </c>
      <c r="H814" s="524"/>
    </row>
    <row r="815" spans="3:8" ht="13.5" customHeight="1">
      <c r="C815" s="524" t="s">
        <v>1057</v>
      </c>
      <c r="D815" s="524" t="s">
        <v>1058</v>
      </c>
      <c r="H815" s="524"/>
    </row>
    <row r="816" spans="3:8" ht="13.5" customHeight="1">
      <c r="C816" s="524" t="s">
        <v>1059</v>
      </c>
      <c r="D816" s="524" t="s">
        <v>1060</v>
      </c>
      <c r="H816" s="524"/>
    </row>
    <row r="817" spans="3:8" ht="13.5" customHeight="1">
      <c r="C817" s="524" t="s">
        <v>1061</v>
      </c>
      <c r="D817" s="524" t="s">
        <v>1062</v>
      </c>
      <c r="H817" s="524"/>
    </row>
    <row r="818" spans="3:8" ht="13.5" customHeight="1">
      <c r="C818" s="524" t="s">
        <v>1063</v>
      </c>
      <c r="D818" s="524" t="s">
        <v>1064</v>
      </c>
      <c r="H818" s="524"/>
    </row>
    <row r="819" spans="3:8" ht="13.5" customHeight="1">
      <c r="C819" s="524" t="s">
        <v>1065</v>
      </c>
      <c r="D819" s="524" t="s">
        <v>1066</v>
      </c>
      <c r="H819" s="524"/>
    </row>
    <row r="820" spans="3:8" ht="13.5" customHeight="1">
      <c r="C820" s="524" t="s">
        <v>1067</v>
      </c>
      <c r="D820" s="524" t="s">
        <v>1068</v>
      </c>
      <c r="H820" s="524"/>
    </row>
    <row r="821" spans="3:8" ht="13.5" customHeight="1">
      <c r="C821" s="524" t="s">
        <v>1069</v>
      </c>
      <c r="D821" s="524" t="s">
        <v>1070</v>
      </c>
      <c r="H821" s="524"/>
    </row>
    <row r="822" spans="3:8" ht="13.5" customHeight="1">
      <c r="C822" s="524" t="s">
        <v>1071</v>
      </c>
      <c r="D822" s="524" t="s">
        <v>1072</v>
      </c>
      <c r="H822" s="524"/>
    </row>
    <row r="823" spans="3:8" ht="13.5" customHeight="1">
      <c r="C823" s="524" t="s">
        <v>1073</v>
      </c>
      <c r="D823" s="524" t="s">
        <v>1074</v>
      </c>
      <c r="H823" s="524"/>
    </row>
    <row r="824" spans="3:8" ht="13.5" customHeight="1">
      <c r="C824" s="524" t="s">
        <v>1075</v>
      </c>
      <c r="D824" s="524" t="s">
        <v>1076</v>
      </c>
      <c r="H824" s="524"/>
    </row>
    <row r="825" spans="3:8" ht="13.5" customHeight="1">
      <c r="C825" s="524" t="s">
        <v>1077</v>
      </c>
      <c r="D825" s="524" t="s">
        <v>1078</v>
      </c>
      <c r="H825" s="524"/>
    </row>
    <row r="826" spans="3:8" ht="13.5" customHeight="1">
      <c r="C826" s="524" t="s">
        <v>1079</v>
      </c>
      <c r="D826" s="524" t="s">
        <v>1080</v>
      </c>
      <c r="H826" s="524"/>
    </row>
    <row r="827" spans="3:8" ht="13.5" customHeight="1">
      <c r="C827" s="524" t="s">
        <v>1081</v>
      </c>
      <c r="D827" s="524" t="s">
        <v>1082</v>
      </c>
      <c r="H827" s="524"/>
    </row>
    <row r="828" spans="3:8" ht="13.5" customHeight="1">
      <c r="C828" s="524" t="s">
        <v>1083</v>
      </c>
      <c r="D828" s="524" t="s">
        <v>1084</v>
      </c>
      <c r="H828" s="524"/>
    </row>
    <row r="829" spans="3:8" ht="13.5" customHeight="1">
      <c r="C829" s="524" t="s">
        <v>1085</v>
      </c>
      <c r="D829" s="524" t="s">
        <v>1086</v>
      </c>
      <c r="H829" s="524"/>
    </row>
    <row r="830" spans="3:8" ht="13.5" customHeight="1">
      <c r="C830" s="524" t="s">
        <v>1087</v>
      </c>
      <c r="D830" s="524" t="s">
        <v>1088</v>
      </c>
      <c r="H830" s="524"/>
    </row>
    <row r="831" spans="3:8" ht="13.5" customHeight="1">
      <c r="C831" s="524" t="s">
        <v>1089</v>
      </c>
      <c r="D831" s="524" t="s">
        <v>1090</v>
      </c>
      <c r="H831" s="524"/>
    </row>
    <row r="832" spans="3:8" ht="13.5" customHeight="1">
      <c r="C832" s="524" t="s">
        <v>1091</v>
      </c>
      <c r="D832" s="524" t="s">
        <v>1092</v>
      </c>
      <c r="H832" s="524"/>
    </row>
    <row r="833" spans="2:8" ht="13.5" customHeight="1">
      <c r="B833" s="524" t="s">
        <v>262</v>
      </c>
      <c r="C833" s="524" t="s">
        <v>1093</v>
      </c>
      <c r="D833" s="524" t="s">
        <v>1094</v>
      </c>
      <c r="H833" s="524"/>
    </row>
    <row r="834" spans="2:8" ht="13.5" customHeight="1">
      <c r="B834" s="524" t="s">
        <v>262</v>
      </c>
      <c r="C834" s="524" t="s">
        <v>1095</v>
      </c>
      <c r="D834" s="524" t="s">
        <v>1096</v>
      </c>
      <c r="H834" s="524"/>
    </row>
    <row r="835" spans="2:8" ht="13.5" customHeight="1">
      <c r="C835" s="524" t="s">
        <v>1097</v>
      </c>
      <c r="D835" s="524" t="s">
        <v>1098</v>
      </c>
      <c r="H835" s="524"/>
    </row>
    <row r="836" spans="2:8" ht="13.5" customHeight="1">
      <c r="C836" s="524" t="s">
        <v>1099</v>
      </c>
      <c r="D836" s="524" t="s">
        <v>1100</v>
      </c>
      <c r="H836" s="524"/>
    </row>
    <row r="837" spans="2:8" ht="13.5" customHeight="1">
      <c r="C837" s="524" t="s">
        <v>1101</v>
      </c>
      <c r="D837" s="524" t="s">
        <v>1102</v>
      </c>
      <c r="H837" s="524"/>
    </row>
    <row r="838" spans="2:8" ht="13.5" customHeight="1">
      <c r="C838" s="524" t="s">
        <v>1103</v>
      </c>
      <c r="D838" s="524" t="s">
        <v>1104</v>
      </c>
      <c r="H838" s="524"/>
    </row>
    <row r="839" spans="2:8" ht="13.5" customHeight="1">
      <c r="C839" s="524" t="s">
        <v>1105</v>
      </c>
      <c r="D839" s="524" t="s">
        <v>1106</v>
      </c>
      <c r="H839" s="524"/>
    </row>
    <row r="840" spans="2:8" ht="13.5" customHeight="1">
      <c r="C840" s="524" t="s">
        <v>1107</v>
      </c>
      <c r="D840" s="524" t="s">
        <v>1108</v>
      </c>
      <c r="H840" s="524"/>
    </row>
    <row r="841" spans="2:8" ht="13.5" customHeight="1">
      <c r="C841" s="524" t="s">
        <v>1109</v>
      </c>
      <c r="D841" s="524" t="s">
        <v>1110</v>
      </c>
      <c r="H841" s="524"/>
    </row>
    <row r="842" spans="2:8" ht="13.5" customHeight="1">
      <c r="C842" s="524" t="s">
        <v>1111</v>
      </c>
      <c r="D842" s="524" t="s">
        <v>1112</v>
      </c>
      <c r="H842" s="524"/>
    </row>
    <row r="843" spans="2:8" ht="13.5" customHeight="1">
      <c r="C843" s="524" t="s">
        <v>1113</v>
      </c>
      <c r="D843" s="524" t="s">
        <v>1114</v>
      </c>
      <c r="H843" s="524"/>
    </row>
    <row r="844" spans="2:8" ht="13.5" customHeight="1">
      <c r="C844" s="524" t="s">
        <v>1115</v>
      </c>
      <c r="D844" s="524" t="s">
        <v>1116</v>
      </c>
      <c r="H844" s="524"/>
    </row>
    <row r="845" spans="2:8" ht="13.5" customHeight="1">
      <c r="C845" s="524" t="s">
        <v>1117</v>
      </c>
      <c r="D845" s="524" t="s">
        <v>1118</v>
      </c>
      <c r="H845" s="524"/>
    </row>
    <row r="846" spans="2:8" ht="13.5" customHeight="1">
      <c r="C846" s="524" t="s">
        <v>1119</v>
      </c>
      <c r="D846" s="524" t="s">
        <v>1120</v>
      </c>
      <c r="H846" s="524"/>
    </row>
    <row r="847" spans="2:8" ht="13.5" customHeight="1">
      <c r="C847" s="524" t="s">
        <v>1121</v>
      </c>
      <c r="D847" s="524" t="s">
        <v>1122</v>
      </c>
      <c r="H847" s="524"/>
    </row>
    <row r="848" spans="2:8" ht="13.5" customHeight="1">
      <c r="C848" s="524" t="s">
        <v>1123</v>
      </c>
      <c r="D848" s="524" t="s">
        <v>1124</v>
      </c>
      <c r="H848" s="524"/>
    </row>
    <row r="849" spans="3:8" ht="13.5" customHeight="1">
      <c r="C849" s="524" t="s">
        <v>1125</v>
      </c>
      <c r="D849" s="524" t="s">
        <v>1126</v>
      </c>
      <c r="H849" s="524"/>
    </row>
    <row r="850" spans="3:8" ht="13.5" customHeight="1">
      <c r="C850" s="524" t="s">
        <v>1127</v>
      </c>
      <c r="D850" s="524" t="s">
        <v>1128</v>
      </c>
      <c r="H850" s="524"/>
    </row>
    <row r="851" spans="3:8" ht="13.5" customHeight="1">
      <c r="C851" s="524" t="s">
        <v>1129</v>
      </c>
      <c r="D851" s="524" t="s">
        <v>1130</v>
      </c>
      <c r="H851" s="524"/>
    </row>
    <row r="852" spans="3:8" ht="13.5" customHeight="1">
      <c r="C852" s="524" t="s">
        <v>1131</v>
      </c>
      <c r="D852" s="524" t="s">
        <v>1132</v>
      </c>
      <c r="H852" s="524"/>
    </row>
    <row r="853" spans="3:8" ht="13.5" customHeight="1">
      <c r="C853" s="524" t="s">
        <v>1133</v>
      </c>
      <c r="D853" s="524" t="s">
        <v>1134</v>
      </c>
      <c r="H853" s="524"/>
    </row>
    <row r="854" spans="3:8" ht="13.5" customHeight="1">
      <c r="C854" s="524" t="s">
        <v>1135</v>
      </c>
      <c r="D854" s="524" t="s">
        <v>1136</v>
      </c>
      <c r="H854" s="524"/>
    </row>
    <row r="855" spans="3:8" ht="13.5" customHeight="1">
      <c r="C855" s="524" t="s">
        <v>1137</v>
      </c>
      <c r="D855" s="524" t="s">
        <v>1138</v>
      </c>
      <c r="H855" s="524"/>
    </row>
    <row r="856" spans="3:8" ht="13.5" customHeight="1">
      <c r="C856" s="524" t="s">
        <v>1139</v>
      </c>
      <c r="D856" s="524" t="s">
        <v>1140</v>
      </c>
      <c r="H856" s="524"/>
    </row>
    <row r="857" spans="3:8" ht="13.5" customHeight="1">
      <c r="C857" s="524" t="s">
        <v>1141</v>
      </c>
      <c r="D857" s="524" t="s">
        <v>1142</v>
      </c>
      <c r="H857" s="524"/>
    </row>
    <row r="858" spans="3:8" ht="13.5" customHeight="1">
      <c r="C858" s="524" t="s">
        <v>1143</v>
      </c>
      <c r="D858" s="524" t="s">
        <v>1144</v>
      </c>
      <c r="H858" s="524"/>
    </row>
    <row r="859" spans="3:8" ht="13.5" customHeight="1">
      <c r="C859" s="524" t="s">
        <v>1145</v>
      </c>
      <c r="D859" s="524" t="s">
        <v>1146</v>
      </c>
      <c r="H859" s="524"/>
    </row>
    <row r="860" spans="3:8" ht="13.5" customHeight="1">
      <c r="C860" s="524" t="s">
        <v>1147</v>
      </c>
      <c r="D860" s="524" t="s">
        <v>1148</v>
      </c>
      <c r="H860" s="524"/>
    </row>
    <row r="861" spans="3:8" ht="13.5" customHeight="1">
      <c r="C861" s="524" t="s">
        <v>1149</v>
      </c>
      <c r="D861" s="524" t="s">
        <v>1150</v>
      </c>
      <c r="H861" s="524"/>
    </row>
    <row r="862" spans="3:8" ht="13.5" customHeight="1">
      <c r="C862" s="524" t="s">
        <v>1151</v>
      </c>
      <c r="D862" s="524" t="s">
        <v>1152</v>
      </c>
      <c r="H862" s="524"/>
    </row>
    <row r="863" spans="3:8" ht="13.5" customHeight="1">
      <c r="C863" s="524" t="s">
        <v>1153</v>
      </c>
      <c r="D863" s="524" t="s">
        <v>1154</v>
      </c>
      <c r="H863" s="524"/>
    </row>
    <row r="864" spans="3:8" ht="13.5" customHeight="1">
      <c r="C864" s="524" t="s">
        <v>1155</v>
      </c>
      <c r="D864" s="524" t="s">
        <v>1156</v>
      </c>
      <c r="H864" s="524"/>
    </row>
    <row r="865" spans="3:8" ht="13.5" customHeight="1">
      <c r="C865" s="524" t="s">
        <v>1157</v>
      </c>
      <c r="D865" s="524" t="s">
        <v>1158</v>
      </c>
      <c r="H865" s="524"/>
    </row>
    <row r="866" spans="3:8" ht="13.5" customHeight="1">
      <c r="C866" s="524" t="s">
        <v>1159</v>
      </c>
      <c r="D866" s="524" t="s">
        <v>1160</v>
      </c>
      <c r="H866" s="524"/>
    </row>
    <row r="867" spans="3:8" ht="13.5" customHeight="1">
      <c r="C867" s="524" t="s">
        <v>1161</v>
      </c>
      <c r="D867" s="524" t="s">
        <v>1162</v>
      </c>
      <c r="H867" s="524"/>
    </row>
    <row r="868" spans="3:8" ht="13.5" customHeight="1">
      <c r="C868" s="524" t="s">
        <v>1163</v>
      </c>
      <c r="D868" s="524" t="s">
        <v>1164</v>
      </c>
      <c r="H868" s="524"/>
    </row>
    <row r="869" spans="3:8" ht="13.5" customHeight="1">
      <c r="C869" s="524" t="s">
        <v>1165</v>
      </c>
      <c r="D869" s="524" t="s">
        <v>1166</v>
      </c>
      <c r="H869" s="524"/>
    </row>
    <row r="870" spans="3:8" ht="13.5" customHeight="1">
      <c r="C870" s="524" t="s">
        <v>1167</v>
      </c>
      <c r="D870" s="524" t="s">
        <v>1168</v>
      </c>
      <c r="H870" s="524"/>
    </row>
    <row r="871" spans="3:8" ht="13.5" customHeight="1">
      <c r="C871" s="524" t="s">
        <v>1169</v>
      </c>
      <c r="D871" s="524" t="s">
        <v>1170</v>
      </c>
      <c r="H871" s="524"/>
    </row>
    <row r="872" spans="3:8" ht="13.5" customHeight="1">
      <c r="C872" s="524" t="s">
        <v>1171</v>
      </c>
      <c r="D872" s="524" t="s">
        <v>1172</v>
      </c>
      <c r="H872" s="524"/>
    </row>
    <row r="873" spans="3:8" ht="13.5" customHeight="1">
      <c r="C873" s="524" t="s">
        <v>1173</v>
      </c>
      <c r="D873" s="524" t="s">
        <v>1174</v>
      </c>
      <c r="H873" s="524"/>
    </row>
    <row r="874" spans="3:8" ht="13.5" customHeight="1">
      <c r="C874" s="524" t="s">
        <v>1175</v>
      </c>
      <c r="D874" s="524" t="s">
        <v>1176</v>
      </c>
      <c r="H874" s="524"/>
    </row>
    <row r="875" spans="3:8" ht="13.5" customHeight="1">
      <c r="C875" s="524" t="s">
        <v>1177</v>
      </c>
      <c r="D875" s="524" t="s">
        <v>1178</v>
      </c>
      <c r="H875" s="524"/>
    </row>
    <row r="876" spans="3:8" ht="13.5" customHeight="1">
      <c r="C876" s="524" t="s">
        <v>1179</v>
      </c>
      <c r="D876" s="524" t="s">
        <v>1180</v>
      </c>
      <c r="H876" s="524"/>
    </row>
    <row r="877" spans="3:8" ht="13.5" customHeight="1">
      <c r="C877" s="524" t="s">
        <v>1181</v>
      </c>
      <c r="D877" s="524" t="s">
        <v>1182</v>
      </c>
      <c r="H877" s="524"/>
    </row>
    <row r="878" spans="3:8" ht="13.5" customHeight="1">
      <c r="C878" s="524" t="s">
        <v>1183</v>
      </c>
      <c r="D878" s="524" t="s">
        <v>1184</v>
      </c>
      <c r="H878" s="524"/>
    </row>
    <row r="879" spans="3:8" ht="13.5" customHeight="1">
      <c r="C879" s="524" t="s">
        <v>1185</v>
      </c>
      <c r="D879" s="524" t="s">
        <v>1186</v>
      </c>
      <c r="H879" s="524"/>
    </row>
    <row r="880" spans="3:8" ht="13.5" customHeight="1">
      <c r="C880" s="524" t="s">
        <v>1187</v>
      </c>
      <c r="D880" s="524" t="s">
        <v>1188</v>
      </c>
      <c r="H880" s="524"/>
    </row>
    <row r="881" spans="3:8" ht="13.5" customHeight="1">
      <c r="C881" s="524" t="s">
        <v>1189</v>
      </c>
      <c r="D881" s="524" t="s">
        <v>1190</v>
      </c>
      <c r="H881" s="524"/>
    </row>
    <row r="882" spans="3:8" ht="13.5" customHeight="1">
      <c r="C882" s="524" t="s">
        <v>1191</v>
      </c>
      <c r="D882" s="524" t="s">
        <v>1192</v>
      </c>
      <c r="H882" s="524"/>
    </row>
    <row r="883" spans="3:8" ht="13.5" customHeight="1">
      <c r="C883" s="524" t="s">
        <v>1193</v>
      </c>
      <c r="D883" s="524" t="s">
        <v>1194</v>
      </c>
      <c r="H883" s="524"/>
    </row>
    <row r="884" spans="3:8" ht="13.5" customHeight="1">
      <c r="C884" s="524" t="s">
        <v>1195</v>
      </c>
      <c r="D884" s="524" t="s">
        <v>1196</v>
      </c>
      <c r="H884" s="524"/>
    </row>
    <row r="885" spans="3:8" ht="13.5" customHeight="1">
      <c r="C885" s="524" t="s">
        <v>1197</v>
      </c>
      <c r="D885" s="524" t="s">
        <v>1198</v>
      </c>
      <c r="H885" s="524"/>
    </row>
    <row r="886" spans="3:8" ht="13.5" customHeight="1">
      <c r="C886" s="524" t="s">
        <v>1199</v>
      </c>
      <c r="D886" s="524" t="s">
        <v>1200</v>
      </c>
      <c r="H886" s="524"/>
    </row>
    <row r="887" spans="3:8" ht="13.5" customHeight="1">
      <c r="C887" s="524" t="s">
        <v>1201</v>
      </c>
      <c r="D887" s="524" t="s">
        <v>1202</v>
      </c>
      <c r="H887" s="524"/>
    </row>
    <row r="888" spans="3:8" ht="13.5" customHeight="1">
      <c r="C888" s="524" t="s">
        <v>1203</v>
      </c>
      <c r="D888" s="524" t="s">
        <v>1204</v>
      </c>
      <c r="H888" s="524"/>
    </row>
    <row r="889" spans="3:8" ht="13.5" customHeight="1">
      <c r="C889" s="524" t="s">
        <v>1205</v>
      </c>
      <c r="D889" s="524" t="s">
        <v>1206</v>
      </c>
      <c r="H889" s="524"/>
    </row>
    <row r="890" spans="3:8" ht="13.5" customHeight="1">
      <c r="C890" s="524" t="s">
        <v>1207</v>
      </c>
      <c r="D890" s="524" t="s">
        <v>1208</v>
      </c>
      <c r="H890" s="524"/>
    </row>
    <row r="891" spans="3:8" ht="13.5" customHeight="1">
      <c r="C891" s="524" t="s">
        <v>1209</v>
      </c>
      <c r="D891" s="524" t="s">
        <v>1210</v>
      </c>
      <c r="H891" s="524"/>
    </row>
    <row r="892" spans="3:8" ht="13.5" customHeight="1">
      <c r="C892" s="524" t="s">
        <v>1211</v>
      </c>
      <c r="D892" s="524" t="s">
        <v>1212</v>
      </c>
      <c r="H892" s="524"/>
    </row>
    <row r="893" spans="3:8" ht="13.5" customHeight="1">
      <c r="C893" s="524" t="s">
        <v>1213</v>
      </c>
      <c r="D893" s="524" t="s">
        <v>1214</v>
      </c>
      <c r="H893" s="524"/>
    </row>
    <row r="894" spans="3:8" ht="13.5" customHeight="1">
      <c r="C894" s="524" t="s">
        <v>1215</v>
      </c>
      <c r="D894" s="524" t="s">
        <v>1216</v>
      </c>
      <c r="H894" s="524"/>
    </row>
    <row r="895" spans="3:8" ht="13.5" customHeight="1">
      <c r="C895" s="524" t="s">
        <v>1217</v>
      </c>
      <c r="D895" s="524" t="s">
        <v>1218</v>
      </c>
      <c r="H895" s="524"/>
    </row>
    <row r="896" spans="3:8" ht="13.5" customHeight="1">
      <c r="C896" s="524" t="s">
        <v>1219</v>
      </c>
      <c r="D896" s="524" t="s">
        <v>1220</v>
      </c>
      <c r="H896" s="524"/>
    </row>
    <row r="897" spans="3:8" ht="13.5" customHeight="1">
      <c r="C897" s="524" t="s">
        <v>1221</v>
      </c>
      <c r="D897" s="524" t="s">
        <v>1222</v>
      </c>
      <c r="H897" s="524"/>
    </row>
    <row r="898" spans="3:8" ht="13.5" customHeight="1">
      <c r="C898" s="524" t="s">
        <v>1223</v>
      </c>
      <c r="D898" s="524" t="s">
        <v>1224</v>
      </c>
      <c r="H898" s="524"/>
    </row>
    <row r="899" spans="3:8" ht="13.5" customHeight="1">
      <c r="C899" s="524" t="s">
        <v>1225</v>
      </c>
      <c r="D899" s="524" t="s">
        <v>1226</v>
      </c>
      <c r="H899" s="524"/>
    </row>
    <row r="900" spans="3:8" ht="13.5" customHeight="1">
      <c r="C900" s="524" t="s">
        <v>1227</v>
      </c>
      <c r="D900" s="524" t="s">
        <v>1228</v>
      </c>
      <c r="H900" s="524"/>
    </row>
    <row r="901" spans="3:8" ht="13.5" customHeight="1">
      <c r="C901" s="524" t="s">
        <v>1229</v>
      </c>
      <c r="D901" s="524" t="s">
        <v>1230</v>
      </c>
      <c r="H901" s="524"/>
    </row>
    <row r="902" spans="3:8" ht="13.5" customHeight="1">
      <c r="C902" s="524" t="s">
        <v>1231</v>
      </c>
      <c r="D902" s="524" t="s">
        <v>1232</v>
      </c>
      <c r="H902" s="524"/>
    </row>
    <row r="903" spans="3:8" ht="13.5" customHeight="1">
      <c r="C903" s="524" t="s">
        <v>1233</v>
      </c>
      <c r="D903" s="524" t="s">
        <v>1234</v>
      </c>
      <c r="H903" s="524"/>
    </row>
    <row r="904" spans="3:8" ht="13.5" customHeight="1">
      <c r="C904" s="524" t="s">
        <v>1235</v>
      </c>
      <c r="D904" s="524" t="s">
        <v>1236</v>
      </c>
      <c r="H904" s="524"/>
    </row>
    <row r="905" spans="3:8" ht="13.5" customHeight="1">
      <c r="C905" s="524" t="s">
        <v>1237</v>
      </c>
      <c r="D905" s="524" t="s">
        <v>1238</v>
      </c>
      <c r="H905" s="524"/>
    </row>
    <row r="906" spans="3:8" ht="13.5" customHeight="1">
      <c r="C906" s="524" t="s">
        <v>1239</v>
      </c>
      <c r="D906" s="524" t="s">
        <v>1240</v>
      </c>
      <c r="H906" s="524"/>
    </row>
    <row r="907" spans="3:8" ht="13.5" customHeight="1">
      <c r="C907" s="524" t="s">
        <v>1241</v>
      </c>
      <c r="D907" s="524" t="s">
        <v>1242</v>
      </c>
      <c r="H907" s="524"/>
    </row>
    <row r="908" spans="3:8" ht="13.5" customHeight="1">
      <c r="C908" s="524" t="s">
        <v>1243</v>
      </c>
      <c r="D908" s="524" t="s">
        <v>1244</v>
      </c>
      <c r="H908" s="524"/>
    </row>
    <row r="909" spans="3:8" ht="13.5" customHeight="1">
      <c r="C909" s="524" t="s">
        <v>1245</v>
      </c>
      <c r="D909" s="524" t="s">
        <v>1246</v>
      </c>
      <c r="H909" s="524"/>
    </row>
    <row r="910" spans="3:8" ht="13.5" customHeight="1">
      <c r="C910" s="524" t="s">
        <v>1247</v>
      </c>
      <c r="D910" s="524" t="s">
        <v>1248</v>
      </c>
      <c r="H910" s="524"/>
    </row>
    <row r="911" spans="3:8" ht="13.5" customHeight="1">
      <c r="C911" s="524" t="s">
        <v>1249</v>
      </c>
      <c r="D911" s="524" t="s">
        <v>1250</v>
      </c>
      <c r="H911" s="524"/>
    </row>
    <row r="912" spans="3:8" ht="13.5" customHeight="1">
      <c r="C912" s="524" t="s">
        <v>1251</v>
      </c>
      <c r="D912" s="524" t="s">
        <v>1252</v>
      </c>
      <c r="H912" s="524"/>
    </row>
    <row r="913" spans="3:8" ht="13.5" customHeight="1">
      <c r="C913" s="524" t="s">
        <v>1253</v>
      </c>
      <c r="D913" s="524" t="s">
        <v>1254</v>
      </c>
      <c r="H913" s="524"/>
    </row>
    <row r="914" spans="3:8" ht="13.5" customHeight="1">
      <c r="C914" s="524" t="s">
        <v>1255</v>
      </c>
      <c r="D914" s="524" t="s">
        <v>1256</v>
      </c>
      <c r="H914" s="524"/>
    </row>
    <row r="915" spans="3:8" ht="13.5" customHeight="1">
      <c r="C915" s="524" t="s">
        <v>1257</v>
      </c>
      <c r="D915" s="524" t="s">
        <v>1258</v>
      </c>
      <c r="H915" s="524"/>
    </row>
    <row r="916" spans="3:8" ht="13.5" customHeight="1">
      <c r="C916" s="524" t="s">
        <v>1259</v>
      </c>
      <c r="D916" s="524" t="s">
        <v>1260</v>
      </c>
      <c r="H916" s="524"/>
    </row>
    <row r="917" spans="3:8" ht="13.5" customHeight="1">
      <c r="C917" s="524" t="s">
        <v>1261</v>
      </c>
      <c r="D917" s="524" t="s">
        <v>1262</v>
      </c>
      <c r="H917" s="524"/>
    </row>
    <row r="918" spans="3:8" ht="13.5" customHeight="1">
      <c r="C918" s="524" t="s">
        <v>1263</v>
      </c>
      <c r="D918" s="524" t="s">
        <v>1264</v>
      </c>
      <c r="H918" s="524"/>
    </row>
    <row r="919" spans="3:8" ht="13.5" customHeight="1">
      <c r="C919" s="524" t="s">
        <v>1265</v>
      </c>
      <c r="D919" s="524" t="s">
        <v>1266</v>
      </c>
      <c r="H919" s="524"/>
    </row>
    <row r="920" spans="3:8" ht="13.5" customHeight="1">
      <c r="C920" s="524" t="s">
        <v>1267</v>
      </c>
      <c r="D920" s="524" t="s">
        <v>1268</v>
      </c>
      <c r="H920" s="524"/>
    </row>
    <row r="921" spans="3:8" ht="13.5" customHeight="1">
      <c r="C921" s="524" t="s">
        <v>1269</v>
      </c>
      <c r="D921" s="524" t="s">
        <v>1270</v>
      </c>
      <c r="H921" s="524"/>
    </row>
    <row r="922" spans="3:8" ht="13.5" customHeight="1">
      <c r="C922" s="524" t="s">
        <v>1271</v>
      </c>
      <c r="D922" s="524" t="s">
        <v>1272</v>
      </c>
      <c r="H922" s="524"/>
    </row>
    <row r="923" spans="3:8" ht="13.5" customHeight="1">
      <c r="C923" s="524" t="s">
        <v>1273</v>
      </c>
      <c r="D923" s="524" t="s">
        <v>1274</v>
      </c>
      <c r="H923" s="524"/>
    </row>
    <row r="924" spans="3:8" ht="13.5" customHeight="1">
      <c r="C924" s="524" t="s">
        <v>1275</v>
      </c>
      <c r="D924" s="524" t="s">
        <v>1276</v>
      </c>
      <c r="H924" s="524"/>
    </row>
    <row r="925" spans="3:8" ht="13.5" customHeight="1">
      <c r="C925" s="524" t="s">
        <v>1277</v>
      </c>
      <c r="D925" s="524" t="s">
        <v>1278</v>
      </c>
      <c r="H925" s="524"/>
    </row>
    <row r="926" spans="3:8" ht="13.5" customHeight="1">
      <c r="C926" s="524" t="s">
        <v>1279</v>
      </c>
      <c r="D926" s="524" t="s">
        <v>1280</v>
      </c>
      <c r="H926" s="524"/>
    </row>
    <row r="927" spans="3:8" ht="13.5" customHeight="1">
      <c r="C927" s="524" t="s">
        <v>1281</v>
      </c>
      <c r="D927" s="524" t="s">
        <v>1282</v>
      </c>
      <c r="H927" s="524"/>
    </row>
    <row r="928" spans="3:8" ht="13.5" customHeight="1">
      <c r="C928" s="524" t="s">
        <v>1283</v>
      </c>
      <c r="D928" s="524" t="s">
        <v>1284</v>
      </c>
      <c r="H928" s="524"/>
    </row>
    <row r="929" spans="3:8" ht="13.5" customHeight="1">
      <c r="C929" s="524" t="s">
        <v>1285</v>
      </c>
      <c r="D929" s="524" t="s">
        <v>1286</v>
      </c>
      <c r="H929" s="524"/>
    </row>
    <row r="930" spans="3:8" ht="13.5" customHeight="1">
      <c r="C930" s="524" t="s">
        <v>1287</v>
      </c>
      <c r="D930" s="524" t="s">
        <v>1288</v>
      </c>
      <c r="H930" s="524"/>
    </row>
    <row r="931" spans="3:8" ht="13.5" customHeight="1">
      <c r="C931" s="524" t="s">
        <v>1289</v>
      </c>
      <c r="D931" s="524" t="s">
        <v>1290</v>
      </c>
      <c r="H931" s="524"/>
    </row>
    <row r="932" spans="3:8" ht="13.5" customHeight="1">
      <c r="C932" s="524" t="s">
        <v>1291</v>
      </c>
      <c r="D932" s="524" t="s">
        <v>1292</v>
      </c>
      <c r="H932" s="524"/>
    </row>
    <row r="933" spans="3:8" ht="13.5" customHeight="1">
      <c r="C933" s="524" t="s">
        <v>1293</v>
      </c>
      <c r="D933" s="524" t="s">
        <v>1294</v>
      </c>
      <c r="H933" s="524"/>
    </row>
    <row r="934" spans="3:8" ht="13.5" customHeight="1">
      <c r="C934" s="524" t="s">
        <v>1295</v>
      </c>
      <c r="D934" s="524" t="s">
        <v>1296</v>
      </c>
      <c r="H934" s="524"/>
    </row>
    <row r="935" spans="3:8" ht="13.5" customHeight="1">
      <c r="C935" s="524" t="s">
        <v>1297</v>
      </c>
      <c r="D935" s="524" t="s">
        <v>1298</v>
      </c>
      <c r="H935" s="524"/>
    </row>
    <row r="936" spans="3:8" ht="13.5" customHeight="1">
      <c r="C936" s="524" t="s">
        <v>1299</v>
      </c>
      <c r="D936" s="524" t="s">
        <v>1300</v>
      </c>
      <c r="H936" s="524"/>
    </row>
    <row r="937" spans="3:8" ht="13.5" customHeight="1">
      <c r="C937" s="524" t="s">
        <v>1301</v>
      </c>
      <c r="D937" s="524" t="s">
        <v>1302</v>
      </c>
      <c r="H937" s="524"/>
    </row>
    <row r="938" spans="3:8" ht="13.5" customHeight="1">
      <c r="C938" s="524" t="s">
        <v>1303</v>
      </c>
      <c r="D938" s="524" t="s">
        <v>1304</v>
      </c>
      <c r="H938" s="524"/>
    </row>
    <row r="939" spans="3:8" ht="13.5" customHeight="1">
      <c r="C939" s="524" t="s">
        <v>1305</v>
      </c>
      <c r="D939" s="524" t="s">
        <v>1306</v>
      </c>
      <c r="H939" s="524"/>
    </row>
    <row r="940" spans="3:8" ht="13.5" customHeight="1">
      <c r="C940" s="524" t="s">
        <v>1307</v>
      </c>
      <c r="D940" s="524" t="s">
        <v>1308</v>
      </c>
      <c r="H940" s="524"/>
    </row>
    <row r="941" spans="3:8" ht="13.5" customHeight="1">
      <c r="C941" s="524" t="s">
        <v>1309</v>
      </c>
      <c r="D941" s="524" t="s">
        <v>1310</v>
      </c>
      <c r="H941" s="524"/>
    </row>
    <row r="942" spans="3:8" ht="13.5" customHeight="1">
      <c r="C942" s="524" t="s">
        <v>1311</v>
      </c>
      <c r="D942" s="524" t="s">
        <v>1312</v>
      </c>
      <c r="H942" s="524"/>
    </row>
    <row r="943" spans="3:8" ht="13.5" customHeight="1">
      <c r="C943" s="524" t="s">
        <v>1313</v>
      </c>
      <c r="D943" s="524" t="s">
        <v>1314</v>
      </c>
      <c r="H943" s="524"/>
    </row>
    <row r="944" spans="3:8" ht="13.5" customHeight="1">
      <c r="C944" s="524" t="s">
        <v>1315</v>
      </c>
      <c r="D944" s="524" t="s">
        <v>1316</v>
      </c>
      <c r="H944" s="524"/>
    </row>
    <row r="945" spans="3:8" ht="13.5" customHeight="1">
      <c r="C945" s="524" t="s">
        <v>1317</v>
      </c>
      <c r="D945" s="524" t="s">
        <v>1318</v>
      </c>
      <c r="H945" s="524"/>
    </row>
    <row r="946" spans="3:8" ht="13.5" customHeight="1">
      <c r="C946" s="524" t="s">
        <v>1319</v>
      </c>
      <c r="D946" s="524" t="s">
        <v>1320</v>
      </c>
      <c r="H946" s="524"/>
    </row>
    <row r="947" spans="3:8" ht="13.5" customHeight="1">
      <c r="C947" s="524" t="s">
        <v>1321</v>
      </c>
      <c r="D947" s="524" t="s">
        <v>1322</v>
      </c>
      <c r="H947" s="524"/>
    </row>
    <row r="948" spans="3:8" ht="13.5" customHeight="1">
      <c r="C948" s="524" t="s">
        <v>1323</v>
      </c>
      <c r="D948" s="524" t="s">
        <v>1324</v>
      </c>
      <c r="H948" s="524"/>
    </row>
    <row r="949" spans="3:8" ht="13.5" customHeight="1">
      <c r="C949" s="524" t="s">
        <v>1325</v>
      </c>
      <c r="D949" s="524" t="s">
        <v>1326</v>
      </c>
      <c r="H949" s="524"/>
    </row>
    <row r="950" spans="3:8" ht="13.5" customHeight="1">
      <c r="C950" s="524" t="s">
        <v>1327</v>
      </c>
      <c r="D950" s="524" t="s">
        <v>1328</v>
      </c>
      <c r="H950" s="524"/>
    </row>
    <row r="951" spans="3:8" ht="13.5" customHeight="1">
      <c r="C951" s="524" t="s">
        <v>1329</v>
      </c>
      <c r="D951" s="524" t="s">
        <v>1330</v>
      </c>
      <c r="H951" s="524"/>
    </row>
    <row r="952" spans="3:8" ht="13.5" customHeight="1">
      <c r="C952" s="524" t="s">
        <v>1331</v>
      </c>
      <c r="D952" s="524" t="s">
        <v>1332</v>
      </c>
      <c r="H952" s="524"/>
    </row>
    <row r="953" spans="3:8" ht="13.5" customHeight="1">
      <c r="C953" s="524" t="s">
        <v>1333</v>
      </c>
      <c r="D953" s="524" t="s">
        <v>1334</v>
      </c>
      <c r="H953" s="524"/>
    </row>
    <row r="954" spans="3:8" ht="13.5" customHeight="1">
      <c r="C954" s="524" t="s">
        <v>1335</v>
      </c>
      <c r="D954" s="524" t="s">
        <v>1336</v>
      </c>
      <c r="H954" s="524"/>
    </row>
    <row r="955" spans="3:8" ht="13.5" customHeight="1">
      <c r="C955" s="524" t="s">
        <v>1337</v>
      </c>
      <c r="D955" s="524" t="s">
        <v>1338</v>
      </c>
      <c r="H955" s="524"/>
    </row>
    <row r="956" spans="3:8" ht="13.5" customHeight="1">
      <c r="C956" s="524" t="s">
        <v>1339</v>
      </c>
      <c r="D956" s="524" t="s">
        <v>1340</v>
      </c>
      <c r="H956" s="524"/>
    </row>
    <row r="957" spans="3:8" ht="13.5" customHeight="1">
      <c r="C957" s="524" t="s">
        <v>1341</v>
      </c>
      <c r="D957" s="524" t="s">
        <v>1342</v>
      </c>
      <c r="H957" s="524"/>
    </row>
    <row r="958" spans="3:8" ht="13.5" customHeight="1">
      <c r="C958" s="524" t="s">
        <v>1343</v>
      </c>
      <c r="D958" s="524" t="s">
        <v>1344</v>
      </c>
      <c r="H958" s="524"/>
    </row>
    <row r="959" spans="3:8" ht="13.5" customHeight="1">
      <c r="C959" s="524" t="s">
        <v>1345</v>
      </c>
      <c r="D959" s="524" t="s">
        <v>1346</v>
      </c>
      <c r="H959" s="524"/>
    </row>
    <row r="960" spans="3:8" ht="13.5" customHeight="1">
      <c r="C960" s="524" t="s">
        <v>1347</v>
      </c>
      <c r="D960" s="524" t="s">
        <v>1348</v>
      </c>
      <c r="H960" s="524"/>
    </row>
    <row r="961" spans="3:8" ht="13.5" customHeight="1">
      <c r="C961" s="524" t="s">
        <v>1349</v>
      </c>
      <c r="D961" s="524" t="s">
        <v>1350</v>
      </c>
      <c r="H961" s="524"/>
    </row>
    <row r="962" spans="3:8" ht="13.5" customHeight="1">
      <c r="C962" s="524" t="s">
        <v>1351</v>
      </c>
      <c r="D962" s="524" t="s">
        <v>1352</v>
      </c>
      <c r="H962" s="524"/>
    </row>
    <row r="963" spans="3:8" ht="13.5" customHeight="1">
      <c r="C963" s="524" t="s">
        <v>1353</v>
      </c>
      <c r="D963" s="524" t="s">
        <v>1354</v>
      </c>
      <c r="H963" s="524"/>
    </row>
    <row r="964" spans="3:8" ht="13.5" customHeight="1">
      <c r="C964" s="524" t="s">
        <v>1355</v>
      </c>
      <c r="D964" s="524" t="s">
        <v>1356</v>
      </c>
      <c r="H964" s="524"/>
    </row>
    <row r="965" spans="3:8" ht="13.5" customHeight="1">
      <c r="C965" s="524" t="s">
        <v>1357</v>
      </c>
      <c r="D965" s="524" t="s">
        <v>1358</v>
      </c>
      <c r="H965" s="524"/>
    </row>
    <row r="966" spans="3:8" ht="13.5" customHeight="1">
      <c r="C966" s="524" t="s">
        <v>1359</v>
      </c>
      <c r="D966" s="524" t="s">
        <v>1360</v>
      </c>
      <c r="H966" s="524"/>
    </row>
    <row r="967" spans="3:8" ht="13.5" customHeight="1">
      <c r="C967" s="524" t="s">
        <v>1361</v>
      </c>
      <c r="D967" s="524" t="s">
        <v>1362</v>
      </c>
      <c r="H967" s="524"/>
    </row>
    <row r="968" spans="3:8" ht="13.5" customHeight="1">
      <c r="C968" s="524" t="s">
        <v>1363</v>
      </c>
      <c r="D968" s="524" t="s">
        <v>1364</v>
      </c>
      <c r="H968" s="524"/>
    </row>
    <row r="969" spans="3:8" ht="13.5" customHeight="1">
      <c r="C969" s="524" t="s">
        <v>1365</v>
      </c>
      <c r="D969" s="524" t="s">
        <v>1366</v>
      </c>
      <c r="H969" s="524"/>
    </row>
    <row r="970" spans="3:8" ht="13.5" customHeight="1">
      <c r="C970" s="524" t="s">
        <v>1367</v>
      </c>
      <c r="D970" s="524" t="s">
        <v>1368</v>
      </c>
      <c r="H970" s="524"/>
    </row>
    <row r="971" spans="3:8" ht="13.5" customHeight="1">
      <c r="C971" s="524" t="s">
        <v>1369</v>
      </c>
      <c r="D971" s="524" t="s">
        <v>1370</v>
      </c>
      <c r="H971" s="524"/>
    </row>
    <row r="972" spans="3:8" ht="13.5" customHeight="1">
      <c r="C972" s="524" t="s">
        <v>1371</v>
      </c>
      <c r="D972" s="524" t="s">
        <v>1372</v>
      </c>
      <c r="H972" s="524"/>
    </row>
    <row r="973" spans="3:8" ht="13.5" customHeight="1">
      <c r="C973" s="524" t="s">
        <v>1373</v>
      </c>
      <c r="D973" s="524" t="s">
        <v>1374</v>
      </c>
      <c r="H973" s="524"/>
    </row>
    <row r="974" spans="3:8" ht="13.5" customHeight="1">
      <c r="C974" s="524" t="s">
        <v>1375</v>
      </c>
      <c r="D974" s="524" t="s">
        <v>1376</v>
      </c>
      <c r="H974" s="524"/>
    </row>
    <row r="975" spans="3:8" ht="13.5" customHeight="1">
      <c r="C975" s="524" t="s">
        <v>1377</v>
      </c>
      <c r="D975" s="524" t="s">
        <v>1378</v>
      </c>
      <c r="H975" s="524"/>
    </row>
    <row r="976" spans="3:8" ht="13.5" customHeight="1">
      <c r="C976" s="524" t="s">
        <v>1379</v>
      </c>
      <c r="D976" s="524" t="s">
        <v>1380</v>
      </c>
      <c r="H976" s="524"/>
    </row>
    <row r="977" spans="3:8" ht="13.5" customHeight="1">
      <c r="C977" s="524" t="s">
        <v>1381</v>
      </c>
      <c r="D977" s="524" t="s">
        <v>1382</v>
      </c>
      <c r="H977" s="524"/>
    </row>
    <row r="978" spans="3:8" ht="13.5" customHeight="1">
      <c r="C978" s="524" t="s">
        <v>1383</v>
      </c>
      <c r="D978" s="524" t="s">
        <v>1384</v>
      </c>
      <c r="H978" s="524"/>
    </row>
    <row r="979" spans="3:8" ht="13.5" customHeight="1">
      <c r="C979" s="524" t="s">
        <v>1385</v>
      </c>
      <c r="D979" s="524" t="s">
        <v>1386</v>
      </c>
      <c r="H979" s="524"/>
    </row>
    <row r="980" spans="3:8" ht="13.5" customHeight="1">
      <c r="C980" s="524" t="s">
        <v>1387</v>
      </c>
      <c r="D980" s="524" t="s">
        <v>1388</v>
      </c>
      <c r="H980" s="524"/>
    </row>
    <row r="981" spans="3:8" ht="13.5" customHeight="1">
      <c r="C981" s="524" t="s">
        <v>1389</v>
      </c>
      <c r="D981" s="524" t="s">
        <v>1390</v>
      </c>
      <c r="H981" s="524"/>
    </row>
    <row r="982" spans="3:8" ht="13.5" customHeight="1">
      <c r="C982" s="524" t="s">
        <v>1391</v>
      </c>
      <c r="D982" s="524" t="s">
        <v>1392</v>
      </c>
      <c r="H982" s="524"/>
    </row>
    <row r="983" spans="3:8" ht="13.5" customHeight="1">
      <c r="C983" s="524" t="s">
        <v>1393</v>
      </c>
      <c r="D983" s="524" t="s">
        <v>1394</v>
      </c>
      <c r="H983" s="524"/>
    </row>
    <row r="984" spans="3:8" ht="13.5" customHeight="1">
      <c r="C984" s="524" t="s">
        <v>1395</v>
      </c>
      <c r="D984" s="524" t="s">
        <v>1396</v>
      </c>
      <c r="H984" s="524"/>
    </row>
    <row r="985" spans="3:8" ht="13.5" customHeight="1">
      <c r="C985" s="524" t="s">
        <v>1397</v>
      </c>
      <c r="D985" s="524" t="s">
        <v>1398</v>
      </c>
      <c r="H985" s="524"/>
    </row>
    <row r="986" spans="3:8" ht="13.5" customHeight="1">
      <c r="C986" s="524" t="s">
        <v>1399</v>
      </c>
      <c r="D986" s="524" t="s">
        <v>1400</v>
      </c>
      <c r="H986" s="524"/>
    </row>
    <row r="987" spans="3:8" ht="13.5" customHeight="1">
      <c r="C987" s="524" t="s">
        <v>1401</v>
      </c>
      <c r="D987" s="524" t="s">
        <v>1402</v>
      </c>
      <c r="H987" s="524"/>
    </row>
    <row r="988" spans="3:8" ht="13.5" customHeight="1">
      <c r="C988" s="524" t="s">
        <v>1403</v>
      </c>
      <c r="D988" s="524" t="s">
        <v>1404</v>
      </c>
      <c r="H988" s="524"/>
    </row>
    <row r="989" spans="3:8" ht="13.5" customHeight="1">
      <c r="C989" s="524" t="s">
        <v>1405</v>
      </c>
      <c r="D989" s="524" t="s">
        <v>1406</v>
      </c>
      <c r="H989" s="524"/>
    </row>
    <row r="990" spans="3:8" ht="13.5" customHeight="1">
      <c r="C990" s="524" t="s">
        <v>1407</v>
      </c>
      <c r="D990" s="524" t="s">
        <v>1408</v>
      </c>
      <c r="H990" s="524"/>
    </row>
    <row r="991" spans="3:8" ht="13.5" customHeight="1">
      <c r="C991" s="524" t="s">
        <v>1409</v>
      </c>
      <c r="D991" s="524" t="s">
        <v>1410</v>
      </c>
      <c r="H991" s="524"/>
    </row>
    <row r="992" spans="3:8" ht="13.5" customHeight="1">
      <c r="C992" s="524" t="s">
        <v>1411</v>
      </c>
      <c r="D992" s="524" t="s">
        <v>1412</v>
      </c>
      <c r="H992" s="524"/>
    </row>
    <row r="993" spans="3:8" ht="13.5" customHeight="1">
      <c r="C993" s="524" t="s">
        <v>1413</v>
      </c>
      <c r="D993" s="524" t="s">
        <v>1414</v>
      </c>
      <c r="H993" s="524"/>
    </row>
    <row r="994" spans="3:8" ht="13.5" customHeight="1">
      <c r="C994" s="524" t="s">
        <v>1415</v>
      </c>
      <c r="D994" s="524" t="s">
        <v>1416</v>
      </c>
      <c r="H994" s="524"/>
    </row>
    <row r="995" spans="3:8" ht="13.5" customHeight="1">
      <c r="C995" s="524" t="s">
        <v>1417</v>
      </c>
      <c r="D995" s="524" t="s">
        <v>1418</v>
      </c>
      <c r="H995" s="524"/>
    </row>
    <row r="996" spans="3:8" ht="13.5" customHeight="1">
      <c r="C996" s="524" t="s">
        <v>1419</v>
      </c>
      <c r="D996" s="524" t="s">
        <v>1420</v>
      </c>
      <c r="H996" s="524"/>
    </row>
    <row r="997" spans="3:8" ht="13.5" customHeight="1">
      <c r="C997" s="524" t="s">
        <v>1421</v>
      </c>
      <c r="D997" s="524" t="s">
        <v>1422</v>
      </c>
      <c r="H997" s="524"/>
    </row>
    <row r="998" spans="3:8" ht="13.5" customHeight="1">
      <c r="C998" s="524" t="s">
        <v>1423</v>
      </c>
      <c r="D998" s="524" t="s">
        <v>1424</v>
      </c>
      <c r="H998" s="524"/>
    </row>
    <row r="999" spans="3:8" ht="13.5" customHeight="1">
      <c r="C999" s="524" t="s">
        <v>1425</v>
      </c>
      <c r="D999" s="524" t="s">
        <v>1426</v>
      </c>
      <c r="H999" s="524"/>
    </row>
    <row r="1000" spans="3:8" ht="13.5" customHeight="1">
      <c r="C1000" s="524" t="s">
        <v>1427</v>
      </c>
      <c r="D1000" s="524" t="s">
        <v>1428</v>
      </c>
      <c r="H1000" s="524"/>
    </row>
    <row r="1001" spans="3:8" ht="13.5" customHeight="1">
      <c r="C1001" s="524" t="s">
        <v>1429</v>
      </c>
      <c r="D1001" s="524" t="s">
        <v>1430</v>
      </c>
      <c r="H1001" s="524"/>
    </row>
    <row r="1002" spans="3:8" ht="13.5" customHeight="1">
      <c r="C1002" s="524" t="s">
        <v>1431</v>
      </c>
      <c r="D1002" s="524" t="s">
        <v>1432</v>
      </c>
      <c r="H1002" s="524"/>
    </row>
    <row r="1003" spans="3:8" ht="13.5" customHeight="1">
      <c r="C1003" s="524" t="s">
        <v>1433</v>
      </c>
      <c r="D1003" s="524" t="s">
        <v>1434</v>
      </c>
      <c r="H1003" s="524"/>
    </row>
    <row r="1004" spans="3:8" ht="13.5" customHeight="1">
      <c r="C1004" s="524" t="s">
        <v>1435</v>
      </c>
      <c r="D1004" s="524" t="s">
        <v>1436</v>
      </c>
      <c r="H1004" s="524"/>
    </row>
    <row r="1005" spans="3:8" ht="13.5" customHeight="1">
      <c r="C1005" s="524" t="s">
        <v>1437</v>
      </c>
      <c r="D1005" s="524" t="s">
        <v>1438</v>
      </c>
      <c r="H1005" s="524"/>
    </row>
    <row r="1006" spans="3:8" ht="13.5" customHeight="1">
      <c r="C1006" s="524" t="s">
        <v>1439</v>
      </c>
      <c r="D1006" s="524" t="s">
        <v>1440</v>
      </c>
      <c r="H1006" s="524"/>
    </row>
    <row r="1007" spans="3:8" ht="13.5" customHeight="1">
      <c r="C1007" s="524" t="s">
        <v>1441</v>
      </c>
      <c r="D1007" s="524" t="s">
        <v>1442</v>
      </c>
      <c r="H1007" s="524"/>
    </row>
    <row r="1008" spans="3:8" ht="13.5" customHeight="1">
      <c r="C1008" s="524" t="s">
        <v>1443</v>
      </c>
      <c r="D1008" s="524" t="s">
        <v>1444</v>
      </c>
      <c r="H1008" s="524"/>
    </row>
    <row r="1009" spans="3:8" ht="13.5" customHeight="1">
      <c r="C1009" s="524" t="s">
        <v>1445</v>
      </c>
      <c r="D1009" s="524" t="s">
        <v>1446</v>
      </c>
      <c r="H1009" s="524"/>
    </row>
    <row r="1010" spans="3:8" ht="13.5" customHeight="1">
      <c r="C1010" s="524" t="s">
        <v>1447</v>
      </c>
      <c r="D1010" s="524" t="s">
        <v>1448</v>
      </c>
      <c r="H1010" s="524"/>
    </row>
    <row r="1011" spans="3:8" ht="13.5" customHeight="1">
      <c r="C1011" s="524" t="s">
        <v>1449</v>
      </c>
      <c r="D1011" s="524" t="s">
        <v>1450</v>
      </c>
      <c r="H1011" s="524"/>
    </row>
    <row r="1012" spans="3:8" ht="13.5" customHeight="1">
      <c r="C1012" s="524" t="s">
        <v>1451</v>
      </c>
      <c r="D1012" s="524" t="s">
        <v>1452</v>
      </c>
      <c r="H1012" s="524"/>
    </row>
    <row r="1013" spans="3:8" ht="13.5" customHeight="1">
      <c r="C1013" s="524" t="s">
        <v>1453</v>
      </c>
      <c r="D1013" s="524" t="s">
        <v>1454</v>
      </c>
      <c r="H1013" s="524"/>
    </row>
    <row r="1014" spans="3:8" ht="13.5" customHeight="1">
      <c r="C1014" s="524" t="s">
        <v>1455</v>
      </c>
      <c r="D1014" s="524" t="s">
        <v>1456</v>
      </c>
      <c r="H1014" s="524"/>
    </row>
    <row r="1015" spans="3:8" ht="13.5" customHeight="1">
      <c r="C1015" s="524" t="s">
        <v>1457</v>
      </c>
      <c r="D1015" s="524" t="s">
        <v>1458</v>
      </c>
      <c r="H1015" s="524"/>
    </row>
    <row r="1016" spans="3:8" ht="13.5" customHeight="1">
      <c r="C1016" s="524" t="s">
        <v>1459</v>
      </c>
      <c r="D1016" s="524" t="s">
        <v>1460</v>
      </c>
      <c r="H1016" s="524"/>
    </row>
    <row r="1017" spans="3:8" ht="13.5" customHeight="1">
      <c r="C1017" s="524" t="s">
        <v>1461</v>
      </c>
      <c r="D1017" s="524" t="s">
        <v>1462</v>
      </c>
      <c r="H1017" s="524"/>
    </row>
    <row r="1018" spans="3:8" ht="13.5" customHeight="1">
      <c r="C1018" s="524" t="s">
        <v>1463</v>
      </c>
      <c r="D1018" s="524" t="s">
        <v>1464</v>
      </c>
      <c r="H1018" s="524"/>
    </row>
    <row r="1019" spans="3:8" ht="13.5" customHeight="1">
      <c r="C1019" s="524" t="s">
        <v>1465</v>
      </c>
      <c r="D1019" s="524" t="s">
        <v>1466</v>
      </c>
      <c r="H1019" s="524"/>
    </row>
    <row r="1020" spans="3:8" ht="13.5" customHeight="1">
      <c r="C1020" s="524" t="s">
        <v>1467</v>
      </c>
      <c r="D1020" s="524" t="s">
        <v>1468</v>
      </c>
      <c r="H1020" s="524"/>
    </row>
    <row r="1021" spans="3:8" ht="13.5" customHeight="1">
      <c r="C1021" s="524" t="s">
        <v>1469</v>
      </c>
      <c r="D1021" s="524" t="s">
        <v>1470</v>
      </c>
      <c r="H1021" s="524"/>
    </row>
    <row r="1022" spans="3:8" ht="13.5" customHeight="1">
      <c r="C1022" s="524" t="s">
        <v>1471</v>
      </c>
      <c r="D1022" s="524" t="s">
        <v>1472</v>
      </c>
      <c r="H1022" s="524"/>
    </row>
    <row r="1023" spans="3:8" ht="13.5" customHeight="1">
      <c r="C1023" s="524" t="s">
        <v>1473</v>
      </c>
      <c r="D1023" s="524" t="s">
        <v>1474</v>
      </c>
      <c r="H1023" s="524"/>
    </row>
    <row r="1024" spans="3:8" ht="13.5" customHeight="1">
      <c r="C1024" s="524" t="s">
        <v>1475</v>
      </c>
      <c r="D1024" s="524" t="s">
        <v>1476</v>
      </c>
      <c r="H1024" s="524"/>
    </row>
    <row r="1025" spans="3:8" ht="13.5" customHeight="1">
      <c r="C1025" s="524" t="s">
        <v>1477</v>
      </c>
      <c r="D1025" s="524" t="s">
        <v>1478</v>
      </c>
      <c r="H1025" s="524"/>
    </row>
    <row r="1026" spans="3:8" ht="13.5" customHeight="1">
      <c r="C1026" s="524" t="s">
        <v>1479</v>
      </c>
      <c r="D1026" s="524" t="s">
        <v>1480</v>
      </c>
      <c r="H1026" s="524"/>
    </row>
    <row r="1027" spans="3:8" ht="13.5" customHeight="1">
      <c r="C1027" s="524" t="s">
        <v>1481</v>
      </c>
      <c r="D1027" s="524" t="s">
        <v>1482</v>
      </c>
      <c r="H1027" s="524"/>
    </row>
    <row r="1028" spans="3:8" ht="13.5" customHeight="1">
      <c r="C1028" s="524" t="s">
        <v>1483</v>
      </c>
      <c r="D1028" s="524" t="s">
        <v>1484</v>
      </c>
      <c r="H1028" s="524"/>
    </row>
    <row r="1029" spans="3:8" ht="13.5" customHeight="1">
      <c r="C1029" s="524" t="s">
        <v>1485</v>
      </c>
      <c r="D1029" s="524" t="s">
        <v>1486</v>
      </c>
      <c r="H1029" s="524"/>
    </row>
    <row r="1030" spans="3:8" ht="13.5" customHeight="1">
      <c r="C1030" s="524" t="s">
        <v>1487</v>
      </c>
      <c r="D1030" s="524" t="s">
        <v>1488</v>
      </c>
      <c r="H1030" s="524"/>
    </row>
    <row r="1031" spans="3:8" ht="13.5" customHeight="1">
      <c r="C1031" s="524" t="s">
        <v>1489</v>
      </c>
      <c r="D1031" s="524" t="s">
        <v>1490</v>
      </c>
      <c r="H1031" s="524"/>
    </row>
    <row r="1032" spans="3:8" ht="13.5" customHeight="1">
      <c r="C1032" s="524" t="s">
        <v>1491</v>
      </c>
      <c r="D1032" s="524" t="s">
        <v>1492</v>
      </c>
      <c r="H1032" s="524"/>
    </row>
    <row r="1033" spans="3:8" ht="13.5" customHeight="1">
      <c r="C1033" s="524" t="s">
        <v>1493</v>
      </c>
      <c r="D1033" s="524" t="s">
        <v>1494</v>
      </c>
      <c r="H1033" s="524"/>
    </row>
    <row r="1034" spans="3:8" ht="13.5" customHeight="1">
      <c r="C1034" s="524" t="s">
        <v>1495</v>
      </c>
      <c r="D1034" s="524" t="s">
        <v>1496</v>
      </c>
      <c r="H1034" s="524"/>
    </row>
    <row r="1035" spans="3:8" ht="13.5" customHeight="1">
      <c r="C1035" s="524" t="s">
        <v>1497</v>
      </c>
      <c r="D1035" s="524" t="s">
        <v>1498</v>
      </c>
      <c r="H1035" s="524"/>
    </row>
    <row r="1036" spans="3:8" ht="13.5" customHeight="1">
      <c r="C1036" s="524" t="s">
        <v>1499</v>
      </c>
      <c r="D1036" s="524" t="s">
        <v>1500</v>
      </c>
      <c r="H1036" s="524"/>
    </row>
    <row r="1037" spans="3:8" ht="13.5" customHeight="1">
      <c r="C1037" s="524" t="s">
        <v>1501</v>
      </c>
      <c r="D1037" s="524" t="s">
        <v>1502</v>
      </c>
      <c r="H1037" s="524"/>
    </row>
    <row r="1038" spans="3:8" ht="13.5" customHeight="1">
      <c r="C1038" s="524" t="s">
        <v>1503</v>
      </c>
      <c r="D1038" s="524" t="s">
        <v>1504</v>
      </c>
      <c r="H1038" s="524"/>
    </row>
    <row r="1039" spans="3:8" ht="13.5" customHeight="1">
      <c r="C1039" s="524" t="s">
        <v>1505</v>
      </c>
      <c r="D1039" s="524" t="s">
        <v>1506</v>
      </c>
      <c r="H1039" s="524"/>
    </row>
    <row r="1040" spans="3:8" ht="13.5" customHeight="1">
      <c r="C1040" s="524" t="s">
        <v>1507</v>
      </c>
      <c r="D1040" s="524" t="s">
        <v>1508</v>
      </c>
      <c r="H1040" s="524"/>
    </row>
    <row r="1041" spans="3:8" ht="13.5" customHeight="1">
      <c r="C1041" s="524" t="s">
        <v>1509</v>
      </c>
      <c r="D1041" s="524" t="s">
        <v>1510</v>
      </c>
      <c r="H1041" s="524"/>
    </row>
    <row r="1042" spans="3:8" ht="13.5" customHeight="1">
      <c r="C1042" s="524" t="s">
        <v>1511</v>
      </c>
      <c r="D1042" s="524" t="s">
        <v>1512</v>
      </c>
      <c r="H1042" s="524"/>
    </row>
    <row r="1043" spans="3:8" ht="13.5" customHeight="1">
      <c r="C1043" s="524" t="s">
        <v>1513</v>
      </c>
      <c r="D1043" s="524" t="s">
        <v>1514</v>
      </c>
      <c r="H1043" s="524"/>
    </row>
    <row r="1044" spans="3:8" ht="13.5" customHeight="1">
      <c r="C1044" s="524" t="s">
        <v>1515</v>
      </c>
      <c r="D1044" s="524" t="s">
        <v>1516</v>
      </c>
      <c r="H1044" s="524"/>
    </row>
    <row r="1045" spans="3:8" ht="13.5" customHeight="1">
      <c r="C1045" s="524" t="s">
        <v>1517</v>
      </c>
      <c r="D1045" s="524" t="s">
        <v>1518</v>
      </c>
      <c r="H1045" s="524"/>
    </row>
    <row r="1046" spans="3:8" ht="13.5" customHeight="1">
      <c r="C1046" s="524" t="s">
        <v>1519</v>
      </c>
      <c r="D1046" s="524" t="s">
        <v>1520</v>
      </c>
      <c r="H1046" s="524"/>
    </row>
    <row r="1047" spans="3:8" ht="13.5" customHeight="1">
      <c r="C1047" s="524" t="s">
        <v>1521</v>
      </c>
      <c r="D1047" s="524" t="s">
        <v>1522</v>
      </c>
      <c r="H1047" s="524"/>
    </row>
    <row r="1048" spans="3:8" ht="13.5" customHeight="1">
      <c r="C1048" s="524" t="s">
        <v>1523</v>
      </c>
      <c r="D1048" s="524" t="s">
        <v>1524</v>
      </c>
      <c r="H1048" s="524"/>
    </row>
    <row r="1049" spans="3:8" ht="13.5" customHeight="1">
      <c r="C1049" s="524" t="s">
        <v>1525</v>
      </c>
      <c r="D1049" s="524" t="s">
        <v>1526</v>
      </c>
      <c r="H1049" s="524"/>
    </row>
    <row r="1050" spans="3:8" ht="13.5" customHeight="1">
      <c r="C1050" s="524" t="s">
        <v>1527</v>
      </c>
      <c r="D1050" s="524" t="s">
        <v>1528</v>
      </c>
      <c r="H1050" s="524"/>
    </row>
    <row r="1051" spans="3:8" ht="13.5" customHeight="1">
      <c r="C1051" s="524" t="s">
        <v>1529</v>
      </c>
      <c r="D1051" s="524" t="s">
        <v>1530</v>
      </c>
      <c r="H1051" s="524"/>
    </row>
    <row r="1052" spans="3:8" ht="13.5" customHeight="1">
      <c r="C1052" s="524" t="s">
        <v>1531</v>
      </c>
      <c r="D1052" s="524" t="s">
        <v>1532</v>
      </c>
      <c r="H1052" s="524"/>
    </row>
    <row r="1053" spans="3:8" ht="13.5" customHeight="1">
      <c r="C1053" s="524" t="s">
        <v>1533</v>
      </c>
      <c r="D1053" s="524" t="s">
        <v>1534</v>
      </c>
      <c r="H1053" s="524"/>
    </row>
    <row r="1054" spans="3:8" ht="13.5" customHeight="1">
      <c r="C1054" s="524" t="s">
        <v>1535</v>
      </c>
      <c r="D1054" s="524" t="s">
        <v>1536</v>
      </c>
      <c r="H1054" s="524"/>
    </row>
    <row r="1055" spans="3:8" ht="13.5" customHeight="1">
      <c r="C1055" s="524" t="s">
        <v>1537</v>
      </c>
      <c r="D1055" s="524" t="s">
        <v>1538</v>
      </c>
      <c r="H1055" s="524"/>
    </row>
    <row r="1056" spans="3:8" ht="13.5" customHeight="1">
      <c r="C1056" s="524" t="s">
        <v>1539</v>
      </c>
      <c r="D1056" s="524" t="s">
        <v>1540</v>
      </c>
      <c r="H1056" s="524"/>
    </row>
    <row r="1057" spans="3:8" ht="13.5" customHeight="1">
      <c r="C1057" s="524" t="s">
        <v>1541</v>
      </c>
      <c r="D1057" s="524" t="s">
        <v>1542</v>
      </c>
      <c r="H1057" s="524"/>
    </row>
    <row r="1058" spans="3:8" ht="13.5" customHeight="1">
      <c r="C1058" s="524" t="s">
        <v>1543</v>
      </c>
      <c r="D1058" s="524" t="s">
        <v>1544</v>
      </c>
      <c r="H1058" s="524"/>
    </row>
    <row r="1059" spans="3:8" ht="13.5" customHeight="1">
      <c r="C1059" s="524" t="s">
        <v>1545</v>
      </c>
      <c r="D1059" s="524" t="s">
        <v>1546</v>
      </c>
      <c r="H1059" s="524"/>
    </row>
    <row r="1060" spans="3:8" ht="13.5" customHeight="1">
      <c r="C1060" s="524" t="s">
        <v>1547</v>
      </c>
      <c r="D1060" s="524" t="s">
        <v>1548</v>
      </c>
      <c r="H1060" s="524"/>
    </row>
    <row r="1061" spans="3:8" ht="13.5" customHeight="1">
      <c r="C1061" s="524" t="s">
        <v>1549</v>
      </c>
      <c r="D1061" s="524" t="s">
        <v>1550</v>
      </c>
      <c r="H1061" s="524"/>
    </row>
    <row r="1062" spans="3:8" ht="13.5" customHeight="1">
      <c r="C1062" s="524" t="s">
        <v>1551</v>
      </c>
      <c r="D1062" s="524" t="s">
        <v>1552</v>
      </c>
      <c r="H1062" s="524"/>
    </row>
    <row r="1063" spans="3:8" ht="13.5" customHeight="1">
      <c r="C1063" s="524" t="s">
        <v>1553</v>
      </c>
      <c r="D1063" s="524" t="s">
        <v>1554</v>
      </c>
      <c r="H1063" s="524"/>
    </row>
    <row r="1064" spans="3:8" ht="13.5" customHeight="1">
      <c r="C1064" s="524" t="s">
        <v>1555</v>
      </c>
      <c r="D1064" s="524" t="s">
        <v>1556</v>
      </c>
      <c r="H1064" s="524"/>
    </row>
    <row r="1065" spans="3:8" ht="13.5" customHeight="1">
      <c r="C1065" s="524" t="s">
        <v>1557</v>
      </c>
      <c r="D1065" s="524" t="s">
        <v>1558</v>
      </c>
      <c r="H1065" s="524"/>
    </row>
    <row r="1066" spans="3:8" ht="13.5" customHeight="1">
      <c r="C1066" s="524" t="s">
        <v>1559</v>
      </c>
      <c r="D1066" s="524" t="s">
        <v>1560</v>
      </c>
      <c r="H1066" s="524"/>
    </row>
    <row r="1067" spans="3:8" ht="13.5" customHeight="1">
      <c r="C1067" s="524" t="s">
        <v>1561</v>
      </c>
      <c r="D1067" s="524" t="s">
        <v>1562</v>
      </c>
      <c r="H1067" s="524"/>
    </row>
    <row r="1068" spans="3:8" ht="13.5" customHeight="1">
      <c r="C1068" s="524" t="s">
        <v>1563</v>
      </c>
      <c r="D1068" s="524" t="s">
        <v>1564</v>
      </c>
      <c r="H1068" s="524"/>
    </row>
    <row r="1069" spans="3:8" ht="13.5" customHeight="1">
      <c r="C1069" s="524" t="s">
        <v>1565</v>
      </c>
      <c r="D1069" s="524" t="s">
        <v>1566</v>
      </c>
      <c r="H1069" s="524"/>
    </row>
    <row r="1070" spans="3:8" ht="13.5" customHeight="1">
      <c r="C1070" s="524" t="s">
        <v>1567</v>
      </c>
      <c r="D1070" s="524" t="s">
        <v>1568</v>
      </c>
      <c r="H1070" s="524"/>
    </row>
    <row r="1071" spans="3:8" ht="13.5" customHeight="1">
      <c r="C1071" s="524" t="s">
        <v>1569</v>
      </c>
      <c r="D1071" s="524" t="s">
        <v>1570</v>
      </c>
      <c r="H1071" s="524"/>
    </row>
    <row r="1072" spans="3:8" ht="13.5" customHeight="1">
      <c r="C1072" s="524" t="s">
        <v>1571</v>
      </c>
      <c r="D1072" s="524" t="s">
        <v>1572</v>
      </c>
      <c r="H1072" s="524"/>
    </row>
    <row r="1073" spans="3:8" ht="13.5" customHeight="1">
      <c r="C1073" s="524" t="s">
        <v>1573</v>
      </c>
      <c r="D1073" s="524" t="s">
        <v>1574</v>
      </c>
      <c r="H1073" s="524"/>
    </row>
    <row r="1074" spans="3:8" ht="13.5" customHeight="1">
      <c r="C1074" s="524" t="s">
        <v>1575</v>
      </c>
      <c r="D1074" s="524" t="s">
        <v>1576</v>
      </c>
      <c r="H1074" s="524"/>
    </row>
    <row r="1075" spans="3:8" ht="13.5" customHeight="1">
      <c r="C1075" s="524" t="s">
        <v>1577</v>
      </c>
      <c r="D1075" s="524" t="s">
        <v>1578</v>
      </c>
      <c r="H1075" s="524"/>
    </row>
    <row r="1076" spans="3:8" ht="13.5" customHeight="1">
      <c r="C1076" s="524" t="s">
        <v>1579</v>
      </c>
      <c r="D1076" s="524" t="s">
        <v>1580</v>
      </c>
      <c r="H1076" s="524"/>
    </row>
    <row r="1077" spans="3:8" ht="13.5" customHeight="1">
      <c r="C1077" s="524" t="s">
        <v>1581</v>
      </c>
      <c r="D1077" s="524" t="s">
        <v>1582</v>
      </c>
      <c r="H1077" s="524"/>
    </row>
    <row r="1078" spans="3:8" ht="13.5" customHeight="1">
      <c r="C1078" s="524" t="s">
        <v>1583</v>
      </c>
      <c r="D1078" s="524" t="s">
        <v>1584</v>
      </c>
      <c r="H1078" s="524"/>
    </row>
    <row r="1079" spans="3:8" ht="13.5" customHeight="1">
      <c r="C1079" s="524" t="s">
        <v>1585</v>
      </c>
      <c r="D1079" s="524" t="s">
        <v>1586</v>
      </c>
      <c r="H1079" s="524"/>
    </row>
    <row r="1080" spans="3:8" ht="13.5" customHeight="1">
      <c r="C1080" s="524" t="s">
        <v>1587</v>
      </c>
      <c r="D1080" s="524" t="s">
        <v>1588</v>
      </c>
      <c r="H1080" s="524"/>
    </row>
    <row r="1081" spans="3:8" ht="13.5" customHeight="1">
      <c r="C1081" s="524" t="s">
        <v>1589</v>
      </c>
      <c r="D1081" s="524" t="s">
        <v>1590</v>
      </c>
      <c r="H1081" s="524"/>
    </row>
    <row r="1082" spans="3:8" ht="13.5" customHeight="1">
      <c r="C1082" s="524" t="s">
        <v>1591</v>
      </c>
      <c r="D1082" s="524" t="s">
        <v>1592</v>
      </c>
      <c r="H1082" s="524"/>
    </row>
    <row r="1083" spans="3:8" ht="13.5" customHeight="1">
      <c r="C1083" s="524" t="s">
        <v>1593</v>
      </c>
      <c r="D1083" s="524" t="s">
        <v>1594</v>
      </c>
      <c r="H1083" s="524"/>
    </row>
    <row r="1084" spans="3:8" ht="13.5" customHeight="1">
      <c r="C1084" s="524" t="s">
        <v>1595</v>
      </c>
      <c r="D1084" s="524" t="s">
        <v>1596</v>
      </c>
      <c r="H1084" s="524"/>
    </row>
    <row r="1085" spans="3:8" ht="13.5" customHeight="1">
      <c r="C1085" s="524" t="s">
        <v>1597</v>
      </c>
      <c r="D1085" s="524" t="s">
        <v>1598</v>
      </c>
      <c r="H1085" s="524"/>
    </row>
    <row r="1086" spans="3:8" ht="13.5" customHeight="1">
      <c r="C1086" s="524" t="s">
        <v>1599</v>
      </c>
      <c r="D1086" s="524" t="s">
        <v>1600</v>
      </c>
      <c r="H1086" s="524"/>
    </row>
    <row r="1087" spans="3:8" ht="13.5" customHeight="1">
      <c r="C1087" s="524" t="s">
        <v>1601</v>
      </c>
      <c r="D1087" s="524" t="s">
        <v>1602</v>
      </c>
      <c r="H1087" s="524"/>
    </row>
    <row r="1088" spans="3:8" ht="13.5" customHeight="1">
      <c r="C1088" s="524" t="s">
        <v>1603</v>
      </c>
      <c r="D1088" s="524" t="s">
        <v>1604</v>
      </c>
      <c r="H1088" s="524"/>
    </row>
    <row r="1089" spans="3:8" ht="13.5" customHeight="1">
      <c r="C1089" s="524" t="s">
        <v>1605</v>
      </c>
      <c r="D1089" s="524" t="s">
        <v>1606</v>
      </c>
      <c r="H1089" s="524"/>
    </row>
    <row r="1090" spans="3:8" ht="13.5" customHeight="1">
      <c r="C1090" s="524" t="s">
        <v>1607</v>
      </c>
      <c r="D1090" s="524" t="s">
        <v>1608</v>
      </c>
      <c r="H1090" s="524"/>
    </row>
    <row r="1091" spans="3:8" ht="13.5" customHeight="1">
      <c r="C1091" s="524" t="s">
        <v>1609</v>
      </c>
      <c r="D1091" s="524" t="s">
        <v>1610</v>
      </c>
      <c r="H1091" s="524"/>
    </row>
    <row r="1092" spans="3:8" ht="13.5" customHeight="1">
      <c r="C1092" s="524" t="s">
        <v>1611</v>
      </c>
      <c r="D1092" s="524" t="s">
        <v>1612</v>
      </c>
      <c r="H1092" s="524"/>
    </row>
    <row r="1093" spans="3:8" ht="13.5" customHeight="1">
      <c r="C1093" s="524" t="s">
        <v>1613</v>
      </c>
      <c r="D1093" s="524" t="s">
        <v>1614</v>
      </c>
      <c r="H1093" s="524"/>
    </row>
    <row r="1094" spans="3:8" ht="13.5" customHeight="1">
      <c r="C1094" s="524" t="s">
        <v>1615</v>
      </c>
      <c r="D1094" s="524" t="s">
        <v>1616</v>
      </c>
      <c r="H1094" s="524"/>
    </row>
    <row r="1095" spans="3:8" ht="13.5" customHeight="1">
      <c r="C1095" s="524" t="s">
        <v>1617</v>
      </c>
      <c r="D1095" s="524" t="s">
        <v>1618</v>
      </c>
      <c r="H1095" s="524"/>
    </row>
    <row r="1096" spans="3:8" ht="13.5" customHeight="1">
      <c r="C1096" s="524" t="s">
        <v>1619</v>
      </c>
      <c r="D1096" s="524" t="s">
        <v>1620</v>
      </c>
      <c r="H1096" s="524"/>
    </row>
    <row r="1097" spans="3:8" ht="13.5" customHeight="1">
      <c r="C1097" s="524" t="s">
        <v>1621</v>
      </c>
      <c r="D1097" s="524" t="s">
        <v>1622</v>
      </c>
      <c r="H1097" s="524"/>
    </row>
    <row r="1098" spans="3:8" ht="13.5" customHeight="1">
      <c r="C1098" s="524" t="s">
        <v>1623</v>
      </c>
      <c r="D1098" s="524" t="s">
        <v>1624</v>
      </c>
      <c r="H1098" s="524"/>
    </row>
    <row r="1099" spans="3:8" ht="13.5" customHeight="1">
      <c r="C1099" s="524" t="s">
        <v>1625</v>
      </c>
      <c r="D1099" s="524" t="s">
        <v>1626</v>
      </c>
      <c r="H1099" s="524"/>
    </row>
    <row r="1100" spans="3:8" ht="13.5" customHeight="1">
      <c r="C1100" s="524" t="s">
        <v>1627</v>
      </c>
      <c r="D1100" s="524" t="s">
        <v>1628</v>
      </c>
      <c r="H1100" s="524"/>
    </row>
    <row r="1101" spans="3:8" ht="13.5" customHeight="1">
      <c r="C1101" s="524" t="s">
        <v>1629</v>
      </c>
      <c r="D1101" s="524" t="s">
        <v>1630</v>
      </c>
      <c r="H1101" s="524"/>
    </row>
    <row r="1102" spans="3:8" ht="13.5" customHeight="1">
      <c r="C1102" s="524" t="s">
        <v>1631</v>
      </c>
      <c r="D1102" s="524" t="s">
        <v>1632</v>
      </c>
      <c r="H1102" s="524"/>
    </row>
    <row r="1103" spans="3:8" ht="13.5" customHeight="1">
      <c r="C1103" s="524" t="s">
        <v>1633</v>
      </c>
      <c r="D1103" s="524" t="s">
        <v>1634</v>
      </c>
      <c r="H1103" s="524"/>
    </row>
    <row r="1104" spans="3:8" ht="13.5" customHeight="1">
      <c r="C1104" s="524" t="s">
        <v>1635</v>
      </c>
      <c r="D1104" s="524" t="s">
        <v>1636</v>
      </c>
      <c r="H1104" s="524"/>
    </row>
    <row r="1105" spans="3:8" ht="13.5" customHeight="1">
      <c r="C1105" s="524" t="s">
        <v>1637</v>
      </c>
      <c r="D1105" s="524" t="s">
        <v>1638</v>
      </c>
      <c r="H1105" s="524"/>
    </row>
    <row r="1106" spans="3:8" ht="13.5" customHeight="1">
      <c r="C1106" s="524" t="s">
        <v>1639</v>
      </c>
      <c r="D1106" s="524" t="s">
        <v>1640</v>
      </c>
      <c r="H1106" s="524"/>
    </row>
    <row r="1107" spans="3:8" ht="13.5" customHeight="1">
      <c r="C1107" s="524" t="s">
        <v>1641</v>
      </c>
      <c r="D1107" s="524" t="s">
        <v>1642</v>
      </c>
      <c r="H1107" s="524"/>
    </row>
    <row r="1108" spans="3:8" ht="13.5" customHeight="1">
      <c r="C1108" s="524" t="s">
        <v>1643</v>
      </c>
      <c r="D1108" s="524" t="s">
        <v>1644</v>
      </c>
      <c r="H1108" s="524"/>
    </row>
    <row r="1109" spans="3:8" ht="13.5" customHeight="1">
      <c r="C1109" s="524" t="s">
        <v>1645</v>
      </c>
      <c r="D1109" s="524" t="s">
        <v>1646</v>
      </c>
      <c r="H1109" s="524"/>
    </row>
    <row r="1110" spans="3:8" ht="13.5" customHeight="1">
      <c r="C1110" s="524" t="s">
        <v>1647</v>
      </c>
      <c r="D1110" s="524" t="s">
        <v>1648</v>
      </c>
      <c r="H1110" s="524"/>
    </row>
    <row r="1111" spans="3:8" ht="13.5" customHeight="1">
      <c r="C1111" s="524" t="s">
        <v>1649</v>
      </c>
      <c r="D1111" s="524" t="s">
        <v>1650</v>
      </c>
      <c r="H1111" s="524"/>
    </row>
    <row r="1112" spans="3:8" ht="13.5" customHeight="1">
      <c r="C1112" s="524" t="s">
        <v>1651</v>
      </c>
      <c r="D1112" s="524" t="s">
        <v>1652</v>
      </c>
      <c r="H1112" s="524"/>
    </row>
    <row r="1113" spans="3:8" ht="13.5" customHeight="1">
      <c r="C1113" s="524" t="s">
        <v>1653</v>
      </c>
      <c r="D1113" s="524" t="s">
        <v>1654</v>
      </c>
      <c r="H1113" s="524"/>
    </row>
    <row r="1114" spans="3:8" ht="13.5" customHeight="1">
      <c r="C1114" s="524" t="s">
        <v>1655</v>
      </c>
      <c r="D1114" s="524" t="s">
        <v>1656</v>
      </c>
      <c r="H1114" s="524"/>
    </row>
    <row r="1115" spans="3:8" ht="13.5" customHeight="1">
      <c r="C1115" s="524" t="s">
        <v>1657</v>
      </c>
      <c r="D1115" s="524" t="s">
        <v>1658</v>
      </c>
      <c r="H1115" s="524"/>
    </row>
    <row r="1116" spans="3:8" ht="13.5" customHeight="1">
      <c r="C1116" s="524" t="s">
        <v>1659</v>
      </c>
      <c r="D1116" s="524" t="s">
        <v>1660</v>
      </c>
      <c r="H1116" s="524"/>
    </row>
    <row r="1117" spans="3:8" ht="13.5" customHeight="1">
      <c r="C1117" s="524" t="s">
        <v>1661</v>
      </c>
      <c r="D1117" s="524" t="s">
        <v>1662</v>
      </c>
      <c r="H1117" s="524"/>
    </row>
    <row r="1118" spans="3:8" ht="13.5" customHeight="1">
      <c r="C1118" s="524" t="s">
        <v>1663</v>
      </c>
      <c r="D1118" s="524" t="s">
        <v>1664</v>
      </c>
      <c r="H1118" s="524"/>
    </row>
    <row r="1119" spans="3:8" ht="13.5" customHeight="1">
      <c r="C1119" s="524" t="s">
        <v>1665</v>
      </c>
      <c r="D1119" s="524" t="s">
        <v>1666</v>
      </c>
      <c r="H1119" s="524"/>
    </row>
    <row r="1120" spans="3:8" ht="13.5" customHeight="1">
      <c r="C1120" s="524" t="s">
        <v>1667</v>
      </c>
      <c r="D1120" s="524" t="s">
        <v>1668</v>
      </c>
      <c r="H1120" s="524"/>
    </row>
    <row r="1121" spans="3:8" ht="13.5" customHeight="1">
      <c r="C1121" s="524" t="s">
        <v>1669</v>
      </c>
      <c r="D1121" s="524" t="s">
        <v>1670</v>
      </c>
      <c r="H1121" s="524"/>
    </row>
    <row r="1122" spans="3:8" ht="13.5" customHeight="1">
      <c r="C1122" s="524" t="s">
        <v>1671</v>
      </c>
      <c r="D1122" s="524" t="s">
        <v>1672</v>
      </c>
      <c r="H1122" s="524"/>
    </row>
    <row r="1123" spans="3:8" ht="13.5" customHeight="1">
      <c r="C1123" s="524" t="s">
        <v>1673</v>
      </c>
      <c r="D1123" s="524" t="s">
        <v>1674</v>
      </c>
      <c r="H1123" s="524"/>
    </row>
    <row r="1124" spans="3:8" ht="13.5" customHeight="1">
      <c r="C1124" s="524" t="s">
        <v>1675</v>
      </c>
      <c r="D1124" s="524" t="s">
        <v>1676</v>
      </c>
      <c r="H1124" s="524"/>
    </row>
    <row r="1125" spans="3:8" ht="13.5" customHeight="1">
      <c r="C1125" s="524" t="s">
        <v>1677</v>
      </c>
      <c r="D1125" s="524" t="s">
        <v>1678</v>
      </c>
      <c r="H1125" s="524"/>
    </row>
    <row r="1126" spans="3:8" ht="13.5" customHeight="1">
      <c r="C1126" s="524" t="s">
        <v>1679</v>
      </c>
      <c r="D1126" s="524" t="s">
        <v>1676</v>
      </c>
      <c r="H1126" s="524"/>
    </row>
    <row r="1127" spans="3:8" ht="13.5" customHeight="1">
      <c r="C1127" s="524" t="s">
        <v>1680</v>
      </c>
      <c r="D1127" s="524" t="s">
        <v>1681</v>
      </c>
      <c r="H1127" s="524"/>
    </row>
    <row r="1128" spans="3:8" ht="13.5" customHeight="1">
      <c r="C1128" s="524" t="s">
        <v>1682</v>
      </c>
      <c r="D1128" s="524" t="s">
        <v>1683</v>
      </c>
      <c r="H1128" s="524"/>
    </row>
    <row r="1129" spans="3:8" ht="13.5" customHeight="1">
      <c r="C1129" s="524" t="s">
        <v>1684</v>
      </c>
      <c r="D1129" s="524" t="s">
        <v>1685</v>
      </c>
      <c r="H1129" s="524"/>
    </row>
    <row r="1130" spans="3:8" ht="13.5" customHeight="1">
      <c r="C1130" s="524" t="s">
        <v>1686</v>
      </c>
      <c r="D1130" s="524" t="s">
        <v>1687</v>
      </c>
      <c r="H1130" s="524"/>
    </row>
    <row r="1131" spans="3:8" ht="13.5" customHeight="1">
      <c r="C1131" s="524" t="s">
        <v>1688</v>
      </c>
      <c r="D1131" s="524" t="s">
        <v>1689</v>
      </c>
      <c r="H1131" s="524"/>
    </row>
    <row r="1132" spans="3:8" ht="13.5" customHeight="1">
      <c r="C1132" s="524" t="s">
        <v>1690</v>
      </c>
      <c r="D1132" s="524" t="s">
        <v>1691</v>
      </c>
      <c r="H1132" s="524"/>
    </row>
    <row r="1133" spans="3:8" ht="13.5" customHeight="1">
      <c r="C1133" s="524" t="s">
        <v>1692</v>
      </c>
      <c r="D1133" s="524" t="s">
        <v>1693</v>
      </c>
      <c r="H1133" s="524"/>
    </row>
    <row r="1134" spans="3:8" ht="13.5" customHeight="1">
      <c r="C1134" s="524" t="s">
        <v>1694</v>
      </c>
      <c r="D1134" s="524" t="s">
        <v>1695</v>
      </c>
      <c r="H1134" s="524"/>
    </row>
    <row r="1135" spans="3:8" ht="13.5" customHeight="1">
      <c r="C1135" s="524" t="s">
        <v>1696</v>
      </c>
      <c r="D1135" s="524" t="s">
        <v>1697</v>
      </c>
      <c r="H1135" s="524"/>
    </row>
    <row r="1136" spans="3:8" ht="13.5" customHeight="1">
      <c r="C1136" s="524" t="s">
        <v>1698</v>
      </c>
      <c r="D1136" s="524" t="s">
        <v>1699</v>
      </c>
      <c r="H1136" s="524"/>
    </row>
    <row r="1137" spans="3:8" ht="13.5" customHeight="1">
      <c r="C1137" s="524" t="s">
        <v>1700</v>
      </c>
      <c r="D1137" s="524" t="s">
        <v>1701</v>
      </c>
      <c r="H1137" s="524"/>
    </row>
    <row r="1138" spans="3:8" ht="13.5" customHeight="1">
      <c r="C1138" s="524" t="s">
        <v>1702</v>
      </c>
      <c r="D1138" s="524" t="s">
        <v>1703</v>
      </c>
      <c r="H1138" s="524"/>
    </row>
    <row r="1139" spans="3:8" ht="13.5" customHeight="1">
      <c r="C1139" s="524" t="s">
        <v>1704</v>
      </c>
      <c r="D1139" s="524" t="s">
        <v>1705</v>
      </c>
      <c r="H1139" s="524"/>
    </row>
    <row r="1140" spans="3:8" ht="13.5" customHeight="1">
      <c r="C1140" s="524" t="s">
        <v>1706</v>
      </c>
      <c r="D1140" s="524" t="s">
        <v>1707</v>
      </c>
      <c r="H1140" s="524"/>
    </row>
    <row r="1141" spans="3:8" ht="13.5" customHeight="1">
      <c r="C1141" s="524" t="s">
        <v>1708</v>
      </c>
      <c r="D1141" s="524" t="s">
        <v>1709</v>
      </c>
      <c r="H1141" s="524"/>
    </row>
    <row r="1142" spans="3:8" ht="13.5" customHeight="1">
      <c r="C1142" s="524" t="s">
        <v>1710</v>
      </c>
      <c r="D1142" s="524" t="s">
        <v>1711</v>
      </c>
      <c r="H1142" s="524"/>
    </row>
    <row r="1143" spans="3:8" ht="13.5" customHeight="1">
      <c r="C1143" s="524" t="s">
        <v>1712</v>
      </c>
      <c r="D1143" s="524" t="s">
        <v>1713</v>
      </c>
      <c r="H1143" s="524"/>
    </row>
    <row r="1144" spans="3:8" ht="13.5" customHeight="1">
      <c r="C1144" s="524" t="s">
        <v>1714</v>
      </c>
      <c r="D1144" s="524" t="s">
        <v>1715</v>
      </c>
      <c r="H1144" s="524"/>
    </row>
    <row r="1145" spans="3:8" ht="13.5" customHeight="1">
      <c r="C1145" s="524" t="s">
        <v>1716</v>
      </c>
      <c r="D1145" s="524" t="s">
        <v>1717</v>
      </c>
      <c r="H1145" s="524"/>
    </row>
    <row r="1146" spans="3:8" ht="13.5" customHeight="1">
      <c r="C1146" s="524" t="s">
        <v>1718</v>
      </c>
      <c r="D1146" s="524" t="s">
        <v>1719</v>
      </c>
      <c r="H1146" s="524"/>
    </row>
    <row r="1147" spans="3:8" ht="13.5" customHeight="1">
      <c r="C1147" s="524" t="s">
        <v>1720</v>
      </c>
      <c r="D1147" s="524" t="s">
        <v>1721</v>
      </c>
      <c r="H1147" s="524"/>
    </row>
    <row r="1148" spans="3:8" ht="13.5" customHeight="1">
      <c r="C1148" s="524" t="s">
        <v>1722</v>
      </c>
      <c r="D1148" s="524" t="s">
        <v>1723</v>
      </c>
      <c r="H1148" s="524"/>
    </row>
    <row r="1149" spans="3:8" ht="13.5" customHeight="1">
      <c r="C1149" s="524" t="s">
        <v>1724</v>
      </c>
      <c r="D1149" s="524" t="s">
        <v>1725</v>
      </c>
      <c r="H1149" s="524"/>
    </row>
    <row r="1150" spans="3:8" ht="13.5" customHeight="1">
      <c r="C1150" s="524" t="s">
        <v>1726</v>
      </c>
      <c r="D1150" s="524" t="s">
        <v>1727</v>
      </c>
      <c r="H1150" s="524"/>
    </row>
    <row r="1151" spans="3:8" ht="13.5" customHeight="1">
      <c r="C1151" s="524" t="s">
        <v>1728</v>
      </c>
      <c r="D1151" s="524" t="s">
        <v>1729</v>
      </c>
      <c r="H1151" s="524"/>
    </row>
    <row r="1152" spans="3:8" ht="13.5" customHeight="1">
      <c r="C1152" s="524" t="s">
        <v>1730</v>
      </c>
      <c r="D1152" s="524" t="s">
        <v>1731</v>
      </c>
      <c r="H1152" s="524"/>
    </row>
    <row r="1153" spans="3:8" ht="13.5" customHeight="1">
      <c r="C1153" s="524" t="s">
        <v>1732</v>
      </c>
      <c r="D1153" s="524" t="s">
        <v>1733</v>
      </c>
      <c r="H1153" s="524"/>
    </row>
    <row r="1154" spans="3:8" ht="13.5" customHeight="1">
      <c r="C1154" s="524" t="s">
        <v>1734</v>
      </c>
      <c r="D1154" s="524" t="s">
        <v>1735</v>
      </c>
      <c r="H1154" s="524"/>
    </row>
    <row r="1155" spans="3:8" ht="13.5" customHeight="1">
      <c r="C1155" s="524" t="s">
        <v>1736</v>
      </c>
      <c r="D1155" s="524" t="s">
        <v>1737</v>
      </c>
      <c r="H1155" s="524"/>
    </row>
    <row r="1156" spans="3:8" ht="13.5" customHeight="1">
      <c r="C1156" s="524" t="s">
        <v>1738</v>
      </c>
      <c r="D1156" s="524" t="s">
        <v>1739</v>
      </c>
      <c r="H1156" s="524"/>
    </row>
    <row r="1157" spans="3:8" ht="13.5" customHeight="1">
      <c r="C1157" s="524" t="s">
        <v>1740</v>
      </c>
      <c r="D1157" s="524" t="s">
        <v>1741</v>
      </c>
      <c r="H1157" s="524"/>
    </row>
    <row r="1158" spans="3:8" ht="13.5" customHeight="1">
      <c r="C1158" s="524" t="s">
        <v>1742</v>
      </c>
      <c r="D1158" s="524" t="s">
        <v>1743</v>
      </c>
      <c r="H1158" s="524"/>
    </row>
    <row r="1159" spans="3:8" ht="13.5" customHeight="1">
      <c r="C1159" s="524" t="s">
        <v>1744</v>
      </c>
      <c r="D1159" s="524" t="s">
        <v>1745</v>
      </c>
      <c r="H1159" s="524"/>
    </row>
    <row r="1160" spans="3:8" ht="13.5" customHeight="1">
      <c r="C1160" s="524" t="s">
        <v>1746</v>
      </c>
      <c r="D1160" s="524" t="s">
        <v>1747</v>
      </c>
      <c r="H1160" s="524"/>
    </row>
    <row r="1161" spans="3:8" ht="13.5" customHeight="1">
      <c r="C1161" s="524" t="s">
        <v>1748</v>
      </c>
      <c r="D1161" s="524" t="s">
        <v>1749</v>
      </c>
      <c r="H1161" s="524"/>
    </row>
    <row r="1162" spans="3:8" ht="13.5" customHeight="1">
      <c r="C1162" s="524" t="s">
        <v>1750</v>
      </c>
      <c r="D1162" s="524" t="s">
        <v>1751</v>
      </c>
      <c r="H1162" s="524"/>
    </row>
    <row r="1163" spans="3:8" ht="13.5" customHeight="1">
      <c r="C1163" s="524" t="s">
        <v>1752</v>
      </c>
      <c r="D1163" s="524" t="s">
        <v>1753</v>
      </c>
      <c r="H1163" s="524"/>
    </row>
    <row r="1164" spans="3:8" ht="13.5" customHeight="1">
      <c r="C1164" s="524" t="s">
        <v>1754</v>
      </c>
      <c r="D1164" s="524" t="s">
        <v>1755</v>
      </c>
      <c r="H1164" s="524"/>
    </row>
    <row r="1165" spans="3:8" ht="13.5" customHeight="1">
      <c r="C1165" s="524" t="s">
        <v>1756</v>
      </c>
      <c r="D1165" s="524" t="s">
        <v>1757</v>
      </c>
      <c r="H1165" s="524"/>
    </row>
    <row r="1166" spans="3:8" ht="13.5" customHeight="1">
      <c r="C1166" s="524" t="s">
        <v>1758</v>
      </c>
      <c r="D1166" s="524" t="s">
        <v>1759</v>
      </c>
      <c r="H1166" s="524"/>
    </row>
    <row r="1167" spans="3:8" ht="13.5" customHeight="1">
      <c r="C1167" s="524" t="s">
        <v>1760</v>
      </c>
      <c r="D1167" s="524" t="s">
        <v>1761</v>
      </c>
      <c r="H1167" s="524"/>
    </row>
    <row r="1168" spans="3:8" ht="13.5" customHeight="1">
      <c r="C1168" s="524" t="s">
        <v>1762</v>
      </c>
      <c r="D1168" s="524" t="s">
        <v>1763</v>
      </c>
      <c r="H1168" s="524"/>
    </row>
    <row r="1169" spans="3:8" ht="13.5" customHeight="1">
      <c r="C1169" s="524" t="s">
        <v>1764</v>
      </c>
      <c r="D1169" s="524" t="s">
        <v>1765</v>
      </c>
      <c r="H1169" s="524"/>
    </row>
    <row r="1170" spans="3:8" ht="13.5" customHeight="1">
      <c r="C1170" s="524" t="s">
        <v>1766</v>
      </c>
      <c r="D1170" s="524" t="s">
        <v>1767</v>
      </c>
      <c r="H1170" s="524"/>
    </row>
    <row r="1171" spans="3:8" ht="13.5" customHeight="1">
      <c r="C1171" s="524" t="s">
        <v>1768</v>
      </c>
      <c r="D1171" s="524" t="s">
        <v>1769</v>
      </c>
      <c r="H1171" s="524"/>
    </row>
    <row r="1172" spans="3:8" ht="13.5" customHeight="1">
      <c r="C1172" s="524" t="s">
        <v>1770</v>
      </c>
      <c r="D1172" s="524" t="s">
        <v>1771</v>
      </c>
      <c r="H1172" s="524"/>
    </row>
    <row r="1173" spans="3:8" ht="13.5" customHeight="1">
      <c r="C1173" s="524" t="s">
        <v>1772</v>
      </c>
      <c r="D1173" s="524" t="s">
        <v>1773</v>
      </c>
      <c r="H1173" s="524"/>
    </row>
    <row r="1174" spans="3:8" ht="13.5" customHeight="1">
      <c r="C1174" s="524" t="s">
        <v>1774</v>
      </c>
      <c r="D1174" s="524" t="s">
        <v>1775</v>
      </c>
      <c r="H1174" s="524"/>
    </row>
    <row r="1175" spans="3:8" ht="13.5" customHeight="1">
      <c r="C1175" s="524" t="s">
        <v>1776</v>
      </c>
      <c r="D1175" s="524" t="s">
        <v>1777</v>
      </c>
      <c r="H1175" s="524"/>
    </row>
    <row r="1176" spans="3:8" ht="13.5" customHeight="1">
      <c r="C1176" s="524" t="s">
        <v>1778</v>
      </c>
      <c r="D1176" s="524" t="s">
        <v>1779</v>
      </c>
      <c r="H1176" s="524"/>
    </row>
    <row r="1177" spans="3:8" ht="13.5" customHeight="1">
      <c r="C1177" s="524" t="s">
        <v>1780</v>
      </c>
      <c r="D1177" s="524" t="s">
        <v>1781</v>
      </c>
      <c r="H1177" s="524"/>
    </row>
    <row r="1178" spans="3:8" ht="13.5" customHeight="1">
      <c r="C1178" s="524" t="s">
        <v>1782</v>
      </c>
      <c r="D1178" s="524" t="s">
        <v>1783</v>
      </c>
      <c r="H1178" s="524"/>
    </row>
    <row r="1179" spans="3:8" ht="13.5" customHeight="1">
      <c r="C1179" s="524" t="s">
        <v>1784</v>
      </c>
      <c r="D1179" s="524" t="s">
        <v>1785</v>
      </c>
      <c r="H1179" s="524"/>
    </row>
    <row r="1180" spans="3:8" ht="13.5" customHeight="1">
      <c r="C1180" s="524" t="s">
        <v>1786</v>
      </c>
      <c r="D1180" s="524" t="s">
        <v>1787</v>
      </c>
      <c r="H1180" s="524"/>
    </row>
    <row r="1181" spans="3:8" ht="13.5" customHeight="1">
      <c r="C1181" s="524" t="s">
        <v>1788</v>
      </c>
      <c r="D1181" s="524" t="s">
        <v>1789</v>
      </c>
      <c r="H1181" s="524"/>
    </row>
    <row r="1182" spans="3:8" ht="13.5" customHeight="1">
      <c r="C1182" s="524" t="s">
        <v>1790</v>
      </c>
      <c r="D1182" s="524" t="s">
        <v>1791</v>
      </c>
      <c r="H1182" s="524"/>
    </row>
    <row r="1183" spans="3:8" ht="13.5" customHeight="1">
      <c r="C1183" s="524" t="s">
        <v>1792</v>
      </c>
      <c r="D1183" s="524" t="s">
        <v>1793</v>
      </c>
      <c r="H1183" s="524"/>
    </row>
    <row r="1184" spans="3:8" ht="13.5" customHeight="1">
      <c r="C1184" s="524" t="s">
        <v>1794</v>
      </c>
      <c r="D1184" s="524" t="s">
        <v>1795</v>
      </c>
      <c r="H1184" s="524"/>
    </row>
    <row r="1185" spans="3:8" ht="13.5" customHeight="1">
      <c r="C1185" s="524" t="s">
        <v>1796</v>
      </c>
      <c r="D1185" s="524" t="s">
        <v>1797</v>
      </c>
      <c r="H1185" s="524"/>
    </row>
    <row r="1186" spans="3:8" ht="13.5" customHeight="1">
      <c r="C1186" s="524" t="s">
        <v>1798</v>
      </c>
      <c r="D1186" s="524" t="s">
        <v>1799</v>
      </c>
      <c r="H1186" s="524"/>
    </row>
    <row r="1187" spans="3:8" ht="13.5" customHeight="1">
      <c r="C1187" s="524" t="s">
        <v>1800</v>
      </c>
      <c r="D1187" s="524" t="s">
        <v>1801</v>
      </c>
      <c r="H1187" s="524"/>
    </row>
    <row r="1188" spans="3:8" ht="13.5" customHeight="1">
      <c r="C1188" s="524" t="s">
        <v>1802</v>
      </c>
      <c r="D1188" s="524" t="s">
        <v>1803</v>
      </c>
      <c r="H1188" s="524"/>
    </row>
    <row r="1189" spans="3:8" ht="13.5" customHeight="1">
      <c r="C1189" s="524" t="s">
        <v>1804</v>
      </c>
      <c r="D1189" s="524" t="s">
        <v>1805</v>
      </c>
      <c r="H1189" s="524"/>
    </row>
    <row r="1190" spans="3:8" ht="13.5" customHeight="1">
      <c r="C1190" s="524" t="s">
        <v>1806</v>
      </c>
      <c r="D1190" s="524" t="s">
        <v>1807</v>
      </c>
      <c r="H1190" s="524"/>
    </row>
    <row r="1191" spans="3:8" ht="13.5" customHeight="1">
      <c r="C1191" s="524" t="s">
        <v>1808</v>
      </c>
      <c r="D1191" s="524" t="s">
        <v>1809</v>
      </c>
      <c r="H1191" s="524"/>
    </row>
    <row r="1192" spans="3:8" ht="13.5" customHeight="1">
      <c r="C1192" s="524" t="s">
        <v>1810</v>
      </c>
      <c r="D1192" s="524" t="s">
        <v>1811</v>
      </c>
      <c r="H1192" s="524"/>
    </row>
    <row r="1193" spans="3:8" ht="13.5" customHeight="1">
      <c r="C1193" s="524" t="s">
        <v>1812</v>
      </c>
      <c r="D1193" s="524" t="s">
        <v>1813</v>
      </c>
      <c r="H1193" s="524"/>
    </row>
    <row r="1194" spans="3:8" ht="13.5" customHeight="1">
      <c r="C1194" s="524" t="s">
        <v>1814</v>
      </c>
      <c r="D1194" s="524" t="s">
        <v>1815</v>
      </c>
      <c r="H1194" s="524"/>
    </row>
    <row r="1195" spans="3:8" ht="13.5" customHeight="1">
      <c r="C1195" s="524" t="s">
        <v>1816</v>
      </c>
      <c r="D1195" s="524" t="s">
        <v>1817</v>
      </c>
      <c r="H1195" s="524"/>
    </row>
    <row r="1196" spans="3:8" ht="13.5" customHeight="1">
      <c r="C1196" s="524" t="s">
        <v>1818</v>
      </c>
      <c r="D1196" s="524" t="s">
        <v>1819</v>
      </c>
      <c r="H1196" s="524"/>
    </row>
    <row r="1197" spans="3:8" ht="13.5" customHeight="1">
      <c r="C1197" s="524" t="s">
        <v>1820</v>
      </c>
      <c r="D1197" s="524" t="s">
        <v>1821</v>
      </c>
      <c r="H1197" s="524"/>
    </row>
    <row r="1198" spans="3:8" ht="13.5" customHeight="1">
      <c r="C1198" s="524" t="s">
        <v>1822</v>
      </c>
      <c r="D1198" s="524" t="s">
        <v>1823</v>
      </c>
      <c r="H1198" s="524"/>
    </row>
    <row r="1199" spans="3:8" ht="13.5" customHeight="1">
      <c r="C1199" s="524" t="s">
        <v>1824</v>
      </c>
      <c r="D1199" s="524" t="s">
        <v>1825</v>
      </c>
      <c r="H1199" s="524"/>
    </row>
    <row r="1200" spans="3:8" ht="13.5" customHeight="1">
      <c r="C1200" s="524" t="s">
        <v>1826</v>
      </c>
      <c r="D1200" s="524" t="s">
        <v>1827</v>
      </c>
      <c r="H1200" s="524"/>
    </row>
    <row r="1201" spans="3:8" ht="13.5" customHeight="1">
      <c r="C1201" s="524" t="s">
        <v>1828</v>
      </c>
      <c r="D1201" s="524" t="s">
        <v>1829</v>
      </c>
      <c r="H1201" s="524"/>
    </row>
    <row r="1202" spans="3:8" ht="13.5" customHeight="1">
      <c r="C1202" s="524" t="s">
        <v>1830</v>
      </c>
      <c r="D1202" s="524" t="s">
        <v>1831</v>
      </c>
      <c r="H1202" s="524"/>
    </row>
    <row r="1203" spans="3:8" ht="13.5" customHeight="1">
      <c r="C1203" s="524" t="s">
        <v>1832</v>
      </c>
      <c r="D1203" s="524" t="s">
        <v>1833</v>
      </c>
      <c r="H1203" s="524"/>
    </row>
    <row r="1204" spans="3:8" ht="13.5" customHeight="1">
      <c r="C1204" s="524" t="s">
        <v>1834</v>
      </c>
      <c r="D1204" s="524" t="s">
        <v>1835</v>
      </c>
      <c r="H1204" s="524"/>
    </row>
    <row r="1205" spans="3:8" ht="13.5" customHeight="1">
      <c r="C1205" s="524" t="s">
        <v>1836</v>
      </c>
      <c r="D1205" s="524" t="s">
        <v>1837</v>
      </c>
      <c r="H1205" s="524"/>
    </row>
    <row r="1206" spans="3:8" ht="13.5" customHeight="1">
      <c r="C1206" s="524" t="s">
        <v>1838</v>
      </c>
      <c r="D1206" s="524" t="s">
        <v>1839</v>
      </c>
      <c r="H1206" s="524"/>
    </row>
    <row r="1207" spans="3:8" ht="13.5" customHeight="1">
      <c r="C1207" s="524" t="s">
        <v>1840</v>
      </c>
      <c r="D1207" s="524" t="s">
        <v>1841</v>
      </c>
      <c r="H1207" s="524"/>
    </row>
    <row r="1208" spans="3:8" ht="13.5" customHeight="1">
      <c r="C1208" s="524" t="s">
        <v>1842</v>
      </c>
      <c r="D1208" s="524" t="s">
        <v>1843</v>
      </c>
      <c r="H1208" s="524"/>
    </row>
    <row r="1209" spans="3:8" ht="13.5" customHeight="1">
      <c r="C1209" s="524" t="s">
        <v>1844</v>
      </c>
      <c r="D1209" s="524" t="s">
        <v>1845</v>
      </c>
      <c r="H1209" s="524"/>
    </row>
    <row r="1210" spans="3:8" ht="13.5" customHeight="1">
      <c r="C1210" s="524" t="s">
        <v>1846</v>
      </c>
      <c r="D1210" s="524" t="s">
        <v>1847</v>
      </c>
      <c r="H1210" s="524"/>
    </row>
    <row r="1211" spans="3:8" ht="13.5" customHeight="1">
      <c r="C1211" s="524" t="s">
        <v>1848</v>
      </c>
      <c r="D1211" s="524" t="s">
        <v>1849</v>
      </c>
      <c r="H1211" s="524"/>
    </row>
    <row r="1212" spans="3:8" ht="13.5" customHeight="1">
      <c r="C1212" s="524" t="s">
        <v>1850</v>
      </c>
      <c r="D1212" s="524" t="s">
        <v>1851</v>
      </c>
      <c r="H1212" s="524"/>
    </row>
    <row r="1213" spans="3:8" ht="13.5" customHeight="1">
      <c r="C1213" s="524" t="s">
        <v>1852</v>
      </c>
      <c r="D1213" s="524" t="s">
        <v>1853</v>
      </c>
      <c r="H1213" s="524"/>
    </row>
    <row r="1214" spans="3:8" ht="13.5" customHeight="1">
      <c r="C1214" s="524" t="s">
        <v>1854</v>
      </c>
      <c r="D1214" s="524" t="s">
        <v>1855</v>
      </c>
      <c r="H1214" s="524"/>
    </row>
    <row r="1215" spans="3:8" ht="13.5" customHeight="1">
      <c r="C1215" s="524" t="s">
        <v>1856</v>
      </c>
      <c r="D1215" s="524" t="s">
        <v>1857</v>
      </c>
      <c r="H1215" s="524"/>
    </row>
    <row r="1216" spans="3:8" ht="13.5" customHeight="1">
      <c r="C1216" s="524" t="s">
        <v>1858</v>
      </c>
      <c r="D1216" s="524" t="s">
        <v>1859</v>
      </c>
      <c r="H1216" s="524"/>
    </row>
    <row r="1217" spans="3:8" ht="13.5" customHeight="1">
      <c r="C1217" s="524" t="s">
        <v>1860</v>
      </c>
      <c r="D1217" s="524" t="s">
        <v>1861</v>
      </c>
      <c r="H1217" s="524"/>
    </row>
    <row r="1218" spans="3:8" ht="13.5" customHeight="1">
      <c r="C1218" s="524" t="s">
        <v>1862</v>
      </c>
      <c r="D1218" s="524" t="s">
        <v>1863</v>
      </c>
      <c r="H1218" s="524"/>
    </row>
    <row r="1219" spans="3:8" ht="13.5" customHeight="1">
      <c r="C1219" s="524" t="s">
        <v>1864</v>
      </c>
      <c r="D1219" s="524" t="s">
        <v>1865</v>
      </c>
      <c r="H1219" s="524"/>
    </row>
    <row r="1220" spans="3:8" ht="13.5" customHeight="1">
      <c r="C1220" s="524" t="s">
        <v>1866</v>
      </c>
      <c r="D1220" s="524" t="s">
        <v>1867</v>
      </c>
      <c r="H1220" s="524"/>
    </row>
    <row r="1221" spans="3:8" ht="13.5" customHeight="1">
      <c r="C1221" s="524" t="s">
        <v>1868</v>
      </c>
      <c r="D1221" s="524" t="s">
        <v>1869</v>
      </c>
      <c r="H1221" s="524"/>
    </row>
    <row r="1222" spans="3:8" ht="13.5" customHeight="1">
      <c r="C1222" s="524" t="s">
        <v>1870</v>
      </c>
      <c r="D1222" s="524" t="s">
        <v>1871</v>
      </c>
      <c r="H1222" s="524"/>
    </row>
    <row r="1223" spans="3:8" ht="13.5" customHeight="1">
      <c r="C1223" s="524" t="s">
        <v>1872</v>
      </c>
      <c r="D1223" s="524" t="s">
        <v>1873</v>
      </c>
      <c r="H1223" s="524"/>
    </row>
    <row r="1224" spans="3:8" ht="13.5" customHeight="1">
      <c r="C1224" s="524" t="s">
        <v>1874</v>
      </c>
      <c r="D1224" s="524" t="s">
        <v>1875</v>
      </c>
      <c r="H1224" s="524"/>
    </row>
    <row r="1225" spans="3:8" ht="13.5" customHeight="1">
      <c r="C1225" s="524" t="s">
        <v>1876</v>
      </c>
      <c r="D1225" s="524" t="s">
        <v>1877</v>
      </c>
      <c r="H1225" s="524"/>
    </row>
    <row r="1226" spans="3:8" ht="13.5" customHeight="1">
      <c r="C1226" s="524" t="s">
        <v>1878</v>
      </c>
      <c r="D1226" s="524" t="s">
        <v>1879</v>
      </c>
      <c r="H1226" s="524"/>
    </row>
    <row r="1227" spans="3:8" ht="13.5" customHeight="1">
      <c r="C1227" s="524" t="s">
        <v>1880</v>
      </c>
      <c r="D1227" s="524" t="s">
        <v>1881</v>
      </c>
      <c r="H1227" s="524"/>
    </row>
    <row r="1228" spans="3:8" ht="13.5" customHeight="1">
      <c r="C1228" s="524" t="s">
        <v>1882</v>
      </c>
      <c r="D1228" s="524" t="s">
        <v>1883</v>
      </c>
      <c r="H1228" s="524"/>
    </row>
    <row r="1229" spans="3:8" ht="13.5" customHeight="1">
      <c r="C1229" s="524" t="s">
        <v>1884</v>
      </c>
      <c r="D1229" s="524" t="s">
        <v>1885</v>
      </c>
      <c r="H1229" s="524"/>
    </row>
    <row r="1230" spans="3:8" ht="13.5" customHeight="1">
      <c r="C1230" s="524" t="s">
        <v>1886</v>
      </c>
      <c r="D1230" s="524" t="s">
        <v>1887</v>
      </c>
      <c r="H1230" s="524"/>
    </row>
    <row r="1231" spans="3:8" ht="13.5" customHeight="1">
      <c r="C1231" s="524" t="s">
        <v>1888</v>
      </c>
      <c r="D1231" s="524" t="s">
        <v>1889</v>
      </c>
      <c r="H1231" s="524"/>
    </row>
    <row r="1232" spans="3:8" ht="13.5" customHeight="1">
      <c r="C1232" s="524" t="s">
        <v>1890</v>
      </c>
      <c r="D1232" s="524" t="s">
        <v>1891</v>
      </c>
      <c r="H1232" s="524"/>
    </row>
    <row r="1233" spans="3:8" ht="13.5" customHeight="1">
      <c r="C1233" s="524" t="s">
        <v>1892</v>
      </c>
      <c r="D1233" s="524" t="s">
        <v>1893</v>
      </c>
      <c r="H1233" s="524"/>
    </row>
    <row r="1234" spans="3:8" ht="13.5" customHeight="1">
      <c r="C1234" s="524" t="s">
        <v>1894</v>
      </c>
      <c r="D1234" s="524" t="s">
        <v>1895</v>
      </c>
      <c r="H1234" s="524"/>
    </row>
    <row r="1235" spans="3:8" ht="13.5" customHeight="1">
      <c r="C1235" s="524" t="s">
        <v>1896</v>
      </c>
      <c r="D1235" s="524" t="s">
        <v>1897</v>
      </c>
      <c r="H1235" s="524"/>
    </row>
    <row r="1236" spans="3:8" ht="13.5" customHeight="1">
      <c r="C1236" s="524" t="s">
        <v>1898</v>
      </c>
      <c r="D1236" s="524" t="s">
        <v>1899</v>
      </c>
      <c r="H1236" s="524"/>
    </row>
    <row r="1237" spans="3:8" ht="13.5" customHeight="1">
      <c r="C1237" s="524" t="s">
        <v>1900</v>
      </c>
      <c r="D1237" s="524" t="s">
        <v>1901</v>
      </c>
      <c r="H1237" s="524"/>
    </row>
    <row r="1238" spans="3:8" ht="13.5" customHeight="1">
      <c r="C1238" s="524" t="s">
        <v>1902</v>
      </c>
      <c r="D1238" s="524" t="s">
        <v>1903</v>
      </c>
      <c r="H1238" s="524"/>
    </row>
    <row r="1239" spans="3:8" ht="13.5" customHeight="1">
      <c r="C1239" s="524" t="s">
        <v>1904</v>
      </c>
      <c r="D1239" s="524" t="s">
        <v>1905</v>
      </c>
      <c r="H1239" s="524"/>
    </row>
    <row r="1240" spans="3:8" ht="13.5" customHeight="1">
      <c r="C1240" s="524" t="s">
        <v>1906</v>
      </c>
      <c r="D1240" s="524" t="s">
        <v>1907</v>
      </c>
      <c r="H1240" s="524"/>
    </row>
    <row r="1241" spans="3:8" ht="13.5" customHeight="1">
      <c r="C1241" s="524" t="s">
        <v>1908</v>
      </c>
      <c r="D1241" s="524" t="s">
        <v>1909</v>
      </c>
      <c r="H1241" s="524"/>
    </row>
    <row r="1242" spans="3:8" ht="13.5" customHeight="1">
      <c r="C1242" s="524" t="s">
        <v>1910</v>
      </c>
      <c r="D1242" s="524" t="s">
        <v>1911</v>
      </c>
      <c r="H1242" s="524"/>
    </row>
    <row r="1243" spans="3:8" ht="13.5" customHeight="1">
      <c r="C1243" s="524" t="s">
        <v>1912</v>
      </c>
      <c r="D1243" s="524" t="s">
        <v>1913</v>
      </c>
      <c r="H1243" s="524"/>
    </row>
    <row r="1244" spans="3:8" ht="13.5" customHeight="1">
      <c r="C1244" s="524" t="s">
        <v>1914</v>
      </c>
      <c r="D1244" s="524" t="s">
        <v>1915</v>
      </c>
      <c r="H1244" s="524"/>
    </row>
    <row r="1245" spans="3:8" ht="13.5" customHeight="1">
      <c r="C1245" s="524" t="s">
        <v>1916</v>
      </c>
      <c r="D1245" s="524" t="s">
        <v>1917</v>
      </c>
      <c r="H1245" s="524"/>
    </row>
    <row r="1246" spans="3:8" ht="13.5" customHeight="1">
      <c r="C1246" s="524" t="s">
        <v>1918</v>
      </c>
      <c r="D1246" s="524" t="s">
        <v>1919</v>
      </c>
      <c r="H1246" s="524"/>
    </row>
    <row r="1247" spans="3:8" ht="13.5" customHeight="1">
      <c r="C1247" s="524" t="s">
        <v>1920</v>
      </c>
      <c r="D1247" s="524" t="s">
        <v>1905</v>
      </c>
      <c r="H1247" s="524"/>
    </row>
    <row r="1248" spans="3:8" ht="13.5" customHeight="1">
      <c r="C1248" s="524" t="s">
        <v>1921</v>
      </c>
      <c r="D1248" s="524" t="s">
        <v>1922</v>
      </c>
      <c r="H1248" s="524"/>
    </row>
    <row r="1249" spans="3:8" ht="13.5" customHeight="1">
      <c r="C1249" s="524" t="s">
        <v>1923</v>
      </c>
      <c r="D1249" s="524" t="s">
        <v>1924</v>
      </c>
      <c r="H1249" s="524"/>
    </row>
    <row r="1250" spans="3:8" ht="13.5" customHeight="1">
      <c r="C1250" s="524" t="s">
        <v>1925</v>
      </c>
      <c r="D1250" s="524" t="s">
        <v>1907</v>
      </c>
      <c r="H1250" s="524"/>
    </row>
    <row r="1251" spans="3:8" ht="13.5" customHeight="1">
      <c r="C1251" s="524" t="s">
        <v>1926</v>
      </c>
      <c r="D1251" s="524" t="s">
        <v>1909</v>
      </c>
      <c r="H1251" s="524"/>
    </row>
    <row r="1252" spans="3:8" ht="13.5" customHeight="1">
      <c r="C1252" s="524" t="s">
        <v>1927</v>
      </c>
      <c r="D1252" s="524" t="s">
        <v>1911</v>
      </c>
      <c r="H1252" s="524"/>
    </row>
    <row r="1253" spans="3:8" ht="13.5" customHeight="1">
      <c r="C1253" s="524" t="s">
        <v>1928</v>
      </c>
      <c r="D1253" s="524" t="s">
        <v>1913</v>
      </c>
      <c r="H1253" s="524"/>
    </row>
    <row r="1254" spans="3:8" ht="13.5" customHeight="1">
      <c r="C1254" s="524" t="s">
        <v>1929</v>
      </c>
      <c r="D1254" s="524" t="s">
        <v>1930</v>
      </c>
      <c r="H1254" s="524"/>
    </row>
    <row r="1255" spans="3:8" ht="13.5" customHeight="1">
      <c r="C1255" s="524" t="s">
        <v>1931</v>
      </c>
      <c r="D1255" s="524" t="s">
        <v>1932</v>
      </c>
      <c r="H1255" s="524"/>
    </row>
    <row r="1256" spans="3:8" ht="13.5" customHeight="1">
      <c r="C1256" s="524" t="s">
        <v>1933</v>
      </c>
      <c r="D1256" s="524" t="s">
        <v>1934</v>
      </c>
      <c r="H1256" s="524"/>
    </row>
    <row r="1257" spans="3:8" ht="13.5" customHeight="1">
      <c r="C1257" s="524" t="s">
        <v>1935</v>
      </c>
      <c r="D1257" s="524" t="s">
        <v>1936</v>
      </c>
      <c r="H1257" s="524"/>
    </row>
    <row r="1258" spans="3:8" ht="13.5" customHeight="1">
      <c r="C1258" s="524" t="s">
        <v>1937</v>
      </c>
      <c r="D1258" s="524" t="s">
        <v>1938</v>
      </c>
      <c r="H1258" s="524"/>
    </row>
    <row r="1259" spans="3:8" ht="13.5" customHeight="1">
      <c r="C1259" s="524" t="s">
        <v>1939</v>
      </c>
      <c r="D1259" s="524" t="s">
        <v>1940</v>
      </c>
      <c r="H1259" s="524"/>
    </row>
    <row r="1260" spans="3:8" ht="13.5" customHeight="1">
      <c r="C1260" s="524" t="s">
        <v>1941</v>
      </c>
      <c r="D1260" s="524" t="s">
        <v>1942</v>
      </c>
      <c r="H1260" s="524"/>
    </row>
    <row r="1261" spans="3:8" ht="13.5" customHeight="1">
      <c r="C1261" s="524" t="s">
        <v>1943</v>
      </c>
      <c r="D1261" s="524" t="s">
        <v>1944</v>
      </c>
      <c r="H1261" s="524"/>
    </row>
    <row r="1262" spans="3:8" ht="13.5" customHeight="1">
      <c r="C1262" s="524" t="s">
        <v>1945</v>
      </c>
      <c r="D1262" s="524" t="s">
        <v>1946</v>
      </c>
      <c r="H1262" s="524"/>
    </row>
    <row r="1263" spans="3:8" ht="13.5" customHeight="1">
      <c r="C1263" s="524" t="s">
        <v>1947</v>
      </c>
      <c r="D1263" s="524" t="s">
        <v>1948</v>
      </c>
      <c r="H1263" s="524"/>
    </row>
    <row r="1264" spans="3:8" ht="13.5" customHeight="1">
      <c r="C1264" s="524" t="s">
        <v>1949</v>
      </c>
      <c r="D1264" s="524" t="s">
        <v>1950</v>
      </c>
      <c r="H1264" s="524"/>
    </row>
    <row r="1265" spans="3:8" ht="13.5" customHeight="1">
      <c r="C1265" s="524" t="s">
        <v>1951</v>
      </c>
      <c r="D1265" s="524" t="s">
        <v>1952</v>
      </c>
      <c r="H1265" s="524"/>
    </row>
    <row r="1266" spans="3:8" ht="13.5" customHeight="1">
      <c r="C1266" s="524" t="s">
        <v>1953</v>
      </c>
      <c r="D1266" s="524" t="s">
        <v>1954</v>
      </c>
      <c r="H1266" s="524"/>
    </row>
    <row r="1267" spans="3:8" ht="13.5" customHeight="1">
      <c r="C1267" s="524" t="s">
        <v>1955</v>
      </c>
      <c r="D1267" s="524" t="s">
        <v>1956</v>
      </c>
      <c r="H1267" s="524"/>
    </row>
    <row r="1268" spans="3:8" ht="13.5" customHeight="1">
      <c r="C1268" s="524" t="s">
        <v>1957</v>
      </c>
      <c r="D1268" s="524" t="s">
        <v>1958</v>
      </c>
      <c r="H1268" s="524"/>
    </row>
    <row r="1269" spans="3:8" ht="13.5" customHeight="1">
      <c r="C1269" s="524" t="s">
        <v>1959</v>
      </c>
      <c r="D1269" s="524" t="s">
        <v>1960</v>
      </c>
      <c r="H1269" s="524"/>
    </row>
    <row r="1270" spans="3:8" ht="13.5" customHeight="1">
      <c r="C1270" s="524" t="s">
        <v>1961</v>
      </c>
      <c r="D1270" s="524" t="s">
        <v>1962</v>
      </c>
      <c r="H1270" s="524"/>
    </row>
    <row r="1271" spans="3:8" ht="13.5" customHeight="1">
      <c r="C1271" s="524" t="s">
        <v>1963</v>
      </c>
      <c r="D1271" s="524" t="s">
        <v>1964</v>
      </c>
      <c r="H1271" s="524"/>
    </row>
    <row r="1272" spans="3:8" ht="13.5" customHeight="1">
      <c r="C1272" s="524" t="s">
        <v>1965</v>
      </c>
      <c r="D1272" s="524" t="s">
        <v>1966</v>
      </c>
      <c r="H1272" s="524"/>
    </row>
    <row r="1273" spans="3:8" ht="13.5" customHeight="1">
      <c r="C1273" s="524" t="s">
        <v>1967</v>
      </c>
      <c r="D1273" s="524" t="s">
        <v>1968</v>
      </c>
      <c r="H1273" s="524"/>
    </row>
    <row r="1274" spans="3:8" ht="13.5" customHeight="1">
      <c r="C1274" s="524" t="s">
        <v>1969</v>
      </c>
      <c r="D1274" s="524" t="s">
        <v>1970</v>
      </c>
      <c r="H1274" s="524"/>
    </row>
    <row r="1275" spans="3:8" ht="13.5" customHeight="1">
      <c r="C1275" s="524" t="s">
        <v>1971</v>
      </c>
      <c r="D1275" s="524" t="s">
        <v>1972</v>
      </c>
      <c r="H1275" s="524"/>
    </row>
    <row r="1276" spans="3:8" ht="13.5" customHeight="1">
      <c r="C1276" s="524" t="s">
        <v>1973</v>
      </c>
      <c r="D1276" s="524" t="s">
        <v>1970</v>
      </c>
      <c r="H1276" s="524"/>
    </row>
    <row r="1277" spans="3:8" ht="13.5" customHeight="1">
      <c r="C1277" s="524" t="s">
        <v>1974</v>
      </c>
      <c r="D1277" s="524" t="s">
        <v>1975</v>
      </c>
      <c r="H1277" s="524"/>
    </row>
    <row r="1278" spans="3:8" ht="13.5" customHeight="1">
      <c r="C1278" s="524" t="s">
        <v>1976</v>
      </c>
      <c r="D1278" s="524" t="s">
        <v>1977</v>
      </c>
      <c r="H1278" s="524"/>
    </row>
    <row r="1279" spans="3:8" ht="13.5" customHeight="1">
      <c r="C1279" s="524" t="s">
        <v>1978</v>
      </c>
      <c r="D1279" s="524" t="s">
        <v>1979</v>
      </c>
      <c r="H1279" s="524"/>
    </row>
    <row r="1280" spans="3:8" ht="13.5" customHeight="1">
      <c r="C1280" s="524" t="s">
        <v>1980</v>
      </c>
      <c r="D1280" s="524" t="s">
        <v>1981</v>
      </c>
      <c r="H1280" s="524"/>
    </row>
    <row r="1281" spans="3:8" ht="13.5" customHeight="1">
      <c r="C1281" s="524" t="s">
        <v>1982</v>
      </c>
      <c r="D1281" s="524" t="s">
        <v>1983</v>
      </c>
      <c r="H1281" s="524"/>
    </row>
    <row r="1282" spans="3:8" ht="13.5" customHeight="1">
      <c r="C1282" s="524" t="s">
        <v>1984</v>
      </c>
      <c r="D1282" s="524" t="s">
        <v>1985</v>
      </c>
      <c r="H1282" s="524"/>
    </row>
    <row r="1283" spans="3:8" ht="13.5" customHeight="1">
      <c r="C1283" s="524" t="s">
        <v>1986</v>
      </c>
      <c r="D1283" s="524" t="s">
        <v>1987</v>
      </c>
      <c r="H1283" s="524"/>
    </row>
    <row r="1284" spans="3:8" ht="13.5" customHeight="1">
      <c r="C1284" s="524" t="s">
        <v>1988</v>
      </c>
      <c r="D1284" s="524" t="s">
        <v>1989</v>
      </c>
      <c r="H1284" s="524"/>
    </row>
    <row r="1285" spans="3:8" ht="13.5" customHeight="1">
      <c r="C1285" s="524" t="s">
        <v>1990</v>
      </c>
      <c r="D1285" s="524" t="s">
        <v>1991</v>
      </c>
      <c r="H1285" s="524"/>
    </row>
    <row r="1286" spans="3:8" ht="13.5" customHeight="1">
      <c r="C1286" s="524" t="s">
        <v>1992</v>
      </c>
      <c r="D1286" s="524" t="s">
        <v>1993</v>
      </c>
      <c r="H1286" s="524"/>
    </row>
    <row r="1287" spans="3:8" ht="13.5" customHeight="1">
      <c r="C1287" s="524" t="s">
        <v>1994</v>
      </c>
      <c r="D1287" s="524" t="s">
        <v>1995</v>
      </c>
      <c r="H1287" s="524"/>
    </row>
    <row r="1288" spans="3:8" ht="13.5" customHeight="1">
      <c r="C1288" s="524" t="s">
        <v>1996</v>
      </c>
      <c r="D1288" s="524" t="s">
        <v>1997</v>
      </c>
      <c r="H1288" s="524"/>
    </row>
    <row r="1289" spans="3:8" ht="13.5" customHeight="1">
      <c r="C1289" s="524" t="s">
        <v>1998</v>
      </c>
      <c r="D1289" s="524" t="s">
        <v>1999</v>
      </c>
      <c r="H1289" s="524"/>
    </row>
    <row r="1290" spans="3:8" ht="13.5" customHeight="1">
      <c r="C1290" s="524" t="s">
        <v>2000</v>
      </c>
      <c r="D1290" s="524" t="s">
        <v>2001</v>
      </c>
      <c r="H1290" s="524"/>
    </row>
    <row r="1291" spans="3:8" ht="13.5" customHeight="1">
      <c r="C1291" s="524" t="s">
        <v>2002</v>
      </c>
      <c r="D1291" s="524" t="s">
        <v>2003</v>
      </c>
      <c r="H1291" s="524"/>
    </row>
    <row r="1292" spans="3:8" ht="13.5" customHeight="1">
      <c r="C1292" s="524" t="s">
        <v>2004</v>
      </c>
      <c r="D1292" s="524" t="s">
        <v>2005</v>
      </c>
      <c r="H1292" s="524"/>
    </row>
    <row r="1293" spans="3:8" ht="13.5" customHeight="1">
      <c r="C1293" s="524" t="s">
        <v>2006</v>
      </c>
      <c r="D1293" s="524" t="s">
        <v>2007</v>
      </c>
      <c r="H1293" s="524"/>
    </row>
    <row r="1294" spans="3:8" ht="13.5" customHeight="1">
      <c r="C1294" s="524" t="s">
        <v>2008</v>
      </c>
      <c r="D1294" s="524" t="s">
        <v>2009</v>
      </c>
      <c r="H1294" s="524"/>
    </row>
    <row r="1295" spans="3:8" ht="13.5" customHeight="1">
      <c r="C1295" s="524" t="s">
        <v>2010</v>
      </c>
      <c r="D1295" s="524" t="s">
        <v>2011</v>
      </c>
      <c r="H1295" s="524"/>
    </row>
    <row r="1296" spans="3:8" ht="13.5" customHeight="1">
      <c r="C1296" s="524" t="s">
        <v>2012</v>
      </c>
      <c r="D1296" s="524" t="s">
        <v>2013</v>
      </c>
      <c r="H1296" s="524"/>
    </row>
    <row r="1297" spans="3:8" ht="13.5" customHeight="1">
      <c r="C1297" s="524" t="s">
        <v>2014</v>
      </c>
      <c r="D1297" s="524" t="s">
        <v>2015</v>
      </c>
      <c r="H1297" s="524"/>
    </row>
    <row r="1298" spans="3:8" ht="13.5" customHeight="1">
      <c r="C1298" s="524" t="s">
        <v>2016</v>
      </c>
      <c r="D1298" s="524" t="s">
        <v>2017</v>
      </c>
      <c r="H1298" s="524"/>
    </row>
    <row r="1299" spans="3:8" ht="13.5" customHeight="1">
      <c r="C1299" s="524" t="s">
        <v>2018</v>
      </c>
      <c r="D1299" s="524" t="s">
        <v>2019</v>
      </c>
      <c r="H1299" s="524"/>
    </row>
    <row r="1300" spans="3:8" ht="13.5" customHeight="1">
      <c r="C1300" s="524" t="s">
        <v>2020</v>
      </c>
      <c r="D1300" s="524" t="s">
        <v>2021</v>
      </c>
      <c r="H1300" s="524"/>
    </row>
    <row r="1301" spans="3:8" ht="13.5" customHeight="1">
      <c r="C1301" s="524" t="s">
        <v>2022</v>
      </c>
      <c r="D1301" s="524" t="s">
        <v>2023</v>
      </c>
      <c r="H1301" s="524"/>
    </row>
    <row r="1302" spans="3:8" ht="13.5" customHeight="1">
      <c r="C1302" s="524" t="s">
        <v>2024</v>
      </c>
      <c r="D1302" s="524" t="s">
        <v>2025</v>
      </c>
      <c r="H1302" s="524"/>
    </row>
    <row r="1303" spans="3:8" ht="13.5" customHeight="1">
      <c r="C1303" s="524" t="s">
        <v>2026</v>
      </c>
      <c r="D1303" s="524" t="s">
        <v>2027</v>
      </c>
      <c r="H1303" s="524"/>
    </row>
    <row r="1304" spans="3:8" ht="13.5" customHeight="1">
      <c r="C1304" s="524" t="s">
        <v>2028</v>
      </c>
      <c r="D1304" s="524" t="s">
        <v>2029</v>
      </c>
      <c r="H1304" s="524"/>
    </row>
    <row r="1305" spans="3:8" ht="13.5" customHeight="1">
      <c r="C1305" s="524" t="s">
        <v>2030</v>
      </c>
      <c r="D1305" s="524" t="s">
        <v>2031</v>
      </c>
      <c r="H1305" s="524"/>
    </row>
    <row r="1306" spans="3:8" ht="13.5" customHeight="1">
      <c r="C1306" s="524" t="s">
        <v>2032</v>
      </c>
      <c r="D1306" s="524" t="s">
        <v>2033</v>
      </c>
      <c r="H1306" s="524"/>
    </row>
    <row r="1307" spans="3:8" ht="13.5" customHeight="1">
      <c r="C1307" s="524" t="s">
        <v>2034</v>
      </c>
      <c r="D1307" s="524" t="s">
        <v>2035</v>
      </c>
      <c r="H1307" s="524"/>
    </row>
    <row r="1308" spans="3:8" ht="13.5" customHeight="1">
      <c r="C1308" s="524" t="s">
        <v>2036</v>
      </c>
      <c r="D1308" s="524" t="s">
        <v>2037</v>
      </c>
      <c r="H1308" s="524"/>
    </row>
    <row r="1309" spans="3:8" ht="13.5" customHeight="1">
      <c r="C1309" s="524" t="s">
        <v>2038</v>
      </c>
      <c r="D1309" s="524" t="s">
        <v>2039</v>
      </c>
      <c r="H1309" s="524"/>
    </row>
    <row r="1310" spans="3:8" ht="13.5" customHeight="1">
      <c r="C1310" s="524" t="s">
        <v>2040</v>
      </c>
      <c r="D1310" s="524" t="s">
        <v>2041</v>
      </c>
      <c r="H1310" s="524"/>
    </row>
    <row r="1311" spans="3:8" ht="13.5" customHeight="1">
      <c r="C1311" s="524" t="s">
        <v>2042</v>
      </c>
      <c r="D1311" s="524" t="s">
        <v>2043</v>
      </c>
      <c r="H1311" s="524"/>
    </row>
    <row r="1312" spans="3:8" ht="13.5" customHeight="1">
      <c r="C1312" s="524" t="s">
        <v>2044</v>
      </c>
      <c r="D1312" s="524" t="s">
        <v>2045</v>
      </c>
      <c r="H1312" s="524"/>
    </row>
    <row r="1313" spans="3:8" ht="13.5" customHeight="1">
      <c r="C1313" s="524" t="s">
        <v>2046</v>
      </c>
      <c r="D1313" s="524" t="s">
        <v>2047</v>
      </c>
      <c r="H1313" s="524"/>
    </row>
    <row r="1314" spans="3:8" ht="13.5" customHeight="1">
      <c r="C1314" s="524" t="s">
        <v>2048</v>
      </c>
      <c r="D1314" s="524" t="s">
        <v>2049</v>
      </c>
      <c r="H1314" s="524"/>
    </row>
    <row r="1315" spans="3:8" ht="13.5" customHeight="1">
      <c r="C1315" s="524" t="s">
        <v>2050</v>
      </c>
      <c r="D1315" s="524" t="s">
        <v>2051</v>
      </c>
      <c r="H1315" s="524"/>
    </row>
    <row r="1316" spans="3:8" ht="13.5" customHeight="1">
      <c r="C1316" s="524" t="s">
        <v>2052</v>
      </c>
      <c r="D1316" s="524" t="s">
        <v>2053</v>
      </c>
      <c r="H1316" s="524"/>
    </row>
    <row r="1317" spans="3:8" ht="13.5" customHeight="1">
      <c r="C1317" s="524" t="s">
        <v>2054</v>
      </c>
      <c r="D1317" s="524" t="s">
        <v>2055</v>
      </c>
      <c r="H1317" s="524"/>
    </row>
    <row r="1318" spans="3:8" ht="13.5" customHeight="1">
      <c r="C1318" s="524" t="s">
        <v>2056</v>
      </c>
      <c r="D1318" s="524" t="s">
        <v>2057</v>
      </c>
      <c r="H1318" s="524"/>
    </row>
    <row r="1319" spans="3:8" ht="13.5" customHeight="1">
      <c r="C1319" s="524" t="s">
        <v>2058</v>
      </c>
      <c r="D1319" s="524" t="s">
        <v>2059</v>
      </c>
      <c r="H1319" s="524"/>
    </row>
    <row r="1320" spans="3:8" ht="13.5" customHeight="1">
      <c r="C1320" s="524" t="s">
        <v>2060</v>
      </c>
      <c r="D1320" s="524" t="s">
        <v>2061</v>
      </c>
      <c r="H1320" s="524"/>
    </row>
    <row r="1321" spans="3:8" ht="13.5" customHeight="1">
      <c r="C1321" s="524" t="s">
        <v>2062</v>
      </c>
      <c r="D1321" s="524" t="s">
        <v>2063</v>
      </c>
      <c r="H1321" s="524"/>
    </row>
    <row r="1322" spans="3:8" ht="13.5" customHeight="1">
      <c r="C1322" s="524" t="s">
        <v>2064</v>
      </c>
      <c r="D1322" s="524" t="s">
        <v>2065</v>
      </c>
      <c r="H1322" s="524"/>
    </row>
    <row r="1323" spans="3:8" ht="13.5" customHeight="1">
      <c r="C1323" s="524" t="s">
        <v>2066</v>
      </c>
      <c r="D1323" s="524" t="s">
        <v>2067</v>
      </c>
      <c r="H1323" s="524"/>
    </row>
    <row r="1324" spans="3:8" ht="13.5" customHeight="1">
      <c r="C1324" s="524" t="s">
        <v>2068</v>
      </c>
      <c r="D1324" s="524" t="s">
        <v>2069</v>
      </c>
      <c r="H1324" s="524"/>
    </row>
    <row r="1325" spans="3:8" ht="13.5" customHeight="1">
      <c r="C1325" s="524" t="s">
        <v>2070</v>
      </c>
      <c r="D1325" s="524" t="s">
        <v>2071</v>
      </c>
      <c r="H1325" s="524"/>
    </row>
    <row r="1326" spans="3:8" ht="13.5" customHeight="1">
      <c r="C1326" s="524" t="s">
        <v>2072</v>
      </c>
      <c r="D1326" s="524" t="s">
        <v>2073</v>
      </c>
      <c r="H1326" s="524"/>
    </row>
    <row r="1327" spans="3:8" ht="13.5" customHeight="1">
      <c r="C1327" s="524" t="s">
        <v>2074</v>
      </c>
      <c r="D1327" s="524" t="s">
        <v>2075</v>
      </c>
      <c r="H1327" s="524"/>
    </row>
    <row r="1328" spans="3:8" ht="13.5" customHeight="1">
      <c r="C1328" s="524" t="s">
        <v>2076</v>
      </c>
      <c r="D1328" s="524" t="s">
        <v>2077</v>
      </c>
      <c r="H1328" s="524"/>
    </row>
    <row r="1329" spans="3:8" ht="13.5" customHeight="1">
      <c r="C1329" s="524" t="s">
        <v>2078</v>
      </c>
      <c r="D1329" s="524" t="s">
        <v>2079</v>
      </c>
      <c r="H1329" s="524"/>
    </row>
    <row r="1330" spans="3:8" ht="13.5" customHeight="1">
      <c r="C1330" s="524" t="s">
        <v>2080</v>
      </c>
      <c r="D1330" s="524" t="s">
        <v>2081</v>
      </c>
      <c r="H1330" s="524"/>
    </row>
    <row r="1331" spans="3:8" ht="13.5" customHeight="1">
      <c r="C1331" s="524" t="s">
        <v>2082</v>
      </c>
      <c r="D1331" s="524" t="s">
        <v>2083</v>
      </c>
      <c r="H1331" s="524"/>
    </row>
    <row r="1332" spans="3:8" ht="13.5" customHeight="1">
      <c r="C1332" s="524" t="s">
        <v>2084</v>
      </c>
      <c r="D1332" s="524" t="s">
        <v>2085</v>
      </c>
      <c r="H1332" s="524"/>
    </row>
    <row r="1333" spans="3:8" ht="13.5" customHeight="1">
      <c r="C1333" s="524" t="s">
        <v>2086</v>
      </c>
      <c r="D1333" s="524" t="s">
        <v>2087</v>
      </c>
      <c r="H1333" s="524"/>
    </row>
    <row r="1334" spans="3:8" ht="13.5" customHeight="1">
      <c r="C1334" s="524" t="s">
        <v>2088</v>
      </c>
      <c r="D1334" s="524" t="s">
        <v>2089</v>
      </c>
      <c r="H1334" s="524"/>
    </row>
    <row r="1335" spans="3:8" ht="13.5" customHeight="1">
      <c r="C1335" s="524" t="s">
        <v>2090</v>
      </c>
      <c r="D1335" s="524" t="s">
        <v>2091</v>
      </c>
      <c r="H1335" s="524"/>
    </row>
    <row r="1336" spans="3:8" ht="13.5" customHeight="1">
      <c r="C1336" s="524" t="s">
        <v>2092</v>
      </c>
      <c r="D1336" s="524" t="s">
        <v>2093</v>
      </c>
      <c r="H1336" s="524"/>
    </row>
    <row r="1337" spans="3:8" ht="13.5" customHeight="1">
      <c r="C1337" s="524" t="s">
        <v>2094</v>
      </c>
      <c r="D1337" s="524" t="s">
        <v>2095</v>
      </c>
      <c r="H1337" s="524"/>
    </row>
    <row r="1338" spans="3:8" ht="13.5" customHeight="1">
      <c r="C1338" s="524" t="s">
        <v>2096</v>
      </c>
      <c r="D1338" s="524" t="s">
        <v>2097</v>
      </c>
      <c r="H1338" s="524"/>
    </row>
    <row r="1339" spans="3:8" ht="13.5" customHeight="1">
      <c r="C1339" s="524" t="s">
        <v>2098</v>
      </c>
      <c r="D1339" s="524" t="s">
        <v>2099</v>
      </c>
      <c r="H1339" s="524"/>
    </row>
    <row r="1340" spans="3:8" ht="13.5" customHeight="1">
      <c r="C1340" s="524" t="s">
        <v>2100</v>
      </c>
      <c r="D1340" s="524" t="s">
        <v>2101</v>
      </c>
      <c r="H1340" s="524"/>
    </row>
    <row r="1341" spans="3:8" ht="13.5" customHeight="1">
      <c r="C1341" s="524" t="s">
        <v>2102</v>
      </c>
      <c r="D1341" s="524" t="s">
        <v>2103</v>
      </c>
      <c r="H1341" s="524"/>
    </row>
    <row r="1342" spans="3:8" ht="13.5" customHeight="1">
      <c r="C1342" s="524" t="s">
        <v>2104</v>
      </c>
      <c r="D1342" s="524" t="s">
        <v>2105</v>
      </c>
      <c r="H1342" s="524"/>
    </row>
    <row r="1343" spans="3:8" ht="13.5" customHeight="1">
      <c r="C1343" s="524" t="s">
        <v>2106</v>
      </c>
      <c r="D1343" s="524" t="s">
        <v>2107</v>
      </c>
      <c r="H1343" s="524"/>
    </row>
    <row r="1344" spans="3:8" ht="13.5" customHeight="1">
      <c r="C1344" s="524" t="s">
        <v>2108</v>
      </c>
      <c r="D1344" s="524" t="s">
        <v>2109</v>
      </c>
      <c r="H1344" s="524"/>
    </row>
    <row r="1345" spans="3:8" ht="13.5" customHeight="1">
      <c r="C1345" s="524" t="s">
        <v>2110</v>
      </c>
      <c r="D1345" s="524" t="s">
        <v>2111</v>
      </c>
      <c r="H1345" s="524"/>
    </row>
    <row r="1346" spans="3:8" ht="13.5" customHeight="1">
      <c r="C1346" s="524" t="s">
        <v>2112</v>
      </c>
      <c r="D1346" s="524" t="s">
        <v>2113</v>
      </c>
      <c r="H1346" s="524"/>
    </row>
    <row r="1347" spans="3:8" ht="13.5" customHeight="1">
      <c r="C1347" s="524" t="s">
        <v>2114</v>
      </c>
      <c r="D1347" s="524" t="s">
        <v>2115</v>
      </c>
      <c r="H1347" s="524"/>
    </row>
    <row r="1348" spans="3:8" ht="13.5" customHeight="1">
      <c r="C1348" s="524" t="s">
        <v>2116</v>
      </c>
      <c r="D1348" s="524" t="s">
        <v>2117</v>
      </c>
      <c r="H1348" s="524"/>
    </row>
    <row r="1349" spans="3:8" ht="13.5" customHeight="1">
      <c r="C1349" s="524" t="s">
        <v>2118</v>
      </c>
      <c r="D1349" s="524" t="s">
        <v>2119</v>
      </c>
      <c r="H1349" s="524"/>
    </row>
    <row r="1350" spans="3:8" ht="13.5" customHeight="1">
      <c r="C1350" s="524" t="s">
        <v>2120</v>
      </c>
      <c r="D1350" s="524" t="s">
        <v>2121</v>
      </c>
      <c r="H1350" s="524"/>
    </row>
    <row r="1351" spans="3:8" ht="13.5" customHeight="1">
      <c r="C1351" s="524" t="s">
        <v>2122</v>
      </c>
      <c r="D1351" s="524" t="s">
        <v>2123</v>
      </c>
      <c r="H1351" s="524"/>
    </row>
    <row r="1352" spans="3:8" ht="13.5" customHeight="1">
      <c r="C1352" s="524" t="s">
        <v>2124</v>
      </c>
      <c r="D1352" s="524" t="s">
        <v>2125</v>
      </c>
      <c r="H1352" s="524"/>
    </row>
    <row r="1353" spans="3:8" ht="13.5" customHeight="1">
      <c r="C1353" s="524" t="s">
        <v>2126</v>
      </c>
      <c r="D1353" s="524" t="s">
        <v>2127</v>
      </c>
      <c r="H1353" s="524"/>
    </row>
    <row r="1354" spans="3:8" ht="13.5" customHeight="1">
      <c r="C1354" s="524" t="s">
        <v>2128</v>
      </c>
      <c r="D1354" s="524" t="s">
        <v>2129</v>
      </c>
      <c r="H1354" s="524"/>
    </row>
    <row r="1355" spans="3:8" ht="13.5" customHeight="1">
      <c r="C1355" s="524" t="s">
        <v>2130</v>
      </c>
      <c r="D1355" s="524" t="s">
        <v>2131</v>
      </c>
      <c r="H1355" s="524"/>
    </row>
    <row r="1356" spans="3:8" ht="13.5" customHeight="1">
      <c r="C1356" s="524" t="s">
        <v>2132</v>
      </c>
      <c r="D1356" s="524" t="s">
        <v>2133</v>
      </c>
      <c r="H1356" s="524"/>
    </row>
    <row r="1357" spans="3:8" ht="13.5" customHeight="1">
      <c r="C1357" s="524" t="s">
        <v>2134</v>
      </c>
      <c r="D1357" s="524" t="s">
        <v>2135</v>
      </c>
      <c r="H1357" s="524"/>
    </row>
    <row r="1358" spans="3:8" ht="13.5" customHeight="1">
      <c r="C1358" s="524" t="s">
        <v>2136</v>
      </c>
      <c r="D1358" s="524" t="s">
        <v>2137</v>
      </c>
      <c r="H1358" s="524"/>
    </row>
    <row r="1359" spans="3:8" ht="13.5" customHeight="1">
      <c r="C1359" s="524" t="s">
        <v>2138</v>
      </c>
      <c r="D1359" s="524" t="s">
        <v>2139</v>
      </c>
      <c r="H1359" s="524"/>
    </row>
    <row r="1360" spans="3:8" ht="13.5" customHeight="1">
      <c r="C1360" s="524" t="s">
        <v>2140</v>
      </c>
      <c r="D1360" s="524" t="s">
        <v>2141</v>
      </c>
      <c r="H1360" s="524"/>
    </row>
    <row r="1361" spans="3:8" ht="13.5" customHeight="1">
      <c r="C1361" s="524" t="s">
        <v>2142</v>
      </c>
      <c r="D1361" s="524" t="s">
        <v>2143</v>
      </c>
      <c r="H1361" s="524"/>
    </row>
    <row r="1362" spans="3:8" ht="13.5" customHeight="1">
      <c r="C1362" s="524" t="s">
        <v>2144</v>
      </c>
      <c r="D1362" s="524" t="s">
        <v>2145</v>
      </c>
      <c r="H1362" s="524"/>
    </row>
    <row r="1363" spans="3:8" ht="13.5" customHeight="1">
      <c r="C1363" s="524" t="s">
        <v>2146</v>
      </c>
      <c r="D1363" s="524" t="s">
        <v>2147</v>
      </c>
      <c r="H1363" s="524"/>
    </row>
    <row r="1364" spans="3:8" ht="13.5" customHeight="1">
      <c r="C1364" s="524" t="s">
        <v>2148</v>
      </c>
      <c r="D1364" s="524" t="s">
        <v>2149</v>
      </c>
      <c r="H1364" s="524"/>
    </row>
    <row r="1365" spans="3:8" ht="13.5" customHeight="1">
      <c r="C1365" s="524" t="s">
        <v>2150</v>
      </c>
      <c r="D1365" s="524" t="s">
        <v>2151</v>
      </c>
      <c r="H1365" s="524"/>
    </row>
    <row r="1366" spans="3:8" ht="13.5" customHeight="1">
      <c r="C1366" s="524" t="s">
        <v>2152</v>
      </c>
      <c r="D1366" s="524" t="s">
        <v>2153</v>
      </c>
      <c r="H1366" s="524"/>
    </row>
    <row r="1367" spans="3:8" ht="13.5" customHeight="1">
      <c r="C1367" s="524" t="s">
        <v>2154</v>
      </c>
      <c r="D1367" s="524" t="s">
        <v>2155</v>
      </c>
      <c r="H1367" s="524"/>
    </row>
    <row r="1368" spans="3:8" ht="13.5" customHeight="1">
      <c r="C1368" s="524" t="s">
        <v>2156</v>
      </c>
      <c r="D1368" s="524" t="s">
        <v>2157</v>
      </c>
      <c r="H1368" s="524"/>
    </row>
    <row r="1369" spans="3:8" ht="13.5" customHeight="1">
      <c r="C1369" s="524" t="s">
        <v>2158</v>
      </c>
      <c r="D1369" s="524" t="s">
        <v>2159</v>
      </c>
      <c r="H1369" s="524"/>
    </row>
    <row r="1370" spans="3:8" ht="13.5" customHeight="1">
      <c r="C1370" s="524" t="s">
        <v>2160</v>
      </c>
      <c r="D1370" s="524" t="s">
        <v>2161</v>
      </c>
      <c r="H1370" s="524"/>
    </row>
    <row r="1371" spans="3:8" ht="13.5" customHeight="1">
      <c r="C1371" s="524" t="s">
        <v>2162</v>
      </c>
      <c r="D1371" s="524" t="s">
        <v>2163</v>
      </c>
      <c r="H1371" s="524"/>
    </row>
    <row r="1372" spans="3:8" ht="13.5" customHeight="1">
      <c r="C1372" s="524" t="s">
        <v>2164</v>
      </c>
      <c r="D1372" s="524" t="s">
        <v>2165</v>
      </c>
      <c r="H1372" s="524"/>
    </row>
    <row r="1373" spans="3:8" ht="13.5" customHeight="1">
      <c r="C1373" s="524" t="s">
        <v>2166</v>
      </c>
      <c r="D1373" s="524" t="s">
        <v>2167</v>
      </c>
      <c r="H1373" s="524"/>
    </row>
    <row r="1374" spans="3:8" ht="13.5" customHeight="1">
      <c r="C1374" s="524" t="s">
        <v>2168</v>
      </c>
      <c r="D1374" s="524" t="s">
        <v>2169</v>
      </c>
      <c r="H1374" s="524"/>
    </row>
    <row r="1375" spans="3:8" ht="13.5" customHeight="1">
      <c r="C1375" s="524" t="s">
        <v>2170</v>
      </c>
      <c r="D1375" s="524" t="s">
        <v>2171</v>
      </c>
      <c r="H1375" s="524"/>
    </row>
    <row r="1376" spans="3:8" ht="13.5" customHeight="1">
      <c r="C1376" s="524" t="s">
        <v>2172</v>
      </c>
      <c r="D1376" s="524" t="s">
        <v>2173</v>
      </c>
      <c r="H1376" s="524"/>
    </row>
    <row r="1377" spans="3:8" ht="13.5" customHeight="1">
      <c r="C1377" s="524" t="s">
        <v>2174</v>
      </c>
      <c r="D1377" s="524" t="s">
        <v>2175</v>
      </c>
      <c r="H1377" s="524"/>
    </row>
    <row r="1378" spans="3:8" ht="13.5" customHeight="1">
      <c r="C1378" s="524" t="s">
        <v>2176</v>
      </c>
      <c r="D1378" s="524" t="s">
        <v>2177</v>
      </c>
      <c r="H1378" s="524"/>
    </row>
    <row r="1379" spans="3:8" ht="13.5" customHeight="1">
      <c r="C1379" s="524" t="s">
        <v>2178</v>
      </c>
      <c r="D1379" s="524" t="s">
        <v>2179</v>
      </c>
      <c r="H1379" s="524"/>
    </row>
    <row r="1380" spans="3:8" ht="13.5" customHeight="1">
      <c r="C1380" s="524" t="s">
        <v>2180</v>
      </c>
      <c r="D1380" s="524" t="s">
        <v>2181</v>
      </c>
      <c r="H1380" s="524"/>
    </row>
    <row r="1381" spans="3:8" ht="13.5" customHeight="1">
      <c r="C1381" s="524" t="s">
        <v>2182</v>
      </c>
      <c r="D1381" s="524" t="s">
        <v>2183</v>
      </c>
      <c r="H1381" s="524"/>
    </row>
    <row r="1382" spans="3:8" ht="13.5" customHeight="1">
      <c r="C1382" s="524" t="s">
        <v>2184</v>
      </c>
      <c r="D1382" s="524" t="s">
        <v>2185</v>
      </c>
      <c r="H1382" s="524"/>
    </row>
    <row r="1383" spans="3:8" ht="13.5" customHeight="1">
      <c r="C1383" s="524" t="s">
        <v>2186</v>
      </c>
      <c r="D1383" s="524" t="s">
        <v>2187</v>
      </c>
      <c r="H1383" s="524"/>
    </row>
    <row r="1384" spans="3:8" ht="13.5" customHeight="1">
      <c r="C1384" s="524" t="s">
        <v>2188</v>
      </c>
      <c r="D1384" s="524" t="s">
        <v>2189</v>
      </c>
      <c r="H1384" s="524"/>
    </row>
    <row r="1385" spans="3:8" ht="13.5" customHeight="1">
      <c r="C1385" s="524" t="s">
        <v>2190</v>
      </c>
      <c r="D1385" s="524" t="s">
        <v>2191</v>
      </c>
      <c r="H1385" s="524"/>
    </row>
    <row r="1386" spans="3:8" ht="13.5" customHeight="1">
      <c r="C1386" s="524" t="s">
        <v>2192</v>
      </c>
      <c r="D1386" s="524" t="s">
        <v>2193</v>
      </c>
      <c r="H1386" s="524"/>
    </row>
    <row r="1387" spans="3:8" ht="13.5" customHeight="1">
      <c r="C1387" s="524" t="s">
        <v>2194</v>
      </c>
      <c r="D1387" s="524" t="s">
        <v>2195</v>
      </c>
      <c r="H1387" s="524"/>
    </row>
    <row r="1388" spans="3:8" ht="13.5" customHeight="1">
      <c r="C1388" s="524" t="s">
        <v>2196</v>
      </c>
      <c r="D1388" s="524" t="s">
        <v>2197</v>
      </c>
      <c r="H1388" s="524"/>
    </row>
    <row r="1389" spans="3:8" ht="13.5" customHeight="1">
      <c r="C1389" s="524" t="s">
        <v>2198</v>
      </c>
      <c r="D1389" s="524" t="s">
        <v>2199</v>
      </c>
      <c r="H1389" s="524"/>
    </row>
    <row r="1390" spans="3:8" ht="13.5" customHeight="1">
      <c r="C1390" s="524" t="s">
        <v>2200</v>
      </c>
      <c r="D1390" s="524" t="s">
        <v>2201</v>
      </c>
      <c r="H1390" s="524"/>
    </row>
    <row r="1391" spans="3:8" ht="13.5" customHeight="1">
      <c r="C1391" s="524" t="s">
        <v>2202</v>
      </c>
      <c r="D1391" s="524" t="s">
        <v>2203</v>
      </c>
      <c r="H1391" s="524"/>
    </row>
    <row r="1392" spans="3:8" ht="13.5" customHeight="1">
      <c r="C1392" s="524" t="s">
        <v>2204</v>
      </c>
      <c r="D1392" s="524" t="s">
        <v>2205</v>
      </c>
      <c r="H1392" s="524"/>
    </row>
    <row r="1393" spans="3:8" ht="13.5" customHeight="1">
      <c r="C1393" s="524" t="s">
        <v>2206</v>
      </c>
      <c r="D1393" s="524" t="s">
        <v>2207</v>
      </c>
      <c r="H1393" s="524"/>
    </row>
    <row r="1394" spans="3:8" ht="13.5" customHeight="1">
      <c r="C1394" s="524" t="s">
        <v>2208</v>
      </c>
      <c r="D1394" s="524" t="s">
        <v>2209</v>
      </c>
      <c r="H1394" s="524"/>
    </row>
    <row r="1395" spans="3:8" ht="13.5" customHeight="1">
      <c r="C1395" s="524" t="s">
        <v>2210</v>
      </c>
      <c r="D1395" s="524" t="s">
        <v>2211</v>
      </c>
      <c r="H1395" s="524"/>
    </row>
    <row r="1396" spans="3:8" ht="13.5" customHeight="1">
      <c r="C1396" s="524" t="s">
        <v>2212</v>
      </c>
      <c r="D1396" s="524" t="s">
        <v>2213</v>
      </c>
      <c r="H1396" s="524"/>
    </row>
    <row r="1397" spans="3:8" ht="13.5" customHeight="1">
      <c r="C1397" s="524" t="s">
        <v>2214</v>
      </c>
      <c r="D1397" s="524" t="s">
        <v>2199</v>
      </c>
      <c r="H1397" s="524"/>
    </row>
    <row r="1398" spans="3:8" ht="13.5" customHeight="1">
      <c r="C1398" s="524" t="s">
        <v>2215</v>
      </c>
      <c r="D1398" s="524" t="s">
        <v>2216</v>
      </c>
      <c r="H1398" s="524"/>
    </row>
    <row r="1399" spans="3:8" ht="13.5" customHeight="1">
      <c r="C1399" s="524" t="s">
        <v>2217</v>
      </c>
      <c r="D1399" s="524" t="s">
        <v>2218</v>
      </c>
      <c r="H1399" s="524"/>
    </row>
    <row r="1400" spans="3:8" ht="13.5" customHeight="1">
      <c r="C1400" s="524" t="s">
        <v>2219</v>
      </c>
      <c r="D1400" s="524" t="s">
        <v>2201</v>
      </c>
      <c r="H1400" s="524"/>
    </row>
    <row r="1401" spans="3:8" ht="13.5" customHeight="1">
      <c r="C1401" s="524" t="s">
        <v>2220</v>
      </c>
      <c r="D1401" s="524" t="s">
        <v>2203</v>
      </c>
      <c r="H1401" s="524"/>
    </row>
    <row r="1402" spans="3:8" ht="13.5" customHeight="1">
      <c r="C1402" s="524" t="s">
        <v>2221</v>
      </c>
      <c r="D1402" s="524" t="s">
        <v>2205</v>
      </c>
      <c r="H1402" s="524"/>
    </row>
    <row r="1403" spans="3:8" ht="13.5" customHeight="1">
      <c r="C1403" s="524" t="s">
        <v>2222</v>
      </c>
      <c r="D1403" s="524" t="s">
        <v>2207</v>
      </c>
      <c r="H1403" s="524"/>
    </row>
    <row r="1404" spans="3:8" ht="13.5" customHeight="1">
      <c r="C1404" s="524" t="s">
        <v>2223</v>
      </c>
      <c r="D1404" s="524" t="s">
        <v>2224</v>
      </c>
      <c r="H1404" s="524"/>
    </row>
    <row r="1405" spans="3:8" ht="13.5" customHeight="1">
      <c r="C1405" s="524" t="s">
        <v>2225</v>
      </c>
      <c r="D1405" s="524" t="s">
        <v>2226</v>
      </c>
      <c r="H1405" s="524"/>
    </row>
    <row r="1406" spans="3:8" ht="13.5" customHeight="1">
      <c r="C1406" s="524" t="s">
        <v>2227</v>
      </c>
      <c r="D1406" s="524" t="s">
        <v>2228</v>
      </c>
      <c r="H1406" s="524"/>
    </row>
    <row r="1407" spans="3:8" ht="13.5" customHeight="1">
      <c r="C1407" s="524" t="s">
        <v>2229</v>
      </c>
      <c r="D1407" s="524" t="s">
        <v>2230</v>
      </c>
      <c r="H1407" s="524"/>
    </row>
    <row r="1408" spans="3:8" ht="13.5" customHeight="1">
      <c r="C1408" s="524" t="s">
        <v>2231</v>
      </c>
      <c r="D1408" s="524" t="s">
        <v>2232</v>
      </c>
      <c r="H1408" s="524"/>
    </row>
    <row r="1409" spans="3:8" ht="13.5" customHeight="1">
      <c r="C1409" s="524" t="s">
        <v>2233</v>
      </c>
      <c r="D1409" s="524" t="s">
        <v>2234</v>
      </c>
      <c r="H1409" s="524"/>
    </row>
    <row r="1410" spans="3:8" ht="13.5" customHeight="1">
      <c r="C1410" s="524" t="s">
        <v>2235</v>
      </c>
      <c r="D1410" s="524" t="s">
        <v>2236</v>
      </c>
      <c r="H1410" s="524"/>
    </row>
    <row r="1411" spans="3:8" ht="13.5" customHeight="1">
      <c r="C1411" s="524" t="s">
        <v>2237</v>
      </c>
      <c r="D1411" s="524" t="s">
        <v>2238</v>
      </c>
      <c r="H1411" s="524"/>
    </row>
    <row r="1412" spans="3:8" ht="13.5" customHeight="1">
      <c r="C1412" s="524" t="s">
        <v>2239</v>
      </c>
      <c r="D1412" s="524" t="s">
        <v>2240</v>
      </c>
      <c r="H1412" s="524"/>
    </row>
    <row r="1413" spans="3:8" ht="13.5" customHeight="1">
      <c r="C1413" s="524" t="s">
        <v>2241</v>
      </c>
      <c r="D1413" s="524" t="s">
        <v>2242</v>
      </c>
      <c r="H1413" s="524"/>
    </row>
    <row r="1414" spans="3:8" ht="13.5" customHeight="1">
      <c r="C1414" s="524" t="s">
        <v>2243</v>
      </c>
      <c r="D1414" s="524" t="s">
        <v>2244</v>
      </c>
      <c r="H1414" s="524"/>
    </row>
    <row r="1415" spans="3:8" ht="13.5" customHeight="1">
      <c r="C1415" s="524" t="s">
        <v>2245</v>
      </c>
      <c r="D1415" s="524" t="s">
        <v>2246</v>
      </c>
      <c r="H1415" s="524"/>
    </row>
    <row r="1416" spans="3:8" ht="13.5" customHeight="1">
      <c r="C1416" s="524" t="s">
        <v>2247</v>
      </c>
      <c r="D1416" s="524" t="s">
        <v>2248</v>
      </c>
      <c r="H1416" s="524"/>
    </row>
    <row r="1417" spans="3:8" ht="13.5" customHeight="1">
      <c r="C1417" s="524" t="s">
        <v>2249</v>
      </c>
      <c r="D1417" s="524" t="s">
        <v>2250</v>
      </c>
      <c r="H1417" s="524"/>
    </row>
    <row r="1418" spans="3:8" ht="13.5" customHeight="1">
      <c r="C1418" s="524" t="s">
        <v>2251</v>
      </c>
      <c r="D1418" s="524" t="s">
        <v>2252</v>
      </c>
      <c r="H1418" s="524"/>
    </row>
    <row r="1419" spans="3:8" ht="13.5" customHeight="1">
      <c r="C1419" s="524" t="s">
        <v>2253</v>
      </c>
      <c r="D1419" s="524" t="s">
        <v>2254</v>
      </c>
      <c r="H1419" s="524"/>
    </row>
    <row r="1420" spans="3:8" ht="13.5" customHeight="1">
      <c r="C1420" s="524" t="s">
        <v>2255</v>
      </c>
      <c r="D1420" s="524" t="s">
        <v>2256</v>
      </c>
      <c r="H1420" s="524"/>
    </row>
    <row r="1421" spans="3:8" ht="13.5" customHeight="1">
      <c r="C1421" s="524" t="s">
        <v>2257</v>
      </c>
      <c r="D1421" s="524" t="s">
        <v>2258</v>
      </c>
      <c r="H1421" s="524"/>
    </row>
    <row r="1422" spans="3:8" ht="13.5" customHeight="1">
      <c r="C1422" s="524" t="s">
        <v>2259</v>
      </c>
      <c r="D1422" s="524" t="s">
        <v>2260</v>
      </c>
      <c r="H1422" s="524"/>
    </row>
    <row r="1423" spans="3:8" ht="13.5" customHeight="1">
      <c r="C1423" s="524" t="s">
        <v>2261</v>
      </c>
      <c r="D1423" s="524" t="s">
        <v>2262</v>
      </c>
      <c r="H1423" s="524"/>
    </row>
    <row r="1424" spans="3:8" ht="13.5" customHeight="1">
      <c r="C1424" s="524" t="s">
        <v>2263</v>
      </c>
      <c r="D1424" s="524" t="s">
        <v>2264</v>
      </c>
      <c r="H1424" s="524"/>
    </row>
    <row r="1425" spans="3:8" ht="13.5" customHeight="1">
      <c r="C1425" s="524" t="s">
        <v>2265</v>
      </c>
      <c r="D1425" s="524" t="s">
        <v>2266</v>
      </c>
      <c r="H1425" s="524"/>
    </row>
    <row r="1426" spans="3:8" ht="13.5" customHeight="1">
      <c r="C1426" s="524" t="s">
        <v>2267</v>
      </c>
      <c r="D1426" s="524" t="s">
        <v>2264</v>
      </c>
      <c r="H1426" s="524"/>
    </row>
    <row r="1427" spans="3:8" ht="13.5" customHeight="1">
      <c r="C1427" s="524" t="s">
        <v>2268</v>
      </c>
      <c r="D1427" s="524" t="s">
        <v>2269</v>
      </c>
      <c r="H1427" s="524"/>
    </row>
    <row r="1428" spans="3:8" ht="13.5" customHeight="1">
      <c r="C1428" s="524" t="s">
        <v>2270</v>
      </c>
      <c r="D1428" s="524" t="s">
        <v>2271</v>
      </c>
      <c r="H1428" s="524"/>
    </row>
    <row r="1429" spans="3:8" ht="13.5" customHeight="1">
      <c r="C1429" s="524" t="s">
        <v>2272</v>
      </c>
      <c r="D1429" s="524" t="s">
        <v>2273</v>
      </c>
      <c r="H1429" s="524"/>
    </row>
    <row r="1430" spans="3:8" ht="13.5" customHeight="1">
      <c r="C1430" s="524" t="s">
        <v>2274</v>
      </c>
      <c r="D1430" s="524" t="s">
        <v>2275</v>
      </c>
      <c r="H1430" s="524"/>
    </row>
    <row r="1431" spans="3:8" ht="13.5" customHeight="1">
      <c r="C1431" s="524" t="s">
        <v>2276</v>
      </c>
      <c r="D1431" s="524" t="s">
        <v>2277</v>
      </c>
      <c r="H1431" s="524"/>
    </row>
    <row r="1432" spans="3:8" ht="13.5" customHeight="1">
      <c r="C1432" s="524" t="s">
        <v>2278</v>
      </c>
      <c r="D1432" s="524" t="s">
        <v>2279</v>
      </c>
      <c r="H1432" s="524"/>
    </row>
    <row r="1433" spans="3:8" ht="13.5" customHeight="1">
      <c r="C1433" s="524" t="s">
        <v>2280</v>
      </c>
      <c r="D1433" s="524" t="s">
        <v>2281</v>
      </c>
      <c r="H1433" s="524"/>
    </row>
    <row r="1434" spans="3:8" ht="13.5" customHeight="1">
      <c r="C1434" s="524" t="s">
        <v>2282</v>
      </c>
      <c r="D1434" s="524" t="s">
        <v>2283</v>
      </c>
      <c r="H1434" s="524"/>
    </row>
    <row r="1435" spans="3:8" ht="13.5" customHeight="1">
      <c r="C1435" s="524" t="s">
        <v>2284</v>
      </c>
      <c r="D1435" s="524" t="s">
        <v>2285</v>
      </c>
      <c r="H1435" s="524"/>
    </row>
    <row r="1436" spans="3:8" ht="13.5" customHeight="1">
      <c r="C1436" s="524" t="s">
        <v>2286</v>
      </c>
      <c r="D1436" s="524" t="s">
        <v>2287</v>
      </c>
      <c r="H1436" s="524"/>
    </row>
    <row r="1437" spans="3:8" ht="13.5" customHeight="1">
      <c r="C1437" s="524" t="s">
        <v>2288</v>
      </c>
      <c r="D1437" s="524" t="s">
        <v>2289</v>
      </c>
      <c r="H1437" s="524"/>
    </row>
    <row r="1438" spans="3:8" ht="13.5" customHeight="1">
      <c r="C1438" s="524" t="s">
        <v>2290</v>
      </c>
      <c r="D1438" s="524" t="s">
        <v>2291</v>
      </c>
      <c r="H1438" s="524"/>
    </row>
    <row r="1439" spans="3:8" ht="13.5" customHeight="1">
      <c r="C1439" s="524" t="s">
        <v>2292</v>
      </c>
      <c r="D1439" s="524" t="s">
        <v>2293</v>
      </c>
      <c r="H1439" s="524"/>
    </row>
    <row r="1440" spans="3:8" ht="13.5" customHeight="1">
      <c r="C1440" s="524" t="s">
        <v>2294</v>
      </c>
      <c r="D1440" s="524" t="s">
        <v>2295</v>
      </c>
      <c r="H1440" s="524"/>
    </row>
    <row r="1441" spans="3:8" ht="13.5" customHeight="1">
      <c r="C1441" s="524" t="s">
        <v>2296</v>
      </c>
      <c r="D1441" s="524" t="s">
        <v>2297</v>
      </c>
      <c r="H1441" s="524"/>
    </row>
    <row r="1442" spans="3:8" ht="13.5" customHeight="1">
      <c r="C1442" s="524" t="s">
        <v>2298</v>
      </c>
      <c r="D1442" s="524" t="s">
        <v>2299</v>
      </c>
      <c r="H1442" s="524"/>
    </row>
    <row r="1443" spans="3:8" ht="13.5" customHeight="1">
      <c r="C1443" s="524" t="s">
        <v>2300</v>
      </c>
      <c r="D1443" s="524" t="s">
        <v>2301</v>
      </c>
      <c r="H1443" s="524"/>
    </row>
    <row r="1444" spans="3:8" ht="13.5" customHeight="1">
      <c r="C1444" s="524" t="s">
        <v>2302</v>
      </c>
      <c r="D1444" s="524" t="s">
        <v>2303</v>
      </c>
      <c r="H1444" s="524"/>
    </row>
    <row r="1445" spans="3:8" ht="13.5" customHeight="1">
      <c r="C1445" s="524" t="s">
        <v>2304</v>
      </c>
      <c r="D1445" s="524" t="s">
        <v>2305</v>
      </c>
      <c r="H1445" s="524"/>
    </row>
    <row r="1446" spans="3:8" ht="13.5" customHeight="1">
      <c r="C1446" s="524" t="s">
        <v>2306</v>
      </c>
      <c r="D1446" s="524" t="s">
        <v>2307</v>
      </c>
      <c r="H1446" s="524"/>
    </row>
    <row r="1447" spans="3:8" ht="13.5" customHeight="1">
      <c r="C1447" s="524" t="s">
        <v>2308</v>
      </c>
      <c r="D1447" s="524" t="s">
        <v>2309</v>
      </c>
      <c r="H1447" s="524"/>
    </row>
    <row r="1448" spans="3:8" ht="13.5" customHeight="1">
      <c r="C1448" s="524" t="s">
        <v>2310</v>
      </c>
      <c r="D1448" s="524" t="s">
        <v>2311</v>
      </c>
      <c r="H1448" s="524"/>
    </row>
    <row r="1449" spans="3:8" ht="13.5" customHeight="1">
      <c r="C1449" s="524" t="s">
        <v>2312</v>
      </c>
      <c r="D1449" s="524" t="s">
        <v>2313</v>
      </c>
      <c r="H1449" s="524"/>
    </row>
    <row r="1450" spans="3:8" ht="13.5" customHeight="1">
      <c r="C1450" s="524" t="s">
        <v>2314</v>
      </c>
      <c r="D1450" s="524" t="s">
        <v>2315</v>
      </c>
      <c r="H1450" s="524"/>
    </row>
    <row r="1451" spans="3:8" ht="13.5" customHeight="1">
      <c r="C1451" s="524" t="s">
        <v>2316</v>
      </c>
      <c r="D1451" s="524" t="s">
        <v>2317</v>
      </c>
      <c r="H1451" s="524"/>
    </row>
    <row r="1452" spans="3:8" ht="13.5" customHeight="1">
      <c r="C1452" s="524" t="s">
        <v>2318</v>
      </c>
      <c r="D1452" s="524" t="s">
        <v>2319</v>
      </c>
      <c r="H1452" s="524"/>
    </row>
    <row r="1453" spans="3:8" ht="13.5" customHeight="1">
      <c r="C1453" s="524" t="s">
        <v>2320</v>
      </c>
      <c r="D1453" s="524" t="s">
        <v>2321</v>
      </c>
      <c r="H1453" s="524"/>
    </row>
    <row r="1454" spans="3:8" ht="13.5" customHeight="1">
      <c r="C1454" s="524" t="s">
        <v>2322</v>
      </c>
      <c r="D1454" s="524" t="s">
        <v>2323</v>
      </c>
      <c r="H1454" s="524"/>
    </row>
    <row r="1455" spans="3:8" ht="13.5" customHeight="1">
      <c r="C1455" s="524" t="s">
        <v>2324</v>
      </c>
      <c r="D1455" s="524" t="s">
        <v>2325</v>
      </c>
      <c r="H1455" s="524"/>
    </row>
    <row r="1456" spans="3:8" ht="13.5" customHeight="1">
      <c r="C1456" s="524" t="s">
        <v>2326</v>
      </c>
      <c r="D1456" s="524" t="s">
        <v>2327</v>
      </c>
      <c r="H1456" s="524"/>
    </row>
    <row r="1457" spans="3:8" ht="13.5" customHeight="1">
      <c r="C1457" s="524" t="s">
        <v>2328</v>
      </c>
      <c r="D1457" s="524" t="s">
        <v>2329</v>
      </c>
      <c r="H1457" s="524"/>
    </row>
    <row r="1458" spans="3:8" ht="13.5" customHeight="1">
      <c r="C1458" s="524" t="s">
        <v>2330</v>
      </c>
      <c r="D1458" s="524" t="s">
        <v>2331</v>
      </c>
      <c r="H1458" s="524"/>
    </row>
    <row r="1459" spans="3:8" ht="13.5" customHeight="1">
      <c r="C1459" s="524" t="s">
        <v>2332</v>
      </c>
      <c r="D1459" s="524" t="s">
        <v>2333</v>
      </c>
      <c r="H1459" s="524"/>
    </row>
    <row r="1460" spans="3:8" ht="13.5" customHeight="1">
      <c r="C1460" s="524" t="s">
        <v>2334</v>
      </c>
      <c r="D1460" s="524" t="s">
        <v>2335</v>
      </c>
      <c r="H1460" s="524"/>
    </row>
    <row r="1461" spans="3:8" ht="13.5" customHeight="1">
      <c r="C1461" s="524" t="s">
        <v>2336</v>
      </c>
      <c r="D1461" s="524" t="s">
        <v>2337</v>
      </c>
      <c r="H1461" s="524"/>
    </row>
    <row r="1462" spans="3:8" ht="13.5" customHeight="1">
      <c r="C1462" s="524" t="s">
        <v>2338</v>
      </c>
      <c r="D1462" s="524" t="s">
        <v>2339</v>
      </c>
      <c r="H1462" s="524"/>
    </row>
    <row r="1463" spans="3:8" ht="13.5" customHeight="1">
      <c r="C1463" s="524" t="s">
        <v>2340</v>
      </c>
      <c r="D1463" s="524" t="s">
        <v>2341</v>
      </c>
      <c r="H1463" s="524"/>
    </row>
    <row r="1464" spans="3:8" ht="13.5" customHeight="1">
      <c r="C1464" s="524" t="s">
        <v>2342</v>
      </c>
      <c r="D1464" s="524" t="s">
        <v>2343</v>
      </c>
      <c r="H1464" s="524"/>
    </row>
    <row r="1465" spans="3:8" ht="13.5" customHeight="1">
      <c r="C1465" s="524" t="s">
        <v>2344</v>
      </c>
      <c r="D1465" s="524" t="s">
        <v>2345</v>
      </c>
      <c r="H1465" s="524"/>
    </row>
    <row r="1466" spans="3:8" ht="13.5" customHeight="1">
      <c r="C1466" s="524" t="s">
        <v>2346</v>
      </c>
      <c r="D1466" s="524" t="s">
        <v>2347</v>
      </c>
      <c r="H1466" s="524"/>
    </row>
    <row r="1467" spans="3:8" ht="13.5" customHeight="1">
      <c r="C1467" s="524" t="s">
        <v>2348</v>
      </c>
      <c r="D1467" s="524" t="s">
        <v>2349</v>
      </c>
      <c r="H1467" s="524"/>
    </row>
    <row r="1468" spans="3:8" ht="13.5" customHeight="1">
      <c r="C1468" s="524" t="s">
        <v>2350</v>
      </c>
      <c r="D1468" s="524" t="s">
        <v>2351</v>
      </c>
      <c r="H1468" s="524"/>
    </row>
    <row r="1469" spans="3:8" ht="13.5" customHeight="1">
      <c r="C1469" s="524" t="s">
        <v>2352</v>
      </c>
      <c r="D1469" s="524" t="s">
        <v>2353</v>
      </c>
      <c r="H1469" s="524"/>
    </row>
    <row r="1470" spans="3:8" ht="13.5" customHeight="1">
      <c r="C1470" s="524" t="s">
        <v>2354</v>
      </c>
      <c r="D1470" s="524" t="s">
        <v>2355</v>
      </c>
      <c r="H1470" s="524"/>
    </row>
    <row r="1471" spans="3:8" ht="13.5" customHeight="1">
      <c r="C1471" s="524" t="s">
        <v>2356</v>
      </c>
      <c r="D1471" s="524" t="s">
        <v>2357</v>
      </c>
      <c r="H1471" s="524"/>
    </row>
    <row r="1472" spans="3:8" ht="13.5" customHeight="1">
      <c r="C1472" s="524" t="s">
        <v>2358</v>
      </c>
      <c r="D1472" s="524" t="s">
        <v>2359</v>
      </c>
      <c r="H1472" s="524"/>
    </row>
    <row r="1473" spans="3:8" ht="13.5" customHeight="1">
      <c r="C1473" s="524" t="s">
        <v>2360</v>
      </c>
      <c r="D1473" s="524" t="s">
        <v>2361</v>
      </c>
      <c r="H1473" s="524"/>
    </row>
    <row r="1474" spans="3:8" ht="13.5" customHeight="1">
      <c r="C1474" s="524" t="s">
        <v>2362</v>
      </c>
      <c r="D1474" s="524" t="s">
        <v>2363</v>
      </c>
      <c r="H1474" s="524"/>
    </row>
    <row r="1475" spans="3:8" ht="13.5" customHeight="1">
      <c r="C1475" s="524" t="s">
        <v>2364</v>
      </c>
      <c r="D1475" s="524" t="s">
        <v>2365</v>
      </c>
      <c r="H1475" s="524"/>
    </row>
    <row r="1476" spans="3:8" ht="13.5" customHeight="1">
      <c r="C1476" s="524" t="s">
        <v>2366</v>
      </c>
      <c r="D1476" s="524" t="s">
        <v>2367</v>
      </c>
      <c r="H1476" s="524"/>
    </row>
    <row r="1477" spans="3:8" ht="13.5" customHeight="1">
      <c r="C1477" s="524" t="s">
        <v>2368</v>
      </c>
      <c r="D1477" s="524" t="s">
        <v>2369</v>
      </c>
      <c r="H1477" s="524"/>
    </row>
    <row r="1478" spans="3:8" ht="13.5" customHeight="1">
      <c r="C1478" s="524" t="s">
        <v>2370</v>
      </c>
      <c r="D1478" s="524" t="s">
        <v>2371</v>
      </c>
      <c r="H1478" s="524"/>
    </row>
    <row r="1479" spans="3:8" ht="13.5" customHeight="1">
      <c r="C1479" s="524" t="s">
        <v>2372</v>
      </c>
      <c r="D1479" s="524" t="s">
        <v>2373</v>
      </c>
      <c r="H1479" s="524"/>
    </row>
    <row r="1480" spans="3:8" ht="13.5" customHeight="1">
      <c r="C1480" s="524" t="s">
        <v>2374</v>
      </c>
      <c r="D1480" s="524" t="s">
        <v>2375</v>
      </c>
      <c r="H1480" s="524"/>
    </row>
    <row r="1481" spans="3:8" ht="13.5" customHeight="1">
      <c r="C1481" s="524" t="s">
        <v>2376</v>
      </c>
      <c r="D1481" s="524" t="s">
        <v>2377</v>
      </c>
      <c r="H1481" s="524"/>
    </row>
    <row r="1482" spans="3:8" ht="13.5" customHeight="1">
      <c r="C1482" s="524" t="s">
        <v>2378</v>
      </c>
      <c r="D1482" s="524" t="s">
        <v>2379</v>
      </c>
      <c r="H1482" s="524"/>
    </row>
    <row r="1483" spans="3:8" ht="13.5" customHeight="1">
      <c r="C1483" s="524" t="s">
        <v>2380</v>
      </c>
      <c r="D1483" s="524" t="s">
        <v>2381</v>
      </c>
      <c r="H1483" s="524"/>
    </row>
    <row r="1484" spans="3:8" ht="13.5" customHeight="1">
      <c r="C1484" s="524" t="s">
        <v>2382</v>
      </c>
      <c r="D1484" s="524" t="s">
        <v>2383</v>
      </c>
      <c r="H1484" s="524"/>
    </row>
    <row r="1485" spans="3:8" ht="13.5" customHeight="1">
      <c r="C1485" s="524" t="s">
        <v>2384</v>
      </c>
      <c r="D1485" s="524" t="s">
        <v>2385</v>
      </c>
      <c r="H1485" s="524"/>
    </row>
    <row r="1486" spans="3:8" ht="13.5" customHeight="1">
      <c r="C1486" s="524" t="s">
        <v>2386</v>
      </c>
      <c r="D1486" s="524" t="s">
        <v>2387</v>
      </c>
      <c r="H1486" s="524"/>
    </row>
    <row r="1487" spans="3:8" ht="13.5" customHeight="1">
      <c r="C1487" s="524" t="s">
        <v>2388</v>
      </c>
      <c r="D1487" s="524" t="s">
        <v>2389</v>
      </c>
      <c r="H1487" s="524"/>
    </row>
    <row r="1488" spans="3:8" ht="13.5" customHeight="1">
      <c r="C1488" s="524" t="s">
        <v>2390</v>
      </c>
      <c r="D1488" s="524" t="s">
        <v>2391</v>
      </c>
      <c r="H1488" s="524"/>
    </row>
    <row r="1489" spans="3:8" ht="13.5" customHeight="1">
      <c r="C1489" s="524" t="s">
        <v>2392</v>
      </c>
      <c r="D1489" s="524" t="s">
        <v>2393</v>
      </c>
      <c r="H1489" s="524"/>
    </row>
    <row r="1490" spans="3:8" ht="13.5" customHeight="1">
      <c r="C1490" s="524" t="s">
        <v>2394</v>
      </c>
      <c r="D1490" s="524" t="s">
        <v>2395</v>
      </c>
      <c r="H1490" s="524"/>
    </row>
    <row r="1491" spans="3:8" ht="13.5" customHeight="1">
      <c r="C1491" s="524" t="s">
        <v>2396</v>
      </c>
      <c r="D1491" s="524" t="s">
        <v>2397</v>
      </c>
      <c r="H1491" s="524"/>
    </row>
    <row r="1492" spans="3:8" ht="13.5" customHeight="1">
      <c r="C1492" s="524" t="s">
        <v>2398</v>
      </c>
      <c r="D1492" s="524" t="s">
        <v>2399</v>
      </c>
      <c r="H1492" s="524"/>
    </row>
    <row r="1493" spans="3:8" ht="13.5" customHeight="1">
      <c r="C1493" s="524" t="s">
        <v>2400</v>
      </c>
      <c r="D1493" s="524" t="s">
        <v>2401</v>
      </c>
      <c r="H1493" s="524"/>
    </row>
    <row r="1494" spans="3:8" ht="13.5" customHeight="1">
      <c r="C1494" s="524" t="s">
        <v>2402</v>
      </c>
      <c r="D1494" s="524" t="s">
        <v>2403</v>
      </c>
      <c r="H1494" s="524"/>
    </row>
    <row r="1495" spans="3:8" ht="13.5" customHeight="1">
      <c r="C1495" s="524" t="s">
        <v>2404</v>
      </c>
      <c r="D1495" s="524" t="s">
        <v>2405</v>
      </c>
      <c r="H1495" s="524"/>
    </row>
    <row r="1496" spans="3:8" ht="13.5" customHeight="1">
      <c r="C1496" s="524" t="s">
        <v>2406</v>
      </c>
      <c r="D1496" s="524" t="s">
        <v>2407</v>
      </c>
      <c r="H1496" s="524"/>
    </row>
    <row r="1497" spans="3:8" ht="13.5" customHeight="1">
      <c r="C1497" s="524" t="s">
        <v>2408</v>
      </c>
      <c r="D1497" s="524" t="s">
        <v>2409</v>
      </c>
      <c r="H1497" s="524"/>
    </row>
    <row r="1498" spans="3:8" ht="13.5" customHeight="1">
      <c r="C1498" s="524" t="s">
        <v>2410</v>
      </c>
      <c r="D1498" s="524" t="s">
        <v>2411</v>
      </c>
      <c r="H1498" s="524"/>
    </row>
    <row r="1499" spans="3:8" ht="13.5" customHeight="1">
      <c r="C1499" s="524" t="s">
        <v>2412</v>
      </c>
      <c r="D1499" s="524" t="s">
        <v>2413</v>
      </c>
      <c r="H1499" s="524"/>
    </row>
    <row r="1500" spans="3:8" ht="13.5" customHeight="1">
      <c r="C1500" s="524" t="s">
        <v>2414</v>
      </c>
      <c r="D1500" s="524" t="s">
        <v>2415</v>
      </c>
      <c r="H1500" s="524"/>
    </row>
    <row r="1501" spans="3:8" ht="13.5" customHeight="1">
      <c r="C1501" s="524" t="s">
        <v>2416</v>
      </c>
      <c r="D1501" s="524" t="s">
        <v>2417</v>
      </c>
      <c r="H1501" s="524"/>
    </row>
    <row r="1502" spans="3:8" ht="13.5" customHeight="1">
      <c r="C1502" s="524" t="s">
        <v>2418</v>
      </c>
      <c r="D1502" s="524" t="s">
        <v>2419</v>
      </c>
      <c r="H1502" s="524"/>
    </row>
    <row r="1503" spans="3:8" ht="13.5" customHeight="1">
      <c r="C1503" s="524" t="s">
        <v>2420</v>
      </c>
      <c r="D1503" s="524" t="s">
        <v>2421</v>
      </c>
      <c r="H1503" s="524"/>
    </row>
    <row r="1504" spans="3:8" ht="13.5" customHeight="1">
      <c r="C1504" s="524" t="s">
        <v>2422</v>
      </c>
      <c r="D1504" s="524" t="s">
        <v>2423</v>
      </c>
      <c r="H1504" s="524"/>
    </row>
    <row r="1505" spans="3:8" ht="13.5" customHeight="1">
      <c r="C1505" s="524" t="s">
        <v>2424</v>
      </c>
      <c r="D1505" s="524" t="s">
        <v>2425</v>
      </c>
      <c r="H1505" s="524"/>
    </row>
    <row r="1506" spans="3:8" ht="13.5" customHeight="1">
      <c r="C1506" s="524" t="s">
        <v>2426</v>
      </c>
      <c r="D1506" s="524" t="s">
        <v>2427</v>
      </c>
      <c r="H1506" s="524"/>
    </row>
    <row r="1507" spans="3:8" ht="13.5" customHeight="1">
      <c r="C1507" s="524" t="s">
        <v>2428</v>
      </c>
      <c r="D1507" s="524" t="s">
        <v>2429</v>
      </c>
      <c r="H1507" s="524"/>
    </row>
    <row r="1508" spans="3:8" ht="13.5" customHeight="1">
      <c r="C1508" s="524" t="s">
        <v>2430</v>
      </c>
      <c r="D1508" s="524" t="s">
        <v>2431</v>
      </c>
      <c r="H1508" s="524"/>
    </row>
    <row r="1509" spans="3:8" ht="13.5" customHeight="1">
      <c r="C1509" s="524" t="s">
        <v>2432</v>
      </c>
      <c r="D1509" s="524" t="s">
        <v>2433</v>
      </c>
      <c r="H1509" s="524"/>
    </row>
    <row r="1510" spans="3:8" ht="13.5" customHeight="1">
      <c r="C1510" s="524" t="s">
        <v>2434</v>
      </c>
      <c r="D1510" s="524" t="s">
        <v>2435</v>
      </c>
      <c r="H1510" s="524"/>
    </row>
    <row r="1511" spans="3:8" ht="13.5" customHeight="1">
      <c r="C1511" s="524" t="s">
        <v>2436</v>
      </c>
      <c r="D1511" s="524" t="s">
        <v>2437</v>
      </c>
      <c r="H1511" s="524"/>
    </row>
    <row r="1512" spans="3:8" ht="13.5" customHeight="1">
      <c r="C1512" s="524" t="s">
        <v>2438</v>
      </c>
      <c r="D1512" s="524" t="s">
        <v>2439</v>
      </c>
      <c r="H1512" s="524"/>
    </row>
    <row r="1513" spans="3:8" ht="13.5" customHeight="1">
      <c r="C1513" s="524" t="s">
        <v>2440</v>
      </c>
      <c r="D1513" s="524" t="s">
        <v>2441</v>
      </c>
      <c r="H1513" s="524"/>
    </row>
    <row r="1514" spans="3:8" ht="13.5" customHeight="1">
      <c r="C1514" s="524" t="s">
        <v>2442</v>
      </c>
      <c r="D1514" s="524" t="s">
        <v>2443</v>
      </c>
      <c r="H1514" s="524"/>
    </row>
    <row r="1515" spans="3:8" ht="13.5" customHeight="1">
      <c r="C1515" s="524" t="s">
        <v>2444</v>
      </c>
      <c r="D1515" s="524" t="s">
        <v>2445</v>
      </c>
      <c r="H1515" s="524"/>
    </row>
    <row r="1516" spans="3:8" ht="13.5" customHeight="1">
      <c r="C1516" s="524" t="s">
        <v>2446</v>
      </c>
      <c r="D1516" s="524" t="s">
        <v>2447</v>
      </c>
      <c r="H1516" s="524"/>
    </row>
    <row r="1517" spans="3:8" ht="13.5" customHeight="1">
      <c r="C1517" s="524" t="s">
        <v>2448</v>
      </c>
      <c r="D1517" s="524" t="s">
        <v>2449</v>
      </c>
      <c r="H1517" s="524"/>
    </row>
    <row r="1518" spans="3:8" ht="13.5" customHeight="1">
      <c r="C1518" s="524" t="s">
        <v>2450</v>
      </c>
      <c r="D1518" s="524" t="s">
        <v>2451</v>
      </c>
      <c r="H1518" s="524"/>
    </row>
    <row r="1519" spans="3:8" ht="13.5" customHeight="1">
      <c r="C1519" s="524" t="s">
        <v>2452</v>
      </c>
      <c r="D1519" s="524" t="s">
        <v>2453</v>
      </c>
      <c r="H1519" s="524"/>
    </row>
    <row r="1520" spans="3:8" ht="13.5" customHeight="1">
      <c r="C1520" s="524" t="s">
        <v>2454</v>
      </c>
      <c r="D1520" s="524" t="s">
        <v>2455</v>
      </c>
      <c r="H1520" s="524"/>
    </row>
    <row r="1521" spans="3:8" ht="13.5" customHeight="1">
      <c r="C1521" s="524" t="s">
        <v>2456</v>
      </c>
      <c r="D1521" s="524" t="s">
        <v>2457</v>
      </c>
      <c r="H1521" s="524"/>
    </row>
    <row r="1522" spans="3:8" ht="13.5" customHeight="1">
      <c r="C1522" s="524" t="s">
        <v>2458</v>
      </c>
      <c r="D1522" s="524" t="s">
        <v>2459</v>
      </c>
      <c r="H1522" s="524"/>
    </row>
    <row r="1523" spans="3:8" ht="13.5" customHeight="1">
      <c r="C1523" s="524" t="s">
        <v>2460</v>
      </c>
      <c r="D1523" s="524" t="s">
        <v>2461</v>
      </c>
      <c r="H1523" s="524"/>
    </row>
    <row r="1524" spans="3:8" ht="13.5" customHeight="1">
      <c r="C1524" s="524" t="s">
        <v>2462</v>
      </c>
      <c r="D1524" s="524" t="s">
        <v>2463</v>
      </c>
      <c r="H1524" s="524"/>
    </row>
    <row r="1525" spans="3:8" ht="13.5" customHeight="1">
      <c r="C1525" s="524" t="s">
        <v>2464</v>
      </c>
      <c r="D1525" s="524" t="s">
        <v>2465</v>
      </c>
      <c r="H1525" s="524"/>
    </row>
    <row r="1526" spans="3:8" ht="13.5" customHeight="1">
      <c r="C1526" s="524" t="s">
        <v>2466</v>
      </c>
      <c r="D1526" s="524" t="s">
        <v>2467</v>
      </c>
      <c r="H1526" s="524"/>
    </row>
    <row r="1527" spans="3:8" ht="13.5" customHeight="1">
      <c r="C1527" s="524" t="s">
        <v>2468</v>
      </c>
      <c r="D1527" s="524" t="s">
        <v>2469</v>
      </c>
      <c r="H1527" s="524"/>
    </row>
    <row r="1528" spans="3:8" ht="13.5" customHeight="1">
      <c r="C1528" s="524" t="s">
        <v>2470</v>
      </c>
      <c r="D1528" s="524" t="s">
        <v>2471</v>
      </c>
      <c r="H1528" s="524"/>
    </row>
    <row r="1529" spans="3:8" ht="13.5" customHeight="1">
      <c r="C1529" s="524" t="s">
        <v>2472</v>
      </c>
      <c r="D1529" s="524" t="s">
        <v>2473</v>
      </c>
      <c r="H1529" s="524"/>
    </row>
    <row r="1530" spans="3:8" ht="13.5" customHeight="1">
      <c r="C1530" s="524" t="s">
        <v>2474</v>
      </c>
      <c r="D1530" s="524" t="s">
        <v>2475</v>
      </c>
      <c r="H1530" s="524"/>
    </row>
    <row r="1531" spans="3:8" ht="13.5" customHeight="1">
      <c r="C1531" s="524" t="s">
        <v>2476</v>
      </c>
      <c r="D1531" s="524" t="s">
        <v>2477</v>
      </c>
      <c r="H1531" s="524"/>
    </row>
    <row r="1532" spans="3:8" ht="13.5" customHeight="1">
      <c r="C1532" s="524" t="s">
        <v>2478</v>
      </c>
      <c r="D1532" s="524" t="s">
        <v>2479</v>
      </c>
      <c r="H1532" s="524"/>
    </row>
    <row r="1533" spans="3:8" ht="13.5" customHeight="1">
      <c r="C1533" s="524" t="s">
        <v>2480</v>
      </c>
      <c r="D1533" s="524" t="s">
        <v>2481</v>
      </c>
      <c r="H1533" s="524"/>
    </row>
    <row r="1534" spans="3:8" ht="13.5" customHeight="1">
      <c r="C1534" s="524" t="s">
        <v>2482</v>
      </c>
      <c r="D1534" s="524" t="s">
        <v>2483</v>
      </c>
      <c r="H1534" s="524"/>
    </row>
    <row r="1535" spans="3:8" ht="13.5" customHeight="1">
      <c r="C1535" s="524" t="s">
        <v>2484</v>
      </c>
      <c r="D1535" s="524" t="s">
        <v>2485</v>
      </c>
      <c r="H1535" s="524"/>
    </row>
    <row r="1536" spans="3:8" ht="13.5" customHeight="1">
      <c r="C1536" s="524" t="s">
        <v>2486</v>
      </c>
      <c r="D1536" s="524" t="s">
        <v>2487</v>
      </c>
      <c r="H1536" s="524"/>
    </row>
    <row r="1537" spans="3:8" ht="13.5" customHeight="1">
      <c r="C1537" s="524" t="s">
        <v>2488</v>
      </c>
      <c r="D1537" s="524" t="s">
        <v>2489</v>
      </c>
      <c r="H1537" s="524"/>
    </row>
    <row r="1538" spans="3:8" ht="13.5" customHeight="1">
      <c r="C1538" s="524" t="s">
        <v>2490</v>
      </c>
      <c r="D1538" s="524" t="s">
        <v>2491</v>
      </c>
      <c r="H1538" s="524"/>
    </row>
    <row r="1539" spans="3:8" ht="13.5" customHeight="1">
      <c r="C1539" s="524" t="s">
        <v>2492</v>
      </c>
      <c r="D1539" s="524" t="s">
        <v>2493</v>
      </c>
      <c r="H1539" s="524"/>
    </row>
    <row r="1540" spans="3:8" ht="13.5" customHeight="1">
      <c r="C1540" s="524" t="s">
        <v>2494</v>
      </c>
      <c r="D1540" s="524" t="s">
        <v>2495</v>
      </c>
      <c r="H1540" s="524"/>
    </row>
    <row r="1541" spans="3:8" ht="13.5" customHeight="1">
      <c r="C1541" s="524" t="s">
        <v>2496</v>
      </c>
      <c r="D1541" s="524" t="s">
        <v>2497</v>
      </c>
      <c r="H1541" s="524"/>
    </row>
    <row r="1542" spans="3:8" ht="13.5" customHeight="1">
      <c r="C1542" s="524" t="s">
        <v>2498</v>
      </c>
      <c r="D1542" s="524" t="s">
        <v>2499</v>
      </c>
      <c r="H1542" s="524"/>
    </row>
    <row r="1543" spans="3:8" ht="13.5" customHeight="1">
      <c r="C1543" s="524" t="s">
        <v>2500</v>
      </c>
      <c r="D1543" s="524" t="s">
        <v>2501</v>
      </c>
      <c r="H1543" s="524"/>
    </row>
    <row r="1544" spans="3:8" ht="13.5" customHeight="1">
      <c r="C1544" s="524" t="s">
        <v>2502</v>
      </c>
      <c r="D1544" s="524" t="s">
        <v>2503</v>
      </c>
      <c r="H1544" s="524"/>
    </row>
    <row r="1545" spans="3:8" ht="13.5" customHeight="1">
      <c r="C1545" s="524" t="s">
        <v>2504</v>
      </c>
      <c r="D1545" s="524" t="s">
        <v>2505</v>
      </c>
      <c r="H1545" s="524"/>
    </row>
    <row r="1546" spans="3:8" ht="13.5" customHeight="1">
      <c r="C1546" s="524" t="s">
        <v>2506</v>
      </c>
      <c r="D1546" s="524" t="s">
        <v>2507</v>
      </c>
      <c r="H1546" s="524"/>
    </row>
    <row r="1547" spans="3:8" ht="13.5" customHeight="1">
      <c r="C1547" s="524" t="s">
        <v>2508</v>
      </c>
      <c r="D1547" s="524" t="s">
        <v>2493</v>
      </c>
      <c r="H1547" s="524"/>
    </row>
    <row r="1548" spans="3:8" ht="13.5" customHeight="1">
      <c r="C1548" s="524" t="s">
        <v>2509</v>
      </c>
      <c r="D1548" s="524" t="s">
        <v>2510</v>
      </c>
      <c r="H1548" s="524"/>
    </row>
    <row r="1549" spans="3:8" ht="13.5" customHeight="1">
      <c r="C1549" s="524" t="s">
        <v>2511</v>
      </c>
      <c r="D1549" s="524" t="s">
        <v>2512</v>
      </c>
      <c r="H1549" s="524"/>
    </row>
    <row r="1550" spans="3:8" ht="13.5" customHeight="1">
      <c r="C1550" s="524" t="s">
        <v>2513</v>
      </c>
      <c r="D1550" s="524" t="s">
        <v>2495</v>
      </c>
      <c r="H1550" s="524"/>
    </row>
    <row r="1551" spans="3:8" ht="13.5" customHeight="1">
      <c r="C1551" s="524" t="s">
        <v>2514</v>
      </c>
      <c r="D1551" s="524" t="s">
        <v>2497</v>
      </c>
      <c r="H1551" s="524"/>
    </row>
    <row r="1552" spans="3:8" ht="13.5" customHeight="1">
      <c r="C1552" s="524" t="s">
        <v>2515</v>
      </c>
      <c r="D1552" s="524" t="s">
        <v>2499</v>
      </c>
      <c r="H1552" s="524"/>
    </row>
    <row r="1553" spans="3:8" ht="13.5" customHeight="1">
      <c r="C1553" s="524" t="s">
        <v>2516</v>
      </c>
      <c r="D1553" s="524" t="s">
        <v>2501</v>
      </c>
      <c r="H1553" s="524"/>
    </row>
    <row r="1554" spans="3:8" ht="13.5" customHeight="1">
      <c r="C1554" s="524" t="s">
        <v>2517</v>
      </c>
      <c r="D1554" s="524" t="s">
        <v>2518</v>
      </c>
      <c r="H1554" s="524"/>
    </row>
    <row r="1555" spans="3:8" ht="13.5" customHeight="1">
      <c r="C1555" s="524" t="s">
        <v>2519</v>
      </c>
      <c r="D1555" s="524" t="s">
        <v>2520</v>
      </c>
      <c r="H1555" s="524"/>
    </row>
    <row r="1556" spans="3:8" ht="13.5" customHeight="1">
      <c r="C1556" s="524" t="s">
        <v>2521</v>
      </c>
      <c r="D1556" s="524" t="s">
        <v>2522</v>
      </c>
      <c r="H1556" s="524"/>
    </row>
    <row r="1557" spans="3:8" ht="13.5" customHeight="1">
      <c r="C1557" s="524" t="s">
        <v>2523</v>
      </c>
      <c r="D1557" s="524" t="s">
        <v>2524</v>
      </c>
      <c r="H1557" s="524"/>
    </row>
    <row r="1558" spans="3:8" ht="13.5" customHeight="1">
      <c r="C1558" s="524" t="s">
        <v>2525</v>
      </c>
      <c r="D1558" s="524" t="s">
        <v>2526</v>
      </c>
      <c r="H1558" s="524"/>
    </row>
    <row r="1559" spans="3:8" ht="13.5" customHeight="1">
      <c r="C1559" s="524" t="s">
        <v>2527</v>
      </c>
      <c r="D1559" s="524" t="s">
        <v>2528</v>
      </c>
      <c r="H1559" s="524"/>
    </row>
    <row r="1560" spans="3:8" ht="13.5" customHeight="1">
      <c r="C1560" s="524" t="s">
        <v>2529</v>
      </c>
      <c r="D1560" s="524" t="s">
        <v>2530</v>
      </c>
      <c r="H1560" s="524"/>
    </row>
    <row r="1561" spans="3:8" ht="13.5" customHeight="1">
      <c r="C1561" s="524" t="s">
        <v>2531</v>
      </c>
      <c r="D1561" s="524" t="s">
        <v>2532</v>
      </c>
      <c r="H1561" s="524"/>
    </row>
    <row r="1562" spans="3:8" ht="13.5" customHeight="1">
      <c r="C1562" s="524" t="s">
        <v>2533</v>
      </c>
      <c r="D1562" s="524" t="s">
        <v>2534</v>
      </c>
      <c r="H1562" s="524"/>
    </row>
    <row r="1563" spans="3:8" ht="13.5" customHeight="1">
      <c r="C1563" s="524" t="s">
        <v>2535</v>
      </c>
      <c r="D1563" s="524" t="s">
        <v>2536</v>
      </c>
      <c r="H1563" s="524"/>
    </row>
    <row r="1564" spans="3:8" ht="13.5" customHeight="1">
      <c r="C1564" s="524" t="s">
        <v>2537</v>
      </c>
      <c r="D1564" s="524" t="s">
        <v>2538</v>
      </c>
      <c r="H1564" s="524"/>
    </row>
    <row r="1565" spans="3:8" ht="13.5" customHeight="1">
      <c r="C1565" s="524" t="s">
        <v>2539</v>
      </c>
      <c r="D1565" s="524" t="s">
        <v>2540</v>
      </c>
      <c r="H1565" s="524"/>
    </row>
    <row r="1566" spans="3:8" ht="13.5" customHeight="1">
      <c r="C1566" s="524" t="s">
        <v>2541</v>
      </c>
      <c r="D1566" s="524" t="s">
        <v>2542</v>
      </c>
      <c r="H1566" s="524"/>
    </row>
    <row r="1567" spans="3:8" ht="13.5" customHeight="1">
      <c r="C1567" s="524" t="s">
        <v>2543</v>
      </c>
      <c r="D1567" s="524" t="s">
        <v>2544</v>
      </c>
      <c r="H1567" s="524"/>
    </row>
    <row r="1568" spans="3:8" ht="13.5" customHeight="1">
      <c r="C1568" s="524" t="s">
        <v>2545</v>
      </c>
      <c r="D1568" s="524" t="s">
        <v>2546</v>
      </c>
      <c r="H1568" s="524"/>
    </row>
    <row r="1569" spans="3:8" ht="13.5" customHeight="1">
      <c r="C1569" s="524" t="s">
        <v>2547</v>
      </c>
      <c r="D1569" s="524" t="s">
        <v>2548</v>
      </c>
      <c r="H1569" s="524"/>
    </row>
    <row r="1570" spans="3:8" ht="13.5" customHeight="1">
      <c r="C1570" s="524" t="s">
        <v>2549</v>
      </c>
      <c r="D1570" s="524" t="s">
        <v>2550</v>
      </c>
      <c r="H1570" s="524"/>
    </row>
    <row r="1571" spans="3:8" ht="13.5" customHeight="1">
      <c r="C1571" s="524" t="s">
        <v>2551</v>
      </c>
      <c r="D1571" s="524" t="s">
        <v>2552</v>
      </c>
      <c r="H1571" s="524"/>
    </row>
    <row r="1572" spans="3:8" ht="13.5" customHeight="1">
      <c r="C1572" s="524" t="s">
        <v>2553</v>
      </c>
      <c r="D1572" s="524" t="s">
        <v>2554</v>
      </c>
      <c r="H1572" s="524"/>
    </row>
    <row r="1573" spans="3:8" ht="13.5" customHeight="1">
      <c r="C1573" s="524" t="s">
        <v>2555</v>
      </c>
      <c r="D1573" s="524" t="s">
        <v>2556</v>
      </c>
      <c r="H1573" s="524"/>
    </row>
    <row r="1574" spans="3:8" ht="13.5" customHeight="1">
      <c r="C1574" s="524" t="s">
        <v>2557</v>
      </c>
      <c r="D1574" s="524" t="s">
        <v>2558</v>
      </c>
      <c r="H1574" s="524"/>
    </row>
    <row r="1575" spans="3:8" ht="13.5" customHeight="1">
      <c r="C1575" s="524" t="s">
        <v>2559</v>
      </c>
      <c r="D1575" s="524" t="s">
        <v>2560</v>
      </c>
      <c r="H1575" s="524"/>
    </row>
    <row r="1576" spans="3:8" ht="13.5" customHeight="1">
      <c r="C1576" s="524" t="s">
        <v>2561</v>
      </c>
      <c r="D1576" s="524" t="s">
        <v>2558</v>
      </c>
      <c r="H1576" s="524"/>
    </row>
    <row r="1577" spans="3:8" ht="13.5" customHeight="1">
      <c r="C1577" s="524" t="s">
        <v>2562</v>
      </c>
      <c r="D1577" s="524" t="s">
        <v>2563</v>
      </c>
      <c r="H1577" s="524"/>
    </row>
    <row r="1578" spans="3:8" ht="13.5" customHeight="1">
      <c r="C1578" s="524" t="s">
        <v>2564</v>
      </c>
      <c r="D1578" s="524" t="s">
        <v>2565</v>
      </c>
      <c r="H1578" s="524"/>
    </row>
    <row r="1579" spans="3:8" ht="13.5" customHeight="1">
      <c r="C1579" s="524" t="s">
        <v>2566</v>
      </c>
      <c r="D1579" s="524" t="s">
        <v>2567</v>
      </c>
      <c r="H1579" s="524"/>
    </row>
    <row r="1580" spans="3:8" ht="13.5" customHeight="1">
      <c r="C1580" s="524" t="s">
        <v>2568</v>
      </c>
      <c r="D1580" s="524" t="s">
        <v>2569</v>
      </c>
      <c r="H1580" s="524"/>
    </row>
    <row r="1581" spans="3:8" ht="13.5" customHeight="1">
      <c r="C1581" s="524" t="s">
        <v>2570</v>
      </c>
      <c r="D1581" s="524" t="s">
        <v>2571</v>
      </c>
      <c r="H1581" s="524"/>
    </row>
    <row r="1582" spans="3:8" ht="13.5" customHeight="1">
      <c r="C1582" s="524" t="s">
        <v>2572</v>
      </c>
      <c r="D1582" s="524" t="s">
        <v>2573</v>
      </c>
      <c r="H1582" s="524"/>
    </row>
    <row r="1583" spans="3:8" ht="13.5" customHeight="1">
      <c r="C1583" s="524" t="s">
        <v>2574</v>
      </c>
      <c r="D1583" s="524" t="s">
        <v>2575</v>
      </c>
      <c r="H1583" s="524"/>
    </row>
    <row r="1584" spans="3:8" ht="13.5" customHeight="1">
      <c r="C1584" s="524" t="s">
        <v>2576</v>
      </c>
      <c r="D1584" s="524" t="s">
        <v>2577</v>
      </c>
      <c r="H1584" s="524"/>
    </row>
    <row r="1585" spans="3:8" ht="13.5" customHeight="1">
      <c r="C1585" s="524" t="s">
        <v>2578</v>
      </c>
      <c r="D1585" s="524" t="s">
        <v>2579</v>
      </c>
      <c r="H1585" s="524"/>
    </row>
    <row r="1586" spans="3:8" ht="13.5" customHeight="1">
      <c r="C1586" s="524" t="s">
        <v>2580</v>
      </c>
      <c r="D1586" s="524" t="s">
        <v>2581</v>
      </c>
      <c r="H1586" s="524"/>
    </row>
    <row r="1587" spans="3:8" ht="13.5" customHeight="1">
      <c r="C1587" s="524" t="s">
        <v>2582</v>
      </c>
      <c r="D1587" s="524" t="s">
        <v>2583</v>
      </c>
      <c r="H1587" s="524"/>
    </row>
    <row r="1588" spans="3:8" ht="13.5" customHeight="1">
      <c r="C1588" s="524" t="s">
        <v>2584</v>
      </c>
      <c r="D1588" s="524" t="s">
        <v>2585</v>
      </c>
      <c r="H1588" s="524"/>
    </row>
    <row r="1589" spans="3:8" ht="13.5" customHeight="1">
      <c r="C1589" s="524" t="s">
        <v>2586</v>
      </c>
      <c r="D1589" s="524" t="s">
        <v>2587</v>
      </c>
      <c r="H1589" s="524"/>
    </row>
    <row r="1590" spans="3:8" ht="13.5" customHeight="1">
      <c r="C1590" s="524" t="s">
        <v>2588</v>
      </c>
      <c r="D1590" s="524" t="s">
        <v>2589</v>
      </c>
      <c r="H1590" s="524"/>
    </row>
    <row r="1591" spans="3:8" ht="13.5" customHeight="1">
      <c r="C1591" s="524" t="s">
        <v>2590</v>
      </c>
      <c r="D1591" s="524" t="s">
        <v>2591</v>
      </c>
      <c r="H1591" s="524"/>
    </row>
    <row r="1592" spans="3:8" ht="13.5" customHeight="1">
      <c r="C1592" s="524" t="s">
        <v>2592</v>
      </c>
      <c r="D1592" s="524" t="s">
        <v>2593</v>
      </c>
      <c r="H1592" s="524"/>
    </row>
    <row r="1593" spans="3:8" ht="13.5" customHeight="1">
      <c r="C1593" s="524" t="s">
        <v>2594</v>
      </c>
      <c r="D1593" s="524" t="s">
        <v>2595</v>
      </c>
      <c r="H1593" s="524"/>
    </row>
    <row r="1594" spans="3:8" ht="13.5" customHeight="1">
      <c r="C1594" s="524" t="s">
        <v>2596</v>
      </c>
      <c r="D1594" s="524" t="s">
        <v>2597</v>
      </c>
      <c r="H1594" s="524"/>
    </row>
    <row r="1595" spans="3:8" ht="13.5" customHeight="1">
      <c r="C1595" s="524" t="s">
        <v>2598</v>
      </c>
      <c r="D1595" s="524" t="s">
        <v>2599</v>
      </c>
      <c r="H1595" s="524"/>
    </row>
    <row r="1596" spans="3:8" ht="13.5" customHeight="1">
      <c r="C1596" s="524" t="s">
        <v>2600</v>
      </c>
      <c r="D1596" s="524" t="s">
        <v>2601</v>
      </c>
      <c r="H1596" s="524"/>
    </row>
    <row r="1597" spans="3:8" ht="13.5" customHeight="1">
      <c r="C1597" s="524" t="s">
        <v>2602</v>
      </c>
      <c r="D1597" s="524" t="s">
        <v>2603</v>
      </c>
      <c r="H1597" s="524"/>
    </row>
    <row r="1598" spans="3:8" ht="13.5" customHeight="1">
      <c r="C1598" s="524" t="s">
        <v>2604</v>
      </c>
      <c r="D1598" s="524" t="s">
        <v>2605</v>
      </c>
      <c r="H1598" s="524"/>
    </row>
    <row r="1599" spans="3:8" ht="13.5" customHeight="1">
      <c r="C1599" s="524" t="s">
        <v>2606</v>
      </c>
      <c r="D1599" s="524" t="s">
        <v>2607</v>
      </c>
      <c r="H1599" s="524"/>
    </row>
    <row r="1600" spans="3:8" ht="13.5" customHeight="1">
      <c r="C1600" s="524" t="s">
        <v>2608</v>
      </c>
      <c r="D1600" s="524" t="s">
        <v>2609</v>
      </c>
      <c r="H1600" s="524"/>
    </row>
    <row r="1601" spans="3:8" ht="13.5" customHeight="1">
      <c r="C1601" s="524" t="s">
        <v>2610</v>
      </c>
      <c r="D1601" s="524" t="s">
        <v>2611</v>
      </c>
      <c r="H1601" s="524"/>
    </row>
    <row r="1602" spans="3:8" ht="13.5" customHeight="1">
      <c r="C1602" s="524" t="s">
        <v>2612</v>
      </c>
      <c r="D1602" s="524" t="s">
        <v>2613</v>
      </c>
      <c r="H1602" s="524"/>
    </row>
    <row r="1603" spans="3:8" ht="13.5" customHeight="1">
      <c r="C1603" s="524" t="s">
        <v>2614</v>
      </c>
      <c r="D1603" s="524" t="s">
        <v>2615</v>
      </c>
      <c r="H1603" s="524"/>
    </row>
    <row r="1604" spans="3:8" ht="13.5" customHeight="1">
      <c r="C1604" s="524" t="s">
        <v>2616</v>
      </c>
      <c r="D1604" s="524" t="s">
        <v>2617</v>
      </c>
      <c r="H1604" s="524"/>
    </row>
    <row r="1605" spans="3:8" ht="13.5" customHeight="1">
      <c r="C1605" s="524" t="s">
        <v>2618</v>
      </c>
      <c r="D1605" s="524" t="s">
        <v>2619</v>
      </c>
      <c r="H1605" s="524"/>
    </row>
    <row r="1606" spans="3:8" ht="13.5" customHeight="1">
      <c r="C1606" s="524" t="s">
        <v>2620</v>
      </c>
      <c r="D1606" s="524" t="s">
        <v>2621</v>
      </c>
      <c r="H1606" s="524"/>
    </row>
    <row r="1607" spans="3:8" ht="13.5" customHeight="1">
      <c r="C1607" s="524" t="s">
        <v>2622</v>
      </c>
      <c r="D1607" s="524" t="s">
        <v>2623</v>
      </c>
      <c r="H1607" s="524"/>
    </row>
    <row r="1608" spans="3:8" ht="13.5" customHeight="1">
      <c r="C1608" s="524" t="s">
        <v>2624</v>
      </c>
      <c r="D1608" s="524" t="s">
        <v>2625</v>
      </c>
      <c r="H1608" s="524"/>
    </row>
    <row r="1609" spans="3:8" ht="13.5" customHeight="1">
      <c r="C1609" s="524" t="s">
        <v>2626</v>
      </c>
      <c r="D1609" s="524" t="s">
        <v>2627</v>
      </c>
      <c r="H1609" s="524"/>
    </row>
    <row r="1610" spans="3:8" ht="13.5" customHeight="1">
      <c r="C1610" s="524" t="s">
        <v>2628</v>
      </c>
      <c r="D1610" s="524" t="s">
        <v>2629</v>
      </c>
      <c r="H1610" s="524"/>
    </row>
    <row r="1611" spans="3:8" ht="13.5" customHeight="1">
      <c r="C1611" s="524" t="s">
        <v>2630</v>
      </c>
      <c r="D1611" s="524" t="s">
        <v>2631</v>
      </c>
      <c r="H1611" s="524"/>
    </row>
    <row r="1612" spans="3:8" ht="13.5" customHeight="1">
      <c r="C1612" s="524" t="s">
        <v>2632</v>
      </c>
      <c r="D1612" s="524" t="s">
        <v>2633</v>
      </c>
      <c r="H1612" s="524"/>
    </row>
    <row r="1613" spans="3:8" ht="13.5" customHeight="1">
      <c r="C1613" s="524" t="s">
        <v>2634</v>
      </c>
      <c r="D1613" s="524" t="s">
        <v>2635</v>
      </c>
      <c r="H1613" s="524"/>
    </row>
    <row r="1614" spans="3:8" ht="13.5" customHeight="1">
      <c r="C1614" s="524" t="s">
        <v>2636</v>
      </c>
      <c r="D1614" s="524" t="s">
        <v>2637</v>
      </c>
      <c r="H1614" s="524"/>
    </row>
    <row r="1615" spans="3:8" ht="13.5" customHeight="1">
      <c r="C1615" s="524" t="s">
        <v>2638</v>
      </c>
      <c r="D1615" s="524" t="s">
        <v>2639</v>
      </c>
      <c r="H1615" s="524"/>
    </row>
    <row r="1616" spans="3:8" ht="13.5" customHeight="1">
      <c r="C1616" s="524" t="s">
        <v>2640</v>
      </c>
      <c r="D1616" s="524" t="s">
        <v>2641</v>
      </c>
      <c r="H1616" s="524"/>
    </row>
    <row r="1617" spans="3:8" ht="13.5" customHeight="1">
      <c r="C1617" s="524" t="s">
        <v>2642</v>
      </c>
      <c r="D1617" s="524" t="s">
        <v>2643</v>
      </c>
      <c r="H1617" s="524"/>
    </row>
    <row r="1618" spans="3:8" ht="13.5" customHeight="1">
      <c r="C1618" s="524" t="s">
        <v>2644</v>
      </c>
      <c r="D1618" s="524" t="s">
        <v>2645</v>
      </c>
      <c r="H1618" s="524"/>
    </row>
    <row r="1619" spans="3:8" ht="13.5" customHeight="1">
      <c r="C1619" s="524" t="s">
        <v>2646</v>
      </c>
      <c r="D1619" s="524" t="s">
        <v>2647</v>
      </c>
      <c r="H1619" s="524"/>
    </row>
    <row r="1620" spans="3:8" ht="13.5" customHeight="1">
      <c r="C1620" s="524" t="s">
        <v>2648</v>
      </c>
      <c r="D1620" s="524" t="s">
        <v>2649</v>
      </c>
      <c r="H1620" s="524"/>
    </row>
    <row r="1621" spans="3:8" ht="13.5" customHeight="1">
      <c r="C1621" s="524" t="s">
        <v>2650</v>
      </c>
      <c r="D1621" s="524" t="s">
        <v>2651</v>
      </c>
      <c r="H1621" s="524"/>
    </row>
    <row r="1622" spans="3:8" ht="13.5" customHeight="1">
      <c r="C1622" s="524" t="s">
        <v>2652</v>
      </c>
      <c r="D1622" s="524" t="s">
        <v>2653</v>
      </c>
      <c r="H1622" s="524"/>
    </row>
    <row r="1623" spans="3:8" ht="13.5" customHeight="1">
      <c r="C1623" s="524" t="s">
        <v>2654</v>
      </c>
      <c r="D1623" s="524" t="s">
        <v>2655</v>
      </c>
      <c r="H1623" s="524"/>
    </row>
    <row r="1624" spans="3:8" ht="13.5" customHeight="1">
      <c r="C1624" s="524" t="s">
        <v>2656</v>
      </c>
      <c r="D1624" s="524" t="s">
        <v>2657</v>
      </c>
      <c r="H1624" s="524"/>
    </row>
    <row r="1625" spans="3:8" ht="13.5" customHeight="1">
      <c r="C1625" s="524" t="s">
        <v>2658</v>
      </c>
      <c r="D1625" s="524" t="s">
        <v>2659</v>
      </c>
      <c r="H1625" s="524"/>
    </row>
    <row r="1626" spans="3:8" ht="13.5" customHeight="1">
      <c r="C1626" s="524" t="s">
        <v>2660</v>
      </c>
      <c r="D1626" s="524" t="s">
        <v>2661</v>
      </c>
      <c r="H1626" s="524"/>
    </row>
    <row r="1627" spans="3:8" ht="13.5" customHeight="1">
      <c r="C1627" s="524" t="s">
        <v>2662</v>
      </c>
      <c r="D1627" s="524" t="s">
        <v>2663</v>
      </c>
      <c r="H1627" s="524"/>
    </row>
    <row r="1628" spans="3:8" ht="13.5" customHeight="1">
      <c r="C1628" s="524" t="s">
        <v>2664</v>
      </c>
      <c r="D1628" s="524" t="s">
        <v>2665</v>
      </c>
      <c r="H1628" s="524"/>
    </row>
    <row r="1629" spans="3:8" ht="13.5" customHeight="1">
      <c r="C1629" s="524" t="s">
        <v>2666</v>
      </c>
      <c r="D1629" s="524" t="s">
        <v>2667</v>
      </c>
      <c r="H1629" s="524"/>
    </row>
    <row r="1630" spans="3:8" ht="13.5" customHeight="1">
      <c r="C1630" s="524" t="s">
        <v>2668</v>
      </c>
      <c r="D1630" s="524" t="s">
        <v>2669</v>
      </c>
      <c r="H1630" s="524"/>
    </row>
    <row r="1631" spans="3:8" ht="13.5" customHeight="1">
      <c r="C1631" s="524" t="s">
        <v>2670</v>
      </c>
      <c r="D1631" s="524" t="s">
        <v>2671</v>
      </c>
      <c r="H1631" s="524"/>
    </row>
    <row r="1632" spans="3:8" ht="13.5" customHeight="1">
      <c r="C1632" s="524" t="s">
        <v>2672</v>
      </c>
      <c r="D1632" s="524" t="s">
        <v>2673</v>
      </c>
      <c r="H1632" s="524"/>
    </row>
    <row r="1633" spans="3:8" ht="13.5" customHeight="1">
      <c r="C1633" s="524" t="s">
        <v>2674</v>
      </c>
      <c r="D1633" s="524" t="s">
        <v>2675</v>
      </c>
      <c r="H1633" s="524"/>
    </row>
    <row r="1634" spans="3:8" ht="13.5" customHeight="1">
      <c r="C1634" s="524" t="s">
        <v>2676</v>
      </c>
      <c r="D1634" s="524" t="s">
        <v>2677</v>
      </c>
      <c r="H1634" s="524"/>
    </row>
    <row r="1635" spans="3:8" ht="13.5" customHeight="1">
      <c r="C1635" s="524" t="s">
        <v>2678</v>
      </c>
      <c r="D1635" s="524" t="s">
        <v>2679</v>
      </c>
      <c r="H1635" s="524"/>
    </row>
    <row r="1636" spans="3:8" ht="13.5" customHeight="1">
      <c r="C1636" s="524" t="s">
        <v>2680</v>
      </c>
      <c r="D1636" s="524" t="s">
        <v>2681</v>
      </c>
      <c r="H1636" s="524"/>
    </row>
    <row r="1637" spans="3:8" ht="13.5" customHeight="1">
      <c r="C1637" s="524" t="s">
        <v>2682</v>
      </c>
      <c r="D1637" s="524" t="s">
        <v>2683</v>
      </c>
      <c r="H1637" s="524"/>
    </row>
    <row r="1638" spans="3:8" ht="13.5" customHeight="1">
      <c r="C1638" s="524" t="s">
        <v>2684</v>
      </c>
      <c r="D1638" s="524" t="s">
        <v>2685</v>
      </c>
      <c r="H1638" s="524"/>
    </row>
    <row r="1639" spans="3:8" ht="13.5" customHeight="1">
      <c r="C1639" s="524" t="s">
        <v>2686</v>
      </c>
      <c r="D1639" s="524" t="s">
        <v>2687</v>
      </c>
      <c r="H1639" s="524"/>
    </row>
    <row r="1640" spans="3:8" ht="13.5" customHeight="1">
      <c r="C1640" s="524" t="s">
        <v>2688</v>
      </c>
      <c r="D1640" s="524" t="s">
        <v>2689</v>
      </c>
      <c r="H1640" s="524"/>
    </row>
    <row r="1641" spans="3:8" ht="13.5" customHeight="1">
      <c r="C1641" s="524" t="s">
        <v>2690</v>
      </c>
      <c r="D1641" s="524" t="s">
        <v>2691</v>
      </c>
      <c r="H1641" s="524"/>
    </row>
    <row r="1642" spans="3:8" ht="13.5" customHeight="1">
      <c r="C1642" s="524" t="s">
        <v>2692</v>
      </c>
      <c r="D1642" s="524" t="s">
        <v>2693</v>
      </c>
      <c r="H1642" s="524"/>
    </row>
    <row r="1643" spans="3:8" ht="13.5" customHeight="1">
      <c r="C1643" s="524" t="s">
        <v>2694</v>
      </c>
      <c r="D1643" s="524" t="s">
        <v>2695</v>
      </c>
      <c r="H1643" s="524"/>
    </row>
    <row r="1644" spans="3:8" ht="13.5" customHeight="1">
      <c r="C1644" s="524" t="s">
        <v>2696</v>
      </c>
      <c r="D1644" s="524" t="s">
        <v>2697</v>
      </c>
      <c r="H1644" s="524"/>
    </row>
    <row r="1645" spans="3:8" ht="13.5" customHeight="1">
      <c r="C1645" s="524" t="s">
        <v>2698</v>
      </c>
      <c r="D1645" s="524" t="s">
        <v>2699</v>
      </c>
      <c r="H1645" s="524"/>
    </row>
    <row r="1646" spans="3:8" ht="13.5" customHeight="1">
      <c r="C1646" s="524" t="s">
        <v>2700</v>
      </c>
      <c r="D1646" s="524" t="s">
        <v>2701</v>
      </c>
      <c r="H1646" s="524"/>
    </row>
    <row r="1647" spans="3:8" ht="13.5" customHeight="1">
      <c r="C1647" s="524" t="s">
        <v>2702</v>
      </c>
      <c r="D1647" s="524" t="s">
        <v>2703</v>
      </c>
      <c r="H1647" s="524"/>
    </row>
    <row r="1648" spans="3:8" ht="13.5" customHeight="1">
      <c r="C1648" s="524" t="s">
        <v>2704</v>
      </c>
      <c r="D1648" s="524" t="s">
        <v>2705</v>
      </c>
      <c r="H1648" s="524"/>
    </row>
    <row r="1649" spans="3:8" ht="13.5" customHeight="1">
      <c r="C1649" s="524" t="s">
        <v>2706</v>
      </c>
      <c r="D1649" s="524" t="s">
        <v>2707</v>
      </c>
      <c r="H1649" s="524"/>
    </row>
    <row r="1650" spans="3:8" ht="13.5" customHeight="1">
      <c r="C1650" s="524" t="s">
        <v>2708</v>
      </c>
      <c r="D1650" s="524" t="s">
        <v>2709</v>
      </c>
      <c r="H1650" s="524"/>
    </row>
    <row r="1651" spans="3:8" ht="13.5" customHeight="1">
      <c r="C1651" s="524" t="s">
        <v>2710</v>
      </c>
      <c r="D1651" s="524" t="s">
        <v>2711</v>
      </c>
      <c r="H1651" s="524"/>
    </row>
    <row r="1652" spans="3:8" ht="13.5" customHeight="1">
      <c r="C1652" s="524" t="s">
        <v>2712</v>
      </c>
      <c r="D1652" s="524" t="s">
        <v>2713</v>
      </c>
      <c r="H1652" s="524"/>
    </row>
    <row r="1653" spans="3:8" ht="13.5" customHeight="1">
      <c r="C1653" s="524" t="s">
        <v>2714</v>
      </c>
      <c r="D1653" s="524" t="s">
        <v>2715</v>
      </c>
      <c r="H1653" s="524"/>
    </row>
    <row r="1654" spans="3:8" ht="13.5" customHeight="1">
      <c r="C1654" s="524" t="s">
        <v>2716</v>
      </c>
      <c r="D1654" s="524" t="s">
        <v>2717</v>
      </c>
      <c r="H1654" s="524"/>
    </row>
    <row r="1655" spans="3:8" ht="13.5" customHeight="1">
      <c r="C1655" s="524" t="s">
        <v>2718</v>
      </c>
      <c r="D1655" s="524" t="s">
        <v>2719</v>
      </c>
      <c r="H1655" s="524"/>
    </row>
    <row r="1656" spans="3:8" ht="13.5" customHeight="1">
      <c r="C1656" s="524" t="s">
        <v>2720</v>
      </c>
      <c r="D1656" s="524" t="s">
        <v>2721</v>
      </c>
      <c r="H1656" s="524"/>
    </row>
    <row r="1657" spans="3:8" ht="13.5" customHeight="1">
      <c r="C1657" s="524" t="s">
        <v>2722</v>
      </c>
      <c r="D1657" s="524" t="s">
        <v>2723</v>
      </c>
      <c r="H1657" s="524"/>
    </row>
    <row r="1658" spans="3:8" ht="13.5" customHeight="1">
      <c r="C1658" s="524" t="s">
        <v>2724</v>
      </c>
      <c r="D1658" s="524" t="s">
        <v>2725</v>
      </c>
      <c r="H1658" s="524"/>
    </row>
    <row r="1659" spans="3:8" ht="13.5" customHeight="1">
      <c r="C1659" s="524" t="s">
        <v>2726</v>
      </c>
      <c r="D1659" s="524" t="s">
        <v>2727</v>
      </c>
      <c r="H1659" s="524"/>
    </row>
    <row r="1660" spans="3:8" ht="13.5" customHeight="1">
      <c r="C1660" s="524" t="s">
        <v>2728</v>
      </c>
      <c r="D1660" s="524" t="s">
        <v>2729</v>
      </c>
      <c r="H1660" s="524"/>
    </row>
    <row r="1661" spans="3:8" ht="13.5" customHeight="1">
      <c r="C1661" s="524" t="s">
        <v>2730</v>
      </c>
      <c r="D1661" s="524" t="s">
        <v>2731</v>
      </c>
      <c r="H1661" s="524"/>
    </row>
    <row r="1662" spans="3:8" ht="13.5" customHeight="1">
      <c r="C1662" s="524" t="s">
        <v>2732</v>
      </c>
      <c r="D1662" s="524" t="s">
        <v>2733</v>
      </c>
      <c r="H1662" s="524"/>
    </row>
    <row r="1663" spans="3:8" ht="13.5" customHeight="1">
      <c r="C1663" s="524" t="s">
        <v>2734</v>
      </c>
      <c r="D1663" s="524" t="s">
        <v>2735</v>
      </c>
      <c r="H1663" s="524"/>
    </row>
    <row r="1664" spans="3:8" ht="13.5" customHeight="1">
      <c r="C1664" s="524" t="s">
        <v>2736</v>
      </c>
      <c r="D1664" s="524" t="s">
        <v>2737</v>
      </c>
      <c r="H1664" s="524"/>
    </row>
    <row r="1665" spans="3:8" ht="13.5" customHeight="1">
      <c r="C1665" s="524" t="s">
        <v>2738</v>
      </c>
      <c r="D1665" s="524" t="s">
        <v>2739</v>
      </c>
      <c r="H1665" s="524"/>
    </row>
    <row r="1666" spans="3:8" ht="13.5" customHeight="1">
      <c r="C1666" s="524" t="s">
        <v>2740</v>
      </c>
      <c r="D1666" s="524" t="s">
        <v>2741</v>
      </c>
      <c r="H1666" s="524"/>
    </row>
    <row r="1667" spans="3:8" ht="13.5" customHeight="1">
      <c r="C1667" s="524" t="s">
        <v>2742</v>
      </c>
      <c r="D1667" s="524" t="s">
        <v>2743</v>
      </c>
      <c r="H1667" s="524"/>
    </row>
    <row r="1668" spans="3:8" ht="13.5" customHeight="1">
      <c r="C1668" s="524" t="s">
        <v>2744</v>
      </c>
      <c r="D1668" s="524" t="s">
        <v>2745</v>
      </c>
      <c r="H1668" s="524"/>
    </row>
    <row r="1669" spans="3:8" ht="13.5" customHeight="1">
      <c r="C1669" s="524" t="s">
        <v>2746</v>
      </c>
      <c r="D1669" s="524" t="s">
        <v>2747</v>
      </c>
      <c r="H1669" s="524"/>
    </row>
    <row r="1670" spans="3:8" ht="13.5" customHeight="1">
      <c r="C1670" s="524" t="s">
        <v>2748</v>
      </c>
      <c r="D1670" s="524" t="s">
        <v>2749</v>
      </c>
      <c r="H1670" s="524"/>
    </row>
    <row r="1671" spans="3:8" ht="13.5" customHeight="1">
      <c r="C1671" s="524" t="s">
        <v>2750</v>
      </c>
      <c r="D1671" s="524" t="s">
        <v>2751</v>
      </c>
      <c r="H1671" s="524"/>
    </row>
    <row r="1672" spans="3:8" ht="13.5" customHeight="1">
      <c r="C1672" s="524" t="s">
        <v>2752</v>
      </c>
      <c r="D1672" s="524" t="s">
        <v>2753</v>
      </c>
      <c r="H1672" s="524"/>
    </row>
    <row r="1673" spans="3:8" ht="13.5" customHeight="1">
      <c r="C1673" s="524" t="s">
        <v>2754</v>
      </c>
      <c r="D1673" s="524" t="s">
        <v>2755</v>
      </c>
      <c r="H1673" s="524"/>
    </row>
    <row r="1674" spans="3:8" ht="13.5" customHeight="1">
      <c r="C1674" s="524" t="s">
        <v>2756</v>
      </c>
      <c r="D1674" s="524" t="s">
        <v>2757</v>
      </c>
      <c r="H1674" s="524"/>
    </row>
    <row r="1675" spans="3:8" ht="13.5" customHeight="1">
      <c r="C1675" s="524" t="s">
        <v>2758</v>
      </c>
      <c r="D1675" s="524" t="s">
        <v>2759</v>
      </c>
      <c r="H1675" s="524"/>
    </row>
    <row r="1676" spans="3:8" ht="13.5" customHeight="1">
      <c r="C1676" s="524" t="s">
        <v>2760</v>
      </c>
      <c r="D1676" s="524" t="s">
        <v>2761</v>
      </c>
      <c r="H1676" s="524"/>
    </row>
    <row r="1677" spans="3:8" ht="13.5" customHeight="1">
      <c r="C1677" s="524" t="s">
        <v>2762</v>
      </c>
      <c r="D1677" s="524" t="s">
        <v>2763</v>
      </c>
      <c r="H1677" s="524"/>
    </row>
    <row r="1678" spans="3:8" ht="13.5" customHeight="1">
      <c r="C1678" s="524" t="s">
        <v>2764</v>
      </c>
      <c r="D1678" s="524" t="s">
        <v>2765</v>
      </c>
      <c r="H1678" s="524"/>
    </row>
    <row r="1679" spans="3:8" ht="13.5" customHeight="1">
      <c r="C1679" s="524" t="s">
        <v>2766</v>
      </c>
      <c r="D1679" s="524" t="s">
        <v>2767</v>
      </c>
      <c r="H1679" s="524"/>
    </row>
    <row r="1680" spans="3:8" ht="13.5" customHeight="1">
      <c r="C1680" s="524" t="s">
        <v>2768</v>
      </c>
      <c r="D1680" s="524" t="s">
        <v>2769</v>
      </c>
      <c r="H1680" s="524"/>
    </row>
    <row r="1681" spans="3:8" ht="13.5" customHeight="1">
      <c r="C1681" s="524" t="s">
        <v>2770</v>
      </c>
      <c r="D1681" s="524" t="s">
        <v>2771</v>
      </c>
      <c r="H1681" s="524"/>
    </row>
    <row r="1682" spans="3:8" ht="13.5" customHeight="1">
      <c r="C1682" s="524" t="s">
        <v>2772</v>
      </c>
      <c r="D1682" s="524" t="s">
        <v>2773</v>
      </c>
      <c r="H1682" s="524"/>
    </row>
    <row r="1683" spans="3:8" ht="13.5" customHeight="1">
      <c r="C1683" s="524" t="s">
        <v>2774</v>
      </c>
      <c r="D1683" s="524" t="s">
        <v>2775</v>
      </c>
      <c r="H1683" s="524"/>
    </row>
    <row r="1684" spans="3:8" ht="13.5" customHeight="1">
      <c r="C1684" s="524" t="s">
        <v>2776</v>
      </c>
      <c r="D1684" s="524" t="s">
        <v>2777</v>
      </c>
      <c r="H1684" s="524"/>
    </row>
    <row r="1685" spans="3:8" ht="13.5" customHeight="1">
      <c r="C1685" s="524" t="s">
        <v>2778</v>
      </c>
      <c r="D1685" s="524" t="s">
        <v>2779</v>
      </c>
      <c r="H1685" s="524"/>
    </row>
    <row r="1686" spans="3:8" ht="13.5" customHeight="1">
      <c r="C1686" s="524" t="s">
        <v>2780</v>
      </c>
      <c r="D1686" s="524" t="s">
        <v>2781</v>
      </c>
      <c r="H1686" s="524"/>
    </row>
    <row r="1687" spans="3:8" ht="13.5" customHeight="1">
      <c r="C1687" s="524" t="s">
        <v>2782</v>
      </c>
      <c r="D1687" s="524" t="s">
        <v>2783</v>
      </c>
      <c r="H1687" s="524"/>
    </row>
    <row r="1688" spans="3:8" ht="13.5" customHeight="1">
      <c r="C1688" s="524" t="s">
        <v>2784</v>
      </c>
      <c r="D1688" s="524" t="s">
        <v>2785</v>
      </c>
      <c r="H1688" s="524"/>
    </row>
    <row r="1689" spans="3:8" ht="13.5" customHeight="1">
      <c r="C1689" s="524" t="s">
        <v>2786</v>
      </c>
      <c r="D1689" s="524" t="s">
        <v>2787</v>
      </c>
      <c r="H1689" s="524"/>
    </row>
    <row r="1690" spans="3:8" ht="13.5" customHeight="1">
      <c r="C1690" s="524" t="s">
        <v>2788</v>
      </c>
      <c r="D1690" s="524" t="s">
        <v>2789</v>
      </c>
      <c r="H1690" s="524"/>
    </row>
    <row r="1691" spans="3:8" ht="13.5" customHeight="1">
      <c r="C1691" s="524" t="s">
        <v>2790</v>
      </c>
      <c r="D1691" s="524" t="s">
        <v>2791</v>
      </c>
      <c r="H1691" s="524"/>
    </row>
    <row r="1692" spans="3:8" ht="13.5" customHeight="1">
      <c r="C1692" s="524" t="s">
        <v>2792</v>
      </c>
      <c r="D1692" s="524" t="s">
        <v>2793</v>
      </c>
      <c r="H1692" s="524"/>
    </row>
    <row r="1693" spans="3:8" ht="13.5" customHeight="1">
      <c r="C1693" s="524" t="s">
        <v>2794</v>
      </c>
      <c r="D1693" s="524" t="s">
        <v>2795</v>
      </c>
      <c r="H1693" s="524"/>
    </row>
    <row r="1694" spans="3:8" ht="13.5" customHeight="1">
      <c r="C1694" s="524" t="s">
        <v>2796</v>
      </c>
      <c r="D1694" s="524" t="s">
        <v>2797</v>
      </c>
      <c r="H1694" s="524"/>
    </row>
    <row r="1695" spans="3:8" ht="13.5" customHeight="1">
      <c r="C1695" s="524" t="s">
        <v>2798</v>
      </c>
      <c r="D1695" s="524" t="s">
        <v>2799</v>
      </c>
      <c r="H1695" s="524"/>
    </row>
    <row r="1696" spans="3:8" ht="13.5" customHeight="1">
      <c r="C1696" s="524" t="s">
        <v>2800</v>
      </c>
      <c r="D1696" s="524" t="s">
        <v>2801</v>
      </c>
      <c r="H1696" s="524"/>
    </row>
    <row r="1697" spans="3:8" ht="13.5" customHeight="1">
      <c r="C1697" s="524" t="s">
        <v>2802</v>
      </c>
      <c r="D1697" s="524" t="s">
        <v>2787</v>
      </c>
      <c r="H1697" s="524"/>
    </row>
    <row r="1698" spans="3:8" ht="13.5" customHeight="1">
      <c r="C1698" s="524" t="s">
        <v>2803</v>
      </c>
      <c r="D1698" s="524" t="s">
        <v>2804</v>
      </c>
      <c r="H1698" s="524"/>
    </row>
    <row r="1699" spans="3:8" ht="13.5" customHeight="1">
      <c r="C1699" s="524" t="s">
        <v>2805</v>
      </c>
      <c r="D1699" s="524" t="s">
        <v>2806</v>
      </c>
      <c r="H1699" s="524"/>
    </row>
    <row r="1700" spans="3:8" ht="13.5" customHeight="1">
      <c r="C1700" s="524" t="s">
        <v>2807</v>
      </c>
      <c r="D1700" s="524" t="s">
        <v>2789</v>
      </c>
      <c r="H1700" s="524"/>
    </row>
    <row r="1701" spans="3:8" ht="13.5" customHeight="1">
      <c r="C1701" s="524" t="s">
        <v>2808</v>
      </c>
      <c r="D1701" s="524" t="s">
        <v>2791</v>
      </c>
      <c r="H1701" s="524"/>
    </row>
    <row r="1702" spans="3:8" ht="13.5" customHeight="1">
      <c r="C1702" s="524" t="s">
        <v>2809</v>
      </c>
      <c r="D1702" s="524" t="s">
        <v>2793</v>
      </c>
      <c r="H1702" s="524"/>
    </row>
    <row r="1703" spans="3:8" ht="13.5" customHeight="1">
      <c r="C1703" s="524" t="s">
        <v>2810</v>
      </c>
      <c r="D1703" s="524" t="s">
        <v>2795</v>
      </c>
      <c r="H1703" s="524"/>
    </row>
    <row r="1704" spans="3:8" ht="13.5" customHeight="1">
      <c r="C1704" s="524" t="s">
        <v>2811</v>
      </c>
      <c r="D1704" s="524" t="s">
        <v>2812</v>
      </c>
      <c r="H1704" s="524"/>
    </row>
    <row r="1705" spans="3:8" ht="13.5" customHeight="1">
      <c r="C1705" s="524" t="s">
        <v>2813</v>
      </c>
      <c r="D1705" s="524" t="s">
        <v>2814</v>
      </c>
      <c r="H1705" s="524"/>
    </row>
    <row r="1706" spans="3:8" ht="13.5" customHeight="1">
      <c r="C1706" s="524" t="s">
        <v>2815</v>
      </c>
      <c r="D1706" s="524" t="s">
        <v>2816</v>
      </c>
      <c r="H1706" s="524"/>
    </row>
    <row r="1707" spans="3:8" ht="13.5" customHeight="1">
      <c r="C1707" s="524" t="s">
        <v>2817</v>
      </c>
      <c r="D1707" s="524" t="s">
        <v>2818</v>
      </c>
      <c r="H1707" s="524"/>
    </row>
    <row r="1708" spans="3:8" ht="13.5" customHeight="1">
      <c r="C1708" s="524" t="s">
        <v>2819</v>
      </c>
      <c r="D1708" s="524" t="s">
        <v>2820</v>
      </c>
      <c r="H1708" s="524"/>
    </row>
    <row r="1709" spans="3:8" ht="13.5" customHeight="1">
      <c r="C1709" s="524" t="s">
        <v>2821</v>
      </c>
      <c r="D1709" s="524" t="s">
        <v>2822</v>
      </c>
      <c r="H1709" s="524"/>
    </row>
    <row r="1710" spans="3:8" ht="13.5" customHeight="1">
      <c r="C1710" s="524" t="s">
        <v>2823</v>
      </c>
      <c r="D1710" s="524" t="s">
        <v>2824</v>
      </c>
      <c r="H1710" s="524"/>
    </row>
    <row r="1711" spans="3:8" ht="13.5" customHeight="1">
      <c r="C1711" s="524" t="s">
        <v>2825</v>
      </c>
      <c r="D1711" s="524" t="s">
        <v>2826</v>
      </c>
      <c r="H1711" s="524"/>
    </row>
    <row r="1712" spans="3:8" ht="13.5" customHeight="1">
      <c r="C1712" s="524" t="s">
        <v>2827</v>
      </c>
      <c r="D1712" s="524" t="s">
        <v>2828</v>
      </c>
      <c r="H1712" s="524"/>
    </row>
    <row r="1713" spans="3:8" ht="13.5" customHeight="1">
      <c r="C1713" s="524" t="s">
        <v>2829</v>
      </c>
      <c r="D1713" s="524" t="s">
        <v>2830</v>
      </c>
      <c r="H1713" s="524"/>
    </row>
    <row r="1714" spans="3:8" ht="13.5" customHeight="1">
      <c r="C1714" s="524" t="s">
        <v>2831</v>
      </c>
      <c r="D1714" s="524" t="s">
        <v>2832</v>
      </c>
      <c r="H1714" s="524"/>
    </row>
    <row r="1715" spans="3:8" ht="13.5" customHeight="1">
      <c r="C1715" s="524" t="s">
        <v>2833</v>
      </c>
      <c r="D1715" s="524" t="s">
        <v>2834</v>
      </c>
      <c r="H1715" s="524"/>
    </row>
    <row r="1716" spans="3:8" ht="13.5" customHeight="1">
      <c r="C1716" s="524" t="s">
        <v>2835</v>
      </c>
      <c r="D1716" s="524" t="s">
        <v>2836</v>
      </c>
      <c r="H1716" s="524"/>
    </row>
    <row r="1717" spans="3:8" ht="13.5" customHeight="1">
      <c r="C1717" s="524" t="s">
        <v>2837</v>
      </c>
      <c r="D1717" s="524" t="s">
        <v>2838</v>
      </c>
      <c r="H1717" s="524"/>
    </row>
    <row r="1718" spans="3:8" ht="13.5" customHeight="1">
      <c r="C1718" s="524" t="s">
        <v>2839</v>
      </c>
      <c r="D1718" s="524" t="s">
        <v>2840</v>
      </c>
      <c r="H1718" s="524"/>
    </row>
    <row r="1719" spans="3:8" ht="13.5" customHeight="1">
      <c r="C1719" s="524" t="s">
        <v>2841</v>
      </c>
      <c r="D1719" s="524" t="s">
        <v>2842</v>
      </c>
      <c r="H1719" s="524"/>
    </row>
    <row r="1720" spans="3:8" ht="13.5" customHeight="1">
      <c r="C1720" s="524" t="s">
        <v>2843</v>
      </c>
      <c r="D1720" s="524" t="s">
        <v>2844</v>
      </c>
      <c r="H1720" s="524"/>
    </row>
    <row r="1721" spans="3:8" ht="13.5" customHeight="1">
      <c r="C1721" s="524" t="s">
        <v>2845</v>
      </c>
      <c r="D1721" s="524" t="s">
        <v>2846</v>
      </c>
      <c r="H1721" s="524"/>
    </row>
    <row r="1722" spans="3:8" ht="13.5" customHeight="1">
      <c r="C1722" s="524" t="s">
        <v>2847</v>
      </c>
      <c r="D1722" s="524" t="s">
        <v>2848</v>
      </c>
      <c r="H1722" s="524"/>
    </row>
    <row r="1723" spans="3:8" ht="13.5" customHeight="1">
      <c r="C1723" s="524" t="s">
        <v>2849</v>
      </c>
      <c r="D1723" s="524" t="s">
        <v>2850</v>
      </c>
      <c r="H1723" s="524"/>
    </row>
    <row r="1724" spans="3:8" ht="13.5" customHeight="1">
      <c r="C1724" s="524" t="s">
        <v>2851</v>
      </c>
      <c r="D1724" s="524" t="s">
        <v>2852</v>
      </c>
      <c r="H1724" s="524"/>
    </row>
    <row r="1725" spans="3:8" ht="13.5" customHeight="1">
      <c r="C1725" s="524" t="s">
        <v>2853</v>
      </c>
      <c r="D1725" s="524" t="s">
        <v>2854</v>
      </c>
      <c r="H1725" s="524"/>
    </row>
    <row r="1726" spans="3:8" ht="13.5" customHeight="1">
      <c r="C1726" s="524" t="s">
        <v>2855</v>
      </c>
      <c r="D1726" s="524" t="s">
        <v>2856</v>
      </c>
      <c r="H1726" s="524"/>
    </row>
    <row r="1727" spans="3:8" ht="13.5" customHeight="1">
      <c r="C1727" s="524" t="s">
        <v>2857</v>
      </c>
      <c r="D1727" s="524" t="s">
        <v>2858</v>
      </c>
      <c r="H1727" s="524"/>
    </row>
    <row r="1728" spans="3:8" ht="13.5" customHeight="1">
      <c r="C1728" s="524" t="s">
        <v>2859</v>
      </c>
      <c r="D1728" s="524" t="s">
        <v>2860</v>
      </c>
      <c r="H1728" s="524"/>
    </row>
    <row r="1729" spans="3:8" ht="13.5" customHeight="1">
      <c r="C1729" s="524" t="s">
        <v>2861</v>
      </c>
      <c r="D1729" s="524" t="s">
        <v>2862</v>
      </c>
      <c r="H1729" s="524"/>
    </row>
    <row r="1730" spans="3:8" ht="13.5" customHeight="1">
      <c r="C1730" s="524" t="s">
        <v>2863</v>
      </c>
      <c r="D1730" s="524" t="s">
        <v>2864</v>
      </c>
      <c r="H1730" s="524"/>
    </row>
    <row r="1731" spans="3:8" ht="13.5" customHeight="1">
      <c r="C1731" s="524" t="s">
        <v>2865</v>
      </c>
      <c r="D1731" s="524" t="s">
        <v>2866</v>
      </c>
      <c r="H1731" s="524"/>
    </row>
    <row r="1732" spans="3:8" ht="13.5" customHeight="1">
      <c r="C1732" s="524" t="s">
        <v>2867</v>
      </c>
      <c r="D1732" s="524" t="s">
        <v>2868</v>
      </c>
      <c r="H1732" s="524"/>
    </row>
    <row r="1733" spans="3:8" ht="13.5" customHeight="1">
      <c r="C1733" s="524" t="s">
        <v>2869</v>
      </c>
      <c r="D1733" s="524" t="s">
        <v>2870</v>
      </c>
      <c r="H1733" s="524"/>
    </row>
    <row r="1734" spans="3:8" ht="13.5" customHeight="1">
      <c r="C1734" s="524" t="s">
        <v>2871</v>
      </c>
      <c r="D1734" s="524" t="s">
        <v>2872</v>
      </c>
      <c r="H1734" s="524"/>
    </row>
    <row r="1735" spans="3:8" ht="13.5" customHeight="1">
      <c r="C1735" s="524" t="s">
        <v>2873</v>
      </c>
      <c r="D1735" s="524" t="s">
        <v>2874</v>
      </c>
      <c r="H1735" s="524"/>
    </row>
    <row r="1736" spans="3:8" ht="13.5" customHeight="1">
      <c r="C1736" s="524" t="s">
        <v>2875</v>
      </c>
      <c r="D1736" s="524" t="s">
        <v>2876</v>
      </c>
      <c r="H1736" s="524"/>
    </row>
    <row r="1737" spans="3:8" ht="13.5" customHeight="1">
      <c r="C1737" s="524" t="s">
        <v>2877</v>
      </c>
      <c r="D1737" s="524" t="s">
        <v>2878</v>
      </c>
      <c r="H1737" s="524"/>
    </row>
    <row r="1738" spans="3:8" ht="13.5" customHeight="1">
      <c r="C1738" s="524" t="s">
        <v>2879</v>
      </c>
      <c r="D1738" s="524" t="s">
        <v>2880</v>
      </c>
      <c r="H1738" s="524"/>
    </row>
    <row r="1739" spans="3:8" ht="13.5" customHeight="1">
      <c r="C1739" s="524" t="s">
        <v>2881</v>
      </c>
      <c r="D1739" s="524" t="s">
        <v>2882</v>
      </c>
      <c r="H1739" s="524"/>
    </row>
    <row r="1740" spans="3:8" ht="13.5" customHeight="1">
      <c r="C1740" s="524" t="s">
        <v>2883</v>
      </c>
      <c r="D1740" s="524" t="s">
        <v>2884</v>
      </c>
      <c r="H1740" s="524"/>
    </row>
    <row r="1741" spans="3:8" ht="13.5" customHeight="1">
      <c r="C1741" s="524" t="s">
        <v>2885</v>
      </c>
      <c r="D1741" s="524" t="s">
        <v>2886</v>
      </c>
      <c r="H1741" s="524"/>
    </row>
    <row r="1742" spans="3:8" ht="13.5" customHeight="1">
      <c r="C1742" s="524" t="s">
        <v>2887</v>
      </c>
      <c r="D1742" s="524" t="s">
        <v>2888</v>
      </c>
      <c r="H1742" s="524"/>
    </row>
    <row r="1743" spans="3:8" ht="13.5" customHeight="1">
      <c r="C1743" s="524" t="s">
        <v>2889</v>
      </c>
      <c r="D1743" s="524" t="s">
        <v>2890</v>
      </c>
      <c r="H1743" s="524"/>
    </row>
    <row r="1744" spans="3:8" ht="13.5" customHeight="1">
      <c r="C1744" s="524" t="s">
        <v>2891</v>
      </c>
      <c r="D1744" s="524" t="s">
        <v>2892</v>
      </c>
      <c r="H1744" s="524"/>
    </row>
    <row r="1745" spans="3:8" ht="13.5" customHeight="1">
      <c r="C1745" s="524" t="s">
        <v>2893</v>
      </c>
      <c r="D1745" s="524" t="s">
        <v>2894</v>
      </c>
      <c r="H1745" s="524"/>
    </row>
    <row r="1746" spans="3:8" ht="13.5" customHeight="1">
      <c r="C1746" s="524" t="s">
        <v>2895</v>
      </c>
      <c r="D1746" s="524" t="s">
        <v>2896</v>
      </c>
      <c r="H1746" s="524"/>
    </row>
    <row r="1747" spans="3:8" ht="13.5" customHeight="1">
      <c r="C1747" s="524" t="s">
        <v>2897</v>
      </c>
      <c r="D1747" s="524" t="s">
        <v>2898</v>
      </c>
      <c r="H1747" s="524"/>
    </row>
    <row r="1748" spans="3:8" ht="13.5" customHeight="1">
      <c r="C1748" s="524" t="s">
        <v>2899</v>
      </c>
      <c r="D1748" s="524" t="s">
        <v>2900</v>
      </c>
      <c r="H1748" s="524"/>
    </row>
    <row r="1749" spans="3:8" ht="13.5" customHeight="1">
      <c r="C1749" s="524" t="s">
        <v>2901</v>
      </c>
      <c r="D1749" s="524" t="s">
        <v>2902</v>
      </c>
      <c r="H1749" s="524"/>
    </row>
    <row r="1750" spans="3:8" ht="13.5" customHeight="1">
      <c r="C1750" s="524" t="s">
        <v>2903</v>
      </c>
      <c r="D1750" s="524" t="s">
        <v>2904</v>
      </c>
      <c r="H1750" s="524"/>
    </row>
    <row r="1751" spans="3:8" ht="13.5" customHeight="1">
      <c r="C1751" s="524" t="s">
        <v>2905</v>
      </c>
      <c r="D1751" s="524" t="s">
        <v>2906</v>
      </c>
      <c r="H1751" s="524"/>
    </row>
    <row r="1752" spans="3:8" ht="13.5" customHeight="1">
      <c r="C1752" s="524" t="s">
        <v>2907</v>
      </c>
      <c r="D1752" s="524" t="s">
        <v>2908</v>
      </c>
      <c r="H1752" s="524"/>
    </row>
    <row r="1753" spans="3:8" ht="13.5" customHeight="1">
      <c r="C1753" s="524" t="s">
        <v>2909</v>
      </c>
      <c r="D1753" s="524" t="s">
        <v>2910</v>
      </c>
      <c r="H1753" s="524"/>
    </row>
    <row r="1754" spans="3:8" ht="13.5" customHeight="1">
      <c r="C1754" s="524" t="s">
        <v>2911</v>
      </c>
      <c r="D1754" s="524" t="s">
        <v>2912</v>
      </c>
      <c r="H1754" s="524"/>
    </row>
    <row r="1755" spans="3:8" ht="13.5" customHeight="1">
      <c r="C1755" s="524" t="s">
        <v>2913</v>
      </c>
      <c r="D1755" s="524" t="s">
        <v>2914</v>
      </c>
      <c r="H1755" s="524"/>
    </row>
    <row r="1756" spans="3:8" ht="13.5" customHeight="1">
      <c r="C1756" s="524" t="s">
        <v>2915</v>
      </c>
      <c r="D1756" s="524" t="s">
        <v>2916</v>
      </c>
      <c r="H1756" s="524"/>
    </row>
    <row r="1757" spans="3:8" ht="13.5" customHeight="1">
      <c r="C1757" s="524" t="s">
        <v>2917</v>
      </c>
      <c r="D1757" s="524" t="s">
        <v>2918</v>
      </c>
      <c r="H1757" s="524"/>
    </row>
    <row r="1758" spans="3:8" ht="13.5" customHeight="1">
      <c r="C1758" s="524" t="s">
        <v>2919</v>
      </c>
      <c r="D1758" s="524" t="s">
        <v>2920</v>
      </c>
      <c r="H1758" s="524"/>
    </row>
    <row r="1759" spans="3:8" ht="13.5" customHeight="1">
      <c r="C1759" s="524" t="s">
        <v>2921</v>
      </c>
      <c r="D1759" s="524" t="s">
        <v>2922</v>
      </c>
      <c r="H1759" s="524"/>
    </row>
    <row r="1760" spans="3:8" ht="13.5" customHeight="1">
      <c r="C1760" s="524" t="s">
        <v>2923</v>
      </c>
      <c r="D1760" s="524" t="s">
        <v>2924</v>
      </c>
      <c r="H1760" s="524"/>
    </row>
    <row r="1761" spans="3:8" ht="13.5" customHeight="1">
      <c r="C1761" s="524" t="s">
        <v>2925</v>
      </c>
      <c r="D1761" s="524" t="s">
        <v>2926</v>
      </c>
      <c r="H1761" s="524"/>
    </row>
    <row r="1762" spans="3:8" ht="13.5" customHeight="1">
      <c r="C1762" s="524" t="s">
        <v>2927</v>
      </c>
      <c r="D1762" s="524" t="s">
        <v>2928</v>
      </c>
      <c r="H1762" s="524"/>
    </row>
    <row r="1763" spans="3:8" ht="13.5" customHeight="1">
      <c r="C1763" s="524" t="s">
        <v>2929</v>
      </c>
      <c r="D1763" s="524" t="s">
        <v>2930</v>
      </c>
      <c r="H1763" s="524"/>
    </row>
    <row r="1764" spans="3:8" ht="13.5" customHeight="1">
      <c r="C1764" s="524" t="s">
        <v>2931</v>
      </c>
      <c r="D1764" s="524" t="s">
        <v>2932</v>
      </c>
      <c r="H1764" s="524"/>
    </row>
    <row r="1765" spans="3:8" ht="13.5" customHeight="1">
      <c r="C1765" s="524" t="s">
        <v>2933</v>
      </c>
      <c r="D1765" s="524" t="s">
        <v>2934</v>
      </c>
      <c r="H1765" s="524"/>
    </row>
    <row r="1766" spans="3:8" ht="13.5" customHeight="1">
      <c r="C1766" s="524" t="s">
        <v>2935</v>
      </c>
      <c r="D1766" s="524" t="s">
        <v>2936</v>
      </c>
      <c r="H1766" s="524"/>
    </row>
    <row r="1767" spans="3:8" ht="13.5" customHeight="1">
      <c r="C1767" s="524" t="s">
        <v>2937</v>
      </c>
      <c r="D1767" s="524" t="s">
        <v>2938</v>
      </c>
      <c r="H1767" s="524"/>
    </row>
    <row r="1768" spans="3:8" ht="13.5" customHeight="1">
      <c r="C1768" s="524" t="s">
        <v>2939</v>
      </c>
      <c r="D1768" s="524" t="s">
        <v>2940</v>
      </c>
      <c r="H1768" s="524"/>
    </row>
    <row r="1769" spans="3:8" ht="13.5" customHeight="1">
      <c r="C1769" s="524" t="s">
        <v>2941</v>
      </c>
      <c r="D1769" s="524" t="s">
        <v>2942</v>
      </c>
      <c r="H1769" s="524"/>
    </row>
    <row r="1770" spans="3:8" ht="13.5" customHeight="1">
      <c r="C1770" s="524" t="s">
        <v>2943</v>
      </c>
      <c r="D1770" s="524" t="s">
        <v>2944</v>
      </c>
      <c r="H1770" s="524"/>
    </row>
    <row r="1771" spans="3:8" ht="13.5" customHeight="1">
      <c r="C1771" s="524" t="s">
        <v>2945</v>
      </c>
      <c r="D1771" s="524" t="s">
        <v>2946</v>
      </c>
      <c r="H1771" s="524"/>
    </row>
    <row r="1772" spans="3:8" ht="13.5" customHeight="1">
      <c r="C1772" s="524" t="s">
        <v>2947</v>
      </c>
      <c r="D1772" s="524" t="s">
        <v>2948</v>
      </c>
      <c r="H1772" s="524"/>
    </row>
    <row r="1773" spans="3:8" ht="13.5" customHeight="1">
      <c r="C1773" s="524" t="s">
        <v>2949</v>
      </c>
      <c r="D1773" s="524" t="s">
        <v>2950</v>
      </c>
      <c r="H1773" s="524"/>
    </row>
    <row r="1774" spans="3:8" ht="13.5" customHeight="1">
      <c r="C1774" s="524" t="s">
        <v>2951</v>
      </c>
      <c r="D1774" s="524" t="s">
        <v>2902</v>
      </c>
      <c r="H1774" s="524"/>
    </row>
    <row r="1775" spans="3:8" ht="13.5" customHeight="1">
      <c r="C1775" s="524" t="s">
        <v>2952</v>
      </c>
      <c r="D1775" s="524" t="s">
        <v>2904</v>
      </c>
      <c r="H1775" s="524"/>
    </row>
    <row r="1776" spans="3:8" ht="13.5" customHeight="1">
      <c r="C1776" s="524" t="s">
        <v>2953</v>
      </c>
      <c r="D1776" s="524" t="s">
        <v>2906</v>
      </c>
      <c r="H1776" s="524"/>
    </row>
    <row r="1777" spans="3:8" ht="13.5" customHeight="1">
      <c r="C1777" s="524" t="s">
        <v>2954</v>
      </c>
      <c r="D1777" s="524" t="s">
        <v>2955</v>
      </c>
      <c r="H1777" s="524"/>
    </row>
    <row r="1778" spans="3:8" ht="13.5" customHeight="1">
      <c r="C1778" s="524" t="s">
        <v>2956</v>
      </c>
      <c r="D1778" s="524" t="s">
        <v>2910</v>
      </c>
      <c r="H1778" s="524"/>
    </row>
    <row r="1779" spans="3:8" ht="13.5" customHeight="1">
      <c r="C1779" s="524" t="s">
        <v>2957</v>
      </c>
      <c r="D1779" s="524" t="s">
        <v>2912</v>
      </c>
      <c r="H1779" s="524"/>
    </row>
    <row r="1780" spans="3:8" ht="13.5" customHeight="1">
      <c r="C1780" s="524" t="s">
        <v>2958</v>
      </c>
      <c r="D1780" s="524" t="s">
        <v>2914</v>
      </c>
      <c r="H1780" s="524"/>
    </row>
    <row r="1781" spans="3:8" ht="13.5" customHeight="1">
      <c r="C1781" s="524" t="s">
        <v>2959</v>
      </c>
      <c r="D1781" s="524" t="s">
        <v>2916</v>
      </c>
      <c r="H1781" s="524"/>
    </row>
    <row r="1782" spans="3:8" ht="13.5" customHeight="1">
      <c r="C1782" s="524" t="s">
        <v>2960</v>
      </c>
      <c r="D1782" s="524" t="s">
        <v>2918</v>
      </c>
      <c r="H1782" s="524"/>
    </row>
    <row r="1783" spans="3:8" ht="13.5" customHeight="1">
      <c r="C1783" s="524" t="s">
        <v>2961</v>
      </c>
      <c r="D1783" s="524" t="s">
        <v>2920</v>
      </c>
      <c r="H1783" s="524"/>
    </row>
    <row r="1784" spans="3:8" ht="13.5" customHeight="1">
      <c r="C1784" s="524" t="s">
        <v>2962</v>
      </c>
      <c r="D1784" s="524" t="s">
        <v>2922</v>
      </c>
      <c r="H1784" s="524"/>
    </row>
    <row r="1785" spans="3:8" ht="13.5" customHeight="1">
      <c r="C1785" s="524" t="s">
        <v>2963</v>
      </c>
      <c r="D1785" s="524" t="s">
        <v>2924</v>
      </c>
      <c r="H1785" s="524"/>
    </row>
    <row r="1786" spans="3:8" ht="13.5" customHeight="1">
      <c r="C1786" s="524" t="s">
        <v>2964</v>
      </c>
      <c r="D1786" s="524" t="s">
        <v>2926</v>
      </c>
      <c r="H1786" s="524"/>
    </row>
    <row r="1787" spans="3:8" ht="13.5" customHeight="1">
      <c r="C1787" s="524" t="s">
        <v>2965</v>
      </c>
      <c r="D1787" s="524" t="s">
        <v>2928</v>
      </c>
      <c r="H1787" s="524"/>
    </row>
    <row r="1788" spans="3:8" ht="13.5" customHeight="1">
      <c r="C1788" s="524" t="s">
        <v>2966</v>
      </c>
      <c r="D1788" s="524" t="s">
        <v>2930</v>
      </c>
      <c r="H1788" s="524"/>
    </row>
    <row r="1789" spans="3:8" ht="13.5" customHeight="1">
      <c r="C1789" s="524" t="s">
        <v>2967</v>
      </c>
      <c r="D1789" s="524" t="s">
        <v>2932</v>
      </c>
      <c r="H1789" s="524"/>
    </row>
    <row r="1790" spans="3:8" ht="13.5" customHeight="1">
      <c r="C1790" s="524" t="s">
        <v>2968</v>
      </c>
      <c r="D1790" s="524" t="s">
        <v>2969</v>
      </c>
      <c r="H1790" s="524"/>
    </row>
    <row r="1791" spans="3:8" ht="13.5" customHeight="1">
      <c r="C1791" s="524" t="s">
        <v>2970</v>
      </c>
      <c r="D1791" s="524" t="s">
        <v>2971</v>
      </c>
      <c r="H1791" s="524"/>
    </row>
    <row r="1792" spans="3:8" ht="13.5" customHeight="1">
      <c r="C1792" s="524" t="s">
        <v>2972</v>
      </c>
      <c r="D1792" s="524" t="s">
        <v>2973</v>
      </c>
      <c r="H1792" s="524"/>
    </row>
    <row r="1793" spans="3:8" ht="13.5" customHeight="1">
      <c r="C1793" s="524" t="s">
        <v>2974</v>
      </c>
      <c r="D1793" s="524" t="s">
        <v>2975</v>
      </c>
      <c r="H1793" s="524"/>
    </row>
    <row r="1794" spans="3:8" ht="13.5" customHeight="1">
      <c r="C1794" s="524" t="s">
        <v>2976</v>
      </c>
      <c r="D1794" s="524" t="s">
        <v>2977</v>
      </c>
      <c r="H1794" s="524"/>
    </row>
    <row r="1795" spans="3:8" ht="13.5" customHeight="1">
      <c r="C1795" s="524" t="s">
        <v>2978</v>
      </c>
      <c r="D1795" s="524" t="s">
        <v>2979</v>
      </c>
      <c r="H1795" s="524"/>
    </row>
    <row r="1796" spans="3:8" ht="13.5" customHeight="1">
      <c r="C1796" s="524" t="s">
        <v>2980</v>
      </c>
      <c r="D1796" s="524" t="s">
        <v>2981</v>
      </c>
      <c r="H1796" s="524"/>
    </row>
    <row r="1797" spans="3:8" ht="13.5" customHeight="1">
      <c r="C1797" s="524" t="s">
        <v>2982</v>
      </c>
      <c r="D1797" s="524" t="s">
        <v>2983</v>
      </c>
      <c r="H1797" s="524"/>
    </row>
    <row r="1798" spans="3:8" ht="13.5" customHeight="1">
      <c r="C1798" s="524" t="s">
        <v>2984</v>
      </c>
      <c r="D1798" s="524" t="s">
        <v>2985</v>
      </c>
      <c r="H1798" s="524"/>
    </row>
    <row r="1799" spans="3:8" ht="13.5" customHeight="1">
      <c r="C1799" s="524" t="s">
        <v>2986</v>
      </c>
      <c r="D1799" s="524" t="s">
        <v>2902</v>
      </c>
      <c r="H1799" s="524"/>
    </row>
    <row r="1800" spans="3:8" ht="13.5" customHeight="1">
      <c r="C1800" s="524" t="s">
        <v>2987</v>
      </c>
      <c r="D1800" s="524" t="s">
        <v>2904</v>
      </c>
      <c r="H1800" s="524"/>
    </row>
    <row r="1801" spans="3:8" ht="13.5" customHeight="1">
      <c r="C1801" s="524" t="s">
        <v>2988</v>
      </c>
      <c r="D1801" s="524" t="s">
        <v>2906</v>
      </c>
      <c r="H1801" s="524"/>
    </row>
    <row r="1802" spans="3:8" ht="13.5" customHeight="1">
      <c r="C1802" s="524" t="s">
        <v>2989</v>
      </c>
      <c r="D1802" s="524" t="s">
        <v>2955</v>
      </c>
      <c r="H1802" s="524"/>
    </row>
    <row r="1803" spans="3:8" ht="13.5" customHeight="1">
      <c r="C1803" s="524" t="s">
        <v>2990</v>
      </c>
      <c r="D1803" s="524" t="s">
        <v>2910</v>
      </c>
      <c r="H1803" s="524"/>
    </row>
    <row r="1804" spans="3:8" ht="13.5" customHeight="1">
      <c r="C1804" s="524" t="s">
        <v>2991</v>
      </c>
      <c r="D1804" s="524" t="s">
        <v>2912</v>
      </c>
      <c r="H1804" s="524"/>
    </row>
    <row r="1805" spans="3:8" ht="13.5" customHeight="1">
      <c r="C1805" s="524" t="s">
        <v>2992</v>
      </c>
      <c r="D1805" s="524" t="s">
        <v>2914</v>
      </c>
      <c r="H1805" s="524"/>
    </row>
    <row r="1806" spans="3:8" ht="13.5" customHeight="1">
      <c r="C1806" s="524" t="s">
        <v>2993</v>
      </c>
      <c r="D1806" s="524" t="s">
        <v>2916</v>
      </c>
      <c r="H1806" s="524"/>
    </row>
    <row r="1807" spans="3:8" ht="13.5" customHeight="1">
      <c r="C1807" s="524" t="s">
        <v>2994</v>
      </c>
      <c r="D1807" s="524" t="s">
        <v>2918</v>
      </c>
      <c r="H1807" s="524"/>
    </row>
    <row r="1808" spans="3:8" ht="13.5" customHeight="1">
      <c r="C1808" s="524" t="s">
        <v>2995</v>
      </c>
      <c r="D1808" s="524" t="s">
        <v>2920</v>
      </c>
      <c r="H1808" s="524"/>
    </row>
    <row r="1809" spans="3:8" ht="13.5" customHeight="1">
      <c r="C1809" s="524" t="s">
        <v>2996</v>
      </c>
      <c r="D1809" s="524" t="s">
        <v>2922</v>
      </c>
      <c r="H1809" s="524"/>
    </row>
    <row r="1810" spans="3:8" ht="13.5" customHeight="1">
      <c r="C1810" s="524" t="s">
        <v>2997</v>
      </c>
      <c r="D1810" s="524" t="s">
        <v>2924</v>
      </c>
      <c r="H1810" s="524"/>
    </row>
    <row r="1811" spans="3:8" ht="13.5" customHeight="1">
      <c r="C1811" s="524" t="s">
        <v>2998</v>
      </c>
      <c r="D1811" s="524" t="s">
        <v>2926</v>
      </c>
      <c r="H1811" s="524"/>
    </row>
    <row r="1812" spans="3:8" ht="13.5" customHeight="1">
      <c r="C1812" s="524" t="s">
        <v>2999</v>
      </c>
      <c r="D1812" s="524" t="s">
        <v>2928</v>
      </c>
      <c r="H1812" s="524"/>
    </row>
    <row r="1813" spans="3:8" ht="13.5" customHeight="1">
      <c r="C1813" s="524" t="s">
        <v>3000</v>
      </c>
      <c r="D1813" s="524" t="s">
        <v>2930</v>
      </c>
      <c r="H1813" s="524"/>
    </row>
    <row r="1814" spans="3:8" ht="13.5" customHeight="1">
      <c r="C1814" s="524" t="s">
        <v>3001</v>
      </c>
      <c r="D1814" s="524" t="s">
        <v>2932</v>
      </c>
      <c r="H1814" s="524"/>
    </row>
    <row r="1815" spans="3:8" ht="13.5" customHeight="1">
      <c r="C1815" s="524" t="s">
        <v>3002</v>
      </c>
      <c r="D1815" s="524" t="s">
        <v>3003</v>
      </c>
      <c r="H1815" s="524"/>
    </row>
    <row r="1816" spans="3:8" ht="13.5" customHeight="1">
      <c r="C1816" s="524" t="s">
        <v>3004</v>
      </c>
      <c r="D1816" s="524" t="s">
        <v>3005</v>
      </c>
      <c r="H1816" s="524"/>
    </row>
    <row r="1817" spans="3:8" ht="13.5" customHeight="1">
      <c r="C1817" s="524" t="s">
        <v>3006</v>
      </c>
      <c r="D1817" s="524" t="s">
        <v>3007</v>
      </c>
      <c r="H1817" s="524"/>
    </row>
    <row r="1818" spans="3:8" ht="13.5" customHeight="1">
      <c r="C1818" s="524" t="s">
        <v>3008</v>
      </c>
      <c r="D1818" s="524" t="s">
        <v>3009</v>
      </c>
      <c r="H1818" s="524"/>
    </row>
    <row r="1819" spans="3:8" ht="13.5" customHeight="1">
      <c r="C1819" s="524" t="s">
        <v>3010</v>
      </c>
      <c r="D1819" s="524" t="s">
        <v>3011</v>
      </c>
      <c r="H1819" s="524"/>
    </row>
    <row r="1820" spans="3:8" ht="13.5" customHeight="1">
      <c r="C1820" s="524" t="s">
        <v>3012</v>
      </c>
      <c r="D1820" s="524" t="s">
        <v>3013</v>
      </c>
      <c r="H1820" s="524"/>
    </row>
    <row r="1821" spans="3:8" ht="13.5" customHeight="1">
      <c r="C1821" s="524" t="s">
        <v>3014</v>
      </c>
      <c r="D1821" s="524" t="s">
        <v>3015</v>
      </c>
      <c r="H1821" s="524"/>
    </row>
    <row r="1822" spans="3:8" ht="13.5" customHeight="1">
      <c r="C1822" s="524" t="s">
        <v>3016</v>
      </c>
      <c r="D1822" s="524" t="s">
        <v>3017</v>
      </c>
      <c r="H1822" s="524"/>
    </row>
    <row r="1823" spans="3:8" ht="13.5" customHeight="1">
      <c r="C1823" s="524" t="s">
        <v>3018</v>
      </c>
      <c r="D1823" s="524" t="s">
        <v>3019</v>
      </c>
      <c r="H1823" s="524"/>
    </row>
    <row r="1824" spans="3:8" ht="13.5" customHeight="1">
      <c r="C1824" s="524" t="s">
        <v>3020</v>
      </c>
      <c r="D1824" s="524" t="s">
        <v>2902</v>
      </c>
      <c r="H1824" s="524"/>
    </row>
    <row r="1825" spans="3:8" ht="13.5" customHeight="1">
      <c r="C1825" s="524" t="s">
        <v>3021</v>
      </c>
      <c r="D1825" s="524" t="s">
        <v>2904</v>
      </c>
      <c r="H1825" s="524"/>
    </row>
    <row r="1826" spans="3:8" ht="13.5" customHeight="1">
      <c r="C1826" s="524" t="s">
        <v>3022</v>
      </c>
      <c r="D1826" s="524" t="s">
        <v>2906</v>
      </c>
      <c r="H1826" s="524"/>
    </row>
    <row r="1827" spans="3:8" ht="13.5" customHeight="1">
      <c r="C1827" s="524" t="s">
        <v>3023</v>
      </c>
      <c r="D1827" s="524" t="s">
        <v>3024</v>
      </c>
      <c r="H1827" s="524"/>
    </row>
    <row r="1828" spans="3:8" ht="13.5" customHeight="1">
      <c r="C1828" s="524" t="s">
        <v>3025</v>
      </c>
      <c r="D1828" s="524" t="s">
        <v>2910</v>
      </c>
      <c r="H1828" s="524"/>
    </row>
    <row r="1829" spans="3:8" ht="13.5" customHeight="1">
      <c r="C1829" s="524" t="s">
        <v>3026</v>
      </c>
      <c r="D1829" s="524" t="s">
        <v>2912</v>
      </c>
      <c r="H1829" s="524"/>
    </row>
    <row r="1830" spans="3:8" ht="13.5" customHeight="1">
      <c r="C1830" s="524" t="s">
        <v>3027</v>
      </c>
      <c r="D1830" s="524" t="s">
        <v>2914</v>
      </c>
      <c r="H1830" s="524"/>
    </row>
    <row r="1831" spans="3:8" ht="13.5" customHeight="1">
      <c r="C1831" s="524" t="s">
        <v>3028</v>
      </c>
      <c r="D1831" s="524" t="s">
        <v>2916</v>
      </c>
      <c r="H1831" s="524"/>
    </row>
    <row r="1832" spans="3:8" ht="13.5" customHeight="1">
      <c r="C1832" s="524" t="s">
        <v>3029</v>
      </c>
      <c r="D1832" s="524" t="s">
        <v>2918</v>
      </c>
      <c r="H1832" s="524"/>
    </row>
    <row r="1833" spans="3:8" ht="13.5" customHeight="1">
      <c r="C1833" s="524" t="s">
        <v>3030</v>
      </c>
      <c r="D1833" s="524" t="s">
        <v>2920</v>
      </c>
      <c r="H1833" s="524"/>
    </row>
    <row r="1834" spans="3:8" ht="13.5" customHeight="1">
      <c r="C1834" s="524" t="s">
        <v>3031</v>
      </c>
      <c r="D1834" s="524" t="s">
        <v>2922</v>
      </c>
      <c r="H1834" s="524"/>
    </row>
    <row r="1835" spans="3:8" ht="13.5" customHeight="1">
      <c r="C1835" s="524" t="s">
        <v>3032</v>
      </c>
      <c r="D1835" s="524" t="s">
        <v>2924</v>
      </c>
      <c r="H1835" s="524"/>
    </row>
    <row r="1836" spans="3:8" ht="13.5" customHeight="1">
      <c r="C1836" s="524" t="s">
        <v>3033</v>
      </c>
      <c r="D1836" s="524" t="s">
        <v>2926</v>
      </c>
      <c r="H1836" s="524"/>
    </row>
    <row r="1837" spans="3:8" ht="13.5" customHeight="1">
      <c r="C1837" s="524" t="s">
        <v>3034</v>
      </c>
      <c r="D1837" s="524" t="s">
        <v>2928</v>
      </c>
      <c r="H1837" s="524"/>
    </row>
    <row r="1838" spans="3:8" ht="13.5" customHeight="1">
      <c r="C1838" s="524" t="s">
        <v>3035</v>
      </c>
      <c r="D1838" s="524" t="s">
        <v>2930</v>
      </c>
      <c r="H1838" s="524"/>
    </row>
    <row r="1839" spans="3:8" ht="13.5" customHeight="1">
      <c r="C1839" s="524" t="s">
        <v>3036</v>
      </c>
      <c r="D1839" s="524" t="s">
        <v>2932</v>
      </c>
      <c r="H1839" s="524"/>
    </row>
    <row r="1840" spans="3:8" ht="13.5" customHeight="1">
      <c r="C1840" s="524" t="s">
        <v>3037</v>
      </c>
      <c r="D1840" s="524" t="s">
        <v>3038</v>
      </c>
      <c r="H1840" s="524"/>
    </row>
    <row r="1841" spans="3:8" ht="13.5" customHeight="1">
      <c r="C1841" s="524" t="s">
        <v>3039</v>
      </c>
      <c r="D1841" s="524" t="s">
        <v>3040</v>
      </c>
      <c r="H1841" s="524"/>
    </row>
    <row r="1842" spans="3:8" ht="13.5" customHeight="1">
      <c r="C1842" s="524" t="s">
        <v>3041</v>
      </c>
      <c r="D1842" s="524" t="s">
        <v>3042</v>
      </c>
      <c r="H1842" s="524"/>
    </row>
    <row r="1843" spans="3:8" ht="13.5" customHeight="1">
      <c r="C1843" s="524" t="s">
        <v>3043</v>
      </c>
      <c r="D1843" s="524" t="s">
        <v>3044</v>
      </c>
      <c r="H1843" s="524"/>
    </row>
    <row r="1844" spans="3:8" ht="13.5" customHeight="1">
      <c r="C1844" s="524" t="s">
        <v>3045</v>
      </c>
      <c r="D1844" s="524" t="s">
        <v>3046</v>
      </c>
      <c r="H1844" s="524"/>
    </row>
    <row r="1845" spans="3:8" ht="13.5" customHeight="1">
      <c r="C1845" s="524" t="s">
        <v>3047</v>
      </c>
      <c r="D1845" s="524" t="s">
        <v>3048</v>
      </c>
      <c r="H1845" s="524"/>
    </row>
    <row r="1846" spans="3:8" ht="13.5" customHeight="1">
      <c r="C1846" s="524" t="s">
        <v>3049</v>
      </c>
      <c r="D1846" s="524" t="s">
        <v>3050</v>
      </c>
      <c r="H1846" s="524"/>
    </row>
    <row r="1847" spans="3:8" ht="13.5" customHeight="1">
      <c r="C1847" s="524" t="s">
        <v>3051</v>
      </c>
      <c r="D1847" s="524" t="s">
        <v>3052</v>
      </c>
      <c r="H1847" s="524"/>
    </row>
    <row r="1848" spans="3:8" ht="13.5" customHeight="1">
      <c r="C1848" s="524" t="s">
        <v>3053</v>
      </c>
      <c r="D1848" s="524" t="s">
        <v>3054</v>
      </c>
      <c r="H1848" s="524"/>
    </row>
    <row r="1849" spans="3:8" ht="13.5" customHeight="1">
      <c r="C1849" s="524" t="s">
        <v>3055</v>
      </c>
      <c r="D1849" s="524" t="s">
        <v>3056</v>
      </c>
      <c r="H1849" s="524"/>
    </row>
    <row r="1850" spans="3:8" ht="13.5" customHeight="1">
      <c r="C1850" s="524" t="s">
        <v>3057</v>
      </c>
      <c r="D1850" s="524" t="s">
        <v>3058</v>
      </c>
      <c r="H1850" s="524"/>
    </row>
    <row r="1851" spans="3:8" ht="13.5" customHeight="1">
      <c r="C1851" s="524" t="s">
        <v>3059</v>
      </c>
      <c r="D1851" s="524" t="s">
        <v>3060</v>
      </c>
      <c r="H1851" s="524"/>
    </row>
    <row r="1852" spans="3:8" ht="13.5" customHeight="1">
      <c r="C1852" s="524" t="s">
        <v>3061</v>
      </c>
      <c r="D1852" s="524" t="s">
        <v>3062</v>
      </c>
      <c r="H1852" s="524"/>
    </row>
    <row r="1853" spans="3:8" ht="13.5" customHeight="1">
      <c r="C1853" s="524" t="s">
        <v>3063</v>
      </c>
      <c r="D1853" s="524" t="s">
        <v>3064</v>
      </c>
      <c r="H1853" s="524"/>
    </row>
    <row r="1854" spans="3:8" ht="13.5" customHeight="1">
      <c r="C1854" s="524" t="s">
        <v>3065</v>
      </c>
      <c r="D1854" s="524" t="s">
        <v>3066</v>
      </c>
      <c r="H1854" s="524"/>
    </row>
    <row r="1855" spans="3:8" ht="13.5" customHeight="1">
      <c r="C1855" s="524" t="s">
        <v>3067</v>
      </c>
      <c r="D1855" s="524" t="s">
        <v>3068</v>
      </c>
      <c r="H1855" s="524"/>
    </row>
    <row r="1856" spans="3:8" ht="13.5" customHeight="1">
      <c r="C1856" s="524" t="s">
        <v>3069</v>
      </c>
      <c r="D1856" s="524" t="s">
        <v>3070</v>
      </c>
      <c r="H1856" s="524"/>
    </row>
    <row r="1857" spans="3:8" ht="13.5" customHeight="1">
      <c r="C1857" s="524" t="s">
        <v>3071</v>
      </c>
      <c r="D1857" s="524" t="s">
        <v>3072</v>
      </c>
      <c r="H1857" s="524"/>
    </row>
    <row r="1858" spans="3:8" ht="13.5" customHeight="1">
      <c r="C1858" s="524" t="s">
        <v>3073</v>
      </c>
      <c r="D1858" s="524" t="s">
        <v>3074</v>
      </c>
      <c r="H1858" s="524"/>
    </row>
    <row r="1859" spans="3:8" ht="13.5" customHeight="1">
      <c r="C1859" s="524" t="s">
        <v>3075</v>
      </c>
      <c r="D1859" s="524" t="s">
        <v>3076</v>
      </c>
      <c r="H1859" s="524"/>
    </row>
    <row r="1860" spans="3:8" ht="13.5" customHeight="1">
      <c r="C1860" s="524" t="s">
        <v>3077</v>
      </c>
      <c r="D1860" s="524" t="s">
        <v>3078</v>
      </c>
      <c r="H1860" s="524"/>
    </row>
    <row r="1861" spans="3:8" ht="13.5" customHeight="1">
      <c r="C1861" s="524" t="s">
        <v>3079</v>
      </c>
      <c r="D1861" s="524" t="s">
        <v>3080</v>
      </c>
      <c r="H1861" s="524"/>
    </row>
    <row r="1862" spans="3:8" ht="13.5" customHeight="1">
      <c r="C1862" s="524" t="s">
        <v>3081</v>
      </c>
      <c r="D1862" s="524" t="s">
        <v>3082</v>
      </c>
      <c r="H1862" s="524"/>
    </row>
    <row r="1863" spans="3:8" ht="13.5" customHeight="1">
      <c r="C1863" s="524" t="s">
        <v>3083</v>
      </c>
      <c r="D1863" s="524" t="s">
        <v>3084</v>
      </c>
      <c r="H1863" s="524"/>
    </row>
    <row r="1864" spans="3:8" ht="13.5" customHeight="1">
      <c r="C1864" s="524" t="s">
        <v>3085</v>
      </c>
      <c r="D1864" s="524" t="s">
        <v>3086</v>
      </c>
      <c r="H1864" s="524"/>
    </row>
    <row r="1865" spans="3:8" ht="13.5" customHeight="1">
      <c r="C1865" s="524" t="s">
        <v>3087</v>
      </c>
      <c r="D1865" s="524" t="s">
        <v>3088</v>
      </c>
      <c r="H1865" s="524"/>
    </row>
    <row r="1866" spans="3:8" ht="13.5" customHeight="1">
      <c r="C1866" s="524" t="s">
        <v>3089</v>
      </c>
      <c r="D1866" s="524" t="s">
        <v>3090</v>
      </c>
      <c r="H1866" s="524"/>
    </row>
    <row r="1867" spans="3:8" ht="13.5" customHeight="1">
      <c r="C1867" s="524" t="s">
        <v>3091</v>
      </c>
      <c r="D1867" s="524" t="s">
        <v>3092</v>
      </c>
      <c r="H1867" s="524"/>
    </row>
    <row r="1868" spans="3:8" ht="13.5" customHeight="1">
      <c r="C1868" s="524" t="s">
        <v>3093</v>
      </c>
      <c r="D1868" s="524" t="s">
        <v>3094</v>
      </c>
      <c r="H1868" s="524"/>
    </row>
    <row r="1869" spans="3:8" ht="13.5" customHeight="1">
      <c r="C1869" s="524" t="s">
        <v>3095</v>
      </c>
      <c r="D1869" s="524" t="s">
        <v>3096</v>
      </c>
      <c r="H1869" s="524"/>
    </row>
    <row r="1870" spans="3:8" ht="13.5" customHeight="1">
      <c r="C1870" s="524" t="s">
        <v>3097</v>
      </c>
      <c r="D1870" s="524" t="s">
        <v>3098</v>
      </c>
      <c r="H1870" s="524"/>
    </row>
    <row r="1871" spans="3:8" ht="13.5" customHeight="1">
      <c r="C1871" s="524" t="s">
        <v>3099</v>
      </c>
      <c r="D1871" s="524" t="s">
        <v>3100</v>
      </c>
      <c r="H1871" s="524"/>
    </row>
    <row r="1872" spans="3:8" ht="13.5" customHeight="1">
      <c r="C1872" s="524" t="s">
        <v>3101</v>
      </c>
      <c r="D1872" s="524" t="s">
        <v>3102</v>
      </c>
      <c r="H1872" s="524"/>
    </row>
    <row r="1873" spans="3:8" ht="13.5" customHeight="1">
      <c r="C1873" s="524" t="s">
        <v>3103</v>
      </c>
      <c r="D1873" s="524" t="s">
        <v>3104</v>
      </c>
      <c r="H1873" s="524"/>
    </row>
    <row r="1874" spans="3:8" ht="13.5" customHeight="1">
      <c r="C1874" s="524" t="s">
        <v>3105</v>
      </c>
      <c r="D1874" s="524" t="s">
        <v>3106</v>
      </c>
      <c r="H1874" s="524"/>
    </row>
    <row r="1875" spans="3:8" ht="13.5" customHeight="1">
      <c r="C1875" s="524" t="s">
        <v>3107</v>
      </c>
      <c r="D1875" s="524" t="s">
        <v>3108</v>
      </c>
      <c r="H1875" s="524"/>
    </row>
    <row r="1876" spans="3:8" ht="13.5" customHeight="1">
      <c r="C1876" s="524" t="s">
        <v>3109</v>
      </c>
      <c r="D1876" s="524" t="s">
        <v>3110</v>
      </c>
      <c r="H1876" s="524"/>
    </row>
    <row r="1877" spans="3:8" ht="13.5" customHeight="1">
      <c r="C1877" s="524" t="s">
        <v>3111</v>
      </c>
      <c r="D1877" s="524" t="s">
        <v>3112</v>
      </c>
      <c r="H1877" s="524"/>
    </row>
    <row r="1878" spans="3:8" ht="13.5" customHeight="1">
      <c r="C1878" s="524" t="s">
        <v>3113</v>
      </c>
      <c r="D1878" s="524" t="s">
        <v>3114</v>
      </c>
      <c r="H1878" s="524"/>
    </row>
    <row r="1879" spans="3:8" ht="13.5" customHeight="1">
      <c r="C1879" s="524" t="s">
        <v>3115</v>
      </c>
      <c r="D1879" s="524" t="s">
        <v>3116</v>
      </c>
      <c r="H1879" s="524"/>
    </row>
    <row r="1880" spans="3:8" ht="13.5" customHeight="1">
      <c r="C1880" s="524" t="s">
        <v>3117</v>
      </c>
      <c r="D1880" s="524" t="s">
        <v>3118</v>
      </c>
      <c r="H1880" s="524"/>
    </row>
    <row r="1881" spans="3:8" ht="13.5" customHeight="1">
      <c r="C1881" s="524" t="s">
        <v>3119</v>
      </c>
      <c r="D1881" s="524" t="s">
        <v>3120</v>
      </c>
      <c r="H1881" s="524"/>
    </row>
    <row r="1882" spans="3:8" ht="13.5" customHeight="1">
      <c r="C1882" s="524" t="s">
        <v>3121</v>
      </c>
      <c r="D1882" s="524" t="s">
        <v>3122</v>
      </c>
      <c r="H1882" s="524"/>
    </row>
    <row r="1883" spans="3:8" ht="13.5" customHeight="1">
      <c r="C1883" s="524" t="s">
        <v>3123</v>
      </c>
      <c r="D1883" s="524" t="s">
        <v>3124</v>
      </c>
      <c r="H1883" s="524"/>
    </row>
    <row r="1884" spans="3:8" ht="13.5" customHeight="1">
      <c r="C1884" s="524" t="s">
        <v>3125</v>
      </c>
      <c r="D1884" s="524" t="s">
        <v>3126</v>
      </c>
      <c r="H1884" s="524"/>
    </row>
    <row r="1885" spans="3:8" ht="13.5" customHeight="1">
      <c r="C1885" s="524" t="s">
        <v>3127</v>
      </c>
      <c r="D1885" s="524" t="s">
        <v>3128</v>
      </c>
      <c r="H1885" s="524"/>
    </row>
    <row r="1886" spans="3:8" ht="13.5" customHeight="1">
      <c r="C1886" s="524" t="s">
        <v>3129</v>
      </c>
      <c r="D1886" s="524" t="s">
        <v>3130</v>
      </c>
      <c r="H1886" s="524"/>
    </row>
    <row r="1887" spans="3:8" ht="13.5" customHeight="1">
      <c r="C1887" s="524" t="s">
        <v>3131</v>
      </c>
      <c r="D1887" s="524" t="s">
        <v>3132</v>
      </c>
      <c r="H1887" s="524"/>
    </row>
    <row r="1888" spans="3:8" ht="13.5" customHeight="1">
      <c r="C1888" s="524" t="s">
        <v>3133</v>
      </c>
      <c r="D1888" s="524" t="s">
        <v>3134</v>
      </c>
      <c r="H1888" s="524"/>
    </row>
    <row r="1889" spans="3:8" ht="13.5" customHeight="1">
      <c r="C1889" s="524" t="s">
        <v>3135</v>
      </c>
      <c r="D1889" s="524" t="s">
        <v>3136</v>
      </c>
      <c r="H1889" s="524"/>
    </row>
    <row r="1890" spans="3:8" ht="13.5" customHeight="1">
      <c r="C1890" s="524" t="s">
        <v>3137</v>
      </c>
      <c r="D1890" s="524" t="s">
        <v>3138</v>
      </c>
      <c r="H1890" s="524"/>
    </row>
    <row r="1891" spans="3:8" ht="13.5" customHeight="1">
      <c r="C1891" s="524" t="s">
        <v>3139</v>
      </c>
      <c r="D1891" s="524" t="s">
        <v>3140</v>
      </c>
      <c r="H1891" s="524"/>
    </row>
    <row r="1892" spans="3:8" ht="13.5" customHeight="1">
      <c r="C1892" s="524" t="s">
        <v>3141</v>
      </c>
      <c r="D1892" s="524" t="s">
        <v>3142</v>
      </c>
      <c r="H1892" s="524"/>
    </row>
    <row r="1893" spans="3:8" ht="13.5" customHeight="1">
      <c r="C1893" s="524" t="s">
        <v>3143</v>
      </c>
      <c r="D1893" s="524" t="s">
        <v>3144</v>
      </c>
      <c r="H1893" s="524"/>
    </row>
    <row r="1894" spans="3:8" ht="13.5" customHeight="1">
      <c r="C1894" s="524" t="s">
        <v>3145</v>
      </c>
      <c r="D1894" s="524" t="s">
        <v>3146</v>
      </c>
      <c r="H1894" s="524"/>
    </row>
    <row r="1895" spans="3:8" ht="13.5" customHeight="1">
      <c r="C1895" s="524" t="s">
        <v>3147</v>
      </c>
      <c r="D1895" s="524" t="s">
        <v>3148</v>
      </c>
      <c r="H1895" s="524"/>
    </row>
    <row r="1896" spans="3:8" ht="13.5" customHeight="1">
      <c r="C1896" s="524" t="s">
        <v>3149</v>
      </c>
      <c r="D1896" s="524" t="s">
        <v>3150</v>
      </c>
      <c r="H1896" s="524"/>
    </row>
    <row r="1897" spans="3:8" ht="13.5" customHeight="1">
      <c r="C1897" s="524" t="s">
        <v>3151</v>
      </c>
      <c r="D1897" s="524" t="s">
        <v>3152</v>
      </c>
      <c r="H1897" s="524"/>
    </row>
    <row r="1898" spans="3:8" ht="13.5" customHeight="1">
      <c r="C1898" s="524" t="s">
        <v>3153</v>
      </c>
      <c r="D1898" s="524" t="s">
        <v>3154</v>
      </c>
      <c r="H1898" s="524"/>
    </row>
    <row r="1899" spans="3:8" ht="13.5" customHeight="1">
      <c r="C1899" s="524" t="s">
        <v>3155</v>
      </c>
      <c r="D1899" s="524" t="s">
        <v>3156</v>
      </c>
      <c r="H1899" s="524"/>
    </row>
    <row r="1900" spans="3:8" ht="13.5" customHeight="1">
      <c r="C1900" s="524" t="s">
        <v>3157</v>
      </c>
      <c r="D1900" s="524" t="s">
        <v>3158</v>
      </c>
      <c r="H1900" s="524"/>
    </row>
    <row r="1901" spans="3:8" ht="13.5" customHeight="1">
      <c r="C1901" s="524" t="s">
        <v>3159</v>
      </c>
      <c r="D1901" s="524" t="s">
        <v>3160</v>
      </c>
      <c r="H1901" s="524"/>
    </row>
    <row r="1902" spans="3:8" ht="13.5" customHeight="1">
      <c r="C1902" s="524" t="s">
        <v>3161</v>
      </c>
      <c r="D1902" s="524" t="s">
        <v>3162</v>
      </c>
      <c r="H1902" s="524"/>
    </row>
    <row r="1903" spans="3:8" ht="13.5" customHeight="1">
      <c r="C1903" s="524" t="s">
        <v>3163</v>
      </c>
      <c r="D1903" s="524" t="s">
        <v>3164</v>
      </c>
      <c r="H1903" s="524"/>
    </row>
    <row r="1904" spans="3:8" ht="13.5" customHeight="1">
      <c r="C1904" s="524" t="s">
        <v>3165</v>
      </c>
      <c r="D1904" s="524" t="s">
        <v>3166</v>
      </c>
      <c r="H1904" s="524"/>
    </row>
    <row r="1905" spans="3:8" ht="13.5" customHeight="1">
      <c r="C1905" s="524" t="s">
        <v>3167</v>
      </c>
      <c r="D1905" s="524" t="s">
        <v>3168</v>
      </c>
      <c r="H1905" s="524"/>
    </row>
    <row r="1906" spans="3:8" ht="13.5" customHeight="1">
      <c r="C1906" s="524" t="s">
        <v>3169</v>
      </c>
      <c r="D1906" s="524" t="s">
        <v>3170</v>
      </c>
      <c r="H1906" s="524"/>
    </row>
    <row r="1907" spans="3:8" ht="13.5" customHeight="1">
      <c r="C1907" s="524" t="s">
        <v>3171</v>
      </c>
      <c r="D1907" s="524" t="s">
        <v>3172</v>
      </c>
      <c r="H1907" s="524"/>
    </row>
    <row r="1908" spans="3:8" ht="13.5" customHeight="1">
      <c r="C1908" s="524" t="s">
        <v>3173</v>
      </c>
      <c r="D1908" s="524" t="s">
        <v>3174</v>
      </c>
      <c r="H1908" s="524"/>
    </row>
    <row r="1909" spans="3:8" ht="13.5" customHeight="1">
      <c r="C1909" s="524" t="s">
        <v>3175</v>
      </c>
      <c r="D1909" s="524" t="s">
        <v>3176</v>
      </c>
      <c r="H1909" s="524"/>
    </row>
    <row r="1910" spans="3:8" ht="13.5" customHeight="1">
      <c r="C1910" s="524" t="s">
        <v>3177</v>
      </c>
      <c r="D1910" s="524" t="s">
        <v>3178</v>
      </c>
      <c r="H1910" s="524"/>
    </row>
    <row r="1911" spans="3:8" ht="13.5" customHeight="1">
      <c r="C1911" s="524" t="s">
        <v>3179</v>
      </c>
      <c r="D1911" s="524" t="s">
        <v>3180</v>
      </c>
      <c r="H1911" s="524"/>
    </row>
    <row r="1912" spans="3:8" ht="13.5" customHeight="1">
      <c r="C1912" s="524" t="s">
        <v>3181</v>
      </c>
      <c r="D1912" s="524" t="s">
        <v>3182</v>
      </c>
      <c r="H1912" s="524"/>
    </row>
    <row r="1913" spans="3:8" ht="13.5" customHeight="1">
      <c r="C1913" s="524" t="s">
        <v>3183</v>
      </c>
      <c r="D1913" s="524" t="s">
        <v>3184</v>
      </c>
      <c r="H1913" s="524"/>
    </row>
    <row r="1914" spans="3:8" ht="13.5" customHeight="1">
      <c r="C1914" s="524" t="s">
        <v>3185</v>
      </c>
      <c r="D1914" s="524" t="s">
        <v>3186</v>
      </c>
      <c r="H1914" s="524"/>
    </row>
    <row r="1915" spans="3:8" ht="13.5" customHeight="1">
      <c r="C1915" s="524" t="s">
        <v>3187</v>
      </c>
      <c r="D1915" s="524" t="s">
        <v>3188</v>
      </c>
      <c r="H1915" s="524"/>
    </row>
    <row r="1916" spans="3:8" ht="13.5" customHeight="1">
      <c r="C1916" s="524" t="s">
        <v>3189</v>
      </c>
      <c r="D1916" s="524" t="s">
        <v>3190</v>
      </c>
      <c r="H1916" s="524"/>
    </row>
    <row r="1917" spans="3:8" ht="13.5" customHeight="1">
      <c r="C1917" s="524" t="s">
        <v>3191</v>
      </c>
      <c r="D1917" s="524" t="s">
        <v>3192</v>
      </c>
      <c r="H1917" s="524"/>
    </row>
    <row r="1918" spans="3:8" ht="13.5" customHeight="1">
      <c r="C1918" s="524" t="s">
        <v>3193</v>
      </c>
      <c r="D1918" s="524" t="s">
        <v>3194</v>
      </c>
      <c r="H1918" s="524"/>
    </row>
    <row r="1919" spans="3:8" ht="13.5" customHeight="1">
      <c r="C1919" s="524" t="s">
        <v>3195</v>
      </c>
      <c r="D1919" s="524" t="s">
        <v>3196</v>
      </c>
      <c r="H1919" s="524"/>
    </row>
    <row r="1920" spans="3:8" ht="13.5" customHeight="1">
      <c r="C1920" s="524" t="s">
        <v>3197</v>
      </c>
      <c r="D1920" s="524" t="s">
        <v>3198</v>
      </c>
      <c r="H1920" s="524"/>
    </row>
    <row r="1921" spans="3:8" ht="13.5" customHeight="1">
      <c r="C1921" s="524" t="s">
        <v>3199</v>
      </c>
      <c r="D1921" s="524" t="s">
        <v>3200</v>
      </c>
      <c r="H1921" s="524"/>
    </row>
    <row r="1922" spans="3:8" ht="13.5" customHeight="1">
      <c r="C1922" s="524" t="s">
        <v>3201</v>
      </c>
      <c r="D1922" s="524" t="s">
        <v>3202</v>
      </c>
      <c r="H1922" s="524"/>
    </row>
    <row r="1923" spans="3:8" ht="13.5" customHeight="1">
      <c r="C1923" s="524" t="s">
        <v>3203</v>
      </c>
      <c r="D1923" s="524" t="s">
        <v>3204</v>
      </c>
      <c r="H1923" s="524"/>
    </row>
    <row r="1924" spans="3:8" ht="13.5" customHeight="1">
      <c r="C1924" s="524" t="s">
        <v>3205</v>
      </c>
      <c r="D1924" s="524" t="s">
        <v>3206</v>
      </c>
      <c r="H1924" s="524"/>
    </row>
    <row r="1925" spans="3:8" ht="13.5" customHeight="1">
      <c r="C1925" s="524" t="s">
        <v>3207</v>
      </c>
      <c r="D1925" s="524" t="s">
        <v>3208</v>
      </c>
      <c r="H1925" s="524"/>
    </row>
    <row r="1926" spans="3:8" ht="13.5" customHeight="1">
      <c r="C1926" s="524" t="s">
        <v>3209</v>
      </c>
      <c r="D1926" s="524" t="s">
        <v>3210</v>
      </c>
      <c r="H1926" s="524"/>
    </row>
    <row r="1927" spans="3:8" ht="13.5" customHeight="1">
      <c r="C1927" s="524" t="s">
        <v>3211</v>
      </c>
      <c r="D1927" s="524" t="s">
        <v>3212</v>
      </c>
      <c r="H1927" s="524"/>
    </row>
    <row r="1928" spans="3:8" ht="13.5" customHeight="1">
      <c r="C1928" s="524" t="s">
        <v>3213</v>
      </c>
      <c r="D1928" s="524" t="s">
        <v>3214</v>
      </c>
      <c r="H1928" s="524"/>
    </row>
    <row r="1929" spans="3:8" ht="13.5" customHeight="1">
      <c r="C1929" s="524" t="s">
        <v>3215</v>
      </c>
      <c r="D1929" s="524" t="s">
        <v>3216</v>
      </c>
      <c r="H1929" s="524"/>
    </row>
    <row r="1930" spans="3:8" ht="13.5" customHeight="1">
      <c r="C1930" s="524" t="s">
        <v>3217</v>
      </c>
      <c r="D1930" s="524" t="s">
        <v>3218</v>
      </c>
      <c r="H1930" s="524"/>
    </row>
    <row r="1931" spans="3:8" ht="13.5" customHeight="1">
      <c r="C1931" s="524" t="s">
        <v>3219</v>
      </c>
      <c r="D1931" s="524" t="s">
        <v>3220</v>
      </c>
      <c r="H1931" s="524"/>
    </row>
    <row r="1932" spans="3:8" ht="13.5" customHeight="1">
      <c r="C1932" s="524" t="s">
        <v>3221</v>
      </c>
      <c r="D1932" s="524" t="s">
        <v>3222</v>
      </c>
      <c r="H1932" s="524"/>
    </row>
    <row r="1933" spans="3:8" ht="13.5" customHeight="1">
      <c r="C1933" s="524" t="s">
        <v>3223</v>
      </c>
      <c r="D1933" s="524" t="s">
        <v>3224</v>
      </c>
      <c r="H1933" s="524"/>
    </row>
    <row r="1934" spans="3:8" ht="13.5" customHeight="1">
      <c r="C1934" s="524" t="s">
        <v>3225</v>
      </c>
      <c r="D1934" s="524" t="s">
        <v>3226</v>
      </c>
      <c r="H1934" s="524"/>
    </row>
    <row r="1935" spans="3:8" ht="13.5" customHeight="1">
      <c r="C1935" s="524" t="s">
        <v>3227</v>
      </c>
      <c r="D1935" s="524" t="s">
        <v>3228</v>
      </c>
      <c r="H1935" s="524"/>
    </row>
    <row r="1936" spans="3:8" ht="13.5" customHeight="1">
      <c r="C1936" s="524" t="s">
        <v>3229</v>
      </c>
      <c r="D1936" s="524" t="s">
        <v>3230</v>
      </c>
      <c r="H1936" s="524"/>
    </row>
    <row r="1937" spans="3:8" ht="13.5" customHeight="1">
      <c r="C1937" s="524" t="s">
        <v>3231</v>
      </c>
      <c r="D1937" s="524" t="s">
        <v>3232</v>
      </c>
      <c r="H1937" s="524"/>
    </row>
    <row r="1938" spans="3:8" ht="13.5" customHeight="1">
      <c r="C1938" s="524" t="s">
        <v>3233</v>
      </c>
      <c r="D1938" s="524" t="s">
        <v>3234</v>
      </c>
      <c r="H1938" s="524"/>
    </row>
    <row r="1939" spans="3:8" ht="13.5" customHeight="1">
      <c r="C1939" s="524" t="s">
        <v>3235</v>
      </c>
      <c r="D1939" s="524" t="s">
        <v>3236</v>
      </c>
      <c r="H1939" s="524"/>
    </row>
    <row r="1940" spans="3:8" ht="13.5" customHeight="1">
      <c r="C1940" s="524" t="s">
        <v>3237</v>
      </c>
      <c r="D1940" s="524" t="s">
        <v>3238</v>
      </c>
      <c r="H1940" s="524"/>
    </row>
    <row r="1941" spans="3:8" ht="13.5" customHeight="1">
      <c r="C1941" s="524" t="s">
        <v>3239</v>
      </c>
      <c r="D1941" s="524" t="s">
        <v>3240</v>
      </c>
      <c r="H1941" s="524"/>
    </row>
    <row r="1942" spans="3:8" ht="13.5" customHeight="1">
      <c r="C1942" s="524" t="s">
        <v>3241</v>
      </c>
      <c r="D1942" s="524" t="s">
        <v>3242</v>
      </c>
      <c r="H1942" s="524"/>
    </row>
    <row r="1943" spans="3:8" ht="13.5" customHeight="1">
      <c r="C1943" s="524" t="s">
        <v>3243</v>
      </c>
      <c r="D1943" s="524" t="s">
        <v>3244</v>
      </c>
      <c r="H1943" s="524"/>
    </row>
    <row r="1944" spans="3:8" ht="13.5" customHeight="1">
      <c r="C1944" s="524" t="s">
        <v>3245</v>
      </c>
      <c r="D1944" s="524" t="s">
        <v>3246</v>
      </c>
      <c r="H1944" s="524"/>
    </row>
    <row r="1945" spans="3:8" ht="13.5" customHeight="1">
      <c r="C1945" s="524" t="s">
        <v>3247</v>
      </c>
      <c r="D1945" s="524" t="s">
        <v>3248</v>
      </c>
      <c r="H1945" s="524"/>
    </row>
    <row r="1946" spans="3:8" ht="13.5" customHeight="1">
      <c r="C1946" s="524" t="s">
        <v>3249</v>
      </c>
      <c r="D1946" s="524" t="s">
        <v>3250</v>
      </c>
      <c r="H1946" s="524"/>
    </row>
    <row r="1947" spans="3:8" ht="13.5" customHeight="1">
      <c r="C1947" s="524" t="s">
        <v>3251</v>
      </c>
      <c r="D1947" s="524" t="s">
        <v>3252</v>
      </c>
      <c r="H1947" s="524"/>
    </row>
    <row r="1948" spans="3:8" ht="13.5" customHeight="1">
      <c r="C1948" s="524" t="s">
        <v>3253</v>
      </c>
      <c r="D1948" s="524" t="s">
        <v>3254</v>
      </c>
      <c r="H1948" s="524"/>
    </row>
    <row r="1949" spans="3:8" ht="13.5" customHeight="1">
      <c r="C1949" s="524" t="s">
        <v>3255</v>
      </c>
      <c r="D1949" s="524" t="s">
        <v>3256</v>
      </c>
      <c r="H1949" s="524"/>
    </row>
    <row r="1950" spans="3:8" ht="13.5" customHeight="1">
      <c r="C1950" s="524" t="s">
        <v>3257</v>
      </c>
      <c r="D1950" s="524" t="s">
        <v>3258</v>
      </c>
      <c r="H1950" s="524"/>
    </row>
    <row r="1951" spans="3:8" ht="13.5" customHeight="1">
      <c r="C1951" s="524" t="s">
        <v>3259</v>
      </c>
      <c r="D1951" s="524" t="s">
        <v>3260</v>
      </c>
      <c r="H1951" s="524"/>
    </row>
    <row r="1952" spans="3:8" ht="13.5" customHeight="1">
      <c r="C1952" s="524" t="s">
        <v>3261</v>
      </c>
      <c r="D1952" s="524" t="s">
        <v>3262</v>
      </c>
      <c r="H1952" s="524"/>
    </row>
    <row r="1953" spans="3:8" ht="13.5" customHeight="1">
      <c r="C1953" s="524" t="s">
        <v>3263</v>
      </c>
      <c r="D1953" s="524" t="s">
        <v>3264</v>
      </c>
      <c r="H1953" s="524"/>
    </row>
    <row r="1954" spans="3:8" ht="13.5" customHeight="1">
      <c r="C1954" s="524" t="s">
        <v>3265</v>
      </c>
      <c r="D1954" s="524" t="s">
        <v>3266</v>
      </c>
      <c r="H1954" s="524"/>
    </row>
    <row r="1955" spans="3:8" ht="13.5" customHeight="1">
      <c r="C1955" s="524" t="s">
        <v>3267</v>
      </c>
      <c r="D1955" s="524" t="s">
        <v>3268</v>
      </c>
      <c r="H1955" s="524"/>
    </row>
    <row r="1956" spans="3:8" ht="13.5" customHeight="1">
      <c r="C1956" s="524" t="s">
        <v>3269</v>
      </c>
      <c r="D1956" s="524" t="s">
        <v>3270</v>
      </c>
      <c r="H1956" s="524"/>
    </row>
    <row r="1957" spans="3:8" ht="13.5" customHeight="1">
      <c r="C1957" s="524" t="s">
        <v>3271</v>
      </c>
      <c r="D1957" s="524" t="s">
        <v>3272</v>
      </c>
      <c r="H1957" s="524"/>
    </row>
    <row r="1958" spans="3:8" ht="13.5" customHeight="1">
      <c r="C1958" s="524" t="s">
        <v>3273</v>
      </c>
      <c r="D1958" s="524" t="s">
        <v>3274</v>
      </c>
      <c r="H1958" s="524"/>
    </row>
    <row r="1959" spans="3:8" ht="13.5" customHeight="1">
      <c r="C1959" s="524" t="s">
        <v>3275</v>
      </c>
      <c r="D1959" s="524" t="s">
        <v>3276</v>
      </c>
      <c r="H1959" s="524"/>
    </row>
    <row r="1960" spans="3:8" ht="13.5" customHeight="1">
      <c r="C1960" s="524" t="s">
        <v>3277</v>
      </c>
      <c r="D1960" s="524" t="s">
        <v>3278</v>
      </c>
      <c r="H1960" s="524"/>
    </row>
    <row r="1961" spans="3:8" ht="13.5" customHeight="1">
      <c r="C1961" s="524" t="s">
        <v>3279</v>
      </c>
      <c r="D1961" s="524" t="s">
        <v>3280</v>
      </c>
      <c r="H1961" s="524"/>
    </row>
    <row r="1962" spans="3:8" ht="13.5" customHeight="1">
      <c r="C1962" s="524" t="s">
        <v>3281</v>
      </c>
      <c r="D1962" s="524" t="s">
        <v>3282</v>
      </c>
      <c r="H1962" s="524"/>
    </row>
    <row r="1963" spans="3:8" ht="13.5" customHeight="1">
      <c r="C1963" s="524" t="s">
        <v>3283</v>
      </c>
      <c r="D1963" s="524" t="s">
        <v>3284</v>
      </c>
      <c r="H1963" s="524"/>
    </row>
    <row r="1964" spans="3:8" ht="13.5" customHeight="1">
      <c r="C1964" s="524" t="s">
        <v>3285</v>
      </c>
      <c r="D1964" s="524" t="s">
        <v>3286</v>
      </c>
      <c r="H1964" s="524"/>
    </row>
    <row r="1965" spans="3:8" ht="13.5" customHeight="1">
      <c r="C1965" s="524" t="s">
        <v>3287</v>
      </c>
      <c r="D1965" s="524" t="s">
        <v>3288</v>
      </c>
      <c r="H1965" s="524"/>
    </row>
    <row r="1966" spans="3:8" ht="13.5" customHeight="1">
      <c r="C1966" s="524" t="s">
        <v>3289</v>
      </c>
      <c r="D1966" s="524" t="s">
        <v>3290</v>
      </c>
      <c r="H1966" s="524"/>
    </row>
    <row r="1967" spans="3:8" ht="13.5" customHeight="1">
      <c r="C1967" s="524" t="s">
        <v>3291</v>
      </c>
      <c r="D1967" s="524" t="s">
        <v>3292</v>
      </c>
      <c r="H1967" s="524"/>
    </row>
    <row r="1968" spans="3:8" ht="13.5" customHeight="1">
      <c r="C1968" s="524" t="s">
        <v>3293</v>
      </c>
      <c r="D1968" s="524" t="s">
        <v>3294</v>
      </c>
      <c r="H1968" s="524"/>
    </row>
    <row r="1969" spans="3:8" ht="13.5" customHeight="1">
      <c r="C1969" s="524" t="s">
        <v>3295</v>
      </c>
      <c r="D1969" s="524" t="s">
        <v>3296</v>
      </c>
      <c r="H1969" s="524"/>
    </row>
    <row r="1970" spans="3:8" ht="13.5" customHeight="1">
      <c r="C1970" s="524" t="s">
        <v>3297</v>
      </c>
      <c r="D1970" s="524" t="s">
        <v>3298</v>
      </c>
      <c r="H1970" s="524"/>
    </row>
    <row r="1971" spans="3:8" ht="13.5" customHeight="1">
      <c r="C1971" s="524" t="s">
        <v>3299</v>
      </c>
      <c r="D1971" s="524" t="s">
        <v>3300</v>
      </c>
      <c r="H1971" s="524"/>
    </row>
    <row r="1972" spans="3:8" ht="13.5" customHeight="1">
      <c r="C1972" s="524" t="s">
        <v>3301</v>
      </c>
      <c r="D1972" s="524" t="s">
        <v>3302</v>
      </c>
      <c r="H1972" s="524"/>
    </row>
    <row r="1973" spans="3:8" ht="13.5" customHeight="1">
      <c r="C1973" s="524" t="s">
        <v>3303</v>
      </c>
      <c r="D1973" s="524" t="s">
        <v>3304</v>
      </c>
      <c r="H1973" s="524"/>
    </row>
    <row r="1974" spans="3:8" ht="13.5" customHeight="1">
      <c r="C1974" s="524" t="s">
        <v>3305</v>
      </c>
      <c r="D1974" s="524" t="s">
        <v>3306</v>
      </c>
      <c r="H1974" s="524"/>
    </row>
    <row r="1975" spans="3:8" ht="13.5" customHeight="1">
      <c r="C1975" s="524" t="s">
        <v>3307</v>
      </c>
      <c r="D1975" s="524" t="s">
        <v>3308</v>
      </c>
      <c r="H1975" s="524"/>
    </row>
    <row r="1976" spans="3:8" ht="13.5" customHeight="1">
      <c r="C1976" s="524" t="s">
        <v>3309</v>
      </c>
      <c r="D1976" s="524" t="s">
        <v>3310</v>
      </c>
      <c r="H1976" s="524"/>
    </row>
    <row r="1977" spans="3:8" ht="13.5" customHeight="1">
      <c r="C1977" s="524" t="s">
        <v>3311</v>
      </c>
      <c r="D1977" s="524" t="s">
        <v>3312</v>
      </c>
      <c r="H1977" s="524"/>
    </row>
    <row r="1978" spans="3:8" ht="13.5" customHeight="1">
      <c r="C1978" s="524" t="s">
        <v>3313</v>
      </c>
      <c r="D1978" s="524" t="s">
        <v>3314</v>
      </c>
      <c r="H1978" s="524"/>
    </row>
    <row r="1979" spans="3:8" ht="13.5" customHeight="1">
      <c r="C1979" s="524" t="s">
        <v>3315</v>
      </c>
      <c r="D1979" s="524" t="s">
        <v>3316</v>
      </c>
      <c r="H1979" s="524"/>
    </row>
    <row r="1980" spans="3:8" ht="13.5" customHeight="1">
      <c r="C1980" s="524" t="s">
        <v>3317</v>
      </c>
      <c r="D1980" s="524" t="s">
        <v>3318</v>
      </c>
      <c r="H1980" s="524"/>
    </row>
    <row r="1981" spans="3:8" ht="13.5" customHeight="1">
      <c r="C1981" s="524" t="s">
        <v>3319</v>
      </c>
      <c r="D1981" s="524" t="s">
        <v>3320</v>
      </c>
      <c r="H1981" s="524"/>
    </row>
    <row r="1982" spans="3:8" ht="13.5" customHeight="1">
      <c r="C1982" s="524" t="s">
        <v>3321</v>
      </c>
      <c r="D1982" s="524" t="s">
        <v>3322</v>
      </c>
      <c r="H1982" s="524"/>
    </row>
    <row r="1983" spans="3:8" ht="13.5" customHeight="1">
      <c r="C1983" s="524" t="s">
        <v>3323</v>
      </c>
      <c r="D1983" s="524" t="s">
        <v>3324</v>
      </c>
      <c r="H1983" s="524"/>
    </row>
    <row r="1984" spans="3:8" ht="13.5" customHeight="1">
      <c r="C1984" s="524" t="s">
        <v>3325</v>
      </c>
      <c r="D1984" s="524" t="s">
        <v>3326</v>
      </c>
      <c r="H1984" s="524"/>
    </row>
    <row r="1985" spans="3:8" ht="13.5" customHeight="1">
      <c r="C1985" s="524" t="s">
        <v>3327</v>
      </c>
      <c r="D1985" s="524" t="s">
        <v>3328</v>
      </c>
      <c r="H1985" s="524"/>
    </row>
    <row r="1986" spans="3:8" ht="13.5" customHeight="1">
      <c r="C1986" s="524" t="s">
        <v>3329</v>
      </c>
      <c r="D1986" s="524" t="s">
        <v>3330</v>
      </c>
      <c r="H1986" s="524"/>
    </row>
    <row r="1987" spans="3:8" ht="13.5" customHeight="1">
      <c r="C1987" s="524" t="s">
        <v>3331</v>
      </c>
      <c r="D1987" s="524" t="s">
        <v>3332</v>
      </c>
      <c r="H1987" s="524"/>
    </row>
    <row r="1988" spans="3:8" ht="13.5" customHeight="1">
      <c r="C1988" s="524" t="s">
        <v>3333</v>
      </c>
      <c r="D1988" s="524" t="s">
        <v>3334</v>
      </c>
      <c r="H1988" s="524"/>
    </row>
    <row r="1989" spans="3:8" ht="13.5" customHeight="1">
      <c r="C1989" s="524" t="s">
        <v>3335</v>
      </c>
      <c r="D1989" s="524" t="s">
        <v>3336</v>
      </c>
      <c r="H1989" s="524"/>
    </row>
    <row r="1990" spans="3:8" ht="13.5" customHeight="1">
      <c r="C1990" s="524" t="s">
        <v>3337</v>
      </c>
      <c r="D1990" s="524" t="s">
        <v>3338</v>
      </c>
      <c r="H1990" s="524"/>
    </row>
    <row r="1991" spans="3:8" ht="13.5" customHeight="1">
      <c r="C1991" s="524" t="s">
        <v>3339</v>
      </c>
      <c r="D1991" s="524" t="s">
        <v>3340</v>
      </c>
      <c r="H1991" s="524"/>
    </row>
    <row r="1992" spans="3:8" ht="13.5" customHeight="1">
      <c r="C1992" s="524" t="s">
        <v>3341</v>
      </c>
      <c r="D1992" s="524" t="s">
        <v>3342</v>
      </c>
      <c r="H1992" s="524"/>
    </row>
    <row r="1993" spans="3:8" ht="13.5" customHeight="1">
      <c r="C1993" s="524" t="s">
        <v>3343</v>
      </c>
      <c r="D1993" s="524" t="s">
        <v>3344</v>
      </c>
      <c r="H1993" s="524"/>
    </row>
    <row r="1994" spans="3:8" ht="13.5" customHeight="1">
      <c r="C1994" s="524" t="s">
        <v>3345</v>
      </c>
      <c r="D1994" s="524" t="s">
        <v>3346</v>
      </c>
      <c r="H1994" s="524"/>
    </row>
    <row r="1995" spans="3:8" ht="13.5" customHeight="1">
      <c r="C1995" s="524" t="s">
        <v>3347</v>
      </c>
      <c r="D1995" s="524" t="s">
        <v>3348</v>
      </c>
      <c r="H1995" s="524"/>
    </row>
    <row r="1996" spans="3:8" ht="13.5" customHeight="1">
      <c r="C1996" s="524" t="s">
        <v>3349</v>
      </c>
      <c r="D1996" s="524" t="s">
        <v>3350</v>
      </c>
      <c r="H1996" s="524"/>
    </row>
    <row r="1997" spans="3:8" ht="13.5" customHeight="1">
      <c r="C1997" s="524" t="s">
        <v>3351</v>
      </c>
      <c r="D1997" s="524" t="s">
        <v>3352</v>
      </c>
      <c r="H1997" s="524"/>
    </row>
    <row r="1998" spans="3:8" ht="13.5" customHeight="1">
      <c r="C1998" s="524" t="s">
        <v>3353</v>
      </c>
      <c r="D1998" s="524" t="s">
        <v>3354</v>
      </c>
      <c r="H1998" s="524"/>
    </row>
    <row r="1999" spans="3:8" ht="13.5" customHeight="1">
      <c r="C1999" s="524" t="s">
        <v>3355</v>
      </c>
      <c r="D1999" s="524" t="s">
        <v>3356</v>
      </c>
      <c r="H1999" s="524"/>
    </row>
    <row r="2000" spans="3:8" ht="13.5" customHeight="1">
      <c r="C2000" s="524" t="s">
        <v>3357</v>
      </c>
      <c r="D2000" s="524" t="s">
        <v>3358</v>
      </c>
      <c r="H2000" s="524"/>
    </row>
    <row r="2001" spans="3:8" ht="13.5" customHeight="1">
      <c r="C2001" s="524" t="s">
        <v>3359</v>
      </c>
      <c r="D2001" s="524" t="s">
        <v>3360</v>
      </c>
      <c r="H2001" s="524"/>
    </row>
    <row r="2002" spans="3:8" ht="13.5" customHeight="1">
      <c r="C2002" s="524" t="s">
        <v>3361</v>
      </c>
      <c r="D2002" s="524" t="s">
        <v>3362</v>
      </c>
      <c r="H2002" s="524"/>
    </row>
    <row r="2003" spans="3:8" ht="13.5" customHeight="1">
      <c r="C2003" s="524" t="s">
        <v>3363</v>
      </c>
      <c r="D2003" s="524" t="s">
        <v>3364</v>
      </c>
      <c r="H2003" s="524"/>
    </row>
    <row r="2004" spans="3:8" ht="13.5" customHeight="1">
      <c r="C2004" s="524" t="s">
        <v>3365</v>
      </c>
      <c r="D2004" s="524" t="s">
        <v>3366</v>
      </c>
      <c r="H2004" s="524"/>
    </row>
    <row r="2005" spans="3:8" ht="13.5" customHeight="1">
      <c r="C2005" s="524" t="s">
        <v>3367</v>
      </c>
      <c r="D2005" s="524" t="s">
        <v>3368</v>
      </c>
      <c r="H2005" s="524"/>
    </row>
    <row r="2006" spans="3:8" ht="13.5" customHeight="1">
      <c r="C2006" s="524" t="s">
        <v>3369</v>
      </c>
      <c r="D2006" s="524" t="s">
        <v>3370</v>
      </c>
      <c r="H2006" s="524"/>
    </row>
    <row r="2007" spans="3:8" ht="13.5" customHeight="1">
      <c r="C2007" s="524" t="s">
        <v>3371</v>
      </c>
      <c r="D2007" s="524" t="s">
        <v>3372</v>
      </c>
      <c r="H2007" s="524"/>
    </row>
    <row r="2008" spans="3:8" ht="13.5" customHeight="1">
      <c r="C2008" s="524" t="s">
        <v>3373</v>
      </c>
      <c r="D2008" s="524" t="s">
        <v>3374</v>
      </c>
      <c r="H2008" s="524"/>
    </row>
    <row r="2009" spans="3:8" ht="13.5" customHeight="1">
      <c r="C2009" s="524" t="s">
        <v>3375</v>
      </c>
      <c r="D2009" s="524" t="s">
        <v>3376</v>
      </c>
      <c r="H2009" s="524"/>
    </row>
    <row r="2010" spans="3:8" ht="13.5" customHeight="1">
      <c r="C2010" s="524" t="s">
        <v>3377</v>
      </c>
      <c r="D2010" s="524" t="s">
        <v>3378</v>
      </c>
      <c r="H2010" s="524"/>
    </row>
    <row r="2011" spans="3:8" ht="13.5" customHeight="1">
      <c r="C2011" s="524" t="s">
        <v>3379</v>
      </c>
      <c r="D2011" s="524" t="s">
        <v>3380</v>
      </c>
      <c r="H2011" s="524"/>
    </row>
    <row r="2012" spans="3:8" ht="13.5" customHeight="1">
      <c r="C2012" s="524" t="s">
        <v>3381</v>
      </c>
      <c r="D2012" s="524" t="s">
        <v>3382</v>
      </c>
      <c r="H2012" s="524"/>
    </row>
    <row r="2013" spans="3:8" ht="13.5" customHeight="1">
      <c r="C2013" s="524" t="s">
        <v>3383</v>
      </c>
      <c r="D2013" s="524" t="s">
        <v>3384</v>
      </c>
      <c r="H2013" s="524"/>
    </row>
    <row r="2014" spans="3:8" ht="13.5" customHeight="1">
      <c r="C2014" s="524" t="s">
        <v>3385</v>
      </c>
      <c r="D2014" s="524" t="s">
        <v>3386</v>
      </c>
      <c r="H2014" s="524"/>
    </row>
    <row r="2015" spans="3:8" ht="13.5" customHeight="1">
      <c r="C2015" s="524" t="s">
        <v>3387</v>
      </c>
      <c r="D2015" s="524" t="s">
        <v>3388</v>
      </c>
      <c r="H2015" s="524"/>
    </row>
    <row r="2016" spans="3:8" ht="13.5" customHeight="1">
      <c r="C2016" s="524" t="s">
        <v>3389</v>
      </c>
      <c r="D2016" s="524" t="s">
        <v>3390</v>
      </c>
      <c r="H2016" s="524"/>
    </row>
    <row r="2017" spans="3:8" ht="13.5" customHeight="1">
      <c r="C2017" s="524" t="s">
        <v>3391</v>
      </c>
      <c r="D2017" s="524" t="s">
        <v>3392</v>
      </c>
      <c r="H2017" s="524"/>
    </row>
    <row r="2018" spans="3:8" ht="13.5" customHeight="1">
      <c r="C2018" s="524" t="s">
        <v>3393</v>
      </c>
      <c r="D2018" s="524" t="s">
        <v>3394</v>
      </c>
      <c r="H2018" s="524"/>
    </row>
    <row r="2019" spans="3:8" ht="13.5" customHeight="1">
      <c r="C2019" s="524" t="s">
        <v>3395</v>
      </c>
      <c r="D2019" s="524" t="s">
        <v>3396</v>
      </c>
      <c r="H2019" s="524"/>
    </row>
    <row r="2020" spans="3:8" ht="13.5" customHeight="1">
      <c r="C2020" s="524" t="s">
        <v>3397</v>
      </c>
      <c r="D2020" s="524" t="s">
        <v>3398</v>
      </c>
      <c r="H2020" s="524"/>
    </row>
    <row r="2021" spans="3:8" ht="13.5" customHeight="1">
      <c r="C2021" s="524" t="s">
        <v>3399</v>
      </c>
      <c r="D2021" s="524" t="s">
        <v>3400</v>
      </c>
      <c r="H2021" s="524"/>
    </row>
    <row r="2022" spans="3:8" ht="13.5" customHeight="1">
      <c r="C2022" s="524" t="s">
        <v>3401</v>
      </c>
      <c r="D2022" s="524" t="s">
        <v>3402</v>
      </c>
      <c r="H2022" s="524"/>
    </row>
    <row r="2023" spans="3:8" ht="13.5" customHeight="1">
      <c r="C2023" s="524" t="s">
        <v>3403</v>
      </c>
      <c r="D2023" s="524" t="s">
        <v>3404</v>
      </c>
      <c r="H2023" s="524"/>
    </row>
    <row r="2024" spans="3:8" ht="13.5" customHeight="1">
      <c r="C2024" s="524" t="s">
        <v>3405</v>
      </c>
      <c r="D2024" s="524" t="s">
        <v>3406</v>
      </c>
      <c r="H2024" s="524"/>
    </row>
    <row r="2025" spans="3:8" ht="13.5" customHeight="1">
      <c r="C2025" s="524" t="s">
        <v>3407</v>
      </c>
      <c r="D2025" s="524" t="s">
        <v>3408</v>
      </c>
      <c r="H2025" s="524"/>
    </row>
    <row r="2026" spans="3:8" ht="13.5" customHeight="1">
      <c r="C2026" s="524" t="s">
        <v>3409</v>
      </c>
      <c r="D2026" s="524" t="s">
        <v>3410</v>
      </c>
      <c r="H2026" s="524"/>
    </row>
    <row r="2027" spans="3:8" ht="13.5" customHeight="1">
      <c r="C2027" s="524" t="s">
        <v>3411</v>
      </c>
      <c r="D2027" s="524" t="s">
        <v>3412</v>
      </c>
      <c r="H2027" s="524"/>
    </row>
    <row r="2028" spans="3:8" ht="13.5" customHeight="1">
      <c r="C2028" s="524" t="s">
        <v>3413</v>
      </c>
      <c r="D2028" s="524" t="s">
        <v>3414</v>
      </c>
      <c r="H2028" s="524"/>
    </row>
    <row r="2029" spans="3:8" ht="13.5" customHeight="1">
      <c r="C2029" s="524" t="s">
        <v>3415</v>
      </c>
      <c r="D2029" s="524" t="s">
        <v>3416</v>
      </c>
      <c r="H2029" s="524"/>
    </row>
    <row r="2030" spans="3:8" ht="13.5" customHeight="1">
      <c r="C2030" s="524" t="s">
        <v>3417</v>
      </c>
      <c r="D2030" s="524" t="s">
        <v>3418</v>
      </c>
      <c r="H2030" s="524"/>
    </row>
    <row r="2031" spans="3:8" ht="13.5" customHeight="1">
      <c r="C2031" s="524" t="s">
        <v>3419</v>
      </c>
      <c r="D2031" s="524" t="s">
        <v>3420</v>
      </c>
      <c r="H2031" s="524"/>
    </row>
    <row r="2032" spans="3:8" ht="13.5" customHeight="1">
      <c r="C2032" s="524" t="s">
        <v>3421</v>
      </c>
      <c r="D2032" s="524" t="s">
        <v>3422</v>
      </c>
      <c r="H2032" s="524"/>
    </row>
    <row r="2033" spans="3:8" ht="13.5" customHeight="1">
      <c r="C2033" s="524" t="s">
        <v>3423</v>
      </c>
      <c r="D2033" s="524" t="s">
        <v>3424</v>
      </c>
      <c r="H2033" s="524"/>
    </row>
    <row r="2034" spans="3:8" ht="13.5" customHeight="1">
      <c r="C2034" s="524" t="s">
        <v>3425</v>
      </c>
      <c r="D2034" s="524" t="s">
        <v>3426</v>
      </c>
      <c r="H2034" s="524"/>
    </row>
    <row r="2035" spans="3:8" ht="13.5" customHeight="1">
      <c r="C2035" s="524" t="s">
        <v>3427</v>
      </c>
      <c r="D2035" s="524" t="s">
        <v>3428</v>
      </c>
      <c r="H2035" s="524"/>
    </row>
    <row r="2036" spans="3:8" ht="13.5" customHeight="1">
      <c r="C2036" s="524" t="s">
        <v>3429</v>
      </c>
      <c r="D2036" s="524" t="s">
        <v>3430</v>
      </c>
      <c r="H2036" s="524"/>
    </row>
    <row r="2037" spans="3:8" ht="13.5" customHeight="1">
      <c r="C2037" s="524" t="s">
        <v>3431</v>
      </c>
      <c r="D2037" s="524" t="s">
        <v>3432</v>
      </c>
      <c r="H2037" s="524"/>
    </row>
    <row r="2038" spans="3:8" ht="13.5" customHeight="1">
      <c r="C2038" s="524" t="s">
        <v>3433</v>
      </c>
      <c r="D2038" s="524" t="s">
        <v>3434</v>
      </c>
      <c r="H2038" s="524"/>
    </row>
    <row r="2039" spans="3:8" ht="13.5" customHeight="1">
      <c r="C2039" s="524" t="s">
        <v>3435</v>
      </c>
      <c r="D2039" s="524" t="s">
        <v>3436</v>
      </c>
      <c r="H2039" s="524"/>
    </row>
    <row r="2040" spans="3:8" ht="13.5" customHeight="1">
      <c r="C2040" s="524" t="s">
        <v>3437</v>
      </c>
      <c r="D2040" s="524" t="s">
        <v>3438</v>
      </c>
      <c r="H2040" s="524"/>
    </row>
    <row r="2041" spans="3:8" ht="13.5" customHeight="1">
      <c r="C2041" s="524" t="s">
        <v>3439</v>
      </c>
      <c r="D2041" s="524" t="s">
        <v>3440</v>
      </c>
      <c r="H2041" s="524"/>
    </row>
    <row r="2042" spans="3:8" ht="13.5" customHeight="1">
      <c r="C2042" s="524" t="s">
        <v>3441</v>
      </c>
      <c r="D2042" s="524" t="s">
        <v>3442</v>
      </c>
      <c r="H2042" s="524"/>
    </row>
    <row r="2043" spans="3:8" ht="13.5" customHeight="1">
      <c r="C2043" s="524" t="s">
        <v>3443</v>
      </c>
      <c r="D2043" s="524" t="s">
        <v>3444</v>
      </c>
      <c r="H2043" s="524"/>
    </row>
    <row r="2044" spans="3:8" ht="13.5" customHeight="1">
      <c r="C2044" s="524" t="s">
        <v>3445</v>
      </c>
      <c r="D2044" s="524" t="s">
        <v>3446</v>
      </c>
      <c r="H2044" s="524"/>
    </row>
    <row r="2045" spans="3:8" ht="13.5" customHeight="1">
      <c r="C2045" s="524" t="s">
        <v>3447</v>
      </c>
      <c r="D2045" s="524" t="s">
        <v>3448</v>
      </c>
      <c r="H2045" s="524"/>
    </row>
    <row r="2046" spans="3:8" ht="13.5" customHeight="1">
      <c r="C2046" s="524" t="s">
        <v>3449</v>
      </c>
      <c r="D2046" s="524" t="s">
        <v>3450</v>
      </c>
      <c r="H2046" s="524"/>
    </row>
    <row r="2047" spans="3:8" ht="13.5" customHeight="1">
      <c r="C2047" s="524" t="s">
        <v>3451</v>
      </c>
      <c r="D2047" s="524" t="s">
        <v>3452</v>
      </c>
      <c r="H2047" s="524"/>
    </row>
    <row r="2048" spans="3:8" ht="13.5" customHeight="1">
      <c r="C2048" s="524" t="s">
        <v>3453</v>
      </c>
      <c r="D2048" s="524" t="s">
        <v>3454</v>
      </c>
      <c r="H2048" s="524"/>
    </row>
    <row r="2049" spans="3:8" ht="13.5" customHeight="1">
      <c r="C2049" s="524" t="s">
        <v>3455</v>
      </c>
      <c r="D2049" s="524" t="s">
        <v>3456</v>
      </c>
      <c r="H2049" s="524"/>
    </row>
    <row r="2050" spans="3:8" ht="13.5" customHeight="1">
      <c r="C2050" s="524" t="s">
        <v>3457</v>
      </c>
      <c r="D2050" s="524" t="s">
        <v>3458</v>
      </c>
      <c r="H2050" s="524"/>
    </row>
    <row r="2051" spans="3:8" ht="13.5" customHeight="1">
      <c r="C2051" s="524" t="s">
        <v>3459</v>
      </c>
      <c r="D2051" s="524" t="s">
        <v>3460</v>
      </c>
      <c r="H2051" s="524"/>
    </row>
    <row r="2052" spans="3:8" ht="13.5" customHeight="1">
      <c r="C2052" s="524" t="s">
        <v>3461</v>
      </c>
      <c r="D2052" s="524" t="s">
        <v>3462</v>
      </c>
      <c r="H2052" s="524"/>
    </row>
    <row r="2053" spans="3:8" ht="13.5" customHeight="1">
      <c r="C2053" s="524" t="s">
        <v>3463</v>
      </c>
      <c r="D2053" s="524" t="s">
        <v>3464</v>
      </c>
      <c r="H2053" s="524"/>
    </row>
    <row r="2054" spans="3:8" ht="13.5" customHeight="1">
      <c r="C2054" s="524" t="s">
        <v>3465</v>
      </c>
      <c r="D2054" s="524" t="s">
        <v>3466</v>
      </c>
      <c r="H2054" s="524"/>
    </row>
    <row r="2055" spans="3:8" ht="13.5" customHeight="1">
      <c r="C2055" s="524" t="s">
        <v>3467</v>
      </c>
      <c r="D2055" s="524" t="s">
        <v>3468</v>
      </c>
      <c r="H2055" s="524"/>
    </row>
    <row r="2056" spans="3:8" ht="13.5" customHeight="1">
      <c r="C2056" s="524" t="s">
        <v>3469</v>
      </c>
      <c r="D2056" s="524" t="s">
        <v>3470</v>
      </c>
      <c r="H2056" s="524"/>
    </row>
    <row r="2057" spans="3:8" ht="13.5" customHeight="1">
      <c r="C2057" s="524" t="s">
        <v>3471</v>
      </c>
      <c r="D2057" s="524" t="s">
        <v>3472</v>
      </c>
      <c r="H2057" s="524"/>
    </row>
    <row r="2058" spans="3:8" ht="13.5" customHeight="1">
      <c r="C2058" s="524" t="s">
        <v>3473</v>
      </c>
      <c r="D2058" s="524" t="s">
        <v>3474</v>
      </c>
      <c r="H2058" s="524"/>
    </row>
    <row r="2059" spans="3:8" ht="13.5" customHeight="1">
      <c r="C2059" s="524" t="s">
        <v>3475</v>
      </c>
      <c r="D2059" s="524" t="s">
        <v>3476</v>
      </c>
      <c r="H2059" s="524"/>
    </row>
    <row r="2060" spans="3:8" ht="13.5" customHeight="1">
      <c r="C2060" s="524" t="s">
        <v>3477</v>
      </c>
      <c r="D2060" s="524" t="s">
        <v>3478</v>
      </c>
      <c r="H2060" s="524"/>
    </row>
    <row r="2061" spans="3:8" ht="13.5" customHeight="1">
      <c r="C2061" s="524" t="s">
        <v>3479</v>
      </c>
      <c r="D2061" s="524" t="s">
        <v>3480</v>
      </c>
      <c r="H2061" s="524"/>
    </row>
    <row r="2062" spans="3:8" ht="13.5" customHeight="1">
      <c r="C2062" s="524" t="s">
        <v>3481</v>
      </c>
      <c r="D2062" s="524" t="s">
        <v>3482</v>
      </c>
      <c r="H2062" s="524"/>
    </row>
    <row r="2063" spans="3:8" ht="13.5" customHeight="1">
      <c r="C2063" s="524" t="s">
        <v>3483</v>
      </c>
      <c r="D2063" s="524" t="s">
        <v>3484</v>
      </c>
      <c r="H2063" s="524"/>
    </row>
    <row r="2064" spans="3:8" ht="13.5" customHeight="1">
      <c r="C2064" s="524" t="s">
        <v>3485</v>
      </c>
      <c r="D2064" s="524" t="s">
        <v>3486</v>
      </c>
      <c r="H2064" s="524"/>
    </row>
    <row r="2065" spans="3:8" ht="13.5" customHeight="1">
      <c r="C2065" s="524" t="s">
        <v>3487</v>
      </c>
      <c r="D2065" s="524" t="s">
        <v>3488</v>
      </c>
      <c r="H2065" s="524"/>
    </row>
    <row r="2066" spans="3:8" ht="13.5" customHeight="1">
      <c r="C2066" s="524" t="s">
        <v>3489</v>
      </c>
      <c r="D2066" s="524" t="s">
        <v>3490</v>
      </c>
      <c r="H2066" s="524"/>
    </row>
    <row r="2067" spans="3:8" ht="13.5" customHeight="1">
      <c r="C2067" s="524" t="s">
        <v>3491</v>
      </c>
      <c r="D2067" s="524" t="s">
        <v>3492</v>
      </c>
      <c r="H2067" s="524"/>
    </row>
    <row r="2068" spans="3:8" ht="13.5" customHeight="1">
      <c r="C2068" s="524" t="s">
        <v>3493</v>
      </c>
      <c r="D2068" s="524" t="s">
        <v>3494</v>
      </c>
      <c r="H2068" s="524"/>
    </row>
    <row r="2069" spans="3:8" ht="13.5" customHeight="1">
      <c r="C2069" s="524" t="s">
        <v>3495</v>
      </c>
      <c r="D2069" s="524" t="s">
        <v>3496</v>
      </c>
      <c r="H2069" s="524"/>
    </row>
    <row r="2070" spans="3:8" ht="13.5" customHeight="1">
      <c r="C2070" s="524" t="s">
        <v>3497</v>
      </c>
      <c r="D2070" s="524" t="s">
        <v>3498</v>
      </c>
      <c r="H2070" s="524"/>
    </row>
    <row r="2071" spans="3:8" ht="13.5" customHeight="1">
      <c r="C2071" s="524" t="s">
        <v>3499</v>
      </c>
      <c r="D2071" s="524" t="s">
        <v>3500</v>
      </c>
      <c r="H2071" s="524"/>
    </row>
    <row r="2072" spans="3:8" ht="13.5" customHeight="1">
      <c r="C2072" s="524" t="s">
        <v>3501</v>
      </c>
      <c r="D2072" s="524" t="s">
        <v>3502</v>
      </c>
      <c r="H2072" s="524"/>
    </row>
    <row r="2073" spans="3:8" ht="13.5" customHeight="1">
      <c r="C2073" s="524" t="s">
        <v>3503</v>
      </c>
      <c r="D2073" s="524" t="s">
        <v>3504</v>
      </c>
      <c r="H2073" s="524"/>
    </row>
    <row r="2074" spans="3:8" ht="13.5" customHeight="1">
      <c r="C2074" s="524" t="s">
        <v>3505</v>
      </c>
      <c r="D2074" s="524" t="s">
        <v>3506</v>
      </c>
      <c r="H2074" s="524"/>
    </row>
    <row r="2075" spans="3:8" ht="13.5" customHeight="1">
      <c r="C2075" s="524" t="s">
        <v>3507</v>
      </c>
      <c r="D2075" s="524" t="s">
        <v>3508</v>
      </c>
      <c r="H2075" s="524"/>
    </row>
    <row r="2076" spans="3:8" ht="13.5" customHeight="1">
      <c r="C2076" s="524" t="s">
        <v>3509</v>
      </c>
      <c r="D2076" s="524" t="s">
        <v>3510</v>
      </c>
      <c r="H2076" s="524"/>
    </row>
    <row r="2077" spans="3:8" ht="13.5" customHeight="1">
      <c r="C2077" s="524" t="s">
        <v>3511</v>
      </c>
      <c r="D2077" s="524" t="s">
        <v>3512</v>
      </c>
      <c r="H2077" s="524"/>
    </row>
    <row r="2078" spans="3:8" ht="13.5" customHeight="1">
      <c r="C2078" s="524" t="s">
        <v>3513</v>
      </c>
      <c r="D2078" s="524" t="s">
        <v>3514</v>
      </c>
      <c r="H2078" s="524"/>
    </row>
    <row r="2079" spans="3:8" ht="13.5" customHeight="1">
      <c r="C2079" s="524" t="s">
        <v>3515</v>
      </c>
      <c r="D2079" s="524" t="s">
        <v>3516</v>
      </c>
      <c r="H2079" s="524"/>
    </row>
    <row r="2080" spans="3:8" ht="13.5" customHeight="1">
      <c r="C2080" s="524" t="s">
        <v>3517</v>
      </c>
      <c r="D2080" s="524" t="s">
        <v>3518</v>
      </c>
      <c r="H2080" s="524"/>
    </row>
    <row r="2081" spans="3:8" ht="13.5" customHeight="1">
      <c r="C2081" s="524" t="s">
        <v>3519</v>
      </c>
      <c r="D2081" s="524" t="s">
        <v>3520</v>
      </c>
      <c r="H2081" s="524"/>
    </row>
    <row r="2082" spans="3:8" ht="13.5" customHeight="1">
      <c r="C2082" s="524" t="s">
        <v>3521</v>
      </c>
      <c r="D2082" s="524" t="s">
        <v>3522</v>
      </c>
      <c r="H2082" s="524"/>
    </row>
    <row r="2083" spans="3:8" ht="13.5" customHeight="1">
      <c r="C2083" s="524" t="s">
        <v>3523</v>
      </c>
      <c r="D2083" s="524" t="s">
        <v>3524</v>
      </c>
      <c r="H2083" s="524"/>
    </row>
    <row r="2084" spans="3:8" ht="13.5" customHeight="1">
      <c r="C2084" s="524" t="s">
        <v>3525</v>
      </c>
      <c r="D2084" s="524" t="s">
        <v>3526</v>
      </c>
      <c r="H2084" s="524"/>
    </row>
    <row r="2085" spans="3:8" ht="13.5" customHeight="1">
      <c r="C2085" s="524" t="s">
        <v>3527</v>
      </c>
      <c r="D2085" s="524" t="s">
        <v>3528</v>
      </c>
      <c r="H2085" s="524"/>
    </row>
    <row r="2086" spans="3:8" ht="13.5" customHeight="1">
      <c r="C2086" s="524" t="s">
        <v>3529</v>
      </c>
      <c r="D2086" s="524" t="s">
        <v>3530</v>
      </c>
      <c r="H2086" s="524"/>
    </row>
    <row r="2087" spans="3:8" ht="13.5" customHeight="1">
      <c r="C2087" s="524" t="s">
        <v>3531</v>
      </c>
      <c r="D2087" s="524" t="s">
        <v>3532</v>
      </c>
      <c r="H2087" s="524"/>
    </row>
    <row r="2088" spans="3:8" ht="13.5" customHeight="1">
      <c r="C2088" s="524" t="s">
        <v>3533</v>
      </c>
      <c r="D2088" s="524" t="s">
        <v>3534</v>
      </c>
      <c r="H2088" s="524"/>
    </row>
    <row r="2089" spans="3:8" ht="13.5" customHeight="1">
      <c r="C2089" s="524" t="s">
        <v>3535</v>
      </c>
      <c r="D2089" s="524" t="s">
        <v>3536</v>
      </c>
      <c r="H2089" s="524"/>
    </row>
    <row r="2090" spans="3:8" ht="13.5" customHeight="1">
      <c r="C2090" s="524" t="s">
        <v>3537</v>
      </c>
      <c r="D2090" s="524" t="s">
        <v>3538</v>
      </c>
      <c r="H2090" s="524"/>
    </row>
    <row r="2091" spans="3:8" ht="13.5" customHeight="1">
      <c r="C2091" s="524" t="s">
        <v>3539</v>
      </c>
      <c r="D2091" s="524" t="s">
        <v>3540</v>
      </c>
      <c r="H2091" s="524"/>
    </row>
    <row r="2092" spans="3:8" ht="13.5" customHeight="1">
      <c r="C2092" s="524" t="s">
        <v>3541</v>
      </c>
      <c r="D2092" s="524" t="s">
        <v>3542</v>
      </c>
      <c r="H2092" s="524"/>
    </row>
    <row r="2093" spans="3:8" ht="13.5" customHeight="1">
      <c r="C2093" s="524" t="s">
        <v>3543</v>
      </c>
      <c r="D2093" s="524" t="s">
        <v>3544</v>
      </c>
      <c r="H2093" s="524"/>
    </row>
    <row r="2094" spans="3:8" ht="13.5" customHeight="1">
      <c r="C2094" s="524" t="s">
        <v>3545</v>
      </c>
      <c r="D2094" s="524" t="s">
        <v>3546</v>
      </c>
      <c r="H2094" s="524"/>
    </row>
    <row r="2095" spans="3:8" ht="13.5" customHeight="1">
      <c r="C2095" s="524" t="s">
        <v>3547</v>
      </c>
      <c r="D2095" s="524" t="s">
        <v>3548</v>
      </c>
      <c r="H2095" s="524"/>
    </row>
    <row r="2096" spans="3:8" ht="13.5" customHeight="1">
      <c r="C2096" s="524" t="s">
        <v>3549</v>
      </c>
      <c r="D2096" s="524" t="s">
        <v>3550</v>
      </c>
      <c r="H2096" s="524"/>
    </row>
    <row r="2097" spans="3:8" ht="13.5" customHeight="1">
      <c r="C2097" s="524" t="s">
        <v>3551</v>
      </c>
      <c r="D2097" s="524" t="s">
        <v>3552</v>
      </c>
      <c r="H2097" s="524"/>
    </row>
    <row r="2098" spans="3:8" ht="13.5" customHeight="1">
      <c r="C2098" s="524" t="s">
        <v>3553</v>
      </c>
      <c r="D2098" s="524" t="s">
        <v>3554</v>
      </c>
      <c r="H2098" s="524"/>
    </row>
    <row r="2099" spans="3:8" ht="13.5" customHeight="1">
      <c r="C2099" s="524" t="s">
        <v>3555</v>
      </c>
      <c r="D2099" s="524" t="s">
        <v>3556</v>
      </c>
      <c r="H2099" s="524"/>
    </row>
    <row r="2100" spans="3:8" ht="13.5" customHeight="1">
      <c r="C2100" s="524" t="s">
        <v>3557</v>
      </c>
      <c r="D2100" s="524" t="s">
        <v>3558</v>
      </c>
      <c r="H2100" s="524"/>
    </row>
    <row r="2101" spans="3:8" ht="13.5" customHeight="1">
      <c r="C2101" s="524" t="s">
        <v>3559</v>
      </c>
      <c r="D2101" s="524" t="s">
        <v>3560</v>
      </c>
      <c r="H2101" s="524"/>
    </row>
    <row r="2102" spans="3:8" ht="13.5" customHeight="1">
      <c r="C2102" s="524" t="s">
        <v>3561</v>
      </c>
      <c r="D2102" s="524" t="s">
        <v>3562</v>
      </c>
      <c r="H2102" s="524"/>
    </row>
    <row r="2103" spans="3:8" ht="13.5" customHeight="1">
      <c r="C2103" s="524" t="s">
        <v>3563</v>
      </c>
      <c r="D2103" s="524" t="s">
        <v>3564</v>
      </c>
      <c r="H2103" s="524"/>
    </row>
    <row r="2104" spans="3:8" ht="13.5" customHeight="1">
      <c r="C2104" s="524" t="s">
        <v>3565</v>
      </c>
      <c r="D2104" s="524" t="s">
        <v>3566</v>
      </c>
      <c r="H2104" s="524"/>
    </row>
    <row r="2105" spans="3:8" ht="13.5" customHeight="1">
      <c r="C2105" s="524" t="s">
        <v>3567</v>
      </c>
      <c r="D2105" s="524" t="s">
        <v>3568</v>
      </c>
      <c r="H2105" s="524"/>
    </row>
    <row r="2106" spans="3:8" ht="13.5" customHeight="1">
      <c r="C2106" s="524" t="s">
        <v>3569</v>
      </c>
      <c r="D2106" s="524" t="s">
        <v>3570</v>
      </c>
      <c r="H2106" s="524"/>
    </row>
    <row r="2107" spans="3:8" ht="13.5" customHeight="1">
      <c r="C2107" s="524" t="s">
        <v>3571</v>
      </c>
      <c r="D2107" s="524" t="s">
        <v>3572</v>
      </c>
      <c r="H2107" s="524"/>
    </row>
    <row r="2108" spans="3:8" ht="13.5" customHeight="1">
      <c r="C2108" s="524" t="s">
        <v>3573</v>
      </c>
      <c r="D2108" s="524" t="s">
        <v>3574</v>
      </c>
      <c r="H2108" s="524"/>
    </row>
    <row r="2109" spans="3:8" ht="13.5" customHeight="1">
      <c r="C2109" s="524" t="s">
        <v>3575</v>
      </c>
      <c r="D2109" s="524" t="s">
        <v>3576</v>
      </c>
      <c r="H2109" s="524"/>
    </row>
    <row r="2110" spans="3:8" ht="13.5" customHeight="1">
      <c r="C2110" s="524" t="s">
        <v>3577</v>
      </c>
      <c r="D2110" s="524" t="s">
        <v>3578</v>
      </c>
      <c r="H2110" s="524"/>
    </row>
    <row r="2111" spans="3:8" ht="13.5" customHeight="1">
      <c r="C2111" s="524" t="s">
        <v>3579</v>
      </c>
      <c r="D2111" s="524" t="s">
        <v>3580</v>
      </c>
      <c r="H2111" s="524"/>
    </row>
    <row r="2112" spans="3:8" ht="13.5" customHeight="1">
      <c r="C2112" s="524" t="s">
        <v>3581</v>
      </c>
      <c r="D2112" s="524" t="s">
        <v>3582</v>
      </c>
      <c r="H2112" s="524"/>
    </row>
    <row r="2113" spans="3:8" ht="13.5" customHeight="1">
      <c r="C2113" s="524" t="s">
        <v>3583</v>
      </c>
      <c r="D2113" s="524" t="s">
        <v>3584</v>
      </c>
      <c r="H2113" s="524"/>
    </row>
    <row r="2114" spans="3:8" ht="13.5" customHeight="1">
      <c r="C2114" s="524" t="s">
        <v>3585</v>
      </c>
      <c r="D2114" s="524" t="s">
        <v>3586</v>
      </c>
      <c r="H2114" s="524"/>
    </row>
    <row r="2115" spans="3:8" ht="13.5" customHeight="1">
      <c r="C2115" s="524" t="s">
        <v>3587</v>
      </c>
      <c r="D2115" s="524" t="s">
        <v>3588</v>
      </c>
      <c r="H2115" s="524"/>
    </row>
    <row r="2116" spans="3:8" ht="13.5" customHeight="1">
      <c r="C2116" s="524" t="s">
        <v>3589</v>
      </c>
      <c r="D2116" s="524" t="s">
        <v>3590</v>
      </c>
      <c r="H2116" s="524"/>
    </row>
    <row r="2117" spans="3:8" ht="13.5" customHeight="1">
      <c r="C2117" s="524" t="s">
        <v>3591</v>
      </c>
      <c r="D2117" s="524" t="s">
        <v>3592</v>
      </c>
      <c r="H2117" s="524"/>
    </row>
  </sheetData>
  <sheetProtection selectLockedCells="1" selectUnlockedCells="1"/>
  <mergeCells count="8">
    <mergeCell ref="B22:D22"/>
    <mergeCell ref="B51:D51"/>
    <mergeCell ref="B73:D73"/>
    <mergeCell ref="E72:E73"/>
    <mergeCell ref="E9:E11"/>
    <mergeCell ref="E12:E14"/>
    <mergeCell ref="E21:E22"/>
    <mergeCell ref="E50:E51"/>
  </mergeCells>
  <phoneticPr fontId="2"/>
  <conditionalFormatting sqref="G72:G73 G20:G22 H20">
    <cfRule type="expression" dxfId="3" priority="22" stopIfTrue="1">
      <formula>AND($G$49&gt;5000000,OR($F$18="無し",$F$18="なし"))</formula>
    </cfRule>
  </conditionalFormatting>
  <conditionalFormatting sqref="G50">
    <cfRule type="expression" dxfId="2" priority="21" stopIfTrue="1">
      <formula>AND($G$49&gt;5000000,OR($F$18="無し",$F$18="なし"))</formula>
    </cfRule>
  </conditionalFormatting>
  <conditionalFormatting sqref="G51">
    <cfRule type="expression" dxfId="1" priority="20" stopIfTrue="1">
      <formula>AND($G$49&gt;5000000,OR($F$18="無し",$F$18="なし"))</formula>
    </cfRule>
  </conditionalFormatting>
  <conditionalFormatting sqref="G56">
    <cfRule type="expression" dxfId="0" priority="19" stopIfTrue="1">
      <formula>AND($G$49&gt;5000000,OR($F$18="無し",$F$18="なし"))</formula>
    </cfRule>
  </conditionalFormatting>
  <dataValidations count="8">
    <dataValidation type="list" allowBlank="1" showInputMessage="1" showErrorMessage="1" sqref="WUJ983240:WUJ983241 HX17:HX18 RT17:RT18 ABP17:ABP18 ALL17:ALL18 AVH17:AVH18 BFD17:BFD18 BOZ17:BOZ18 BYV17:BYV18 CIR17:CIR18 CSN17:CSN18 DCJ17:DCJ18 DMF17:DMF18 DWB17:DWB18 EFX17:EFX18 EPT17:EPT18 EZP17:EZP18 FJL17:FJL18 FTH17:FTH18 GDD17:GDD18 GMZ17:GMZ18 GWV17:GWV18 HGR17:HGR18 HQN17:HQN18 IAJ17:IAJ18 IKF17:IKF18 IUB17:IUB18 JDX17:JDX18 JNT17:JNT18 JXP17:JXP18 KHL17:KHL18 KRH17:KRH18 LBD17:LBD18 LKZ17:LKZ18 LUV17:LUV18 MER17:MER18 MON17:MON18 MYJ17:MYJ18 NIF17:NIF18 NSB17:NSB18 OBX17:OBX18 OLT17:OLT18 OVP17:OVP18 PFL17:PFL18 PPH17:PPH18 PZD17:PZD18 QIZ17:QIZ18 QSV17:QSV18 RCR17:RCR18 RMN17:RMN18 RWJ17:RWJ18 SGF17:SGF18 SQB17:SQB18 SZX17:SZX18 TJT17:TJT18 TTP17:TTP18 UDL17:UDL18 UNH17:UNH18 UXD17:UXD18 VGZ17:VGZ18 VQV17:VQV18 WAR17:WAR18 WKN17:WKN18 WUJ17:WUJ18 F65736:F65737 HX65736:HX65737 RT65736:RT65737 ABP65736:ABP65737 ALL65736:ALL65737 AVH65736:AVH65737 BFD65736:BFD65737 BOZ65736:BOZ65737 BYV65736:BYV65737 CIR65736:CIR65737 CSN65736:CSN65737 DCJ65736:DCJ65737 DMF65736:DMF65737 DWB65736:DWB65737 EFX65736:EFX65737 EPT65736:EPT65737 EZP65736:EZP65737 FJL65736:FJL65737 FTH65736:FTH65737 GDD65736:GDD65737 GMZ65736:GMZ65737 GWV65736:GWV65737 HGR65736:HGR65737 HQN65736:HQN65737 IAJ65736:IAJ65737 IKF65736:IKF65737 IUB65736:IUB65737 JDX65736:JDX65737 JNT65736:JNT65737 JXP65736:JXP65737 KHL65736:KHL65737 KRH65736:KRH65737 LBD65736:LBD65737 LKZ65736:LKZ65737 LUV65736:LUV65737 MER65736:MER65737 MON65736:MON65737 MYJ65736:MYJ65737 NIF65736:NIF65737 NSB65736:NSB65737 OBX65736:OBX65737 OLT65736:OLT65737 OVP65736:OVP65737 PFL65736:PFL65737 PPH65736:PPH65737 PZD65736:PZD65737 QIZ65736:QIZ65737 QSV65736:QSV65737 RCR65736:RCR65737 RMN65736:RMN65737 RWJ65736:RWJ65737 SGF65736:SGF65737 SQB65736:SQB65737 SZX65736:SZX65737 TJT65736:TJT65737 TTP65736:TTP65737 UDL65736:UDL65737 UNH65736:UNH65737 UXD65736:UXD65737 VGZ65736:VGZ65737 VQV65736:VQV65737 WAR65736:WAR65737 WKN65736:WKN65737 WUJ65736:WUJ65737 F131272:F131273 HX131272:HX131273 RT131272:RT131273 ABP131272:ABP131273 ALL131272:ALL131273 AVH131272:AVH131273 BFD131272:BFD131273 BOZ131272:BOZ131273 BYV131272:BYV131273 CIR131272:CIR131273 CSN131272:CSN131273 DCJ131272:DCJ131273 DMF131272:DMF131273 DWB131272:DWB131273 EFX131272:EFX131273 EPT131272:EPT131273 EZP131272:EZP131273 FJL131272:FJL131273 FTH131272:FTH131273 GDD131272:GDD131273 GMZ131272:GMZ131273 GWV131272:GWV131273 HGR131272:HGR131273 HQN131272:HQN131273 IAJ131272:IAJ131273 IKF131272:IKF131273 IUB131272:IUB131273 JDX131272:JDX131273 JNT131272:JNT131273 JXP131272:JXP131273 KHL131272:KHL131273 KRH131272:KRH131273 LBD131272:LBD131273 LKZ131272:LKZ131273 LUV131272:LUV131273 MER131272:MER131273 MON131272:MON131273 MYJ131272:MYJ131273 NIF131272:NIF131273 NSB131272:NSB131273 OBX131272:OBX131273 OLT131272:OLT131273 OVP131272:OVP131273 PFL131272:PFL131273 PPH131272:PPH131273 PZD131272:PZD131273 QIZ131272:QIZ131273 QSV131272:QSV131273 RCR131272:RCR131273 RMN131272:RMN131273 RWJ131272:RWJ131273 SGF131272:SGF131273 SQB131272:SQB131273 SZX131272:SZX131273 TJT131272:TJT131273 TTP131272:TTP131273 UDL131272:UDL131273 UNH131272:UNH131273 UXD131272:UXD131273 VGZ131272:VGZ131273 VQV131272:VQV131273 WAR131272:WAR131273 WKN131272:WKN131273 WUJ131272:WUJ131273 F196808:F196809 HX196808:HX196809 RT196808:RT196809 ABP196808:ABP196809 ALL196808:ALL196809 AVH196808:AVH196809 BFD196808:BFD196809 BOZ196808:BOZ196809 BYV196808:BYV196809 CIR196808:CIR196809 CSN196808:CSN196809 DCJ196808:DCJ196809 DMF196808:DMF196809 DWB196808:DWB196809 EFX196808:EFX196809 EPT196808:EPT196809 EZP196808:EZP196809 FJL196808:FJL196809 FTH196808:FTH196809 GDD196808:GDD196809 GMZ196808:GMZ196809 GWV196808:GWV196809 HGR196808:HGR196809 HQN196808:HQN196809 IAJ196808:IAJ196809 IKF196808:IKF196809 IUB196808:IUB196809 JDX196808:JDX196809 JNT196808:JNT196809 JXP196808:JXP196809 KHL196808:KHL196809 KRH196808:KRH196809 LBD196808:LBD196809 LKZ196808:LKZ196809 LUV196808:LUV196809 MER196808:MER196809 MON196808:MON196809 MYJ196808:MYJ196809 NIF196808:NIF196809 NSB196808:NSB196809 OBX196808:OBX196809 OLT196808:OLT196809 OVP196808:OVP196809 PFL196808:PFL196809 PPH196808:PPH196809 PZD196808:PZD196809 QIZ196808:QIZ196809 QSV196808:QSV196809 RCR196808:RCR196809 RMN196808:RMN196809 RWJ196808:RWJ196809 SGF196808:SGF196809 SQB196808:SQB196809 SZX196808:SZX196809 TJT196808:TJT196809 TTP196808:TTP196809 UDL196808:UDL196809 UNH196808:UNH196809 UXD196808:UXD196809 VGZ196808:VGZ196809 VQV196808:VQV196809 WAR196808:WAR196809 WKN196808:WKN196809 WUJ196808:WUJ196809 F262344:F262345 HX262344:HX262345 RT262344:RT262345 ABP262344:ABP262345 ALL262344:ALL262345 AVH262344:AVH262345 BFD262344:BFD262345 BOZ262344:BOZ262345 BYV262344:BYV262345 CIR262344:CIR262345 CSN262344:CSN262345 DCJ262344:DCJ262345 DMF262344:DMF262345 DWB262344:DWB262345 EFX262344:EFX262345 EPT262344:EPT262345 EZP262344:EZP262345 FJL262344:FJL262345 FTH262344:FTH262345 GDD262344:GDD262345 GMZ262344:GMZ262345 GWV262344:GWV262345 HGR262344:HGR262345 HQN262344:HQN262345 IAJ262344:IAJ262345 IKF262344:IKF262345 IUB262344:IUB262345 JDX262344:JDX262345 JNT262344:JNT262345 JXP262344:JXP262345 KHL262344:KHL262345 KRH262344:KRH262345 LBD262344:LBD262345 LKZ262344:LKZ262345 LUV262344:LUV262345 MER262344:MER262345 MON262344:MON262345 MYJ262344:MYJ262345 NIF262344:NIF262345 NSB262344:NSB262345 OBX262344:OBX262345 OLT262344:OLT262345 OVP262344:OVP262345 PFL262344:PFL262345 PPH262344:PPH262345 PZD262344:PZD262345 QIZ262344:QIZ262345 QSV262344:QSV262345 RCR262344:RCR262345 RMN262344:RMN262345 RWJ262344:RWJ262345 SGF262344:SGF262345 SQB262344:SQB262345 SZX262344:SZX262345 TJT262344:TJT262345 TTP262344:TTP262345 UDL262344:UDL262345 UNH262344:UNH262345 UXD262344:UXD262345 VGZ262344:VGZ262345 VQV262344:VQV262345 WAR262344:WAR262345 WKN262344:WKN262345 WUJ262344:WUJ262345 F327880:F327881 HX327880:HX327881 RT327880:RT327881 ABP327880:ABP327881 ALL327880:ALL327881 AVH327880:AVH327881 BFD327880:BFD327881 BOZ327880:BOZ327881 BYV327880:BYV327881 CIR327880:CIR327881 CSN327880:CSN327881 DCJ327880:DCJ327881 DMF327880:DMF327881 DWB327880:DWB327881 EFX327880:EFX327881 EPT327880:EPT327881 EZP327880:EZP327881 FJL327880:FJL327881 FTH327880:FTH327881 GDD327880:GDD327881 GMZ327880:GMZ327881 GWV327880:GWV327881 HGR327880:HGR327881 HQN327880:HQN327881 IAJ327880:IAJ327881 IKF327880:IKF327881 IUB327880:IUB327881 JDX327880:JDX327881 JNT327880:JNT327881 JXP327880:JXP327881 KHL327880:KHL327881 KRH327880:KRH327881 LBD327880:LBD327881 LKZ327880:LKZ327881 LUV327880:LUV327881 MER327880:MER327881 MON327880:MON327881 MYJ327880:MYJ327881 NIF327880:NIF327881 NSB327880:NSB327881 OBX327880:OBX327881 OLT327880:OLT327881 OVP327880:OVP327881 PFL327880:PFL327881 PPH327880:PPH327881 PZD327880:PZD327881 QIZ327880:QIZ327881 QSV327880:QSV327881 RCR327880:RCR327881 RMN327880:RMN327881 RWJ327880:RWJ327881 SGF327880:SGF327881 SQB327880:SQB327881 SZX327880:SZX327881 TJT327880:TJT327881 TTP327880:TTP327881 UDL327880:UDL327881 UNH327880:UNH327881 UXD327880:UXD327881 VGZ327880:VGZ327881 VQV327880:VQV327881 WAR327880:WAR327881 WKN327880:WKN327881 WUJ327880:WUJ327881 F393416:F393417 HX393416:HX393417 RT393416:RT393417 ABP393416:ABP393417 ALL393416:ALL393417 AVH393416:AVH393417 BFD393416:BFD393417 BOZ393416:BOZ393417 BYV393416:BYV393417 CIR393416:CIR393417 CSN393416:CSN393417 DCJ393416:DCJ393417 DMF393416:DMF393417 DWB393416:DWB393417 EFX393416:EFX393417 EPT393416:EPT393417 EZP393416:EZP393417 FJL393416:FJL393417 FTH393416:FTH393417 GDD393416:GDD393417 GMZ393416:GMZ393417 GWV393416:GWV393417 HGR393416:HGR393417 HQN393416:HQN393417 IAJ393416:IAJ393417 IKF393416:IKF393417 IUB393416:IUB393417 JDX393416:JDX393417 JNT393416:JNT393417 JXP393416:JXP393417 KHL393416:KHL393417 KRH393416:KRH393417 LBD393416:LBD393417 LKZ393416:LKZ393417 LUV393416:LUV393417 MER393416:MER393417 MON393416:MON393417 MYJ393416:MYJ393417 NIF393416:NIF393417 NSB393416:NSB393417 OBX393416:OBX393417 OLT393416:OLT393417 OVP393416:OVP393417 PFL393416:PFL393417 PPH393416:PPH393417 PZD393416:PZD393417 QIZ393416:QIZ393417 QSV393416:QSV393417 RCR393416:RCR393417 RMN393416:RMN393417 RWJ393416:RWJ393417 SGF393416:SGF393417 SQB393416:SQB393417 SZX393416:SZX393417 TJT393416:TJT393417 TTP393416:TTP393417 UDL393416:UDL393417 UNH393416:UNH393417 UXD393416:UXD393417 VGZ393416:VGZ393417 VQV393416:VQV393417 WAR393416:WAR393417 WKN393416:WKN393417 WUJ393416:WUJ393417 F458952:F458953 HX458952:HX458953 RT458952:RT458953 ABP458952:ABP458953 ALL458952:ALL458953 AVH458952:AVH458953 BFD458952:BFD458953 BOZ458952:BOZ458953 BYV458952:BYV458953 CIR458952:CIR458953 CSN458952:CSN458953 DCJ458952:DCJ458953 DMF458952:DMF458953 DWB458952:DWB458953 EFX458952:EFX458953 EPT458952:EPT458953 EZP458952:EZP458953 FJL458952:FJL458953 FTH458952:FTH458953 GDD458952:GDD458953 GMZ458952:GMZ458953 GWV458952:GWV458953 HGR458952:HGR458953 HQN458952:HQN458953 IAJ458952:IAJ458953 IKF458952:IKF458953 IUB458952:IUB458953 JDX458952:JDX458953 JNT458952:JNT458953 JXP458952:JXP458953 KHL458952:KHL458953 KRH458952:KRH458953 LBD458952:LBD458953 LKZ458952:LKZ458953 LUV458952:LUV458953 MER458952:MER458953 MON458952:MON458953 MYJ458952:MYJ458953 NIF458952:NIF458953 NSB458952:NSB458953 OBX458952:OBX458953 OLT458952:OLT458953 OVP458952:OVP458953 PFL458952:PFL458953 PPH458952:PPH458953 PZD458952:PZD458953 QIZ458952:QIZ458953 QSV458952:QSV458953 RCR458952:RCR458953 RMN458952:RMN458953 RWJ458952:RWJ458953 SGF458952:SGF458953 SQB458952:SQB458953 SZX458952:SZX458953 TJT458952:TJT458953 TTP458952:TTP458953 UDL458952:UDL458953 UNH458952:UNH458953 UXD458952:UXD458953 VGZ458952:VGZ458953 VQV458952:VQV458953 WAR458952:WAR458953 WKN458952:WKN458953 WUJ458952:WUJ458953 F524488:F524489 HX524488:HX524489 RT524488:RT524489 ABP524488:ABP524489 ALL524488:ALL524489 AVH524488:AVH524489 BFD524488:BFD524489 BOZ524488:BOZ524489 BYV524488:BYV524489 CIR524488:CIR524489 CSN524488:CSN524489 DCJ524488:DCJ524489 DMF524488:DMF524489 DWB524488:DWB524489 EFX524488:EFX524489 EPT524488:EPT524489 EZP524488:EZP524489 FJL524488:FJL524489 FTH524488:FTH524489 GDD524488:GDD524489 GMZ524488:GMZ524489 GWV524488:GWV524489 HGR524488:HGR524489 HQN524488:HQN524489 IAJ524488:IAJ524489 IKF524488:IKF524489 IUB524488:IUB524489 JDX524488:JDX524489 JNT524488:JNT524489 JXP524488:JXP524489 KHL524488:KHL524489 KRH524488:KRH524489 LBD524488:LBD524489 LKZ524488:LKZ524489 LUV524488:LUV524489 MER524488:MER524489 MON524488:MON524489 MYJ524488:MYJ524489 NIF524488:NIF524489 NSB524488:NSB524489 OBX524488:OBX524489 OLT524488:OLT524489 OVP524488:OVP524489 PFL524488:PFL524489 PPH524488:PPH524489 PZD524488:PZD524489 QIZ524488:QIZ524489 QSV524488:QSV524489 RCR524488:RCR524489 RMN524488:RMN524489 RWJ524488:RWJ524489 SGF524488:SGF524489 SQB524488:SQB524489 SZX524488:SZX524489 TJT524488:TJT524489 TTP524488:TTP524489 UDL524488:UDL524489 UNH524488:UNH524489 UXD524488:UXD524489 VGZ524488:VGZ524489 VQV524488:VQV524489 WAR524488:WAR524489 WKN524488:WKN524489 WUJ524488:WUJ524489 F590024:F590025 HX590024:HX590025 RT590024:RT590025 ABP590024:ABP590025 ALL590024:ALL590025 AVH590024:AVH590025 BFD590024:BFD590025 BOZ590024:BOZ590025 BYV590024:BYV590025 CIR590024:CIR590025 CSN590024:CSN590025 DCJ590024:DCJ590025 DMF590024:DMF590025 DWB590024:DWB590025 EFX590024:EFX590025 EPT590024:EPT590025 EZP590024:EZP590025 FJL590024:FJL590025 FTH590024:FTH590025 GDD590024:GDD590025 GMZ590024:GMZ590025 GWV590024:GWV590025 HGR590024:HGR590025 HQN590024:HQN590025 IAJ590024:IAJ590025 IKF590024:IKF590025 IUB590024:IUB590025 JDX590024:JDX590025 JNT590024:JNT590025 JXP590024:JXP590025 KHL590024:KHL590025 KRH590024:KRH590025 LBD590024:LBD590025 LKZ590024:LKZ590025 LUV590024:LUV590025 MER590024:MER590025 MON590024:MON590025 MYJ590024:MYJ590025 NIF590024:NIF590025 NSB590024:NSB590025 OBX590024:OBX590025 OLT590024:OLT590025 OVP590024:OVP590025 PFL590024:PFL590025 PPH590024:PPH590025 PZD590024:PZD590025 QIZ590024:QIZ590025 QSV590024:QSV590025 RCR590024:RCR590025 RMN590024:RMN590025 RWJ590024:RWJ590025 SGF590024:SGF590025 SQB590024:SQB590025 SZX590024:SZX590025 TJT590024:TJT590025 TTP590024:TTP590025 UDL590024:UDL590025 UNH590024:UNH590025 UXD590024:UXD590025 VGZ590024:VGZ590025 VQV590024:VQV590025 WAR590024:WAR590025 WKN590024:WKN590025 WUJ590024:WUJ590025 F655560:F655561 HX655560:HX655561 RT655560:RT655561 ABP655560:ABP655561 ALL655560:ALL655561 AVH655560:AVH655561 BFD655560:BFD655561 BOZ655560:BOZ655561 BYV655560:BYV655561 CIR655560:CIR655561 CSN655560:CSN655561 DCJ655560:DCJ655561 DMF655560:DMF655561 DWB655560:DWB655561 EFX655560:EFX655561 EPT655560:EPT655561 EZP655560:EZP655561 FJL655560:FJL655561 FTH655560:FTH655561 GDD655560:GDD655561 GMZ655560:GMZ655561 GWV655560:GWV655561 HGR655560:HGR655561 HQN655560:HQN655561 IAJ655560:IAJ655561 IKF655560:IKF655561 IUB655560:IUB655561 JDX655560:JDX655561 JNT655560:JNT655561 JXP655560:JXP655561 KHL655560:KHL655561 KRH655560:KRH655561 LBD655560:LBD655561 LKZ655560:LKZ655561 LUV655560:LUV655561 MER655560:MER655561 MON655560:MON655561 MYJ655560:MYJ655561 NIF655560:NIF655561 NSB655560:NSB655561 OBX655560:OBX655561 OLT655560:OLT655561 OVP655560:OVP655561 PFL655560:PFL655561 PPH655560:PPH655561 PZD655560:PZD655561 QIZ655560:QIZ655561 QSV655560:QSV655561 RCR655560:RCR655561 RMN655560:RMN655561 RWJ655560:RWJ655561 SGF655560:SGF655561 SQB655560:SQB655561 SZX655560:SZX655561 TJT655560:TJT655561 TTP655560:TTP655561 UDL655560:UDL655561 UNH655560:UNH655561 UXD655560:UXD655561 VGZ655560:VGZ655561 VQV655560:VQV655561 WAR655560:WAR655561 WKN655560:WKN655561 WUJ655560:WUJ655561 F721096:F721097 HX721096:HX721097 RT721096:RT721097 ABP721096:ABP721097 ALL721096:ALL721097 AVH721096:AVH721097 BFD721096:BFD721097 BOZ721096:BOZ721097 BYV721096:BYV721097 CIR721096:CIR721097 CSN721096:CSN721097 DCJ721096:DCJ721097 DMF721096:DMF721097 DWB721096:DWB721097 EFX721096:EFX721097 EPT721096:EPT721097 EZP721096:EZP721097 FJL721096:FJL721097 FTH721096:FTH721097 GDD721096:GDD721097 GMZ721096:GMZ721097 GWV721096:GWV721097 HGR721096:HGR721097 HQN721096:HQN721097 IAJ721096:IAJ721097 IKF721096:IKF721097 IUB721096:IUB721097 JDX721096:JDX721097 JNT721096:JNT721097 JXP721096:JXP721097 KHL721096:KHL721097 KRH721096:KRH721097 LBD721096:LBD721097 LKZ721096:LKZ721097 LUV721096:LUV721097 MER721096:MER721097 MON721096:MON721097 MYJ721096:MYJ721097 NIF721096:NIF721097 NSB721096:NSB721097 OBX721096:OBX721097 OLT721096:OLT721097 OVP721096:OVP721097 PFL721096:PFL721097 PPH721096:PPH721097 PZD721096:PZD721097 QIZ721096:QIZ721097 QSV721096:QSV721097 RCR721096:RCR721097 RMN721096:RMN721097 RWJ721096:RWJ721097 SGF721096:SGF721097 SQB721096:SQB721097 SZX721096:SZX721097 TJT721096:TJT721097 TTP721096:TTP721097 UDL721096:UDL721097 UNH721096:UNH721097 UXD721096:UXD721097 VGZ721096:VGZ721097 VQV721096:VQV721097 WAR721096:WAR721097 WKN721096:WKN721097 WUJ721096:WUJ721097 F786632:F786633 HX786632:HX786633 RT786632:RT786633 ABP786632:ABP786633 ALL786632:ALL786633 AVH786632:AVH786633 BFD786632:BFD786633 BOZ786632:BOZ786633 BYV786632:BYV786633 CIR786632:CIR786633 CSN786632:CSN786633 DCJ786632:DCJ786633 DMF786632:DMF786633 DWB786632:DWB786633 EFX786632:EFX786633 EPT786632:EPT786633 EZP786632:EZP786633 FJL786632:FJL786633 FTH786632:FTH786633 GDD786632:GDD786633 GMZ786632:GMZ786633 GWV786632:GWV786633 HGR786632:HGR786633 HQN786632:HQN786633 IAJ786632:IAJ786633 IKF786632:IKF786633 IUB786632:IUB786633 JDX786632:JDX786633 JNT786632:JNT786633 JXP786632:JXP786633 KHL786632:KHL786633 KRH786632:KRH786633 LBD786632:LBD786633 LKZ786632:LKZ786633 LUV786632:LUV786633 MER786632:MER786633 MON786632:MON786633 MYJ786632:MYJ786633 NIF786632:NIF786633 NSB786632:NSB786633 OBX786632:OBX786633 OLT786632:OLT786633 OVP786632:OVP786633 PFL786632:PFL786633 PPH786632:PPH786633 PZD786632:PZD786633 QIZ786632:QIZ786633 QSV786632:QSV786633 RCR786632:RCR786633 RMN786632:RMN786633 RWJ786632:RWJ786633 SGF786632:SGF786633 SQB786632:SQB786633 SZX786632:SZX786633 TJT786632:TJT786633 TTP786632:TTP786633 UDL786632:UDL786633 UNH786632:UNH786633 UXD786632:UXD786633 VGZ786632:VGZ786633 VQV786632:VQV786633 WAR786632:WAR786633 WKN786632:WKN786633 WUJ786632:WUJ786633 F852168:F852169 HX852168:HX852169 RT852168:RT852169 ABP852168:ABP852169 ALL852168:ALL852169 AVH852168:AVH852169 BFD852168:BFD852169 BOZ852168:BOZ852169 BYV852168:BYV852169 CIR852168:CIR852169 CSN852168:CSN852169 DCJ852168:DCJ852169 DMF852168:DMF852169 DWB852168:DWB852169 EFX852168:EFX852169 EPT852168:EPT852169 EZP852168:EZP852169 FJL852168:FJL852169 FTH852168:FTH852169 GDD852168:GDD852169 GMZ852168:GMZ852169 GWV852168:GWV852169 HGR852168:HGR852169 HQN852168:HQN852169 IAJ852168:IAJ852169 IKF852168:IKF852169 IUB852168:IUB852169 JDX852168:JDX852169 JNT852168:JNT852169 JXP852168:JXP852169 KHL852168:KHL852169 KRH852168:KRH852169 LBD852168:LBD852169 LKZ852168:LKZ852169 LUV852168:LUV852169 MER852168:MER852169 MON852168:MON852169 MYJ852168:MYJ852169 NIF852168:NIF852169 NSB852168:NSB852169 OBX852168:OBX852169 OLT852168:OLT852169 OVP852168:OVP852169 PFL852168:PFL852169 PPH852168:PPH852169 PZD852168:PZD852169 QIZ852168:QIZ852169 QSV852168:QSV852169 RCR852168:RCR852169 RMN852168:RMN852169 RWJ852168:RWJ852169 SGF852168:SGF852169 SQB852168:SQB852169 SZX852168:SZX852169 TJT852168:TJT852169 TTP852168:TTP852169 UDL852168:UDL852169 UNH852168:UNH852169 UXD852168:UXD852169 VGZ852168:VGZ852169 VQV852168:VQV852169 WAR852168:WAR852169 WKN852168:WKN852169 WUJ852168:WUJ852169 F917704:F917705 HX917704:HX917705 RT917704:RT917705 ABP917704:ABP917705 ALL917704:ALL917705 AVH917704:AVH917705 BFD917704:BFD917705 BOZ917704:BOZ917705 BYV917704:BYV917705 CIR917704:CIR917705 CSN917704:CSN917705 DCJ917704:DCJ917705 DMF917704:DMF917705 DWB917704:DWB917705 EFX917704:EFX917705 EPT917704:EPT917705 EZP917704:EZP917705 FJL917704:FJL917705 FTH917704:FTH917705 GDD917704:GDD917705 GMZ917704:GMZ917705 GWV917704:GWV917705 HGR917704:HGR917705 HQN917704:HQN917705 IAJ917704:IAJ917705 IKF917704:IKF917705 IUB917704:IUB917705 JDX917704:JDX917705 JNT917704:JNT917705 JXP917704:JXP917705 KHL917704:KHL917705 KRH917704:KRH917705 LBD917704:LBD917705 LKZ917704:LKZ917705 LUV917704:LUV917705 MER917704:MER917705 MON917704:MON917705 MYJ917704:MYJ917705 NIF917704:NIF917705 NSB917704:NSB917705 OBX917704:OBX917705 OLT917704:OLT917705 OVP917704:OVP917705 PFL917704:PFL917705 PPH917704:PPH917705 PZD917704:PZD917705 QIZ917704:QIZ917705 QSV917704:QSV917705 RCR917704:RCR917705 RMN917704:RMN917705 RWJ917704:RWJ917705 SGF917704:SGF917705 SQB917704:SQB917705 SZX917704:SZX917705 TJT917704:TJT917705 TTP917704:TTP917705 UDL917704:UDL917705 UNH917704:UNH917705 UXD917704:UXD917705 VGZ917704:VGZ917705 VQV917704:VQV917705 WAR917704:WAR917705 WKN917704:WKN917705 WUJ917704:WUJ917705 F983240:F983241 HX983240:HX983241 RT983240:RT983241 ABP983240:ABP983241 ALL983240:ALL983241 AVH983240:AVH983241 BFD983240:BFD983241 BOZ983240:BOZ983241 BYV983240:BYV983241 CIR983240:CIR983241 CSN983240:CSN983241 DCJ983240:DCJ983241 DMF983240:DMF983241 DWB983240:DWB983241 EFX983240:EFX983241 EPT983240:EPT983241 EZP983240:EZP983241 FJL983240:FJL983241 FTH983240:FTH983241 GDD983240:GDD983241 GMZ983240:GMZ983241 GWV983240:GWV983241 HGR983240:HGR983241 HQN983240:HQN983241 IAJ983240:IAJ983241 IKF983240:IKF983241 IUB983240:IUB983241 JDX983240:JDX983241 JNT983240:JNT983241 JXP983240:JXP983241 KHL983240:KHL983241 KRH983240:KRH983241 LBD983240:LBD983241 LKZ983240:LKZ983241 LUV983240:LUV983241 MER983240:MER983241 MON983240:MON983241 MYJ983240:MYJ983241 NIF983240:NIF983241 NSB983240:NSB983241 OBX983240:OBX983241 OLT983240:OLT983241 OVP983240:OVP983241 PFL983240:PFL983241 PPH983240:PPH983241 PZD983240:PZD983241 QIZ983240:QIZ983241 QSV983240:QSV983241 RCR983240:RCR983241 RMN983240:RMN983241 RWJ983240:RWJ983241 SGF983240:SGF983241 SQB983240:SQB983241 SZX983240:SZX983241 TJT983240:TJT983241 TTP983240:TTP983241 UDL983240:UDL983241 UNH983240:UNH983241 UXD983240:UXD983241 VGZ983240:VGZ983241 VQV983240:VQV983241 WAR983240:WAR983241 WKN983240:WKN983241" xr:uid="{00000000-0002-0000-0300-000000000000}">
      <formula1>"有り,無し"</formula1>
    </dataValidation>
    <dataValidation type="list" allowBlank="1" showInputMessage="1" showErrorMessage="1" sqref="WUJ983242:WUJ983243 RT19:RT22 ABP19:ABP22 ALL19:ALL22 AVH19:AVH22 BFD19:BFD22 BOZ19:BOZ22 BYV19:BYV22 CIR19:CIR22 CSN19:CSN22 DCJ19:DCJ22 DMF19:DMF22 DWB19:DWB22 EFX19:EFX22 EPT19:EPT22 EZP19:EZP22 FJL19:FJL22 FTH19:FTH22 GDD19:GDD22 GMZ19:GMZ22 GWV19:GWV22 HGR19:HGR22 HQN19:HQN22 IAJ19:IAJ22 IKF19:IKF22 IUB19:IUB22 JDX19:JDX22 JNT19:JNT22 JXP19:JXP22 KHL19:KHL22 KRH19:KRH22 LBD19:LBD22 LKZ19:LKZ22 LUV19:LUV22 MER19:MER22 MON19:MON22 MYJ19:MYJ22 NIF19:NIF22 NSB19:NSB22 OBX19:OBX22 OLT19:OLT22 OVP19:OVP22 PFL19:PFL22 PPH19:PPH22 PZD19:PZD22 QIZ19:QIZ22 QSV19:QSV22 RCR19:RCR22 RMN19:RMN22 RWJ19:RWJ22 SGF19:SGF22 SQB19:SQB22 SZX19:SZX22 TJT19:TJT22 TTP19:TTP22 UDL19:UDL22 UNH19:UNH22 UXD19:UXD22 VGZ19:VGZ22 VQV19:VQV22 WAR19:WAR22 WKN19:WKN22 WUJ19:WUJ22 WKN983242:WKN983243 F65738:F65739 HX65738:HX65739 RT65738:RT65739 ABP65738:ABP65739 ALL65738:ALL65739 AVH65738:AVH65739 BFD65738:BFD65739 BOZ65738:BOZ65739 BYV65738:BYV65739 CIR65738:CIR65739 CSN65738:CSN65739 DCJ65738:DCJ65739 DMF65738:DMF65739 DWB65738:DWB65739 EFX65738:EFX65739 EPT65738:EPT65739 EZP65738:EZP65739 FJL65738:FJL65739 FTH65738:FTH65739 GDD65738:GDD65739 GMZ65738:GMZ65739 GWV65738:GWV65739 HGR65738:HGR65739 HQN65738:HQN65739 IAJ65738:IAJ65739 IKF65738:IKF65739 IUB65738:IUB65739 JDX65738:JDX65739 JNT65738:JNT65739 JXP65738:JXP65739 KHL65738:KHL65739 KRH65738:KRH65739 LBD65738:LBD65739 LKZ65738:LKZ65739 LUV65738:LUV65739 MER65738:MER65739 MON65738:MON65739 MYJ65738:MYJ65739 NIF65738:NIF65739 NSB65738:NSB65739 OBX65738:OBX65739 OLT65738:OLT65739 OVP65738:OVP65739 PFL65738:PFL65739 PPH65738:PPH65739 PZD65738:PZD65739 QIZ65738:QIZ65739 QSV65738:QSV65739 RCR65738:RCR65739 RMN65738:RMN65739 RWJ65738:RWJ65739 SGF65738:SGF65739 SQB65738:SQB65739 SZX65738:SZX65739 TJT65738:TJT65739 TTP65738:TTP65739 UDL65738:UDL65739 UNH65738:UNH65739 UXD65738:UXD65739 VGZ65738:VGZ65739 VQV65738:VQV65739 WAR65738:WAR65739 WKN65738:WKN65739 WUJ65738:WUJ65739 F131274:F131275 HX131274:HX131275 RT131274:RT131275 ABP131274:ABP131275 ALL131274:ALL131275 AVH131274:AVH131275 BFD131274:BFD131275 BOZ131274:BOZ131275 BYV131274:BYV131275 CIR131274:CIR131275 CSN131274:CSN131275 DCJ131274:DCJ131275 DMF131274:DMF131275 DWB131274:DWB131275 EFX131274:EFX131275 EPT131274:EPT131275 EZP131274:EZP131275 FJL131274:FJL131275 FTH131274:FTH131275 GDD131274:GDD131275 GMZ131274:GMZ131275 GWV131274:GWV131275 HGR131274:HGR131275 HQN131274:HQN131275 IAJ131274:IAJ131275 IKF131274:IKF131275 IUB131274:IUB131275 JDX131274:JDX131275 JNT131274:JNT131275 JXP131274:JXP131275 KHL131274:KHL131275 KRH131274:KRH131275 LBD131274:LBD131275 LKZ131274:LKZ131275 LUV131274:LUV131275 MER131274:MER131275 MON131274:MON131275 MYJ131274:MYJ131275 NIF131274:NIF131275 NSB131274:NSB131275 OBX131274:OBX131275 OLT131274:OLT131275 OVP131274:OVP131275 PFL131274:PFL131275 PPH131274:PPH131275 PZD131274:PZD131275 QIZ131274:QIZ131275 QSV131274:QSV131275 RCR131274:RCR131275 RMN131274:RMN131275 RWJ131274:RWJ131275 SGF131274:SGF131275 SQB131274:SQB131275 SZX131274:SZX131275 TJT131274:TJT131275 TTP131274:TTP131275 UDL131274:UDL131275 UNH131274:UNH131275 UXD131274:UXD131275 VGZ131274:VGZ131275 VQV131274:VQV131275 WAR131274:WAR131275 WKN131274:WKN131275 WUJ131274:WUJ131275 F196810:F196811 HX196810:HX196811 RT196810:RT196811 ABP196810:ABP196811 ALL196810:ALL196811 AVH196810:AVH196811 BFD196810:BFD196811 BOZ196810:BOZ196811 BYV196810:BYV196811 CIR196810:CIR196811 CSN196810:CSN196811 DCJ196810:DCJ196811 DMF196810:DMF196811 DWB196810:DWB196811 EFX196810:EFX196811 EPT196810:EPT196811 EZP196810:EZP196811 FJL196810:FJL196811 FTH196810:FTH196811 GDD196810:GDD196811 GMZ196810:GMZ196811 GWV196810:GWV196811 HGR196810:HGR196811 HQN196810:HQN196811 IAJ196810:IAJ196811 IKF196810:IKF196811 IUB196810:IUB196811 JDX196810:JDX196811 JNT196810:JNT196811 JXP196810:JXP196811 KHL196810:KHL196811 KRH196810:KRH196811 LBD196810:LBD196811 LKZ196810:LKZ196811 LUV196810:LUV196811 MER196810:MER196811 MON196810:MON196811 MYJ196810:MYJ196811 NIF196810:NIF196811 NSB196810:NSB196811 OBX196810:OBX196811 OLT196810:OLT196811 OVP196810:OVP196811 PFL196810:PFL196811 PPH196810:PPH196811 PZD196810:PZD196811 QIZ196810:QIZ196811 QSV196810:QSV196811 RCR196810:RCR196811 RMN196810:RMN196811 RWJ196810:RWJ196811 SGF196810:SGF196811 SQB196810:SQB196811 SZX196810:SZX196811 TJT196810:TJT196811 TTP196810:TTP196811 UDL196810:UDL196811 UNH196810:UNH196811 UXD196810:UXD196811 VGZ196810:VGZ196811 VQV196810:VQV196811 WAR196810:WAR196811 WKN196810:WKN196811 WUJ196810:WUJ196811 F262346:F262347 HX262346:HX262347 RT262346:RT262347 ABP262346:ABP262347 ALL262346:ALL262347 AVH262346:AVH262347 BFD262346:BFD262347 BOZ262346:BOZ262347 BYV262346:BYV262347 CIR262346:CIR262347 CSN262346:CSN262347 DCJ262346:DCJ262347 DMF262346:DMF262347 DWB262346:DWB262347 EFX262346:EFX262347 EPT262346:EPT262347 EZP262346:EZP262347 FJL262346:FJL262347 FTH262346:FTH262347 GDD262346:GDD262347 GMZ262346:GMZ262347 GWV262346:GWV262347 HGR262346:HGR262347 HQN262346:HQN262347 IAJ262346:IAJ262347 IKF262346:IKF262347 IUB262346:IUB262347 JDX262346:JDX262347 JNT262346:JNT262347 JXP262346:JXP262347 KHL262346:KHL262347 KRH262346:KRH262347 LBD262346:LBD262347 LKZ262346:LKZ262347 LUV262346:LUV262347 MER262346:MER262347 MON262346:MON262347 MYJ262346:MYJ262347 NIF262346:NIF262347 NSB262346:NSB262347 OBX262346:OBX262347 OLT262346:OLT262347 OVP262346:OVP262347 PFL262346:PFL262347 PPH262346:PPH262347 PZD262346:PZD262347 QIZ262346:QIZ262347 QSV262346:QSV262347 RCR262346:RCR262347 RMN262346:RMN262347 RWJ262346:RWJ262347 SGF262346:SGF262347 SQB262346:SQB262347 SZX262346:SZX262347 TJT262346:TJT262347 TTP262346:TTP262347 UDL262346:UDL262347 UNH262346:UNH262347 UXD262346:UXD262347 VGZ262346:VGZ262347 VQV262346:VQV262347 WAR262346:WAR262347 WKN262346:WKN262347 WUJ262346:WUJ262347 F327882:F327883 HX327882:HX327883 RT327882:RT327883 ABP327882:ABP327883 ALL327882:ALL327883 AVH327882:AVH327883 BFD327882:BFD327883 BOZ327882:BOZ327883 BYV327882:BYV327883 CIR327882:CIR327883 CSN327882:CSN327883 DCJ327882:DCJ327883 DMF327882:DMF327883 DWB327882:DWB327883 EFX327882:EFX327883 EPT327882:EPT327883 EZP327882:EZP327883 FJL327882:FJL327883 FTH327882:FTH327883 GDD327882:GDD327883 GMZ327882:GMZ327883 GWV327882:GWV327883 HGR327882:HGR327883 HQN327882:HQN327883 IAJ327882:IAJ327883 IKF327882:IKF327883 IUB327882:IUB327883 JDX327882:JDX327883 JNT327882:JNT327883 JXP327882:JXP327883 KHL327882:KHL327883 KRH327882:KRH327883 LBD327882:LBD327883 LKZ327882:LKZ327883 LUV327882:LUV327883 MER327882:MER327883 MON327882:MON327883 MYJ327882:MYJ327883 NIF327882:NIF327883 NSB327882:NSB327883 OBX327882:OBX327883 OLT327882:OLT327883 OVP327882:OVP327883 PFL327882:PFL327883 PPH327882:PPH327883 PZD327882:PZD327883 QIZ327882:QIZ327883 QSV327882:QSV327883 RCR327882:RCR327883 RMN327882:RMN327883 RWJ327882:RWJ327883 SGF327882:SGF327883 SQB327882:SQB327883 SZX327882:SZX327883 TJT327882:TJT327883 TTP327882:TTP327883 UDL327882:UDL327883 UNH327882:UNH327883 UXD327882:UXD327883 VGZ327882:VGZ327883 VQV327882:VQV327883 WAR327882:WAR327883 WKN327882:WKN327883 WUJ327882:WUJ327883 F393418:F393419 HX393418:HX393419 RT393418:RT393419 ABP393418:ABP393419 ALL393418:ALL393419 AVH393418:AVH393419 BFD393418:BFD393419 BOZ393418:BOZ393419 BYV393418:BYV393419 CIR393418:CIR393419 CSN393418:CSN393419 DCJ393418:DCJ393419 DMF393418:DMF393419 DWB393418:DWB393419 EFX393418:EFX393419 EPT393418:EPT393419 EZP393418:EZP393419 FJL393418:FJL393419 FTH393418:FTH393419 GDD393418:GDD393419 GMZ393418:GMZ393419 GWV393418:GWV393419 HGR393418:HGR393419 HQN393418:HQN393419 IAJ393418:IAJ393419 IKF393418:IKF393419 IUB393418:IUB393419 JDX393418:JDX393419 JNT393418:JNT393419 JXP393418:JXP393419 KHL393418:KHL393419 KRH393418:KRH393419 LBD393418:LBD393419 LKZ393418:LKZ393419 LUV393418:LUV393419 MER393418:MER393419 MON393418:MON393419 MYJ393418:MYJ393419 NIF393418:NIF393419 NSB393418:NSB393419 OBX393418:OBX393419 OLT393418:OLT393419 OVP393418:OVP393419 PFL393418:PFL393419 PPH393418:PPH393419 PZD393418:PZD393419 QIZ393418:QIZ393419 QSV393418:QSV393419 RCR393418:RCR393419 RMN393418:RMN393419 RWJ393418:RWJ393419 SGF393418:SGF393419 SQB393418:SQB393419 SZX393418:SZX393419 TJT393418:TJT393419 TTP393418:TTP393419 UDL393418:UDL393419 UNH393418:UNH393419 UXD393418:UXD393419 VGZ393418:VGZ393419 VQV393418:VQV393419 WAR393418:WAR393419 WKN393418:WKN393419 WUJ393418:WUJ393419 F458954:F458955 HX458954:HX458955 RT458954:RT458955 ABP458954:ABP458955 ALL458954:ALL458955 AVH458954:AVH458955 BFD458954:BFD458955 BOZ458954:BOZ458955 BYV458954:BYV458955 CIR458954:CIR458955 CSN458954:CSN458955 DCJ458954:DCJ458955 DMF458954:DMF458955 DWB458954:DWB458955 EFX458954:EFX458955 EPT458954:EPT458955 EZP458954:EZP458955 FJL458954:FJL458955 FTH458954:FTH458955 GDD458954:GDD458955 GMZ458954:GMZ458955 GWV458954:GWV458955 HGR458954:HGR458955 HQN458954:HQN458955 IAJ458954:IAJ458955 IKF458954:IKF458955 IUB458954:IUB458955 JDX458954:JDX458955 JNT458954:JNT458955 JXP458954:JXP458955 KHL458954:KHL458955 KRH458954:KRH458955 LBD458954:LBD458955 LKZ458954:LKZ458955 LUV458954:LUV458955 MER458954:MER458955 MON458954:MON458955 MYJ458954:MYJ458955 NIF458954:NIF458955 NSB458954:NSB458955 OBX458954:OBX458955 OLT458954:OLT458955 OVP458954:OVP458955 PFL458954:PFL458955 PPH458954:PPH458955 PZD458954:PZD458955 QIZ458954:QIZ458955 QSV458954:QSV458955 RCR458954:RCR458955 RMN458954:RMN458955 RWJ458954:RWJ458955 SGF458954:SGF458955 SQB458954:SQB458955 SZX458954:SZX458955 TJT458954:TJT458955 TTP458954:TTP458955 UDL458954:UDL458955 UNH458954:UNH458955 UXD458954:UXD458955 VGZ458954:VGZ458955 VQV458954:VQV458955 WAR458954:WAR458955 WKN458954:WKN458955 WUJ458954:WUJ458955 F524490:F524491 HX524490:HX524491 RT524490:RT524491 ABP524490:ABP524491 ALL524490:ALL524491 AVH524490:AVH524491 BFD524490:BFD524491 BOZ524490:BOZ524491 BYV524490:BYV524491 CIR524490:CIR524491 CSN524490:CSN524491 DCJ524490:DCJ524491 DMF524490:DMF524491 DWB524490:DWB524491 EFX524490:EFX524491 EPT524490:EPT524491 EZP524490:EZP524491 FJL524490:FJL524491 FTH524490:FTH524491 GDD524490:GDD524491 GMZ524490:GMZ524491 GWV524490:GWV524491 HGR524490:HGR524491 HQN524490:HQN524491 IAJ524490:IAJ524491 IKF524490:IKF524491 IUB524490:IUB524491 JDX524490:JDX524491 JNT524490:JNT524491 JXP524490:JXP524491 KHL524490:KHL524491 KRH524490:KRH524491 LBD524490:LBD524491 LKZ524490:LKZ524491 LUV524490:LUV524491 MER524490:MER524491 MON524490:MON524491 MYJ524490:MYJ524491 NIF524490:NIF524491 NSB524490:NSB524491 OBX524490:OBX524491 OLT524490:OLT524491 OVP524490:OVP524491 PFL524490:PFL524491 PPH524490:PPH524491 PZD524490:PZD524491 QIZ524490:QIZ524491 QSV524490:QSV524491 RCR524490:RCR524491 RMN524490:RMN524491 RWJ524490:RWJ524491 SGF524490:SGF524491 SQB524490:SQB524491 SZX524490:SZX524491 TJT524490:TJT524491 TTP524490:TTP524491 UDL524490:UDL524491 UNH524490:UNH524491 UXD524490:UXD524491 VGZ524490:VGZ524491 VQV524490:VQV524491 WAR524490:WAR524491 WKN524490:WKN524491 WUJ524490:WUJ524491 F590026:F590027 HX590026:HX590027 RT590026:RT590027 ABP590026:ABP590027 ALL590026:ALL590027 AVH590026:AVH590027 BFD590026:BFD590027 BOZ590026:BOZ590027 BYV590026:BYV590027 CIR590026:CIR590027 CSN590026:CSN590027 DCJ590026:DCJ590027 DMF590026:DMF590027 DWB590026:DWB590027 EFX590026:EFX590027 EPT590026:EPT590027 EZP590026:EZP590027 FJL590026:FJL590027 FTH590026:FTH590027 GDD590026:GDD590027 GMZ590026:GMZ590027 GWV590026:GWV590027 HGR590026:HGR590027 HQN590026:HQN590027 IAJ590026:IAJ590027 IKF590026:IKF590027 IUB590026:IUB590027 JDX590026:JDX590027 JNT590026:JNT590027 JXP590026:JXP590027 KHL590026:KHL590027 KRH590026:KRH590027 LBD590026:LBD590027 LKZ590026:LKZ590027 LUV590026:LUV590027 MER590026:MER590027 MON590026:MON590027 MYJ590026:MYJ590027 NIF590026:NIF590027 NSB590026:NSB590027 OBX590026:OBX590027 OLT590026:OLT590027 OVP590026:OVP590027 PFL590026:PFL590027 PPH590026:PPH590027 PZD590026:PZD590027 QIZ590026:QIZ590027 QSV590026:QSV590027 RCR590026:RCR590027 RMN590026:RMN590027 RWJ590026:RWJ590027 SGF590026:SGF590027 SQB590026:SQB590027 SZX590026:SZX590027 TJT590026:TJT590027 TTP590026:TTP590027 UDL590026:UDL590027 UNH590026:UNH590027 UXD590026:UXD590027 VGZ590026:VGZ590027 VQV590026:VQV590027 WAR590026:WAR590027 WKN590026:WKN590027 WUJ590026:WUJ590027 F655562:F655563 HX655562:HX655563 RT655562:RT655563 ABP655562:ABP655563 ALL655562:ALL655563 AVH655562:AVH655563 BFD655562:BFD655563 BOZ655562:BOZ655563 BYV655562:BYV655563 CIR655562:CIR655563 CSN655562:CSN655563 DCJ655562:DCJ655563 DMF655562:DMF655563 DWB655562:DWB655563 EFX655562:EFX655563 EPT655562:EPT655563 EZP655562:EZP655563 FJL655562:FJL655563 FTH655562:FTH655563 GDD655562:GDD655563 GMZ655562:GMZ655563 GWV655562:GWV655563 HGR655562:HGR655563 HQN655562:HQN655563 IAJ655562:IAJ655563 IKF655562:IKF655563 IUB655562:IUB655563 JDX655562:JDX655563 JNT655562:JNT655563 JXP655562:JXP655563 KHL655562:KHL655563 KRH655562:KRH655563 LBD655562:LBD655563 LKZ655562:LKZ655563 LUV655562:LUV655563 MER655562:MER655563 MON655562:MON655563 MYJ655562:MYJ655563 NIF655562:NIF655563 NSB655562:NSB655563 OBX655562:OBX655563 OLT655562:OLT655563 OVP655562:OVP655563 PFL655562:PFL655563 PPH655562:PPH655563 PZD655562:PZD655563 QIZ655562:QIZ655563 QSV655562:QSV655563 RCR655562:RCR655563 RMN655562:RMN655563 RWJ655562:RWJ655563 SGF655562:SGF655563 SQB655562:SQB655563 SZX655562:SZX655563 TJT655562:TJT655563 TTP655562:TTP655563 UDL655562:UDL655563 UNH655562:UNH655563 UXD655562:UXD655563 VGZ655562:VGZ655563 VQV655562:VQV655563 WAR655562:WAR655563 WKN655562:WKN655563 WUJ655562:WUJ655563 F721098:F721099 HX721098:HX721099 RT721098:RT721099 ABP721098:ABP721099 ALL721098:ALL721099 AVH721098:AVH721099 BFD721098:BFD721099 BOZ721098:BOZ721099 BYV721098:BYV721099 CIR721098:CIR721099 CSN721098:CSN721099 DCJ721098:DCJ721099 DMF721098:DMF721099 DWB721098:DWB721099 EFX721098:EFX721099 EPT721098:EPT721099 EZP721098:EZP721099 FJL721098:FJL721099 FTH721098:FTH721099 GDD721098:GDD721099 GMZ721098:GMZ721099 GWV721098:GWV721099 HGR721098:HGR721099 HQN721098:HQN721099 IAJ721098:IAJ721099 IKF721098:IKF721099 IUB721098:IUB721099 JDX721098:JDX721099 JNT721098:JNT721099 JXP721098:JXP721099 KHL721098:KHL721099 KRH721098:KRH721099 LBD721098:LBD721099 LKZ721098:LKZ721099 LUV721098:LUV721099 MER721098:MER721099 MON721098:MON721099 MYJ721098:MYJ721099 NIF721098:NIF721099 NSB721098:NSB721099 OBX721098:OBX721099 OLT721098:OLT721099 OVP721098:OVP721099 PFL721098:PFL721099 PPH721098:PPH721099 PZD721098:PZD721099 QIZ721098:QIZ721099 QSV721098:QSV721099 RCR721098:RCR721099 RMN721098:RMN721099 RWJ721098:RWJ721099 SGF721098:SGF721099 SQB721098:SQB721099 SZX721098:SZX721099 TJT721098:TJT721099 TTP721098:TTP721099 UDL721098:UDL721099 UNH721098:UNH721099 UXD721098:UXD721099 VGZ721098:VGZ721099 VQV721098:VQV721099 WAR721098:WAR721099 WKN721098:WKN721099 WUJ721098:WUJ721099 F786634:F786635 HX786634:HX786635 RT786634:RT786635 ABP786634:ABP786635 ALL786634:ALL786635 AVH786634:AVH786635 BFD786634:BFD786635 BOZ786634:BOZ786635 BYV786634:BYV786635 CIR786634:CIR786635 CSN786634:CSN786635 DCJ786634:DCJ786635 DMF786634:DMF786635 DWB786634:DWB786635 EFX786634:EFX786635 EPT786634:EPT786635 EZP786634:EZP786635 FJL786634:FJL786635 FTH786634:FTH786635 GDD786634:GDD786635 GMZ786634:GMZ786635 GWV786634:GWV786635 HGR786634:HGR786635 HQN786634:HQN786635 IAJ786634:IAJ786635 IKF786634:IKF786635 IUB786634:IUB786635 JDX786634:JDX786635 JNT786634:JNT786635 JXP786634:JXP786635 KHL786634:KHL786635 KRH786634:KRH786635 LBD786634:LBD786635 LKZ786634:LKZ786635 LUV786634:LUV786635 MER786634:MER786635 MON786634:MON786635 MYJ786634:MYJ786635 NIF786634:NIF786635 NSB786634:NSB786635 OBX786634:OBX786635 OLT786634:OLT786635 OVP786634:OVP786635 PFL786634:PFL786635 PPH786634:PPH786635 PZD786634:PZD786635 QIZ786634:QIZ786635 QSV786634:QSV786635 RCR786634:RCR786635 RMN786634:RMN786635 RWJ786634:RWJ786635 SGF786634:SGF786635 SQB786634:SQB786635 SZX786634:SZX786635 TJT786634:TJT786635 TTP786634:TTP786635 UDL786634:UDL786635 UNH786634:UNH786635 UXD786634:UXD786635 VGZ786634:VGZ786635 VQV786634:VQV786635 WAR786634:WAR786635 WKN786634:WKN786635 WUJ786634:WUJ786635 F852170:F852171 HX852170:HX852171 RT852170:RT852171 ABP852170:ABP852171 ALL852170:ALL852171 AVH852170:AVH852171 BFD852170:BFD852171 BOZ852170:BOZ852171 BYV852170:BYV852171 CIR852170:CIR852171 CSN852170:CSN852171 DCJ852170:DCJ852171 DMF852170:DMF852171 DWB852170:DWB852171 EFX852170:EFX852171 EPT852170:EPT852171 EZP852170:EZP852171 FJL852170:FJL852171 FTH852170:FTH852171 GDD852170:GDD852171 GMZ852170:GMZ852171 GWV852170:GWV852171 HGR852170:HGR852171 HQN852170:HQN852171 IAJ852170:IAJ852171 IKF852170:IKF852171 IUB852170:IUB852171 JDX852170:JDX852171 JNT852170:JNT852171 JXP852170:JXP852171 KHL852170:KHL852171 KRH852170:KRH852171 LBD852170:LBD852171 LKZ852170:LKZ852171 LUV852170:LUV852171 MER852170:MER852171 MON852170:MON852171 MYJ852170:MYJ852171 NIF852170:NIF852171 NSB852170:NSB852171 OBX852170:OBX852171 OLT852170:OLT852171 OVP852170:OVP852171 PFL852170:PFL852171 PPH852170:PPH852171 PZD852170:PZD852171 QIZ852170:QIZ852171 QSV852170:QSV852171 RCR852170:RCR852171 RMN852170:RMN852171 RWJ852170:RWJ852171 SGF852170:SGF852171 SQB852170:SQB852171 SZX852170:SZX852171 TJT852170:TJT852171 TTP852170:TTP852171 UDL852170:UDL852171 UNH852170:UNH852171 UXD852170:UXD852171 VGZ852170:VGZ852171 VQV852170:VQV852171 WAR852170:WAR852171 WKN852170:WKN852171 WUJ852170:WUJ852171 F917706:F917707 HX917706:HX917707 RT917706:RT917707 ABP917706:ABP917707 ALL917706:ALL917707 AVH917706:AVH917707 BFD917706:BFD917707 BOZ917706:BOZ917707 BYV917706:BYV917707 CIR917706:CIR917707 CSN917706:CSN917707 DCJ917706:DCJ917707 DMF917706:DMF917707 DWB917706:DWB917707 EFX917706:EFX917707 EPT917706:EPT917707 EZP917706:EZP917707 FJL917706:FJL917707 FTH917706:FTH917707 GDD917706:GDD917707 GMZ917706:GMZ917707 GWV917706:GWV917707 HGR917706:HGR917707 HQN917706:HQN917707 IAJ917706:IAJ917707 IKF917706:IKF917707 IUB917706:IUB917707 JDX917706:JDX917707 JNT917706:JNT917707 JXP917706:JXP917707 KHL917706:KHL917707 KRH917706:KRH917707 LBD917706:LBD917707 LKZ917706:LKZ917707 LUV917706:LUV917707 MER917706:MER917707 MON917706:MON917707 MYJ917706:MYJ917707 NIF917706:NIF917707 NSB917706:NSB917707 OBX917706:OBX917707 OLT917706:OLT917707 OVP917706:OVP917707 PFL917706:PFL917707 PPH917706:PPH917707 PZD917706:PZD917707 QIZ917706:QIZ917707 QSV917706:QSV917707 RCR917706:RCR917707 RMN917706:RMN917707 RWJ917706:RWJ917707 SGF917706:SGF917707 SQB917706:SQB917707 SZX917706:SZX917707 TJT917706:TJT917707 TTP917706:TTP917707 UDL917706:UDL917707 UNH917706:UNH917707 UXD917706:UXD917707 VGZ917706:VGZ917707 VQV917706:VQV917707 WAR917706:WAR917707 WKN917706:WKN917707 WUJ917706:WUJ917707 F983242:F983243 HX983242:HX983243 RT983242:RT983243 ABP983242:ABP983243 ALL983242:ALL983243 AVH983242:AVH983243 BFD983242:BFD983243 BOZ983242:BOZ983243 BYV983242:BYV983243 CIR983242:CIR983243 CSN983242:CSN983243 DCJ983242:DCJ983243 DMF983242:DMF983243 DWB983242:DWB983243 EFX983242:EFX983243 EPT983242:EPT983243 EZP983242:EZP983243 FJL983242:FJL983243 FTH983242:FTH983243 GDD983242:GDD983243 GMZ983242:GMZ983243 GWV983242:GWV983243 HGR983242:HGR983243 HQN983242:HQN983243 IAJ983242:IAJ983243 IKF983242:IKF983243 IUB983242:IUB983243 JDX983242:JDX983243 JNT983242:JNT983243 JXP983242:JXP983243 KHL983242:KHL983243 KRH983242:KRH983243 LBD983242:LBD983243 LKZ983242:LKZ983243 LUV983242:LUV983243 MER983242:MER983243 MON983242:MON983243 MYJ983242:MYJ983243 NIF983242:NIF983243 NSB983242:NSB983243 OBX983242:OBX983243 OLT983242:OLT983243 OVP983242:OVP983243 PFL983242:PFL983243 PPH983242:PPH983243 PZD983242:PZD983243 QIZ983242:QIZ983243 QSV983242:QSV983243 RCR983242:RCR983243 RMN983242:RMN983243 RWJ983242:RWJ983243 SGF983242:SGF983243 SQB983242:SQB983243 SZX983242:SZX983243 TJT983242:TJT983243 TTP983242:TTP983243 UDL983242:UDL983243 UNH983242:UNH983243 UXD983242:UXD983243 VGZ983242:VGZ983243 VQV983242:VQV983243 WAR983242:WAR983243 HX19:HX22 RT72:RT73 ABP72:ABP73 ALL72:ALL73 AVH72:AVH73 BFD72:BFD73 BOZ72:BOZ73 BYV72:BYV73 CIR72:CIR73 CSN72:CSN73 DCJ72:DCJ73 DMF72:DMF73 DWB72:DWB73 EFX72:EFX73 EPT72:EPT73 EZP72:EZP73 FJL72:FJL73 FTH72:FTH73 GDD72:GDD73 GMZ72:GMZ73 GWV72:GWV73 HGR72:HGR73 HQN72:HQN73 IAJ72:IAJ73 IKF72:IKF73 IUB72:IUB73 JDX72:JDX73 JNT72:JNT73 JXP72:JXP73 KHL72:KHL73 KRH72:KRH73 LBD72:LBD73 LKZ72:LKZ73 LUV72:LUV73 MER72:MER73 MON72:MON73 MYJ72:MYJ73 NIF72:NIF73 NSB72:NSB73 OBX72:OBX73 OLT72:OLT73 OVP72:OVP73 PFL72:PFL73 PPH72:PPH73 PZD72:PZD73 QIZ72:QIZ73 QSV72:QSV73 RCR72:RCR73 RMN72:RMN73 RWJ72:RWJ73 SGF72:SGF73 SQB72:SQB73 SZX72:SZX73 TJT72:TJT73 TTP72:TTP73 UDL72:UDL73 UNH72:UNH73 UXD72:UXD73 VGZ72:VGZ73 VQV72:VQV73 WAR72:WAR73 WKN72:WKN73 WUJ72:WUJ73 HX72:HX73 RT50:RT51 ABP50:ABP51 ALL50:ALL51 AVH50:AVH51 BFD50:BFD51 BOZ50:BOZ51 BYV50:BYV51 CIR50:CIR51 CSN50:CSN51 DCJ50:DCJ51 DMF50:DMF51 DWB50:DWB51 EFX50:EFX51 EPT50:EPT51 EZP50:EZP51 FJL50:FJL51 FTH50:FTH51 GDD50:GDD51 GMZ50:GMZ51 GWV50:GWV51 HGR50:HGR51 HQN50:HQN51 IAJ50:IAJ51 IKF50:IKF51 IUB50:IUB51 JDX50:JDX51 JNT50:JNT51 JXP50:JXP51 KHL50:KHL51 KRH50:KRH51 LBD50:LBD51 LKZ50:LKZ51 LUV50:LUV51 MER50:MER51 MON50:MON51 MYJ50:MYJ51 NIF50:NIF51 NSB50:NSB51 OBX50:OBX51 OLT50:OLT51 OVP50:OVP51 PFL50:PFL51 PPH50:PPH51 PZD50:PZD51 QIZ50:QIZ51 QSV50:QSV51 RCR50:RCR51 RMN50:RMN51 RWJ50:RWJ51 SGF50:SGF51 SQB50:SQB51 SZX50:SZX51 TJT50:TJT51 TTP50:TTP51 UDL50:UDL51 UNH50:UNH51 UXD50:UXD51 VGZ50:VGZ51 VQV50:VQV51 WAR50:WAR51 WKN50:WKN51 WUJ50:WUJ51 HX50:HX51" xr:uid="{00000000-0002-0000-0300-000001000000}">
      <formula1>"○,×"</formula1>
    </dataValidation>
    <dataValidation type="list" allowBlank="1" showInputMessage="1" showErrorMessage="1" sqref="WUL983242:WUS983242 HZ19:IG21 RV19:SC21 ABR19:ABY21 ALN19:ALU21 AVJ19:AVQ21 BFF19:BFM21 BPB19:BPI21 BYX19:BZE21 CIT19:CJA21 CSP19:CSW21 DCL19:DCS21 DMH19:DMO21 DWD19:DWK21 EFZ19:EGG21 EPV19:EQC21 EZR19:EZY21 FJN19:FJU21 FTJ19:FTQ21 GDF19:GDM21 GNB19:GNI21 GWX19:GXE21 HGT19:HHA21 HQP19:HQW21 IAL19:IAS21 IKH19:IKO21 IUD19:IUK21 JDZ19:JEG21 JNV19:JOC21 JXR19:JXY21 KHN19:KHU21 KRJ19:KRQ21 LBF19:LBM21 LLB19:LLI21 LUX19:LVE21 MET19:MFA21 MOP19:MOW21 MYL19:MYS21 NIH19:NIO21 NSD19:NSK21 OBZ19:OCG21 OLV19:OMC21 OVR19:OVY21 PFN19:PFU21 PPJ19:PPQ21 PZF19:PZM21 QJB19:QJI21 QSX19:QTE21 RCT19:RDA21 RMP19:RMW21 RWL19:RWS21 SGH19:SGO21 SQD19:SQK21 SZZ19:TAG21 TJV19:TKC21 TTR19:TTY21 UDN19:UDU21 UNJ19:UNQ21 UXF19:UXM21 VHB19:VHI21 VQX19:VRE21 WAT19:WBA21 WKP19:WKW21 WUL19:WUS21 RMP50:RMW50 HZ65738:IG65738 RV65738:SC65738 ABR65738:ABY65738 ALN65738:ALU65738 AVJ65738:AVQ65738 BFF65738:BFM65738 BPB65738:BPI65738 BYX65738:BZE65738 CIT65738:CJA65738 CSP65738:CSW65738 DCL65738:DCS65738 DMH65738:DMO65738 DWD65738:DWK65738 EFZ65738:EGG65738 EPV65738:EQC65738 EZR65738:EZY65738 FJN65738:FJU65738 FTJ65738:FTQ65738 GDF65738:GDM65738 GNB65738:GNI65738 GWX65738:GXE65738 HGT65738:HHA65738 HQP65738:HQW65738 IAL65738:IAS65738 IKH65738:IKO65738 IUD65738:IUK65738 JDZ65738:JEG65738 JNV65738:JOC65738 JXR65738:JXY65738 KHN65738:KHU65738 KRJ65738:KRQ65738 LBF65738:LBM65738 LLB65738:LLI65738 LUX65738:LVE65738 MET65738:MFA65738 MOP65738:MOW65738 MYL65738:MYS65738 NIH65738:NIO65738 NSD65738:NSK65738 OBZ65738:OCG65738 OLV65738:OMC65738 OVR65738:OVY65738 PFN65738:PFU65738 PPJ65738:PPQ65738 PZF65738:PZM65738 QJB65738:QJI65738 QSX65738:QTE65738 RCT65738:RDA65738 RMP65738:RMW65738 RWL65738:RWS65738 SGH65738:SGO65738 SQD65738:SQK65738 SZZ65738:TAG65738 TJV65738:TKC65738 TTR65738:TTY65738 UDN65738:UDU65738 UNJ65738:UNQ65738 UXF65738:UXM65738 VHB65738:VHI65738 VQX65738:VRE65738 WAT65738:WBA65738 WKP65738:WKW65738 WUL65738:WUS65738 RWL50:RWS50 HZ131274:IG131274 RV131274:SC131274 ABR131274:ABY131274 ALN131274:ALU131274 AVJ131274:AVQ131274 BFF131274:BFM131274 BPB131274:BPI131274 BYX131274:BZE131274 CIT131274:CJA131274 CSP131274:CSW131274 DCL131274:DCS131274 DMH131274:DMO131274 DWD131274:DWK131274 EFZ131274:EGG131274 EPV131274:EQC131274 EZR131274:EZY131274 FJN131274:FJU131274 FTJ131274:FTQ131274 GDF131274:GDM131274 GNB131274:GNI131274 GWX131274:GXE131274 HGT131274:HHA131274 HQP131274:HQW131274 IAL131274:IAS131274 IKH131274:IKO131274 IUD131274:IUK131274 JDZ131274:JEG131274 JNV131274:JOC131274 JXR131274:JXY131274 KHN131274:KHU131274 KRJ131274:KRQ131274 LBF131274:LBM131274 LLB131274:LLI131274 LUX131274:LVE131274 MET131274:MFA131274 MOP131274:MOW131274 MYL131274:MYS131274 NIH131274:NIO131274 NSD131274:NSK131274 OBZ131274:OCG131274 OLV131274:OMC131274 OVR131274:OVY131274 PFN131274:PFU131274 PPJ131274:PPQ131274 PZF131274:PZM131274 QJB131274:QJI131274 QSX131274:QTE131274 RCT131274:RDA131274 RMP131274:RMW131274 RWL131274:RWS131274 SGH131274:SGO131274 SQD131274:SQK131274 SZZ131274:TAG131274 TJV131274:TKC131274 TTR131274:TTY131274 UDN131274:UDU131274 UNJ131274:UNQ131274 UXF131274:UXM131274 VHB131274:VHI131274 VQX131274:VRE131274 WAT131274:WBA131274 WKP131274:WKW131274 WUL131274:WUS131274 SGH50:SGO50 HZ196810:IG196810 RV196810:SC196810 ABR196810:ABY196810 ALN196810:ALU196810 AVJ196810:AVQ196810 BFF196810:BFM196810 BPB196810:BPI196810 BYX196810:BZE196810 CIT196810:CJA196810 CSP196810:CSW196810 DCL196810:DCS196810 DMH196810:DMO196810 DWD196810:DWK196810 EFZ196810:EGG196810 EPV196810:EQC196810 EZR196810:EZY196810 FJN196810:FJU196810 FTJ196810:FTQ196810 GDF196810:GDM196810 GNB196810:GNI196810 GWX196810:GXE196810 HGT196810:HHA196810 HQP196810:HQW196810 IAL196810:IAS196810 IKH196810:IKO196810 IUD196810:IUK196810 JDZ196810:JEG196810 JNV196810:JOC196810 JXR196810:JXY196810 KHN196810:KHU196810 KRJ196810:KRQ196810 LBF196810:LBM196810 LLB196810:LLI196810 LUX196810:LVE196810 MET196810:MFA196810 MOP196810:MOW196810 MYL196810:MYS196810 NIH196810:NIO196810 NSD196810:NSK196810 OBZ196810:OCG196810 OLV196810:OMC196810 OVR196810:OVY196810 PFN196810:PFU196810 PPJ196810:PPQ196810 PZF196810:PZM196810 QJB196810:QJI196810 QSX196810:QTE196810 RCT196810:RDA196810 RMP196810:RMW196810 RWL196810:RWS196810 SGH196810:SGO196810 SQD196810:SQK196810 SZZ196810:TAG196810 TJV196810:TKC196810 TTR196810:TTY196810 UDN196810:UDU196810 UNJ196810:UNQ196810 UXF196810:UXM196810 VHB196810:VHI196810 VQX196810:VRE196810 WAT196810:WBA196810 WKP196810:WKW196810 WUL196810:WUS196810 SQD50:SQK50 HZ262346:IG262346 RV262346:SC262346 ABR262346:ABY262346 ALN262346:ALU262346 AVJ262346:AVQ262346 BFF262346:BFM262346 BPB262346:BPI262346 BYX262346:BZE262346 CIT262346:CJA262346 CSP262346:CSW262346 DCL262346:DCS262346 DMH262346:DMO262346 DWD262346:DWK262346 EFZ262346:EGG262346 EPV262346:EQC262346 EZR262346:EZY262346 FJN262346:FJU262346 FTJ262346:FTQ262346 GDF262346:GDM262346 GNB262346:GNI262346 GWX262346:GXE262346 HGT262346:HHA262346 HQP262346:HQW262346 IAL262346:IAS262346 IKH262346:IKO262346 IUD262346:IUK262346 JDZ262346:JEG262346 JNV262346:JOC262346 JXR262346:JXY262346 KHN262346:KHU262346 KRJ262346:KRQ262346 LBF262346:LBM262346 LLB262346:LLI262346 LUX262346:LVE262346 MET262346:MFA262346 MOP262346:MOW262346 MYL262346:MYS262346 NIH262346:NIO262346 NSD262346:NSK262346 OBZ262346:OCG262346 OLV262346:OMC262346 OVR262346:OVY262346 PFN262346:PFU262346 PPJ262346:PPQ262346 PZF262346:PZM262346 QJB262346:QJI262346 QSX262346:QTE262346 RCT262346:RDA262346 RMP262346:RMW262346 RWL262346:RWS262346 SGH262346:SGO262346 SQD262346:SQK262346 SZZ262346:TAG262346 TJV262346:TKC262346 TTR262346:TTY262346 UDN262346:UDU262346 UNJ262346:UNQ262346 UXF262346:UXM262346 VHB262346:VHI262346 VQX262346:VRE262346 WAT262346:WBA262346 WKP262346:WKW262346 WUL262346:WUS262346 SZZ50:TAG50 HZ327882:IG327882 RV327882:SC327882 ABR327882:ABY327882 ALN327882:ALU327882 AVJ327882:AVQ327882 BFF327882:BFM327882 BPB327882:BPI327882 BYX327882:BZE327882 CIT327882:CJA327882 CSP327882:CSW327882 DCL327882:DCS327882 DMH327882:DMO327882 DWD327882:DWK327882 EFZ327882:EGG327882 EPV327882:EQC327882 EZR327882:EZY327882 FJN327882:FJU327882 FTJ327882:FTQ327882 GDF327882:GDM327882 GNB327882:GNI327882 GWX327882:GXE327882 HGT327882:HHA327882 HQP327882:HQW327882 IAL327882:IAS327882 IKH327882:IKO327882 IUD327882:IUK327882 JDZ327882:JEG327882 JNV327882:JOC327882 JXR327882:JXY327882 KHN327882:KHU327882 KRJ327882:KRQ327882 LBF327882:LBM327882 LLB327882:LLI327882 LUX327882:LVE327882 MET327882:MFA327882 MOP327882:MOW327882 MYL327882:MYS327882 NIH327882:NIO327882 NSD327882:NSK327882 OBZ327882:OCG327882 OLV327882:OMC327882 OVR327882:OVY327882 PFN327882:PFU327882 PPJ327882:PPQ327882 PZF327882:PZM327882 QJB327882:QJI327882 QSX327882:QTE327882 RCT327882:RDA327882 RMP327882:RMW327882 RWL327882:RWS327882 SGH327882:SGO327882 SQD327882:SQK327882 SZZ327882:TAG327882 TJV327882:TKC327882 TTR327882:TTY327882 UDN327882:UDU327882 UNJ327882:UNQ327882 UXF327882:UXM327882 VHB327882:VHI327882 VQX327882:VRE327882 WAT327882:WBA327882 WKP327882:WKW327882 WUL327882:WUS327882 TJV50:TKC50 HZ393418:IG393418 RV393418:SC393418 ABR393418:ABY393418 ALN393418:ALU393418 AVJ393418:AVQ393418 BFF393418:BFM393418 BPB393418:BPI393418 BYX393418:BZE393418 CIT393418:CJA393418 CSP393418:CSW393418 DCL393418:DCS393418 DMH393418:DMO393418 DWD393418:DWK393418 EFZ393418:EGG393418 EPV393418:EQC393418 EZR393418:EZY393418 FJN393418:FJU393418 FTJ393418:FTQ393418 GDF393418:GDM393418 GNB393418:GNI393418 GWX393418:GXE393418 HGT393418:HHA393418 HQP393418:HQW393418 IAL393418:IAS393418 IKH393418:IKO393418 IUD393418:IUK393418 JDZ393418:JEG393418 JNV393418:JOC393418 JXR393418:JXY393418 KHN393418:KHU393418 KRJ393418:KRQ393418 LBF393418:LBM393418 LLB393418:LLI393418 LUX393418:LVE393418 MET393418:MFA393418 MOP393418:MOW393418 MYL393418:MYS393418 NIH393418:NIO393418 NSD393418:NSK393418 OBZ393418:OCG393418 OLV393418:OMC393418 OVR393418:OVY393418 PFN393418:PFU393418 PPJ393418:PPQ393418 PZF393418:PZM393418 QJB393418:QJI393418 QSX393418:QTE393418 RCT393418:RDA393418 RMP393418:RMW393418 RWL393418:RWS393418 SGH393418:SGO393418 SQD393418:SQK393418 SZZ393418:TAG393418 TJV393418:TKC393418 TTR393418:TTY393418 UDN393418:UDU393418 UNJ393418:UNQ393418 UXF393418:UXM393418 VHB393418:VHI393418 VQX393418:VRE393418 WAT393418:WBA393418 WKP393418:WKW393418 WUL393418:WUS393418 TTR50:TTY50 HZ458954:IG458954 RV458954:SC458954 ABR458954:ABY458954 ALN458954:ALU458954 AVJ458954:AVQ458954 BFF458954:BFM458954 BPB458954:BPI458954 BYX458954:BZE458954 CIT458954:CJA458954 CSP458954:CSW458954 DCL458954:DCS458954 DMH458954:DMO458954 DWD458954:DWK458954 EFZ458954:EGG458954 EPV458954:EQC458954 EZR458954:EZY458954 FJN458954:FJU458954 FTJ458954:FTQ458954 GDF458954:GDM458954 GNB458954:GNI458954 GWX458954:GXE458954 HGT458954:HHA458954 HQP458954:HQW458954 IAL458954:IAS458954 IKH458954:IKO458954 IUD458954:IUK458954 JDZ458954:JEG458954 JNV458954:JOC458954 JXR458954:JXY458954 KHN458954:KHU458954 KRJ458954:KRQ458954 LBF458954:LBM458954 LLB458954:LLI458954 LUX458954:LVE458954 MET458954:MFA458954 MOP458954:MOW458954 MYL458954:MYS458954 NIH458954:NIO458954 NSD458954:NSK458954 OBZ458954:OCG458954 OLV458954:OMC458954 OVR458954:OVY458954 PFN458954:PFU458954 PPJ458954:PPQ458954 PZF458954:PZM458954 QJB458954:QJI458954 QSX458954:QTE458954 RCT458954:RDA458954 RMP458954:RMW458954 RWL458954:RWS458954 SGH458954:SGO458954 SQD458954:SQK458954 SZZ458954:TAG458954 TJV458954:TKC458954 TTR458954:TTY458954 UDN458954:UDU458954 UNJ458954:UNQ458954 UXF458954:UXM458954 VHB458954:VHI458954 VQX458954:VRE458954 WAT458954:WBA458954 WKP458954:WKW458954 WUL458954:WUS458954 UDN50:UDU50 HZ524490:IG524490 RV524490:SC524490 ABR524490:ABY524490 ALN524490:ALU524490 AVJ524490:AVQ524490 BFF524490:BFM524490 BPB524490:BPI524490 BYX524490:BZE524490 CIT524490:CJA524490 CSP524490:CSW524490 DCL524490:DCS524490 DMH524490:DMO524490 DWD524490:DWK524490 EFZ524490:EGG524490 EPV524490:EQC524490 EZR524490:EZY524490 FJN524490:FJU524490 FTJ524490:FTQ524490 GDF524490:GDM524490 GNB524490:GNI524490 GWX524490:GXE524490 HGT524490:HHA524490 HQP524490:HQW524490 IAL524490:IAS524490 IKH524490:IKO524490 IUD524490:IUK524490 JDZ524490:JEG524490 JNV524490:JOC524490 JXR524490:JXY524490 KHN524490:KHU524490 KRJ524490:KRQ524490 LBF524490:LBM524490 LLB524490:LLI524490 LUX524490:LVE524490 MET524490:MFA524490 MOP524490:MOW524490 MYL524490:MYS524490 NIH524490:NIO524490 NSD524490:NSK524490 OBZ524490:OCG524490 OLV524490:OMC524490 OVR524490:OVY524490 PFN524490:PFU524490 PPJ524490:PPQ524490 PZF524490:PZM524490 QJB524490:QJI524490 QSX524490:QTE524490 RCT524490:RDA524490 RMP524490:RMW524490 RWL524490:RWS524490 SGH524490:SGO524490 SQD524490:SQK524490 SZZ524490:TAG524490 TJV524490:TKC524490 TTR524490:TTY524490 UDN524490:UDU524490 UNJ524490:UNQ524490 UXF524490:UXM524490 VHB524490:VHI524490 VQX524490:VRE524490 WAT524490:WBA524490 WKP524490:WKW524490 WUL524490:WUS524490 UNJ50:UNQ50 HZ590026:IG590026 RV590026:SC590026 ABR590026:ABY590026 ALN590026:ALU590026 AVJ590026:AVQ590026 BFF590026:BFM590026 BPB590026:BPI590026 BYX590026:BZE590026 CIT590026:CJA590026 CSP590026:CSW590026 DCL590026:DCS590026 DMH590026:DMO590026 DWD590026:DWK590026 EFZ590026:EGG590026 EPV590026:EQC590026 EZR590026:EZY590026 FJN590026:FJU590026 FTJ590026:FTQ590026 GDF590026:GDM590026 GNB590026:GNI590026 GWX590026:GXE590026 HGT590026:HHA590026 HQP590026:HQW590026 IAL590026:IAS590026 IKH590026:IKO590026 IUD590026:IUK590026 JDZ590026:JEG590026 JNV590026:JOC590026 JXR590026:JXY590026 KHN590026:KHU590026 KRJ590026:KRQ590026 LBF590026:LBM590026 LLB590026:LLI590026 LUX590026:LVE590026 MET590026:MFA590026 MOP590026:MOW590026 MYL590026:MYS590026 NIH590026:NIO590026 NSD590026:NSK590026 OBZ590026:OCG590026 OLV590026:OMC590026 OVR590026:OVY590026 PFN590026:PFU590026 PPJ590026:PPQ590026 PZF590026:PZM590026 QJB590026:QJI590026 QSX590026:QTE590026 RCT590026:RDA590026 RMP590026:RMW590026 RWL590026:RWS590026 SGH590026:SGO590026 SQD590026:SQK590026 SZZ590026:TAG590026 TJV590026:TKC590026 TTR590026:TTY590026 UDN590026:UDU590026 UNJ590026:UNQ590026 UXF590026:UXM590026 VHB590026:VHI590026 VQX590026:VRE590026 WAT590026:WBA590026 WKP590026:WKW590026 WUL590026:WUS590026 UXF50:UXM50 HZ655562:IG655562 RV655562:SC655562 ABR655562:ABY655562 ALN655562:ALU655562 AVJ655562:AVQ655562 BFF655562:BFM655562 BPB655562:BPI655562 BYX655562:BZE655562 CIT655562:CJA655562 CSP655562:CSW655562 DCL655562:DCS655562 DMH655562:DMO655562 DWD655562:DWK655562 EFZ655562:EGG655562 EPV655562:EQC655562 EZR655562:EZY655562 FJN655562:FJU655562 FTJ655562:FTQ655562 GDF655562:GDM655562 GNB655562:GNI655562 GWX655562:GXE655562 HGT655562:HHA655562 HQP655562:HQW655562 IAL655562:IAS655562 IKH655562:IKO655562 IUD655562:IUK655562 JDZ655562:JEG655562 JNV655562:JOC655562 JXR655562:JXY655562 KHN655562:KHU655562 KRJ655562:KRQ655562 LBF655562:LBM655562 LLB655562:LLI655562 LUX655562:LVE655562 MET655562:MFA655562 MOP655562:MOW655562 MYL655562:MYS655562 NIH655562:NIO655562 NSD655562:NSK655562 OBZ655562:OCG655562 OLV655562:OMC655562 OVR655562:OVY655562 PFN655562:PFU655562 PPJ655562:PPQ655562 PZF655562:PZM655562 QJB655562:QJI655562 QSX655562:QTE655562 RCT655562:RDA655562 RMP655562:RMW655562 RWL655562:RWS655562 SGH655562:SGO655562 SQD655562:SQK655562 SZZ655562:TAG655562 TJV655562:TKC655562 TTR655562:TTY655562 UDN655562:UDU655562 UNJ655562:UNQ655562 UXF655562:UXM655562 VHB655562:VHI655562 VQX655562:VRE655562 WAT655562:WBA655562 WKP655562:WKW655562 WUL655562:WUS655562 VHB50:VHI50 HZ721098:IG721098 RV721098:SC721098 ABR721098:ABY721098 ALN721098:ALU721098 AVJ721098:AVQ721098 BFF721098:BFM721098 BPB721098:BPI721098 BYX721098:BZE721098 CIT721098:CJA721098 CSP721098:CSW721098 DCL721098:DCS721098 DMH721098:DMO721098 DWD721098:DWK721098 EFZ721098:EGG721098 EPV721098:EQC721098 EZR721098:EZY721098 FJN721098:FJU721098 FTJ721098:FTQ721098 GDF721098:GDM721098 GNB721098:GNI721098 GWX721098:GXE721098 HGT721098:HHA721098 HQP721098:HQW721098 IAL721098:IAS721098 IKH721098:IKO721098 IUD721098:IUK721098 JDZ721098:JEG721098 JNV721098:JOC721098 JXR721098:JXY721098 KHN721098:KHU721098 KRJ721098:KRQ721098 LBF721098:LBM721098 LLB721098:LLI721098 LUX721098:LVE721098 MET721098:MFA721098 MOP721098:MOW721098 MYL721098:MYS721098 NIH721098:NIO721098 NSD721098:NSK721098 OBZ721098:OCG721098 OLV721098:OMC721098 OVR721098:OVY721098 PFN721098:PFU721098 PPJ721098:PPQ721098 PZF721098:PZM721098 QJB721098:QJI721098 QSX721098:QTE721098 RCT721098:RDA721098 RMP721098:RMW721098 RWL721098:RWS721098 SGH721098:SGO721098 SQD721098:SQK721098 SZZ721098:TAG721098 TJV721098:TKC721098 TTR721098:TTY721098 UDN721098:UDU721098 UNJ721098:UNQ721098 UXF721098:UXM721098 VHB721098:VHI721098 VQX721098:VRE721098 WAT721098:WBA721098 WKP721098:WKW721098 WUL721098:WUS721098 VQX50:VRE50 HZ786634:IG786634 RV786634:SC786634 ABR786634:ABY786634 ALN786634:ALU786634 AVJ786634:AVQ786634 BFF786634:BFM786634 BPB786634:BPI786634 BYX786634:BZE786634 CIT786634:CJA786634 CSP786634:CSW786634 DCL786634:DCS786634 DMH786634:DMO786634 DWD786634:DWK786634 EFZ786634:EGG786634 EPV786634:EQC786634 EZR786634:EZY786634 FJN786634:FJU786634 FTJ786634:FTQ786634 GDF786634:GDM786634 GNB786634:GNI786634 GWX786634:GXE786634 HGT786634:HHA786634 HQP786634:HQW786634 IAL786634:IAS786634 IKH786634:IKO786634 IUD786634:IUK786634 JDZ786634:JEG786634 JNV786634:JOC786634 JXR786634:JXY786634 KHN786634:KHU786634 KRJ786634:KRQ786634 LBF786634:LBM786634 LLB786634:LLI786634 LUX786634:LVE786634 MET786634:MFA786634 MOP786634:MOW786634 MYL786634:MYS786634 NIH786634:NIO786634 NSD786634:NSK786634 OBZ786634:OCG786634 OLV786634:OMC786634 OVR786634:OVY786634 PFN786634:PFU786634 PPJ786634:PPQ786634 PZF786634:PZM786634 QJB786634:QJI786634 QSX786634:QTE786634 RCT786634:RDA786634 RMP786634:RMW786634 RWL786634:RWS786634 SGH786634:SGO786634 SQD786634:SQK786634 SZZ786634:TAG786634 TJV786634:TKC786634 TTR786634:TTY786634 UDN786634:UDU786634 UNJ786634:UNQ786634 UXF786634:UXM786634 VHB786634:VHI786634 VQX786634:VRE786634 WAT786634:WBA786634 WKP786634:WKW786634 WUL786634:WUS786634 WAT50:WBA50 HZ852170:IG852170 RV852170:SC852170 ABR852170:ABY852170 ALN852170:ALU852170 AVJ852170:AVQ852170 BFF852170:BFM852170 BPB852170:BPI852170 BYX852170:BZE852170 CIT852170:CJA852170 CSP852170:CSW852170 DCL852170:DCS852170 DMH852170:DMO852170 DWD852170:DWK852170 EFZ852170:EGG852170 EPV852170:EQC852170 EZR852170:EZY852170 FJN852170:FJU852170 FTJ852170:FTQ852170 GDF852170:GDM852170 GNB852170:GNI852170 GWX852170:GXE852170 HGT852170:HHA852170 HQP852170:HQW852170 IAL852170:IAS852170 IKH852170:IKO852170 IUD852170:IUK852170 JDZ852170:JEG852170 JNV852170:JOC852170 JXR852170:JXY852170 KHN852170:KHU852170 KRJ852170:KRQ852170 LBF852170:LBM852170 LLB852170:LLI852170 LUX852170:LVE852170 MET852170:MFA852170 MOP852170:MOW852170 MYL852170:MYS852170 NIH852170:NIO852170 NSD852170:NSK852170 OBZ852170:OCG852170 OLV852170:OMC852170 OVR852170:OVY852170 PFN852170:PFU852170 PPJ852170:PPQ852170 PZF852170:PZM852170 QJB852170:QJI852170 QSX852170:QTE852170 RCT852170:RDA852170 RMP852170:RMW852170 RWL852170:RWS852170 SGH852170:SGO852170 SQD852170:SQK852170 SZZ852170:TAG852170 TJV852170:TKC852170 TTR852170:TTY852170 UDN852170:UDU852170 UNJ852170:UNQ852170 UXF852170:UXM852170 VHB852170:VHI852170 VQX852170:VRE852170 WAT852170:WBA852170 WKP852170:WKW852170 WUL852170:WUS852170 WKP50:WKW50 HZ917706:IG917706 RV917706:SC917706 ABR917706:ABY917706 ALN917706:ALU917706 AVJ917706:AVQ917706 BFF917706:BFM917706 BPB917706:BPI917706 BYX917706:BZE917706 CIT917706:CJA917706 CSP917706:CSW917706 DCL917706:DCS917706 DMH917706:DMO917706 DWD917706:DWK917706 EFZ917706:EGG917706 EPV917706:EQC917706 EZR917706:EZY917706 FJN917706:FJU917706 FTJ917706:FTQ917706 GDF917706:GDM917706 GNB917706:GNI917706 GWX917706:GXE917706 HGT917706:HHA917706 HQP917706:HQW917706 IAL917706:IAS917706 IKH917706:IKO917706 IUD917706:IUK917706 JDZ917706:JEG917706 JNV917706:JOC917706 JXR917706:JXY917706 KHN917706:KHU917706 KRJ917706:KRQ917706 LBF917706:LBM917706 LLB917706:LLI917706 LUX917706:LVE917706 MET917706:MFA917706 MOP917706:MOW917706 MYL917706:MYS917706 NIH917706:NIO917706 NSD917706:NSK917706 OBZ917706:OCG917706 OLV917706:OMC917706 OVR917706:OVY917706 PFN917706:PFU917706 PPJ917706:PPQ917706 PZF917706:PZM917706 QJB917706:QJI917706 QSX917706:QTE917706 RCT917706:RDA917706 RMP917706:RMW917706 RWL917706:RWS917706 SGH917706:SGO917706 SQD917706:SQK917706 SZZ917706:TAG917706 TJV917706:TKC917706 TTR917706:TTY917706 UDN917706:UDU917706 UNJ917706:UNQ917706 UXF917706:UXM917706 VHB917706:VHI917706 VQX917706:VRE917706 WAT917706:WBA917706 WKP917706:WKW917706 WUL917706:WUS917706 WUL50:WUS50 HZ983242:IG983242 RV983242:SC983242 ABR983242:ABY983242 ALN983242:ALU983242 AVJ983242:AVQ983242 BFF983242:BFM983242 BPB983242:BPI983242 BYX983242:BZE983242 CIT983242:CJA983242 CSP983242:CSW983242 DCL983242:DCS983242 DMH983242:DMO983242 DWD983242:DWK983242 EFZ983242:EGG983242 EPV983242:EQC983242 EZR983242:EZY983242 FJN983242:FJU983242 FTJ983242:FTQ983242 GDF983242:GDM983242 GNB983242:GNI983242 GWX983242:GXE983242 HGT983242:HHA983242 HQP983242:HQW983242 IAL983242:IAS983242 IKH983242:IKO983242 IUD983242:IUK983242 JDZ983242:JEG983242 JNV983242:JOC983242 JXR983242:JXY983242 KHN983242:KHU983242 KRJ983242:KRQ983242 LBF983242:LBM983242 LLB983242:LLI983242 LUX983242:LVE983242 MET983242:MFA983242 MOP983242:MOW983242 MYL983242:MYS983242 NIH983242:NIO983242 NSD983242:NSK983242 OBZ983242:OCG983242 OLV983242:OMC983242 OVR983242:OVY983242 PFN983242:PFU983242 PPJ983242:PPQ983242 PZF983242:PZM983242 QJB983242:QJI983242 QSX983242:QTE983242 RCT983242:RDA983242 RMP983242:RMW983242 RWL983242:RWS983242 SGH983242:SGO983242 SQD983242:SQK983242 SZZ983242:TAG983242 TJV983242:TKC983242 TTR983242:TTY983242 UDN983242:UDU983242 UNJ983242:UNQ983242 UXF983242:UXM983242 VHB983242:VHI983242 VQX983242:VRE983242 WAT983242:WBA983242 WKP983242:WKW983242 HZ72:IG72 RV72:SC72 ABR72:ABY72 ALN72:ALU72 AVJ72:AVQ72 BFF72:BFM72 BPB72:BPI72 BYX72:BZE72 CIT72:CJA72 CSP72:CSW72 DCL72:DCS72 DMH72:DMO72 DWD72:DWK72 EFZ72:EGG72 EPV72:EQC72 EZR72:EZY72 FJN72:FJU72 FTJ72:FTQ72 GDF72:GDM72 GNB72:GNI72 GWX72:GXE72 HGT72:HHA72 HQP72:HQW72 IAL72:IAS72 IKH72:IKO72 IUD72:IUK72 JDZ72:JEG72 JNV72:JOC72 JXR72:JXY72 KHN72:KHU72 KRJ72:KRQ72 LBF72:LBM72 LLB72:LLI72 LUX72:LVE72 MET72:MFA72 MOP72:MOW72 MYL72:MYS72 NIH72:NIO72 NSD72:NSK72 OBZ72:OCG72 OLV72:OMC72 OVR72:OVY72 PFN72:PFU72 PPJ72:PPQ72 PZF72:PZM72 QJB72:QJI72 QSX72:QTE72 RCT72:RDA72 RMP72:RMW72 RWL72:RWS72 SGH72:SGO72 SQD72:SQK72 SZZ72:TAG72 TJV72:TKC72 TTR72:TTY72 UDN72:UDU72 UNJ72:UNQ72 UXF72:UXM72 VHB72:VHI72 VQX72:VRE72 WAT72:WBA72 WKP72:WKW72 WUL72:WUS72 HZ50:IG50 RV50:SC50 ABR50:ABY50 ALN50:ALU50 AVJ50:AVQ50 BFF50:BFM50 BPB50:BPI50 BYX50:BZE50 CIT50:CJA50 CSP50:CSW50 DCL50:DCS50 DMH50:DMO50 DWD50:DWK50 EFZ50:EGG50 EPV50:EQC50 EZR50:EZY50 FJN50:FJU50 FTJ50:FTQ50 GDF50:GDM50 GNB50:GNI50 GWX50:GXE50 HGT50:HHA50 HQP50:HQW50 IAL50:IAS50 IKH50:IKO50 IUD50:IUK50 JDZ50:JEG50 JNV50:JOC50 JXR50:JXY50 KHN50:KHU50 KRJ50:KRQ50 LBF50:LBM50 LLB50:LLI50 LUX50:LVE50 MET50:MFA50 MOP50:MOW50 MYL50:MYS50 NIH50:NIO50 NSD50:NSK50 OBZ50:OCG50 OLV50:OMC50 OVR50:OVY50 PFN50:PFU50 PPJ50:PPQ50 PZF50:PZM50 QJB50:QJI50 QSX50:QTE50 RCT50:RDA50 H131274 H196810 H262346 H327882 H393418 H458954 H524490 H590026 H655562 H721098 H786634 H852170 H917706 H983242 H65738" xr:uid="{00000000-0002-0000-0300-000002000000}">
      <formula1>"積上げ,積上げ・率処理併用"</formula1>
    </dataValidation>
    <dataValidation type="list" allowBlank="1" showInputMessage="1" showErrorMessage="1" sqref="WUL983243:WUS983243 RV22:SC22 ABR22:ABY22 ALN22:ALU22 AVJ22:AVQ22 BFF22:BFM22 BPB22:BPI22 BYX22:BZE22 CIT22:CJA22 CSP22:CSW22 DCL22:DCS22 DMH22:DMO22 DWD22:DWK22 EFZ22:EGG22 EPV22:EQC22 EZR22:EZY22 FJN22:FJU22 FTJ22:FTQ22 GDF22:GDM22 GNB22:GNI22 GWX22:GXE22 HGT22:HHA22 HQP22:HQW22 IAL22:IAS22 IKH22:IKO22 IUD22:IUK22 JDZ22:JEG22 JNV22:JOC22 JXR22:JXY22 KHN22:KHU22 KRJ22:KRQ22 LBF22:LBM22 LLB22:LLI22 LUX22:LVE22 MET22:MFA22 MOP22:MOW22 MYL22:MYS22 NIH22:NIO22 NSD22:NSK22 OBZ22:OCG22 OLV22:OMC22 OVR22:OVY22 PFN22:PFU22 PPJ22:PPQ22 PZF22:PZM22 QJB22:QJI22 QSX22:QTE22 RCT22:RDA22 RMP22:RMW22 RWL22:RWS22 SGH22:SGO22 SQD22:SQK22 SZZ22:TAG22 TJV22:TKC22 TTR22:TTY22 UDN22:UDU22 UNJ22:UNQ22 UXF22:UXM22 VHB22:VHI22 VQX22:VRE22 WAT22:WBA22 WKP22:WKW22 WUL22:WUS22 WKP983243:WKW983243 RWL51:RWS51 HZ65739:IG65739 RV65739:SC65739 ABR65739:ABY65739 ALN65739:ALU65739 AVJ65739:AVQ65739 BFF65739:BFM65739 BPB65739:BPI65739 BYX65739:BZE65739 CIT65739:CJA65739 CSP65739:CSW65739 DCL65739:DCS65739 DMH65739:DMO65739 DWD65739:DWK65739 EFZ65739:EGG65739 EPV65739:EQC65739 EZR65739:EZY65739 FJN65739:FJU65739 FTJ65739:FTQ65739 GDF65739:GDM65739 GNB65739:GNI65739 GWX65739:GXE65739 HGT65739:HHA65739 HQP65739:HQW65739 IAL65739:IAS65739 IKH65739:IKO65739 IUD65739:IUK65739 JDZ65739:JEG65739 JNV65739:JOC65739 JXR65739:JXY65739 KHN65739:KHU65739 KRJ65739:KRQ65739 LBF65739:LBM65739 LLB65739:LLI65739 LUX65739:LVE65739 MET65739:MFA65739 MOP65739:MOW65739 MYL65739:MYS65739 NIH65739:NIO65739 NSD65739:NSK65739 OBZ65739:OCG65739 OLV65739:OMC65739 OVR65739:OVY65739 PFN65739:PFU65739 PPJ65739:PPQ65739 PZF65739:PZM65739 QJB65739:QJI65739 QSX65739:QTE65739 RCT65739:RDA65739 RMP65739:RMW65739 RWL65739:RWS65739 SGH65739:SGO65739 SQD65739:SQK65739 SZZ65739:TAG65739 TJV65739:TKC65739 TTR65739:TTY65739 UDN65739:UDU65739 UNJ65739:UNQ65739 UXF65739:UXM65739 VHB65739:VHI65739 VQX65739:VRE65739 WAT65739:WBA65739 WKP65739:WKW65739 WUL65739:WUS65739 SGH51:SGO51 HZ131275:IG131275 RV131275:SC131275 ABR131275:ABY131275 ALN131275:ALU131275 AVJ131275:AVQ131275 BFF131275:BFM131275 BPB131275:BPI131275 BYX131275:BZE131275 CIT131275:CJA131275 CSP131275:CSW131275 DCL131275:DCS131275 DMH131275:DMO131275 DWD131275:DWK131275 EFZ131275:EGG131275 EPV131275:EQC131275 EZR131275:EZY131275 FJN131275:FJU131275 FTJ131275:FTQ131275 GDF131275:GDM131275 GNB131275:GNI131275 GWX131275:GXE131275 HGT131275:HHA131275 HQP131275:HQW131275 IAL131275:IAS131275 IKH131275:IKO131275 IUD131275:IUK131275 JDZ131275:JEG131275 JNV131275:JOC131275 JXR131275:JXY131275 KHN131275:KHU131275 KRJ131275:KRQ131275 LBF131275:LBM131275 LLB131275:LLI131275 LUX131275:LVE131275 MET131275:MFA131275 MOP131275:MOW131275 MYL131275:MYS131275 NIH131275:NIO131275 NSD131275:NSK131275 OBZ131275:OCG131275 OLV131275:OMC131275 OVR131275:OVY131275 PFN131275:PFU131275 PPJ131275:PPQ131275 PZF131275:PZM131275 QJB131275:QJI131275 QSX131275:QTE131275 RCT131275:RDA131275 RMP131275:RMW131275 RWL131275:RWS131275 SGH131275:SGO131275 SQD131275:SQK131275 SZZ131275:TAG131275 TJV131275:TKC131275 TTR131275:TTY131275 UDN131275:UDU131275 UNJ131275:UNQ131275 UXF131275:UXM131275 VHB131275:VHI131275 VQX131275:VRE131275 WAT131275:WBA131275 WKP131275:WKW131275 WUL131275:WUS131275 SQD51:SQK51 HZ196811:IG196811 RV196811:SC196811 ABR196811:ABY196811 ALN196811:ALU196811 AVJ196811:AVQ196811 BFF196811:BFM196811 BPB196811:BPI196811 BYX196811:BZE196811 CIT196811:CJA196811 CSP196811:CSW196811 DCL196811:DCS196811 DMH196811:DMO196811 DWD196811:DWK196811 EFZ196811:EGG196811 EPV196811:EQC196811 EZR196811:EZY196811 FJN196811:FJU196811 FTJ196811:FTQ196811 GDF196811:GDM196811 GNB196811:GNI196811 GWX196811:GXE196811 HGT196811:HHA196811 HQP196811:HQW196811 IAL196811:IAS196811 IKH196811:IKO196811 IUD196811:IUK196811 JDZ196811:JEG196811 JNV196811:JOC196811 JXR196811:JXY196811 KHN196811:KHU196811 KRJ196811:KRQ196811 LBF196811:LBM196811 LLB196811:LLI196811 LUX196811:LVE196811 MET196811:MFA196811 MOP196811:MOW196811 MYL196811:MYS196811 NIH196811:NIO196811 NSD196811:NSK196811 OBZ196811:OCG196811 OLV196811:OMC196811 OVR196811:OVY196811 PFN196811:PFU196811 PPJ196811:PPQ196811 PZF196811:PZM196811 QJB196811:QJI196811 QSX196811:QTE196811 RCT196811:RDA196811 RMP196811:RMW196811 RWL196811:RWS196811 SGH196811:SGO196811 SQD196811:SQK196811 SZZ196811:TAG196811 TJV196811:TKC196811 TTR196811:TTY196811 UDN196811:UDU196811 UNJ196811:UNQ196811 UXF196811:UXM196811 VHB196811:VHI196811 VQX196811:VRE196811 WAT196811:WBA196811 WKP196811:WKW196811 WUL196811:WUS196811 SZZ51:TAG51 HZ262347:IG262347 RV262347:SC262347 ABR262347:ABY262347 ALN262347:ALU262347 AVJ262347:AVQ262347 BFF262347:BFM262347 BPB262347:BPI262347 BYX262347:BZE262347 CIT262347:CJA262347 CSP262347:CSW262347 DCL262347:DCS262347 DMH262347:DMO262347 DWD262347:DWK262347 EFZ262347:EGG262347 EPV262347:EQC262347 EZR262347:EZY262347 FJN262347:FJU262347 FTJ262347:FTQ262347 GDF262347:GDM262347 GNB262347:GNI262347 GWX262347:GXE262347 HGT262347:HHA262347 HQP262347:HQW262347 IAL262347:IAS262347 IKH262347:IKO262347 IUD262347:IUK262347 JDZ262347:JEG262347 JNV262347:JOC262347 JXR262347:JXY262347 KHN262347:KHU262347 KRJ262347:KRQ262347 LBF262347:LBM262347 LLB262347:LLI262347 LUX262347:LVE262347 MET262347:MFA262347 MOP262347:MOW262347 MYL262347:MYS262347 NIH262347:NIO262347 NSD262347:NSK262347 OBZ262347:OCG262347 OLV262347:OMC262347 OVR262347:OVY262347 PFN262347:PFU262347 PPJ262347:PPQ262347 PZF262347:PZM262347 QJB262347:QJI262347 QSX262347:QTE262347 RCT262347:RDA262347 RMP262347:RMW262347 RWL262347:RWS262347 SGH262347:SGO262347 SQD262347:SQK262347 SZZ262347:TAG262347 TJV262347:TKC262347 TTR262347:TTY262347 UDN262347:UDU262347 UNJ262347:UNQ262347 UXF262347:UXM262347 VHB262347:VHI262347 VQX262347:VRE262347 WAT262347:WBA262347 WKP262347:WKW262347 WUL262347:WUS262347 TJV51:TKC51 HZ327883:IG327883 RV327883:SC327883 ABR327883:ABY327883 ALN327883:ALU327883 AVJ327883:AVQ327883 BFF327883:BFM327883 BPB327883:BPI327883 BYX327883:BZE327883 CIT327883:CJA327883 CSP327883:CSW327883 DCL327883:DCS327883 DMH327883:DMO327883 DWD327883:DWK327883 EFZ327883:EGG327883 EPV327883:EQC327883 EZR327883:EZY327883 FJN327883:FJU327883 FTJ327883:FTQ327883 GDF327883:GDM327883 GNB327883:GNI327883 GWX327883:GXE327883 HGT327883:HHA327883 HQP327883:HQW327883 IAL327883:IAS327883 IKH327883:IKO327883 IUD327883:IUK327883 JDZ327883:JEG327883 JNV327883:JOC327883 JXR327883:JXY327883 KHN327883:KHU327883 KRJ327883:KRQ327883 LBF327883:LBM327883 LLB327883:LLI327883 LUX327883:LVE327883 MET327883:MFA327883 MOP327883:MOW327883 MYL327883:MYS327883 NIH327883:NIO327883 NSD327883:NSK327883 OBZ327883:OCG327883 OLV327883:OMC327883 OVR327883:OVY327883 PFN327883:PFU327883 PPJ327883:PPQ327883 PZF327883:PZM327883 QJB327883:QJI327883 QSX327883:QTE327883 RCT327883:RDA327883 RMP327883:RMW327883 RWL327883:RWS327883 SGH327883:SGO327883 SQD327883:SQK327883 SZZ327883:TAG327883 TJV327883:TKC327883 TTR327883:TTY327883 UDN327883:UDU327883 UNJ327883:UNQ327883 UXF327883:UXM327883 VHB327883:VHI327883 VQX327883:VRE327883 WAT327883:WBA327883 WKP327883:WKW327883 WUL327883:WUS327883 TTR51:TTY51 HZ393419:IG393419 RV393419:SC393419 ABR393419:ABY393419 ALN393419:ALU393419 AVJ393419:AVQ393419 BFF393419:BFM393419 BPB393419:BPI393419 BYX393419:BZE393419 CIT393419:CJA393419 CSP393419:CSW393419 DCL393419:DCS393419 DMH393419:DMO393419 DWD393419:DWK393419 EFZ393419:EGG393419 EPV393419:EQC393419 EZR393419:EZY393419 FJN393419:FJU393419 FTJ393419:FTQ393419 GDF393419:GDM393419 GNB393419:GNI393419 GWX393419:GXE393419 HGT393419:HHA393419 HQP393419:HQW393419 IAL393419:IAS393419 IKH393419:IKO393419 IUD393419:IUK393419 JDZ393419:JEG393419 JNV393419:JOC393419 JXR393419:JXY393419 KHN393419:KHU393419 KRJ393419:KRQ393419 LBF393419:LBM393419 LLB393419:LLI393419 LUX393419:LVE393419 MET393419:MFA393419 MOP393419:MOW393419 MYL393419:MYS393419 NIH393419:NIO393419 NSD393419:NSK393419 OBZ393419:OCG393419 OLV393419:OMC393419 OVR393419:OVY393419 PFN393419:PFU393419 PPJ393419:PPQ393419 PZF393419:PZM393419 QJB393419:QJI393419 QSX393419:QTE393419 RCT393419:RDA393419 RMP393419:RMW393419 RWL393419:RWS393419 SGH393419:SGO393419 SQD393419:SQK393419 SZZ393419:TAG393419 TJV393419:TKC393419 TTR393419:TTY393419 UDN393419:UDU393419 UNJ393419:UNQ393419 UXF393419:UXM393419 VHB393419:VHI393419 VQX393419:VRE393419 WAT393419:WBA393419 WKP393419:WKW393419 WUL393419:WUS393419 UDN51:UDU51 HZ458955:IG458955 RV458955:SC458955 ABR458955:ABY458955 ALN458955:ALU458955 AVJ458955:AVQ458955 BFF458955:BFM458955 BPB458955:BPI458955 BYX458955:BZE458955 CIT458955:CJA458955 CSP458955:CSW458955 DCL458955:DCS458955 DMH458955:DMO458955 DWD458955:DWK458955 EFZ458955:EGG458955 EPV458955:EQC458955 EZR458955:EZY458955 FJN458955:FJU458955 FTJ458955:FTQ458955 GDF458955:GDM458955 GNB458955:GNI458955 GWX458955:GXE458955 HGT458955:HHA458955 HQP458955:HQW458955 IAL458955:IAS458955 IKH458955:IKO458955 IUD458955:IUK458955 JDZ458955:JEG458955 JNV458955:JOC458955 JXR458955:JXY458955 KHN458955:KHU458955 KRJ458955:KRQ458955 LBF458955:LBM458955 LLB458955:LLI458955 LUX458955:LVE458955 MET458955:MFA458955 MOP458955:MOW458955 MYL458955:MYS458955 NIH458955:NIO458955 NSD458955:NSK458955 OBZ458955:OCG458955 OLV458955:OMC458955 OVR458955:OVY458955 PFN458955:PFU458955 PPJ458955:PPQ458955 PZF458955:PZM458955 QJB458955:QJI458955 QSX458955:QTE458955 RCT458955:RDA458955 RMP458955:RMW458955 RWL458955:RWS458955 SGH458955:SGO458955 SQD458955:SQK458955 SZZ458955:TAG458955 TJV458955:TKC458955 TTR458955:TTY458955 UDN458955:UDU458955 UNJ458955:UNQ458955 UXF458955:UXM458955 VHB458955:VHI458955 VQX458955:VRE458955 WAT458955:WBA458955 WKP458955:WKW458955 WUL458955:WUS458955 UNJ51:UNQ51 HZ524491:IG524491 RV524491:SC524491 ABR524491:ABY524491 ALN524491:ALU524491 AVJ524491:AVQ524491 BFF524491:BFM524491 BPB524491:BPI524491 BYX524491:BZE524491 CIT524491:CJA524491 CSP524491:CSW524491 DCL524491:DCS524491 DMH524491:DMO524491 DWD524491:DWK524491 EFZ524491:EGG524491 EPV524491:EQC524491 EZR524491:EZY524491 FJN524491:FJU524491 FTJ524491:FTQ524491 GDF524491:GDM524491 GNB524491:GNI524491 GWX524491:GXE524491 HGT524491:HHA524491 HQP524491:HQW524491 IAL524491:IAS524491 IKH524491:IKO524491 IUD524491:IUK524491 JDZ524491:JEG524491 JNV524491:JOC524491 JXR524491:JXY524491 KHN524491:KHU524491 KRJ524491:KRQ524491 LBF524491:LBM524491 LLB524491:LLI524491 LUX524491:LVE524491 MET524491:MFA524491 MOP524491:MOW524491 MYL524491:MYS524491 NIH524491:NIO524491 NSD524491:NSK524491 OBZ524491:OCG524491 OLV524491:OMC524491 OVR524491:OVY524491 PFN524491:PFU524491 PPJ524491:PPQ524491 PZF524491:PZM524491 QJB524491:QJI524491 QSX524491:QTE524491 RCT524491:RDA524491 RMP524491:RMW524491 RWL524491:RWS524491 SGH524491:SGO524491 SQD524491:SQK524491 SZZ524491:TAG524491 TJV524491:TKC524491 TTR524491:TTY524491 UDN524491:UDU524491 UNJ524491:UNQ524491 UXF524491:UXM524491 VHB524491:VHI524491 VQX524491:VRE524491 WAT524491:WBA524491 WKP524491:WKW524491 WUL524491:WUS524491 UXF51:UXM51 HZ590027:IG590027 RV590027:SC590027 ABR590027:ABY590027 ALN590027:ALU590027 AVJ590027:AVQ590027 BFF590027:BFM590027 BPB590027:BPI590027 BYX590027:BZE590027 CIT590027:CJA590027 CSP590027:CSW590027 DCL590027:DCS590027 DMH590027:DMO590027 DWD590027:DWK590027 EFZ590027:EGG590027 EPV590027:EQC590027 EZR590027:EZY590027 FJN590027:FJU590027 FTJ590027:FTQ590027 GDF590027:GDM590027 GNB590027:GNI590027 GWX590027:GXE590027 HGT590027:HHA590027 HQP590027:HQW590027 IAL590027:IAS590027 IKH590027:IKO590027 IUD590027:IUK590027 JDZ590027:JEG590027 JNV590027:JOC590027 JXR590027:JXY590027 KHN590027:KHU590027 KRJ590027:KRQ590027 LBF590027:LBM590027 LLB590027:LLI590027 LUX590027:LVE590027 MET590027:MFA590027 MOP590027:MOW590027 MYL590027:MYS590027 NIH590027:NIO590027 NSD590027:NSK590027 OBZ590027:OCG590027 OLV590027:OMC590027 OVR590027:OVY590027 PFN590027:PFU590027 PPJ590027:PPQ590027 PZF590027:PZM590027 QJB590027:QJI590027 QSX590027:QTE590027 RCT590027:RDA590027 RMP590027:RMW590027 RWL590027:RWS590027 SGH590027:SGO590027 SQD590027:SQK590027 SZZ590027:TAG590027 TJV590027:TKC590027 TTR590027:TTY590027 UDN590027:UDU590027 UNJ590027:UNQ590027 UXF590027:UXM590027 VHB590027:VHI590027 VQX590027:VRE590027 WAT590027:WBA590027 WKP590027:WKW590027 WUL590027:WUS590027 VHB51:VHI51 HZ655563:IG655563 RV655563:SC655563 ABR655563:ABY655563 ALN655563:ALU655563 AVJ655563:AVQ655563 BFF655563:BFM655563 BPB655563:BPI655563 BYX655563:BZE655563 CIT655563:CJA655563 CSP655563:CSW655563 DCL655563:DCS655563 DMH655563:DMO655563 DWD655563:DWK655563 EFZ655563:EGG655563 EPV655563:EQC655563 EZR655563:EZY655563 FJN655563:FJU655563 FTJ655563:FTQ655563 GDF655563:GDM655563 GNB655563:GNI655563 GWX655563:GXE655563 HGT655563:HHA655563 HQP655563:HQW655563 IAL655563:IAS655563 IKH655563:IKO655563 IUD655563:IUK655563 JDZ655563:JEG655563 JNV655563:JOC655563 JXR655563:JXY655563 KHN655563:KHU655563 KRJ655563:KRQ655563 LBF655563:LBM655563 LLB655563:LLI655563 LUX655563:LVE655563 MET655563:MFA655563 MOP655563:MOW655563 MYL655563:MYS655563 NIH655563:NIO655563 NSD655563:NSK655563 OBZ655563:OCG655563 OLV655563:OMC655563 OVR655563:OVY655563 PFN655563:PFU655563 PPJ655563:PPQ655563 PZF655563:PZM655563 QJB655563:QJI655563 QSX655563:QTE655563 RCT655563:RDA655563 RMP655563:RMW655563 RWL655563:RWS655563 SGH655563:SGO655563 SQD655563:SQK655563 SZZ655563:TAG655563 TJV655563:TKC655563 TTR655563:TTY655563 UDN655563:UDU655563 UNJ655563:UNQ655563 UXF655563:UXM655563 VHB655563:VHI655563 VQX655563:VRE655563 WAT655563:WBA655563 WKP655563:WKW655563 WUL655563:WUS655563 VQX51:VRE51 HZ721099:IG721099 RV721099:SC721099 ABR721099:ABY721099 ALN721099:ALU721099 AVJ721099:AVQ721099 BFF721099:BFM721099 BPB721099:BPI721099 BYX721099:BZE721099 CIT721099:CJA721099 CSP721099:CSW721099 DCL721099:DCS721099 DMH721099:DMO721099 DWD721099:DWK721099 EFZ721099:EGG721099 EPV721099:EQC721099 EZR721099:EZY721099 FJN721099:FJU721099 FTJ721099:FTQ721099 GDF721099:GDM721099 GNB721099:GNI721099 GWX721099:GXE721099 HGT721099:HHA721099 HQP721099:HQW721099 IAL721099:IAS721099 IKH721099:IKO721099 IUD721099:IUK721099 JDZ721099:JEG721099 JNV721099:JOC721099 JXR721099:JXY721099 KHN721099:KHU721099 KRJ721099:KRQ721099 LBF721099:LBM721099 LLB721099:LLI721099 LUX721099:LVE721099 MET721099:MFA721099 MOP721099:MOW721099 MYL721099:MYS721099 NIH721099:NIO721099 NSD721099:NSK721099 OBZ721099:OCG721099 OLV721099:OMC721099 OVR721099:OVY721099 PFN721099:PFU721099 PPJ721099:PPQ721099 PZF721099:PZM721099 QJB721099:QJI721099 QSX721099:QTE721099 RCT721099:RDA721099 RMP721099:RMW721099 RWL721099:RWS721099 SGH721099:SGO721099 SQD721099:SQK721099 SZZ721099:TAG721099 TJV721099:TKC721099 TTR721099:TTY721099 UDN721099:UDU721099 UNJ721099:UNQ721099 UXF721099:UXM721099 VHB721099:VHI721099 VQX721099:VRE721099 WAT721099:WBA721099 WKP721099:WKW721099 WUL721099:WUS721099 WAT51:WBA51 HZ786635:IG786635 RV786635:SC786635 ABR786635:ABY786635 ALN786635:ALU786635 AVJ786635:AVQ786635 BFF786635:BFM786635 BPB786635:BPI786635 BYX786635:BZE786635 CIT786635:CJA786635 CSP786635:CSW786635 DCL786635:DCS786635 DMH786635:DMO786635 DWD786635:DWK786635 EFZ786635:EGG786635 EPV786635:EQC786635 EZR786635:EZY786635 FJN786635:FJU786635 FTJ786635:FTQ786635 GDF786635:GDM786635 GNB786635:GNI786635 GWX786635:GXE786635 HGT786635:HHA786635 HQP786635:HQW786635 IAL786635:IAS786635 IKH786635:IKO786635 IUD786635:IUK786635 JDZ786635:JEG786635 JNV786635:JOC786635 JXR786635:JXY786635 KHN786635:KHU786635 KRJ786635:KRQ786635 LBF786635:LBM786635 LLB786635:LLI786635 LUX786635:LVE786635 MET786635:MFA786635 MOP786635:MOW786635 MYL786635:MYS786635 NIH786635:NIO786635 NSD786635:NSK786635 OBZ786635:OCG786635 OLV786635:OMC786635 OVR786635:OVY786635 PFN786635:PFU786635 PPJ786635:PPQ786635 PZF786635:PZM786635 QJB786635:QJI786635 QSX786635:QTE786635 RCT786635:RDA786635 RMP786635:RMW786635 RWL786635:RWS786635 SGH786635:SGO786635 SQD786635:SQK786635 SZZ786635:TAG786635 TJV786635:TKC786635 TTR786635:TTY786635 UDN786635:UDU786635 UNJ786635:UNQ786635 UXF786635:UXM786635 VHB786635:VHI786635 VQX786635:VRE786635 WAT786635:WBA786635 WKP786635:WKW786635 WUL786635:WUS786635 WKP51:WKW51 HZ852171:IG852171 RV852171:SC852171 ABR852171:ABY852171 ALN852171:ALU852171 AVJ852171:AVQ852171 BFF852171:BFM852171 BPB852171:BPI852171 BYX852171:BZE852171 CIT852171:CJA852171 CSP852171:CSW852171 DCL852171:DCS852171 DMH852171:DMO852171 DWD852171:DWK852171 EFZ852171:EGG852171 EPV852171:EQC852171 EZR852171:EZY852171 FJN852171:FJU852171 FTJ852171:FTQ852171 GDF852171:GDM852171 GNB852171:GNI852171 GWX852171:GXE852171 HGT852171:HHA852171 HQP852171:HQW852171 IAL852171:IAS852171 IKH852171:IKO852171 IUD852171:IUK852171 JDZ852171:JEG852171 JNV852171:JOC852171 JXR852171:JXY852171 KHN852171:KHU852171 KRJ852171:KRQ852171 LBF852171:LBM852171 LLB852171:LLI852171 LUX852171:LVE852171 MET852171:MFA852171 MOP852171:MOW852171 MYL852171:MYS852171 NIH852171:NIO852171 NSD852171:NSK852171 OBZ852171:OCG852171 OLV852171:OMC852171 OVR852171:OVY852171 PFN852171:PFU852171 PPJ852171:PPQ852171 PZF852171:PZM852171 QJB852171:QJI852171 QSX852171:QTE852171 RCT852171:RDA852171 RMP852171:RMW852171 RWL852171:RWS852171 SGH852171:SGO852171 SQD852171:SQK852171 SZZ852171:TAG852171 TJV852171:TKC852171 TTR852171:TTY852171 UDN852171:UDU852171 UNJ852171:UNQ852171 UXF852171:UXM852171 VHB852171:VHI852171 VQX852171:VRE852171 WAT852171:WBA852171 WKP852171:WKW852171 WUL852171:WUS852171 WUL51:WUS51 HZ917707:IG917707 RV917707:SC917707 ABR917707:ABY917707 ALN917707:ALU917707 AVJ917707:AVQ917707 BFF917707:BFM917707 BPB917707:BPI917707 BYX917707:BZE917707 CIT917707:CJA917707 CSP917707:CSW917707 DCL917707:DCS917707 DMH917707:DMO917707 DWD917707:DWK917707 EFZ917707:EGG917707 EPV917707:EQC917707 EZR917707:EZY917707 FJN917707:FJU917707 FTJ917707:FTQ917707 GDF917707:GDM917707 GNB917707:GNI917707 GWX917707:GXE917707 HGT917707:HHA917707 HQP917707:HQW917707 IAL917707:IAS917707 IKH917707:IKO917707 IUD917707:IUK917707 JDZ917707:JEG917707 JNV917707:JOC917707 JXR917707:JXY917707 KHN917707:KHU917707 KRJ917707:KRQ917707 LBF917707:LBM917707 LLB917707:LLI917707 LUX917707:LVE917707 MET917707:MFA917707 MOP917707:MOW917707 MYL917707:MYS917707 NIH917707:NIO917707 NSD917707:NSK917707 OBZ917707:OCG917707 OLV917707:OMC917707 OVR917707:OVY917707 PFN917707:PFU917707 PPJ917707:PPQ917707 PZF917707:PZM917707 QJB917707:QJI917707 QSX917707:QTE917707 RCT917707:RDA917707 RMP917707:RMW917707 RWL917707:RWS917707 SGH917707:SGO917707 SQD917707:SQK917707 SZZ917707:TAG917707 TJV917707:TKC917707 TTR917707:TTY917707 UDN917707:UDU917707 UNJ917707:UNQ917707 UXF917707:UXM917707 VHB917707:VHI917707 VQX917707:VRE917707 WAT917707:WBA917707 WKP917707:WKW917707 WUL917707:WUS917707 HZ51:IG51 HZ983243:IG983243 RV983243:SC983243 ABR983243:ABY983243 ALN983243:ALU983243 AVJ983243:AVQ983243 BFF983243:BFM983243 BPB983243:BPI983243 BYX983243:BZE983243 CIT983243:CJA983243 CSP983243:CSW983243 DCL983243:DCS983243 DMH983243:DMO983243 DWD983243:DWK983243 EFZ983243:EGG983243 EPV983243:EQC983243 EZR983243:EZY983243 FJN983243:FJU983243 FTJ983243:FTQ983243 GDF983243:GDM983243 GNB983243:GNI983243 GWX983243:GXE983243 HGT983243:HHA983243 HQP983243:HQW983243 IAL983243:IAS983243 IKH983243:IKO983243 IUD983243:IUK983243 JDZ983243:JEG983243 JNV983243:JOC983243 JXR983243:JXY983243 KHN983243:KHU983243 KRJ983243:KRQ983243 LBF983243:LBM983243 LLB983243:LLI983243 LUX983243:LVE983243 MET983243:MFA983243 MOP983243:MOW983243 MYL983243:MYS983243 NIH983243:NIO983243 NSD983243:NSK983243 OBZ983243:OCG983243 OLV983243:OMC983243 OVR983243:OVY983243 PFN983243:PFU983243 PPJ983243:PPQ983243 PZF983243:PZM983243 QJB983243:QJI983243 QSX983243:QTE983243 RCT983243:RDA983243 RMP983243:RMW983243 RWL983243:RWS983243 SGH983243:SGO983243 SQD983243:SQK983243 SZZ983243:TAG983243 TJV983243:TKC983243 TTR983243:TTY983243 UDN983243:UDU983243 UNJ983243:UNQ983243 UXF983243:UXM983243 VHB983243:VHI983243 VQX983243:VRE983243 WAT983243:WBA983243 HZ22:IG22 RV73:SC73 ABR73:ABY73 ALN73:ALU73 AVJ73:AVQ73 BFF73:BFM73 BPB73:BPI73 BYX73:BZE73 CIT73:CJA73 CSP73:CSW73 DCL73:DCS73 DMH73:DMO73 DWD73:DWK73 EFZ73:EGG73 EPV73:EQC73 EZR73:EZY73 FJN73:FJU73 FTJ73:FTQ73 GDF73:GDM73 GNB73:GNI73 GWX73:GXE73 HGT73:HHA73 HQP73:HQW73 IAL73:IAS73 IKH73:IKO73 IUD73:IUK73 JDZ73:JEG73 JNV73:JOC73 JXR73:JXY73 KHN73:KHU73 KRJ73:KRQ73 LBF73:LBM73 LLB73:LLI73 LUX73:LVE73 MET73:MFA73 MOP73:MOW73 MYL73:MYS73 NIH73:NIO73 NSD73:NSK73 OBZ73:OCG73 OLV73:OMC73 OVR73:OVY73 PFN73:PFU73 PPJ73:PPQ73 PZF73:PZM73 QJB73:QJI73 QSX73:QTE73 RCT73:RDA73 RMP73:RMW73 RWL73:RWS73 SGH73:SGO73 SQD73:SQK73 SZZ73:TAG73 TJV73:TKC73 TTR73:TTY73 UDN73:UDU73 UNJ73:UNQ73 UXF73:UXM73 VHB73:VHI73 VQX73:VRE73 WAT73:WBA73 WKP73:WKW73 WUL73:WUS73 HZ73:IG73 RV51:SC51 ABR51:ABY51 ALN51:ALU51 AVJ51:AVQ51 BFF51:BFM51 BPB51:BPI51 BYX51:BZE51 CIT51:CJA51 CSP51:CSW51 DCL51:DCS51 DMH51:DMO51 DWD51:DWK51 EFZ51:EGG51 EPV51:EQC51 EZR51:EZY51 FJN51:FJU51 FTJ51:FTQ51 GDF51:GDM51 GNB51:GNI51 GWX51:GXE51 HGT51:HHA51 HQP51:HQW51 IAL51:IAS51 IKH51:IKO51 IUD51:IUK51 JDZ51:JEG51 JNV51:JOC51 JXR51:JXY51 KHN51:KHU51 KRJ51:KRQ51 LBF51:LBM51 LLB51:LLI51 LUX51:LVE51 MET51:MFA51 MOP51:MOW51 MYL51:MYS51 NIH51:NIO51 NSD51:NSK51 OBZ51:OCG51 OLV51:OMC51 OVR51:OVY51 PFN51:PFU51 PPJ51:PPQ51 PZF51:PZM51 QJB51:QJI51 QSX51:QTE51 RCT51:RDA51 RMP51:RMW51 H131275 H196811 H262347 H327883 H393419 H458955 H524491 H590027 H655563 H721099 H786635 H852171 H917707 H983243 H65739" xr:uid="{00000000-0002-0000-0300-000003000000}">
      <formula1>"　　　,有り"</formula1>
    </dataValidation>
    <dataValidation type="list" allowBlank="1" showInputMessage="1" showErrorMessage="1" sqref="WUL983239:WUS983239 HZ16:IG16 RV16:SC16 ABR16:ABY16 ALN16:ALU16 AVJ16:AVQ16 BFF16:BFM16 BPB16:BPI16 BYX16:BZE16 CIT16:CJA16 CSP16:CSW16 DCL16:DCS16 DMH16:DMO16 DWD16:DWK16 EFZ16:EGG16 EPV16:EQC16 EZR16:EZY16 FJN16:FJU16 FTJ16:FTQ16 GDF16:GDM16 GNB16:GNI16 GWX16:GXE16 HGT16:HHA16 HQP16:HQW16 IAL16:IAS16 IKH16:IKO16 IUD16:IUK16 JDZ16:JEG16 JNV16:JOC16 JXR16:JXY16 KHN16:KHU16 KRJ16:KRQ16 LBF16:LBM16 LLB16:LLI16 LUX16:LVE16 MET16:MFA16 MOP16:MOW16 MYL16:MYS16 NIH16:NIO16 NSD16:NSK16 OBZ16:OCG16 OLV16:OMC16 OVR16:OVY16 PFN16:PFU16 PPJ16:PPQ16 PZF16:PZM16 QJB16:QJI16 QSX16:QTE16 RCT16:RDA16 RMP16:RMW16 RWL16:RWS16 SGH16:SGO16 SQD16:SQK16 SZZ16:TAG16 TJV16:TKC16 TTR16:TTY16 UDN16:UDU16 UNJ16:UNQ16 UXF16:UXM16 VHB16:VHI16 VQX16:VRE16 WAT16:WBA16 WKP16:WKW16 WUL16:WUS16 RCT983239:RDA983239 HZ65735:IG65735 RV65735:SC65735 ABR65735:ABY65735 ALN65735:ALU65735 AVJ65735:AVQ65735 BFF65735:BFM65735 BPB65735:BPI65735 BYX65735:BZE65735 CIT65735:CJA65735 CSP65735:CSW65735 DCL65735:DCS65735 DMH65735:DMO65735 DWD65735:DWK65735 EFZ65735:EGG65735 EPV65735:EQC65735 EZR65735:EZY65735 FJN65735:FJU65735 FTJ65735:FTQ65735 GDF65735:GDM65735 GNB65735:GNI65735 GWX65735:GXE65735 HGT65735:HHA65735 HQP65735:HQW65735 IAL65735:IAS65735 IKH65735:IKO65735 IUD65735:IUK65735 JDZ65735:JEG65735 JNV65735:JOC65735 JXR65735:JXY65735 KHN65735:KHU65735 KRJ65735:KRQ65735 LBF65735:LBM65735 LLB65735:LLI65735 LUX65735:LVE65735 MET65735:MFA65735 MOP65735:MOW65735 MYL65735:MYS65735 NIH65735:NIO65735 NSD65735:NSK65735 OBZ65735:OCG65735 OLV65735:OMC65735 OVR65735:OVY65735 PFN65735:PFU65735 PPJ65735:PPQ65735 PZF65735:PZM65735 QJB65735:QJI65735 QSX65735:QTE65735 RCT65735:RDA65735 RMP65735:RMW65735 RWL65735:RWS65735 SGH65735:SGO65735 SQD65735:SQK65735 SZZ65735:TAG65735 TJV65735:TKC65735 TTR65735:TTY65735 UDN65735:UDU65735 UNJ65735:UNQ65735 UXF65735:UXM65735 VHB65735:VHI65735 VQX65735:VRE65735 WAT65735:WBA65735 WKP65735:WKW65735 WUL65735:WUS65735 RMP983239:RMW983239 HZ131271:IG131271 RV131271:SC131271 ABR131271:ABY131271 ALN131271:ALU131271 AVJ131271:AVQ131271 BFF131271:BFM131271 BPB131271:BPI131271 BYX131271:BZE131271 CIT131271:CJA131271 CSP131271:CSW131271 DCL131271:DCS131271 DMH131271:DMO131271 DWD131271:DWK131271 EFZ131271:EGG131271 EPV131271:EQC131271 EZR131271:EZY131271 FJN131271:FJU131271 FTJ131271:FTQ131271 GDF131271:GDM131271 GNB131271:GNI131271 GWX131271:GXE131271 HGT131271:HHA131271 HQP131271:HQW131271 IAL131271:IAS131271 IKH131271:IKO131271 IUD131271:IUK131271 JDZ131271:JEG131271 JNV131271:JOC131271 JXR131271:JXY131271 KHN131271:KHU131271 KRJ131271:KRQ131271 LBF131271:LBM131271 LLB131271:LLI131271 LUX131271:LVE131271 MET131271:MFA131271 MOP131271:MOW131271 MYL131271:MYS131271 NIH131271:NIO131271 NSD131271:NSK131271 OBZ131271:OCG131271 OLV131271:OMC131271 OVR131271:OVY131271 PFN131271:PFU131271 PPJ131271:PPQ131271 PZF131271:PZM131271 QJB131271:QJI131271 QSX131271:QTE131271 RCT131271:RDA131271 RMP131271:RMW131271 RWL131271:RWS131271 SGH131271:SGO131271 SQD131271:SQK131271 SZZ131271:TAG131271 TJV131271:TKC131271 TTR131271:TTY131271 UDN131271:UDU131271 UNJ131271:UNQ131271 UXF131271:UXM131271 VHB131271:VHI131271 VQX131271:VRE131271 WAT131271:WBA131271 WKP131271:WKW131271 WUL131271:WUS131271 RWL983239:RWS983239 HZ196807:IG196807 RV196807:SC196807 ABR196807:ABY196807 ALN196807:ALU196807 AVJ196807:AVQ196807 BFF196807:BFM196807 BPB196807:BPI196807 BYX196807:BZE196807 CIT196807:CJA196807 CSP196807:CSW196807 DCL196807:DCS196807 DMH196807:DMO196807 DWD196807:DWK196807 EFZ196807:EGG196807 EPV196807:EQC196807 EZR196807:EZY196807 FJN196807:FJU196807 FTJ196807:FTQ196807 GDF196807:GDM196807 GNB196807:GNI196807 GWX196807:GXE196807 HGT196807:HHA196807 HQP196807:HQW196807 IAL196807:IAS196807 IKH196807:IKO196807 IUD196807:IUK196807 JDZ196807:JEG196807 JNV196807:JOC196807 JXR196807:JXY196807 KHN196807:KHU196807 KRJ196807:KRQ196807 LBF196807:LBM196807 LLB196807:LLI196807 LUX196807:LVE196807 MET196807:MFA196807 MOP196807:MOW196807 MYL196807:MYS196807 NIH196807:NIO196807 NSD196807:NSK196807 OBZ196807:OCG196807 OLV196807:OMC196807 OVR196807:OVY196807 PFN196807:PFU196807 PPJ196807:PPQ196807 PZF196807:PZM196807 QJB196807:QJI196807 QSX196807:QTE196807 RCT196807:RDA196807 RMP196807:RMW196807 RWL196807:RWS196807 SGH196807:SGO196807 SQD196807:SQK196807 SZZ196807:TAG196807 TJV196807:TKC196807 TTR196807:TTY196807 UDN196807:UDU196807 UNJ196807:UNQ196807 UXF196807:UXM196807 VHB196807:VHI196807 VQX196807:VRE196807 WAT196807:WBA196807 WKP196807:WKW196807 WUL196807:WUS196807 SGH983239:SGO983239 HZ262343:IG262343 RV262343:SC262343 ABR262343:ABY262343 ALN262343:ALU262343 AVJ262343:AVQ262343 BFF262343:BFM262343 BPB262343:BPI262343 BYX262343:BZE262343 CIT262343:CJA262343 CSP262343:CSW262343 DCL262343:DCS262343 DMH262343:DMO262343 DWD262343:DWK262343 EFZ262343:EGG262343 EPV262343:EQC262343 EZR262343:EZY262343 FJN262343:FJU262343 FTJ262343:FTQ262343 GDF262343:GDM262343 GNB262343:GNI262343 GWX262343:GXE262343 HGT262343:HHA262343 HQP262343:HQW262343 IAL262343:IAS262343 IKH262343:IKO262343 IUD262343:IUK262343 JDZ262343:JEG262343 JNV262343:JOC262343 JXR262343:JXY262343 KHN262343:KHU262343 KRJ262343:KRQ262343 LBF262343:LBM262343 LLB262343:LLI262343 LUX262343:LVE262343 MET262343:MFA262343 MOP262343:MOW262343 MYL262343:MYS262343 NIH262343:NIO262343 NSD262343:NSK262343 OBZ262343:OCG262343 OLV262343:OMC262343 OVR262343:OVY262343 PFN262343:PFU262343 PPJ262343:PPQ262343 PZF262343:PZM262343 QJB262343:QJI262343 QSX262343:QTE262343 RCT262343:RDA262343 RMP262343:RMW262343 RWL262343:RWS262343 SGH262343:SGO262343 SQD262343:SQK262343 SZZ262343:TAG262343 TJV262343:TKC262343 TTR262343:TTY262343 UDN262343:UDU262343 UNJ262343:UNQ262343 UXF262343:UXM262343 VHB262343:VHI262343 VQX262343:VRE262343 WAT262343:WBA262343 WKP262343:WKW262343 WUL262343:WUS262343 SQD983239:SQK983239 HZ327879:IG327879 RV327879:SC327879 ABR327879:ABY327879 ALN327879:ALU327879 AVJ327879:AVQ327879 BFF327879:BFM327879 BPB327879:BPI327879 BYX327879:BZE327879 CIT327879:CJA327879 CSP327879:CSW327879 DCL327879:DCS327879 DMH327879:DMO327879 DWD327879:DWK327879 EFZ327879:EGG327879 EPV327879:EQC327879 EZR327879:EZY327879 FJN327879:FJU327879 FTJ327879:FTQ327879 GDF327879:GDM327879 GNB327879:GNI327879 GWX327879:GXE327879 HGT327879:HHA327879 HQP327879:HQW327879 IAL327879:IAS327879 IKH327879:IKO327879 IUD327879:IUK327879 JDZ327879:JEG327879 JNV327879:JOC327879 JXR327879:JXY327879 KHN327879:KHU327879 KRJ327879:KRQ327879 LBF327879:LBM327879 LLB327879:LLI327879 LUX327879:LVE327879 MET327879:MFA327879 MOP327879:MOW327879 MYL327879:MYS327879 NIH327879:NIO327879 NSD327879:NSK327879 OBZ327879:OCG327879 OLV327879:OMC327879 OVR327879:OVY327879 PFN327879:PFU327879 PPJ327879:PPQ327879 PZF327879:PZM327879 QJB327879:QJI327879 QSX327879:QTE327879 RCT327879:RDA327879 RMP327879:RMW327879 RWL327879:RWS327879 SGH327879:SGO327879 SQD327879:SQK327879 SZZ327879:TAG327879 TJV327879:TKC327879 TTR327879:TTY327879 UDN327879:UDU327879 UNJ327879:UNQ327879 UXF327879:UXM327879 VHB327879:VHI327879 VQX327879:VRE327879 WAT327879:WBA327879 WKP327879:WKW327879 WUL327879:WUS327879 SZZ983239:TAG983239 HZ393415:IG393415 RV393415:SC393415 ABR393415:ABY393415 ALN393415:ALU393415 AVJ393415:AVQ393415 BFF393415:BFM393415 BPB393415:BPI393415 BYX393415:BZE393415 CIT393415:CJA393415 CSP393415:CSW393415 DCL393415:DCS393415 DMH393415:DMO393415 DWD393415:DWK393415 EFZ393415:EGG393415 EPV393415:EQC393415 EZR393415:EZY393415 FJN393415:FJU393415 FTJ393415:FTQ393415 GDF393415:GDM393415 GNB393415:GNI393415 GWX393415:GXE393415 HGT393415:HHA393415 HQP393415:HQW393415 IAL393415:IAS393415 IKH393415:IKO393415 IUD393415:IUK393415 JDZ393415:JEG393415 JNV393415:JOC393415 JXR393415:JXY393415 KHN393415:KHU393415 KRJ393415:KRQ393415 LBF393415:LBM393415 LLB393415:LLI393415 LUX393415:LVE393415 MET393415:MFA393415 MOP393415:MOW393415 MYL393415:MYS393415 NIH393415:NIO393415 NSD393415:NSK393415 OBZ393415:OCG393415 OLV393415:OMC393415 OVR393415:OVY393415 PFN393415:PFU393415 PPJ393415:PPQ393415 PZF393415:PZM393415 QJB393415:QJI393415 QSX393415:QTE393415 RCT393415:RDA393415 RMP393415:RMW393415 RWL393415:RWS393415 SGH393415:SGO393415 SQD393415:SQK393415 SZZ393415:TAG393415 TJV393415:TKC393415 TTR393415:TTY393415 UDN393415:UDU393415 UNJ393415:UNQ393415 UXF393415:UXM393415 VHB393415:VHI393415 VQX393415:VRE393415 WAT393415:WBA393415 WKP393415:WKW393415 WUL393415:WUS393415 TJV983239:TKC983239 HZ458951:IG458951 RV458951:SC458951 ABR458951:ABY458951 ALN458951:ALU458951 AVJ458951:AVQ458951 BFF458951:BFM458951 BPB458951:BPI458951 BYX458951:BZE458951 CIT458951:CJA458951 CSP458951:CSW458951 DCL458951:DCS458951 DMH458951:DMO458951 DWD458951:DWK458951 EFZ458951:EGG458951 EPV458951:EQC458951 EZR458951:EZY458951 FJN458951:FJU458951 FTJ458951:FTQ458951 GDF458951:GDM458951 GNB458951:GNI458951 GWX458951:GXE458951 HGT458951:HHA458951 HQP458951:HQW458951 IAL458951:IAS458951 IKH458951:IKO458951 IUD458951:IUK458951 JDZ458951:JEG458951 JNV458951:JOC458951 JXR458951:JXY458951 KHN458951:KHU458951 KRJ458951:KRQ458951 LBF458951:LBM458951 LLB458951:LLI458951 LUX458951:LVE458951 MET458951:MFA458951 MOP458951:MOW458951 MYL458951:MYS458951 NIH458951:NIO458951 NSD458951:NSK458951 OBZ458951:OCG458951 OLV458951:OMC458951 OVR458951:OVY458951 PFN458951:PFU458951 PPJ458951:PPQ458951 PZF458951:PZM458951 QJB458951:QJI458951 QSX458951:QTE458951 RCT458951:RDA458951 RMP458951:RMW458951 RWL458951:RWS458951 SGH458951:SGO458951 SQD458951:SQK458951 SZZ458951:TAG458951 TJV458951:TKC458951 TTR458951:TTY458951 UDN458951:UDU458951 UNJ458951:UNQ458951 UXF458951:UXM458951 VHB458951:VHI458951 VQX458951:VRE458951 WAT458951:WBA458951 WKP458951:WKW458951 WUL458951:WUS458951 TTR983239:TTY983239 HZ524487:IG524487 RV524487:SC524487 ABR524487:ABY524487 ALN524487:ALU524487 AVJ524487:AVQ524487 BFF524487:BFM524487 BPB524487:BPI524487 BYX524487:BZE524487 CIT524487:CJA524487 CSP524487:CSW524487 DCL524487:DCS524487 DMH524487:DMO524487 DWD524487:DWK524487 EFZ524487:EGG524487 EPV524487:EQC524487 EZR524487:EZY524487 FJN524487:FJU524487 FTJ524487:FTQ524487 GDF524487:GDM524487 GNB524487:GNI524487 GWX524487:GXE524487 HGT524487:HHA524487 HQP524487:HQW524487 IAL524487:IAS524487 IKH524487:IKO524487 IUD524487:IUK524487 JDZ524487:JEG524487 JNV524487:JOC524487 JXR524487:JXY524487 KHN524487:KHU524487 KRJ524487:KRQ524487 LBF524487:LBM524487 LLB524487:LLI524487 LUX524487:LVE524487 MET524487:MFA524487 MOP524487:MOW524487 MYL524487:MYS524487 NIH524487:NIO524487 NSD524487:NSK524487 OBZ524487:OCG524487 OLV524487:OMC524487 OVR524487:OVY524487 PFN524487:PFU524487 PPJ524487:PPQ524487 PZF524487:PZM524487 QJB524487:QJI524487 QSX524487:QTE524487 RCT524487:RDA524487 RMP524487:RMW524487 RWL524487:RWS524487 SGH524487:SGO524487 SQD524487:SQK524487 SZZ524487:TAG524487 TJV524487:TKC524487 TTR524487:TTY524487 UDN524487:UDU524487 UNJ524487:UNQ524487 UXF524487:UXM524487 VHB524487:VHI524487 VQX524487:VRE524487 WAT524487:WBA524487 WKP524487:WKW524487 WUL524487:WUS524487 UDN983239:UDU983239 HZ590023:IG590023 RV590023:SC590023 ABR590023:ABY590023 ALN590023:ALU590023 AVJ590023:AVQ590023 BFF590023:BFM590023 BPB590023:BPI590023 BYX590023:BZE590023 CIT590023:CJA590023 CSP590023:CSW590023 DCL590023:DCS590023 DMH590023:DMO590023 DWD590023:DWK590023 EFZ590023:EGG590023 EPV590023:EQC590023 EZR590023:EZY590023 FJN590023:FJU590023 FTJ590023:FTQ590023 GDF590023:GDM590023 GNB590023:GNI590023 GWX590023:GXE590023 HGT590023:HHA590023 HQP590023:HQW590023 IAL590023:IAS590023 IKH590023:IKO590023 IUD590023:IUK590023 JDZ590023:JEG590023 JNV590023:JOC590023 JXR590023:JXY590023 KHN590023:KHU590023 KRJ590023:KRQ590023 LBF590023:LBM590023 LLB590023:LLI590023 LUX590023:LVE590023 MET590023:MFA590023 MOP590023:MOW590023 MYL590023:MYS590023 NIH590023:NIO590023 NSD590023:NSK590023 OBZ590023:OCG590023 OLV590023:OMC590023 OVR590023:OVY590023 PFN590023:PFU590023 PPJ590023:PPQ590023 PZF590023:PZM590023 QJB590023:QJI590023 QSX590023:QTE590023 RCT590023:RDA590023 RMP590023:RMW590023 RWL590023:RWS590023 SGH590023:SGO590023 SQD590023:SQK590023 SZZ590023:TAG590023 TJV590023:TKC590023 TTR590023:TTY590023 UDN590023:UDU590023 UNJ590023:UNQ590023 UXF590023:UXM590023 VHB590023:VHI590023 VQX590023:VRE590023 WAT590023:WBA590023 WKP590023:WKW590023 WUL590023:WUS590023 UNJ983239:UNQ983239 HZ655559:IG655559 RV655559:SC655559 ABR655559:ABY655559 ALN655559:ALU655559 AVJ655559:AVQ655559 BFF655559:BFM655559 BPB655559:BPI655559 BYX655559:BZE655559 CIT655559:CJA655559 CSP655559:CSW655559 DCL655559:DCS655559 DMH655559:DMO655559 DWD655559:DWK655559 EFZ655559:EGG655559 EPV655559:EQC655559 EZR655559:EZY655559 FJN655559:FJU655559 FTJ655559:FTQ655559 GDF655559:GDM655559 GNB655559:GNI655559 GWX655559:GXE655559 HGT655559:HHA655559 HQP655559:HQW655559 IAL655559:IAS655559 IKH655559:IKO655559 IUD655559:IUK655559 JDZ655559:JEG655559 JNV655559:JOC655559 JXR655559:JXY655559 KHN655559:KHU655559 KRJ655559:KRQ655559 LBF655559:LBM655559 LLB655559:LLI655559 LUX655559:LVE655559 MET655559:MFA655559 MOP655559:MOW655559 MYL655559:MYS655559 NIH655559:NIO655559 NSD655559:NSK655559 OBZ655559:OCG655559 OLV655559:OMC655559 OVR655559:OVY655559 PFN655559:PFU655559 PPJ655559:PPQ655559 PZF655559:PZM655559 QJB655559:QJI655559 QSX655559:QTE655559 RCT655559:RDA655559 RMP655559:RMW655559 RWL655559:RWS655559 SGH655559:SGO655559 SQD655559:SQK655559 SZZ655559:TAG655559 TJV655559:TKC655559 TTR655559:TTY655559 UDN655559:UDU655559 UNJ655559:UNQ655559 UXF655559:UXM655559 VHB655559:VHI655559 VQX655559:VRE655559 WAT655559:WBA655559 WKP655559:WKW655559 WUL655559:WUS655559 UXF983239:UXM983239 HZ721095:IG721095 RV721095:SC721095 ABR721095:ABY721095 ALN721095:ALU721095 AVJ721095:AVQ721095 BFF721095:BFM721095 BPB721095:BPI721095 BYX721095:BZE721095 CIT721095:CJA721095 CSP721095:CSW721095 DCL721095:DCS721095 DMH721095:DMO721095 DWD721095:DWK721095 EFZ721095:EGG721095 EPV721095:EQC721095 EZR721095:EZY721095 FJN721095:FJU721095 FTJ721095:FTQ721095 GDF721095:GDM721095 GNB721095:GNI721095 GWX721095:GXE721095 HGT721095:HHA721095 HQP721095:HQW721095 IAL721095:IAS721095 IKH721095:IKO721095 IUD721095:IUK721095 JDZ721095:JEG721095 JNV721095:JOC721095 JXR721095:JXY721095 KHN721095:KHU721095 KRJ721095:KRQ721095 LBF721095:LBM721095 LLB721095:LLI721095 LUX721095:LVE721095 MET721095:MFA721095 MOP721095:MOW721095 MYL721095:MYS721095 NIH721095:NIO721095 NSD721095:NSK721095 OBZ721095:OCG721095 OLV721095:OMC721095 OVR721095:OVY721095 PFN721095:PFU721095 PPJ721095:PPQ721095 PZF721095:PZM721095 QJB721095:QJI721095 QSX721095:QTE721095 RCT721095:RDA721095 RMP721095:RMW721095 RWL721095:RWS721095 SGH721095:SGO721095 SQD721095:SQK721095 SZZ721095:TAG721095 TJV721095:TKC721095 TTR721095:TTY721095 UDN721095:UDU721095 UNJ721095:UNQ721095 UXF721095:UXM721095 VHB721095:VHI721095 VQX721095:VRE721095 WAT721095:WBA721095 WKP721095:WKW721095 WUL721095:WUS721095 VHB983239:VHI983239 HZ786631:IG786631 RV786631:SC786631 ABR786631:ABY786631 ALN786631:ALU786631 AVJ786631:AVQ786631 BFF786631:BFM786631 BPB786631:BPI786631 BYX786631:BZE786631 CIT786631:CJA786631 CSP786631:CSW786631 DCL786631:DCS786631 DMH786631:DMO786631 DWD786631:DWK786631 EFZ786631:EGG786631 EPV786631:EQC786631 EZR786631:EZY786631 FJN786631:FJU786631 FTJ786631:FTQ786631 GDF786631:GDM786631 GNB786631:GNI786631 GWX786631:GXE786631 HGT786631:HHA786631 HQP786631:HQW786631 IAL786631:IAS786631 IKH786631:IKO786631 IUD786631:IUK786631 JDZ786631:JEG786631 JNV786631:JOC786631 JXR786631:JXY786631 KHN786631:KHU786631 KRJ786631:KRQ786631 LBF786631:LBM786631 LLB786631:LLI786631 LUX786631:LVE786631 MET786631:MFA786631 MOP786631:MOW786631 MYL786631:MYS786631 NIH786631:NIO786631 NSD786631:NSK786631 OBZ786631:OCG786631 OLV786631:OMC786631 OVR786631:OVY786631 PFN786631:PFU786631 PPJ786631:PPQ786631 PZF786631:PZM786631 QJB786631:QJI786631 QSX786631:QTE786631 RCT786631:RDA786631 RMP786631:RMW786631 RWL786631:RWS786631 SGH786631:SGO786631 SQD786631:SQK786631 SZZ786631:TAG786631 TJV786631:TKC786631 TTR786631:TTY786631 UDN786631:UDU786631 UNJ786631:UNQ786631 UXF786631:UXM786631 VHB786631:VHI786631 VQX786631:VRE786631 WAT786631:WBA786631 WKP786631:WKW786631 WUL786631:WUS786631 VQX983239:VRE983239 HZ852167:IG852167 RV852167:SC852167 ABR852167:ABY852167 ALN852167:ALU852167 AVJ852167:AVQ852167 BFF852167:BFM852167 BPB852167:BPI852167 BYX852167:BZE852167 CIT852167:CJA852167 CSP852167:CSW852167 DCL852167:DCS852167 DMH852167:DMO852167 DWD852167:DWK852167 EFZ852167:EGG852167 EPV852167:EQC852167 EZR852167:EZY852167 FJN852167:FJU852167 FTJ852167:FTQ852167 GDF852167:GDM852167 GNB852167:GNI852167 GWX852167:GXE852167 HGT852167:HHA852167 HQP852167:HQW852167 IAL852167:IAS852167 IKH852167:IKO852167 IUD852167:IUK852167 JDZ852167:JEG852167 JNV852167:JOC852167 JXR852167:JXY852167 KHN852167:KHU852167 KRJ852167:KRQ852167 LBF852167:LBM852167 LLB852167:LLI852167 LUX852167:LVE852167 MET852167:MFA852167 MOP852167:MOW852167 MYL852167:MYS852167 NIH852167:NIO852167 NSD852167:NSK852167 OBZ852167:OCG852167 OLV852167:OMC852167 OVR852167:OVY852167 PFN852167:PFU852167 PPJ852167:PPQ852167 PZF852167:PZM852167 QJB852167:QJI852167 QSX852167:QTE852167 RCT852167:RDA852167 RMP852167:RMW852167 RWL852167:RWS852167 SGH852167:SGO852167 SQD852167:SQK852167 SZZ852167:TAG852167 TJV852167:TKC852167 TTR852167:TTY852167 UDN852167:UDU852167 UNJ852167:UNQ852167 UXF852167:UXM852167 VHB852167:VHI852167 VQX852167:VRE852167 WAT852167:WBA852167 WKP852167:WKW852167 WUL852167:WUS852167 WAT983239:WBA983239 HZ917703:IG917703 RV917703:SC917703 ABR917703:ABY917703 ALN917703:ALU917703 AVJ917703:AVQ917703 BFF917703:BFM917703 BPB917703:BPI917703 BYX917703:BZE917703 CIT917703:CJA917703 CSP917703:CSW917703 DCL917703:DCS917703 DMH917703:DMO917703 DWD917703:DWK917703 EFZ917703:EGG917703 EPV917703:EQC917703 EZR917703:EZY917703 FJN917703:FJU917703 FTJ917703:FTQ917703 GDF917703:GDM917703 GNB917703:GNI917703 GWX917703:GXE917703 HGT917703:HHA917703 HQP917703:HQW917703 IAL917703:IAS917703 IKH917703:IKO917703 IUD917703:IUK917703 JDZ917703:JEG917703 JNV917703:JOC917703 JXR917703:JXY917703 KHN917703:KHU917703 KRJ917703:KRQ917703 LBF917703:LBM917703 LLB917703:LLI917703 LUX917703:LVE917703 MET917703:MFA917703 MOP917703:MOW917703 MYL917703:MYS917703 NIH917703:NIO917703 NSD917703:NSK917703 OBZ917703:OCG917703 OLV917703:OMC917703 OVR917703:OVY917703 PFN917703:PFU917703 PPJ917703:PPQ917703 PZF917703:PZM917703 QJB917703:QJI917703 QSX917703:QTE917703 RCT917703:RDA917703 RMP917703:RMW917703 RWL917703:RWS917703 SGH917703:SGO917703 SQD917703:SQK917703 SZZ917703:TAG917703 TJV917703:TKC917703 TTR917703:TTY917703 UDN917703:UDU917703 UNJ917703:UNQ917703 UXF917703:UXM917703 VHB917703:VHI917703 VQX917703:VRE917703 WAT917703:WBA917703 WKP917703:WKW917703 WUL917703:WUS917703 WKP983239:WKW983239 HZ983239:IG983239 RV983239:SC983239 ABR983239:ABY983239 ALN983239:ALU983239 AVJ983239:AVQ983239 BFF983239:BFM983239 BPB983239:BPI983239 BYX983239:BZE983239 CIT983239:CJA983239 CSP983239:CSW983239 DCL983239:DCS983239 DMH983239:DMO983239 DWD983239:DWK983239 EFZ983239:EGG983239 EPV983239:EQC983239 EZR983239:EZY983239 FJN983239:FJU983239 FTJ983239:FTQ983239 GDF983239:GDM983239 GNB983239:GNI983239 GWX983239:GXE983239 HGT983239:HHA983239 HQP983239:HQW983239 IAL983239:IAS983239 IKH983239:IKO983239 IUD983239:IUK983239 JDZ983239:JEG983239 JNV983239:JOC983239 JXR983239:JXY983239 KHN983239:KHU983239 KRJ983239:KRQ983239 LBF983239:LBM983239 LLB983239:LLI983239 LUX983239:LVE983239 MET983239:MFA983239 MOP983239:MOW983239 MYL983239:MYS983239 NIH983239:NIO983239 NSD983239:NSK983239 OBZ983239:OCG983239 OLV983239:OMC983239 OVR983239:OVY983239 PFN983239:PFU983239 PPJ983239:PPQ983239 PZF983239:PZM983239 QJB983239:QJI983239 QSX983239:QTE983239 H131271 H196807 H262343 H327879 H393415 H458951 H524487 H590023 H655559 H721095 H786631 H852167 H917703 H983239 H65735" xr:uid="{00000000-0002-0000-0300-000004000000}">
      <formula1>"改修,新営"</formula1>
    </dataValidation>
    <dataValidation type="list" allowBlank="1" showInputMessage="1" showErrorMessage="1" sqref="H4" xr:uid="{00000000-0002-0000-0300-000005000000}">
      <formula1>"資産,費用"</formula1>
    </dataValidation>
    <dataValidation type="list" allowBlank="1" showInputMessage="1" showErrorMessage="1" sqref="H22" xr:uid="{00000000-0002-0000-0300-000006000000}">
      <formula1>$D$352:$D$359</formula1>
    </dataValidation>
    <dataValidation type="list" allowBlank="1" showInputMessage="1" showErrorMessage="1" sqref="H56" xr:uid="{00000000-0002-0000-0300-000007000000}">
      <formula1>$F$354:$F$356</formula1>
    </dataValidation>
  </dataValidations>
  <printOptions horizontalCentered="1"/>
  <pageMargins left="0.19685039370078741" right="0.19685039370078741" top="0.6692913385826772" bottom="0.19685039370078741" header="0.51181102362204722" footer="0.51181102362204722"/>
  <pageSetup paperSize="9" scale="90" fitToHeight="0" orientation="landscape" cellComments="asDisplayed" r:id="rId1"/>
  <headerFooter alignWithMargins="0"/>
  <rowBreaks count="2" manualBreakCount="2">
    <brk id="48" max="8" man="1"/>
    <brk id="89" max="8" man="1"/>
  </rowBreaks>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表示設定">
                <anchor moveWithCells="1" sizeWithCells="1">
                  <from>
                    <xdr:col>0</xdr:col>
                    <xdr:colOff>25400</xdr:colOff>
                    <xdr:row>12</xdr:row>
                    <xdr:rowOff>88900</xdr:rowOff>
                  </from>
                  <to>
                    <xdr:col>3</xdr:col>
                    <xdr:colOff>1041400</xdr:colOff>
                    <xdr:row>16</xdr:row>
                    <xdr:rowOff>76200</xdr:rowOff>
                  </to>
                </anchor>
              </controlPr>
            </control>
          </mc:Choice>
        </mc:AlternateContent>
        <mc:AlternateContent xmlns:mc="http://schemas.openxmlformats.org/markup-compatibility/2006">
          <mc:Choice Requires="x14">
            <control shapeId="12318" r:id="rId5" name="Button 30">
              <controlPr defaultSize="0" print="0" autoFill="0" autoPict="0" macro="[0]!H列をコピーして追加">
                <anchor moveWithCells="1" sizeWithCells="1">
                  <from>
                    <xdr:col>0</xdr:col>
                    <xdr:colOff>12700</xdr:colOff>
                    <xdr:row>8</xdr:row>
                    <xdr:rowOff>50800</xdr:rowOff>
                  </from>
                  <to>
                    <xdr:col>3</xdr:col>
                    <xdr:colOff>1054100</xdr:colOff>
                    <xdr:row>12</xdr:row>
                    <xdr:rowOff>25400</xdr:rowOff>
                  </to>
                </anchor>
              </controlPr>
            </control>
          </mc:Choice>
        </mc:AlternateContent>
        <mc:AlternateContent xmlns:mc="http://schemas.openxmlformats.org/markup-compatibility/2006">
          <mc:Choice Requires="x14">
            <control shapeId="12375" r:id="rId6" name="Button 87">
              <controlPr defaultSize="0" print="0" autoFill="0" autoPict="0" macro="[0]!諸経費表からリンク">
                <anchor moveWithCells="1" sizeWithCells="1">
                  <from>
                    <xdr:col>0</xdr:col>
                    <xdr:colOff>0</xdr:colOff>
                    <xdr:row>5</xdr:row>
                    <xdr:rowOff>38100</xdr:rowOff>
                  </from>
                  <to>
                    <xdr:col>4</xdr:col>
                    <xdr:colOff>0</xdr:colOff>
                    <xdr:row>7</xdr:row>
                    <xdr:rowOff>139700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2:AI138"/>
  <sheetViews>
    <sheetView zoomScale="75" zoomScaleNormal="75" zoomScaleSheetLayoutView="80" workbookViewId="0">
      <pane xSplit="13" topLeftCell="N1" activePane="topRight" state="frozen"/>
      <selection activeCell="C73" sqref="C73"/>
      <selection pane="topRight" activeCell="E14" sqref="E14"/>
    </sheetView>
  </sheetViews>
  <sheetFormatPr defaultColWidth="6.6328125" defaultRowHeight="26" customHeight="1"/>
  <cols>
    <col min="1" max="2" width="2.6328125" style="6" customWidth="1"/>
    <col min="3" max="3" width="8.6328125" style="1" customWidth="1"/>
    <col min="4" max="4" width="28.6328125" style="1" customWidth="1"/>
    <col min="5" max="5" width="25" style="2" customWidth="1"/>
    <col min="6" max="6" width="10.6328125" style="1" customWidth="1"/>
    <col min="7" max="7" width="7.6328125" style="3" customWidth="1"/>
    <col min="8" max="8" width="11.6328125" style="4" customWidth="1"/>
    <col min="9" max="9" width="15.6328125" style="4" customWidth="1"/>
    <col min="10" max="12" width="9.6328125" style="1" customWidth="1"/>
    <col min="13" max="13" width="5.6328125" style="1" bestFit="1" customWidth="1"/>
    <col min="14" max="14" width="19.6328125" style="1" bestFit="1" customWidth="1"/>
    <col min="15" max="16" width="5.1796875" style="37" customWidth="1"/>
    <col min="17" max="34" width="5.1796875" style="1" customWidth="1"/>
    <col min="35" max="35" width="11.6328125" style="695" customWidth="1"/>
    <col min="36" max="16384" width="6.6328125" style="1"/>
  </cols>
  <sheetData>
    <row r="2" spans="1:35" ht="26" customHeight="1">
      <c r="C2" s="35" t="s">
        <v>99</v>
      </c>
      <c r="E2" s="34" t="s">
        <v>68</v>
      </c>
      <c r="F2" s="86">
        <f>VLOOKUP("EOL",資産管理明細書!$M$26:$N$65503,2,FALSE)</f>
        <v>6</v>
      </c>
      <c r="G2" s="1" t="s">
        <v>224</v>
      </c>
      <c r="H2" s="4">
        <f>表紙!H25</f>
        <v>6</v>
      </c>
      <c r="I2" s="4" t="s">
        <v>74</v>
      </c>
      <c r="J2" s="37">
        <f>VLOOKUP("EOL",$M$25:$N$65536,2,FALSE)</f>
        <v>11</v>
      </c>
    </row>
    <row r="3" spans="1:35" ht="26" customHeight="1" thickBot="1">
      <c r="C3" s="938" t="s">
        <v>369</v>
      </c>
      <c r="D3" s="938"/>
      <c r="E3" s="938"/>
      <c r="F3" s="938"/>
      <c r="G3" s="938"/>
      <c r="H3" s="938"/>
      <c r="I3" s="938"/>
      <c r="J3" s="938"/>
      <c r="K3" s="938"/>
      <c r="L3" s="938"/>
      <c r="O3" s="1039" t="s">
        <v>154</v>
      </c>
      <c r="P3" s="1039"/>
      <c r="Q3" s="1039"/>
      <c r="R3" s="1039"/>
      <c r="S3" s="1039"/>
      <c r="T3" s="1039"/>
      <c r="U3" s="1039"/>
      <c r="V3" s="1039"/>
      <c r="W3" s="1039"/>
      <c r="X3" s="1039"/>
      <c r="Y3" s="1039"/>
      <c r="Z3" s="1039"/>
      <c r="AA3" s="1039"/>
      <c r="AB3" s="1039"/>
      <c r="AC3" s="1039"/>
      <c r="AD3" s="1039"/>
      <c r="AE3" s="1039"/>
      <c r="AF3" s="1039"/>
      <c r="AG3" s="1039"/>
      <c r="AH3" s="1040"/>
      <c r="AI3" s="696"/>
    </row>
    <row r="4" spans="1:35" ht="42" customHeight="1">
      <c r="A4" s="5" t="s">
        <v>11</v>
      </c>
      <c r="B4" s="5" t="s">
        <v>10</v>
      </c>
      <c r="C4" s="120" t="s">
        <v>0</v>
      </c>
      <c r="D4" s="116"/>
      <c r="E4" s="117" t="s">
        <v>1</v>
      </c>
      <c r="F4" s="118" t="s">
        <v>2</v>
      </c>
      <c r="G4" s="118" t="s">
        <v>3</v>
      </c>
      <c r="H4" s="119" t="s">
        <v>4</v>
      </c>
      <c r="I4" s="119" t="s">
        <v>5</v>
      </c>
      <c r="J4" s="968" t="s">
        <v>6</v>
      </c>
      <c r="K4" s="969"/>
      <c r="L4" s="970"/>
      <c r="O4" s="165" t="s">
        <v>85</v>
      </c>
      <c r="P4" s="364" t="s">
        <v>288</v>
      </c>
      <c r="Q4" s="296" t="s">
        <v>305</v>
      </c>
      <c r="R4" s="296" t="s">
        <v>249</v>
      </c>
      <c r="S4" s="296" t="s">
        <v>250</v>
      </c>
      <c r="T4" s="296" t="s">
        <v>265</v>
      </c>
      <c r="U4" s="296" t="s">
        <v>148</v>
      </c>
      <c r="V4" s="164" t="s">
        <v>147</v>
      </c>
      <c r="W4" s="296" t="s">
        <v>251</v>
      </c>
      <c r="X4" s="229" t="s">
        <v>252</v>
      </c>
      <c r="Y4" s="229" t="s">
        <v>253</v>
      </c>
      <c r="Z4" s="229" t="s">
        <v>254</v>
      </c>
      <c r="AA4" s="229" t="s">
        <v>255</v>
      </c>
      <c r="AB4" s="229" t="s">
        <v>300</v>
      </c>
      <c r="AC4" s="367" t="s">
        <v>309</v>
      </c>
      <c r="AD4" s="368" t="s">
        <v>310</v>
      </c>
      <c r="AE4" s="369" t="s">
        <v>150</v>
      </c>
      <c r="AF4" s="163" t="s">
        <v>153</v>
      </c>
      <c r="AG4" s="163" t="s">
        <v>151</v>
      </c>
      <c r="AH4" s="163" t="s">
        <v>152</v>
      </c>
      <c r="AI4" s="697"/>
    </row>
    <row r="5" spans="1:35" ht="24" customHeight="1">
      <c r="A5" s="7"/>
      <c r="B5" s="7"/>
      <c r="C5" s="121" t="str">
        <f>+C2</f>
        <v>建築工事</v>
      </c>
      <c r="D5" s="122"/>
      <c r="E5" s="106"/>
      <c r="F5" s="293"/>
      <c r="G5" s="123"/>
      <c r="H5" s="87" t="s">
        <v>12</v>
      </c>
      <c r="I5" s="87" t="s">
        <v>12</v>
      </c>
      <c r="J5" s="1036"/>
      <c r="K5" s="1037"/>
      <c r="L5" s="1038"/>
      <c r="M5" s="37"/>
      <c r="N5" s="37"/>
      <c r="O5" s="236"/>
      <c r="P5" s="237"/>
      <c r="Q5" s="238"/>
      <c r="R5" s="238"/>
      <c r="S5" s="238"/>
      <c r="T5" s="238"/>
      <c r="U5" s="238"/>
      <c r="V5" s="238"/>
      <c r="W5" s="238"/>
      <c r="X5" s="239"/>
      <c r="Y5" s="239"/>
      <c r="Z5" s="239"/>
      <c r="AA5" s="239"/>
      <c r="AB5" s="239"/>
      <c r="AC5" s="238"/>
      <c r="AD5" s="370"/>
      <c r="AE5" s="371"/>
      <c r="AF5" s="238"/>
      <c r="AG5" s="238"/>
      <c r="AH5" s="238"/>
      <c r="AI5" s="698"/>
    </row>
    <row r="6" spans="1:35" ht="24" customHeight="1">
      <c r="A6" s="36"/>
      <c r="B6" s="36"/>
      <c r="C6" s="197" t="s">
        <v>176</v>
      </c>
      <c r="D6" s="68"/>
      <c r="E6" s="109"/>
      <c r="F6" s="294"/>
      <c r="G6" s="125"/>
      <c r="H6" s="111"/>
      <c r="I6" s="111"/>
      <c r="J6" s="68"/>
      <c r="K6" s="68"/>
      <c r="L6" s="69"/>
      <c r="M6" s="37"/>
      <c r="N6" s="37"/>
      <c r="O6" s="236"/>
      <c r="P6" s="237"/>
      <c r="Q6" s="238"/>
      <c r="R6" s="238"/>
      <c r="S6" s="238"/>
      <c r="T6" s="238"/>
      <c r="U6" s="238"/>
      <c r="V6" s="238"/>
      <c r="W6" s="238"/>
      <c r="X6" s="239"/>
      <c r="Y6" s="239"/>
      <c r="Z6" s="239"/>
      <c r="AA6" s="239"/>
      <c r="AB6" s="239"/>
      <c r="AC6" s="238"/>
      <c r="AD6" s="370"/>
      <c r="AE6" s="371"/>
      <c r="AF6" s="238"/>
      <c r="AG6" s="238"/>
      <c r="AH6" s="238"/>
      <c r="AI6" s="698"/>
    </row>
    <row r="7" spans="1:35" ht="24" customHeight="1">
      <c r="A7" s="36"/>
      <c r="B7" s="36"/>
      <c r="C7" s="112"/>
      <c r="D7" s="68" t="s">
        <v>8</v>
      </c>
      <c r="E7" s="109"/>
      <c r="F7" s="294">
        <v>1</v>
      </c>
      <c r="G7" s="125" t="s">
        <v>7</v>
      </c>
      <c r="H7" s="111"/>
      <c r="I7" s="111">
        <f>I70</f>
        <v>0</v>
      </c>
      <c r="J7" s="68"/>
      <c r="K7" s="68"/>
      <c r="L7" s="69"/>
      <c r="M7" s="37"/>
      <c r="N7" s="37"/>
      <c r="O7" s="236"/>
      <c r="P7" s="237"/>
      <c r="Q7" s="238"/>
      <c r="R7" s="238"/>
      <c r="S7" s="238"/>
      <c r="T7" s="238"/>
      <c r="U7" s="238"/>
      <c r="V7" s="238"/>
      <c r="W7" s="238"/>
      <c r="X7" s="239"/>
      <c r="Y7" s="239"/>
      <c r="Z7" s="239"/>
      <c r="AA7" s="239"/>
      <c r="AB7" s="239"/>
      <c r="AC7" s="238"/>
      <c r="AD7" s="370"/>
      <c r="AE7" s="371"/>
      <c r="AF7" s="238"/>
      <c r="AG7" s="238"/>
      <c r="AH7" s="238"/>
      <c r="AI7" s="698"/>
    </row>
    <row r="8" spans="1:35" ht="24" customHeight="1">
      <c r="A8" s="36"/>
      <c r="B8" s="36"/>
      <c r="C8" s="112"/>
      <c r="D8" s="68" t="s">
        <v>163</v>
      </c>
      <c r="E8" s="109"/>
      <c r="F8" s="294">
        <v>1</v>
      </c>
      <c r="G8" s="125" t="s">
        <v>7</v>
      </c>
      <c r="H8" s="111"/>
      <c r="I8" s="111">
        <f>I93</f>
        <v>0</v>
      </c>
      <c r="J8" s="68"/>
      <c r="K8" s="68"/>
      <c r="L8" s="69"/>
      <c r="M8" s="37"/>
      <c r="N8" s="37"/>
      <c r="O8" s="236"/>
      <c r="P8" s="237"/>
      <c r="Q8" s="238"/>
      <c r="R8" s="238"/>
      <c r="S8" s="238"/>
      <c r="T8" s="238"/>
      <c r="U8" s="238"/>
      <c r="V8" s="238"/>
      <c r="W8" s="238"/>
      <c r="X8" s="239"/>
      <c r="Y8" s="239"/>
      <c r="Z8" s="239"/>
      <c r="AA8" s="239"/>
      <c r="AB8" s="239"/>
      <c r="AC8" s="238"/>
      <c r="AD8" s="370"/>
      <c r="AE8" s="371"/>
      <c r="AF8" s="238"/>
      <c r="AG8" s="238"/>
      <c r="AH8" s="238"/>
      <c r="AI8" s="698"/>
    </row>
    <row r="9" spans="1:35" ht="24" customHeight="1">
      <c r="A9" s="36"/>
      <c r="B9" s="36"/>
      <c r="C9" s="112"/>
      <c r="D9" s="68" t="s">
        <v>4099</v>
      </c>
      <c r="E9" s="109"/>
      <c r="F9" s="294">
        <v>1</v>
      </c>
      <c r="G9" s="125" t="s">
        <v>7</v>
      </c>
      <c r="H9" s="111"/>
      <c r="I9" s="111">
        <f>I116</f>
        <v>0</v>
      </c>
      <c r="J9" s="68"/>
      <c r="K9" s="68"/>
      <c r="L9" s="69"/>
      <c r="M9" s="37"/>
      <c r="N9" s="37"/>
      <c r="O9" s="236"/>
      <c r="P9" s="237"/>
      <c r="Q9" s="238"/>
      <c r="R9" s="238"/>
      <c r="S9" s="238"/>
      <c r="T9" s="238"/>
      <c r="U9" s="238"/>
      <c r="V9" s="238"/>
      <c r="W9" s="238"/>
      <c r="X9" s="239"/>
      <c r="Y9" s="239"/>
      <c r="Z9" s="239"/>
      <c r="AA9" s="239"/>
      <c r="AB9" s="239"/>
      <c r="AC9" s="238"/>
      <c r="AD9" s="370"/>
      <c r="AE9" s="371"/>
      <c r="AF9" s="238"/>
      <c r="AG9" s="238"/>
      <c r="AH9" s="238"/>
      <c r="AI9" s="698"/>
    </row>
    <row r="10" spans="1:35" ht="24" customHeight="1">
      <c r="A10" s="36"/>
      <c r="B10" s="36"/>
      <c r="C10" s="112"/>
      <c r="D10" s="68"/>
      <c r="E10" s="109"/>
      <c r="F10" s="294"/>
      <c r="G10" s="125"/>
      <c r="H10" s="111"/>
      <c r="I10" s="111"/>
      <c r="J10" s="68"/>
      <c r="K10" s="68"/>
      <c r="L10" s="69"/>
      <c r="M10" s="37"/>
      <c r="N10" s="37"/>
      <c r="O10" s="236"/>
      <c r="P10" s="237"/>
      <c r="Q10" s="238"/>
      <c r="R10" s="238"/>
      <c r="S10" s="238"/>
      <c r="T10" s="238"/>
      <c r="U10" s="238"/>
      <c r="V10" s="238"/>
      <c r="W10" s="238"/>
      <c r="X10" s="239"/>
      <c r="Y10" s="239"/>
      <c r="Z10" s="239"/>
      <c r="AA10" s="239"/>
      <c r="AB10" s="239"/>
      <c r="AC10" s="238"/>
      <c r="AD10" s="370"/>
      <c r="AE10" s="371"/>
      <c r="AF10" s="238"/>
      <c r="AG10" s="238"/>
      <c r="AH10" s="238"/>
      <c r="AI10" s="698"/>
    </row>
    <row r="11" spans="1:35" ht="24" customHeight="1">
      <c r="A11" s="36"/>
      <c r="B11" s="36"/>
      <c r="C11" s="112"/>
      <c r="D11" s="68"/>
      <c r="E11" s="109"/>
      <c r="F11" s="294"/>
      <c r="G11" s="125"/>
      <c r="H11" s="111"/>
      <c r="I11" s="111"/>
      <c r="J11" s="68"/>
      <c r="K11" s="68"/>
      <c r="L11" s="69"/>
      <c r="M11" s="37"/>
      <c r="N11" s="37"/>
      <c r="O11" s="236"/>
      <c r="P11" s="237"/>
      <c r="Q11" s="238"/>
      <c r="R11" s="238"/>
      <c r="S11" s="238"/>
      <c r="T11" s="238"/>
      <c r="U11" s="238"/>
      <c r="V11" s="238"/>
      <c r="W11" s="238"/>
      <c r="X11" s="239"/>
      <c r="Y11" s="239"/>
      <c r="Z11" s="239"/>
      <c r="AA11" s="239"/>
      <c r="AB11" s="239"/>
      <c r="AC11" s="238"/>
      <c r="AD11" s="370"/>
      <c r="AE11" s="371"/>
      <c r="AF11" s="238"/>
      <c r="AG11" s="238"/>
      <c r="AH11" s="238"/>
      <c r="AI11" s="698"/>
    </row>
    <row r="12" spans="1:35" s="37" customFormat="1" ht="24" customHeight="1">
      <c r="A12" s="36"/>
      <c r="B12" s="36"/>
      <c r="C12" s="112"/>
      <c r="D12" s="68"/>
      <c r="E12" s="109"/>
      <c r="F12" s="294"/>
      <c r="G12" s="125"/>
      <c r="H12" s="111"/>
      <c r="I12" s="111"/>
      <c r="J12" s="68"/>
      <c r="K12" s="68"/>
      <c r="L12" s="69"/>
      <c r="O12" s="236"/>
      <c r="P12" s="237"/>
      <c r="Q12" s="238"/>
      <c r="R12" s="238"/>
      <c r="S12" s="238"/>
      <c r="T12" s="238"/>
      <c r="U12" s="238"/>
      <c r="V12" s="238"/>
      <c r="W12" s="238"/>
      <c r="X12" s="239"/>
      <c r="Y12" s="239"/>
      <c r="Z12" s="239"/>
      <c r="AA12" s="239"/>
      <c r="AB12" s="239"/>
      <c r="AC12" s="238"/>
      <c r="AD12" s="370"/>
      <c r="AE12" s="371"/>
      <c r="AF12" s="238"/>
      <c r="AG12" s="238"/>
      <c r="AH12" s="238"/>
      <c r="AI12" s="698"/>
    </row>
    <row r="13" spans="1:35" ht="24" customHeight="1">
      <c r="A13" s="36"/>
      <c r="B13" s="36"/>
      <c r="C13" s="112"/>
      <c r="D13" s="68"/>
      <c r="E13" s="109"/>
      <c r="F13" s="294"/>
      <c r="G13" s="125"/>
      <c r="H13" s="111"/>
      <c r="I13" s="111"/>
      <c r="J13" s="68"/>
      <c r="K13" s="68"/>
      <c r="L13" s="69"/>
      <c r="M13" s="37"/>
      <c r="N13" s="37"/>
      <c r="O13" s="236"/>
      <c r="P13" s="237"/>
      <c r="Q13" s="238"/>
      <c r="R13" s="238"/>
      <c r="S13" s="238"/>
      <c r="T13" s="238"/>
      <c r="U13" s="238"/>
      <c r="V13" s="238"/>
      <c r="W13" s="238"/>
      <c r="X13" s="239"/>
      <c r="Y13" s="239"/>
      <c r="Z13" s="239"/>
      <c r="AA13" s="239"/>
      <c r="AB13" s="239"/>
      <c r="AC13" s="238"/>
      <c r="AD13" s="370"/>
      <c r="AE13" s="371"/>
      <c r="AF13" s="238"/>
      <c r="AG13" s="238"/>
      <c r="AH13" s="238"/>
      <c r="AI13" s="698"/>
    </row>
    <row r="14" spans="1:35" ht="24" customHeight="1">
      <c r="A14" s="36"/>
      <c r="B14" s="36"/>
      <c r="C14" s="112"/>
      <c r="D14" s="68"/>
      <c r="E14" s="109"/>
      <c r="F14" s="294"/>
      <c r="G14" s="125"/>
      <c r="H14" s="111"/>
      <c r="I14" s="111"/>
      <c r="J14" s="68"/>
      <c r="K14" s="68"/>
      <c r="L14" s="69"/>
      <c r="M14" s="37"/>
      <c r="N14" s="37"/>
      <c r="O14" s="236"/>
      <c r="P14" s="237"/>
      <c r="Q14" s="238"/>
      <c r="R14" s="238"/>
      <c r="S14" s="238"/>
      <c r="T14" s="238"/>
      <c r="U14" s="238"/>
      <c r="V14" s="238"/>
      <c r="W14" s="238"/>
      <c r="X14" s="239"/>
      <c r="Y14" s="239"/>
      <c r="Z14" s="239"/>
      <c r="AA14" s="239"/>
      <c r="AB14" s="239"/>
      <c r="AC14" s="238"/>
      <c r="AD14" s="370"/>
      <c r="AE14" s="371"/>
      <c r="AF14" s="238"/>
      <c r="AG14" s="238"/>
      <c r="AH14" s="238"/>
      <c r="AI14" s="698"/>
    </row>
    <row r="15" spans="1:35" s="37" customFormat="1" ht="24" customHeight="1">
      <c r="A15" s="36"/>
      <c r="B15" s="36"/>
      <c r="C15" s="112"/>
      <c r="D15" s="68"/>
      <c r="E15" s="109"/>
      <c r="F15" s="294"/>
      <c r="G15" s="125"/>
      <c r="H15" s="111"/>
      <c r="I15" s="111"/>
      <c r="J15" s="68"/>
      <c r="K15" s="68"/>
      <c r="L15" s="69"/>
      <c r="O15" s="236"/>
      <c r="P15" s="237"/>
      <c r="Q15" s="238"/>
      <c r="R15" s="238"/>
      <c r="S15" s="238"/>
      <c r="T15" s="238"/>
      <c r="U15" s="238"/>
      <c r="V15" s="238"/>
      <c r="W15" s="238"/>
      <c r="X15" s="239"/>
      <c r="Y15" s="239"/>
      <c r="Z15" s="239"/>
      <c r="AA15" s="239"/>
      <c r="AB15" s="239"/>
      <c r="AC15" s="238"/>
      <c r="AD15" s="370"/>
      <c r="AE15" s="371"/>
      <c r="AF15" s="238"/>
      <c r="AG15" s="238"/>
      <c r="AH15" s="238"/>
      <c r="AI15" s="698"/>
    </row>
    <row r="16" spans="1:35" ht="24" customHeight="1">
      <c r="A16" s="36"/>
      <c r="B16" s="36"/>
      <c r="C16" s="112"/>
      <c r="D16" s="68" t="s">
        <v>65</v>
      </c>
      <c r="E16" s="109"/>
      <c r="F16" s="294"/>
      <c r="G16" s="125"/>
      <c r="H16" s="111"/>
      <c r="I16" s="111">
        <f>SUM(I7:I15)</f>
        <v>0</v>
      </c>
      <c r="J16" s="766" t="str">
        <f>IF(COUNTIF(N:N,"費用")=0,"","うち費用")</f>
        <v/>
      </c>
      <c r="K16" s="767" t="str">
        <f>IF(COUNTIF(N:N,"費用")=0,"",SUMIF(N:N,"費用",I:I))</f>
        <v/>
      </c>
      <c r="L16" s="69"/>
      <c r="M16" s="37"/>
      <c r="N16" s="37"/>
      <c r="O16" s="236"/>
      <c r="P16" s="237"/>
      <c r="Q16" s="238"/>
      <c r="R16" s="238"/>
      <c r="S16" s="238"/>
      <c r="T16" s="238"/>
      <c r="U16" s="238"/>
      <c r="V16" s="238"/>
      <c r="W16" s="238"/>
      <c r="X16" s="239"/>
      <c r="Y16" s="239"/>
      <c r="Z16" s="239"/>
      <c r="AA16" s="239"/>
      <c r="AB16" s="239"/>
      <c r="AC16" s="238"/>
      <c r="AD16" s="370"/>
      <c r="AE16" s="371"/>
      <c r="AF16" s="238"/>
      <c r="AG16" s="238"/>
      <c r="AH16" s="238"/>
      <c r="AI16" s="698"/>
    </row>
    <row r="17" spans="1:35" s="37" customFormat="1" ht="24" customHeight="1">
      <c r="A17" s="36"/>
      <c r="B17" s="36"/>
      <c r="C17" s="112"/>
      <c r="D17" s="126"/>
      <c r="E17" s="109"/>
      <c r="F17" s="294"/>
      <c r="G17" s="125"/>
      <c r="H17" s="111"/>
      <c r="I17" s="111"/>
      <c r="J17" s="68"/>
      <c r="K17" s="68"/>
      <c r="L17" s="69"/>
      <c r="O17" s="236"/>
      <c r="P17" s="237"/>
      <c r="Q17" s="238"/>
      <c r="R17" s="238"/>
      <c r="S17" s="238"/>
      <c r="T17" s="238"/>
      <c r="U17" s="238"/>
      <c r="V17" s="238"/>
      <c r="W17" s="238"/>
      <c r="X17" s="239"/>
      <c r="Y17" s="239"/>
      <c r="Z17" s="239"/>
      <c r="AA17" s="239"/>
      <c r="AB17" s="239"/>
      <c r="AC17" s="238"/>
      <c r="AD17" s="370"/>
      <c r="AE17" s="371"/>
      <c r="AF17" s="238"/>
      <c r="AG17" s="238"/>
      <c r="AH17" s="238"/>
      <c r="AI17" s="698"/>
    </row>
    <row r="18" spans="1:35" ht="24" customHeight="1">
      <c r="A18" s="36"/>
      <c r="B18" s="36"/>
      <c r="C18" s="197" t="s">
        <v>177</v>
      </c>
      <c r="D18" s="68"/>
      <c r="E18" s="109"/>
      <c r="F18" s="294"/>
      <c r="G18" s="125"/>
      <c r="H18" s="111"/>
      <c r="I18" s="111"/>
      <c r="J18" s="68"/>
      <c r="K18" s="68"/>
      <c r="L18" s="69"/>
      <c r="M18" s="37"/>
      <c r="N18" s="37"/>
      <c r="O18" s="236"/>
      <c r="P18" s="237"/>
      <c r="Q18" s="238"/>
      <c r="R18" s="238"/>
      <c r="S18" s="238"/>
      <c r="T18" s="238"/>
      <c r="U18" s="238"/>
      <c r="V18" s="238"/>
      <c r="W18" s="238"/>
      <c r="X18" s="239"/>
      <c r="Y18" s="239"/>
      <c r="Z18" s="239"/>
      <c r="AA18" s="239"/>
      <c r="AB18" s="239"/>
      <c r="AC18" s="238"/>
      <c r="AD18" s="370"/>
      <c r="AE18" s="371"/>
      <c r="AF18" s="238"/>
      <c r="AG18" s="238"/>
      <c r="AH18" s="238"/>
      <c r="AI18" s="698"/>
    </row>
    <row r="19" spans="1:35" ht="24" customHeight="1">
      <c r="A19" s="36"/>
      <c r="B19" s="36"/>
      <c r="C19" s="112"/>
      <c r="D19" s="68" t="s">
        <v>181</v>
      </c>
      <c r="E19" s="109"/>
      <c r="F19" s="294">
        <v>1</v>
      </c>
      <c r="G19" s="125" t="s">
        <v>7</v>
      </c>
      <c r="H19" s="111"/>
      <c r="I19" s="111">
        <v>500000</v>
      </c>
      <c r="J19" s="68"/>
      <c r="K19" s="68"/>
      <c r="L19" s="69"/>
      <c r="M19" s="37"/>
      <c r="N19" s="37"/>
      <c r="O19" s="236"/>
      <c r="P19" s="237"/>
      <c r="Q19" s="238"/>
      <c r="R19" s="238"/>
      <c r="S19" s="238"/>
      <c r="T19" s="238"/>
      <c r="U19" s="238"/>
      <c r="V19" s="238"/>
      <c r="W19" s="238"/>
      <c r="X19" s="239"/>
      <c r="Y19" s="239"/>
      <c r="Z19" s="239"/>
      <c r="AA19" s="239"/>
      <c r="AB19" s="239"/>
      <c r="AC19" s="238"/>
      <c r="AD19" s="370"/>
      <c r="AE19" s="371"/>
      <c r="AF19" s="238"/>
      <c r="AG19" s="238"/>
      <c r="AH19" s="238"/>
      <c r="AI19" s="698"/>
    </row>
    <row r="20" spans="1:35" ht="24" customHeight="1">
      <c r="A20" s="36"/>
      <c r="B20" s="36"/>
      <c r="C20" s="112"/>
      <c r="D20" s="68" t="s">
        <v>178</v>
      </c>
      <c r="E20" s="109"/>
      <c r="F20" s="294">
        <v>1</v>
      </c>
      <c r="G20" s="125" t="s">
        <v>7</v>
      </c>
      <c r="H20" s="111"/>
      <c r="I20" s="111">
        <v>2000</v>
      </c>
      <c r="J20" s="198"/>
      <c r="K20" s="68"/>
      <c r="L20" s="69"/>
      <c r="M20" s="37"/>
      <c r="N20" s="37"/>
      <c r="O20" s="236"/>
      <c r="P20" s="237"/>
      <c r="Q20" s="238"/>
      <c r="R20" s="238"/>
      <c r="S20" s="238"/>
      <c r="T20" s="238"/>
      <c r="U20" s="238"/>
      <c r="V20" s="238"/>
      <c r="W20" s="238"/>
      <c r="X20" s="239"/>
      <c r="Y20" s="239"/>
      <c r="Z20" s="239"/>
      <c r="AA20" s="239"/>
      <c r="AB20" s="239"/>
      <c r="AC20" s="238"/>
      <c r="AD20" s="370"/>
      <c r="AE20" s="371"/>
      <c r="AF20" s="238"/>
      <c r="AG20" s="238"/>
      <c r="AH20" s="238"/>
      <c r="AI20" s="698"/>
    </row>
    <row r="21" spans="1:35" ht="24" customHeight="1">
      <c r="A21" s="36"/>
      <c r="B21" s="36"/>
      <c r="C21" s="112"/>
      <c r="D21" s="68"/>
      <c r="E21" s="109"/>
      <c r="F21" s="294"/>
      <c r="G21" s="125"/>
      <c r="H21" s="111"/>
      <c r="I21" s="111"/>
      <c r="J21" s="68"/>
      <c r="K21" s="68"/>
      <c r="L21" s="69"/>
      <c r="M21" s="37"/>
      <c r="N21" s="37"/>
      <c r="O21" s="236"/>
      <c r="P21" s="237"/>
      <c r="Q21" s="238"/>
      <c r="R21" s="238"/>
      <c r="S21" s="238"/>
      <c r="T21" s="238"/>
      <c r="U21" s="238"/>
      <c r="V21" s="238"/>
      <c r="W21" s="238"/>
      <c r="X21" s="239"/>
      <c r="Y21" s="239"/>
      <c r="Z21" s="239"/>
      <c r="AA21" s="239"/>
      <c r="AB21" s="239"/>
      <c r="AC21" s="238"/>
      <c r="AD21" s="370"/>
      <c r="AE21" s="371"/>
      <c r="AF21" s="238"/>
      <c r="AG21" s="238"/>
      <c r="AH21" s="238"/>
      <c r="AI21" s="698"/>
    </row>
    <row r="22" spans="1:35" ht="24" customHeight="1">
      <c r="A22" s="36"/>
      <c r="B22" s="36"/>
      <c r="C22" s="112"/>
      <c r="D22" s="68" t="s">
        <v>65</v>
      </c>
      <c r="E22" s="109"/>
      <c r="F22" s="294"/>
      <c r="G22" s="125"/>
      <c r="H22" s="111"/>
      <c r="I22" s="111">
        <f>+I19+I20</f>
        <v>502000</v>
      </c>
      <c r="J22" s="68"/>
      <c r="K22" s="68"/>
      <c r="L22" s="69"/>
      <c r="M22" s="37"/>
      <c r="N22" s="37"/>
      <c r="O22" s="236"/>
      <c r="P22" s="237"/>
      <c r="Q22" s="238"/>
      <c r="R22" s="238"/>
      <c r="S22" s="238"/>
      <c r="T22" s="238"/>
      <c r="U22" s="238"/>
      <c r="V22" s="238"/>
      <c r="W22" s="238"/>
      <c r="X22" s="239"/>
      <c r="Y22" s="239"/>
      <c r="Z22" s="239"/>
      <c r="AA22" s="239"/>
      <c r="AB22" s="239"/>
      <c r="AC22" s="238"/>
      <c r="AD22" s="370"/>
      <c r="AE22" s="371"/>
      <c r="AF22" s="238"/>
      <c r="AG22" s="238"/>
      <c r="AH22" s="238"/>
      <c r="AI22" s="698"/>
    </row>
    <row r="23" spans="1:35" s="37" customFormat="1" ht="24" customHeight="1">
      <c r="A23" s="36"/>
      <c r="B23" s="36"/>
      <c r="C23" s="112"/>
      <c r="D23" s="68"/>
      <c r="E23" s="109"/>
      <c r="F23" s="294"/>
      <c r="G23" s="125"/>
      <c r="H23" s="111"/>
      <c r="I23" s="111"/>
      <c r="J23" s="68"/>
      <c r="K23" s="68"/>
      <c r="L23" s="69"/>
      <c r="O23" s="236"/>
      <c r="P23" s="237"/>
      <c r="Q23" s="238"/>
      <c r="R23" s="238"/>
      <c r="S23" s="238"/>
      <c r="T23" s="238"/>
      <c r="U23" s="238"/>
      <c r="V23" s="238"/>
      <c r="W23" s="238"/>
      <c r="X23" s="239"/>
      <c r="Y23" s="239"/>
      <c r="Z23" s="239"/>
      <c r="AA23" s="239"/>
      <c r="AB23" s="239"/>
      <c r="AC23" s="238"/>
      <c r="AD23" s="370"/>
      <c r="AE23" s="371"/>
      <c r="AF23" s="238"/>
      <c r="AG23" s="238"/>
      <c r="AH23" s="238"/>
      <c r="AI23" s="698"/>
    </row>
    <row r="24" spans="1:35" ht="24" customHeight="1" thickBot="1">
      <c r="A24" s="36"/>
      <c r="B24" s="36"/>
      <c r="C24" s="113"/>
      <c r="D24" s="99" t="s">
        <v>61</v>
      </c>
      <c r="E24" s="114"/>
      <c r="F24" s="295"/>
      <c r="G24" s="127"/>
      <c r="H24" s="128" t="s">
        <v>88</v>
      </c>
      <c r="I24" s="115">
        <f>+I22+I16</f>
        <v>502000</v>
      </c>
      <c r="J24" s="99" t="s">
        <v>89</v>
      </c>
      <c r="K24" s="99"/>
      <c r="L24" s="129"/>
      <c r="O24" s="236"/>
      <c r="P24" s="237"/>
      <c r="Q24" s="238"/>
      <c r="R24" s="238"/>
      <c r="S24" s="238"/>
      <c r="T24" s="238"/>
      <c r="U24" s="238"/>
      <c r="V24" s="238"/>
      <c r="W24" s="238"/>
      <c r="X24" s="239"/>
      <c r="Y24" s="239"/>
      <c r="Z24" s="239"/>
      <c r="AA24" s="239"/>
      <c r="AB24" s="239"/>
      <c r="AC24" s="238"/>
      <c r="AD24" s="370"/>
      <c r="AE24" s="371"/>
      <c r="AF24" s="238"/>
      <c r="AG24" s="238"/>
      <c r="AH24" s="238"/>
      <c r="AI24" s="698"/>
    </row>
    <row r="25" spans="1:35" ht="14.25" customHeight="1">
      <c r="E25" s="130" t="s">
        <v>106</v>
      </c>
      <c r="F25" s="131">
        <f>+F2+1</f>
        <v>7</v>
      </c>
      <c r="G25" s="132" t="s">
        <v>107</v>
      </c>
      <c r="H25" s="133">
        <f>H2</f>
        <v>6</v>
      </c>
      <c r="M25" s="31" t="str">
        <f>IF(A27="","EOL","")</f>
        <v/>
      </c>
      <c r="N25" s="1">
        <f>+F25</f>
        <v>7</v>
      </c>
    </row>
    <row r="26" spans="1:35" ht="26" customHeight="1" thickBot="1">
      <c r="C26" s="938" t="s">
        <v>369</v>
      </c>
      <c r="D26" s="938"/>
      <c r="E26" s="938"/>
      <c r="F26" s="938"/>
      <c r="G26" s="938"/>
      <c r="H26" s="938"/>
      <c r="I26" s="938"/>
      <c r="J26" s="938"/>
      <c r="K26" s="938"/>
      <c r="L26" s="938"/>
      <c r="O26" s="1039" t="s">
        <v>154</v>
      </c>
      <c r="P26" s="1039"/>
      <c r="Q26" s="1039"/>
      <c r="R26" s="1039"/>
      <c r="S26" s="1039"/>
      <c r="T26" s="1039"/>
      <c r="U26" s="1039"/>
      <c r="V26" s="1039"/>
      <c r="W26" s="1039"/>
      <c r="X26" s="1039"/>
      <c r="Y26" s="1039"/>
      <c r="Z26" s="1039"/>
      <c r="AA26" s="1039"/>
      <c r="AB26" s="1039"/>
      <c r="AC26" s="1039"/>
      <c r="AD26" s="1039"/>
      <c r="AE26" s="1039"/>
      <c r="AF26" s="1039"/>
      <c r="AG26" s="1039"/>
      <c r="AH26" s="1040"/>
      <c r="AI26" s="696"/>
    </row>
    <row r="27" spans="1:35" ht="42" customHeight="1">
      <c r="A27" s="5" t="s">
        <v>11</v>
      </c>
      <c r="B27" s="5" t="s">
        <v>10</v>
      </c>
      <c r="C27" s="88" t="s">
        <v>0</v>
      </c>
      <c r="D27" s="89"/>
      <c r="E27" s="66" t="s">
        <v>1</v>
      </c>
      <c r="F27" s="64" t="s">
        <v>2</v>
      </c>
      <c r="G27" s="64" t="s">
        <v>3</v>
      </c>
      <c r="H27" s="65" t="s">
        <v>4</v>
      </c>
      <c r="I27" s="65" t="s">
        <v>5</v>
      </c>
      <c r="J27" s="89" t="s">
        <v>6</v>
      </c>
      <c r="K27" s="89"/>
      <c r="L27" s="90"/>
      <c r="M27" s="37"/>
      <c r="N27" s="37"/>
      <c r="O27" s="165" t="s">
        <v>85</v>
      </c>
      <c r="P27" s="364" t="s">
        <v>288</v>
      </c>
      <c r="Q27" s="296" t="s">
        <v>305</v>
      </c>
      <c r="R27" s="296" t="s">
        <v>249</v>
      </c>
      <c r="S27" s="296" t="s">
        <v>250</v>
      </c>
      <c r="T27" s="296" t="s">
        <v>265</v>
      </c>
      <c r="U27" s="296" t="s">
        <v>148</v>
      </c>
      <c r="V27" s="164" t="s">
        <v>147</v>
      </c>
      <c r="W27" s="296" t="s">
        <v>251</v>
      </c>
      <c r="X27" s="229" t="s">
        <v>252</v>
      </c>
      <c r="Y27" s="229" t="s">
        <v>253</v>
      </c>
      <c r="Z27" s="229" t="s">
        <v>254</v>
      </c>
      <c r="AA27" s="229" t="s">
        <v>255</v>
      </c>
      <c r="AB27" s="229" t="s">
        <v>300</v>
      </c>
      <c r="AC27" s="367" t="s">
        <v>309</v>
      </c>
      <c r="AD27" s="368" t="s">
        <v>310</v>
      </c>
      <c r="AE27" s="369" t="s">
        <v>150</v>
      </c>
      <c r="AF27" s="163" t="s">
        <v>153</v>
      </c>
      <c r="AG27" s="163" t="s">
        <v>151</v>
      </c>
      <c r="AH27" s="163" t="s">
        <v>152</v>
      </c>
      <c r="AI27" s="697"/>
    </row>
    <row r="28" spans="1:35" ht="24" customHeight="1">
      <c r="A28" s="36"/>
      <c r="B28" s="36"/>
      <c r="C28" s="138" t="s">
        <v>182</v>
      </c>
      <c r="D28" s="103"/>
      <c r="E28" s="106"/>
      <c r="F28" s="293"/>
      <c r="G28" s="142"/>
      <c r="H28" s="98" t="s">
        <v>12</v>
      </c>
      <c r="I28" s="98" t="s">
        <v>12</v>
      </c>
      <c r="J28" s="103"/>
      <c r="K28" s="103"/>
      <c r="L28" s="104"/>
      <c r="O28" s="236"/>
      <c r="P28" s="237"/>
      <c r="Q28" s="238"/>
      <c r="R28" s="238"/>
      <c r="S28" s="238"/>
      <c r="T28" s="238"/>
      <c r="U28" s="238"/>
      <c r="V28" s="238"/>
      <c r="W28" s="238"/>
      <c r="X28" s="239"/>
      <c r="Y28" s="239"/>
      <c r="Z28" s="239"/>
      <c r="AA28" s="239"/>
      <c r="AB28" s="239"/>
      <c r="AC28" s="238"/>
      <c r="AD28" s="370"/>
      <c r="AE28" s="371"/>
      <c r="AF28" s="238"/>
      <c r="AG28" s="238"/>
      <c r="AH28" s="238"/>
      <c r="AI28" s="698"/>
    </row>
    <row r="29" spans="1:35" s="37" customFormat="1" ht="24" customHeight="1">
      <c r="A29" s="36"/>
      <c r="B29" s="36"/>
      <c r="C29" s="112"/>
      <c r="D29" s="68" t="s">
        <v>4255</v>
      </c>
      <c r="E29" s="109"/>
      <c r="F29" s="294"/>
      <c r="G29" s="125"/>
      <c r="H29" s="143"/>
      <c r="I29" s="111" t="str">
        <f t="shared" ref="I29:I46" si="0">IF(F29="","",INT(F29*H29))</f>
        <v/>
      </c>
      <c r="J29" s="68"/>
      <c r="K29" s="68"/>
      <c r="L29" s="69"/>
      <c r="O29" s="236"/>
      <c r="P29" s="237"/>
      <c r="Q29" s="238"/>
      <c r="R29" s="238"/>
      <c r="S29" s="238"/>
      <c r="T29" s="238"/>
      <c r="U29" s="238"/>
      <c r="V29" s="238"/>
      <c r="W29" s="238"/>
      <c r="X29" s="239"/>
      <c r="Y29" s="239"/>
      <c r="Z29" s="239"/>
      <c r="AA29" s="239"/>
      <c r="AB29" s="239"/>
      <c r="AC29" s="238"/>
      <c r="AD29" s="370"/>
      <c r="AE29" s="371"/>
      <c r="AF29" s="238"/>
      <c r="AG29" s="238"/>
      <c r="AH29" s="238"/>
      <c r="AI29" s="698"/>
    </row>
    <row r="30" spans="1:35" s="37" customFormat="1" ht="24" customHeight="1">
      <c r="A30" s="36"/>
      <c r="B30" s="36"/>
      <c r="C30" s="112"/>
      <c r="D30" s="68" t="s">
        <v>4253</v>
      </c>
      <c r="E30" s="109"/>
      <c r="F30" s="294">
        <v>1</v>
      </c>
      <c r="G30" s="125" t="s">
        <v>4254</v>
      </c>
      <c r="H30" s="143"/>
      <c r="I30" s="111">
        <f t="shared" si="0"/>
        <v>0</v>
      </c>
      <c r="J30" s="68"/>
      <c r="K30" s="68"/>
      <c r="L30" s="69"/>
      <c r="O30" s="236"/>
      <c r="P30" s="237"/>
      <c r="Q30" s="238"/>
      <c r="R30" s="238"/>
      <c r="S30" s="238"/>
      <c r="T30" s="238"/>
      <c r="U30" s="238"/>
      <c r="V30" s="238"/>
      <c r="W30" s="238"/>
      <c r="X30" s="239"/>
      <c r="Y30" s="239"/>
      <c r="Z30" s="239"/>
      <c r="AA30" s="239"/>
      <c r="AB30" s="239"/>
      <c r="AC30" s="238"/>
      <c r="AD30" s="370"/>
      <c r="AE30" s="371"/>
      <c r="AF30" s="238"/>
      <c r="AG30" s="238"/>
      <c r="AH30" s="238"/>
      <c r="AI30" s="698"/>
    </row>
    <row r="31" spans="1:35" s="37" customFormat="1" ht="24" customHeight="1">
      <c r="A31" s="36"/>
      <c r="B31" s="36"/>
      <c r="C31" s="835"/>
      <c r="D31" s="836"/>
      <c r="E31" s="837"/>
      <c r="F31" s="838"/>
      <c r="G31" s="839"/>
      <c r="H31" s="840"/>
      <c r="I31" s="111" t="str">
        <f t="shared" si="0"/>
        <v/>
      </c>
      <c r="J31" s="836"/>
      <c r="K31" s="836"/>
      <c r="L31" s="841"/>
      <c r="O31" s="236"/>
      <c r="P31" s="237"/>
      <c r="Q31" s="238"/>
      <c r="R31" s="238"/>
      <c r="S31" s="238"/>
      <c r="T31" s="238"/>
      <c r="U31" s="238"/>
      <c r="V31" s="238"/>
      <c r="W31" s="238"/>
      <c r="X31" s="239"/>
      <c r="Y31" s="239"/>
      <c r="Z31" s="239"/>
      <c r="AA31" s="239"/>
      <c r="AB31" s="239"/>
      <c r="AC31" s="238"/>
      <c r="AD31" s="370"/>
      <c r="AE31" s="371"/>
      <c r="AF31" s="238"/>
      <c r="AG31" s="238"/>
      <c r="AH31" s="238"/>
      <c r="AI31" s="698"/>
    </row>
    <row r="32" spans="1:35" s="37" customFormat="1" ht="24" customHeight="1">
      <c r="A32" s="36"/>
      <c r="B32" s="36"/>
      <c r="C32" s="843"/>
      <c r="D32" s="844" t="s">
        <v>4258</v>
      </c>
      <c r="E32" s="845"/>
      <c r="F32" s="846"/>
      <c r="G32" s="847"/>
      <c r="H32" s="848"/>
      <c r="I32" s="849">
        <f>SUM(I30:I31)</f>
        <v>0</v>
      </c>
      <c r="J32" s="844"/>
      <c r="K32" s="844"/>
      <c r="L32" s="850"/>
      <c r="O32" s="236"/>
      <c r="P32" s="237"/>
      <c r="Q32" s="238"/>
      <c r="R32" s="238"/>
      <c r="S32" s="238"/>
      <c r="T32" s="238"/>
      <c r="U32" s="238"/>
      <c r="V32" s="238"/>
      <c r="W32" s="238"/>
      <c r="X32" s="239"/>
      <c r="Y32" s="239"/>
      <c r="Z32" s="239"/>
      <c r="AA32" s="239"/>
      <c r="AB32" s="239"/>
      <c r="AC32" s="238"/>
      <c r="AD32" s="370"/>
      <c r="AE32" s="371"/>
      <c r="AF32" s="238"/>
      <c r="AG32" s="238"/>
      <c r="AH32" s="238"/>
      <c r="AI32" s="698"/>
    </row>
    <row r="33" spans="1:35" s="37" customFormat="1" ht="24" customHeight="1">
      <c r="A33" s="36"/>
      <c r="B33" s="36"/>
      <c r="C33" s="842"/>
      <c r="D33" s="828"/>
      <c r="E33" s="829"/>
      <c r="F33" s="830"/>
      <c r="G33" s="831"/>
      <c r="H33" s="832"/>
      <c r="I33" s="833" t="str">
        <f t="shared" si="0"/>
        <v/>
      </c>
      <c r="J33" s="828"/>
      <c r="K33" s="828"/>
      <c r="L33" s="834"/>
      <c r="O33" s="236"/>
      <c r="P33" s="237"/>
      <c r="Q33" s="238"/>
      <c r="R33" s="238"/>
      <c r="S33" s="238"/>
      <c r="T33" s="238"/>
      <c r="U33" s="238"/>
      <c r="V33" s="238"/>
      <c r="W33" s="238"/>
      <c r="X33" s="239"/>
      <c r="Y33" s="239"/>
      <c r="Z33" s="239"/>
      <c r="AA33" s="239"/>
      <c r="AB33" s="239"/>
      <c r="AC33" s="238"/>
      <c r="AD33" s="370"/>
      <c r="AE33" s="371"/>
      <c r="AF33" s="238"/>
      <c r="AG33" s="238"/>
      <c r="AH33" s="238"/>
      <c r="AI33" s="698"/>
    </row>
    <row r="34" spans="1:35" s="37" customFormat="1" ht="24" customHeight="1">
      <c r="A34" s="36"/>
      <c r="B34" s="36"/>
      <c r="C34" s="112"/>
      <c r="D34" s="68" t="s">
        <v>4256</v>
      </c>
      <c r="E34" s="109"/>
      <c r="F34" s="294"/>
      <c r="G34" s="125"/>
      <c r="H34" s="143"/>
      <c r="I34" s="111" t="str">
        <f t="shared" si="0"/>
        <v/>
      </c>
      <c r="J34" s="68"/>
      <c r="K34" s="68"/>
      <c r="L34" s="69"/>
      <c r="O34" s="236"/>
      <c r="P34" s="237"/>
      <c r="Q34" s="238"/>
      <c r="R34" s="238"/>
      <c r="S34" s="238"/>
      <c r="T34" s="238"/>
      <c r="U34" s="238"/>
      <c r="V34" s="238"/>
      <c r="W34" s="238"/>
      <c r="X34" s="239"/>
      <c r="Y34" s="239"/>
      <c r="Z34" s="239"/>
      <c r="AA34" s="239"/>
      <c r="AB34" s="239"/>
      <c r="AC34" s="238"/>
      <c r="AD34" s="370"/>
      <c r="AE34" s="371"/>
      <c r="AF34" s="238"/>
      <c r="AG34" s="238"/>
      <c r="AH34" s="238"/>
      <c r="AI34" s="698"/>
    </row>
    <row r="35" spans="1:35" s="37" customFormat="1" ht="24" customHeight="1">
      <c r="A35" s="36"/>
      <c r="B35" s="36"/>
      <c r="C35" s="112"/>
      <c r="D35" s="68" t="s">
        <v>49</v>
      </c>
      <c r="E35" s="109"/>
      <c r="F35" s="294">
        <v>1</v>
      </c>
      <c r="G35" s="125" t="s">
        <v>7</v>
      </c>
      <c r="H35" s="143"/>
      <c r="I35" s="111">
        <f t="shared" si="0"/>
        <v>0</v>
      </c>
      <c r="J35" s="68"/>
      <c r="K35" s="68"/>
      <c r="L35" s="69"/>
      <c r="O35" s="236"/>
      <c r="P35" s="237"/>
      <c r="Q35" s="238"/>
      <c r="R35" s="238"/>
      <c r="S35" s="238"/>
      <c r="T35" s="238"/>
      <c r="U35" s="238"/>
      <c r="V35" s="238"/>
      <c r="W35" s="238"/>
      <c r="X35" s="239"/>
      <c r="Y35" s="239"/>
      <c r="Z35" s="239"/>
      <c r="AA35" s="239"/>
      <c r="AB35" s="239"/>
      <c r="AC35" s="238"/>
      <c r="AD35" s="370"/>
      <c r="AE35" s="371"/>
      <c r="AF35" s="238"/>
      <c r="AG35" s="238"/>
      <c r="AH35" s="238"/>
      <c r="AI35" s="698"/>
    </row>
    <row r="36" spans="1:35" s="37" customFormat="1" ht="24" customHeight="1">
      <c r="A36" s="36"/>
      <c r="B36" s="36"/>
      <c r="C36" s="112"/>
      <c r="D36" s="68" t="s">
        <v>50</v>
      </c>
      <c r="E36" s="109"/>
      <c r="F36" s="294">
        <v>1</v>
      </c>
      <c r="G36" s="125" t="s">
        <v>7</v>
      </c>
      <c r="H36" s="143"/>
      <c r="I36" s="111">
        <f t="shared" si="0"/>
        <v>0</v>
      </c>
      <c r="J36" s="68"/>
      <c r="K36" s="68"/>
      <c r="L36" s="69"/>
      <c r="O36" s="236"/>
      <c r="P36" s="237"/>
      <c r="Q36" s="238"/>
      <c r="R36" s="238"/>
      <c r="S36" s="238"/>
      <c r="T36" s="238"/>
      <c r="U36" s="238"/>
      <c r="V36" s="238"/>
      <c r="W36" s="238"/>
      <c r="X36" s="239"/>
      <c r="Y36" s="239"/>
      <c r="Z36" s="239"/>
      <c r="AA36" s="239"/>
      <c r="AB36" s="239"/>
      <c r="AC36" s="238"/>
      <c r="AD36" s="370"/>
      <c r="AE36" s="371"/>
      <c r="AF36" s="238"/>
      <c r="AG36" s="238"/>
      <c r="AH36" s="238"/>
      <c r="AI36" s="698"/>
    </row>
    <row r="37" spans="1:35" s="37" customFormat="1" ht="24" customHeight="1">
      <c r="A37" s="36"/>
      <c r="B37" s="36"/>
      <c r="C37" s="112"/>
      <c r="D37" s="68" t="s">
        <v>48</v>
      </c>
      <c r="E37" s="109"/>
      <c r="F37" s="294">
        <v>1</v>
      </c>
      <c r="G37" s="125" t="s">
        <v>7</v>
      </c>
      <c r="H37" s="143"/>
      <c r="I37" s="111">
        <f t="shared" si="0"/>
        <v>0</v>
      </c>
      <c r="J37" s="68"/>
      <c r="K37" s="68"/>
      <c r="L37" s="69"/>
      <c r="O37" s="236"/>
      <c r="P37" s="237"/>
      <c r="Q37" s="238"/>
      <c r="R37" s="238"/>
      <c r="S37" s="238"/>
      <c r="T37" s="238"/>
      <c r="U37" s="238"/>
      <c r="V37" s="238"/>
      <c r="W37" s="238"/>
      <c r="X37" s="239"/>
      <c r="Y37" s="239"/>
      <c r="Z37" s="239"/>
      <c r="AA37" s="239"/>
      <c r="AB37" s="239"/>
      <c r="AC37" s="238"/>
      <c r="AD37" s="370"/>
      <c r="AE37" s="371"/>
      <c r="AF37" s="238"/>
      <c r="AG37" s="238"/>
      <c r="AH37" s="238"/>
      <c r="AI37" s="698"/>
    </row>
    <row r="38" spans="1:35" s="37" customFormat="1" ht="24" customHeight="1">
      <c r="A38" s="36"/>
      <c r="B38" s="36"/>
      <c r="C38" s="112"/>
      <c r="D38" s="68" t="s">
        <v>179</v>
      </c>
      <c r="E38" s="109"/>
      <c r="F38" s="294">
        <v>1</v>
      </c>
      <c r="G38" s="125" t="s">
        <v>7</v>
      </c>
      <c r="H38" s="143"/>
      <c r="I38" s="111">
        <f t="shared" si="0"/>
        <v>0</v>
      </c>
      <c r="J38" s="68"/>
      <c r="K38" s="68"/>
      <c r="L38" s="69"/>
      <c r="O38" s="236"/>
      <c r="P38" s="237"/>
      <c r="Q38" s="238"/>
      <c r="R38" s="238"/>
      <c r="S38" s="238"/>
      <c r="T38" s="238"/>
      <c r="U38" s="238"/>
      <c r="V38" s="238"/>
      <c r="W38" s="238"/>
      <c r="X38" s="239"/>
      <c r="Y38" s="239"/>
      <c r="Z38" s="239"/>
      <c r="AA38" s="239"/>
      <c r="AB38" s="239"/>
      <c r="AC38" s="238"/>
      <c r="AD38" s="370"/>
      <c r="AE38" s="371"/>
      <c r="AF38" s="238"/>
      <c r="AG38" s="238"/>
      <c r="AH38" s="238"/>
      <c r="AI38" s="698"/>
    </row>
    <row r="39" spans="1:35" s="37" customFormat="1" ht="24" customHeight="1">
      <c r="A39" s="36"/>
      <c r="B39" s="36"/>
      <c r="C39" s="112"/>
      <c r="D39" s="68" t="s">
        <v>51</v>
      </c>
      <c r="E39" s="109"/>
      <c r="F39" s="294">
        <v>1</v>
      </c>
      <c r="G39" s="125" t="s">
        <v>7</v>
      </c>
      <c r="H39" s="143"/>
      <c r="I39" s="111">
        <f t="shared" si="0"/>
        <v>0</v>
      </c>
      <c r="J39" s="68"/>
      <c r="K39" s="68"/>
      <c r="L39" s="69"/>
      <c r="O39" s="236"/>
      <c r="P39" s="237"/>
      <c r="Q39" s="238"/>
      <c r="R39" s="238"/>
      <c r="S39" s="238"/>
      <c r="T39" s="238"/>
      <c r="U39" s="238"/>
      <c r="V39" s="238"/>
      <c r="W39" s="238"/>
      <c r="X39" s="239"/>
      <c r="Y39" s="239"/>
      <c r="Z39" s="239"/>
      <c r="AA39" s="239"/>
      <c r="AB39" s="239"/>
      <c r="AC39" s="238"/>
      <c r="AD39" s="370"/>
      <c r="AE39" s="371"/>
      <c r="AF39" s="238"/>
      <c r="AG39" s="238"/>
      <c r="AH39" s="238"/>
      <c r="AI39" s="698"/>
    </row>
    <row r="40" spans="1:35" s="37" customFormat="1" ht="24" customHeight="1">
      <c r="A40" s="36"/>
      <c r="B40" s="36"/>
      <c r="C40" s="112"/>
      <c r="D40" s="68" t="s">
        <v>52</v>
      </c>
      <c r="E40" s="109"/>
      <c r="F40" s="294">
        <v>1</v>
      </c>
      <c r="G40" s="125" t="s">
        <v>7</v>
      </c>
      <c r="H40" s="143"/>
      <c r="I40" s="111">
        <f t="shared" si="0"/>
        <v>0</v>
      </c>
      <c r="J40" s="68"/>
      <c r="K40" s="68"/>
      <c r="L40" s="69"/>
      <c r="O40" s="236"/>
      <c r="P40" s="237"/>
      <c r="Q40" s="238"/>
      <c r="R40" s="238"/>
      <c r="S40" s="238"/>
      <c r="T40" s="238"/>
      <c r="U40" s="238"/>
      <c r="V40" s="238"/>
      <c r="W40" s="238"/>
      <c r="X40" s="239"/>
      <c r="Y40" s="239"/>
      <c r="Z40" s="239"/>
      <c r="AA40" s="239"/>
      <c r="AB40" s="239"/>
      <c r="AC40" s="238"/>
      <c r="AD40" s="370"/>
      <c r="AE40" s="371"/>
      <c r="AF40" s="238"/>
      <c r="AG40" s="238"/>
      <c r="AH40" s="238"/>
      <c r="AI40" s="698"/>
    </row>
    <row r="41" spans="1:35" s="37" customFormat="1" ht="24" customHeight="1">
      <c r="A41" s="36"/>
      <c r="B41" s="36"/>
      <c r="C41" s="112"/>
      <c r="D41" s="68" t="s">
        <v>53</v>
      </c>
      <c r="E41" s="109"/>
      <c r="F41" s="294">
        <v>1</v>
      </c>
      <c r="G41" s="125" t="s">
        <v>7</v>
      </c>
      <c r="H41" s="143"/>
      <c r="I41" s="111">
        <f t="shared" si="0"/>
        <v>0</v>
      </c>
      <c r="J41" s="68"/>
      <c r="K41" s="68"/>
      <c r="L41" s="69"/>
      <c r="O41" s="236"/>
      <c r="P41" s="237"/>
      <c r="Q41" s="238"/>
      <c r="R41" s="238"/>
      <c r="S41" s="238"/>
      <c r="T41" s="238"/>
      <c r="U41" s="238"/>
      <c r="V41" s="238"/>
      <c r="W41" s="238"/>
      <c r="X41" s="239"/>
      <c r="Y41" s="239"/>
      <c r="Z41" s="239"/>
      <c r="AA41" s="239"/>
      <c r="AB41" s="239"/>
      <c r="AC41" s="238"/>
      <c r="AD41" s="370"/>
      <c r="AE41" s="371"/>
      <c r="AF41" s="238"/>
      <c r="AG41" s="238"/>
      <c r="AH41" s="238"/>
      <c r="AI41" s="698"/>
    </row>
    <row r="42" spans="1:35" s="37" customFormat="1" ht="24" customHeight="1">
      <c r="A42" s="36"/>
      <c r="B42" s="36"/>
      <c r="C42" s="112"/>
      <c r="D42" s="68" t="s">
        <v>54</v>
      </c>
      <c r="E42" s="109"/>
      <c r="F42" s="294">
        <v>1</v>
      </c>
      <c r="G42" s="125" t="s">
        <v>7</v>
      </c>
      <c r="H42" s="143"/>
      <c r="I42" s="111">
        <f t="shared" si="0"/>
        <v>0</v>
      </c>
      <c r="J42" s="68"/>
      <c r="K42" s="68"/>
      <c r="L42" s="69"/>
      <c r="O42" s="236"/>
      <c r="P42" s="237"/>
      <c r="Q42" s="238"/>
      <c r="R42" s="238"/>
      <c r="S42" s="238"/>
      <c r="T42" s="238"/>
      <c r="U42" s="238"/>
      <c r="V42" s="238"/>
      <c r="W42" s="238"/>
      <c r="X42" s="239"/>
      <c r="Y42" s="239"/>
      <c r="Z42" s="239"/>
      <c r="AA42" s="239"/>
      <c r="AB42" s="239"/>
      <c r="AC42" s="238"/>
      <c r="AD42" s="370"/>
      <c r="AE42" s="371"/>
      <c r="AF42" s="238"/>
      <c r="AG42" s="238"/>
      <c r="AH42" s="238"/>
      <c r="AI42" s="698"/>
    </row>
    <row r="43" spans="1:35" s="37" customFormat="1" ht="24" customHeight="1">
      <c r="A43" s="36"/>
      <c r="B43" s="36"/>
      <c r="C43" s="112"/>
      <c r="D43" s="68" t="s">
        <v>55</v>
      </c>
      <c r="E43" s="109"/>
      <c r="F43" s="294">
        <v>1</v>
      </c>
      <c r="G43" s="125" t="s">
        <v>7</v>
      </c>
      <c r="H43" s="143"/>
      <c r="I43" s="111">
        <f t="shared" si="0"/>
        <v>0</v>
      </c>
      <c r="J43" s="68"/>
      <c r="K43" s="68"/>
      <c r="L43" s="69"/>
      <c r="O43" s="236"/>
      <c r="P43" s="237"/>
      <c r="Q43" s="238"/>
      <c r="R43" s="238"/>
      <c r="S43" s="238"/>
      <c r="T43" s="238"/>
      <c r="U43" s="238"/>
      <c r="V43" s="238"/>
      <c r="W43" s="238"/>
      <c r="X43" s="239"/>
      <c r="Y43" s="239"/>
      <c r="Z43" s="239"/>
      <c r="AA43" s="239"/>
      <c r="AB43" s="239"/>
      <c r="AC43" s="238"/>
      <c r="AD43" s="370"/>
      <c r="AE43" s="371"/>
      <c r="AF43" s="238"/>
      <c r="AG43" s="238"/>
      <c r="AH43" s="238"/>
      <c r="AI43" s="698"/>
    </row>
    <row r="44" spans="1:35" s="37" customFormat="1" ht="24" customHeight="1">
      <c r="A44" s="36"/>
      <c r="B44" s="36"/>
      <c r="C44" s="835"/>
      <c r="D44" s="836"/>
      <c r="E44" s="837"/>
      <c r="F44" s="838"/>
      <c r="G44" s="839"/>
      <c r="H44" s="840"/>
      <c r="I44" s="111" t="str">
        <f t="shared" si="0"/>
        <v/>
      </c>
      <c r="J44" s="836"/>
      <c r="K44" s="836"/>
      <c r="L44" s="841"/>
      <c r="O44" s="236"/>
      <c r="P44" s="237"/>
      <c r="Q44" s="238"/>
      <c r="R44" s="238"/>
      <c r="S44" s="238"/>
      <c r="T44" s="238"/>
      <c r="U44" s="238"/>
      <c r="V44" s="238"/>
      <c r="W44" s="238"/>
      <c r="X44" s="239"/>
      <c r="Y44" s="239"/>
      <c r="Z44" s="239"/>
      <c r="AA44" s="239"/>
      <c r="AB44" s="239"/>
      <c r="AC44" s="238"/>
      <c r="AD44" s="370"/>
      <c r="AE44" s="371"/>
      <c r="AF44" s="238"/>
      <c r="AG44" s="238"/>
      <c r="AH44" s="238"/>
      <c r="AI44" s="698"/>
    </row>
    <row r="45" spans="1:35" s="37" customFormat="1" ht="24" customHeight="1">
      <c r="A45" s="36"/>
      <c r="B45" s="36"/>
      <c r="C45" s="851"/>
      <c r="D45" s="844" t="s">
        <v>4257</v>
      </c>
      <c r="E45" s="845"/>
      <c r="F45" s="846"/>
      <c r="G45" s="847"/>
      <c r="H45" s="848"/>
      <c r="I45" s="849">
        <f>SUM(I35:I44)</f>
        <v>0</v>
      </c>
      <c r="J45" s="844"/>
      <c r="K45" s="844"/>
      <c r="L45" s="850"/>
      <c r="O45" s="236"/>
      <c r="P45" s="237"/>
      <c r="Q45" s="238"/>
      <c r="R45" s="238"/>
      <c r="S45" s="238"/>
      <c r="T45" s="238"/>
      <c r="U45" s="238"/>
      <c r="V45" s="238"/>
      <c r="W45" s="238"/>
      <c r="X45" s="239"/>
      <c r="Y45" s="239"/>
      <c r="Z45" s="239"/>
      <c r="AA45" s="239"/>
      <c r="AB45" s="239"/>
      <c r="AC45" s="238"/>
      <c r="AD45" s="370"/>
      <c r="AE45" s="371"/>
      <c r="AF45" s="238"/>
      <c r="AG45" s="238"/>
      <c r="AH45" s="238"/>
      <c r="AI45" s="698"/>
    </row>
    <row r="46" spans="1:35" s="37" customFormat="1" ht="24" customHeight="1">
      <c r="A46" s="36"/>
      <c r="B46" s="36"/>
      <c r="C46" s="842"/>
      <c r="D46" s="828"/>
      <c r="E46" s="829"/>
      <c r="F46" s="830"/>
      <c r="G46" s="831"/>
      <c r="H46" s="832"/>
      <c r="I46" s="833" t="str">
        <f t="shared" si="0"/>
        <v/>
      </c>
      <c r="J46" s="828"/>
      <c r="K46" s="828"/>
      <c r="L46" s="834"/>
      <c r="O46" s="236"/>
      <c r="P46" s="237"/>
      <c r="Q46" s="238"/>
      <c r="R46" s="238"/>
      <c r="S46" s="238"/>
      <c r="T46" s="238"/>
      <c r="U46" s="238"/>
      <c r="V46" s="238"/>
      <c r="W46" s="238"/>
      <c r="X46" s="239"/>
      <c r="Y46" s="239"/>
      <c r="Z46" s="239"/>
      <c r="AA46" s="239"/>
      <c r="AB46" s="239"/>
      <c r="AC46" s="238"/>
      <c r="AD46" s="370"/>
      <c r="AE46" s="371"/>
      <c r="AF46" s="238"/>
      <c r="AG46" s="238"/>
      <c r="AH46" s="238"/>
      <c r="AI46" s="698"/>
    </row>
    <row r="47" spans="1:35" ht="24" customHeight="1" thickBot="1">
      <c r="A47" s="36"/>
      <c r="B47" s="36"/>
      <c r="C47" s="113"/>
      <c r="D47" s="99" t="s">
        <v>9</v>
      </c>
      <c r="E47" s="114"/>
      <c r="F47" s="295"/>
      <c r="G47" s="127"/>
      <c r="H47" s="137" t="s">
        <v>88</v>
      </c>
      <c r="I47" s="115">
        <f>I32+I45</f>
        <v>0</v>
      </c>
      <c r="J47" s="99" t="s">
        <v>89</v>
      </c>
      <c r="K47" s="768" t="str">
        <f>IF(C28="部分撤去工事",(K24+L47),"")</f>
        <v/>
      </c>
      <c r="L47" s="769">
        <f>IF(C28="部分撤去工事",SUMIF(N29:N46,"費用",I29:I46),0)</f>
        <v>0</v>
      </c>
      <c r="O47" s="236"/>
      <c r="P47" s="237"/>
      <c r="Q47" s="238"/>
      <c r="R47" s="238"/>
      <c r="S47" s="238"/>
      <c r="T47" s="238"/>
      <c r="U47" s="238"/>
      <c r="V47" s="238"/>
      <c r="W47" s="238"/>
      <c r="X47" s="239"/>
      <c r="Y47" s="239"/>
      <c r="Z47" s="239"/>
      <c r="AA47" s="239"/>
      <c r="AB47" s="239"/>
      <c r="AC47" s="238"/>
      <c r="AD47" s="370"/>
      <c r="AE47" s="371"/>
      <c r="AF47" s="238"/>
      <c r="AG47" s="238"/>
      <c r="AH47" s="238"/>
      <c r="AI47" s="698"/>
    </row>
    <row r="48" spans="1:35" ht="14.25" customHeight="1">
      <c r="C48" s="167"/>
      <c r="D48" s="167"/>
      <c r="E48" s="130" t="s">
        <v>66</v>
      </c>
      <c r="F48" s="131">
        <f>+F25+1</f>
        <v>8</v>
      </c>
      <c r="G48" s="132" t="s">
        <v>67</v>
      </c>
      <c r="H48" s="133">
        <f>+H25</f>
        <v>6</v>
      </c>
      <c r="I48" s="133"/>
      <c r="M48" s="31" t="str">
        <f>IF(A50="","EOL","")</f>
        <v/>
      </c>
      <c r="N48" s="1">
        <f>+F48</f>
        <v>8</v>
      </c>
      <c r="O48" s="1"/>
      <c r="P48" s="1"/>
    </row>
    <row r="49" spans="1:35" ht="26" customHeight="1" thickBot="1">
      <c r="C49" s="938" t="s">
        <v>369</v>
      </c>
      <c r="D49" s="938"/>
      <c r="E49" s="938"/>
      <c r="F49" s="938"/>
      <c r="G49" s="938"/>
      <c r="H49" s="938"/>
      <c r="I49" s="938"/>
      <c r="J49" s="938"/>
      <c r="K49" s="938"/>
      <c r="L49" s="938"/>
      <c r="O49" s="1039" t="s">
        <v>154</v>
      </c>
      <c r="P49" s="1039"/>
      <c r="Q49" s="1039"/>
      <c r="R49" s="1039"/>
      <c r="S49" s="1039"/>
      <c r="T49" s="1039"/>
      <c r="U49" s="1039"/>
      <c r="V49" s="1039"/>
      <c r="W49" s="1039"/>
      <c r="X49" s="1039"/>
      <c r="Y49" s="1039"/>
      <c r="Z49" s="1039"/>
      <c r="AA49" s="1039"/>
      <c r="AB49" s="1039"/>
      <c r="AC49" s="1039"/>
      <c r="AD49" s="1039"/>
      <c r="AE49" s="1039"/>
      <c r="AF49" s="1039"/>
      <c r="AG49" s="1039"/>
      <c r="AH49" s="1040"/>
      <c r="AI49" s="696"/>
    </row>
    <row r="50" spans="1:35" ht="41.25" customHeight="1">
      <c r="A50" s="5" t="s">
        <v>11</v>
      </c>
      <c r="B50" s="5" t="s">
        <v>47</v>
      </c>
      <c r="C50" s="120" t="s">
        <v>0</v>
      </c>
      <c r="D50" s="116"/>
      <c r="E50" s="117" t="s">
        <v>1</v>
      </c>
      <c r="F50" s="118" t="s">
        <v>2</v>
      </c>
      <c r="G50" s="118" t="s">
        <v>3</v>
      </c>
      <c r="H50" s="119" t="s">
        <v>4</v>
      </c>
      <c r="I50" s="119" t="s">
        <v>5</v>
      </c>
      <c r="J50" s="968" t="s">
        <v>6</v>
      </c>
      <c r="K50" s="969"/>
      <c r="L50" s="970"/>
      <c r="O50" s="165" t="s">
        <v>85</v>
      </c>
      <c r="P50" s="364" t="s">
        <v>288</v>
      </c>
      <c r="Q50" s="296" t="s">
        <v>305</v>
      </c>
      <c r="R50" s="296" t="s">
        <v>249</v>
      </c>
      <c r="S50" s="296" t="s">
        <v>250</v>
      </c>
      <c r="T50" s="296" t="s">
        <v>265</v>
      </c>
      <c r="U50" s="296" t="s">
        <v>148</v>
      </c>
      <c r="V50" s="164" t="s">
        <v>147</v>
      </c>
      <c r="W50" s="296" t="s">
        <v>251</v>
      </c>
      <c r="X50" s="229" t="s">
        <v>252</v>
      </c>
      <c r="Y50" s="229" t="s">
        <v>253</v>
      </c>
      <c r="Z50" s="229" t="s">
        <v>254</v>
      </c>
      <c r="AA50" s="229" t="s">
        <v>255</v>
      </c>
      <c r="AB50" s="229" t="s">
        <v>300</v>
      </c>
      <c r="AC50" s="367" t="s">
        <v>309</v>
      </c>
      <c r="AD50" s="368" t="s">
        <v>310</v>
      </c>
      <c r="AE50" s="369" t="s">
        <v>150</v>
      </c>
      <c r="AF50" s="163" t="s">
        <v>153</v>
      </c>
      <c r="AG50" s="163" t="s">
        <v>151</v>
      </c>
      <c r="AH50" s="163" t="s">
        <v>152</v>
      </c>
      <c r="AI50" s="697"/>
    </row>
    <row r="51" spans="1:35" ht="24" customHeight="1">
      <c r="A51" s="36"/>
      <c r="B51" s="36"/>
      <c r="C51" s="138" t="s">
        <v>8</v>
      </c>
      <c r="D51" s="139"/>
      <c r="E51" s="140"/>
      <c r="F51" s="293"/>
      <c r="G51" s="107"/>
      <c r="H51" s="97" t="s">
        <v>12</v>
      </c>
      <c r="I51" s="97" t="s">
        <v>12</v>
      </c>
      <c r="J51" s="1036"/>
      <c r="K51" s="1037"/>
      <c r="L51" s="1038"/>
      <c r="O51" s="236"/>
      <c r="P51" s="237"/>
      <c r="Q51" s="238"/>
      <c r="R51" s="238"/>
      <c r="S51" s="238"/>
      <c r="T51" s="238"/>
      <c r="U51" s="238"/>
      <c r="V51" s="238"/>
      <c r="W51" s="238"/>
      <c r="X51" s="239"/>
      <c r="Y51" s="239"/>
      <c r="Z51" s="239"/>
      <c r="AA51" s="239"/>
      <c r="AB51" s="239"/>
      <c r="AC51" s="238"/>
      <c r="AD51" s="370"/>
      <c r="AE51" s="371"/>
      <c r="AF51" s="238"/>
      <c r="AG51" s="238"/>
      <c r="AH51" s="238"/>
      <c r="AI51" s="698"/>
    </row>
    <row r="52" spans="1:35" s="37" customFormat="1" ht="24" customHeight="1">
      <c r="A52" s="36"/>
      <c r="B52" s="36"/>
      <c r="C52" s="134"/>
      <c r="D52" s="135"/>
      <c r="E52" s="124"/>
      <c r="F52" s="294"/>
      <c r="G52" s="125"/>
      <c r="H52" s="141"/>
      <c r="I52" s="111" t="str">
        <f t="shared" ref="I52:I69" si="1">IF(F52="","",INT(F52*H52))</f>
        <v/>
      </c>
      <c r="J52" s="67"/>
      <c r="K52" s="68"/>
      <c r="L52" s="69"/>
      <c r="O52" s="236"/>
      <c r="P52" s="237"/>
      <c r="Q52" s="238"/>
      <c r="R52" s="238"/>
      <c r="S52" s="238"/>
      <c r="T52" s="238"/>
      <c r="U52" s="238"/>
      <c r="V52" s="238"/>
      <c r="W52" s="238"/>
      <c r="X52" s="239"/>
      <c r="Y52" s="239"/>
      <c r="Z52" s="239"/>
      <c r="AA52" s="239"/>
      <c r="AB52" s="239"/>
      <c r="AC52" s="238"/>
      <c r="AD52" s="370"/>
      <c r="AE52" s="371"/>
      <c r="AF52" s="238"/>
      <c r="AG52" s="238"/>
      <c r="AH52" s="238"/>
      <c r="AI52" s="698"/>
    </row>
    <row r="53" spans="1:35" s="37" customFormat="1" ht="24" customHeight="1">
      <c r="A53" s="36"/>
      <c r="B53" s="36"/>
      <c r="C53" s="112"/>
      <c r="D53" s="144" t="s">
        <v>56</v>
      </c>
      <c r="E53" s="109"/>
      <c r="F53" s="294">
        <v>1</v>
      </c>
      <c r="G53" s="125" t="s">
        <v>7</v>
      </c>
      <c r="H53" s="143"/>
      <c r="I53" s="111">
        <f t="shared" si="1"/>
        <v>0</v>
      </c>
      <c r="J53" s="68"/>
      <c r="K53" s="68"/>
      <c r="L53" s="69"/>
      <c r="O53" s="236"/>
      <c r="P53" s="237"/>
      <c r="Q53" s="238"/>
      <c r="R53" s="238"/>
      <c r="S53" s="238"/>
      <c r="T53" s="238"/>
      <c r="U53" s="238"/>
      <c r="V53" s="238"/>
      <c r="W53" s="238"/>
      <c r="X53" s="239"/>
      <c r="Y53" s="239"/>
      <c r="Z53" s="239"/>
      <c r="AA53" s="239"/>
      <c r="AB53" s="239"/>
      <c r="AC53" s="238"/>
      <c r="AD53" s="370"/>
      <c r="AE53" s="371"/>
      <c r="AF53" s="238"/>
      <c r="AG53" s="238"/>
      <c r="AH53" s="238"/>
      <c r="AI53" s="698"/>
    </row>
    <row r="54" spans="1:35" s="37" customFormat="1" ht="24" customHeight="1">
      <c r="A54" s="36"/>
      <c r="B54" s="36"/>
      <c r="C54" s="112"/>
      <c r="D54" s="144" t="s">
        <v>180</v>
      </c>
      <c r="E54" s="109"/>
      <c r="F54" s="294">
        <v>1</v>
      </c>
      <c r="G54" s="125" t="s">
        <v>7</v>
      </c>
      <c r="H54" s="143"/>
      <c r="I54" s="111">
        <f t="shared" si="1"/>
        <v>0</v>
      </c>
      <c r="J54" s="68"/>
      <c r="K54" s="68"/>
      <c r="L54" s="69"/>
      <c r="O54" s="236"/>
      <c r="P54" s="237"/>
      <c r="Q54" s="238"/>
      <c r="R54" s="238"/>
      <c r="S54" s="238"/>
      <c r="T54" s="238"/>
      <c r="U54" s="238"/>
      <c r="V54" s="238"/>
      <c r="W54" s="238"/>
      <c r="X54" s="239"/>
      <c r="Y54" s="239"/>
      <c r="Z54" s="239"/>
      <c r="AA54" s="239"/>
      <c r="AB54" s="239"/>
      <c r="AC54" s="238"/>
      <c r="AD54" s="370"/>
      <c r="AE54" s="371"/>
      <c r="AF54" s="238"/>
      <c r="AG54" s="238"/>
      <c r="AH54" s="238"/>
      <c r="AI54" s="698"/>
    </row>
    <row r="55" spans="1:35" s="37" customFormat="1" ht="24" customHeight="1">
      <c r="A55" s="36"/>
      <c r="B55" s="36"/>
      <c r="C55" s="112"/>
      <c r="D55" s="144" t="s">
        <v>57</v>
      </c>
      <c r="E55" s="109"/>
      <c r="F55" s="294">
        <v>1</v>
      </c>
      <c r="G55" s="125" t="s">
        <v>7</v>
      </c>
      <c r="H55" s="143"/>
      <c r="I55" s="111">
        <f t="shared" si="1"/>
        <v>0</v>
      </c>
      <c r="J55" s="68"/>
      <c r="K55" s="68"/>
      <c r="L55" s="69"/>
      <c r="O55" s="236"/>
      <c r="P55" s="237"/>
      <c r="Q55" s="238"/>
      <c r="R55" s="238"/>
      <c r="S55" s="238"/>
      <c r="T55" s="238"/>
      <c r="U55" s="238"/>
      <c r="V55" s="238"/>
      <c r="W55" s="238"/>
      <c r="X55" s="239"/>
      <c r="Y55" s="239"/>
      <c r="Z55" s="239"/>
      <c r="AA55" s="239"/>
      <c r="AB55" s="239"/>
      <c r="AC55" s="238"/>
      <c r="AD55" s="370"/>
      <c r="AE55" s="371"/>
      <c r="AF55" s="238"/>
      <c r="AG55" s="238"/>
      <c r="AH55" s="238"/>
      <c r="AI55" s="698"/>
    </row>
    <row r="56" spans="1:35" s="37" customFormat="1" ht="24" customHeight="1">
      <c r="A56" s="36"/>
      <c r="B56" s="36"/>
      <c r="C56" s="112"/>
      <c r="D56" s="144" t="s">
        <v>58</v>
      </c>
      <c r="E56" s="109"/>
      <c r="F56" s="294">
        <v>1</v>
      </c>
      <c r="G56" s="125" t="s">
        <v>7</v>
      </c>
      <c r="H56" s="143"/>
      <c r="I56" s="111">
        <f t="shared" si="1"/>
        <v>0</v>
      </c>
      <c r="J56" s="68"/>
      <c r="K56" s="68"/>
      <c r="L56" s="69"/>
      <c r="O56" s="236"/>
      <c r="P56" s="237"/>
      <c r="Q56" s="238"/>
      <c r="R56" s="238"/>
      <c r="S56" s="238"/>
      <c r="T56" s="238"/>
      <c r="U56" s="238"/>
      <c r="V56" s="238"/>
      <c r="W56" s="238"/>
      <c r="X56" s="239"/>
      <c r="Y56" s="239"/>
      <c r="Z56" s="239"/>
      <c r="AA56" s="239"/>
      <c r="AB56" s="239"/>
      <c r="AC56" s="238"/>
      <c r="AD56" s="370"/>
      <c r="AE56" s="371"/>
      <c r="AF56" s="238"/>
      <c r="AG56" s="238"/>
      <c r="AH56" s="238"/>
      <c r="AI56" s="698"/>
    </row>
    <row r="57" spans="1:35" s="37" customFormat="1" ht="24" customHeight="1">
      <c r="A57" s="36"/>
      <c r="B57" s="36"/>
      <c r="C57" s="112"/>
      <c r="D57" s="144" t="s">
        <v>59</v>
      </c>
      <c r="E57" s="109"/>
      <c r="F57" s="294">
        <v>1</v>
      </c>
      <c r="G57" s="125" t="s">
        <v>7</v>
      </c>
      <c r="H57" s="143"/>
      <c r="I57" s="111">
        <f t="shared" si="1"/>
        <v>0</v>
      </c>
      <c r="J57" s="68"/>
      <c r="K57" s="68"/>
      <c r="L57" s="69"/>
      <c r="O57" s="236"/>
      <c r="P57" s="237"/>
      <c r="Q57" s="238"/>
      <c r="R57" s="238"/>
      <c r="S57" s="238"/>
      <c r="T57" s="238"/>
      <c r="U57" s="238"/>
      <c r="V57" s="238"/>
      <c r="W57" s="238"/>
      <c r="X57" s="239"/>
      <c r="Y57" s="239"/>
      <c r="Z57" s="239"/>
      <c r="AA57" s="239"/>
      <c r="AB57" s="239"/>
      <c r="AC57" s="238"/>
      <c r="AD57" s="370"/>
      <c r="AE57" s="371"/>
      <c r="AF57" s="238"/>
      <c r="AG57" s="238"/>
      <c r="AH57" s="238"/>
      <c r="AI57" s="698"/>
    </row>
    <row r="58" spans="1:35" s="37" customFormat="1" ht="24" customHeight="1">
      <c r="A58" s="36"/>
      <c r="B58" s="36"/>
      <c r="C58" s="112"/>
      <c r="D58" s="144" t="s">
        <v>60</v>
      </c>
      <c r="E58" s="109"/>
      <c r="F58" s="294">
        <v>1</v>
      </c>
      <c r="G58" s="125" t="s">
        <v>7</v>
      </c>
      <c r="H58" s="143"/>
      <c r="I58" s="111">
        <f t="shared" si="1"/>
        <v>0</v>
      </c>
      <c r="J58" s="68"/>
      <c r="K58" s="68"/>
      <c r="L58" s="69"/>
      <c r="O58" s="236"/>
      <c r="P58" s="237"/>
      <c r="Q58" s="238"/>
      <c r="R58" s="238"/>
      <c r="S58" s="238"/>
      <c r="T58" s="238"/>
      <c r="U58" s="238"/>
      <c r="V58" s="238"/>
      <c r="W58" s="238"/>
      <c r="X58" s="239"/>
      <c r="Y58" s="239"/>
      <c r="Z58" s="239"/>
      <c r="AA58" s="239"/>
      <c r="AB58" s="239"/>
      <c r="AC58" s="238"/>
      <c r="AD58" s="370"/>
      <c r="AE58" s="371"/>
      <c r="AF58" s="238"/>
      <c r="AG58" s="238"/>
      <c r="AH58" s="238"/>
      <c r="AI58" s="698"/>
    </row>
    <row r="59" spans="1:35" s="37" customFormat="1" ht="24" customHeight="1">
      <c r="A59" s="36"/>
      <c r="B59" s="36"/>
      <c r="C59" s="134"/>
      <c r="D59" s="135"/>
      <c r="E59" s="124"/>
      <c r="F59" s="294"/>
      <c r="G59" s="125"/>
      <c r="H59" s="141"/>
      <c r="I59" s="111" t="str">
        <f t="shared" si="1"/>
        <v/>
      </c>
      <c r="J59" s="67"/>
      <c r="K59" s="68"/>
      <c r="L59" s="69"/>
      <c r="O59" s="236"/>
      <c r="P59" s="237"/>
      <c r="Q59" s="238"/>
      <c r="R59" s="238"/>
      <c r="S59" s="238"/>
      <c r="T59" s="238"/>
      <c r="U59" s="238"/>
      <c r="V59" s="238"/>
      <c r="W59" s="238"/>
      <c r="X59" s="239"/>
      <c r="Y59" s="239"/>
      <c r="Z59" s="239"/>
      <c r="AA59" s="239"/>
      <c r="AB59" s="239"/>
      <c r="AC59" s="238"/>
      <c r="AD59" s="370"/>
      <c r="AE59" s="371"/>
      <c r="AF59" s="238"/>
      <c r="AG59" s="238"/>
      <c r="AH59" s="238"/>
      <c r="AI59" s="698"/>
    </row>
    <row r="60" spans="1:35" s="37" customFormat="1" ht="24" customHeight="1">
      <c r="A60" s="36"/>
      <c r="B60" s="36"/>
      <c r="C60" s="134"/>
      <c r="D60" s="135"/>
      <c r="E60" s="124"/>
      <c r="F60" s="294"/>
      <c r="G60" s="125"/>
      <c r="H60" s="141"/>
      <c r="I60" s="111" t="str">
        <f t="shared" si="1"/>
        <v/>
      </c>
      <c r="J60" s="67"/>
      <c r="K60" s="68"/>
      <c r="L60" s="69"/>
      <c r="O60" s="236"/>
      <c r="P60" s="237"/>
      <c r="Q60" s="238"/>
      <c r="R60" s="238"/>
      <c r="S60" s="238"/>
      <c r="T60" s="238"/>
      <c r="U60" s="238"/>
      <c r="V60" s="238"/>
      <c r="W60" s="238"/>
      <c r="X60" s="239"/>
      <c r="Y60" s="239"/>
      <c r="Z60" s="239"/>
      <c r="AA60" s="239"/>
      <c r="AB60" s="239"/>
      <c r="AC60" s="238"/>
      <c r="AD60" s="370"/>
      <c r="AE60" s="371"/>
      <c r="AF60" s="238"/>
      <c r="AG60" s="238"/>
      <c r="AH60" s="238"/>
      <c r="AI60" s="698"/>
    </row>
    <row r="61" spans="1:35" s="37" customFormat="1" ht="24" customHeight="1">
      <c r="A61" s="36"/>
      <c r="B61" s="36"/>
      <c r="C61" s="134"/>
      <c r="D61" s="135"/>
      <c r="E61" s="124"/>
      <c r="F61" s="294"/>
      <c r="G61" s="125"/>
      <c r="H61" s="141"/>
      <c r="I61" s="111" t="str">
        <f t="shared" si="1"/>
        <v/>
      </c>
      <c r="J61" s="67"/>
      <c r="K61" s="68"/>
      <c r="L61" s="69"/>
      <c r="O61" s="236"/>
      <c r="P61" s="237"/>
      <c r="Q61" s="238"/>
      <c r="R61" s="238"/>
      <c r="S61" s="238"/>
      <c r="T61" s="238"/>
      <c r="U61" s="238"/>
      <c r="V61" s="238"/>
      <c r="W61" s="238"/>
      <c r="X61" s="239"/>
      <c r="Y61" s="239"/>
      <c r="Z61" s="239"/>
      <c r="AA61" s="239"/>
      <c r="AB61" s="239"/>
      <c r="AC61" s="238"/>
      <c r="AD61" s="370"/>
      <c r="AE61" s="371"/>
      <c r="AF61" s="238"/>
      <c r="AG61" s="238"/>
      <c r="AH61" s="238"/>
      <c r="AI61" s="698"/>
    </row>
    <row r="62" spans="1:35" s="37" customFormat="1" ht="24" customHeight="1">
      <c r="A62" s="36"/>
      <c r="B62" s="36"/>
      <c r="C62" s="134"/>
      <c r="D62" s="135"/>
      <c r="E62" s="124"/>
      <c r="F62" s="294"/>
      <c r="G62" s="125"/>
      <c r="H62" s="141"/>
      <c r="I62" s="111" t="str">
        <f t="shared" si="1"/>
        <v/>
      </c>
      <c r="J62" s="67"/>
      <c r="K62" s="68"/>
      <c r="L62" s="69"/>
      <c r="O62" s="236"/>
      <c r="P62" s="237"/>
      <c r="Q62" s="238"/>
      <c r="R62" s="238"/>
      <c r="S62" s="238"/>
      <c r="T62" s="238"/>
      <c r="U62" s="238"/>
      <c r="V62" s="238"/>
      <c r="W62" s="238"/>
      <c r="X62" s="239"/>
      <c r="Y62" s="239"/>
      <c r="Z62" s="239"/>
      <c r="AA62" s="239"/>
      <c r="AB62" s="239"/>
      <c r="AC62" s="238"/>
      <c r="AD62" s="370"/>
      <c r="AE62" s="371"/>
      <c r="AF62" s="238"/>
      <c r="AG62" s="238"/>
      <c r="AH62" s="238"/>
      <c r="AI62" s="698"/>
    </row>
    <row r="63" spans="1:35" s="37" customFormat="1" ht="24" customHeight="1">
      <c r="A63" s="36"/>
      <c r="B63" s="36"/>
      <c r="C63" s="134"/>
      <c r="D63" s="135"/>
      <c r="E63" s="124"/>
      <c r="F63" s="294"/>
      <c r="G63" s="125"/>
      <c r="H63" s="141"/>
      <c r="I63" s="111" t="str">
        <f t="shared" si="1"/>
        <v/>
      </c>
      <c r="J63" s="67"/>
      <c r="K63" s="68"/>
      <c r="L63" s="69"/>
      <c r="O63" s="236"/>
      <c r="P63" s="237"/>
      <c r="Q63" s="238"/>
      <c r="R63" s="238"/>
      <c r="S63" s="238"/>
      <c r="T63" s="238"/>
      <c r="U63" s="238"/>
      <c r="V63" s="238"/>
      <c r="W63" s="238"/>
      <c r="X63" s="239"/>
      <c r="Y63" s="239"/>
      <c r="Z63" s="239"/>
      <c r="AA63" s="239"/>
      <c r="AB63" s="239"/>
      <c r="AC63" s="238"/>
      <c r="AD63" s="370"/>
      <c r="AE63" s="371"/>
      <c r="AF63" s="238"/>
      <c r="AG63" s="238"/>
      <c r="AH63" s="238"/>
      <c r="AI63" s="698"/>
    </row>
    <row r="64" spans="1:35" s="37" customFormat="1" ht="24" customHeight="1">
      <c r="A64" s="36"/>
      <c r="B64" s="36"/>
      <c r="C64" s="134"/>
      <c r="D64" s="135"/>
      <c r="E64" s="124"/>
      <c r="F64" s="294"/>
      <c r="G64" s="125"/>
      <c r="H64" s="141"/>
      <c r="I64" s="111" t="str">
        <f t="shared" si="1"/>
        <v/>
      </c>
      <c r="J64" s="67"/>
      <c r="K64" s="68"/>
      <c r="L64" s="69"/>
      <c r="O64" s="236"/>
      <c r="P64" s="237"/>
      <c r="Q64" s="238"/>
      <c r="R64" s="238"/>
      <c r="S64" s="238"/>
      <c r="T64" s="238"/>
      <c r="U64" s="238"/>
      <c r="V64" s="238"/>
      <c r="W64" s="238"/>
      <c r="X64" s="239"/>
      <c r="Y64" s="239"/>
      <c r="Z64" s="239"/>
      <c r="AA64" s="239"/>
      <c r="AB64" s="239"/>
      <c r="AC64" s="238"/>
      <c r="AD64" s="370"/>
      <c r="AE64" s="371"/>
      <c r="AF64" s="238"/>
      <c r="AG64" s="238"/>
      <c r="AH64" s="238"/>
      <c r="AI64" s="698"/>
    </row>
    <row r="65" spans="1:35" s="37" customFormat="1" ht="24" customHeight="1">
      <c r="A65" s="36"/>
      <c r="B65" s="36"/>
      <c r="C65" s="134"/>
      <c r="D65" s="135"/>
      <c r="E65" s="124"/>
      <c r="F65" s="294"/>
      <c r="G65" s="125"/>
      <c r="H65" s="141"/>
      <c r="I65" s="111" t="str">
        <f t="shared" si="1"/>
        <v/>
      </c>
      <c r="J65" s="67"/>
      <c r="K65" s="68"/>
      <c r="L65" s="69"/>
      <c r="O65" s="236"/>
      <c r="P65" s="237"/>
      <c r="Q65" s="238"/>
      <c r="R65" s="238"/>
      <c r="S65" s="238"/>
      <c r="T65" s="238"/>
      <c r="U65" s="238"/>
      <c r="V65" s="238"/>
      <c r="W65" s="238"/>
      <c r="X65" s="239"/>
      <c r="Y65" s="239"/>
      <c r="Z65" s="239"/>
      <c r="AA65" s="239"/>
      <c r="AB65" s="239"/>
      <c r="AC65" s="238"/>
      <c r="AD65" s="370"/>
      <c r="AE65" s="371"/>
      <c r="AF65" s="238"/>
      <c r="AG65" s="238"/>
      <c r="AH65" s="238"/>
      <c r="AI65" s="698"/>
    </row>
    <row r="66" spans="1:35" s="37" customFormat="1" ht="24" customHeight="1">
      <c r="A66" s="36"/>
      <c r="B66" s="36"/>
      <c r="C66" s="134"/>
      <c r="D66" s="135"/>
      <c r="E66" s="124"/>
      <c r="F66" s="294"/>
      <c r="G66" s="125"/>
      <c r="H66" s="141"/>
      <c r="I66" s="111" t="str">
        <f t="shared" si="1"/>
        <v/>
      </c>
      <c r="J66" s="67"/>
      <c r="K66" s="68"/>
      <c r="L66" s="69"/>
      <c r="O66" s="236"/>
      <c r="P66" s="237"/>
      <c r="Q66" s="238"/>
      <c r="R66" s="238"/>
      <c r="S66" s="238"/>
      <c r="T66" s="238"/>
      <c r="U66" s="238"/>
      <c r="V66" s="238"/>
      <c r="W66" s="238"/>
      <c r="X66" s="239"/>
      <c r="Y66" s="239"/>
      <c r="Z66" s="239"/>
      <c r="AA66" s="239"/>
      <c r="AB66" s="239"/>
      <c r="AC66" s="238"/>
      <c r="AD66" s="370"/>
      <c r="AE66" s="371"/>
      <c r="AF66" s="238"/>
      <c r="AG66" s="238"/>
      <c r="AH66" s="238"/>
      <c r="AI66" s="698"/>
    </row>
    <row r="67" spans="1:35" s="37" customFormat="1" ht="24" customHeight="1">
      <c r="A67" s="36"/>
      <c r="B67" s="36"/>
      <c r="C67" s="134"/>
      <c r="D67" s="135"/>
      <c r="E67" s="124"/>
      <c r="F67" s="294"/>
      <c r="G67" s="125"/>
      <c r="H67" s="141"/>
      <c r="I67" s="111" t="str">
        <f t="shared" si="1"/>
        <v/>
      </c>
      <c r="J67" s="67"/>
      <c r="K67" s="68"/>
      <c r="L67" s="69"/>
      <c r="O67" s="236"/>
      <c r="P67" s="237"/>
      <c r="Q67" s="238"/>
      <c r="R67" s="238"/>
      <c r="S67" s="238"/>
      <c r="T67" s="238"/>
      <c r="U67" s="238"/>
      <c r="V67" s="238"/>
      <c r="W67" s="238"/>
      <c r="X67" s="239"/>
      <c r="Y67" s="239"/>
      <c r="Z67" s="239"/>
      <c r="AA67" s="239"/>
      <c r="AB67" s="239"/>
      <c r="AC67" s="238"/>
      <c r="AD67" s="370"/>
      <c r="AE67" s="371"/>
      <c r="AF67" s="238"/>
      <c r="AG67" s="238"/>
      <c r="AH67" s="238"/>
      <c r="AI67" s="698"/>
    </row>
    <row r="68" spans="1:35" s="37" customFormat="1" ht="24" customHeight="1">
      <c r="A68" s="36"/>
      <c r="B68" s="36"/>
      <c r="C68" s="134"/>
      <c r="D68" s="135"/>
      <c r="E68" s="124"/>
      <c r="F68" s="294"/>
      <c r="G68" s="125"/>
      <c r="H68" s="141"/>
      <c r="I68" s="111" t="str">
        <f t="shared" si="1"/>
        <v/>
      </c>
      <c r="J68" s="67"/>
      <c r="K68" s="68"/>
      <c r="L68" s="69"/>
      <c r="O68" s="236"/>
      <c r="P68" s="237"/>
      <c r="Q68" s="238"/>
      <c r="R68" s="238"/>
      <c r="S68" s="238"/>
      <c r="T68" s="238"/>
      <c r="U68" s="238"/>
      <c r="V68" s="238"/>
      <c r="W68" s="238"/>
      <c r="X68" s="239"/>
      <c r="Y68" s="239"/>
      <c r="Z68" s="239"/>
      <c r="AA68" s="239"/>
      <c r="AB68" s="239"/>
      <c r="AC68" s="238"/>
      <c r="AD68" s="370"/>
      <c r="AE68" s="371"/>
      <c r="AF68" s="238"/>
      <c r="AG68" s="238"/>
      <c r="AH68" s="238"/>
      <c r="AI68" s="698"/>
    </row>
    <row r="69" spans="1:35" s="37" customFormat="1" ht="24" customHeight="1">
      <c r="A69" s="36"/>
      <c r="B69" s="36"/>
      <c r="C69" s="134"/>
      <c r="D69" s="135"/>
      <c r="E69" s="124"/>
      <c r="F69" s="294"/>
      <c r="G69" s="125"/>
      <c r="H69" s="141"/>
      <c r="I69" s="111" t="str">
        <f t="shared" si="1"/>
        <v/>
      </c>
      <c r="J69" s="67"/>
      <c r="K69" s="68"/>
      <c r="L69" s="69"/>
      <c r="O69" s="236"/>
      <c r="P69" s="237"/>
      <c r="Q69" s="238"/>
      <c r="R69" s="238"/>
      <c r="S69" s="238"/>
      <c r="T69" s="238"/>
      <c r="U69" s="238"/>
      <c r="V69" s="238"/>
      <c r="W69" s="238"/>
      <c r="X69" s="239"/>
      <c r="Y69" s="239"/>
      <c r="Z69" s="239"/>
      <c r="AA69" s="239"/>
      <c r="AB69" s="239"/>
      <c r="AC69" s="238"/>
      <c r="AD69" s="370"/>
      <c r="AE69" s="371"/>
      <c r="AF69" s="238"/>
      <c r="AG69" s="238"/>
      <c r="AH69" s="238"/>
      <c r="AI69" s="698"/>
    </row>
    <row r="70" spans="1:35" ht="24" customHeight="1" thickBot="1">
      <c r="A70" s="36"/>
      <c r="B70" s="36"/>
      <c r="C70" s="113"/>
      <c r="D70" s="99" t="s">
        <v>9</v>
      </c>
      <c r="E70" s="114"/>
      <c r="F70" s="295"/>
      <c r="G70" s="127"/>
      <c r="H70" s="137" t="s">
        <v>88</v>
      </c>
      <c r="I70" s="115">
        <f>SUM(I52:I69)</f>
        <v>0</v>
      </c>
      <c r="J70" s="768" t="str">
        <f>IF(C51="部分撤去工事","）うち費用",")")</f>
        <v>)</v>
      </c>
      <c r="K70" s="770">
        <f>IF(C51="部分撤去工事",(K47+L70),0)</f>
        <v>0</v>
      </c>
      <c r="L70" s="769">
        <f>IF(C51="部分撤去工事",SUMIF(N52:N69,"費用",I52:I69),0)</f>
        <v>0</v>
      </c>
      <c r="N70"/>
      <c r="O70" s="236"/>
      <c r="P70" s="237"/>
      <c r="Q70" s="238"/>
      <c r="R70" s="238"/>
      <c r="S70" s="238"/>
      <c r="T70" s="238"/>
      <c r="U70" s="238"/>
      <c r="V70" s="238"/>
      <c r="W70" s="238"/>
      <c r="X70" s="239"/>
      <c r="Y70" s="239"/>
      <c r="Z70" s="239"/>
      <c r="AA70" s="239"/>
      <c r="AB70" s="239"/>
      <c r="AC70" s="238"/>
      <c r="AD70" s="370"/>
      <c r="AE70" s="371"/>
      <c r="AF70" s="238"/>
      <c r="AG70" s="238"/>
      <c r="AH70" s="238"/>
      <c r="AI70" s="698"/>
    </row>
    <row r="71" spans="1:35" ht="14.25" customHeight="1">
      <c r="E71" s="130" t="s">
        <v>66</v>
      </c>
      <c r="F71" s="131">
        <f>+F48+1</f>
        <v>9</v>
      </c>
      <c r="G71" s="132" t="s">
        <v>67</v>
      </c>
      <c r="H71" s="133">
        <f>+H48</f>
        <v>6</v>
      </c>
      <c r="I71" s="133"/>
      <c r="M71" s="31" t="str">
        <f>IF(A73="","EOL","")</f>
        <v/>
      </c>
      <c r="N71" s="1">
        <f>+F71</f>
        <v>9</v>
      </c>
      <c r="Q71" s="37"/>
      <c r="R71" s="37"/>
      <c r="S71" s="37"/>
      <c r="T71" s="37"/>
      <c r="U71" s="37"/>
      <c r="V71" s="37"/>
      <c r="W71" s="37"/>
      <c r="X71" s="37"/>
      <c r="Y71" s="37"/>
      <c r="Z71" s="37"/>
    </row>
    <row r="72" spans="1:35" ht="26" customHeight="1" thickBot="1">
      <c r="C72" s="938" t="s">
        <v>369</v>
      </c>
      <c r="D72" s="938"/>
      <c r="E72" s="938"/>
      <c r="F72" s="938"/>
      <c r="G72" s="938"/>
      <c r="H72" s="938"/>
      <c r="I72" s="938"/>
      <c r="J72" s="938"/>
      <c r="K72" s="938"/>
      <c r="L72" s="938"/>
      <c r="O72" s="1039" t="s">
        <v>154</v>
      </c>
      <c r="P72" s="1039"/>
      <c r="Q72" s="1039"/>
      <c r="R72" s="1039"/>
      <c r="S72" s="1039"/>
      <c r="T72" s="1039"/>
      <c r="U72" s="1039"/>
      <c r="V72" s="1039"/>
      <c r="W72" s="1039"/>
      <c r="X72" s="1039"/>
      <c r="Y72" s="1039"/>
      <c r="Z72" s="1039"/>
      <c r="AA72" s="1039"/>
      <c r="AB72" s="1039"/>
      <c r="AC72" s="1039"/>
      <c r="AD72" s="1039"/>
      <c r="AE72" s="1039"/>
      <c r="AF72" s="1039"/>
      <c r="AG72" s="1039"/>
      <c r="AH72" s="1040"/>
      <c r="AI72" s="696"/>
    </row>
    <row r="73" spans="1:35" ht="41.25" customHeight="1">
      <c r="A73" s="5" t="s">
        <v>11</v>
      </c>
      <c r="B73" s="5" t="s">
        <v>47</v>
      </c>
      <c r="C73" s="120" t="s">
        <v>0</v>
      </c>
      <c r="D73" s="116"/>
      <c r="E73" s="117" t="s">
        <v>1</v>
      </c>
      <c r="F73" s="118" t="s">
        <v>2</v>
      </c>
      <c r="G73" s="118" t="s">
        <v>3</v>
      </c>
      <c r="H73" s="119" t="s">
        <v>4</v>
      </c>
      <c r="I73" s="119" t="s">
        <v>5</v>
      </c>
      <c r="J73" s="968" t="s">
        <v>6</v>
      </c>
      <c r="K73" s="969"/>
      <c r="L73" s="970"/>
      <c r="M73" s="779"/>
      <c r="N73" s="786" t="s">
        <v>4268</v>
      </c>
      <c r="O73" s="776" t="s">
        <v>85</v>
      </c>
      <c r="P73" s="364" t="s">
        <v>288</v>
      </c>
      <c r="Q73" s="296" t="s">
        <v>305</v>
      </c>
      <c r="R73" s="296" t="s">
        <v>249</v>
      </c>
      <c r="S73" s="296" t="s">
        <v>250</v>
      </c>
      <c r="T73" s="296" t="s">
        <v>265</v>
      </c>
      <c r="U73" s="296" t="s">
        <v>148</v>
      </c>
      <c r="V73" s="164" t="s">
        <v>147</v>
      </c>
      <c r="W73" s="296" t="s">
        <v>251</v>
      </c>
      <c r="X73" s="229" t="s">
        <v>252</v>
      </c>
      <c r="Y73" s="229" t="s">
        <v>253</v>
      </c>
      <c r="Z73" s="229" t="s">
        <v>254</v>
      </c>
      <c r="AA73" s="229" t="s">
        <v>255</v>
      </c>
      <c r="AB73" s="229" t="s">
        <v>300</v>
      </c>
      <c r="AC73" s="367" t="s">
        <v>309</v>
      </c>
      <c r="AD73" s="368" t="s">
        <v>310</v>
      </c>
      <c r="AE73" s="369" t="s">
        <v>150</v>
      </c>
      <c r="AF73" s="163" t="s">
        <v>153</v>
      </c>
      <c r="AG73" s="163" t="s">
        <v>151</v>
      </c>
      <c r="AH73" s="163" t="s">
        <v>152</v>
      </c>
      <c r="AI73" s="697"/>
    </row>
    <row r="74" spans="1:35" ht="24" customHeight="1">
      <c r="A74" s="36"/>
      <c r="B74" s="36"/>
      <c r="C74" s="138" t="s">
        <v>163</v>
      </c>
      <c r="D74" s="139"/>
      <c r="E74" s="140"/>
      <c r="F74" s="293"/>
      <c r="G74" s="107"/>
      <c r="H74" s="97" t="s">
        <v>12</v>
      </c>
      <c r="I74" s="97" t="s">
        <v>12</v>
      </c>
      <c r="J74" s="1036"/>
      <c r="K74" s="1037"/>
      <c r="L74" s="1038"/>
      <c r="M74" s="780"/>
      <c r="N74" s="781"/>
      <c r="O74" s="777"/>
      <c r="P74" s="237"/>
      <c r="Q74" s="238"/>
      <c r="R74" s="238"/>
      <c r="S74" s="238"/>
      <c r="T74" s="238"/>
      <c r="U74" s="238"/>
      <c r="V74" s="238"/>
      <c r="W74" s="238"/>
      <c r="X74" s="239"/>
      <c r="Y74" s="239"/>
      <c r="Z74" s="239"/>
      <c r="AA74" s="239"/>
      <c r="AB74" s="239"/>
      <c r="AC74" s="238"/>
      <c r="AD74" s="370"/>
      <c r="AE74" s="371"/>
      <c r="AF74" s="238"/>
      <c r="AG74" s="238"/>
      <c r="AH74" s="238"/>
      <c r="AI74" s="698"/>
    </row>
    <row r="75" spans="1:35" s="37" customFormat="1" ht="24" customHeight="1">
      <c r="A75" s="36"/>
      <c r="B75" s="36"/>
      <c r="C75" s="134"/>
      <c r="D75" s="135" t="s">
        <v>221</v>
      </c>
      <c r="E75" s="124"/>
      <c r="F75" s="294"/>
      <c r="G75" s="125"/>
      <c r="H75" s="141"/>
      <c r="I75" s="111" t="str">
        <f t="shared" ref="I75:I92" si="2">IF(F75="","",INT(F75*H75))</f>
        <v/>
      </c>
      <c r="J75" s="67"/>
      <c r="K75" s="68"/>
      <c r="L75" s="69"/>
      <c r="M75" s="782"/>
      <c r="N75" s="783"/>
      <c r="O75" s="777"/>
      <c r="P75" s="237"/>
      <c r="Q75" s="238"/>
      <c r="R75" s="238"/>
      <c r="S75" s="238"/>
      <c r="T75" s="238"/>
      <c r="U75" s="238"/>
      <c r="V75" s="238"/>
      <c r="W75" s="238"/>
      <c r="X75" s="239"/>
      <c r="Y75" s="239"/>
      <c r="Z75" s="239"/>
      <c r="AA75" s="239"/>
      <c r="AB75" s="239"/>
      <c r="AC75" s="238"/>
      <c r="AD75" s="370"/>
      <c r="AE75" s="371"/>
      <c r="AF75" s="238"/>
      <c r="AG75" s="238"/>
      <c r="AH75" s="238"/>
      <c r="AI75" s="698"/>
    </row>
    <row r="76" spans="1:35" s="37" customFormat="1" ht="24" customHeight="1">
      <c r="A76" s="36">
        <v>1</v>
      </c>
      <c r="B76" s="36">
        <v>1</v>
      </c>
      <c r="C76" s="134">
        <v>700102</v>
      </c>
      <c r="D76" s="502" t="s">
        <v>4092</v>
      </c>
      <c r="E76" s="124" t="s">
        <v>4093</v>
      </c>
      <c r="F76" s="771">
        <v>3</v>
      </c>
      <c r="G76" s="772" t="s">
        <v>4094</v>
      </c>
      <c r="H76" s="141"/>
      <c r="I76" s="111">
        <f t="shared" si="2"/>
        <v>0</v>
      </c>
      <c r="J76" s="67"/>
      <c r="K76" s="68"/>
      <c r="L76" s="69"/>
      <c r="M76" s="782"/>
      <c r="N76" s="783"/>
      <c r="O76" s="777">
        <v>144</v>
      </c>
      <c r="P76" s="237"/>
      <c r="Q76" s="238"/>
      <c r="R76" s="238"/>
      <c r="S76" s="238"/>
      <c r="T76" s="238"/>
      <c r="U76" s="238"/>
      <c r="V76" s="238"/>
      <c r="W76" s="238"/>
      <c r="X76" s="239"/>
      <c r="Y76" s="239"/>
      <c r="Z76" s="239"/>
      <c r="AA76" s="239"/>
      <c r="AB76" s="239"/>
      <c r="AC76" s="238"/>
      <c r="AD76" s="370"/>
      <c r="AE76" s="371"/>
      <c r="AF76" s="238"/>
      <c r="AG76" s="238"/>
      <c r="AH76" s="238"/>
      <c r="AI76" s="698"/>
    </row>
    <row r="77" spans="1:35" s="37" customFormat="1" ht="24" customHeight="1">
      <c r="A77" s="36"/>
      <c r="B77" s="36"/>
      <c r="C77" s="134"/>
      <c r="D77" s="135" t="s">
        <v>166</v>
      </c>
      <c r="E77" s="124"/>
      <c r="F77" s="771"/>
      <c r="G77" s="772"/>
      <c r="H77" s="141"/>
      <c r="I77" s="111" t="str">
        <f t="shared" si="2"/>
        <v/>
      </c>
      <c r="J77" s="67"/>
      <c r="K77" s="68"/>
      <c r="L77" s="69"/>
      <c r="M77" s="782"/>
      <c r="N77" s="783"/>
      <c r="O77" s="777"/>
      <c r="P77" s="237"/>
      <c r="Q77" s="238"/>
      <c r="R77" s="238"/>
      <c r="S77" s="238"/>
      <c r="T77" s="238"/>
      <c r="U77" s="238"/>
      <c r="V77" s="238"/>
      <c r="W77" s="238"/>
      <c r="X77" s="239"/>
      <c r="Y77" s="239"/>
      <c r="Z77" s="239"/>
      <c r="AA77" s="239"/>
      <c r="AB77" s="239"/>
      <c r="AC77" s="238"/>
      <c r="AD77" s="370"/>
      <c r="AE77" s="371"/>
      <c r="AF77" s="238"/>
      <c r="AG77" s="238"/>
      <c r="AH77" s="238"/>
      <c r="AI77" s="698"/>
    </row>
    <row r="78" spans="1:35" s="37" customFormat="1" ht="24" customHeight="1">
      <c r="A78" s="36"/>
      <c r="B78" s="36"/>
      <c r="C78" s="134"/>
      <c r="D78" s="135" t="s">
        <v>165</v>
      </c>
      <c r="E78" s="124"/>
      <c r="F78" s="771"/>
      <c r="G78" s="772"/>
      <c r="H78" s="141"/>
      <c r="I78" s="111" t="str">
        <f t="shared" si="2"/>
        <v/>
      </c>
      <c r="J78" s="67"/>
      <c r="K78" s="68"/>
      <c r="L78" s="69"/>
      <c r="M78" s="782"/>
      <c r="N78" s="783"/>
      <c r="O78" s="777"/>
      <c r="P78" s="237"/>
      <c r="Q78" s="238"/>
      <c r="R78" s="238"/>
      <c r="S78" s="238"/>
      <c r="T78" s="238"/>
      <c r="U78" s="238"/>
      <c r="V78" s="238"/>
      <c r="W78" s="238"/>
      <c r="X78" s="239"/>
      <c r="Y78" s="239"/>
      <c r="Z78" s="239"/>
      <c r="AA78" s="239"/>
      <c r="AB78" s="239"/>
      <c r="AC78" s="238"/>
      <c r="AD78" s="370"/>
      <c r="AE78" s="371"/>
      <c r="AF78" s="238"/>
      <c r="AG78" s="238"/>
      <c r="AH78" s="238"/>
      <c r="AI78" s="698"/>
    </row>
    <row r="79" spans="1:35" s="37" customFormat="1" ht="24" customHeight="1">
      <c r="A79" s="36">
        <v>1</v>
      </c>
      <c r="B79" s="36">
        <v>1</v>
      </c>
      <c r="C79" s="134">
        <v>700102</v>
      </c>
      <c r="D79" s="502" t="s">
        <v>4092</v>
      </c>
      <c r="E79" s="124" t="s">
        <v>4093</v>
      </c>
      <c r="F79" s="771">
        <v>3</v>
      </c>
      <c r="G79" s="772" t="s">
        <v>4094</v>
      </c>
      <c r="H79" s="141"/>
      <c r="I79" s="111">
        <f t="shared" si="2"/>
        <v>0</v>
      </c>
      <c r="J79" s="67"/>
      <c r="K79" s="68"/>
      <c r="L79" s="69"/>
      <c r="M79" s="782"/>
      <c r="N79" s="783"/>
      <c r="O79" s="777">
        <v>144</v>
      </c>
      <c r="P79" s="237"/>
      <c r="Q79" s="238"/>
      <c r="R79" s="238"/>
      <c r="S79" s="238"/>
      <c r="T79" s="238"/>
      <c r="U79" s="238"/>
      <c r="V79" s="238"/>
      <c r="W79" s="238"/>
      <c r="X79" s="239"/>
      <c r="Y79" s="239"/>
      <c r="Z79" s="239"/>
      <c r="AA79" s="239"/>
      <c r="AB79" s="239"/>
      <c r="AC79" s="238"/>
      <c r="AD79" s="370"/>
      <c r="AE79" s="371"/>
      <c r="AF79" s="238"/>
      <c r="AG79" s="238"/>
      <c r="AH79" s="238"/>
      <c r="AI79" s="698"/>
    </row>
    <row r="80" spans="1:35" s="37" customFormat="1" ht="24" customHeight="1">
      <c r="A80" s="36"/>
      <c r="B80" s="36"/>
      <c r="C80" s="134"/>
      <c r="D80" s="135" t="s">
        <v>167</v>
      </c>
      <c r="E80" s="124"/>
      <c r="F80" s="771"/>
      <c r="G80" s="772"/>
      <c r="H80" s="141"/>
      <c r="I80" s="111" t="str">
        <f t="shared" si="2"/>
        <v/>
      </c>
      <c r="J80" s="67"/>
      <c r="K80" s="68"/>
      <c r="L80" s="69"/>
      <c r="M80" s="782"/>
      <c r="N80" s="783"/>
      <c r="O80" s="777"/>
      <c r="P80" s="237"/>
      <c r="Q80" s="238"/>
      <c r="R80" s="238"/>
      <c r="S80" s="238"/>
      <c r="T80" s="238"/>
      <c r="U80" s="238"/>
      <c r="V80" s="238"/>
      <c r="W80" s="238"/>
      <c r="X80" s="239"/>
      <c r="Y80" s="239"/>
      <c r="Z80" s="239"/>
      <c r="AA80" s="239"/>
      <c r="AB80" s="239"/>
      <c r="AC80" s="238"/>
      <c r="AD80" s="370"/>
      <c r="AE80" s="371"/>
      <c r="AF80" s="238"/>
      <c r="AG80" s="238"/>
      <c r="AH80" s="238"/>
      <c r="AI80" s="698"/>
    </row>
    <row r="81" spans="1:35" s="37" customFormat="1" ht="24" customHeight="1">
      <c r="A81" s="36"/>
      <c r="B81" s="36"/>
      <c r="C81" s="134"/>
      <c r="D81" s="135" t="s">
        <v>168</v>
      </c>
      <c r="E81" s="124"/>
      <c r="F81" s="771"/>
      <c r="G81" s="772"/>
      <c r="H81" s="141"/>
      <c r="I81" s="111" t="str">
        <f t="shared" si="2"/>
        <v/>
      </c>
      <c r="J81" s="67"/>
      <c r="K81" s="68"/>
      <c r="L81" s="69"/>
      <c r="M81" s="782"/>
      <c r="N81" s="783"/>
      <c r="O81" s="777"/>
      <c r="P81" s="237"/>
      <c r="Q81" s="238"/>
      <c r="R81" s="238"/>
      <c r="S81" s="238"/>
      <c r="T81" s="238"/>
      <c r="U81" s="238"/>
      <c r="V81" s="238"/>
      <c r="W81" s="238"/>
      <c r="X81" s="239"/>
      <c r="Y81" s="239"/>
      <c r="Z81" s="239"/>
      <c r="AA81" s="239"/>
      <c r="AB81" s="239"/>
      <c r="AC81" s="238"/>
      <c r="AD81" s="370"/>
      <c r="AE81" s="371"/>
      <c r="AF81" s="238"/>
      <c r="AG81" s="238"/>
      <c r="AH81" s="238"/>
      <c r="AI81" s="698"/>
    </row>
    <row r="82" spans="1:35" s="37" customFormat="1" ht="24" customHeight="1">
      <c r="A82" s="36">
        <v>1</v>
      </c>
      <c r="B82" s="36">
        <v>1</v>
      </c>
      <c r="C82" s="134">
        <v>5002</v>
      </c>
      <c r="D82" s="502" t="s">
        <v>374</v>
      </c>
      <c r="E82" s="124" t="s">
        <v>375</v>
      </c>
      <c r="F82" s="771">
        <v>3</v>
      </c>
      <c r="G82" s="772" t="s">
        <v>78</v>
      </c>
      <c r="H82" s="141"/>
      <c r="I82" s="111">
        <f t="shared" si="2"/>
        <v>0</v>
      </c>
      <c r="J82" s="67"/>
      <c r="K82" s="68"/>
      <c r="L82" s="69"/>
      <c r="M82" s="782"/>
      <c r="N82" s="783"/>
      <c r="O82" s="777">
        <v>0</v>
      </c>
      <c r="P82" s="237"/>
      <c r="Q82" s="238"/>
      <c r="R82" s="238"/>
      <c r="S82" s="238"/>
      <c r="T82" s="238"/>
      <c r="U82" s="238"/>
      <c r="V82" s="238"/>
      <c r="W82" s="238"/>
      <c r="X82" s="239"/>
      <c r="Y82" s="239"/>
      <c r="Z82" s="239"/>
      <c r="AA82" s="239"/>
      <c r="AB82" s="239"/>
      <c r="AC82" s="238"/>
      <c r="AD82" s="370"/>
      <c r="AE82" s="371"/>
      <c r="AF82" s="238"/>
      <c r="AG82" s="238"/>
      <c r="AH82" s="238"/>
      <c r="AI82" s="698"/>
    </row>
    <row r="83" spans="1:35" s="37" customFormat="1" ht="24" customHeight="1">
      <c r="A83" s="36"/>
      <c r="B83" s="36"/>
      <c r="C83" s="134"/>
      <c r="D83" s="135" t="s">
        <v>169</v>
      </c>
      <c r="E83" s="124"/>
      <c r="F83" s="294"/>
      <c r="G83" s="125"/>
      <c r="H83" s="141"/>
      <c r="I83" s="111" t="str">
        <f t="shared" si="2"/>
        <v/>
      </c>
      <c r="J83" s="67"/>
      <c r="K83" s="68"/>
      <c r="L83" s="69"/>
      <c r="M83" s="782"/>
      <c r="N83" s="783"/>
      <c r="O83" s="777"/>
      <c r="P83" s="237"/>
      <c r="Q83" s="238"/>
      <c r="R83" s="238"/>
      <c r="S83" s="238"/>
      <c r="T83" s="238"/>
      <c r="U83" s="238"/>
      <c r="V83" s="238"/>
      <c r="W83" s="238"/>
      <c r="X83" s="239"/>
      <c r="Y83" s="239"/>
      <c r="Z83" s="239"/>
      <c r="AA83" s="239"/>
      <c r="AB83" s="239"/>
      <c r="AC83" s="238"/>
      <c r="AD83" s="370"/>
      <c r="AE83" s="371"/>
      <c r="AF83" s="238"/>
      <c r="AG83" s="238"/>
      <c r="AH83" s="238"/>
      <c r="AI83" s="698"/>
    </row>
    <row r="84" spans="1:35" s="37" customFormat="1" ht="24" customHeight="1">
      <c r="A84" s="36"/>
      <c r="B84" s="36"/>
      <c r="C84" s="134"/>
      <c r="D84" s="135" t="s">
        <v>170</v>
      </c>
      <c r="E84" s="124"/>
      <c r="F84" s="294"/>
      <c r="G84" s="125"/>
      <c r="H84" s="141"/>
      <c r="I84" s="111" t="str">
        <f t="shared" si="2"/>
        <v/>
      </c>
      <c r="J84" s="67"/>
      <c r="K84" s="68"/>
      <c r="L84" s="69"/>
      <c r="M84" s="782"/>
      <c r="N84" s="783"/>
      <c r="O84" s="777"/>
      <c r="P84" s="237"/>
      <c r="Q84" s="238"/>
      <c r="R84" s="238"/>
      <c r="S84" s="238"/>
      <c r="T84" s="238"/>
      <c r="U84" s="238"/>
      <c r="V84" s="238"/>
      <c r="W84" s="238"/>
      <c r="X84" s="239"/>
      <c r="Y84" s="239"/>
      <c r="Z84" s="239"/>
      <c r="AA84" s="239"/>
      <c r="AB84" s="239"/>
      <c r="AC84" s="238"/>
      <c r="AD84" s="370"/>
      <c r="AE84" s="371"/>
      <c r="AF84" s="238"/>
      <c r="AG84" s="238"/>
      <c r="AH84" s="238"/>
      <c r="AI84" s="698"/>
    </row>
    <row r="85" spans="1:35" s="37" customFormat="1" ht="24" customHeight="1">
      <c r="A85" s="36">
        <v>1</v>
      </c>
      <c r="B85" s="36">
        <v>1</v>
      </c>
      <c r="C85" s="134">
        <v>23030</v>
      </c>
      <c r="D85" s="403" t="s">
        <v>282</v>
      </c>
      <c r="E85" s="124" t="s">
        <v>246</v>
      </c>
      <c r="F85" s="771">
        <v>3</v>
      </c>
      <c r="G85" s="772" t="s">
        <v>209</v>
      </c>
      <c r="H85" s="141"/>
      <c r="I85" s="111">
        <f t="shared" si="2"/>
        <v>0</v>
      </c>
      <c r="J85" s="67"/>
      <c r="K85" s="68"/>
      <c r="L85" s="69"/>
      <c r="M85" s="782"/>
      <c r="N85" s="783"/>
      <c r="O85" s="777"/>
      <c r="P85" s="237"/>
      <c r="Q85" s="238"/>
      <c r="R85" s="238"/>
      <c r="S85" s="238"/>
      <c r="T85" s="238"/>
      <c r="U85" s="238"/>
      <c r="V85" s="238"/>
      <c r="W85" s="238"/>
      <c r="X85" s="239"/>
      <c r="Y85" s="239"/>
      <c r="Z85" s="239"/>
      <c r="AA85" s="239"/>
      <c r="AB85" s="239"/>
      <c r="AC85" s="238"/>
      <c r="AD85" s="370"/>
      <c r="AE85" s="371"/>
      <c r="AF85" s="238"/>
      <c r="AG85" s="238"/>
      <c r="AH85" s="238"/>
      <c r="AI85" s="698"/>
    </row>
    <row r="86" spans="1:35" s="37" customFormat="1" ht="24" customHeight="1">
      <c r="A86" s="36"/>
      <c r="B86" s="36"/>
      <c r="C86" s="134"/>
      <c r="D86" s="135" t="s">
        <v>171</v>
      </c>
      <c r="E86" s="124"/>
      <c r="F86" s="294"/>
      <c r="G86" s="125"/>
      <c r="H86" s="141"/>
      <c r="I86" s="111" t="str">
        <f t="shared" si="2"/>
        <v/>
      </c>
      <c r="J86" s="67"/>
      <c r="K86" s="68"/>
      <c r="L86" s="69"/>
      <c r="M86" s="782"/>
      <c r="N86" s="783"/>
      <c r="O86" s="777"/>
      <c r="P86" s="237"/>
      <c r="Q86" s="238"/>
      <c r="R86" s="238"/>
      <c r="S86" s="238"/>
      <c r="T86" s="238"/>
      <c r="U86" s="238"/>
      <c r="V86" s="238"/>
      <c r="W86" s="238"/>
      <c r="X86" s="239"/>
      <c r="Y86" s="239"/>
      <c r="Z86" s="239"/>
      <c r="AA86" s="239"/>
      <c r="AB86" s="239"/>
      <c r="AC86" s="238"/>
      <c r="AD86" s="370"/>
      <c r="AE86" s="371"/>
      <c r="AF86" s="238"/>
      <c r="AG86" s="238"/>
      <c r="AH86" s="238"/>
      <c r="AI86" s="698"/>
    </row>
    <row r="87" spans="1:35" s="37" customFormat="1" ht="24" customHeight="1">
      <c r="A87" s="36"/>
      <c r="B87" s="36"/>
      <c r="C87" s="134"/>
      <c r="D87" s="135" t="s">
        <v>172</v>
      </c>
      <c r="E87" s="124"/>
      <c r="F87" s="294"/>
      <c r="G87" s="125"/>
      <c r="H87" s="141"/>
      <c r="I87" s="111" t="str">
        <f t="shared" si="2"/>
        <v/>
      </c>
      <c r="J87" s="67"/>
      <c r="K87" s="68"/>
      <c r="L87" s="69"/>
      <c r="M87" s="782"/>
      <c r="N87" s="783"/>
      <c r="O87" s="777"/>
      <c r="P87" s="237"/>
      <c r="Q87" s="238"/>
      <c r="R87" s="238"/>
      <c r="S87" s="238"/>
      <c r="T87" s="238"/>
      <c r="U87" s="238"/>
      <c r="V87" s="238"/>
      <c r="W87" s="238"/>
      <c r="X87" s="239"/>
      <c r="Y87" s="239"/>
      <c r="Z87" s="239"/>
      <c r="AA87" s="239"/>
      <c r="AB87" s="239"/>
      <c r="AC87" s="238"/>
      <c r="AD87" s="370"/>
      <c r="AE87" s="371"/>
      <c r="AF87" s="238"/>
      <c r="AG87" s="238"/>
      <c r="AH87" s="238"/>
      <c r="AI87" s="698"/>
    </row>
    <row r="88" spans="1:35" s="37" customFormat="1" ht="24" customHeight="1">
      <c r="A88" s="36"/>
      <c r="B88" s="36"/>
      <c r="C88" s="134"/>
      <c r="D88" s="135" t="s">
        <v>236</v>
      </c>
      <c r="E88" s="124"/>
      <c r="F88" s="294"/>
      <c r="G88" s="125"/>
      <c r="H88" s="141"/>
      <c r="I88" s="111" t="str">
        <f t="shared" si="2"/>
        <v/>
      </c>
      <c r="J88" s="67"/>
      <c r="K88" s="68"/>
      <c r="L88" s="69"/>
      <c r="M88" s="782"/>
      <c r="N88" s="783"/>
      <c r="O88" s="777"/>
      <c r="P88" s="237"/>
      <c r="Q88" s="238"/>
      <c r="R88" s="238"/>
      <c r="S88" s="238"/>
      <c r="T88" s="238"/>
      <c r="U88" s="238"/>
      <c r="V88" s="238"/>
      <c r="W88" s="238"/>
      <c r="X88" s="239"/>
      <c r="Y88" s="239"/>
      <c r="Z88" s="239"/>
      <c r="AA88" s="239"/>
      <c r="AB88" s="239"/>
      <c r="AC88" s="238"/>
      <c r="AD88" s="370"/>
      <c r="AE88" s="371"/>
      <c r="AF88" s="238"/>
      <c r="AG88" s="238"/>
      <c r="AH88" s="238"/>
      <c r="AI88" s="698"/>
    </row>
    <row r="89" spans="1:35" s="37" customFormat="1" ht="24" customHeight="1">
      <c r="A89" s="36"/>
      <c r="B89" s="36"/>
      <c r="C89" s="134"/>
      <c r="D89" s="135" t="s">
        <v>175</v>
      </c>
      <c r="E89" s="124"/>
      <c r="F89" s="294"/>
      <c r="G89" s="125"/>
      <c r="H89" s="141"/>
      <c r="I89" s="111" t="str">
        <f t="shared" si="2"/>
        <v/>
      </c>
      <c r="J89" s="67"/>
      <c r="K89" s="68"/>
      <c r="L89" s="69"/>
      <c r="M89" s="782"/>
      <c r="N89" s="783"/>
      <c r="O89" s="777"/>
      <c r="P89" s="237"/>
      <c r="Q89" s="238"/>
      <c r="R89" s="238"/>
      <c r="S89" s="238"/>
      <c r="T89" s="238"/>
      <c r="U89" s="238"/>
      <c r="V89" s="238"/>
      <c r="W89" s="238"/>
      <c r="X89" s="239"/>
      <c r="Y89" s="239"/>
      <c r="Z89" s="239"/>
      <c r="AA89" s="239"/>
      <c r="AB89" s="239"/>
      <c r="AC89" s="238"/>
      <c r="AD89" s="370"/>
      <c r="AE89" s="371"/>
      <c r="AF89" s="238"/>
      <c r="AG89" s="238"/>
      <c r="AH89" s="238"/>
      <c r="AI89" s="698"/>
    </row>
    <row r="90" spans="1:35" s="37" customFormat="1" ht="24" customHeight="1">
      <c r="A90" s="36"/>
      <c r="B90" s="36"/>
      <c r="C90" s="134"/>
      <c r="D90" s="135"/>
      <c r="E90" s="363" t="s">
        <v>298</v>
      </c>
      <c r="F90" s="294"/>
      <c r="G90" s="125"/>
      <c r="H90" s="141"/>
      <c r="I90" s="111" t="str">
        <f t="shared" si="2"/>
        <v/>
      </c>
      <c r="J90" s="67"/>
      <c r="K90" s="68"/>
      <c r="L90" s="69"/>
      <c r="M90" s="782"/>
      <c r="N90" s="783"/>
      <c r="O90" s="777"/>
      <c r="P90" s="237"/>
      <c r="Q90" s="238"/>
      <c r="R90" s="238"/>
      <c r="S90" s="238"/>
      <c r="T90" s="238"/>
      <c r="U90" s="238"/>
      <c r="V90" s="238"/>
      <c r="W90" s="238"/>
      <c r="X90" s="239"/>
      <c r="Y90" s="239"/>
      <c r="Z90" s="239"/>
      <c r="AA90" s="239"/>
      <c r="AB90" s="239"/>
      <c r="AC90" s="238"/>
      <c r="AD90" s="370"/>
      <c r="AE90" s="371"/>
      <c r="AF90" s="238"/>
      <c r="AG90" s="238"/>
      <c r="AH90" s="238"/>
      <c r="AI90" s="698"/>
    </row>
    <row r="91" spans="1:35" s="37" customFormat="1" ht="24" customHeight="1">
      <c r="A91" s="36"/>
      <c r="B91" s="36"/>
      <c r="C91" s="134"/>
      <c r="D91" s="135" t="s">
        <v>173</v>
      </c>
      <c r="E91" s="124"/>
      <c r="F91" s="294"/>
      <c r="G91" s="125"/>
      <c r="H91" s="141"/>
      <c r="I91" s="111" t="str">
        <f t="shared" si="2"/>
        <v/>
      </c>
      <c r="J91" s="67"/>
      <c r="K91" s="68"/>
      <c r="L91" s="69"/>
      <c r="M91" s="782"/>
      <c r="N91" s="783"/>
      <c r="O91" s="777"/>
      <c r="P91" s="237"/>
      <c r="Q91" s="238"/>
      <c r="R91" s="238"/>
      <c r="S91" s="238"/>
      <c r="T91" s="238"/>
      <c r="U91" s="238"/>
      <c r="V91" s="238"/>
      <c r="W91" s="238"/>
      <c r="X91" s="239"/>
      <c r="Y91" s="239"/>
      <c r="Z91" s="239"/>
      <c r="AA91" s="239"/>
      <c r="AB91" s="239"/>
      <c r="AC91" s="238"/>
      <c r="AD91" s="370"/>
      <c r="AE91" s="371"/>
      <c r="AF91" s="238"/>
      <c r="AG91" s="238"/>
      <c r="AH91" s="238"/>
      <c r="AI91" s="698"/>
    </row>
    <row r="92" spans="1:35" s="37" customFormat="1" ht="24" customHeight="1">
      <c r="A92" s="36"/>
      <c r="B92" s="36"/>
      <c r="C92" s="134"/>
      <c r="D92" s="135" t="s">
        <v>174</v>
      </c>
      <c r="E92" s="124"/>
      <c r="F92" s="294"/>
      <c r="G92" s="125"/>
      <c r="H92" s="141"/>
      <c r="I92" s="111" t="str">
        <f t="shared" si="2"/>
        <v/>
      </c>
      <c r="J92" s="67"/>
      <c r="K92" s="68"/>
      <c r="L92" s="69"/>
      <c r="M92" s="782"/>
      <c r="N92" s="783"/>
      <c r="O92" s="777"/>
      <c r="P92" s="237"/>
      <c r="Q92" s="238"/>
      <c r="R92" s="238"/>
      <c r="S92" s="238"/>
      <c r="T92" s="238"/>
      <c r="U92" s="238"/>
      <c r="V92" s="238"/>
      <c r="W92" s="238"/>
      <c r="X92" s="239"/>
      <c r="Y92" s="239"/>
      <c r="Z92" s="239"/>
      <c r="AA92" s="239"/>
      <c r="AB92" s="239"/>
      <c r="AC92" s="238"/>
      <c r="AD92" s="370"/>
      <c r="AE92" s="371"/>
      <c r="AF92" s="238"/>
      <c r="AG92" s="238"/>
      <c r="AH92" s="238"/>
      <c r="AI92" s="698"/>
    </row>
    <row r="93" spans="1:35" ht="24" customHeight="1" thickBot="1">
      <c r="A93" s="36"/>
      <c r="B93" s="36"/>
      <c r="C93" s="113"/>
      <c r="D93" s="99" t="s">
        <v>9</v>
      </c>
      <c r="E93" s="114"/>
      <c r="F93" s="295"/>
      <c r="G93" s="127"/>
      <c r="H93" s="137" t="s">
        <v>110</v>
      </c>
      <c r="I93" s="115">
        <f>SUM(I75:I92)</f>
        <v>0</v>
      </c>
      <c r="J93" s="768" t="str">
        <f>IF(C74="部分撤去工事","）うち費用",")")</f>
        <v>)</v>
      </c>
      <c r="K93" s="770">
        <f>IF(C74="部分撤去工事",(K70+L93),0)</f>
        <v>0</v>
      </c>
      <c r="L93" s="769">
        <f>IF(C74="部分撤去工事",SUMIF(N75:N92,"費用",I75:I92),0)</f>
        <v>0</v>
      </c>
      <c r="M93" s="784"/>
      <c r="N93" s="785"/>
      <c r="O93" s="777"/>
      <c r="P93" s="237"/>
      <c r="Q93" s="238"/>
      <c r="R93" s="238"/>
      <c r="S93" s="238"/>
      <c r="T93" s="238"/>
      <c r="U93" s="238"/>
      <c r="V93" s="238"/>
      <c r="W93" s="238"/>
      <c r="X93" s="239"/>
      <c r="Y93" s="239"/>
      <c r="Z93" s="239"/>
      <c r="AA93" s="239"/>
      <c r="AB93" s="239"/>
      <c r="AC93" s="238"/>
      <c r="AD93" s="370"/>
      <c r="AE93" s="371"/>
      <c r="AF93" s="238"/>
      <c r="AG93" s="238"/>
      <c r="AH93" s="238"/>
      <c r="AI93" s="698"/>
    </row>
    <row r="94" spans="1:35" ht="14.25" customHeight="1">
      <c r="E94" s="130" t="s">
        <v>106</v>
      </c>
      <c r="F94" s="131">
        <f>+F71+1</f>
        <v>10</v>
      </c>
      <c r="G94" s="132" t="s">
        <v>107</v>
      </c>
      <c r="H94" s="133">
        <f>+H71</f>
        <v>6</v>
      </c>
      <c r="I94" s="133"/>
      <c r="M94" s="778" t="str">
        <f>IF(A96="","EOL","")</f>
        <v/>
      </c>
      <c r="N94" s="1">
        <f>+F94</f>
        <v>10</v>
      </c>
      <c r="Q94" s="37"/>
      <c r="R94" s="37"/>
      <c r="S94" s="37"/>
      <c r="T94" s="37"/>
      <c r="U94" s="37"/>
      <c r="V94" s="37"/>
      <c r="W94" s="37"/>
      <c r="X94" s="37"/>
      <c r="Y94" s="37"/>
      <c r="Z94" s="37"/>
    </row>
    <row r="95" spans="1:35" ht="26" customHeight="1" thickBot="1">
      <c r="C95" s="938" t="s">
        <v>369</v>
      </c>
      <c r="D95" s="938"/>
      <c r="E95" s="938"/>
      <c r="F95" s="938"/>
      <c r="G95" s="938"/>
      <c r="H95" s="938"/>
      <c r="I95" s="938"/>
      <c r="J95" s="938"/>
      <c r="K95" s="938"/>
      <c r="L95" s="938"/>
      <c r="O95" s="1039" t="s">
        <v>154</v>
      </c>
      <c r="P95" s="1039"/>
      <c r="Q95" s="1039"/>
      <c r="R95" s="1039"/>
      <c r="S95" s="1039"/>
      <c r="T95" s="1039"/>
      <c r="U95" s="1039"/>
      <c r="V95" s="1039"/>
      <c r="W95" s="1039"/>
      <c r="X95" s="1039"/>
      <c r="Y95" s="1039"/>
      <c r="Z95" s="1039"/>
      <c r="AA95" s="1039"/>
      <c r="AB95" s="1039"/>
      <c r="AC95" s="1039"/>
      <c r="AD95" s="1039"/>
      <c r="AE95" s="1039"/>
      <c r="AF95" s="1039"/>
      <c r="AG95" s="1039"/>
      <c r="AH95" s="1040"/>
      <c r="AI95" s="696"/>
    </row>
    <row r="96" spans="1:35" ht="41.25" customHeight="1">
      <c r="A96" s="5" t="s">
        <v>11</v>
      </c>
      <c r="B96" s="5" t="s">
        <v>47</v>
      </c>
      <c r="C96" s="120" t="s">
        <v>0</v>
      </c>
      <c r="D96" s="116"/>
      <c r="E96" s="117" t="s">
        <v>1</v>
      </c>
      <c r="F96" s="118" t="s">
        <v>2</v>
      </c>
      <c r="G96" s="118" t="s">
        <v>3</v>
      </c>
      <c r="H96" s="119" t="s">
        <v>4</v>
      </c>
      <c r="I96" s="119" t="s">
        <v>5</v>
      </c>
      <c r="J96" s="968" t="s">
        <v>6</v>
      </c>
      <c r="K96" s="969"/>
      <c r="L96" s="970"/>
      <c r="M96" s="779"/>
      <c r="N96" s="786" t="s">
        <v>4098</v>
      </c>
      <c r="O96" s="776" t="s">
        <v>85</v>
      </c>
      <c r="P96" s="364" t="s">
        <v>304</v>
      </c>
      <c r="Q96" s="296" t="s">
        <v>305</v>
      </c>
      <c r="R96" s="296" t="s">
        <v>249</v>
      </c>
      <c r="S96" s="296" t="s">
        <v>250</v>
      </c>
      <c r="T96" s="296" t="s">
        <v>306</v>
      </c>
      <c r="U96" s="296" t="s">
        <v>148</v>
      </c>
      <c r="V96" s="164" t="s">
        <v>147</v>
      </c>
      <c r="W96" s="296" t="s">
        <v>307</v>
      </c>
      <c r="X96" s="229" t="s">
        <v>252</v>
      </c>
      <c r="Y96" s="229" t="s">
        <v>253</v>
      </c>
      <c r="Z96" s="229" t="s">
        <v>254</v>
      </c>
      <c r="AA96" s="229" t="s">
        <v>255</v>
      </c>
      <c r="AB96" s="229" t="s">
        <v>308</v>
      </c>
      <c r="AC96" s="367" t="s">
        <v>309</v>
      </c>
      <c r="AD96" s="368" t="s">
        <v>310</v>
      </c>
      <c r="AE96" s="369" t="s">
        <v>150</v>
      </c>
      <c r="AF96" s="163" t="s">
        <v>311</v>
      </c>
      <c r="AG96" s="163" t="s">
        <v>312</v>
      </c>
      <c r="AH96" s="163" t="s">
        <v>152</v>
      </c>
      <c r="AI96" s="697"/>
    </row>
    <row r="97" spans="1:35" ht="24" customHeight="1">
      <c r="A97" s="36"/>
      <c r="B97" s="36"/>
      <c r="C97" s="138" t="s">
        <v>4099</v>
      </c>
      <c r="D97" s="139"/>
      <c r="E97" s="140"/>
      <c r="F97" s="293"/>
      <c r="G97" s="107"/>
      <c r="H97" s="97" t="s">
        <v>12</v>
      </c>
      <c r="I97" s="97" t="s">
        <v>12</v>
      </c>
      <c r="J97" s="1036"/>
      <c r="K97" s="1037"/>
      <c r="L97" s="1038"/>
      <c r="M97" s="780"/>
      <c r="N97" s="781"/>
      <c r="O97" s="777"/>
      <c r="P97" s="237"/>
      <c r="Q97" s="238"/>
      <c r="R97" s="238"/>
      <c r="S97" s="238"/>
      <c r="T97" s="238"/>
      <c r="U97" s="238"/>
      <c r="V97" s="238"/>
      <c r="W97" s="238"/>
      <c r="X97" s="239"/>
      <c r="Y97" s="239"/>
      <c r="Z97" s="239"/>
      <c r="AA97" s="239"/>
      <c r="AB97" s="239"/>
      <c r="AC97" s="238"/>
      <c r="AD97" s="370"/>
      <c r="AE97" s="371"/>
      <c r="AF97" s="238"/>
      <c r="AG97" s="238"/>
      <c r="AH97" s="238"/>
      <c r="AI97" s="698"/>
    </row>
    <row r="98" spans="1:35" s="37" customFormat="1" ht="24" customHeight="1">
      <c r="A98" s="36"/>
      <c r="B98" s="36"/>
      <c r="C98" s="134"/>
      <c r="D98" s="135"/>
      <c r="E98" s="124"/>
      <c r="F98" s="294"/>
      <c r="G98" s="125"/>
      <c r="H98" s="141"/>
      <c r="I98" s="111" t="str">
        <f t="shared" ref="I98:I115" si="3">IF(F98="","",INT(F98*H98))</f>
        <v/>
      </c>
      <c r="J98" s="67"/>
      <c r="K98" s="68"/>
      <c r="L98" s="69"/>
      <c r="M98" s="782"/>
      <c r="N98" s="783"/>
      <c r="O98" s="777"/>
      <c r="P98" s="237"/>
      <c r="Q98" s="238"/>
      <c r="R98" s="238"/>
      <c r="S98" s="238"/>
      <c r="T98" s="238"/>
      <c r="U98" s="238"/>
      <c r="V98" s="238"/>
      <c r="W98" s="238"/>
      <c r="X98" s="239"/>
      <c r="Y98" s="239"/>
      <c r="Z98" s="239"/>
      <c r="AA98" s="239"/>
      <c r="AB98" s="239"/>
      <c r="AC98" s="238"/>
      <c r="AD98" s="370"/>
      <c r="AE98" s="371"/>
      <c r="AF98" s="238"/>
      <c r="AG98" s="238"/>
      <c r="AH98" s="650"/>
      <c r="AI98" s="698"/>
    </row>
    <row r="99" spans="1:35" s="37" customFormat="1" ht="24" customHeight="1">
      <c r="A99" s="36"/>
      <c r="B99" s="36"/>
      <c r="C99" s="134"/>
      <c r="D99" s="135"/>
      <c r="E99" s="124"/>
      <c r="F99" s="294"/>
      <c r="G99" s="125"/>
      <c r="H99" s="141"/>
      <c r="I99" s="111" t="str">
        <f t="shared" si="3"/>
        <v/>
      </c>
      <c r="J99" s="67"/>
      <c r="K99" s="68"/>
      <c r="L99" s="69"/>
      <c r="M99" s="782"/>
      <c r="N99" s="783"/>
      <c r="O99" s="777"/>
      <c r="P99" s="237"/>
      <c r="Q99" s="238"/>
      <c r="R99" s="238"/>
      <c r="S99" s="238"/>
      <c r="T99" s="238"/>
      <c r="U99" s="238"/>
      <c r="V99" s="238"/>
      <c r="W99" s="238"/>
      <c r="X99" s="239"/>
      <c r="Y99" s="239"/>
      <c r="Z99" s="239"/>
      <c r="AA99" s="239"/>
      <c r="AB99" s="239"/>
      <c r="AC99" s="238"/>
      <c r="AD99" s="370"/>
      <c r="AE99" s="371"/>
      <c r="AF99" s="238"/>
      <c r="AG99" s="238"/>
      <c r="AH99" s="650"/>
      <c r="AI99" s="698"/>
    </row>
    <row r="100" spans="1:35" s="37" customFormat="1" ht="24" customHeight="1">
      <c r="A100" s="36"/>
      <c r="B100" s="36"/>
      <c r="C100" s="134"/>
      <c r="D100" s="135"/>
      <c r="E100" s="124"/>
      <c r="F100" s="294"/>
      <c r="G100" s="125"/>
      <c r="H100" s="141"/>
      <c r="I100" s="111" t="str">
        <f t="shared" si="3"/>
        <v/>
      </c>
      <c r="J100" s="67"/>
      <c r="K100" s="68"/>
      <c r="L100" s="69"/>
      <c r="M100" s="782"/>
      <c r="N100" s="783"/>
      <c r="O100" s="777"/>
      <c r="P100" s="237"/>
      <c r="Q100" s="238"/>
      <c r="R100" s="238"/>
      <c r="S100" s="238"/>
      <c r="T100" s="238"/>
      <c r="U100" s="238"/>
      <c r="V100" s="238"/>
      <c r="W100" s="238"/>
      <c r="X100" s="239"/>
      <c r="Y100" s="239"/>
      <c r="Z100" s="239"/>
      <c r="AA100" s="239"/>
      <c r="AB100" s="239"/>
      <c r="AC100" s="238"/>
      <c r="AD100" s="370"/>
      <c r="AE100" s="371"/>
      <c r="AF100" s="238"/>
      <c r="AG100" s="238"/>
      <c r="AH100" s="650"/>
      <c r="AI100" s="698"/>
    </row>
    <row r="101" spans="1:35" s="37" customFormat="1" ht="24" customHeight="1">
      <c r="A101" s="36"/>
      <c r="B101" s="36"/>
      <c r="C101" s="134"/>
      <c r="D101" s="135"/>
      <c r="E101" s="124"/>
      <c r="F101" s="294"/>
      <c r="G101" s="125"/>
      <c r="H101" s="141"/>
      <c r="I101" s="111" t="str">
        <f t="shared" si="3"/>
        <v/>
      </c>
      <c r="J101" s="67"/>
      <c r="K101" s="68"/>
      <c r="L101" s="69"/>
      <c r="M101" s="782"/>
      <c r="N101" s="783"/>
      <c r="O101" s="777"/>
      <c r="P101" s="237"/>
      <c r="Q101" s="238"/>
      <c r="R101" s="238"/>
      <c r="S101" s="238"/>
      <c r="T101" s="238"/>
      <c r="U101" s="238"/>
      <c r="V101" s="238"/>
      <c r="W101" s="238"/>
      <c r="X101" s="239"/>
      <c r="Y101" s="239"/>
      <c r="Z101" s="239"/>
      <c r="AA101" s="239"/>
      <c r="AB101" s="239"/>
      <c r="AC101" s="238"/>
      <c r="AD101" s="370"/>
      <c r="AE101" s="371"/>
      <c r="AF101" s="238"/>
      <c r="AG101" s="238"/>
      <c r="AH101" s="650"/>
      <c r="AI101" s="698"/>
    </row>
    <row r="102" spans="1:35" s="37" customFormat="1" ht="24" customHeight="1">
      <c r="A102" s="36"/>
      <c r="B102" s="36"/>
      <c r="C102" s="134"/>
      <c r="D102" s="135"/>
      <c r="E102" s="124"/>
      <c r="F102" s="294"/>
      <c r="G102" s="125"/>
      <c r="H102" s="141"/>
      <c r="I102" s="111" t="str">
        <f t="shared" si="3"/>
        <v/>
      </c>
      <c r="J102" s="67"/>
      <c r="K102" s="68"/>
      <c r="L102" s="69"/>
      <c r="M102" s="782"/>
      <c r="N102" s="783"/>
      <c r="O102" s="777"/>
      <c r="P102" s="237"/>
      <c r="Q102" s="238"/>
      <c r="R102" s="238"/>
      <c r="S102" s="238"/>
      <c r="T102" s="238"/>
      <c r="U102" s="238"/>
      <c r="V102" s="238"/>
      <c r="W102" s="238"/>
      <c r="X102" s="239"/>
      <c r="Y102" s="239"/>
      <c r="Z102" s="239"/>
      <c r="AA102" s="239"/>
      <c r="AB102" s="239"/>
      <c r="AC102" s="238"/>
      <c r="AD102" s="370"/>
      <c r="AE102" s="371"/>
      <c r="AF102" s="238"/>
      <c r="AG102" s="238"/>
      <c r="AH102" s="650"/>
      <c r="AI102" s="698"/>
    </row>
    <row r="103" spans="1:35" s="37" customFormat="1" ht="24" customHeight="1">
      <c r="A103" s="36"/>
      <c r="B103" s="36"/>
      <c r="C103" s="134"/>
      <c r="D103" s="135"/>
      <c r="E103" s="124"/>
      <c r="F103" s="294"/>
      <c r="G103" s="125"/>
      <c r="H103" s="141"/>
      <c r="I103" s="111" t="str">
        <f t="shared" si="3"/>
        <v/>
      </c>
      <c r="J103" s="67"/>
      <c r="K103" s="68"/>
      <c r="L103" s="69"/>
      <c r="M103" s="782"/>
      <c r="N103" s="783"/>
      <c r="O103" s="777"/>
      <c r="P103" s="237"/>
      <c r="Q103" s="238"/>
      <c r="R103" s="238"/>
      <c r="S103" s="238"/>
      <c r="T103" s="238"/>
      <c r="U103" s="238"/>
      <c r="V103" s="238"/>
      <c r="W103" s="238"/>
      <c r="X103" s="239"/>
      <c r="Y103" s="239"/>
      <c r="Z103" s="239"/>
      <c r="AA103" s="239"/>
      <c r="AB103" s="239"/>
      <c r="AC103" s="238"/>
      <c r="AD103" s="370"/>
      <c r="AE103" s="371"/>
      <c r="AF103" s="238"/>
      <c r="AG103" s="238"/>
      <c r="AH103" s="650"/>
      <c r="AI103" s="698"/>
    </row>
    <row r="104" spans="1:35" s="37" customFormat="1" ht="24" customHeight="1">
      <c r="A104" s="36"/>
      <c r="B104" s="36"/>
      <c r="C104" s="134"/>
      <c r="D104" s="135"/>
      <c r="E104" s="124"/>
      <c r="F104" s="294"/>
      <c r="G104" s="125"/>
      <c r="H104" s="141"/>
      <c r="I104" s="111" t="str">
        <f t="shared" si="3"/>
        <v/>
      </c>
      <c r="J104" s="67"/>
      <c r="K104" s="68"/>
      <c r="L104" s="69"/>
      <c r="M104" s="782"/>
      <c r="N104" s="783"/>
      <c r="O104" s="777"/>
      <c r="P104" s="237"/>
      <c r="Q104" s="238"/>
      <c r="R104" s="238"/>
      <c r="S104" s="238"/>
      <c r="T104" s="238"/>
      <c r="U104" s="238"/>
      <c r="V104" s="238"/>
      <c r="W104" s="238"/>
      <c r="X104" s="239"/>
      <c r="Y104" s="239"/>
      <c r="Z104" s="239"/>
      <c r="AA104" s="239"/>
      <c r="AB104" s="239"/>
      <c r="AC104" s="238"/>
      <c r="AD104" s="370"/>
      <c r="AE104" s="371"/>
      <c r="AF104" s="238"/>
      <c r="AG104" s="238"/>
      <c r="AH104" s="650"/>
      <c r="AI104" s="698"/>
    </row>
    <row r="105" spans="1:35" s="37" customFormat="1" ht="24" customHeight="1">
      <c r="A105" s="36"/>
      <c r="B105" s="36"/>
      <c r="C105" s="134"/>
      <c r="D105" s="135"/>
      <c r="E105" s="124"/>
      <c r="F105" s="294"/>
      <c r="G105" s="125"/>
      <c r="H105" s="141"/>
      <c r="I105" s="111" t="str">
        <f t="shared" si="3"/>
        <v/>
      </c>
      <c r="J105" s="67"/>
      <c r="K105" s="68"/>
      <c r="L105" s="69"/>
      <c r="M105" s="782"/>
      <c r="N105" s="783"/>
      <c r="O105" s="777"/>
      <c r="P105" s="237"/>
      <c r="Q105" s="238"/>
      <c r="R105" s="238"/>
      <c r="S105" s="238"/>
      <c r="T105" s="238"/>
      <c r="U105" s="238"/>
      <c r="V105" s="238"/>
      <c r="W105" s="238"/>
      <c r="X105" s="239"/>
      <c r="Y105" s="239"/>
      <c r="Z105" s="239"/>
      <c r="AA105" s="239"/>
      <c r="AB105" s="239"/>
      <c r="AC105" s="238"/>
      <c r="AD105" s="370"/>
      <c r="AE105" s="371"/>
      <c r="AF105" s="238"/>
      <c r="AG105" s="238"/>
      <c r="AH105" s="650"/>
      <c r="AI105" s="698"/>
    </row>
    <row r="106" spans="1:35" s="37" customFormat="1" ht="24" customHeight="1">
      <c r="A106" s="36"/>
      <c r="B106" s="36"/>
      <c r="C106" s="134"/>
      <c r="D106" s="135"/>
      <c r="E106" s="124"/>
      <c r="F106" s="294"/>
      <c r="G106" s="125"/>
      <c r="H106" s="141"/>
      <c r="I106" s="111" t="str">
        <f t="shared" si="3"/>
        <v/>
      </c>
      <c r="J106" s="67"/>
      <c r="K106" s="68"/>
      <c r="L106" s="69"/>
      <c r="M106" s="782"/>
      <c r="N106" s="783"/>
      <c r="O106" s="777"/>
      <c r="P106" s="237"/>
      <c r="Q106" s="238"/>
      <c r="R106" s="238"/>
      <c r="S106" s="238"/>
      <c r="T106" s="238"/>
      <c r="U106" s="238"/>
      <c r="V106" s="238"/>
      <c r="W106" s="238"/>
      <c r="X106" s="239"/>
      <c r="Y106" s="239"/>
      <c r="Z106" s="239"/>
      <c r="AA106" s="239"/>
      <c r="AB106" s="239"/>
      <c r="AC106" s="238"/>
      <c r="AD106" s="370"/>
      <c r="AE106" s="371"/>
      <c r="AF106" s="238"/>
      <c r="AG106" s="238"/>
      <c r="AH106" s="650"/>
      <c r="AI106" s="698"/>
    </row>
    <row r="107" spans="1:35" s="37" customFormat="1" ht="24" customHeight="1">
      <c r="A107" s="36"/>
      <c r="B107" s="36"/>
      <c r="C107" s="134"/>
      <c r="D107" s="135"/>
      <c r="E107" s="124"/>
      <c r="F107" s="294"/>
      <c r="G107" s="125"/>
      <c r="H107" s="141"/>
      <c r="I107" s="111" t="str">
        <f t="shared" si="3"/>
        <v/>
      </c>
      <c r="J107" s="67"/>
      <c r="K107" s="68"/>
      <c r="L107" s="69"/>
      <c r="M107" s="782"/>
      <c r="N107" s="783"/>
      <c r="O107" s="777"/>
      <c r="P107" s="237"/>
      <c r="Q107" s="238"/>
      <c r="R107" s="238"/>
      <c r="S107" s="238"/>
      <c r="T107" s="238"/>
      <c r="U107" s="238"/>
      <c r="V107" s="238"/>
      <c r="W107" s="238"/>
      <c r="X107" s="239"/>
      <c r="Y107" s="239"/>
      <c r="Z107" s="239"/>
      <c r="AA107" s="239"/>
      <c r="AB107" s="239"/>
      <c r="AC107" s="238"/>
      <c r="AD107" s="370"/>
      <c r="AE107" s="371"/>
      <c r="AF107" s="238"/>
      <c r="AG107" s="238"/>
      <c r="AH107" s="650"/>
      <c r="AI107" s="698"/>
    </row>
    <row r="108" spans="1:35" s="37" customFormat="1" ht="24" customHeight="1">
      <c r="A108" s="36"/>
      <c r="B108" s="36"/>
      <c r="C108" s="134"/>
      <c r="D108" s="135"/>
      <c r="E108" s="124"/>
      <c r="F108" s="294"/>
      <c r="G108" s="125"/>
      <c r="H108" s="141"/>
      <c r="I108" s="111" t="str">
        <f t="shared" si="3"/>
        <v/>
      </c>
      <c r="J108" s="67"/>
      <c r="K108" s="68"/>
      <c r="L108" s="69"/>
      <c r="M108" s="782"/>
      <c r="N108" s="783"/>
      <c r="O108" s="777"/>
      <c r="P108" s="237"/>
      <c r="Q108" s="238"/>
      <c r="R108" s="238"/>
      <c r="S108" s="238"/>
      <c r="T108" s="238"/>
      <c r="U108" s="238"/>
      <c r="V108" s="238"/>
      <c r="W108" s="238"/>
      <c r="X108" s="239"/>
      <c r="Y108" s="239"/>
      <c r="Z108" s="239"/>
      <c r="AA108" s="239"/>
      <c r="AB108" s="239"/>
      <c r="AC108" s="238"/>
      <c r="AD108" s="370"/>
      <c r="AE108" s="371"/>
      <c r="AF108" s="238"/>
      <c r="AG108" s="238"/>
      <c r="AH108" s="650"/>
      <c r="AI108" s="698"/>
    </row>
    <row r="109" spans="1:35" s="37" customFormat="1" ht="24" customHeight="1">
      <c r="A109" s="36"/>
      <c r="B109" s="36"/>
      <c r="C109" s="134"/>
      <c r="D109" s="135"/>
      <c r="E109" s="124"/>
      <c r="F109" s="294"/>
      <c r="G109" s="125"/>
      <c r="H109" s="141"/>
      <c r="I109" s="111" t="str">
        <f t="shared" si="3"/>
        <v/>
      </c>
      <c r="J109" s="67"/>
      <c r="K109" s="68"/>
      <c r="L109" s="69"/>
      <c r="M109" s="782"/>
      <c r="N109" s="783"/>
      <c r="O109" s="777"/>
      <c r="P109" s="237"/>
      <c r="Q109" s="238"/>
      <c r="R109" s="238"/>
      <c r="S109" s="238"/>
      <c r="T109" s="238"/>
      <c r="U109" s="238"/>
      <c r="V109" s="238"/>
      <c r="W109" s="238"/>
      <c r="X109" s="239"/>
      <c r="Y109" s="239"/>
      <c r="Z109" s="239"/>
      <c r="AA109" s="239"/>
      <c r="AB109" s="239"/>
      <c r="AC109" s="238"/>
      <c r="AD109" s="370"/>
      <c r="AE109" s="371"/>
      <c r="AF109" s="238"/>
      <c r="AG109" s="238"/>
      <c r="AH109" s="650"/>
      <c r="AI109" s="698"/>
    </row>
    <row r="110" spans="1:35" s="37" customFormat="1" ht="24" customHeight="1">
      <c r="A110" s="36"/>
      <c r="B110" s="36"/>
      <c r="C110" s="134"/>
      <c r="D110" s="135"/>
      <c r="E110" s="124"/>
      <c r="F110" s="294"/>
      <c r="G110" s="125"/>
      <c r="H110" s="141"/>
      <c r="I110" s="111" t="str">
        <f t="shared" si="3"/>
        <v/>
      </c>
      <c r="J110" s="67"/>
      <c r="K110" s="68"/>
      <c r="L110" s="69"/>
      <c r="M110" s="782"/>
      <c r="N110" s="783"/>
      <c r="O110" s="777"/>
      <c r="P110" s="237"/>
      <c r="Q110" s="238"/>
      <c r="R110" s="238"/>
      <c r="S110" s="238"/>
      <c r="T110" s="238"/>
      <c r="U110" s="238"/>
      <c r="V110" s="238"/>
      <c r="W110" s="238"/>
      <c r="X110" s="239"/>
      <c r="Y110" s="239"/>
      <c r="Z110" s="239"/>
      <c r="AA110" s="239"/>
      <c r="AB110" s="239"/>
      <c r="AC110" s="238"/>
      <c r="AD110" s="370"/>
      <c r="AE110" s="371"/>
      <c r="AF110" s="238"/>
      <c r="AG110" s="238"/>
      <c r="AH110" s="650"/>
      <c r="AI110" s="698"/>
    </row>
    <row r="111" spans="1:35" s="37" customFormat="1" ht="24" customHeight="1">
      <c r="A111" s="36"/>
      <c r="B111" s="36"/>
      <c r="C111" s="134"/>
      <c r="D111" s="135"/>
      <c r="E111" s="124"/>
      <c r="F111" s="294"/>
      <c r="G111" s="125"/>
      <c r="H111" s="141"/>
      <c r="I111" s="111" t="str">
        <f t="shared" si="3"/>
        <v/>
      </c>
      <c r="J111" s="67"/>
      <c r="K111" s="68"/>
      <c r="L111" s="69"/>
      <c r="M111" s="782"/>
      <c r="N111" s="783"/>
      <c r="O111" s="777"/>
      <c r="P111" s="237"/>
      <c r="Q111" s="238"/>
      <c r="R111" s="238"/>
      <c r="S111" s="238"/>
      <c r="T111" s="238"/>
      <c r="U111" s="238"/>
      <c r="V111" s="238"/>
      <c r="W111" s="238"/>
      <c r="X111" s="239"/>
      <c r="Y111" s="239"/>
      <c r="Z111" s="239"/>
      <c r="AA111" s="239"/>
      <c r="AB111" s="239"/>
      <c r="AC111" s="238"/>
      <c r="AD111" s="370"/>
      <c r="AE111" s="371"/>
      <c r="AF111" s="238"/>
      <c r="AG111" s="238"/>
      <c r="AH111" s="650"/>
      <c r="AI111" s="698"/>
    </row>
    <row r="112" spans="1:35" s="37" customFormat="1" ht="24" customHeight="1">
      <c r="A112" s="36"/>
      <c r="B112" s="36"/>
      <c r="C112" s="134"/>
      <c r="D112" s="135"/>
      <c r="E112" s="124"/>
      <c r="F112" s="294"/>
      <c r="G112" s="125"/>
      <c r="H112" s="141"/>
      <c r="I112" s="111" t="str">
        <f t="shared" si="3"/>
        <v/>
      </c>
      <c r="J112" s="67"/>
      <c r="K112" s="68"/>
      <c r="L112" s="69"/>
      <c r="M112" s="782"/>
      <c r="N112" s="783"/>
      <c r="O112" s="777"/>
      <c r="P112" s="237"/>
      <c r="Q112" s="238"/>
      <c r="R112" s="238"/>
      <c r="S112" s="238"/>
      <c r="T112" s="238"/>
      <c r="U112" s="238"/>
      <c r="V112" s="238"/>
      <c r="W112" s="238"/>
      <c r="X112" s="239"/>
      <c r="Y112" s="239"/>
      <c r="Z112" s="239"/>
      <c r="AA112" s="239"/>
      <c r="AB112" s="239"/>
      <c r="AC112" s="238"/>
      <c r="AD112" s="370"/>
      <c r="AE112" s="371"/>
      <c r="AF112" s="238"/>
      <c r="AG112" s="238"/>
      <c r="AH112" s="650"/>
      <c r="AI112" s="698"/>
    </row>
    <row r="113" spans="1:35" s="37" customFormat="1" ht="24" customHeight="1">
      <c r="A113" s="36"/>
      <c r="B113" s="36"/>
      <c r="C113" s="134"/>
      <c r="D113" s="135"/>
      <c r="E113" s="124"/>
      <c r="F113" s="294"/>
      <c r="G113" s="125"/>
      <c r="H113" s="141"/>
      <c r="I113" s="111" t="str">
        <f t="shared" si="3"/>
        <v/>
      </c>
      <c r="J113" s="67"/>
      <c r="K113" s="68"/>
      <c r="L113" s="69"/>
      <c r="M113" s="782"/>
      <c r="N113" s="783"/>
      <c r="O113" s="777"/>
      <c r="P113" s="237"/>
      <c r="Q113" s="238"/>
      <c r="R113" s="238"/>
      <c r="S113" s="238"/>
      <c r="T113" s="238"/>
      <c r="U113" s="238"/>
      <c r="V113" s="238"/>
      <c r="W113" s="238"/>
      <c r="X113" s="239"/>
      <c r="Y113" s="239"/>
      <c r="Z113" s="239"/>
      <c r="AA113" s="239"/>
      <c r="AB113" s="239"/>
      <c r="AC113" s="238"/>
      <c r="AD113" s="370"/>
      <c r="AE113" s="371"/>
      <c r="AF113" s="238"/>
      <c r="AG113" s="238"/>
      <c r="AH113" s="650"/>
      <c r="AI113" s="698"/>
    </row>
    <row r="114" spans="1:35" s="37" customFormat="1" ht="24" customHeight="1">
      <c r="A114" s="36"/>
      <c r="B114" s="36"/>
      <c r="C114" s="134"/>
      <c r="D114" s="135"/>
      <c r="E114" s="124"/>
      <c r="F114" s="294"/>
      <c r="G114" s="125"/>
      <c r="H114" s="141"/>
      <c r="I114" s="111" t="str">
        <f t="shared" si="3"/>
        <v/>
      </c>
      <c r="J114" s="67"/>
      <c r="K114" s="68"/>
      <c r="L114" s="69"/>
      <c r="M114" s="782"/>
      <c r="N114" s="783"/>
      <c r="O114" s="777"/>
      <c r="P114" s="237"/>
      <c r="Q114" s="238"/>
      <c r="R114" s="238"/>
      <c r="S114" s="238"/>
      <c r="T114" s="238"/>
      <c r="U114" s="238"/>
      <c r="V114" s="238"/>
      <c r="W114" s="238"/>
      <c r="X114" s="239"/>
      <c r="Y114" s="239"/>
      <c r="Z114" s="239"/>
      <c r="AA114" s="239"/>
      <c r="AB114" s="239"/>
      <c r="AC114" s="238"/>
      <c r="AD114" s="370"/>
      <c r="AE114" s="371"/>
      <c r="AF114" s="238"/>
      <c r="AG114" s="238"/>
      <c r="AH114" s="650"/>
      <c r="AI114" s="698"/>
    </row>
    <row r="115" spans="1:35" s="37" customFormat="1" ht="24" customHeight="1">
      <c r="A115" s="36"/>
      <c r="B115" s="36"/>
      <c r="C115" s="134"/>
      <c r="D115" s="135"/>
      <c r="E115" s="124"/>
      <c r="F115" s="294"/>
      <c r="G115" s="125"/>
      <c r="H115" s="141"/>
      <c r="I115" s="111" t="str">
        <f t="shared" si="3"/>
        <v/>
      </c>
      <c r="J115" s="67"/>
      <c r="K115" s="68"/>
      <c r="L115" s="69"/>
      <c r="M115" s="782"/>
      <c r="N115" s="783"/>
      <c r="O115" s="777"/>
      <c r="P115" s="237"/>
      <c r="Q115" s="238"/>
      <c r="R115" s="238"/>
      <c r="S115" s="238"/>
      <c r="T115" s="238"/>
      <c r="U115" s="238"/>
      <c r="V115" s="238"/>
      <c r="W115" s="238"/>
      <c r="X115" s="239"/>
      <c r="Y115" s="239"/>
      <c r="Z115" s="239"/>
      <c r="AA115" s="239"/>
      <c r="AB115" s="239"/>
      <c r="AC115" s="238"/>
      <c r="AD115" s="370"/>
      <c r="AE115" s="371"/>
      <c r="AF115" s="238"/>
      <c r="AG115" s="238"/>
      <c r="AH115" s="650"/>
      <c r="AI115" s="698"/>
    </row>
    <row r="116" spans="1:35" ht="24" customHeight="1" thickBot="1">
      <c r="A116" s="36"/>
      <c r="B116" s="36"/>
      <c r="C116" s="113"/>
      <c r="D116" s="99" t="s">
        <v>9</v>
      </c>
      <c r="E116" s="114"/>
      <c r="F116" s="295"/>
      <c r="G116" s="127"/>
      <c r="H116" s="137" t="s">
        <v>88</v>
      </c>
      <c r="I116" s="115">
        <f>SUM(I98:I115)</f>
        <v>0</v>
      </c>
      <c r="J116" s="768" t="str">
        <f>IF(C97="部分撤去工事","）うち費用",")")</f>
        <v>)</v>
      </c>
      <c r="K116" s="770">
        <f>IF(C97="部分撤去工事",(K93+L116),0)</f>
        <v>0</v>
      </c>
      <c r="L116" s="769">
        <f>IF(C97="部分撤去工事",SUMIF(N98:N115,"費用",I98:I115),0)</f>
        <v>0</v>
      </c>
      <c r="M116" s="784"/>
      <c r="N116" s="785"/>
      <c r="O116" s="777"/>
      <c r="P116" s="237"/>
      <c r="Q116" s="238"/>
      <c r="R116" s="238"/>
      <c r="S116" s="238"/>
      <c r="T116" s="238"/>
      <c r="U116" s="238"/>
      <c r="V116" s="238"/>
      <c r="W116" s="238"/>
      <c r="X116" s="239"/>
      <c r="Y116" s="239"/>
      <c r="Z116" s="239"/>
      <c r="AA116" s="239"/>
      <c r="AB116" s="239"/>
      <c r="AC116" s="238"/>
      <c r="AD116" s="370"/>
      <c r="AE116" s="371"/>
      <c r="AF116" s="238"/>
      <c r="AG116" s="238"/>
      <c r="AH116" s="238"/>
      <c r="AI116" s="698"/>
    </row>
    <row r="117" spans="1:35" ht="14.25" customHeight="1">
      <c r="E117" s="130" t="s">
        <v>66</v>
      </c>
      <c r="F117" s="131">
        <f>+F94+1</f>
        <v>11</v>
      </c>
      <c r="G117" s="132" t="s">
        <v>67</v>
      </c>
      <c r="H117" s="133">
        <f>+H94</f>
        <v>6</v>
      </c>
      <c r="I117" s="133"/>
      <c r="M117" s="778" t="str">
        <f>IF(A119="","EOL","")</f>
        <v>EOL</v>
      </c>
      <c r="N117" s="1">
        <f>+F117</f>
        <v>11</v>
      </c>
      <c r="Q117" s="37"/>
      <c r="R117" s="37"/>
      <c r="S117" s="37"/>
      <c r="T117" s="37"/>
      <c r="U117" s="37"/>
      <c r="V117" s="37"/>
      <c r="W117" s="37"/>
      <c r="X117" s="37"/>
      <c r="Y117" s="37"/>
      <c r="Z117" s="37"/>
    </row>
    <row r="119" spans="1:35" ht="26" customHeight="1">
      <c r="D119" s="292"/>
    </row>
    <row r="121" spans="1:35" ht="26" customHeight="1">
      <c r="D121" s="292"/>
    </row>
    <row r="122" spans="1:35" ht="26" customHeight="1">
      <c r="D122" s="292"/>
    </row>
    <row r="124" spans="1:35" ht="26" customHeight="1">
      <c r="D124" s="292"/>
    </row>
    <row r="125" spans="1:35" ht="26" customHeight="1">
      <c r="D125" s="292"/>
    </row>
    <row r="134" spans="6:9" s="1" customFormat="1" ht="26" customHeight="1">
      <c r="G134" s="3"/>
      <c r="H134" s="4"/>
    </row>
    <row r="138" spans="6:9" s="1" customFormat="1" ht="26" customHeight="1">
      <c r="F138" s="131"/>
      <c r="G138" s="132"/>
      <c r="H138" s="133"/>
      <c r="I138" s="133"/>
    </row>
  </sheetData>
  <mergeCells count="18">
    <mergeCell ref="C95:L95"/>
    <mergeCell ref="O95:AH95"/>
    <mergeCell ref="J96:L96"/>
    <mergeCell ref="J97:L97"/>
    <mergeCell ref="C72:L72"/>
    <mergeCell ref="O72:AH72"/>
    <mergeCell ref="J73:L73"/>
    <mergeCell ref="J74:L74"/>
    <mergeCell ref="O3:AH3"/>
    <mergeCell ref="O26:AH26"/>
    <mergeCell ref="C49:L49"/>
    <mergeCell ref="O49:AH49"/>
    <mergeCell ref="J50:L50"/>
    <mergeCell ref="J51:L51"/>
    <mergeCell ref="J5:L5"/>
    <mergeCell ref="C3:L3"/>
    <mergeCell ref="C26:L26"/>
    <mergeCell ref="J4:L4"/>
  </mergeCells>
  <phoneticPr fontId="2"/>
  <dataValidations count="1">
    <dataValidation type="list" allowBlank="1" showInputMessage="1" showErrorMessage="1" prompt="費用/建物附属設備/工具・器具・備品の場合、選択してください。" sqref="N98:N115 N75:N92" xr:uid="{00000000-0002-0000-0400-000000000000}">
      <formula1>"【費用分類】,費用,　,【資産区分】,＜建物附属設備＞,エヤーカーテンまたはドアー自動開閉設備,アーケード又は日よけ設備（金属製）,アーケード又は日よけ設備（その他）,店舗用簡易設備,可動間仕切り-簡易なもの,可動間仕切り-その他,シャッター等（金属製）,シャッター等（その他）,　,＜工具・器具・備品＞,電照サイン（金属製）,非電照サイン（金属製）,電照広告（金属製）,非電照広告（金属製）,電気設備,非電照サイン（その他）,非電照広告（その他）,無人駐車管理装置,その他（金属製）,その他（その他）"</formula1>
    </dataValidation>
  </dataValidations>
  <printOptions horizontalCentered="1" verticalCentered="1"/>
  <pageMargins left="0.196850393700787" right="0.196850393700787" top="0.78740157480314998" bottom="0.196850393700787" header="0.511811023622047" footer="0.511811023622047"/>
  <pageSetup paperSize="9" orientation="landscape" r:id="rId1"/>
  <headerFooter alignWithMargins="0"/>
  <rowBreaks count="1" manualBreakCount="1">
    <brk id="2" max="16383" man="1"/>
  </rowBreaks>
  <colBreaks count="1" manualBreakCount="1">
    <brk id="12" max="1048575" man="1"/>
  </colBreaks>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C48"/>
  <sheetViews>
    <sheetView topLeftCell="A3" zoomScale="75" zoomScaleNormal="75" workbookViewId="0">
      <selection activeCell="D8" sqref="D8"/>
    </sheetView>
  </sheetViews>
  <sheetFormatPr defaultColWidth="6.6328125" defaultRowHeight="26" customHeight="1"/>
  <cols>
    <col min="1" max="2" width="2.6328125" style="6" customWidth="1"/>
    <col min="3" max="3" width="8.6328125" style="1" customWidth="1"/>
    <col min="4" max="4" width="28.6328125" style="1" customWidth="1"/>
    <col min="5" max="5" width="25" style="2" customWidth="1"/>
    <col min="6" max="6" width="10.6328125" style="1" customWidth="1"/>
    <col min="7" max="7" width="7.6328125" style="3" customWidth="1"/>
    <col min="8" max="8" width="11.6328125" style="4" customWidth="1"/>
    <col min="9" max="9" width="15.6328125" style="4" customWidth="1"/>
    <col min="10" max="12" width="9.6328125" style="1" customWidth="1"/>
    <col min="13" max="14" width="3.6328125" style="1" customWidth="1"/>
    <col min="15" max="33" width="5.1796875" style="37" customWidth="1"/>
    <col min="34" max="35" width="5.36328125" style="1" customWidth="1"/>
    <col min="36" max="36" width="5.1796875" style="1" customWidth="1"/>
    <col min="37" max="47" width="4.1796875" style="1" customWidth="1"/>
    <col min="48" max="54" width="4.36328125" style="1" customWidth="1"/>
    <col min="55" max="55" width="4.1796875" style="1" customWidth="1"/>
    <col min="56" max="16384" width="6.6328125" style="1"/>
  </cols>
  <sheetData>
    <row r="1" spans="1:55" ht="25.5" hidden="1" customHeight="1"/>
    <row r="2" spans="1:55" ht="24" hidden="1" customHeight="1">
      <c r="C2" s="35"/>
      <c r="E2" s="34" t="s">
        <v>68</v>
      </c>
      <c r="F2" s="86">
        <v>0</v>
      </c>
      <c r="G2" s="1"/>
      <c r="I2" s="4" t="s">
        <v>74</v>
      </c>
      <c r="J2" s="37">
        <f>VLOOKUP("EOL",$M$25:$N$65536,2,FALSE)</f>
        <v>2</v>
      </c>
    </row>
    <row r="3" spans="1:55" ht="26" customHeight="1" thickBot="1">
      <c r="C3" s="938" t="s">
        <v>369</v>
      </c>
      <c r="D3" s="938"/>
      <c r="E3" s="938"/>
      <c r="F3" s="938"/>
      <c r="G3" s="938"/>
      <c r="H3" s="938"/>
      <c r="I3" s="938"/>
      <c r="J3" s="938"/>
      <c r="K3" s="938"/>
      <c r="L3" s="938"/>
      <c r="O3" s="1039" t="s">
        <v>154</v>
      </c>
      <c r="P3" s="1039"/>
      <c r="Q3" s="1039"/>
      <c r="R3" s="1039"/>
      <c r="S3" s="1039"/>
      <c r="T3" s="1039"/>
      <c r="U3" s="1039"/>
      <c r="V3" s="1039"/>
      <c r="W3" s="1039"/>
      <c r="X3" s="1039"/>
      <c r="Y3" s="1039"/>
      <c r="Z3" s="1039"/>
      <c r="AA3" s="1039"/>
      <c r="AB3" s="1039"/>
      <c r="AC3" s="1039"/>
      <c r="AD3" s="1039"/>
      <c r="AE3" s="1039"/>
      <c r="AF3" s="1039"/>
      <c r="AG3" s="1039"/>
      <c r="AH3" s="1040"/>
      <c r="AI3" s="648"/>
    </row>
    <row r="4" spans="1:55" ht="42" customHeight="1">
      <c r="A4" s="5" t="s">
        <v>188</v>
      </c>
      <c r="B4" s="5" t="s">
        <v>10</v>
      </c>
      <c r="C4" s="120" t="s">
        <v>0</v>
      </c>
      <c r="D4" s="116"/>
      <c r="E4" s="117" t="s">
        <v>1</v>
      </c>
      <c r="F4" s="118" t="s">
        <v>2</v>
      </c>
      <c r="G4" s="118" t="s">
        <v>3</v>
      </c>
      <c r="H4" s="119" t="s">
        <v>4</v>
      </c>
      <c r="I4" s="119" t="s">
        <v>5</v>
      </c>
      <c r="J4" s="968" t="s">
        <v>6</v>
      </c>
      <c r="K4" s="969"/>
      <c r="L4" s="970"/>
      <c r="O4" s="165" t="s">
        <v>85</v>
      </c>
      <c r="P4" s="364" t="s">
        <v>288</v>
      </c>
      <c r="Q4" s="296" t="s">
        <v>305</v>
      </c>
      <c r="R4" s="296" t="s">
        <v>249</v>
      </c>
      <c r="S4" s="296" t="s">
        <v>250</v>
      </c>
      <c r="T4" s="296" t="s">
        <v>265</v>
      </c>
      <c r="U4" s="296" t="s">
        <v>148</v>
      </c>
      <c r="V4" s="164" t="s">
        <v>147</v>
      </c>
      <c r="W4" s="296" t="s">
        <v>251</v>
      </c>
      <c r="X4" s="229" t="s">
        <v>252</v>
      </c>
      <c r="Y4" s="229" t="s">
        <v>253</v>
      </c>
      <c r="Z4" s="229" t="s">
        <v>254</v>
      </c>
      <c r="AA4" s="229" t="s">
        <v>255</v>
      </c>
      <c r="AB4" s="229" t="s">
        <v>300</v>
      </c>
      <c r="AC4" s="367" t="s">
        <v>309</v>
      </c>
      <c r="AD4" s="368" t="s">
        <v>310</v>
      </c>
      <c r="AE4" s="369" t="s">
        <v>150</v>
      </c>
      <c r="AF4" s="163" t="s">
        <v>153</v>
      </c>
      <c r="AG4" s="163" t="s">
        <v>151</v>
      </c>
      <c r="AH4" s="163" t="s">
        <v>152</v>
      </c>
      <c r="AI4" s="649" t="s">
        <v>3804</v>
      </c>
    </row>
    <row r="5" spans="1:55" ht="24" customHeight="1">
      <c r="A5" s="245">
        <v>1</v>
      </c>
      <c r="B5" s="245">
        <v>1</v>
      </c>
      <c r="C5" s="138" t="s">
        <v>219</v>
      </c>
      <c r="D5" s="215" t="s">
        <v>191</v>
      </c>
      <c r="E5" s="216" t="s">
        <v>191</v>
      </c>
      <c r="F5" s="217" t="s">
        <v>191</v>
      </c>
      <c r="G5" s="218" t="s">
        <v>191</v>
      </c>
      <c r="H5" s="87" t="s">
        <v>12</v>
      </c>
      <c r="I5" s="98" t="s">
        <v>12</v>
      </c>
      <c r="J5" s="1036"/>
      <c r="K5" s="1037"/>
      <c r="L5" s="1038"/>
      <c r="M5" s="37"/>
      <c r="N5" s="37"/>
      <c r="O5" s="236"/>
      <c r="P5" s="237"/>
      <c r="Q5" s="238"/>
      <c r="R5" s="238"/>
      <c r="S5" s="238"/>
      <c r="T5" s="238"/>
      <c r="U5" s="238"/>
      <c r="V5" s="238"/>
      <c r="W5" s="238"/>
      <c r="X5" s="239"/>
      <c r="Y5" s="239"/>
      <c r="Z5" s="239"/>
      <c r="AA5" s="239"/>
      <c r="AB5" s="239"/>
      <c r="AC5" s="238"/>
      <c r="AD5" s="370"/>
      <c r="AE5" s="371"/>
      <c r="AF5" s="238"/>
      <c r="AG5" s="238"/>
      <c r="AH5" s="372"/>
      <c r="AI5" s="651"/>
    </row>
    <row r="6" spans="1:55" ht="24" customHeight="1">
      <c r="A6" s="36"/>
      <c r="B6" s="36"/>
      <c r="C6" s="197"/>
      <c r="D6" s="68"/>
      <c r="E6" s="109"/>
      <c r="F6" s="124"/>
      <c r="G6" s="125"/>
      <c r="H6" s="111"/>
      <c r="I6" s="111" t="str">
        <f t="shared" ref="I6:I23" si="0">IF(F6="","",ROUNDDOWN(F6*H6,0))</f>
        <v/>
      </c>
      <c r="J6" s="68"/>
      <c r="K6" s="68"/>
      <c r="L6" s="69"/>
      <c r="M6" s="37"/>
      <c r="N6" s="37"/>
      <c r="O6" s="236"/>
      <c r="P6" s="237"/>
      <c r="Q6" s="238"/>
      <c r="R6" s="238"/>
      <c r="S6" s="238"/>
      <c r="T6" s="238"/>
      <c r="U6" s="238"/>
      <c r="V6" s="238"/>
      <c r="W6" s="238"/>
      <c r="X6" s="239"/>
      <c r="Y6" s="239"/>
      <c r="Z6" s="239"/>
      <c r="AA6" s="239"/>
      <c r="AB6" s="239"/>
      <c r="AC6" s="238"/>
      <c r="AD6" s="370"/>
      <c r="AE6" s="371"/>
      <c r="AF6" s="238"/>
      <c r="AG6" s="238"/>
      <c r="AH6" s="219"/>
      <c r="AI6" s="651"/>
      <c r="AJ6" s="211">
        <f t="shared" ref="AJ6:BC6" si="1">$F6*O6</f>
        <v>0</v>
      </c>
      <c r="AK6" s="211">
        <f t="shared" si="1"/>
        <v>0</v>
      </c>
      <c r="AL6" s="211">
        <f t="shared" si="1"/>
        <v>0</v>
      </c>
      <c r="AM6" s="211">
        <f t="shared" si="1"/>
        <v>0</v>
      </c>
      <c r="AN6" s="211">
        <f t="shared" si="1"/>
        <v>0</v>
      </c>
      <c r="AO6" s="211">
        <f t="shared" si="1"/>
        <v>0</v>
      </c>
      <c r="AP6" s="211">
        <f t="shared" si="1"/>
        <v>0</v>
      </c>
      <c r="AQ6" s="211">
        <f t="shared" si="1"/>
        <v>0</v>
      </c>
      <c r="AR6" s="211">
        <f t="shared" si="1"/>
        <v>0</v>
      </c>
      <c r="AS6" s="211">
        <f t="shared" si="1"/>
        <v>0</v>
      </c>
      <c r="AT6" s="211">
        <f t="shared" si="1"/>
        <v>0</v>
      </c>
      <c r="AU6" s="211">
        <f t="shared" si="1"/>
        <v>0</v>
      </c>
      <c r="AV6" s="211">
        <f t="shared" si="1"/>
        <v>0</v>
      </c>
      <c r="AW6" s="211">
        <f t="shared" si="1"/>
        <v>0</v>
      </c>
      <c r="AX6" s="211">
        <f t="shared" si="1"/>
        <v>0</v>
      </c>
      <c r="AY6" s="211">
        <f t="shared" si="1"/>
        <v>0</v>
      </c>
      <c r="AZ6" s="211">
        <f t="shared" si="1"/>
        <v>0</v>
      </c>
      <c r="BA6" s="211">
        <f t="shared" si="1"/>
        <v>0</v>
      </c>
      <c r="BB6" s="211">
        <f t="shared" si="1"/>
        <v>0</v>
      </c>
      <c r="BC6" s="211">
        <f t="shared" si="1"/>
        <v>0</v>
      </c>
    </row>
    <row r="7" spans="1:55" ht="24" customHeight="1">
      <c r="A7" s="36">
        <v>1</v>
      </c>
      <c r="B7" s="36">
        <v>1</v>
      </c>
      <c r="C7" s="112"/>
      <c r="D7" s="68"/>
      <c r="E7" s="109"/>
      <c r="F7" s="124"/>
      <c r="G7" s="125"/>
      <c r="H7" s="111"/>
      <c r="I7" s="111" t="str">
        <f t="shared" si="0"/>
        <v/>
      </c>
      <c r="J7" s="68"/>
      <c r="K7" s="68"/>
      <c r="L7" s="69"/>
      <c r="M7" s="37"/>
      <c r="N7" s="37"/>
      <c r="O7" s="236"/>
      <c r="P7" s="237"/>
      <c r="Q7" s="238"/>
      <c r="R7" s="238"/>
      <c r="S7" s="238"/>
      <c r="T7" s="238"/>
      <c r="U7" s="238"/>
      <c r="V7" s="238"/>
      <c r="W7" s="238"/>
      <c r="X7" s="239"/>
      <c r="Y7" s="239"/>
      <c r="Z7" s="239"/>
      <c r="AA7" s="239"/>
      <c r="AB7" s="239"/>
      <c r="AC7" s="238"/>
      <c r="AD7" s="370"/>
      <c r="AE7" s="371"/>
      <c r="AF7" s="238"/>
      <c r="AG7" s="238"/>
      <c r="AH7" s="219"/>
      <c r="AI7" s="651"/>
      <c r="AJ7" s="211">
        <f t="shared" ref="AJ7:AJ22" si="2">$F7*O7</f>
        <v>0</v>
      </c>
      <c r="AK7" s="211">
        <f t="shared" ref="AK7:AK23" si="3">$F7*P7</f>
        <v>0</v>
      </c>
      <c r="AL7" s="211">
        <f t="shared" ref="AL7:AL23" si="4">$F7*Q7</f>
        <v>0</v>
      </c>
      <c r="AM7" s="211">
        <f t="shared" ref="AM7:AM23" si="5">$F7*R7</f>
        <v>0</v>
      </c>
      <c r="AN7" s="211">
        <f t="shared" ref="AN7:AN23" si="6">$F7*S7</f>
        <v>0</v>
      </c>
      <c r="AO7" s="211">
        <f t="shared" ref="AO7:AO23" si="7">$F7*T7</f>
        <v>0</v>
      </c>
      <c r="AP7" s="211">
        <f t="shared" ref="AP7:AP23" si="8">$F7*U7</f>
        <v>0</v>
      </c>
      <c r="AQ7" s="211">
        <f t="shared" ref="AQ7:AQ23" si="9">$F7*V7</f>
        <v>0</v>
      </c>
      <c r="AR7" s="211">
        <f t="shared" ref="AR7:AR23" si="10">$F7*W7</f>
        <v>0</v>
      </c>
      <c r="AS7" s="211">
        <f t="shared" ref="AS7:AS23" si="11">$F7*X7</f>
        <v>0</v>
      </c>
      <c r="AT7" s="211">
        <f t="shared" ref="AT7:AT23" si="12">$F7*Y7</f>
        <v>0</v>
      </c>
      <c r="AU7" s="211">
        <f t="shared" ref="AU7:AU23" si="13">$F7*Z7</f>
        <v>0</v>
      </c>
      <c r="AV7" s="211">
        <f t="shared" ref="AV7:AV23" si="14">$F7*AA7</f>
        <v>0</v>
      </c>
      <c r="AW7" s="211">
        <f t="shared" ref="AW7:AW23" si="15">$F7*AB7</f>
        <v>0</v>
      </c>
      <c r="AX7" s="211">
        <f t="shared" ref="AX7:AX23" si="16">$F7*AC7</f>
        <v>0</v>
      </c>
      <c r="AY7" s="211">
        <f t="shared" ref="AY7:AY23" si="17">$F7*AD7</f>
        <v>0</v>
      </c>
      <c r="AZ7" s="211">
        <f t="shared" ref="AZ7:AZ23" si="18">$F7*AE7</f>
        <v>0</v>
      </c>
      <c r="BA7" s="211">
        <f t="shared" ref="BA7:BA23" si="19">$F7*AF7</f>
        <v>0</v>
      </c>
      <c r="BB7" s="211">
        <f t="shared" ref="BB7:BC22" si="20">$F7*AG7</f>
        <v>0</v>
      </c>
      <c r="BC7" s="211">
        <f t="shared" si="20"/>
        <v>0</v>
      </c>
    </row>
    <row r="8" spans="1:55" ht="24" customHeight="1">
      <c r="A8" s="36"/>
      <c r="B8" s="36"/>
      <c r="C8" s="112"/>
      <c r="D8" s="68"/>
      <c r="E8" s="109"/>
      <c r="F8" s="124"/>
      <c r="G8" s="125"/>
      <c r="H8" s="111"/>
      <c r="I8" s="111" t="str">
        <f t="shared" si="0"/>
        <v/>
      </c>
      <c r="J8" s="68"/>
      <c r="K8" s="68"/>
      <c r="L8" s="69"/>
      <c r="M8" s="37"/>
      <c r="N8" s="37"/>
      <c r="O8" s="236"/>
      <c r="P8" s="237"/>
      <c r="Q8" s="238"/>
      <c r="R8" s="238"/>
      <c r="S8" s="238"/>
      <c r="T8" s="238"/>
      <c r="U8" s="238"/>
      <c r="V8" s="238"/>
      <c r="W8" s="238"/>
      <c r="X8" s="239"/>
      <c r="Y8" s="239"/>
      <c r="Z8" s="239"/>
      <c r="AA8" s="239"/>
      <c r="AB8" s="239"/>
      <c r="AC8" s="238"/>
      <c r="AD8" s="370"/>
      <c r="AE8" s="371"/>
      <c r="AF8" s="238"/>
      <c r="AG8" s="238"/>
      <c r="AH8" s="219"/>
      <c r="AI8" s="651"/>
      <c r="AJ8" s="211">
        <f t="shared" si="2"/>
        <v>0</v>
      </c>
      <c r="AK8" s="211">
        <f t="shared" si="3"/>
        <v>0</v>
      </c>
      <c r="AL8" s="211">
        <f t="shared" si="4"/>
        <v>0</v>
      </c>
      <c r="AM8" s="211">
        <f t="shared" si="5"/>
        <v>0</v>
      </c>
      <c r="AN8" s="211">
        <f t="shared" si="6"/>
        <v>0</v>
      </c>
      <c r="AO8" s="211">
        <f t="shared" si="7"/>
        <v>0</v>
      </c>
      <c r="AP8" s="211">
        <f t="shared" si="8"/>
        <v>0</v>
      </c>
      <c r="AQ8" s="211">
        <f t="shared" si="9"/>
        <v>0</v>
      </c>
      <c r="AR8" s="211">
        <f t="shared" si="10"/>
        <v>0</v>
      </c>
      <c r="AS8" s="211">
        <f t="shared" si="11"/>
        <v>0</v>
      </c>
      <c r="AT8" s="211">
        <f t="shared" si="12"/>
        <v>0</v>
      </c>
      <c r="AU8" s="211">
        <f t="shared" si="13"/>
        <v>0</v>
      </c>
      <c r="AV8" s="211">
        <f t="shared" si="14"/>
        <v>0</v>
      </c>
      <c r="AW8" s="211">
        <f t="shared" si="15"/>
        <v>0</v>
      </c>
      <c r="AX8" s="211">
        <f t="shared" si="16"/>
        <v>0</v>
      </c>
      <c r="AY8" s="211">
        <f t="shared" si="17"/>
        <v>0</v>
      </c>
      <c r="AZ8" s="211">
        <f t="shared" si="18"/>
        <v>0</v>
      </c>
      <c r="BA8" s="211">
        <f t="shared" si="19"/>
        <v>0</v>
      </c>
      <c r="BB8" s="211">
        <f t="shared" si="20"/>
        <v>0</v>
      </c>
      <c r="BC8" s="211">
        <f t="shared" si="20"/>
        <v>0</v>
      </c>
    </row>
    <row r="9" spans="1:55" ht="24" customHeight="1">
      <c r="A9" s="36"/>
      <c r="B9" s="36"/>
      <c r="C9" s="112"/>
      <c r="D9" s="68"/>
      <c r="E9" s="109"/>
      <c r="F9" s="124"/>
      <c r="G9" s="125"/>
      <c r="H9" s="111"/>
      <c r="I9" s="111" t="str">
        <f t="shared" si="0"/>
        <v/>
      </c>
      <c r="J9" s="68"/>
      <c r="K9" s="68"/>
      <c r="L9" s="69"/>
      <c r="M9" s="37"/>
      <c r="N9" s="37"/>
      <c r="O9" s="236"/>
      <c r="P9" s="237"/>
      <c r="Q9" s="238"/>
      <c r="R9" s="238"/>
      <c r="S9" s="238"/>
      <c r="T9" s="238"/>
      <c r="U9" s="238"/>
      <c r="V9" s="238"/>
      <c r="W9" s="238"/>
      <c r="X9" s="239"/>
      <c r="Y9" s="239"/>
      <c r="Z9" s="239"/>
      <c r="AA9" s="239"/>
      <c r="AB9" s="239"/>
      <c r="AC9" s="238"/>
      <c r="AD9" s="370"/>
      <c r="AE9" s="371"/>
      <c r="AF9" s="238"/>
      <c r="AG9" s="238"/>
      <c r="AH9" s="219"/>
      <c r="AI9" s="651"/>
      <c r="AJ9" s="211">
        <f t="shared" si="2"/>
        <v>0</v>
      </c>
      <c r="AK9" s="211">
        <f t="shared" si="3"/>
        <v>0</v>
      </c>
      <c r="AL9" s="211">
        <f t="shared" si="4"/>
        <v>0</v>
      </c>
      <c r="AM9" s="211">
        <f t="shared" si="5"/>
        <v>0</v>
      </c>
      <c r="AN9" s="211">
        <f t="shared" si="6"/>
        <v>0</v>
      </c>
      <c r="AO9" s="211">
        <f t="shared" si="7"/>
        <v>0</v>
      </c>
      <c r="AP9" s="211">
        <f t="shared" si="8"/>
        <v>0</v>
      </c>
      <c r="AQ9" s="211">
        <f t="shared" si="9"/>
        <v>0</v>
      </c>
      <c r="AR9" s="211">
        <f t="shared" si="10"/>
        <v>0</v>
      </c>
      <c r="AS9" s="211">
        <f t="shared" si="11"/>
        <v>0</v>
      </c>
      <c r="AT9" s="211">
        <f t="shared" si="12"/>
        <v>0</v>
      </c>
      <c r="AU9" s="211">
        <f t="shared" si="13"/>
        <v>0</v>
      </c>
      <c r="AV9" s="211">
        <f t="shared" si="14"/>
        <v>0</v>
      </c>
      <c r="AW9" s="211">
        <f t="shared" si="15"/>
        <v>0</v>
      </c>
      <c r="AX9" s="211">
        <f t="shared" si="16"/>
        <v>0</v>
      </c>
      <c r="AY9" s="211">
        <f t="shared" si="17"/>
        <v>0</v>
      </c>
      <c r="AZ9" s="211">
        <f t="shared" si="18"/>
        <v>0</v>
      </c>
      <c r="BA9" s="211">
        <f t="shared" si="19"/>
        <v>0</v>
      </c>
      <c r="BB9" s="211">
        <f t="shared" si="20"/>
        <v>0</v>
      </c>
      <c r="BC9" s="211">
        <f t="shared" si="20"/>
        <v>0</v>
      </c>
    </row>
    <row r="10" spans="1:55" ht="24" customHeight="1">
      <c r="A10" s="36"/>
      <c r="B10" s="36"/>
      <c r="C10" s="112"/>
      <c r="D10" s="68"/>
      <c r="E10" s="109"/>
      <c r="F10" s="124"/>
      <c r="G10" s="125"/>
      <c r="H10" s="111"/>
      <c r="I10" s="111" t="str">
        <f t="shared" si="0"/>
        <v/>
      </c>
      <c r="J10" s="68"/>
      <c r="K10" s="68"/>
      <c r="L10" s="69"/>
      <c r="M10" s="37"/>
      <c r="N10" s="37"/>
      <c r="O10" s="236"/>
      <c r="P10" s="237"/>
      <c r="Q10" s="238"/>
      <c r="R10" s="238"/>
      <c r="S10" s="238"/>
      <c r="T10" s="238"/>
      <c r="U10" s="238"/>
      <c r="V10" s="238"/>
      <c r="W10" s="238"/>
      <c r="X10" s="239"/>
      <c r="Y10" s="239"/>
      <c r="Z10" s="239"/>
      <c r="AA10" s="239"/>
      <c r="AB10" s="239"/>
      <c r="AC10" s="238"/>
      <c r="AD10" s="370"/>
      <c r="AE10" s="371"/>
      <c r="AF10" s="238"/>
      <c r="AG10" s="238"/>
      <c r="AH10" s="219"/>
      <c r="AI10" s="651"/>
      <c r="AJ10" s="211">
        <f t="shared" si="2"/>
        <v>0</v>
      </c>
      <c r="AK10" s="211">
        <f t="shared" si="3"/>
        <v>0</v>
      </c>
      <c r="AL10" s="211">
        <f t="shared" si="4"/>
        <v>0</v>
      </c>
      <c r="AM10" s="211">
        <f t="shared" si="5"/>
        <v>0</v>
      </c>
      <c r="AN10" s="211">
        <f t="shared" si="6"/>
        <v>0</v>
      </c>
      <c r="AO10" s="211">
        <f t="shared" si="7"/>
        <v>0</v>
      </c>
      <c r="AP10" s="211">
        <f t="shared" si="8"/>
        <v>0</v>
      </c>
      <c r="AQ10" s="211">
        <f t="shared" si="9"/>
        <v>0</v>
      </c>
      <c r="AR10" s="211">
        <f t="shared" si="10"/>
        <v>0</v>
      </c>
      <c r="AS10" s="211">
        <f t="shared" si="11"/>
        <v>0</v>
      </c>
      <c r="AT10" s="211">
        <f t="shared" si="12"/>
        <v>0</v>
      </c>
      <c r="AU10" s="211">
        <f t="shared" si="13"/>
        <v>0</v>
      </c>
      <c r="AV10" s="211">
        <f t="shared" si="14"/>
        <v>0</v>
      </c>
      <c r="AW10" s="211">
        <f t="shared" si="15"/>
        <v>0</v>
      </c>
      <c r="AX10" s="211">
        <f t="shared" si="16"/>
        <v>0</v>
      </c>
      <c r="AY10" s="211">
        <f t="shared" si="17"/>
        <v>0</v>
      </c>
      <c r="AZ10" s="211">
        <f t="shared" si="18"/>
        <v>0</v>
      </c>
      <c r="BA10" s="211">
        <f t="shared" si="19"/>
        <v>0</v>
      </c>
      <c r="BB10" s="211">
        <f t="shared" si="20"/>
        <v>0</v>
      </c>
      <c r="BC10" s="211">
        <f t="shared" si="20"/>
        <v>0</v>
      </c>
    </row>
    <row r="11" spans="1:55" ht="24" customHeight="1">
      <c r="A11" s="36"/>
      <c r="B11" s="36"/>
      <c r="C11" s="112"/>
      <c r="D11" s="68"/>
      <c r="E11" s="109"/>
      <c r="F11" s="124"/>
      <c r="G11" s="125"/>
      <c r="H11" s="111"/>
      <c r="I11" s="111" t="str">
        <f t="shared" si="0"/>
        <v/>
      </c>
      <c r="J11" s="68"/>
      <c r="K11" s="68"/>
      <c r="L11" s="69"/>
      <c r="M11" s="37"/>
      <c r="N11" s="37"/>
      <c r="O11" s="236"/>
      <c r="P11" s="237"/>
      <c r="Q11" s="238"/>
      <c r="R11" s="238"/>
      <c r="S11" s="238"/>
      <c r="T11" s="238"/>
      <c r="U11" s="238"/>
      <c r="V11" s="238"/>
      <c r="W11" s="238"/>
      <c r="X11" s="239"/>
      <c r="Y11" s="239"/>
      <c r="Z11" s="239"/>
      <c r="AA11" s="239"/>
      <c r="AB11" s="239"/>
      <c r="AC11" s="238"/>
      <c r="AD11" s="370"/>
      <c r="AE11" s="371"/>
      <c r="AF11" s="238"/>
      <c r="AG11" s="238"/>
      <c r="AH11" s="219"/>
      <c r="AI11" s="651"/>
      <c r="AJ11" s="211">
        <f t="shared" si="2"/>
        <v>0</v>
      </c>
      <c r="AK11" s="211">
        <f t="shared" si="3"/>
        <v>0</v>
      </c>
      <c r="AL11" s="211">
        <f t="shared" si="4"/>
        <v>0</v>
      </c>
      <c r="AM11" s="211">
        <f t="shared" si="5"/>
        <v>0</v>
      </c>
      <c r="AN11" s="211">
        <f t="shared" si="6"/>
        <v>0</v>
      </c>
      <c r="AO11" s="211">
        <f t="shared" si="7"/>
        <v>0</v>
      </c>
      <c r="AP11" s="211">
        <f t="shared" si="8"/>
        <v>0</v>
      </c>
      <c r="AQ11" s="211">
        <f t="shared" si="9"/>
        <v>0</v>
      </c>
      <c r="AR11" s="211">
        <f t="shared" si="10"/>
        <v>0</v>
      </c>
      <c r="AS11" s="211">
        <f t="shared" si="11"/>
        <v>0</v>
      </c>
      <c r="AT11" s="211">
        <f t="shared" si="12"/>
        <v>0</v>
      </c>
      <c r="AU11" s="211">
        <f t="shared" si="13"/>
        <v>0</v>
      </c>
      <c r="AV11" s="211">
        <f t="shared" si="14"/>
        <v>0</v>
      </c>
      <c r="AW11" s="211">
        <f t="shared" si="15"/>
        <v>0</v>
      </c>
      <c r="AX11" s="211">
        <f t="shared" si="16"/>
        <v>0</v>
      </c>
      <c r="AY11" s="211">
        <f t="shared" si="17"/>
        <v>0</v>
      </c>
      <c r="AZ11" s="211">
        <f t="shared" si="18"/>
        <v>0</v>
      </c>
      <c r="BA11" s="211">
        <f t="shared" si="19"/>
        <v>0</v>
      </c>
      <c r="BB11" s="211">
        <f t="shared" si="20"/>
        <v>0</v>
      </c>
      <c r="BC11" s="211">
        <f t="shared" si="20"/>
        <v>0</v>
      </c>
    </row>
    <row r="12" spans="1:55" s="37" customFormat="1" ht="24" customHeight="1">
      <c r="A12" s="36"/>
      <c r="B12" s="36"/>
      <c r="C12" s="112"/>
      <c r="D12" s="68"/>
      <c r="E12" s="109"/>
      <c r="F12" s="124"/>
      <c r="G12" s="125"/>
      <c r="H12" s="111"/>
      <c r="I12" s="111" t="str">
        <f t="shared" si="0"/>
        <v/>
      </c>
      <c r="J12" s="68"/>
      <c r="K12" s="68"/>
      <c r="L12" s="69"/>
      <c r="O12" s="236"/>
      <c r="P12" s="237"/>
      <c r="Q12" s="238"/>
      <c r="R12" s="238"/>
      <c r="S12" s="238"/>
      <c r="T12" s="238"/>
      <c r="U12" s="238"/>
      <c r="V12" s="238"/>
      <c r="W12" s="238"/>
      <c r="X12" s="239"/>
      <c r="Y12" s="239"/>
      <c r="Z12" s="239"/>
      <c r="AA12" s="239"/>
      <c r="AB12" s="239"/>
      <c r="AC12" s="238"/>
      <c r="AD12" s="370"/>
      <c r="AE12" s="371"/>
      <c r="AF12" s="238"/>
      <c r="AG12" s="238"/>
      <c r="AH12" s="219"/>
      <c r="AI12" s="651"/>
      <c r="AJ12" s="211">
        <f t="shared" si="2"/>
        <v>0</v>
      </c>
      <c r="AK12" s="211">
        <f t="shared" si="3"/>
        <v>0</v>
      </c>
      <c r="AL12" s="211">
        <f t="shared" si="4"/>
        <v>0</v>
      </c>
      <c r="AM12" s="211">
        <f t="shared" si="5"/>
        <v>0</v>
      </c>
      <c r="AN12" s="211">
        <f t="shared" si="6"/>
        <v>0</v>
      </c>
      <c r="AO12" s="211">
        <f t="shared" si="7"/>
        <v>0</v>
      </c>
      <c r="AP12" s="211">
        <f t="shared" si="8"/>
        <v>0</v>
      </c>
      <c r="AQ12" s="211">
        <f t="shared" si="9"/>
        <v>0</v>
      </c>
      <c r="AR12" s="211">
        <f t="shared" si="10"/>
        <v>0</v>
      </c>
      <c r="AS12" s="211">
        <f t="shared" si="11"/>
        <v>0</v>
      </c>
      <c r="AT12" s="211">
        <f t="shared" si="12"/>
        <v>0</v>
      </c>
      <c r="AU12" s="211">
        <f t="shared" si="13"/>
        <v>0</v>
      </c>
      <c r="AV12" s="211">
        <f t="shared" si="14"/>
        <v>0</v>
      </c>
      <c r="AW12" s="211">
        <f t="shared" si="15"/>
        <v>0</v>
      </c>
      <c r="AX12" s="211">
        <f t="shared" si="16"/>
        <v>0</v>
      </c>
      <c r="AY12" s="211">
        <f t="shared" si="17"/>
        <v>0</v>
      </c>
      <c r="AZ12" s="211">
        <f t="shared" si="18"/>
        <v>0</v>
      </c>
      <c r="BA12" s="211">
        <f t="shared" si="19"/>
        <v>0</v>
      </c>
      <c r="BB12" s="211">
        <f t="shared" si="20"/>
        <v>0</v>
      </c>
      <c r="BC12" s="211">
        <f t="shared" si="20"/>
        <v>0</v>
      </c>
    </row>
    <row r="13" spans="1:55" ht="24" customHeight="1">
      <c r="A13" s="36"/>
      <c r="B13" s="36"/>
      <c r="C13" s="112"/>
      <c r="D13" s="68"/>
      <c r="E13" s="109"/>
      <c r="F13" s="124"/>
      <c r="G13" s="125"/>
      <c r="H13" s="111"/>
      <c r="I13" s="111" t="str">
        <f t="shared" si="0"/>
        <v/>
      </c>
      <c r="J13" s="68"/>
      <c r="K13" s="68"/>
      <c r="L13" s="69"/>
      <c r="M13" s="37"/>
      <c r="N13" s="37"/>
      <c r="O13" s="236"/>
      <c r="P13" s="237"/>
      <c r="Q13" s="238"/>
      <c r="R13" s="238"/>
      <c r="S13" s="238"/>
      <c r="T13" s="238"/>
      <c r="U13" s="238"/>
      <c r="V13" s="238"/>
      <c r="W13" s="238"/>
      <c r="X13" s="239"/>
      <c r="Y13" s="239"/>
      <c r="Z13" s="239"/>
      <c r="AA13" s="239"/>
      <c r="AB13" s="239"/>
      <c r="AC13" s="238"/>
      <c r="AD13" s="370"/>
      <c r="AE13" s="371"/>
      <c r="AF13" s="238"/>
      <c r="AG13" s="238"/>
      <c r="AH13" s="219"/>
      <c r="AI13" s="651"/>
      <c r="AJ13" s="211">
        <f t="shared" si="2"/>
        <v>0</v>
      </c>
      <c r="AK13" s="211">
        <f t="shared" si="3"/>
        <v>0</v>
      </c>
      <c r="AL13" s="211">
        <f t="shared" si="4"/>
        <v>0</v>
      </c>
      <c r="AM13" s="211">
        <f t="shared" si="5"/>
        <v>0</v>
      </c>
      <c r="AN13" s="211">
        <f t="shared" si="6"/>
        <v>0</v>
      </c>
      <c r="AO13" s="211">
        <f t="shared" si="7"/>
        <v>0</v>
      </c>
      <c r="AP13" s="211">
        <f t="shared" si="8"/>
        <v>0</v>
      </c>
      <c r="AQ13" s="211">
        <f t="shared" si="9"/>
        <v>0</v>
      </c>
      <c r="AR13" s="211">
        <f t="shared" si="10"/>
        <v>0</v>
      </c>
      <c r="AS13" s="211">
        <f t="shared" si="11"/>
        <v>0</v>
      </c>
      <c r="AT13" s="211">
        <f t="shared" si="12"/>
        <v>0</v>
      </c>
      <c r="AU13" s="211">
        <f t="shared" si="13"/>
        <v>0</v>
      </c>
      <c r="AV13" s="211">
        <f t="shared" si="14"/>
        <v>0</v>
      </c>
      <c r="AW13" s="211">
        <f t="shared" si="15"/>
        <v>0</v>
      </c>
      <c r="AX13" s="211">
        <f t="shared" si="16"/>
        <v>0</v>
      </c>
      <c r="AY13" s="211">
        <f t="shared" si="17"/>
        <v>0</v>
      </c>
      <c r="AZ13" s="211">
        <f t="shared" si="18"/>
        <v>0</v>
      </c>
      <c r="BA13" s="211">
        <f t="shared" si="19"/>
        <v>0</v>
      </c>
      <c r="BB13" s="211">
        <f t="shared" si="20"/>
        <v>0</v>
      </c>
      <c r="BC13" s="211">
        <f t="shared" si="20"/>
        <v>0</v>
      </c>
    </row>
    <row r="14" spans="1:55" ht="24" customHeight="1">
      <c r="A14" s="36"/>
      <c r="B14" s="36"/>
      <c r="C14" s="112"/>
      <c r="D14" s="68"/>
      <c r="E14" s="214"/>
      <c r="F14" s="124"/>
      <c r="G14" s="125"/>
      <c r="H14" s="111"/>
      <c r="I14" s="111" t="str">
        <f t="shared" si="0"/>
        <v/>
      </c>
      <c r="J14" s="68"/>
      <c r="K14" s="68"/>
      <c r="L14" s="69"/>
      <c r="M14" s="37"/>
      <c r="N14" s="37"/>
      <c r="O14" s="236"/>
      <c r="P14" s="237"/>
      <c r="Q14" s="238"/>
      <c r="R14" s="238"/>
      <c r="S14" s="238"/>
      <c r="T14" s="238"/>
      <c r="U14" s="238"/>
      <c r="V14" s="238"/>
      <c r="W14" s="238"/>
      <c r="X14" s="239"/>
      <c r="Y14" s="239"/>
      <c r="Z14" s="239"/>
      <c r="AA14" s="239"/>
      <c r="AB14" s="239"/>
      <c r="AC14" s="238"/>
      <c r="AD14" s="370"/>
      <c r="AE14" s="371"/>
      <c r="AF14" s="238"/>
      <c r="AG14" s="238"/>
      <c r="AH14" s="219"/>
      <c r="AI14" s="651"/>
      <c r="AJ14" s="211">
        <f t="shared" si="2"/>
        <v>0</v>
      </c>
      <c r="AK14" s="211">
        <f t="shared" si="3"/>
        <v>0</v>
      </c>
      <c r="AL14" s="211">
        <f t="shared" si="4"/>
        <v>0</v>
      </c>
      <c r="AM14" s="211">
        <f t="shared" si="5"/>
        <v>0</v>
      </c>
      <c r="AN14" s="211">
        <f t="shared" si="6"/>
        <v>0</v>
      </c>
      <c r="AO14" s="211">
        <f t="shared" si="7"/>
        <v>0</v>
      </c>
      <c r="AP14" s="211">
        <f t="shared" si="8"/>
        <v>0</v>
      </c>
      <c r="AQ14" s="211">
        <f t="shared" si="9"/>
        <v>0</v>
      </c>
      <c r="AR14" s="211">
        <f t="shared" si="10"/>
        <v>0</v>
      </c>
      <c r="AS14" s="211">
        <f t="shared" si="11"/>
        <v>0</v>
      </c>
      <c r="AT14" s="211">
        <f t="shared" si="12"/>
        <v>0</v>
      </c>
      <c r="AU14" s="211">
        <f t="shared" si="13"/>
        <v>0</v>
      </c>
      <c r="AV14" s="211">
        <f t="shared" si="14"/>
        <v>0</v>
      </c>
      <c r="AW14" s="211">
        <f t="shared" si="15"/>
        <v>0</v>
      </c>
      <c r="AX14" s="211">
        <f t="shared" si="16"/>
        <v>0</v>
      </c>
      <c r="AY14" s="211">
        <f t="shared" si="17"/>
        <v>0</v>
      </c>
      <c r="AZ14" s="211">
        <f t="shared" si="18"/>
        <v>0</v>
      </c>
      <c r="BA14" s="211">
        <f t="shared" si="19"/>
        <v>0</v>
      </c>
      <c r="BB14" s="211">
        <f t="shared" si="20"/>
        <v>0</v>
      </c>
      <c r="BC14" s="211">
        <f t="shared" si="20"/>
        <v>0</v>
      </c>
    </row>
    <row r="15" spans="1:55" s="37" customFormat="1" ht="24" customHeight="1">
      <c r="A15" s="36"/>
      <c r="B15" s="36"/>
      <c r="C15" s="112"/>
      <c r="D15" s="68"/>
      <c r="E15" s="109"/>
      <c r="F15" s="124"/>
      <c r="G15" s="125"/>
      <c r="H15" s="111"/>
      <c r="I15" s="111" t="str">
        <f t="shared" si="0"/>
        <v/>
      </c>
      <c r="J15" s="68"/>
      <c r="K15" s="68"/>
      <c r="L15" s="69"/>
      <c r="O15" s="236"/>
      <c r="P15" s="237"/>
      <c r="Q15" s="238"/>
      <c r="R15" s="238"/>
      <c r="S15" s="238"/>
      <c r="T15" s="238"/>
      <c r="U15" s="238"/>
      <c r="V15" s="238"/>
      <c r="W15" s="238"/>
      <c r="X15" s="239"/>
      <c r="Y15" s="239"/>
      <c r="Z15" s="239"/>
      <c r="AA15" s="239"/>
      <c r="AB15" s="239"/>
      <c r="AC15" s="238"/>
      <c r="AD15" s="370"/>
      <c r="AE15" s="371"/>
      <c r="AF15" s="238"/>
      <c r="AG15" s="238"/>
      <c r="AH15" s="219"/>
      <c r="AI15" s="651"/>
      <c r="AJ15" s="211">
        <f t="shared" si="2"/>
        <v>0</v>
      </c>
      <c r="AK15" s="211">
        <f t="shared" si="3"/>
        <v>0</v>
      </c>
      <c r="AL15" s="211">
        <f t="shared" si="4"/>
        <v>0</v>
      </c>
      <c r="AM15" s="211">
        <f t="shared" si="5"/>
        <v>0</v>
      </c>
      <c r="AN15" s="211">
        <f t="shared" si="6"/>
        <v>0</v>
      </c>
      <c r="AO15" s="211">
        <f t="shared" si="7"/>
        <v>0</v>
      </c>
      <c r="AP15" s="211">
        <f t="shared" si="8"/>
        <v>0</v>
      </c>
      <c r="AQ15" s="211">
        <f t="shared" si="9"/>
        <v>0</v>
      </c>
      <c r="AR15" s="211">
        <f t="shared" si="10"/>
        <v>0</v>
      </c>
      <c r="AS15" s="211">
        <f t="shared" si="11"/>
        <v>0</v>
      </c>
      <c r="AT15" s="211">
        <f t="shared" si="12"/>
        <v>0</v>
      </c>
      <c r="AU15" s="211">
        <f t="shared" si="13"/>
        <v>0</v>
      </c>
      <c r="AV15" s="211">
        <f t="shared" si="14"/>
        <v>0</v>
      </c>
      <c r="AW15" s="211">
        <f t="shared" si="15"/>
        <v>0</v>
      </c>
      <c r="AX15" s="211">
        <f t="shared" si="16"/>
        <v>0</v>
      </c>
      <c r="AY15" s="211">
        <f t="shared" si="17"/>
        <v>0</v>
      </c>
      <c r="AZ15" s="211">
        <f t="shared" si="18"/>
        <v>0</v>
      </c>
      <c r="BA15" s="211">
        <f t="shared" si="19"/>
        <v>0</v>
      </c>
      <c r="BB15" s="211">
        <f t="shared" si="20"/>
        <v>0</v>
      </c>
      <c r="BC15" s="211">
        <f t="shared" si="20"/>
        <v>0</v>
      </c>
    </row>
    <row r="16" spans="1:55" ht="24" customHeight="1">
      <c r="A16" s="36"/>
      <c r="B16" s="36"/>
      <c r="C16" s="112"/>
      <c r="D16" s="68"/>
      <c r="E16" s="109"/>
      <c r="F16" s="124"/>
      <c r="G16" s="125"/>
      <c r="H16" s="111"/>
      <c r="I16" s="111" t="str">
        <f t="shared" si="0"/>
        <v/>
      </c>
      <c r="J16" s="68"/>
      <c r="K16" s="68"/>
      <c r="L16" s="69"/>
      <c r="M16" s="37"/>
      <c r="N16" s="37"/>
      <c r="O16" s="236"/>
      <c r="P16" s="237"/>
      <c r="Q16" s="238"/>
      <c r="R16" s="238"/>
      <c r="S16" s="238"/>
      <c r="T16" s="238"/>
      <c r="U16" s="238"/>
      <c r="V16" s="238"/>
      <c r="W16" s="238"/>
      <c r="X16" s="239"/>
      <c r="Y16" s="239"/>
      <c r="Z16" s="239"/>
      <c r="AA16" s="239"/>
      <c r="AB16" s="239"/>
      <c r="AC16" s="238"/>
      <c r="AD16" s="370"/>
      <c r="AE16" s="371"/>
      <c r="AF16" s="238"/>
      <c r="AG16" s="238"/>
      <c r="AH16" s="219"/>
      <c r="AI16" s="651"/>
      <c r="AJ16" s="211">
        <f t="shared" si="2"/>
        <v>0</v>
      </c>
      <c r="AK16" s="211">
        <f t="shared" si="3"/>
        <v>0</v>
      </c>
      <c r="AL16" s="211">
        <f t="shared" si="4"/>
        <v>0</v>
      </c>
      <c r="AM16" s="211">
        <f t="shared" si="5"/>
        <v>0</v>
      </c>
      <c r="AN16" s="211">
        <f t="shared" si="6"/>
        <v>0</v>
      </c>
      <c r="AO16" s="211">
        <f t="shared" si="7"/>
        <v>0</v>
      </c>
      <c r="AP16" s="211">
        <f t="shared" si="8"/>
        <v>0</v>
      </c>
      <c r="AQ16" s="211">
        <f t="shared" si="9"/>
        <v>0</v>
      </c>
      <c r="AR16" s="211">
        <f t="shared" si="10"/>
        <v>0</v>
      </c>
      <c r="AS16" s="211">
        <f t="shared" si="11"/>
        <v>0</v>
      </c>
      <c r="AT16" s="211">
        <f t="shared" si="12"/>
        <v>0</v>
      </c>
      <c r="AU16" s="211">
        <f t="shared" si="13"/>
        <v>0</v>
      </c>
      <c r="AV16" s="211">
        <f t="shared" si="14"/>
        <v>0</v>
      </c>
      <c r="AW16" s="211">
        <f t="shared" si="15"/>
        <v>0</v>
      </c>
      <c r="AX16" s="211">
        <f t="shared" si="16"/>
        <v>0</v>
      </c>
      <c r="AY16" s="211">
        <f t="shared" si="17"/>
        <v>0</v>
      </c>
      <c r="AZ16" s="211">
        <f t="shared" si="18"/>
        <v>0</v>
      </c>
      <c r="BA16" s="211">
        <f t="shared" si="19"/>
        <v>0</v>
      </c>
      <c r="BB16" s="211">
        <f t="shared" si="20"/>
        <v>0</v>
      </c>
      <c r="BC16" s="211">
        <f t="shared" si="20"/>
        <v>0</v>
      </c>
    </row>
    <row r="17" spans="1:55" s="37" customFormat="1" ht="24" customHeight="1">
      <c r="A17" s="36"/>
      <c r="B17" s="36"/>
      <c r="C17" s="112"/>
      <c r="D17" s="68"/>
      <c r="E17" s="109"/>
      <c r="F17" s="124"/>
      <c r="G17" s="125"/>
      <c r="H17" s="111"/>
      <c r="I17" s="111" t="str">
        <f t="shared" si="0"/>
        <v/>
      </c>
      <c r="J17" s="68"/>
      <c r="K17" s="68"/>
      <c r="L17" s="69"/>
      <c r="O17" s="236"/>
      <c r="P17" s="237"/>
      <c r="Q17" s="238"/>
      <c r="R17" s="238"/>
      <c r="S17" s="238"/>
      <c r="T17" s="238"/>
      <c r="U17" s="238"/>
      <c r="V17" s="238"/>
      <c r="W17" s="238"/>
      <c r="X17" s="239"/>
      <c r="Y17" s="239"/>
      <c r="Z17" s="239"/>
      <c r="AA17" s="239"/>
      <c r="AB17" s="239"/>
      <c r="AC17" s="238"/>
      <c r="AD17" s="370"/>
      <c r="AE17" s="371"/>
      <c r="AF17" s="238"/>
      <c r="AG17" s="238"/>
      <c r="AH17" s="219"/>
      <c r="AI17" s="651"/>
      <c r="AJ17" s="211">
        <f t="shared" si="2"/>
        <v>0</v>
      </c>
      <c r="AK17" s="211">
        <f t="shared" si="3"/>
        <v>0</v>
      </c>
      <c r="AL17" s="211">
        <f t="shared" si="4"/>
        <v>0</v>
      </c>
      <c r="AM17" s="211">
        <f t="shared" si="5"/>
        <v>0</v>
      </c>
      <c r="AN17" s="211">
        <f t="shared" si="6"/>
        <v>0</v>
      </c>
      <c r="AO17" s="211">
        <f t="shared" si="7"/>
        <v>0</v>
      </c>
      <c r="AP17" s="211">
        <f t="shared" si="8"/>
        <v>0</v>
      </c>
      <c r="AQ17" s="211">
        <f t="shared" si="9"/>
        <v>0</v>
      </c>
      <c r="AR17" s="211">
        <f t="shared" si="10"/>
        <v>0</v>
      </c>
      <c r="AS17" s="211">
        <f t="shared" si="11"/>
        <v>0</v>
      </c>
      <c r="AT17" s="211">
        <f t="shared" si="12"/>
        <v>0</v>
      </c>
      <c r="AU17" s="211">
        <f t="shared" si="13"/>
        <v>0</v>
      </c>
      <c r="AV17" s="211">
        <f t="shared" si="14"/>
        <v>0</v>
      </c>
      <c r="AW17" s="211">
        <f t="shared" si="15"/>
        <v>0</v>
      </c>
      <c r="AX17" s="211">
        <f t="shared" si="16"/>
        <v>0</v>
      </c>
      <c r="AY17" s="211">
        <f t="shared" si="17"/>
        <v>0</v>
      </c>
      <c r="AZ17" s="211">
        <f t="shared" si="18"/>
        <v>0</v>
      </c>
      <c r="BA17" s="211">
        <f t="shared" si="19"/>
        <v>0</v>
      </c>
      <c r="BB17" s="211">
        <f t="shared" si="20"/>
        <v>0</v>
      </c>
      <c r="BC17" s="211">
        <f t="shared" si="20"/>
        <v>0</v>
      </c>
    </row>
    <row r="18" spans="1:55" ht="24" customHeight="1">
      <c r="A18" s="36"/>
      <c r="B18" s="36"/>
      <c r="C18" s="197"/>
      <c r="D18" s="68"/>
      <c r="E18" s="109"/>
      <c r="F18" s="124"/>
      <c r="G18" s="125"/>
      <c r="H18" s="111"/>
      <c r="I18" s="111" t="str">
        <f t="shared" si="0"/>
        <v/>
      </c>
      <c r="J18" s="68"/>
      <c r="K18" s="68"/>
      <c r="L18" s="69"/>
      <c r="M18" s="37"/>
      <c r="N18" s="37"/>
      <c r="O18" s="236"/>
      <c r="P18" s="237"/>
      <c r="Q18" s="238"/>
      <c r="R18" s="238"/>
      <c r="S18" s="238"/>
      <c r="T18" s="238"/>
      <c r="U18" s="238"/>
      <c r="V18" s="238"/>
      <c r="W18" s="238"/>
      <c r="X18" s="239"/>
      <c r="Y18" s="239"/>
      <c r="Z18" s="239"/>
      <c r="AA18" s="239"/>
      <c r="AB18" s="239"/>
      <c r="AC18" s="238"/>
      <c r="AD18" s="370"/>
      <c r="AE18" s="371"/>
      <c r="AF18" s="238"/>
      <c r="AG18" s="238"/>
      <c r="AH18" s="219"/>
      <c r="AI18" s="651"/>
      <c r="AJ18" s="211">
        <f t="shared" si="2"/>
        <v>0</v>
      </c>
      <c r="AK18" s="211">
        <f t="shared" si="3"/>
        <v>0</v>
      </c>
      <c r="AL18" s="211">
        <f t="shared" si="4"/>
        <v>0</v>
      </c>
      <c r="AM18" s="211">
        <f t="shared" si="5"/>
        <v>0</v>
      </c>
      <c r="AN18" s="211">
        <f t="shared" si="6"/>
        <v>0</v>
      </c>
      <c r="AO18" s="211">
        <f t="shared" si="7"/>
        <v>0</v>
      </c>
      <c r="AP18" s="211">
        <f t="shared" si="8"/>
        <v>0</v>
      </c>
      <c r="AQ18" s="211">
        <f t="shared" si="9"/>
        <v>0</v>
      </c>
      <c r="AR18" s="211">
        <f t="shared" si="10"/>
        <v>0</v>
      </c>
      <c r="AS18" s="211">
        <f t="shared" si="11"/>
        <v>0</v>
      </c>
      <c r="AT18" s="211">
        <f t="shared" si="12"/>
        <v>0</v>
      </c>
      <c r="AU18" s="211">
        <f t="shared" si="13"/>
        <v>0</v>
      </c>
      <c r="AV18" s="211">
        <f t="shared" si="14"/>
        <v>0</v>
      </c>
      <c r="AW18" s="211">
        <f t="shared" si="15"/>
        <v>0</v>
      </c>
      <c r="AX18" s="211">
        <f t="shared" si="16"/>
        <v>0</v>
      </c>
      <c r="AY18" s="211">
        <f t="shared" si="17"/>
        <v>0</v>
      </c>
      <c r="AZ18" s="211">
        <f t="shared" si="18"/>
        <v>0</v>
      </c>
      <c r="BA18" s="211">
        <f t="shared" si="19"/>
        <v>0</v>
      </c>
      <c r="BB18" s="211">
        <f t="shared" si="20"/>
        <v>0</v>
      </c>
      <c r="BC18" s="211">
        <f t="shared" si="20"/>
        <v>0</v>
      </c>
    </row>
    <row r="19" spans="1:55" ht="24" customHeight="1">
      <c r="A19" s="36"/>
      <c r="B19" s="36"/>
      <c r="C19" s="112"/>
      <c r="D19" s="68"/>
      <c r="E19" s="109"/>
      <c r="F19" s="124"/>
      <c r="G19" s="125"/>
      <c r="H19" s="111"/>
      <c r="I19" s="111" t="str">
        <f t="shared" si="0"/>
        <v/>
      </c>
      <c r="J19" s="68"/>
      <c r="K19" s="68"/>
      <c r="L19" s="69"/>
      <c r="M19" s="37"/>
      <c r="N19" s="37"/>
      <c r="O19" s="236"/>
      <c r="P19" s="237"/>
      <c r="Q19" s="238"/>
      <c r="R19" s="238"/>
      <c r="S19" s="238"/>
      <c r="T19" s="238"/>
      <c r="U19" s="238"/>
      <c r="V19" s="238"/>
      <c r="W19" s="238"/>
      <c r="X19" s="239"/>
      <c r="Y19" s="239"/>
      <c r="Z19" s="239"/>
      <c r="AA19" s="239"/>
      <c r="AB19" s="239"/>
      <c r="AC19" s="238"/>
      <c r="AD19" s="370"/>
      <c r="AE19" s="371"/>
      <c r="AF19" s="238"/>
      <c r="AG19" s="238"/>
      <c r="AH19" s="219"/>
      <c r="AI19" s="651"/>
      <c r="AJ19" s="211">
        <f t="shared" si="2"/>
        <v>0</v>
      </c>
      <c r="AK19" s="211">
        <f t="shared" si="3"/>
        <v>0</v>
      </c>
      <c r="AL19" s="211">
        <f t="shared" si="4"/>
        <v>0</v>
      </c>
      <c r="AM19" s="211">
        <f t="shared" si="5"/>
        <v>0</v>
      </c>
      <c r="AN19" s="211">
        <f t="shared" si="6"/>
        <v>0</v>
      </c>
      <c r="AO19" s="211">
        <f t="shared" si="7"/>
        <v>0</v>
      </c>
      <c r="AP19" s="211">
        <f t="shared" si="8"/>
        <v>0</v>
      </c>
      <c r="AQ19" s="211">
        <f t="shared" si="9"/>
        <v>0</v>
      </c>
      <c r="AR19" s="211">
        <f t="shared" si="10"/>
        <v>0</v>
      </c>
      <c r="AS19" s="211">
        <f t="shared" si="11"/>
        <v>0</v>
      </c>
      <c r="AT19" s="211">
        <f t="shared" si="12"/>
        <v>0</v>
      </c>
      <c r="AU19" s="211">
        <f t="shared" si="13"/>
        <v>0</v>
      </c>
      <c r="AV19" s="211">
        <f t="shared" si="14"/>
        <v>0</v>
      </c>
      <c r="AW19" s="211">
        <f t="shared" si="15"/>
        <v>0</v>
      </c>
      <c r="AX19" s="211">
        <f t="shared" si="16"/>
        <v>0</v>
      </c>
      <c r="AY19" s="211">
        <f t="shared" si="17"/>
        <v>0</v>
      </c>
      <c r="AZ19" s="211">
        <f t="shared" si="18"/>
        <v>0</v>
      </c>
      <c r="BA19" s="211">
        <f t="shared" si="19"/>
        <v>0</v>
      </c>
      <c r="BB19" s="211">
        <f t="shared" si="20"/>
        <v>0</v>
      </c>
      <c r="BC19" s="211">
        <f t="shared" si="20"/>
        <v>0</v>
      </c>
    </row>
    <row r="20" spans="1:55" ht="24" customHeight="1">
      <c r="A20" s="36"/>
      <c r="B20" s="36"/>
      <c r="C20" s="112"/>
      <c r="D20" s="68"/>
      <c r="E20" s="109"/>
      <c r="F20" s="124"/>
      <c r="G20" s="125"/>
      <c r="H20" s="111"/>
      <c r="I20" s="111" t="str">
        <f t="shared" si="0"/>
        <v/>
      </c>
      <c r="J20" s="198"/>
      <c r="K20" s="68"/>
      <c r="L20" s="69"/>
      <c r="M20" s="37"/>
      <c r="N20" s="37"/>
      <c r="O20" s="236"/>
      <c r="P20" s="237"/>
      <c r="Q20" s="238"/>
      <c r="R20" s="238"/>
      <c r="S20" s="238"/>
      <c r="T20" s="238"/>
      <c r="U20" s="238"/>
      <c r="V20" s="238"/>
      <c r="W20" s="238"/>
      <c r="X20" s="239"/>
      <c r="Y20" s="239"/>
      <c r="Z20" s="239"/>
      <c r="AA20" s="239"/>
      <c r="AB20" s="239"/>
      <c r="AC20" s="238"/>
      <c r="AD20" s="370"/>
      <c r="AE20" s="371"/>
      <c r="AF20" s="238"/>
      <c r="AG20" s="238"/>
      <c r="AH20" s="219"/>
      <c r="AI20" s="651"/>
      <c r="AJ20" s="211">
        <f t="shared" si="2"/>
        <v>0</v>
      </c>
      <c r="AK20" s="211">
        <f t="shared" si="3"/>
        <v>0</v>
      </c>
      <c r="AL20" s="211">
        <f t="shared" si="4"/>
        <v>0</v>
      </c>
      <c r="AM20" s="211">
        <f t="shared" si="5"/>
        <v>0</v>
      </c>
      <c r="AN20" s="211">
        <f t="shared" si="6"/>
        <v>0</v>
      </c>
      <c r="AO20" s="211">
        <f t="shared" si="7"/>
        <v>0</v>
      </c>
      <c r="AP20" s="211">
        <f t="shared" si="8"/>
        <v>0</v>
      </c>
      <c r="AQ20" s="211">
        <f t="shared" si="9"/>
        <v>0</v>
      </c>
      <c r="AR20" s="211">
        <f t="shared" si="10"/>
        <v>0</v>
      </c>
      <c r="AS20" s="211">
        <f t="shared" si="11"/>
        <v>0</v>
      </c>
      <c r="AT20" s="211">
        <f t="shared" si="12"/>
        <v>0</v>
      </c>
      <c r="AU20" s="211">
        <f t="shared" si="13"/>
        <v>0</v>
      </c>
      <c r="AV20" s="211">
        <f t="shared" si="14"/>
        <v>0</v>
      </c>
      <c r="AW20" s="211">
        <f t="shared" si="15"/>
        <v>0</v>
      </c>
      <c r="AX20" s="211">
        <f t="shared" si="16"/>
        <v>0</v>
      </c>
      <c r="AY20" s="211">
        <f t="shared" si="17"/>
        <v>0</v>
      </c>
      <c r="AZ20" s="211">
        <f t="shared" si="18"/>
        <v>0</v>
      </c>
      <c r="BA20" s="211">
        <f t="shared" si="19"/>
        <v>0</v>
      </c>
      <c r="BB20" s="211">
        <f t="shared" si="20"/>
        <v>0</v>
      </c>
      <c r="BC20" s="211">
        <f t="shared" si="20"/>
        <v>0</v>
      </c>
    </row>
    <row r="21" spans="1:55" ht="24" customHeight="1">
      <c r="A21" s="36"/>
      <c r="B21" s="36"/>
      <c r="C21" s="112"/>
      <c r="D21" s="68"/>
      <c r="E21" s="109"/>
      <c r="F21" s="124"/>
      <c r="G21" s="125"/>
      <c r="H21" s="111"/>
      <c r="I21" s="111"/>
      <c r="J21" s="68"/>
      <c r="K21" s="68"/>
      <c r="L21" s="69"/>
      <c r="M21" s="37"/>
      <c r="N21" s="37"/>
      <c r="O21" s="236"/>
      <c r="P21" s="237"/>
      <c r="Q21" s="238"/>
      <c r="R21" s="238"/>
      <c r="S21" s="238"/>
      <c r="T21" s="238"/>
      <c r="U21" s="238"/>
      <c r="V21" s="238"/>
      <c r="W21" s="238"/>
      <c r="X21" s="239"/>
      <c r="Y21" s="239"/>
      <c r="Z21" s="239"/>
      <c r="AA21" s="239"/>
      <c r="AB21" s="239"/>
      <c r="AC21" s="238"/>
      <c r="AD21" s="370"/>
      <c r="AE21" s="371"/>
      <c r="AF21" s="238"/>
      <c r="AG21" s="238"/>
      <c r="AH21" s="219"/>
      <c r="AI21" s="651"/>
      <c r="AJ21" s="211">
        <f t="shared" si="2"/>
        <v>0</v>
      </c>
      <c r="AK21" s="211">
        <f t="shared" si="3"/>
        <v>0</v>
      </c>
      <c r="AL21" s="211">
        <f t="shared" si="4"/>
        <v>0</v>
      </c>
      <c r="AM21" s="211">
        <f t="shared" si="5"/>
        <v>0</v>
      </c>
      <c r="AN21" s="211">
        <f t="shared" si="6"/>
        <v>0</v>
      </c>
      <c r="AO21" s="211">
        <f t="shared" si="7"/>
        <v>0</v>
      </c>
      <c r="AP21" s="211">
        <f t="shared" si="8"/>
        <v>0</v>
      </c>
      <c r="AQ21" s="211">
        <f t="shared" si="9"/>
        <v>0</v>
      </c>
      <c r="AR21" s="211">
        <f t="shared" si="10"/>
        <v>0</v>
      </c>
      <c r="AS21" s="211">
        <f t="shared" si="11"/>
        <v>0</v>
      </c>
      <c r="AT21" s="211">
        <f t="shared" si="12"/>
        <v>0</v>
      </c>
      <c r="AU21" s="211">
        <f t="shared" si="13"/>
        <v>0</v>
      </c>
      <c r="AV21" s="211">
        <f t="shared" si="14"/>
        <v>0</v>
      </c>
      <c r="AW21" s="211">
        <f t="shared" si="15"/>
        <v>0</v>
      </c>
      <c r="AX21" s="211">
        <f t="shared" si="16"/>
        <v>0</v>
      </c>
      <c r="AY21" s="211">
        <f t="shared" si="17"/>
        <v>0</v>
      </c>
      <c r="AZ21" s="211">
        <f t="shared" si="18"/>
        <v>0</v>
      </c>
      <c r="BA21" s="211">
        <f t="shared" si="19"/>
        <v>0</v>
      </c>
      <c r="BB21" s="211">
        <f t="shared" si="20"/>
        <v>0</v>
      </c>
      <c r="BC21" s="211">
        <f t="shared" si="20"/>
        <v>0</v>
      </c>
    </row>
    <row r="22" spans="1:55" ht="24" customHeight="1">
      <c r="A22" s="36"/>
      <c r="B22" s="36"/>
      <c r="C22" s="112"/>
      <c r="D22" s="68"/>
      <c r="E22" s="109"/>
      <c r="F22" s="124"/>
      <c r="G22" s="125"/>
      <c r="H22" s="111"/>
      <c r="I22" s="111" t="str">
        <f t="shared" si="0"/>
        <v/>
      </c>
      <c r="J22" s="68"/>
      <c r="K22" s="68"/>
      <c r="L22" s="69"/>
      <c r="M22" s="37"/>
      <c r="N22" s="37"/>
      <c r="O22" s="236"/>
      <c r="P22" s="237"/>
      <c r="Q22" s="238"/>
      <c r="R22" s="238"/>
      <c r="S22" s="238"/>
      <c r="T22" s="238"/>
      <c r="U22" s="238"/>
      <c r="V22" s="238"/>
      <c r="W22" s="238"/>
      <c r="X22" s="239"/>
      <c r="Y22" s="239"/>
      <c r="Z22" s="239"/>
      <c r="AA22" s="239"/>
      <c r="AB22" s="239"/>
      <c r="AC22" s="238"/>
      <c r="AD22" s="370"/>
      <c r="AE22" s="371"/>
      <c r="AF22" s="238"/>
      <c r="AG22" s="238"/>
      <c r="AH22" s="219"/>
      <c r="AI22" s="651"/>
      <c r="AJ22" s="211">
        <f t="shared" si="2"/>
        <v>0</v>
      </c>
      <c r="AK22" s="211">
        <f t="shared" si="3"/>
        <v>0</v>
      </c>
      <c r="AL22" s="211">
        <f>$F22*Q22</f>
        <v>0</v>
      </c>
      <c r="AM22" s="211">
        <f t="shared" si="5"/>
        <v>0</v>
      </c>
      <c r="AN22" s="211">
        <f t="shared" si="6"/>
        <v>0</v>
      </c>
      <c r="AO22" s="211">
        <f t="shared" si="7"/>
        <v>0</v>
      </c>
      <c r="AP22" s="211">
        <f t="shared" si="8"/>
        <v>0</v>
      </c>
      <c r="AQ22" s="211">
        <f t="shared" si="9"/>
        <v>0</v>
      </c>
      <c r="AR22" s="211">
        <f t="shared" si="10"/>
        <v>0</v>
      </c>
      <c r="AS22" s="211">
        <f t="shared" si="11"/>
        <v>0</v>
      </c>
      <c r="AT22" s="211">
        <f t="shared" si="12"/>
        <v>0</v>
      </c>
      <c r="AU22" s="211">
        <f t="shared" si="13"/>
        <v>0</v>
      </c>
      <c r="AV22" s="211">
        <f t="shared" si="14"/>
        <v>0</v>
      </c>
      <c r="AW22" s="211">
        <f t="shared" si="15"/>
        <v>0</v>
      </c>
      <c r="AX22" s="211">
        <f t="shared" si="16"/>
        <v>0</v>
      </c>
      <c r="AY22" s="211">
        <f t="shared" si="17"/>
        <v>0</v>
      </c>
      <c r="AZ22" s="211">
        <f t="shared" si="18"/>
        <v>0</v>
      </c>
      <c r="BA22" s="211">
        <f t="shared" si="19"/>
        <v>0</v>
      </c>
      <c r="BB22" s="211">
        <f t="shared" si="20"/>
        <v>0</v>
      </c>
      <c r="BC22" s="211">
        <f t="shared" si="20"/>
        <v>0</v>
      </c>
    </row>
    <row r="23" spans="1:55" s="37" customFormat="1" ht="24" customHeight="1">
      <c r="A23" s="36"/>
      <c r="B23" s="36"/>
      <c r="C23" s="112"/>
      <c r="D23" s="68"/>
      <c r="E23" s="109"/>
      <c r="F23" s="124"/>
      <c r="G23" s="125"/>
      <c r="H23" s="111"/>
      <c r="I23" s="111" t="str">
        <f t="shared" si="0"/>
        <v/>
      </c>
      <c r="J23" s="68"/>
      <c r="K23" s="68"/>
      <c r="L23" s="69"/>
      <c r="O23" s="236"/>
      <c r="P23" s="237"/>
      <c r="Q23" s="238"/>
      <c r="R23" s="238"/>
      <c r="S23" s="238"/>
      <c r="T23" s="238"/>
      <c r="U23" s="238"/>
      <c r="V23" s="238"/>
      <c r="W23" s="238"/>
      <c r="X23" s="239"/>
      <c r="Y23" s="239"/>
      <c r="Z23" s="239"/>
      <c r="AA23" s="239"/>
      <c r="AB23" s="239"/>
      <c r="AC23" s="238"/>
      <c r="AD23" s="370"/>
      <c r="AE23" s="371"/>
      <c r="AF23" s="238"/>
      <c r="AG23" s="238"/>
      <c r="AH23" s="219"/>
      <c r="AI23" s="651"/>
      <c r="AJ23" s="211">
        <f>$F23*O23</f>
        <v>0</v>
      </c>
      <c r="AK23" s="211">
        <f t="shared" si="3"/>
        <v>0</v>
      </c>
      <c r="AL23" s="211">
        <f t="shared" si="4"/>
        <v>0</v>
      </c>
      <c r="AM23" s="211">
        <f t="shared" si="5"/>
        <v>0</v>
      </c>
      <c r="AN23" s="211">
        <f t="shared" si="6"/>
        <v>0</v>
      </c>
      <c r="AO23" s="211">
        <f t="shared" si="7"/>
        <v>0</v>
      </c>
      <c r="AP23" s="211">
        <f t="shared" si="8"/>
        <v>0</v>
      </c>
      <c r="AQ23" s="211">
        <f t="shared" si="9"/>
        <v>0</v>
      </c>
      <c r="AR23" s="211">
        <f t="shared" si="10"/>
        <v>0</v>
      </c>
      <c r="AS23" s="211">
        <f t="shared" si="11"/>
        <v>0</v>
      </c>
      <c r="AT23" s="211">
        <f t="shared" si="12"/>
        <v>0</v>
      </c>
      <c r="AU23" s="211">
        <f t="shared" si="13"/>
        <v>0</v>
      </c>
      <c r="AV23" s="211">
        <f t="shared" si="14"/>
        <v>0</v>
      </c>
      <c r="AW23" s="211">
        <f t="shared" si="15"/>
        <v>0</v>
      </c>
      <c r="AX23" s="211">
        <f t="shared" si="16"/>
        <v>0</v>
      </c>
      <c r="AY23" s="211">
        <f t="shared" si="17"/>
        <v>0</v>
      </c>
      <c r="AZ23" s="211">
        <f t="shared" si="18"/>
        <v>0</v>
      </c>
      <c r="BA23" s="211">
        <f t="shared" si="19"/>
        <v>0</v>
      </c>
      <c r="BB23" s="211">
        <f>$F23*AG23</f>
        <v>0</v>
      </c>
      <c r="BC23" s="211">
        <f>$F23*AH23</f>
        <v>0</v>
      </c>
    </row>
    <row r="24" spans="1:55" ht="24" customHeight="1" thickBot="1">
      <c r="A24" s="36"/>
      <c r="B24" s="36"/>
      <c r="C24" s="113"/>
      <c r="D24" s="99" t="s">
        <v>9</v>
      </c>
      <c r="E24" s="114"/>
      <c r="F24" s="295"/>
      <c r="G24" s="127"/>
      <c r="H24" s="137" t="s">
        <v>110</v>
      </c>
      <c r="I24" s="213">
        <f>SUM(I6:I23)</f>
        <v>0</v>
      </c>
      <c r="J24" s="99" t="s">
        <v>111</v>
      </c>
      <c r="K24" s="99"/>
      <c r="L24" s="129"/>
      <c r="O24" s="306">
        <f>AJ24</f>
        <v>0</v>
      </c>
      <c r="P24" s="307">
        <f t="shared" ref="P24:AG24" si="21">AK24</f>
        <v>0</v>
      </c>
      <c r="Q24" s="308">
        <f>AL24</f>
        <v>0</v>
      </c>
      <c r="R24" s="308">
        <f t="shared" si="21"/>
        <v>0</v>
      </c>
      <c r="S24" s="308">
        <f t="shared" si="21"/>
        <v>0</v>
      </c>
      <c r="T24" s="308">
        <f t="shared" si="21"/>
        <v>0</v>
      </c>
      <c r="U24" s="308">
        <f t="shared" si="21"/>
        <v>0</v>
      </c>
      <c r="V24" s="309">
        <f t="shared" si="21"/>
        <v>0</v>
      </c>
      <c r="W24" s="309">
        <f t="shared" si="21"/>
        <v>0</v>
      </c>
      <c r="X24" s="309">
        <f t="shared" si="21"/>
        <v>0</v>
      </c>
      <c r="Y24" s="309">
        <f t="shared" si="21"/>
        <v>0</v>
      </c>
      <c r="Z24" s="309">
        <f t="shared" si="21"/>
        <v>0</v>
      </c>
      <c r="AA24" s="309">
        <f t="shared" si="21"/>
        <v>0</v>
      </c>
      <c r="AB24" s="405">
        <f t="shared" si="21"/>
        <v>0</v>
      </c>
      <c r="AC24" s="309">
        <f t="shared" si="21"/>
        <v>0</v>
      </c>
      <c r="AD24" s="306">
        <f t="shared" si="21"/>
        <v>0</v>
      </c>
      <c r="AE24" s="308">
        <f t="shared" si="21"/>
        <v>0</v>
      </c>
      <c r="AF24" s="309">
        <f>BA24</f>
        <v>0</v>
      </c>
      <c r="AG24" s="309">
        <f t="shared" si="21"/>
        <v>0</v>
      </c>
      <c r="AH24" s="309">
        <f>BC24</f>
        <v>0</v>
      </c>
      <c r="AI24" s="651"/>
      <c r="AJ24" s="212">
        <f>SUM(AJ6:AJ23)</f>
        <v>0</v>
      </c>
      <c r="AK24" s="212">
        <f t="shared" ref="AK24:AT24" si="22">SUM(AK6:AK23)</f>
        <v>0</v>
      </c>
      <c r="AL24" s="212">
        <f t="shared" si="22"/>
        <v>0</v>
      </c>
      <c r="AM24" s="212">
        <f t="shared" si="22"/>
        <v>0</v>
      </c>
      <c r="AN24" s="212">
        <f>SUM(AN6:AN23)</f>
        <v>0</v>
      </c>
      <c r="AO24" s="212">
        <f>SUM(AO6:AO23)</f>
        <v>0</v>
      </c>
      <c r="AP24" s="212">
        <f t="shared" si="22"/>
        <v>0</v>
      </c>
      <c r="AQ24" s="212">
        <f t="shared" si="22"/>
        <v>0</v>
      </c>
      <c r="AR24" s="212">
        <f t="shared" si="22"/>
        <v>0</v>
      </c>
      <c r="AS24" s="212">
        <f t="shared" si="22"/>
        <v>0</v>
      </c>
      <c r="AT24" s="212">
        <f t="shared" si="22"/>
        <v>0</v>
      </c>
      <c r="AU24" s="212">
        <f>SUM(AU6:AU23)</f>
        <v>0</v>
      </c>
      <c r="AV24" s="212">
        <f t="shared" ref="AV24:BA24" si="23">SUM(AV6:AV23)</f>
        <v>0</v>
      </c>
      <c r="AW24" s="212">
        <f t="shared" si="23"/>
        <v>0</v>
      </c>
      <c r="AX24" s="212">
        <f t="shared" si="23"/>
        <v>0</v>
      </c>
      <c r="AY24" s="212">
        <f t="shared" si="23"/>
        <v>0</v>
      </c>
      <c r="AZ24" s="212">
        <f t="shared" si="23"/>
        <v>0</v>
      </c>
      <c r="BA24" s="212">
        <f t="shared" si="23"/>
        <v>0</v>
      </c>
      <c r="BB24" s="212">
        <f>SUM(BB6:BB23)</f>
        <v>0</v>
      </c>
      <c r="BC24" s="212">
        <f>SUM(BC6:BC23)</f>
        <v>0</v>
      </c>
    </row>
    <row r="25" spans="1:55" ht="14.25" customHeight="1">
      <c r="E25" s="130" t="s">
        <v>106</v>
      </c>
      <c r="F25" s="131">
        <f>+F2+1</f>
        <v>1</v>
      </c>
      <c r="G25" s="132" t="s">
        <v>107</v>
      </c>
      <c r="H25" s="133">
        <f>+H2</f>
        <v>0</v>
      </c>
      <c r="I25" s="133"/>
      <c r="M25" s="31" t="str">
        <f>IF(A27="","EOL","")</f>
        <v/>
      </c>
      <c r="N25" s="1">
        <f>+F25</f>
        <v>1</v>
      </c>
    </row>
    <row r="26" spans="1:55" ht="26" customHeight="1" thickBot="1">
      <c r="C26" s="938" t="s">
        <v>369</v>
      </c>
      <c r="D26" s="938"/>
      <c r="E26" s="938"/>
      <c r="F26" s="938"/>
      <c r="G26" s="938"/>
      <c r="H26" s="938"/>
      <c r="I26" s="938"/>
      <c r="J26" s="938"/>
      <c r="K26" s="938"/>
      <c r="L26" s="938"/>
      <c r="O26" s="1039" t="s">
        <v>154</v>
      </c>
      <c r="P26" s="1039"/>
      <c r="Q26" s="1039"/>
      <c r="R26" s="1039"/>
      <c r="S26" s="1039"/>
      <c r="T26" s="1039"/>
      <c r="U26" s="1039"/>
      <c r="V26" s="1039"/>
      <c r="W26" s="1039"/>
      <c r="X26" s="1039"/>
      <c r="Y26" s="1039"/>
      <c r="Z26" s="1039"/>
      <c r="AA26" s="1039"/>
      <c r="AB26" s="1039"/>
      <c r="AC26" s="1039"/>
      <c r="AD26" s="1039"/>
      <c r="AE26" s="1039"/>
      <c r="AF26" s="1039"/>
      <c r="AG26" s="1039"/>
      <c r="AH26" s="1040"/>
      <c r="AI26" s="648"/>
    </row>
    <row r="27" spans="1:55" ht="41.25" customHeight="1">
      <c r="A27" s="5" t="s">
        <v>13</v>
      </c>
      <c r="B27" s="5" t="s">
        <v>47</v>
      </c>
      <c r="C27" s="120" t="s">
        <v>0</v>
      </c>
      <c r="D27" s="116"/>
      <c r="E27" s="117" t="s">
        <v>1</v>
      </c>
      <c r="F27" s="118" t="s">
        <v>2</v>
      </c>
      <c r="G27" s="118" t="s">
        <v>3</v>
      </c>
      <c r="H27" s="119" t="s">
        <v>4</v>
      </c>
      <c r="I27" s="119" t="s">
        <v>5</v>
      </c>
      <c r="J27" s="968" t="s">
        <v>6</v>
      </c>
      <c r="K27" s="969"/>
      <c r="L27" s="970"/>
      <c r="O27" s="165" t="s">
        <v>85</v>
      </c>
      <c r="P27" s="364" t="s">
        <v>288</v>
      </c>
      <c r="Q27" s="296" t="s">
        <v>305</v>
      </c>
      <c r="R27" s="296" t="s">
        <v>249</v>
      </c>
      <c r="S27" s="296" t="s">
        <v>250</v>
      </c>
      <c r="T27" s="296" t="s">
        <v>265</v>
      </c>
      <c r="U27" s="296" t="s">
        <v>148</v>
      </c>
      <c r="V27" s="164" t="s">
        <v>147</v>
      </c>
      <c r="W27" s="296" t="s">
        <v>251</v>
      </c>
      <c r="X27" s="229" t="s">
        <v>252</v>
      </c>
      <c r="Y27" s="229" t="s">
        <v>253</v>
      </c>
      <c r="Z27" s="229" t="s">
        <v>254</v>
      </c>
      <c r="AA27" s="229" t="s">
        <v>255</v>
      </c>
      <c r="AB27" s="229" t="s">
        <v>300</v>
      </c>
      <c r="AC27" s="367" t="s">
        <v>309</v>
      </c>
      <c r="AD27" s="368" t="s">
        <v>310</v>
      </c>
      <c r="AE27" s="369" t="s">
        <v>150</v>
      </c>
      <c r="AF27" s="163" t="s">
        <v>153</v>
      </c>
      <c r="AG27" s="163" t="s">
        <v>151</v>
      </c>
      <c r="AH27" s="163" t="s">
        <v>152</v>
      </c>
      <c r="AI27" s="649" t="s">
        <v>3804</v>
      </c>
    </row>
    <row r="28" spans="1:55" ht="24" customHeight="1">
      <c r="A28" s="245">
        <v>1</v>
      </c>
      <c r="B28" s="245">
        <v>1</v>
      </c>
      <c r="C28" s="138" t="s">
        <v>190</v>
      </c>
      <c r="D28" s="215" t="s">
        <v>189</v>
      </c>
      <c r="E28" s="216" t="s">
        <v>192</v>
      </c>
      <c r="F28" s="217">
        <v>1</v>
      </c>
      <c r="G28" s="218" t="s">
        <v>135</v>
      </c>
      <c r="H28" s="97" t="s">
        <v>12</v>
      </c>
      <c r="I28" s="97" t="s">
        <v>12</v>
      </c>
      <c r="J28" s="1036"/>
      <c r="K28" s="1037"/>
      <c r="L28" s="1038"/>
      <c r="O28" s="236"/>
      <c r="P28" s="237"/>
      <c r="Q28" s="238"/>
      <c r="R28" s="238"/>
      <c r="S28" s="238"/>
      <c r="T28" s="238"/>
      <c r="U28" s="238"/>
      <c r="V28" s="238"/>
      <c r="W28" s="238"/>
      <c r="X28" s="239"/>
      <c r="Y28" s="239"/>
      <c r="Z28" s="239"/>
      <c r="AA28" s="239"/>
      <c r="AB28" s="239"/>
      <c r="AC28" s="238"/>
      <c r="AD28" s="370"/>
      <c r="AE28" s="371"/>
      <c r="AF28" s="238"/>
      <c r="AG28" s="238"/>
      <c r="AH28" s="372"/>
      <c r="AI28" s="651"/>
    </row>
    <row r="29" spans="1:55" s="37" customFormat="1" ht="24" customHeight="1">
      <c r="A29" s="36"/>
      <c r="B29" s="36"/>
      <c r="C29" s="134"/>
      <c r="D29" s="362" t="s">
        <v>293</v>
      </c>
      <c r="E29" s="124"/>
      <c r="F29" s="124"/>
      <c r="G29" s="125"/>
      <c r="H29" s="141"/>
      <c r="I29" s="111" t="str">
        <f t="shared" ref="I29:I40" si="24">IF(F29="","",ROUNDDOWN(F29*H29,0))</f>
        <v/>
      </c>
      <c r="J29" s="67"/>
      <c r="K29" s="68"/>
      <c r="L29" s="69"/>
      <c r="O29" s="236"/>
      <c r="P29" s="237"/>
      <c r="Q29" s="238"/>
      <c r="R29" s="238"/>
      <c r="S29" s="238"/>
      <c r="T29" s="238"/>
      <c r="U29" s="238"/>
      <c r="V29" s="238"/>
      <c r="W29" s="238"/>
      <c r="X29" s="239"/>
      <c r="Y29" s="239"/>
      <c r="Z29" s="239"/>
      <c r="AA29" s="239"/>
      <c r="AB29" s="239"/>
      <c r="AC29" s="238"/>
      <c r="AD29" s="370"/>
      <c r="AE29" s="371"/>
      <c r="AF29" s="238"/>
      <c r="AG29" s="238"/>
      <c r="AH29" s="219"/>
      <c r="AI29" s="651"/>
      <c r="AJ29" s="211">
        <f t="shared" ref="AJ29:AJ36" si="25">$F29*O29</f>
        <v>0</v>
      </c>
      <c r="AK29" s="211">
        <f t="shared" ref="AK29:AK46" si="26">$F29*P29</f>
        <v>0</v>
      </c>
      <c r="AL29" s="211">
        <f t="shared" ref="AL29:AL46" si="27">$F29*Q29</f>
        <v>0</v>
      </c>
      <c r="AM29" s="211">
        <f t="shared" ref="AM29:AM46" si="28">$F29*R29</f>
        <v>0</v>
      </c>
      <c r="AN29" s="211">
        <f t="shared" ref="AN29:AN46" si="29">$F29*S29</f>
        <v>0</v>
      </c>
      <c r="AO29" s="211">
        <f t="shared" ref="AO29:AO46" si="30">$F29*T29</f>
        <v>0</v>
      </c>
      <c r="AP29" s="211">
        <f t="shared" ref="AP29:AP46" si="31">$F29*U29</f>
        <v>0</v>
      </c>
      <c r="AQ29" s="211">
        <f t="shared" ref="AQ29:AQ46" si="32">$F29*V29</f>
        <v>0</v>
      </c>
      <c r="AR29" s="211">
        <f t="shared" ref="AR29:AR46" si="33">$F29*W29</f>
        <v>0</v>
      </c>
      <c r="AS29" s="211">
        <f t="shared" ref="AS29:AS46" si="34">$F29*X29</f>
        <v>0</v>
      </c>
      <c r="AT29" s="211">
        <f t="shared" ref="AT29:AT46" si="35">$F29*Y29</f>
        <v>0</v>
      </c>
      <c r="AU29" s="211">
        <f t="shared" ref="AU29:AU46" si="36">$F29*Z29</f>
        <v>0</v>
      </c>
      <c r="AV29" s="211">
        <f t="shared" ref="AV29:AV46" si="37">$F29*AA29</f>
        <v>0</v>
      </c>
      <c r="AW29" s="211">
        <f t="shared" ref="AW29:AW46" si="38">$F29*AB29</f>
        <v>0</v>
      </c>
      <c r="AX29" s="211">
        <f t="shared" ref="AX29:AX46" si="39">$F29*AC29</f>
        <v>0</v>
      </c>
      <c r="AY29" s="211">
        <f t="shared" ref="AY29:AY46" si="40">$F29*AD29</f>
        <v>0</v>
      </c>
      <c r="AZ29" s="211">
        <f t="shared" ref="AZ29:AZ46" si="41">$F29*AE29</f>
        <v>0</v>
      </c>
      <c r="BA29" s="211">
        <f t="shared" ref="BA29:BA46" si="42">$F29*AF29</f>
        <v>0</v>
      </c>
      <c r="BB29" s="211">
        <f t="shared" ref="BB29:BC46" si="43">$F29*AG29</f>
        <v>0</v>
      </c>
      <c r="BC29" s="211">
        <f t="shared" si="43"/>
        <v>0</v>
      </c>
    </row>
    <row r="30" spans="1:55" ht="24" customHeight="1">
      <c r="A30" s="36">
        <v>1</v>
      </c>
      <c r="B30" s="36">
        <v>1</v>
      </c>
      <c r="C30" s="112">
        <v>300901</v>
      </c>
      <c r="D30" s="653" t="s">
        <v>3809</v>
      </c>
      <c r="E30" s="109" t="s">
        <v>3810</v>
      </c>
      <c r="F30" s="124">
        <v>0.4</v>
      </c>
      <c r="G30" s="125" t="s">
        <v>3816</v>
      </c>
      <c r="H30" s="111"/>
      <c r="I30" s="111">
        <f>IF(F30="","",INT(F30*H30))</f>
        <v>0</v>
      </c>
      <c r="J30" s="68" t="s">
        <v>3817</v>
      </c>
      <c r="K30" s="68"/>
      <c r="L30" s="69"/>
      <c r="M30" s="37"/>
      <c r="N30" s="37"/>
      <c r="O30" s="236">
        <v>0</v>
      </c>
      <c r="P30" s="237"/>
      <c r="Q30" s="238"/>
      <c r="R30" s="238"/>
      <c r="S30" s="238"/>
      <c r="T30" s="238"/>
      <c r="U30" s="238"/>
      <c r="V30" s="238"/>
      <c r="W30" s="238"/>
      <c r="X30" s="239"/>
      <c r="Y30" s="239"/>
      <c r="Z30" s="239"/>
      <c r="AA30" s="239"/>
      <c r="AB30" s="239"/>
      <c r="AC30" s="238"/>
      <c r="AD30" s="370"/>
      <c r="AE30" s="371"/>
      <c r="AF30" s="238"/>
      <c r="AG30" s="238"/>
      <c r="AH30" s="219"/>
      <c r="AI30" s="651" t="s">
        <v>3731</v>
      </c>
      <c r="AJ30" s="211">
        <f t="shared" si="25"/>
        <v>0</v>
      </c>
      <c r="AK30" s="211">
        <f t="shared" si="26"/>
        <v>0</v>
      </c>
      <c r="AL30" s="211">
        <f t="shared" si="27"/>
        <v>0</v>
      </c>
      <c r="AM30" s="211">
        <f t="shared" si="28"/>
        <v>0</v>
      </c>
      <c r="AN30" s="211">
        <f t="shared" si="29"/>
        <v>0</v>
      </c>
      <c r="AO30" s="211">
        <f t="shared" si="30"/>
        <v>0</v>
      </c>
      <c r="AP30" s="211">
        <f t="shared" si="31"/>
        <v>0</v>
      </c>
      <c r="AQ30" s="211">
        <f t="shared" si="32"/>
        <v>0</v>
      </c>
      <c r="AR30" s="211">
        <f t="shared" si="33"/>
        <v>0</v>
      </c>
      <c r="AS30" s="211">
        <f t="shared" si="34"/>
        <v>0</v>
      </c>
      <c r="AT30" s="211">
        <f t="shared" si="35"/>
        <v>0</v>
      </c>
      <c r="AU30" s="211">
        <f t="shared" si="36"/>
        <v>0</v>
      </c>
      <c r="AV30" s="211">
        <f t="shared" si="37"/>
        <v>0</v>
      </c>
      <c r="AW30" s="211">
        <f t="shared" si="38"/>
        <v>0</v>
      </c>
      <c r="AX30" s="211">
        <f t="shared" si="39"/>
        <v>0</v>
      </c>
      <c r="AY30" s="211">
        <f t="shared" si="40"/>
        <v>0</v>
      </c>
      <c r="AZ30" s="211">
        <f t="shared" si="41"/>
        <v>0</v>
      </c>
      <c r="BA30" s="211">
        <f t="shared" si="42"/>
        <v>0</v>
      </c>
      <c r="BB30" s="211">
        <f t="shared" si="43"/>
        <v>0</v>
      </c>
      <c r="BC30" s="211">
        <f t="shared" si="43"/>
        <v>0</v>
      </c>
    </row>
    <row r="31" spans="1:55" ht="24" customHeight="1">
      <c r="A31" s="36">
        <v>1</v>
      </c>
      <c r="B31" s="36">
        <v>1</v>
      </c>
      <c r="C31" s="112">
        <v>3011</v>
      </c>
      <c r="D31" s="653" t="s">
        <v>3812</v>
      </c>
      <c r="E31" s="109" t="s">
        <v>3813</v>
      </c>
      <c r="F31" s="124">
        <v>0.1</v>
      </c>
      <c r="G31" s="125" t="s">
        <v>3811</v>
      </c>
      <c r="H31" s="111"/>
      <c r="I31" s="111">
        <f>IF(F31="","",INT(F31*H31))</f>
        <v>0</v>
      </c>
      <c r="J31" s="68" t="s">
        <v>3814</v>
      </c>
      <c r="K31" s="68"/>
      <c r="L31" s="69"/>
      <c r="M31" s="37"/>
      <c r="N31" s="37"/>
      <c r="O31" s="236">
        <v>0</v>
      </c>
      <c r="P31" s="237"/>
      <c r="Q31" s="238"/>
      <c r="R31" s="238"/>
      <c r="S31" s="238"/>
      <c r="T31" s="238"/>
      <c r="U31" s="238"/>
      <c r="V31" s="238"/>
      <c r="W31" s="238"/>
      <c r="X31" s="239"/>
      <c r="Y31" s="239"/>
      <c r="Z31" s="239"/>
      <c r="AA31" s="239"/>
      <c r="AB31" s="239"/>
      <c r="AC31" s="238"/>
      <c r="AD31" s="370"/>
      <c r="AE31" s="371"/>
      <c r="AF31" s="238"/>
      <c r="AG31" s="238"/>
      <c r="AH31" s="219"/>
      <c r="AI31" s="651"/>
      <c r="AJ31" s="211">
        <f t="shared" si="25"/>
        <v>0</v>
      </c>
      <c r="AK31" s="211">
        <f t="shared" si="26"/>
        <v>0</v>
      </c>
      <c r="AL31" s="211">
        <f t="shared" si="27"/>
        <v>0</v>
      </c>
      <c r="AM31" s="211">
        <f t="shared" si="28"/>
        <v>0</v>
      </c>
      <c r="AN31" s="211">
        <f t="shared" si="29"/>
        <v>0</v>
      </c>
      <c r="AO31" s="211">
        <f t="shared" si="30"/>
        <v>0</v>
      </c>
      <c r="AP31" s="211">
        <f t="shared" si="31"/>
        <v>0</v>
      </c>
      <c r="AQ31" s="211">
        <f t="shared" si="32"/>
        <v>0</v>
      </c>
      <c r="AR31" s="211">
        <f t="shared" si="33"/>
        <v>0</v>
      </c>
      <c r="AS31" s="211">
        <f t="shared" si="34"/>
        <v>0</v>
      </c>
      <c r="AT31" s="211">
        <f t="shared" si="35"/>
        <v>0</v>
      </c>
      <c r="AU31" s="211">
        <f t="shared" si="36"/>
        <v>0</v>
      </c>
      <c r="AV31" s="211">
        <f t="shared" si="37"/>
        <v>0</v>
      </c>
      <c r="AW31" s="211">
        <f t="shared" si="38"/>
        <v>0</v>
      </c>
      <c r="AX31" s="211">
        <f t="shared" si="39"/>
        <v>0</v>
      </c>
      <c r="AY31" s="211">
        <f t="shared" si="40"/>
        <v>0</v>
      </c>
      <c r="AZ31" s="211">
        <f t="shared" si="41"/>
        <v>0</v>
      </c>
      <c r="BA31" s="211">
        <f t="shared" si="42"/>
        <v>0</v>
      </c>
      <c r="BB31" s="211">
        <f t="shared" si="43"/>
        <v>0</v>
      </c>
      <c r="BC31" s="211">
        <f t="shared" si="43"/>
        <v>0</v>
      </c>
    </row>
    <row r="32" spans="1:55" ht="24" customHeight="1">
      <c r="A32" s="36">
        <v>1</v>
      </c>
      <c r="B32" s="36">
        <v>1</v>
      </c>
      <c r="C32" s="112">
        <v>301004</v>
      </c>
      <c r="D32" s="404" t="s">
        <v>193</v>
      </c>
      <c r="E32" s="109" t="s">
        <v>194</v>
      </c>
      <c r="F32" s="124">
        <v>0.3</v>
      </c>
      <c r="G32" s="125" t="s">
        <v>78</v>
      </c>
      <c r="H32" s="111"/>
      <c r="I32" s="111">
        <f t="shared" si="24"/>
        <v>0</v>
      </c>
      <c r="J32" s="68"/>
      <c r="K32" s="68"/>
      <c r="L32" s="69"/>
      <c r="M32" s="37"/>
      <c r="N32" s="37"/>
      <c r="O32" s="236"/>
      <c r="P32" s="237"/>
      <c r="Q32" s="238"/>
      <c r="R32" s="238"/>
      <c r="S32" s="238"/>
      <c r="T32" s="238"/>
      <c r="U32" s="238"/>
      <c r="V32" s="238"/>
      <c r="W32" s="238"/>
      <c r="X32" s="239"/>
      <c r="Y32" s="239"/>
      <c r="Z32" s="239"/>
      <c r="AA32" s="239"/>
      <c r="AB32" s="239"/>
      <c r="AC32" s="238"/>
      <c r="AD32" s="370"/>
      <c r="AE32" s="371"/>
      <c r="AF32" s="238"/>
      <c r="AG32" s="238"/>
      <c r="AH32" s="219"/>
      <c r="AI32" s="651"/>
      <c r="AJ32" s="211">
        <f t="shared" si="25"/>
        <v>0</v>
      </c>
      <c r="AK32" s="211">
        <f t="shared" si="26"/>
        <v>0</v>
      </c>
      <c r="AL32" s="211">
        <f t="shared" si="27"/>
        <v>0</v>
      </c>
      <c r="AM32" s="211">
        <f t="shared" si="28"/>
        <v>0</v>
      </c>
      <c r="AN32" s="211">
        <f>$F32*S32</f>
        <v>0</v>
      </c>
      <c r="AO32" s="211">
        <f t="shared" si="30"/>
        <v>0</v>
      </c>
      <c r="AP32" s="211">
        <f t="shared" si="31"/>
        <v>0</v>
      </c>
      <c r="AQ32" s="211">
        <f t="shared" si="32"/>
        <v>0</v>
      </c>
      <c r="AR32" s="211">
        <f t="shared" si="33"/>
        <v>0</v>
      </c>
      <c r="AS32" s="211">
        <f t="shared" si="34"/>
        <v>0</v>
      </c>
      <c r="AT32" s="211">
        <f t="shared" si="35"/>
        <v>0</v>
      </c>
      <c r="AU32" s="211">
        <f t="shared" si="36"/>
        <v>0</v>
      </c>
      <c r="AV32" s="211">
        <f t="shared" si="37"/>
        <v>0</v>
      </c>
      <c r="AW32" s="211">
        <f t="shared" si="38"/>
        <v>0</v>
      </c>
      <c r="AX32" s="211">
        <f t="shared" si="39"/>
        <v>0</v>
      </c>
      <c r="AY32" s="211">
        <f t="shared" si="40"/>
        <v>0</v>
      </c>
      <c r="AZ32" s="211">
        <f t="shared" si="41"/>
        <v>0</v>
      </c>
      <c r="BA32" s="211">
        <f t="shared" si="42"/>
        <v>0</v>
      </c>
      <c r="BB32" s="211">
        <f t="shared" si="43"/>
        <v>0</v>
      </c>
      <c r="BC32" s="211">
        <f t="shared" si="43"/>
        <v>0</v>
      </c>
    </row>
    <row r="33" spans="1:55" ht="24" customHeight="1">
      <c r="A33" s="36">
        <v>1</v>
      </c>
      <c r="B33" s="36">
        <v>1</v>
      </c>
      <c r="C33" s="112">
        <v>3045</v>
      </c>
      <c r="D33" s="404" t="s">
        <v>195</v>
      </c>
      <c r="E33" s="109" t="s">
        <v>196</v>
      </c>
      <c r="F33" s="124">
        <v>0.3</v>
      </c>
      <c r="G33" s="125" t="s">
        <v>78</v>
      </c>
      <c r="H33" s="111"/>
      <c r="I33" s="111">
        <f t="shared" si="24"/>
        <v>0</v>
      </c>
      <c r="J33" s="68"/>
      <c r="K33" s="68"/>
      <c r="L33" s="69"/>
      <c r="M33" s="37"/>
      <c r="N33" s="37"/>
      <c r="O33" s="236"/>
      <c r="P33" s="237"/>
      <c r="Q33" s="238"/>
      <c r="R33" s="238"/>
      <c r="S33" s="238"/>
      <c r="T33" s="238"/>
      <c r="U33" s="238"/>
      <c r="V33" s="238"/>
      <c r="W33" s="238"/>
      <c r="X33" s="239"/>
      <c r="Y33" s="239"/>
      <c r="Z33" s="239"/>
      <c r="AA33" s="239"/>
      <c r="AB33" s="239"/>
      <c r="AC33" s="238"/>
      <c r="AD33" s="370"/>
      <c r="AE33" s="371"/>
      <c r="AF33" s="238"/>
      <c r="AG33" s="238"/>
      <c r="AH33" s="219"/>
      <c r="AI33" s="651"/>
      <c r="AJ33" s="211">
        <f t="shared" si="25"/>
        <v>0</v>
      </c>
      <c r="AK33" s="211">
        <f t="shared" si="26"/>
        <v>0</v>
      </c>
      <c r="AL33" s="211">
        <f t="shared" si="27"/>
        <v>0</v>
      </c>
      <c r="AM33" s="211">
        <f t="shared" si="28"/>
        <v>0</v>
      </c>
      <c r="AN33" s="211">
        <f t="shared" si="29"/>
        <v>0</v>
      </c>
      <c r="AO33" s="211">
        <f t="shared" si="30"/>
        <v>0</v>
      </c>
      <c r="AP33" s="211">
        <f t="shared" si="31"/>
        <v>0</v>
      </c>
      <c r="AQ33" s="211">
        <f t="shared" si="32"/>
        <v>0</v>
      </c>
      <c r="AR33" s="211">
        <f t="shared" si="33"/>
        <v>0</v>
      </c>
      <c r="AS33" s="211">
        <f t="shared" si="34"/>
        <v>0</v>
      </c>
      <c r="AT33" s="211">
        <f t="shared" si="35"/>
        <v>0</v>
      </c>
      <c r="AU33" s="211">
        <f t="shared" si="36"/>
        <v>0</v>
      </c>
      <c r="AV33" s="211">
        <f t="shared" si="37"/>
        <v>0</v>
      </c>
      <c r="AW33" s="211">
        <f t="shared" si="38"/>
        <v>0</v>
      </c>
      <c r="AX33" s="211">
        <f t="shared" si="39"/>
        <v>0</v>
      </c>
      <c r="AY33" s="211">
        <f t="shared" si="40"/>
        <v>0</v>
      </c>
      <c r="AZ33" s="211">
        <f t="shared" si="41"/>
        <v>0</v>
      </c>
      <c r="BA33" s="211">
        <f t="shared" si="42"/>
        <v>0</v>
      </c>
      <c r="BB33" s="211">
        <f t="shared" si="43"/>
        <v>0</v>
      </c>
      <c r="BC33" s="211">
        <f t="shared" si="43"/>
        <v>0</v>
      </c>
    </row>
    <row r="34" spans="1:55" ht="24" customHeight="1">
      <c r="A34" s="36">
        <v>1</v>
      </c>
      <c r="B34" s="36">
        <v>1</v>
      </c>
      <c r="C34" s="112">
        <v>102</v>
      </c>
      <c r="D34" s="404" t="s">
        <v>197</v>
      </c>
      <c r="E34" s="109" t="s">
        <v>92</v>
      </c>
      <c r="F34" s="124">
        <v>0.01</v>
      </c>
      <c r="G34" s="125" t="s">
        <v>198</v>
      </c>
      <c r="H34" s="111"/>
      <c r="I34" s="111">
        <f t="shared" si="24"/>
        <v>0</v>
      </c>
      <c r="J34" s="68"/>
      <c r="K34" s="68"/>
      <c r="L34" s="69"/>
      <c r="M34" s="37"/>
      <c r="N34" s="37"/>
      <c r="O34" s="236"/>
      <c r="P34" s="237"/>
      <c r="Q34" s="238"/>
      <c r="R34" s="238"/>
      <c r="S34" s="238"/>
      <c r="T34" s="238"/>
      <c r="U34" s="238"/>
      <c r="V34" s="238"/>
      <c r="W34" s="238"/>
      <c r="X34" s="239"/>
      <c r="Y34" s="239"/>
      <c r="Z34" s="239"/>
      <c r="AA34" s="239"/>
      <c r="AB34" s="239"/>
      <c r="AC34" s="238"/>
      <c r="AD34" s="370"/>
      <c r="AE34" s="371"/>
      <c r="AF34" s="238"/>
      <c r="AG34" s="238"/>
      <c r="AH34" s="219"/>
      <c r="AI34" s="651"/>
      <c r="AJ34" s="211">
        <f t="shared" si="25"/>
        <v>0</v>
      </c>
      <c r="AK34" s="211">
        <f t="shared" si="26"/>
        <v>0</v>
      </c>
      <c r="AL34" s="211">
        <f t="shared" si="27"/>
        <v>0</v>
      </c>
      <c r="AM34" s="211">
        <f t="shared" si="28"/>
        <v>0</v>
      </c>
      <c r="AN34" s="211">
        <f t="shared" si="29"/>
        <v>0</v>
      </c>
      <c r="AO34" s="211">
        <f t="shared" si="30"/>
        <v>0</v>
      </c>
      <c r="AP34" s="211">
        <f t="shared" si="31"/>
        <v>0</v>
      </c>
      <c r="AQ34" s="211">
        <f t="shared" si="32"/>
        <v>0</v>
      </c>
      <c r="AR34" s="211">
        <f t="shared" si="33"/>
        <v>0</v>
      </c>
      <c r="AS34" s="211">
        <f t="shared" si="34"/>
        <v>0</v>
      </c>
      <c r="AT34" s="211">
        <f t="shared" si="35"/>
        <v>0</v>
      </c>
      <c r="AU34" s="211">
        <f t="shared" si="36"/>
        <v>0</v>
      </c>
      <c r="AV34" s="211">
        <f t="shared" si="37"/>
        <v>0</v>
      </c>
      <c r="AW34" s="211">
        <f t="shared" si="38"/>
        <v>0</v>
      </c>
      <c r="AX34" s="211">
        <f t="shared" si="39"/>
        <v>0</v>
      </c>
      <c r="AY34" s="211">
        <f t="shared" si="40"/>
        <v>0</v>
      </c>
      <c r="AZ34" s="211">
        <f t="shared" si="41"/>
        <v>0</v>
      </c>
      <c r="BA34" s="211">
        <f t="shared" si="42"/>
        <v>0</v>
      </c>
      <c r="BB34" s="211">
        <f t="shared" si="43"/>
        <v>0</v>
      </c>
      <c r="BC34" s="211">
        <f t="shared" si="43"/>
        <v>0</v>
      </c>
    </row>
    <row r="35" spans="1:55" s="37" customFormat="1" ht="24" customHeight="1">
      <c r="A35" s="36">
        <v>1</v>
      </c>
      <c r="B35" s="36">
        <v>1</v>
      </c>
      <c r="C35" s="112">
        <v>411102</v>
      </c>
      <c r="D35" s="404" t="s">
        <v>199</v>
      </c>
      <c r="E35" s="109" t="s">
        <v>200</v>
      </c>
      <c r="F35" s="124">
        <v>0.01</v>
      </c>
      <c r="G35" s="125" t="s">
        <v>198</v>
      </c>
      <c r="H35" s="111"/>
      <c r="I35" s="111">
        <f t="shared" si="24"/>
        <v>0</v>
      </c>
      <c r="J35" s="68"/>
      <c r="K35" s="68"/>
      <c r="L35" s="69"/>
      <c r="O35" s="236"/>
      <c r="P35" s="237"/>
      <c r="Q35" s="238"/>
      <c r="R35" s="238"/>
      <c r="S35" s="238"/>
      <c r="T35" s="238"/>
      <c r="U35" s="238"/>
      <c r="V35" s="238"/>
      <c r="W35" s="238"/>
      <c r="X35" s="239"/>
      <c r="Y35" s="239"/>
      <c r="Z35" s="239"/>
      <c r="AA35" s="239"/>
      <c r="AB35" s="239"/>
      <c r="AC35" s="238"/>
      <c r="AD35" s="370"/>
      <c r="AE35" s="371"/>
      <c r="AF35" s="238"/>
      <c r="AG35" s="238"/>
      <c r="AH35" s="219"/>
      <c r="AI35" s="651"/>
      <c r="AJ35" s="211">
        <f t="shared" si="25"/>
        <v>0</v>
      </c>
      <c r="AK35" s="211">
        <f t="shared" si="26"/>
        <v>0</v>
      </c>
      <c r="AL35" s="211">
        <f t="shared" si="27"/>
        <v>0</v>
      </c>
      <c r="AM35" s="211">
        <f t="shared" si="28"/>
        <v>0</v>
      </c>
      <c r="AN35" s="211">
        <f t="shared" si="29"/>
        <v>0</v>
      </c>
      <c r="AO35" s="211">
        <f t="shared" si="30"/>
        <v>0</v>
      </c>
      <c r="AP35" s="211">
        <f t="shared" si="31"/>
        <v>0</v>
      </c>
      <c r="AQ35" s="211">
        <f t="shared" si="32"/>
        <v>0</v>
      </c>
      <c r="AR35" s="211">
        <f t="shared" si="33"/>
        <v>0</v>
      </c>
      <c r="AS35" s="211">
        <f t="shared" si="34"/>
        <v>0</v>
      </c>
      <c r="AT35" s="211">
        <f t="shared" si="35"/>
        <v>0</v>
      </c>
      <c r="AU35" s="211">
        <f t="shared" si="36"/>
        <v>0</v>
      </c>
      <c r="AV35" s="211">
        <f t="shared" si="37"/>
        <v>0</v>
      </c>
      <c r="AW35" s="211">
        <f t="shared" si="38"/>
        <v>0</v>
      </c>
      <c r="AX35" s="211">
        <f t="shared" si="39"/>
        <v>0</v>
      </c>
      <c r="AY35" s="211">
        <f t="shared" si="40"/>
        <v>0</v>
      </c>
      <c r="AZ35" s="211">
        <f t="shared" si="41"/>
        <v>0</v>
      </c>
      <c r="BA35" s="211">
        <f t="shared" si="42"/>
        <v>0</v>
      </c>
      <c r="BB35" s="211">
        <f t="shared" si="43"/>
        <v>0</v>
      </c>
      <c r="BC35" s="211">
        <f t="shared" si="43"/>
        <v>0</v>
      </c>
    </row>
    <row r="36" spans="1:55" ht="24" customHeight="1">
      <c r="A36" s="36">
        <v>1</v>
      </c>
      <c r="B36" s="36">
        <v>1</v>
      </c>
      <c r="C36" s="112">
        <v>7022</v>
      </c>
      <c r="D36" s="404" t="s">
        <v>201</v>
      </c>
      <c r="E36" s="109" t="s">
        <v>202</v>
      </c>
      <c r="F36" s="124">
        <v>0.01</v>
      </c>
      <c r="G36" s="125" t="s">
        <v>198</v>
      </c>
      <c r="H36" s="111"/>
      <c r="I36" s="111">
        <f t="shared" si="24"/>
        <v>0</v>
      </c>
      <c r="J36" s="68"/>
      <c r="K36" s="68"/>
      <c r="L36" s="69"/>
      <c r="M36" s="37"/>
      <c r="N36" s="37"/>
      <c r="O36" s="236"/>
      <c r="P36" s="237"/>
      <c r="Q36" s="238"/>
      <c r="R36" s="238"/>
      <c r="S36" s="238"/>
      <c r="T36" s="238"/>
      <c r="U36" s="238"/>
      <c r="V36" s="238"/>
      <c r="W36" s="238"/>
      <c r="X36" s="239"/>
      <c r="Y36" s="239"/>
      <c r="Z36" s="239"/>
      <c r="AA36" s="239"/>
      <c r="AB36" s="239"/>
      <c r="AC36" s="238"/>
      <c r="AD36" s="370"/>
      <c r="AE36" s="371"/>
      <c r="AF36" s="238"/>
      <c r="AG36" s="238"/>
      <c r="AH36" s="219"/>
      <c r="AI36" s="651"/>
      <c r="AJ36" s="211">
        <f t="shared" si="25"/>
        <v>0</v>
      </c>
      <c r="AK36" s="211">
        <f t="shared" si="26"/>
        <v>0</v>
      </c>
      <c r="AL36" s="211">
        <f t="shared" si="27"/>
        <v>0</v>
      </c>
      <c r="AM36" s="211">
        <f t="shared" si="28"/>
        <v>0</v>
      </c>
      <c r="AN36" s="211">
        <f t="shared" si="29"/>
        <v>0</v>
      </c>
      <c r="AO36" s="211">
        <f t="shared" si="30"/>
        <v>0</v>
      </c>
      <c r="AP36" s="211">
        <f t="shared" si="31"/>
        <v>0</v>
      </c>
      <c r="AQ36" s="211">
        <f t="shared" si="32"/>
        <v>0</v>
      </c>
      <c r="AR36" s="211">
        <f t="shared" si="33"/>
        <v>0</v>
      </c>
      <c r="AS36" s="211">
        <f t="shared" si="34"/>
        <v>0</v>
      </c>
      <c r="AT36" s="211">
        <f t="shared" si="35"/>
        <v>0</v>
      </c>
      <c r="AU36" s="211">
        <f t="shared" si="36"/>
        <v>0</v>
      </c>
      <c r="AV36" s="211">
        <f t="shared" si="37"/>
        <v>0</v>
      </c>
      <c r="AW36" s="211">
        <f t="shared" si="38"/>
        <v>0</v>
      </c>
      <c r="AX36" s="211">
        <f t="shared" si="39"/>
        <v>0</v>
      </c>
      <c r="AY36" s="211">
        <f t="shared" si="40"/>
        <v>0</v>
      </c>
      <c r="AZ36" s="211">
        <f t="shared" si="41"/>
        <v>0</v>
      </c>
      <c r="BA36" s="211">
        <f t="shared" si="42"/>
        <v>0</v>
      </c>
      <c r="BB36" s="211">
        <f t="shared" si="43"/>
        <v>0</v>
      </c>
      <c r="BC36" s="211">
        <f t="shared" si="43"/>
        <v>0</v>
      </c>
    </row>
    <row r="37" spans="1:55" ht="24" customHeight="1">
      <c r="A37" s="36">
        <v>1</v>
      </c>
      <c r="B37" s="36">
        <v>1</v>
      </c>
      <c r="C37" s="112">
        <v>518200</v>
      </c>
      <c r="D37" s="404" t="s">
        <v>203</v>
      </c>
      <c r="E37" s="224" t="s">
        <v>220</v>
      </c>
      <c r="F37" s="124">
        <v>0.2</v>
      </c>
      <c r="G37" s="125" t="s">
        <v>78</v>
      </c>
      <c r="H37" s="111"/>
      <c r="I37" s="111">
        <f t="shared" si="24"/>
        <v>0</v>
      </c>
      <c r="J37" s="68" t="s">
        <v>204</v>
      </c>
      <c r="K37" s="68"/>
      <c r="L37" s="69"/>
      <c r="M37" s="37"/>
      <c r="N37" s="37"/>
      <c r="O37" s="236"/>
      <c r="P37" s="237"/>
      <c r="Q37" s="238"/>
      <c r="R37" s="238"/>
      <c r="S37" s="238"/>
      <c r="T37" s="238"/>
      <c r="U37" s="238"/>
      <c r="V37" s="238"/>
      <c r="W37" s="238"/>
      <c r="X37" s="239"/>
      <c r="Y37" s="239"/>
      <c r="Z37" s="239"/>
      <c r="AA37" s="239"/>
      <c r="AB37" s="239"/>
      <c r="AC37" s="238"/>
      <c r="AD37" s="370"/>
      <c r="AE37" s="371"/>
      <c r="AF37" s="238"/>
      <c r="AG37" s="238"/>
      <c r="AH37" s="219"/>
      <c r="AI37" s="651"/>
      <c r="AJ37" s="211">
        <f t="shared" ref="AJ37:AJ46" si="44">$F37*O37</f>
        <v>0</v>
      </c>
      <c r="AK37" s="211">
        <f t="shared" si="26"/>
        <v>0</v>
      </c>
      <c r="AL37" s="211">
        <f t="shared" si="27"/>
        <v>0</v>
      </c>
      <c r="AM37" s="211">
        <f t="shared" si="28"/>
        <v>0</v>
      </c>
      <c r="AN37" s="211">
        <f t="shared" si="29"/>
        <v>0</v>
      </c>
      <c r="AO37" s="211">
        <f t="shared" si="30"/>
        <v>0</v>
      </c>
      <c r="AP37" s="211">
        <f t="shared" si="31"/>
        <v>0</v>
      </c>
      <c r="AQ37" s="211">
        <f t="shared" si="32"/>
        <v>0</v>
      </c>
      <c r="AR37" s="211">
        <f t="shared" si="33"/>
        <v>0</v>
      </c>
      <c r="AS37" s="211">
        <f t="shared" si="34"/>
        <v>0</v>
      </c>
      <c r="AT37" s="211">
        <f t="shared" si="35"/>
        <v>0</v>
      </c>
      <c r="AU37" s="211">
        <f t="shared" si="36"/>
        <v>0</v>
      </c>
      <c r="AV37" s="211">
        <f t="shared" si="37"/>
        <v>0</v>
      </c>
      <c r="AW37" s="211">
        <f t="shared" si="38"/>
        <v>0</v>
      </c>
      <c r="AX37" s="211">
        <f t="shared" si="39"/>
        <v>0</v>
      </c>
      <c r="AY37" s="211">
        <f t="shared" si="40"/>
        <v>0</v>
      </c>
      <c r="AZ37" s="211">
        <f t="shared" si="41"/>
        <v>0</v>
      </c>
      <c r="BA37" s="211">
        <f t="shared" si="42"/>
        <v>0</v>
      </c>
      <c r="BB37" s="211">
        <f t="shared" si="43"/>
        <v>0</v>
      </c>
      <c r="BC37" s="211">
        <f t="shared" si="43"/>
        <v>0</v>
      </c>
    </row>
    <row r="38" spans="1:55" s="37" customFormat="1" ht="24" customHeight="1">
      <c r="A38" s="36">
        <v>1</v>
      </c>
      <c r="B38" s="36">
        <v>1</v>
      </c>
      <c r="C38" s="112">
        <v>5008</v>
      </c>
      <c r="D38" s="404" t="s">
        <v>205</v>
      </c>
      <c r="E38" s="109" t="s">
        <v>206</v>
      </c>
      <c r="F38" s="124">
        <v>0.2</v>
      </c>
      <c r="G38" s="125" t="s">
        <v>78</v>
      </c>
      <c r="H38" s="111"/>
      <c r="I38" s="111">
        <f t="shared" si="24"/>
        <v>0</v>
      </c>
      <c r="J38" s="68"/>
      <c r="K38" s="68"/>
      <c r="L38" s="69"/>
      <c r="O38" s="236"/>
      <c r="P38" s="237"/>
      <c r="Q38" s="238"/>
      <c r="R38" s="238"/>
      <c r="S38" s="238"/>
      <c r="T38" s="238"/>
      <c r="U38" s="238"/>
      <c r="V38" s="238"/>
      <c r="W38" s="238"/>
      <c r="X38" s="239"/>
      <c r="Y38" s="239"/>
      <c r="Z38" s="239"/>
      <c r="AA38" s="239"/>
      <c r="AB38" s="239"/>
      <c r="AC38" s="238"/>
      <c r="AD38" s="370"/>
      <c r="AE38" s="371"/>
      <c r="AF38" s="238"/>
      <c r="AG38" s="238"/>
      <c r="AH38" s="219"/>
      <c r="AI38" s="651"/>
      <c r="AJ38" s="211">
        <f t="shared" si="44"/>
        <v>0</v>
      </c>
      <c r="AK38" s="211">
        <f t="shared" si="26"/>
        <v>0</v>
      </c>
      <c r="AL38" s="211">
        <f t="shared" si="27"/>
        <v>0</v>
      </c>
      <c r="AM38" s="211">
        <f t="shared" si="28"/>
        <v>0</v>
      </c>
      <c r="AN38" s="211">
        <f t="shared" si="29"/>
        <v>0</v>
      </c>
      <c r="AO38" s="211">
        <f t="shared" si="30"/>
        <v>0</v>
      </c>
      <c r="AP38" s="211">
        <f t="shared" si="31"/>
        <v>0</v>
      </c>
      <c r="AQ38" s="211">
        <f t="shared" si="32"/>
        <v>0</v>
      </c>
      <c r="AR38" s="211">
        <f t="shared" si="33"/>
        <v>0</v>
      </c>
      <c r="AS38" s="211">
        <f t="shared" si="34"/>
        <v>0</v>
      </c>
      <c r="AT38" s="211">
        <f t="shared" si="35"/>
        <v>0</v>
      </c>
      <c r="AU38" s="211">
        <f t="shared" si="36"/>
        <v>0</v>
      </c>
      <c r="AV38" s="211">
        <f t="shared" si="37"/>
        <v>0</v>
      </c>
      <c r="AW38" s="211">
        <f t="shared" si="38"/>
        <v>0</v>
      </c>
      <c r="AX38" s="211">
        <f t="shared" si="39"/>
        <v>0</v>
      </c>
      <c r="AY38" s="211">
        <f t="shared" si="40"/>
        <v>0</v>
      </c>
      <c r="AZ38" s="211">
        <f t="shared" si="41"/>
        <v>0</v>
      </c>
      <c r="BA38" s="211">
        <f t="shared" si="42"/>
        <v>0</v>
      </c>
      <c r="BB38" s="211">
        <f t="shared" si="43"/>
        <v>0</v>
      </c>
      <c r="BC38" s="211">
        <f t="shared" si="43"/>
        <v>0</v>
      </c>
    </row>
    <row r="39" spans="1:55" ht="24" customHeight="1">
      <c r="A39" s="36">
        <v>1</v>
      </c>
      <c r="B39" s="36">
        <v>1</v>
      </c>
      <c r="C39" s="112">
        <v>6001</v>
      </c>
      <c r="D39" s="404" t="s">
        <v>207</v>
      </c>
      <c r="E39" s="109" t="s">
        <v>206</v>
      </c>
      <c r="F39" s="124">
        <v>0.2</v>
      </c>
      <c r="G39" s="125" t="s">
        <v>164</v>
      </c>
      <c r="H39" s="111"/>
      <c r="I39" s="111">
        <f t="shared" si="24"/>
        <v>0</v>
      </c>
      <c r="J39" s="68"/>
      <c r="K39" s="68"/>
      <c r="L39" s="69"/>
      <c r="M39" s="37"/>
      <c r="N39" s="37"/>
      <c r="O39" s="236"/>
      <c r="P39" s="237"/>
      <c r="Q39" s="238"/>
      <c r="R39" s="238"/>
      <c r="S39" s="238"/>
      <c r="T39" s="238"/>
      <c r="U39" s="238"/>
      <c r="V39" s="238"/>
      <c r="W39" s="238"/>
      <c r="X39" s="239"/>
      <c r="Y39" s="239"/>
      <c r="Z39" s="239"/>
      <c r="AA39" s="239"/>
      <c r="AB39" s="239"/>
      <c r="AC39" s="238"/>
      <c r="AD39" s="370"/>
      <c r="AE39" s="371"/>
      <c r="AF39" s="238"/>
      <c r="AG39" s="238"/>
      <c r="AH39" s="219"/>
      <c r="AI39" s="651"/>
      <c r="AJ39" s="211">
        <f t="shared" si="44"/>
        <v>0</v>
      </c>
      <c r="AK39" s="211">
        <f t="shared" si="26"/>
        <v>0</v>
      </c>
      <c r="AL39" s="211">
        <f t="shared" si="27"/>
        <v>0</v>
      </c>
      <c r="AM39" s="211">
        <f t="shared" si="28"/>
        <v>0</v>
      </c>
      <c r="AN39" s="211">
        <f t="shared" si="29"/>
        <v>0</v>
      </c>
      <c r="AO39" s="211">
        <f t="shared" si="30"/>
        <v>0</v>
      </c>
      <c r="AP39" s="211">
        <f t="shared" si="31"/>
        <v>0</v>
      </c>
      <c r="AQ39" s="211">
        <f t="shared" si="32"/>
        <v>0</v>
      </c>
      <c r="AR39" s="211">
        <f t="shared" si="33"/>
        <v>0</v>
      </c>
      <c r="AS39" s="211">
        <f t="shared" si="34"/>
        <v>0</v>
      </c>
      <c r="AT39" s="211">
        <f t="shared" si="35"/>
        <v>0</v>
      </c>
      <c r="AU39" s="211">
        <f t="shared" si="36"/>
        <v>0</v>
      </c>
      <c r="AV39" s="211">
        <f t="shared" si="37"/>
        <v>0</v>
      </c>
      <c r="AW39" s="211">
        <f t="shared" si="38"/>
        <v>0</v>
      </c>
      <c r="AX39" s="211">
        <f t="shared" si="39"/>
        <v>0</v>
      </c>
      <c r="AY39" s="211">
        <f t="shared" si="40"/>
        <v>0</v>
      </c>
      <c r="AZ39" s="211">
        <f t="shared" si="41"/>
        <v>0</v>
      </c>
      <c r="BA39" s="211">
        <f t="shared" si="42"/>
        <v>0</v>
      </c>
      <c r="BB39" s="211">
        <f t="shared" si="43"/>
        <v>0</v>
      </c>
      <c r="BC39" s="211">
        <f t="shared" si="43"/>
        <v>0</v>
      </c>
    </row>
    <row r="40" spans="1:55" s="37" customFormat="1" ht="24" customHeight="1">
      <c r="A40" s="36">
        <v>1</v>
      </c>
      <c r="B40" s="36">
        <v>1</v>
      </c>
      <c r="C40" s="112">
        <v>6020</v>
      </c>
      <c r="D40" s="404" t="s">
        <v>266</v>
      </c>
      <c r="E40" s="109" t="s">
        <v>208</v>
      </c>
      <c r="F40" s="124">
        <v>0.2</v>
      </c>
      <c r="G40" s="125" t="s">
        <v>209</v>
      </c>
      <c r="H40" s="111"/>
      <c r="I40" s="111">
        <f t="shared" si="24"/>
        <v>0</v>
      </c>
      <c r="J40" s="68" t="s">
        <v>210</v>
      </c>
      <c r="K40" s="68"/>
      <c r="L40" s="69"/>
      <c r="O40" s="236"/>
      <c r="P40" s="237"/>
      <c r="Q40" s="238"/>
      <c r="R40" s="238"/>
      <c r="S40" s="238"/>
      <c r="T40" s="238"/>
      <c r="U40" s="238"/>
      <c r="V40" s="238"/>
      <c r="W40" s="238"/>
      <c r="X40" s="239"/>
      <c r="Y40" s="239"/>
      <c r="Z40" s="239"/>
      <c r="AA40" s="239"/>
      <c r="AB40" s="239"/>
      <c r="AC40" s="238"/>
      <c r="AD40" s="370"/>
      <c r="AE40" s="371"/>
      <c r="AF40" s="238"/>
      <c r="AG40" s="238"/>
      <c r="AH40" s="219"/>
      <c r="AI40" s="651"/>
      <c r="AJ40" s="211">
        <f t="shared" si="44"/>
        <v>0</v>
      </c>
      <c r="AK40" s="211">
        <f t="shared" si="26"/>
        <v>0</v>
      </c>
      <c r="AL40" s="211">
        <f t="shared" si="27"/>
        <v>0</v>
      </c>
      <c r="AM40" s="211">
        <f t="shared" si="28"/>
        <v>0</v>
      </c>
      <c r="AN40" s="211">
        <f t="shared" si="29"/>
        <v>0</v>
      </c>
      <c r="AO40" s="211">
        <f t="shared" si="30"/>
        <v>0</v>
      </c>
      <c r="AP40" s="211">
        <f t="shared" si="31"/>
        <v>0</v>
      </c>
      <c r="AQ40" s="211">
        <f t="shared" si="32"/>
        <v>0</v>
      </c>
      <c r="AR40" s="211">
        <f t="shared" si="33"/>
        <v>0</v>
      </c>
      <c r="AS40" s="211">
        <f t="shared" si="34"/>
        <v>0</v>
      </c>
      <c r="AT40" s="211">
        <f t="shared" si="35"/>
        <v>0</v>
      </c>
      <c r="AU40" s="211">
        <f t="shared" si="36"/>
        <v>0</v>
      </c>
      <c r="AV40" s="211">
        <f t="shared" si="37"/>
        <v>0</v>
      </c>
      <c r="AW40" s="211">
        <f t="shared" si="38"/>
        <v>0</v>
      </c>
      <c r="AX40" s="211">
        <f t="shared" si="39"/>
        <v>0</v>
      </c>
      <c r="AY40" s="211">
        <f t="shared" si="40"/>
        <v>0</v>
      </c>
      <c r="AZ40" s="211">
        <f t="shared" si="41"/>
        <v>0</v>
      </c>
      <c r="BA40" s="211">
        <f t="shared" si="42"/>
        <v>0</v>
      </c>
      <c r="BB40" s="211">
        <f t="shared" si="43"/>
        <v>0</v>
      </c>
      <c r="BC40" s="211">
        <f t="shared" si="43"/>
        <v>0</v>
      </c>
    </row>
    <row r="41" spans="1:55" s="37" customFormat="1" ht="24" customHeight="1">
      <c r="A41" s="36"/>
      <c r="B41" s="36"/>
      <c r="C41" s="134"/>
      <c r="D41" s="68"/>
      <c r="E41" s="124"/>
      <c r="F41" s="124"/>
      <c r="G41" s="125"/>
      <c r="H41" s="141"/>
      <c r="I41" s="111" t="str">
        <f>IF(F41="","",ROUNDDOWN(F41*H41,0))</f>
        <v/>
      </c>
      <c r="J41" s="67"/>
      <c r="K41" s="68"/>
      <c r="L41" s="69"/>
      <c r="O41" s="236"/>
      <c r="P41" s="237"/>
      <c r="Q41" s="238"/>
      <c r="R41" s="238"/>
      <c r="S41" s="238"/>
      <c r="T41" s="238"/>
      <c r="U41" s="238"/>
      <c r="V41" s="238"/>
      <c r="W41" s="238"/>
      <c r="X41" s="239"/>
      <c r="Y41" s="239"/>
      <c r="Z41" s="239"/>
      <c r="AA41" s="239"/>
      <c r="AB41" s="239"/>
      <c r="AC41" s="238"/>
      <c r="AD41" s="370"/>
      <c r="AE41" s="371"/>
      <c r="AF41" s="238"/>
      <c r="AG41" s="238"/>
      <c r="AH41" s="219"/>
      <c r="AI41" s="651"/>
      <c r="AJ41" s="211">
        <f t="shared" si="44"/>
        <v>0</v>
      </c>
      <c r="AK41" s="211">
        <f t="shared" si="26"/>
        <v>0</v>
      </c>
      <c r="AL41" s="211">
        <f t="shared" si="27"/>
        <v>0</v>
      </c>
      <c r="AM41" s="211">
        <f t="shared" si="28"/>
        <v>0</v>
      </c>
      <c r="AN41" s="211">
        <f t="shared" si="29"/>
        <v>0</v>
      </c>
      <c r="AO41" s="211">
        <f t="shared" si="30"/>
        <v>0</v>
      </c>
      <c r="AP41" s="211">
        <f t="shared" si="31"/>
        <v>0</v>
      </c>
      <c r="AQ41" s="211">
        <f t="shared" si="32"/>
        <v>0</v>
      </c>
      <c r="AR41" s="211">
        <f t="shared" si="33"/>
        <v>0</v>
      </c>
      <c r="AS41" s="211">
        <f t="shared" si="34"/>
        <v>0</v>
      </c>
      <c r="AT41" s="211">
        <f t="shared" si="35"/>
        <v>0</v>
      </c>
      <c r="AU41" s="211">
        <f t="shared" si="36"/>
        <v>0</v>
      </c>
      <c r="AV41" s="211">
        <f t="shared" si="37"/>
        <v>0</v>
      </c>
      <c r="AW41" s="211">
        <f t="shared" si="38"/>
        <v>0</v>
      </c>
      <c r="AX41" s="211">
        <f t="shared" si="39"/>
        <v>0</v>
      </c>
      <c r="AY41" s="211">
        <f t="shared" si="40"/>
        <v>0</v>
      </c>
      <c r="AZ41" s="211">
        <f t="shared" si="41"/>
        <v>0</v>
      </c>
      <c r="BA41" s="211">
        <f t="shared" si="42"/>
        <v>0</v>
      </c>
      <c r="BB41" s="211">
        <f t="shared" si="43"/>
        <v>0</v>
      </c>
      <c r="BC41" s="211">
        <f t="shared" si="43"/>
        <v>0</v>
      </c>
    </row>
    <row r="42" spans="1:55" s="37" customFormat="1" ht="24" customHeight="1">
      <c r="A42" s="36"/>
      <c r="B42" s="36"/>
      <c r="C42" s="134"/>
      <c r="D42" s="362" t="s">
        <v>290</v>
      </c>
      <c r="E42" s="110"/>
      <c r="F42" s="124"/>
      <c r="G42" s="125"/>
      <c r="H42" s="141"/>
      <c r="I42" s="111" t="str">
        <f>IF(F42="","",ROUNDDOWN(F42*H42,0))</f>
        <v/>
      </c>
      <c r="J42" s="67"/>
      <c r="K42" s="68"/>
      <c r="L42" s="69"/>
      <c r="O42" s="236"/>
      <c r="P42" s="237"/>
      <c r="Q42" s="238"/>
      <c r="R42" s="238"/>
      <c r="S42" s="238"/>
      <c r="T42" s="238"/>
      <c r="U42" s="238"/>
      <c r="V42" s="238"/>
      <c r="W42" s="238"/>
      <c r="X42" s="239"/>
      <c r="Y42" s="239"/>
      <c r="Z42" s="239"/>
      <c r="AA42" s="239"/>
      <c r="AB42" s="239"/>
      <c r="AC42" s="238"/>
      <c r="AD42" s="370"/>
      <c r="AE42" s="371"/>
      <c r="AF42" s="238"/>
      <c r="AG42" s="238"/>
      <c r="AH42" s="219"/>
      <c r="AI42" s="651"/>
      <c r="AJ42" s="211">
        <f t="shared" si="44"/>
        <v>0</v>
      </c>
      <c r="AK42" s="211">
        <f t="shared" si="26"/>
        <v>0</v>
      </c>
      <c r="AL42" s="211">
        <f t="shared" si="27"/>
        <v>0</v>
      </c>
      <c r="AM42" s="211">
        <f t="shared" si="28"/>
        <v>0</v>
      </c>
      <c r="AN42" s="211">
        <f t="shared" si="29"/>
        <v>0</v>
      </c>
      <c r="AO42" s="211">
        <f t="shared" si="30"/>
        <v>0</v>
      </c>
      <c r="AP42" s="211">
        <f t="shared" si="31"/>
        <v>0</v>
      </c>
      <c r="AQ42" s="211">
        <f t="shared" si="32"/>
        <v>0</v>
      </c>
      <c r="AR42" s="211">
        <f t="shared" si="33"/>
        <v>0</v>
      </c>
      <c r="AS42" s="211">
        <f t="shared" si="34"/>
        <v>0</v>
      </c>
      <c r="AT42" s="211">
        <f t="shared" si="35"/>
        <v>0</v>
      </c>
      <c r="AU42" s="211">
        <f t="shared" si="36"/>
        <v>0</v>
      </c>
      <c r="AV42" s="211">
        <f t="shared" si="37"/>
        <v>0</v>
      </c>
      <c r="AW42" s="211">
        <f t="shared" si="38"/>
        <v>0</v>
      </c>
      <c r="AX42" s="211">
        <f t="shared" si="39"/>
        <v>0</v>
      </c>
      <c r="AY42" s="211">
        <f t="shared" si="40"/>
        <v>0</v>
      </c>
      <c r="AZ42" s="211">
        <f t="shared" si="41"/>
        <v>0</v>
      </c>
      <c r="BA42" s="211">
        <f t="shared" si="42"/>
        <v>0</v>
      </c>
      <c r="BB42" s="211">
        <f t="shared" si="43"/>
        <v>0</v>
      </c>
      <c r="BC42" s="211">
        <f t="shared" si="43"/>
        <v>0</v>
      </c>
    </row>
    <row r="43" spans="1:55" s="37" customFormat="1" ht="24" customHeight="1">
      <c r="A43" s="36"/>
      <c r="B43" s="36"/>
      <c r="C43" s="134"/>
      <c r="D43" s="362" t="s">
        <v>291</v>
      </c>
      <c r="E43" s="124"/>
      <c r="F43" s="110"/>
      <c r="G43" s="125"/>
      <c r="H43" s="141"/>
      <c r="I43" s="111" t="str">
        <f>IF(F43="","",ROUNDDOWN(F43*H43,0))</f>
        <v/>
      </c>
      <c r="J43" s="67"/>
      <c r="K43" s="68"/>
      <c r="L43" s="69"/>
      <c r="O43" s="236"/>
      <c r="P43" s="237"/>
      <c r="Q43" s="238"/>
      <c r="R43" s="238"/>
      <c r="S43" s="238"/>
      <c r="T43" s="238"/>
      <c r="U43" s="238"/>
      <c r="V43" s="238"/>
      <c r="W43" s="238"/>
      <c r="X43" s="239"/>
      <c r="Y43" s="239"/>
      <c r="Z43" s="239"/>
      <c r="AA43" s="239"/>
      <c r="AB43" s="239"/>
      <c r="AC43" s="238"/>
      <c r="AD43" s="370"/>
      <c r="AE43" s="371"/>
      <c r="AF43" s="238"/>
      <c r="AG43" s="238"/>
      <c r="AH43" s="219"/>
      <c r="AI43" s="651"/>
      <c r="AJ43" s="211">
        <f t="shared" si="44"/>
        <v>0</v>
      </c>
      <c r="AK43" s="211">
        <f t="shared" si="26"/>
        <v>0</v>
      </c>
      <c r="AL43" s="211">
        <f t="shared" si="27"/>
        <v>0</v>
      </c>
      <c r="AM43" s="211">
        <f t="shared" si="28"/>
        <v>0</v>
      </c>
      <c r="AN43" s="211">
        <f t="shared" si="29"/>
        <v>0</v>
      </c>
      <c r="AO43" s="211">
        <f t="shared" si="30"/>
        <v>0</v>
      </c>
      <c r="AP43" s="211">
        <f t="shared" si="31"/>
        <v>0</v>
      </c>
      <c r="AQ43" s="211">
        <f t="shared" si="32"/>
        <v>0</v>
      </c>
      <c r="AR43" s="211">
        <f t="shared" si="33"/>
        <v>0</v>
      </c>
      <c r="AS43" s="211">
        <f t="shared" si="34"/>
        <v>0</v>
      </c>
      <c r="AT43" s="211">
        <f t="shared" si="35"/>
        <v>0</v>
      </c>
      <c r="AU43" s="211">
        <f t="shared" si="36"/>
        <v>0</v>
      </c>
      <c r="AV43" s="211">
        <f t="shared" si="37"/>
        <v>0</v>
      </c>
      <c r="AW43" s="211">
        <f t="shared" si="38"/>
        <v>0</v>
      </c>
      <c r="AX43" s="211">
        <f t="shared" si="39"/>
        <v>0</v>
      </c>
      <c r="AY43" s="211">
        <f t="shared" si="40"/>
        <v>0</v>
      </c>
      <c r="AZ43" s="211">
        <f t="shared" si="41"/>
        <v>0</v>
      </c>
      <c r="BA43" s="211">
        <f t="shared" si="42"/>
        <v>0</v>
      </c>
      <c r="BB43" s="211">
        <f t="shared" si="43"/>
        <v>0</v>
      </c>
      <c r="BC43" s="211">
        <f t="shared" si="43"/>
        <v>0</v>
      </c>
    </row>
    <row r="44" spans="1:55" s="37" customFormat="1" ht="24" customHeight="1">
      <c r="A44" s="36"/>
      <c r="B44" s="36"/>
      <c r="C44" s="134"/>
      <c r="D44" s="362" t="s">
        <v>292</v>
      </c>
      <c r="E44" s="124"/>
      <c r="F44" s="124"/>
      <c r="G44" s="125"/>
      <c r="H44" s="141"/>
      <c r="I44" s="111"/>
      <c r="J44" s="67"/>
      <c r="K44" s="68"/>
      <c r="L44" s="69"/>
      <c r="O44" s="236"/>
      <c r="P44" s="237"/>
      <c r="Q44" s="238"/>
      <c r="R44" s="238"/>
      <c r="S44" s="238"/>
      <c r="T44" s="238"/>
      <c r="U44" s="238"/>
      <c r="V44" s="238"/>
      <c r="W44" s="238"/>
      <c r="X44" s="239"/>
      <c r="Y44" s="239"/>
      <c r="Z44" s="239"/>
      <c r="AA44" s="239"/>
      <c r="AB44" s="239"/>
      <c r="AC44" s="238"/>
      <c r="AD44" s="370"/>
      <c r="AE44" s="371"/>
      <c r="AF44" s="238"/>
      <c r="AG44" s="238"/>
      <c r="AH44" s="219"/>
      <c r="AI44" s="651"/>
      <c r="AJ44" s="211">
        <f t="shared" si="44"/>
        <v>0</v>
      </c>
      <c r="AK44" s="211">
        <f t="shared" si="26"/>
        <v>0</v>
      </c>
      <c r="AL44" s="211">
        <f t="shared" si="27"/>
        <v>0</v>
      </c>
      <c r="AM44" s="211">
        <f t="shared" si="28"/>
        <v>0</v>
      </c>
      <c r="AN44" s="211">
        <f t="shared" si="29"/>
        <v>0</v>
      </c>
      <c r="AO44" s="211">
        <f t="shared" si="30"/>
        <v>0</v>
      </c>
      <c r="AP44" s="211">
        <f t="shared" si="31"/>
        <v>0</v>
      </c>
      <c r="AQ44" s="211">
        <f t="shared" si="32"/>
        <v>0</v>
      </c>
      <c r="AR44" s="211">
        <f t="shared" si="33"/>
        <v>0</v>
      </c>
      <c r="AS44" s="211">
        <f t="shared" si="34"/>
        <v>0</v>
      </c>
      <c r="AT44" s="211">
        <f t="shared" si="35"/>
        <v>0</v>
      </c>
      <c r="AU44" s="211">
        <f t="shared" si="36"/>
        <v>0</v>
      </c>
      <c r="AV44" s="211">
        <f t="shared" si="37"/>
        <v>0</v>
      </c>
      <c r="AW44" s="211">
        <f t="shared" si="38"/>
        <v>0</v>
      </c>
      <c r="AX44" s="211">
        <f t="shared" si="39"/>
        <v>0</v>
      </c>
      <c r="AY44" s="211">
        <f t="shared" si="40"/>
        <v>0</v>
      </c>
      <c r="AZ44" s="211">
        <f t="shared" si="41"/>
        <v>0</v>
      </c>
      <c r="BA44" s="211">
        <f t="shared" si="42"/>
        <v>0</v>
      </c>
      <c r="BB44" s="211">
        <f t="shared" si="43"/>
        <v>0</v>
      </c>
      <c r="BC44" s="211">
        <f t="shared" si="43"/>
        <v>0</v>
      </c>
    </row>
    <row r="45" spans="1:55" s="37" customFormat="1" ht="24" customHeight="1">
      <c r="A45" s="36"/>
      <c r="B45" s="36"/>
      <c r="C45" s="134"/>
      <c r="D45" s="135"/>
      <c r="E45" s="363" t="s">
        <v>222</v>
      </c>
      <c r="F45" s="124"/>
      <c r="G45" s="125"/>
      <c r="H45" s="141"/>
      <c r="I45" s="111" t="str">
        <f>IF(F45="","",ROUNDDOWN(F45*H45,0))</f>
        <v/>
      </c>
      <c r="J45" s="67"/>
      <c r="K45" s="68"/>
      <c r="L45" s="69"/>
      <c r="O45" s="236"/>
      <c r="P45" s="237"/>
      <c r="Q45" s="238"/>
      <c r="R45" s="238"/>
      <c r="S45" s="238"/>
      <c r="T45" s="238"/>
      <c r="U45" s="238"/>
      <c r="V45" s="238"/>
      <c r="W45" s="238"/>
      <c r="X45" s="239"/>
      <c r="Y45" s="239"/>
      <c r="Z45" s="239"/>
      <c r="AA45" s="239"/>
      <c r="AB45" s="239"/>
      <c r="AC45" s="238"/>
      <c r="AD45" s="370"/>
      <c r="AE45" s="371"/>
      <c r="AF45" s="238"/>
      <c r="AG45" s="238"/>
      <c r="AH45" s="219"/>
      <c r="AI45" s="651"/>
      <c r="AJ45" s="211">
        <f t="shared" si="44"/>
        <v>0</v>
      </c>
      <c r="AK45" s="211">
        <f t="shared" si="26"/>
        <v>0</v>
      </c>
      <c r="AL45" s="211">
        <f t="shared" si="27"/>
        <v>0</v>
      </c>
      <c r="AM45" s="211">
        <f t="shared" si="28"/>
        <v>0</v>
      </c>
      <c r="AN45" s="211">
        <f t="shared" si="29"/>
        <v>0</v>
      </c>
      <c r="AO45" s="211">
        <f t="shared" si="30"/>
        <v>0</v>
      </c>
      <c r="AP45" s="211">
        <f t="shared" si="31"/>
        <v>0</v>
      </c>
      <c r="AQ45" s="211">
        <f t="shared" si="32"/>
        <v>0</v>
      </c>
      <c r="AR45" s="211">
        <f t="shared" si="33"/>
        <v>0</v>
      </c>
      <c r="AS45" s="211">
        <f t="shared" si="34"/>
        <v>0</v>
      </c>
      <c r="AT45" s="211">
        <f t="shared" si="35"/>
        <v>0</v>
      </c>
      <c r="AU45" s="211">
        <f t="shared" si="36"/>
        <v>0</v>
      </c>
      <c r="AV45" s="211">
        <f t="shared" si="37"/>
        <v>0</v>
      </c>
      <c r="AW45" s="211">
        <f t="shared" si="38"/>
        <v>0</v>
      </c>
      <c r="AX45" s="211">
        <f t="shared" si="39"/>
        <v>0</v>
      </c>
      <c r="AY45" s="211">
        <f t="shared" si="40"/>
        <v>0</v>
      </c>
      <c r="AZ45" s="211">
        <f t="shared" si="41"/>
        <v>0</v>
      </c>
      <c r="BA45" s="211">
        <f t="shared" si="42"/>
        <v>0</v>
      </c>
      <c r="BB45" s="211">
        <f t="shared" si="43"/>
        <v>0</v>
      </c>
      <c r="BC45" s="211">
        <f t="shared" si="43"/>
        <v>0</v>
      </c>
    </row>
    <row r="46" spans="1:55" s="37" customFormat="1" ht="24" customHeight="1">
      <c r="A46" s="36"/>
      <c r="B46" s="36"/>
      <c r="C46" s="134"/>
      <c r="D46" s="135"/>
      <c r="E46" s="363"/>
      <c r="F46" s="124"/>
      <c r="G46" s="125"/>
      <c r="H46" s="141"/>
      <c r="I46" s="111"/>
      <c r="J46" s="67"/>
      <c r="K46" s="68"/>
      <c r="L46" s="69"/>
      <c r="O46" s="236"/>
      <c r="P46" s="237"/>
      <c r="Q46" s="238"/>
      <c r="R46" s="238"/>
      <c r="S46" s="238"/>
      <c r="T46" s="238"/>
      <c r="U46" s="238"/>
      <c r="V46" s="238"/>
      <c r="W46" s="238"/>
      <c r="X46" s="239"/>
      <c r="Y46" s="239"/>
      <c r="Z46" s="239"/>
      <c r="AA46" s="239"/>
      <c r="AB46" s="239"/>
      <c r="AC46" s="238"/>
      <c r="AD46" s="370"/>
      <c r="AE46" s="371"/>
      <c r="AF46" s="238"/>
      <c r="AG46" s="238"/>
      <c r="AH46" s="219"/>
      <c r="AI46" s="651"/>
      <c r="AJ46" s="211">
        <f t="shared" si="44"/>
        <v>0</v>
      </c>
      <c r="AK46" s="211">
        <f t="shared" si="26"/>
        <v>0</v>
      </c>
      <c r="AL46" s="211">
        <f t="shared" si="27"/>
        <v>0</v>
      </c>
      <c r="AM46" s="211">
        <f t="shared" si="28"/>
        <v>0</v>
      </c>
      <c r="AN46" s="211">
        <f t="shared" si="29"/>
        <v>0</v>
      </c>
      <c r="AO46" s="211">
        <f t="shared" si="30"/>
        <v>0</v>
      </c>
      <c r="AP46" s="211">
        <f t="shared" si="31"/>
        <v>0</v>
      </c>
      <c r="AQ46" s="211">
        <f t="shared" si="32"/>
        <v>0</v>
      </c>
      <c r="AR46" s="211">
        <f t="shared" si="33"/>
        <v>0</v>
      </c>
      <c r="AS46" s="211">
        <f t="shared" si="34"/>
        <v>0</v>
      </c>
      <c r="AT46" s="211">
        <f t="shared" si="35"/>
        <v>0</v>
      </c>
      <c r="AU46" s="211">
        <f t="shared" si="36"/>
        <v>0</v>
      </c>
      <c r="AV46" s="211">
        <f t="shared" si="37"/>
        <v>0</v>
      </c>
      <c r="AW46" s="211">
        <f t="shared" si="38"/>
        <v>0</v>
      </c>
      <c r="AX46" s="211">
        <f t="shared" si="39"/>
        <v>0</v>
      </c>
      <c r="AY46" s="211">
        <f t="shared" si="40"/>
        <v>0</v>
      </c>
      <c r="AZ46" s="211">
        <f t="shared" si="41"/>
        <v>0</v>
      </c>
      <c r="BA46" s="211">
        <f t="shared" si="42"/>
        <v>0</v>
      </c>
      <c r="BB46" s="211">
        <f t="shared" si="43"/>
        <v>0</v>
      </c>
      <c r="BC46" s="211">
        <f>$F46*AH46</f>
        <v>0</v>
      </c>
    </row>
    <row r="47" spans="1:55" ht="24" customHeight="1" thickBot="1">
      <c r="A47" s="36"/>
      <c r="B47" s="36"/>
      <c r="C47" s="113"/>
      <c r="D47" s="99" t="s">
        <v>9</v>
      </c>
      <c r="E47" s="114"/>
      <c r="F47" s="295"/>
      <c r="G47" s="127"/>
      <c r="H47" s="137" t="s">
        <v>88</v>
      </c>
      <c r="I47" s="213">
        <f>SUM(I29:I46)</f>
        <v>0</v>
      </c>
      <c r="J47" s="99" t="s">
        <v>89</v>
      </c>
      <c r="K47" s="99"/>
      <c r="L47" s="129"/>
      <c r="N47"/>
      <c r="O47" s="306">
        <f t="shared" ref="O47:AH47" si="45">AJ47</f>
        <v>0</v>
      </c>
      <c r="P47" s="307">
        <f t="shared" si="45"/>
        <v>0</v>
      </c>
      <c r="Q47" s="308">
        <f t="shared" si="45"/>
        <v>0</v>
      </c>
      <c r="R47" s="308">
        <f t="shared" si="45"/>
        <v>0</v>
      </c>
      <c r="S47" s="308">
        <f t="shared" si="45"/>
        <v>0</v>
      </c>
      <c r="T47" s="308">
        <f t="shared" si="45"/>
        <v>0</v>
      </c>
      <c r="U47" s="308">
        <f t="shared" si="45"/>
        <v>0</v>
      </c>
      <c r="V47" s="309">
        <f t="shared" si="45"/>
        <v>0</v>
      </c>
      <c r="W47" s="309">
        <f t="shared" si="45"/>
        <v>0</v>
      </c>
      <c r="X47" s="309">
        <f t="shared" si="45"/>
        <v>0</v>
      </c>
      <c r="Y47" s="309">
        <f t="shared" si="45"/>
        <v>0</v>
      </c>
      <c r="Z47" s="309">
        <f t="shared" si="45"/>
        <v>0</v>
      </c>
      <c r="AA47" s="309">
        <f t="shared" si="45"/>
        <v>0</v>
      </c>
      <c r="AB47" s="405">
        <f t="shared" si="45"/>
        <v>0</v>
      </c>
      <c r="AC47" s="309">
        <f t="shared" si="45"/>
        <v>0</v>
      </c>
      <c r="AD47" s="306">
        <f t="shared" si="45"/>
        <v>0</v>
      </c>
      <c r="AE47" s="308">
        <f t="shared" si="45"/>
        <v>0</v>
      </c>
      <c r="AF47" s="309">
        <f t="shared" si="45"/>
        <v>0</v>
      </c>
      <c r="AG47" s="309">
        <f t="shared" si="45"/>
        <v>0</v>
      </c>
      <c r="AH47" s="309">
        <f t="shared" si="45"/>
        <v>0</v>
      </c>
      <c r="AI47" s="651"/>
      <c r="AJ47" s="212">
        <f t="shared" ref="AJ47:BB47" si="46">SUM(AJ29:AJ46)</f>
        <v>0</v>
      </c>
      <c r="AK47" s="212">
        <f t="shared" si="46"/>
        <v>0</v>
      </c>
      <c r="AL47" s="212">
        <f t="shared" si="46"/>
        <v>0</v>
      </c>
      <c r="AM47" s="212">
        <f t="shared" si="46"/>
        <v>0</v>
      </c>
      <c r="AN47" s="212">
        <f t="shared" si="46"/>
        <v>0</v>
      </c>
      <c r="AO47" s="212">
        <f t="shared" si="46"/>
        <v>0</v>
      </c>
      <c r="AP47" s="212">
        <f t="shared" si="46"/>
        <v>0</v>
      </c>
      <c r="AQ47" s="212">
        <f t="shared" si="46"/>
        <v>0</v>
      </c>
      <c r="AR47" s="212">
        <f t="shared" si="46"/>
        <v>0</v>
      </c>
      <c r="AS47" s="212">
        <f t="shared" si="46"/>
        <v>0</v>
      </c>
      <c r="AT47" s="212">
        <f t="shared" si="46"/>
        <v>0</v>
      </c>
      <c r="AU47" s="212">
        <f t="shared" si="46"/>
        <v>0</v>
      </c>
      <c r="AV47" s="212">
        <f t="shared" si="46"/>
        <v>0</v>
      </c>
      <c r="AW47" s="212">
        <f t="shared" si="46"/>
        <v>0</v>
      </c>
      <c r="AX47" s="212">
        <f t="shared" si="46"/>
        <v>0</v>
      </c>
      <c r="AY47" s="212">
        <f t="shared" si="46"/>
        <v>0</v>
      </c>
      <c r="AZ47" s="212">
        <f t="shared" si="46"/>
        <v>0</v>
      </c>
      <c r="BA47" s="212">
        <f t="shared" si="46"/>
        <v>0</v>
      </c>
      <c r="BB47" s="212">
        <f t="shared" si="46"/>
        <v>0</v>
      </c>
      <c r="BC47" s="212">
        <f>SUM(BC29:BC46)</f>
        <v>0</v>
      </c>
    </row>
    <row r="48" spans="1:55" ht="14.25" customHeight="1">
      <c r="E48" s="130" t="s">
        <v>106</v>
      </c>
      <c r="F48" s="131">
        <f>+F25+1</f>
        <v>2</v>
      </c>
      <c r="G48" s="132" t="s">
        <v>107</v>
      </c>
      <c r="H48" s="133">
        <f>+H25</f>
        <v>0</v>
      </c>
      <c r="I48" s="133"/>
      <c r="M48" s="31" t="str">
        <f>IF(A50="","EOL","")</f>
        <v>EOL</v>
      </c>
      <c r="N48" s="1">
        <f>+F48</f>
        <v>2</v>
      </c>
    </row>
  </sheetData>
  <mergeCells count="8">
    <mergeCell ref="O26:AH26"/>
    <mergeCell ref="O3:AH3"/>
    <mergeCell ref="C26:L26"/>
    <mergeCell ref="J27:L27"/>
    <mergeCell ref="J28:L28"/>
    <mergeCell ref="J5:L5"/>
    <mergeCell ref="C3:L3"/>
    <mergeCell ref="J4:L4"/>
  </mergeCells>
  <phoneticPr fontId="2"/>
  <printOptions horizontalCentered="1" verticalCentered="1"/>
  <pageMargins left="0.19685039370078741" right="0.19685039370078741" top="0.78740157480314965" bottom="0.19685039370078741" header="0.51181102362204722" footer="0.51181102362204722"/>
  <pageSetup paperSize="9" orientation="landscape" horizontalDpi="300" verticalDpi="300" r:id="rId1"/>
  <headerFooter alignWithMargins="0"/>
  <colBreaks count="1" manualBreakCount="1">
    <brk id="12" max="1048575"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2:AI94"/>
  <sheetViews>
    <sheetView zoomScale="75" zoomScaleNormal="75" workbookViewId="0">
      <pane xSplit="13" topLeftCell="N1" activePane="topRight" state="frozen"/>
      <selection pane="topRight"/>
    </sheetView>
  </sheetViews>
  <sheetFormatPr defaultColWidth="6.6328125" defaultRowHeight="26" customHeight="1"/>
  <cols>
    <col min="1" max="2" width="2.6328125" style="6" customWidth="1"/>
    <col min="3" max="3" width="8.6328125" style="1" customWidth="1"/>
    <col min="4" max="4" width="28.6328125" style="1" customWidth="1"/>
    <col min="5" max="5" width="25" style="2" customWidth="1"/>
    <col min="6" max="6" width="10.6328125" style="1" customWidth="1"/>
    <col min="7" max="7" width="7.6328125" style="3" customWidth="1"/>
    <col min="8" max="8" width="11.6328125" style="4" customWidth="1"/>
    <col min="9" max="9" width="15.6328125" style="4" customWidth="1"/>
    <col min="10" max="12" width="9.6328125" style="1" customWidth="1"/>
    <col min="13" max="13" width="3.36328125" style="1" customWidth="1"/>
    <col min="14" max="14" width="19.81640625" style="6" customWidth="1"/>
    <col min="15" max="16" width="5.1796875" style="37" customWidth="1"/>
    <col min="17" max="34" width="5.1796875" style="1" customWidth="1"/>
    <col min="35" max="35" width="11.6328125" style="695" customWidth="1"/>
    <col min="36" max="16384" width="6.6328125" style="1"/>
  </cols>
  <sheetData>
    <row r="2" spans="1:35" ht="26" customHeight="1">
      <c r="C2" s="35">
        <v>2</v>
      </c>
      <c r="E2" s="34" t="s">
        <v>68</v>
      </c>
      <c r="F2" s="37">
        <f>工事1!J2</f>
        <v>11</v>
      </c>
      <c r="G2" s="1" t="s">
        <v>224</v>
      </c>
      <c r="H2" s="4">
        <f>表紙!H25</f>
        <v>6</v>
      </c>
      <c r="I2" s="4" t="s">
        <v>74</v>
      </c>
      <c r="J2" s="37">
        <f>VLOOKUP("EOL",$M$25:$N$65536,2,FALSE)</f>
        <v>14</v>
      </c>
    </row>
    <row r="3" spans="1:35" ht="26" customHeight="1" thickBot="1">
      <c r="C3" s="938" t="s">
        <v>369</v>
      </c>
      <c r="D3" s="938"/>
      <c r="E3" s="938"/>
      <c r="F3" s="938"/>
      <c r="G3" s="938"/>
      <c r="H3" s="938"/>
      <c r="I3" s="938"/>
      <c r="J3" s="938"/>
      <c r="K3" s="938"/>
      <c r="L3" s="938"/>
      <c r="O3" s="1039" t="s">
        <v>154</v>
      </c>
      <c r="P3" s="1039"/>
      <c r="Q3" s="1039"/>
      <c r="R3" s="1039"/>
      <c r="S3" s="1039"/>
      <c r="T3" s="1039"/>
      <c r="U3" s="1039"/>
      <c r="V3" s="1039"/>
      <c r="W3" s="1039"/>
      <c r="X3" s="1039"/>
      <c r="Y3" s="1039"/>
      <c r="Z3" s="1039"/>
      <c r="AA3" s="1039"/>
      <c r="AB3" s="1039"/>
      <c r="AC3" s="1039"/>
      <c r="AD3" s="1039"/>
      <c r="AE3" s="1039"/>
      <c r="AF3" s="1039"/>
      <c r="AG3" s="1039"/>
      <c r="AH3" s="1040"/>
      <c r="AI3" s="696"/>
    </row>
    <row r="4" spans="1:35" ht="42" customHeight="1">
      <c r="A4" s="5" t="s">
        <v>11</v>
      </c>
      <c r="B4" s="5" t="s">
        <v>10</v>
      </c>
      <c r="C4" s="120" t="s">
        <v>0</v>
      </c>
      <c r="D4" s="116"/>
      <c r="E4" s="117" t="s">
        <v>1</v>
      </c>
      <c r="F4" s="118" t="s">
        <v>2</v>
      </c>
      <c r="G4" s="118" t="s">
        <v>3</v>
      </c>
      <c r="H4" s="119" t="s">
        <v>4</v>
      </c>
      <c r="I4" s="119" t="s">
        <v>5</v>
      </c>
      <c r="J4" s="968" t="s">
        <v>6</v>
      </c>
      <c r="K4" s="969"/>
      <c r="L4" s="970"/>
      <c r="O4" s="165" t="s">
        <v>85</v>
      </c>
      <c r="P4" s="364" t="s">
        <v>288</v>
      </c>
      <c r="Q4" s="296" t="s">
        <v>305</v>
      </c>
      <c r="R4" s="296" t="s">
        <v>249</v>
      </c>
      <c r="S4" s="296" t="s">
        <v>250</v>
      </c>
      <c r="T4" s="296" t="s">
        <v>265</v>
      </c>
      <c r="U4" s="296" t="s">
        <v>148</v>
      </c>
      <c r="V4" s="164" t="s">
        <v>147</v>
      </c>
      <c r="W4" s="296" t="s">
        <v>251</v>
      </c>
      <c r="X4" s="229" t="s">
        <v>252</v>
      </c>
      <c r="Y4" s="229" t="s">
        <v>253</v>
      </c>
      <c r="Z4" s="229" t="s">
        <v>254</v>
      </c>
      <c r="AA4" s="229" t="s">
        <v>255</v>
      </c>
      <c r="AB4" s="229" t="s">
        <v>300</v>
      </c>
      <c r="AC4" s="367" t="s">
        <v>309</v>
      </c>
      <c r="AD4" s="368" t="s">
        <v>310</v>
      </c>
      <c r="AE4" s="369" t="s">
        <v>150</v>
      </c>
      <c r="AF4" s="163" t="s">
        <v>153</v>
      </c>
      <c r="AG4" s="163" t="s">
        <v>151</v>
      </c>
      <c r="AH4" s="163" t="s">
        <v>152</v>
      </c>
      <c r="AI4" s="697"/>
    </row>
    <row r="5" spans="1:35" ht="24" customHeight="1">
      <c r="A5" s="7"/>
      <c r="B5" s="7"/>
      <c r="C5" s="121">
        <f>+C2</f>
        <v>2</v>
      </c>
      <c r="D5" s="122"/>
      <c r="E5" s="106"/>
      <c r="F5" s="293"/>
      <c r="G5" s="123"/>
      <c r="H5" s="87" t="s">
        <v>12</v>
      </c>
      <c r="I5" s="87" t="s">
        <v>12</v>
      </c>
      <c r="J5" s="1036"/>
      <c r="K5" s="1037"/>
      <c r="L5" s="1038"/>
      <c r="O5" s="236"/>
      <c r="P5" s="237"/>
      <c r="Q5" s="238"/>
      <c r="R5" s="238"/>
      <c r="S5" s="238"/>
      <c r="T5" s="238"/>
      <c r="U5" s="238"/>
      <c r="V5" s="238"/>
      <c r="W5" s="238"/>
      <c r="X5" s="239"/>
      <c r="Y5" s="239"/>
      <c r="Z5" s="239"/>
      <c r="AA5" s="239"/>
      <c r="AB5" s="239"/>
      <c r="AC5" s="238"/>
      <c r="AD5" s="370"/>
      <c r="AE5" s="371"/>
      <c r="AF5" s="238"/>
      <c r="AG5" s="238"/>
      <c r="AH5" s="238"/>
      <c r="AI5" s="698"/>
    </row>
    <row r="6" spans="1:35" s="37" customFormat="1" ht="24" customHeight="1">
      <c r="A6" s="36"/>
      <c r="B6" s="36"/>
      <c r="C6" s="197" t="s">
        <v>176</v>
      </c>
      <c r="D6" s="68"/>
      <c r="E6" s="109"/>
      <c r="F6" s="294"/>
      <c r="G6" s="125"/>
      <c r="H6" s="111"/>
      <c r="I6" s="111"/>
      <c r="J6" s="68"/>
      <c r="K6" s="68"/>
      <c r="L6" s="69"/>
      <c r="N6" s="693"/>
      <c r="O6" s="236"/>
      <c r="P6" s="237"/>
      <c r="Q6" s="238"/>
      <c r="R6" s="238"/>
      <c r="S6" s="238"/>
      <c r="T6" s="238"/>
      <c r="U6" s="238"/>
      <c r="V6" s="238"/>
      <c r="W6" s="238"/>
      <c r="X6" s="239"/>
      <c r="Y6" s="239"/>
      <c r="Z6" s="239"/>
      <c r="AA6" s="239"/>
      <c r="AB6" s="239"/>
      <c r="AC6" s="238"/>
      <c r="AD6" s="370"/>
      <c r="AE6" s="371"/>
      <c r="AF6" s="238"/>
      <c r="AG6" s="238"/>
      <c r="AH6" s="238"/>
      <c r="AI6" s="698"/>
    </row>
    <row r="7" spans="1:35" s="37" customFormat="1" ht="24" customHeight="1">
      <c r="A7" s="36"/>
      <c r="B7" s="36"/>
      <c r="C7" s="112"/>
      <c r="D7" s="68"/>
      <c r="E7" s="109"/>
      <c r="F7" s="294"/>
      <c r="G7" s="125"/>
      <c r="H7" s="111"/>
      <c r="I7" s="111"/>
      <c r="J7" s="68"/>
      <c r="K7" s="68"/>
      <c r="L7" s="69"/>
      <c r="N7" s="693"/>
      <c r="O7" s="236"/>
      <c r="P7" s="237"/>
      <c r="Q7" s="238"/>
      <c r="R7" s="238"/>
      <c r="S7" s="238"/>
      <c r="T7" s="238"/>
      <c r="U7" s="238"/>
      <c r="V7" s="238"/>
      <c r="W7" s="238"/>
      <c r="X7" s="239"/>
      <c r="Y7" s="239"/>
      <c r="Z7" s="239"/>
      <c r="AA7" s="239"/>
      <c r="AB7" s="239"/>
      <c r="AC7" s="238"/>
      <c r="AD7" s="370"/>
      <c r="AE7" s="371"/>
      <c r="AF7" s="238"/>
      <c r="AG7" s="238"/>
      <c r="AH7" s="238"/>
      <c r="AI7" s="698"/>
    </row>
    <row r="8" spans="1:35" s="37" customFormat="1" ht="24" customHeight="1">
      <c r="A8" s="36"/>
      <c r="B8" s="36"/>
      <c r="C8" s="112"/>
      <c r="D8" s="68"/>
      <c r="E8" s="109"/>
      <c r="F8" s="294"/>
      <c r="G8" s="125"/>
      <c r="H8" s="111"/>
      <c r="I8" s="111"/>
      <c r="J8" s="68"/>
      <c r="K8" s="68"/>
      <c r="L8" s="69"/>
      <c r="N8" s="693"/>
      <c r="O8" s="236"/>
      <c r="P8" s="237"/>
      <c r="Q8" s="238"/>
      <c r="R8" s="238"/>
      <c r="S8" s="238"/>
      <c r="T8" s="238"/>
      <c r="U8" s="238"/>
      <c r="V8" s="238"/>
      <c r="W8" s="238"/>
      <c r="X8" s="239"/>
      <c r="Y8" s="239"/>
      <c r="Z8" s="239"/>
      <c r="AA8" s="239"/>
      <c r="AB8" s="239"/>
      <c r="AC8" s="238"/>
      <c r="AD8" s="370"/>
      <c r="AE8" s="371"/>
      <c r="AF8" s="238"/>
      <c r="AG8" s="238"/>
      <c r="AH8" s="238"/>
      <c r="AI8" s="698"/>
    </row>
    <row r="9" spans="1:35" s="37" customFormat="1" ht="24" customHeight="1">
      <c r="A9" s="36"/>
      <c r="B9" s="36"/>
      <c r="C9" s="112"/>
      <c r="D9" s="68"/>
      <c r="E9" s="109"/>
      <c r="F9" s="294"/>
      <c r="G9" s="125"/>
      <c r="H9" s="111"/>
      <c r="I9" s="111"/>
      <c r="J9" s="68"/>
      <c r="K9" s="68"/>
      <c r="L9" s="69"/>
      <c r="N9" s="693"/>
      <c r="O9" s="236"/>
      <c r="P9" s="237"/>
      <c r="Q9" s="238"/>
      <c r="R9" s="238"/>
      <c r="S9" s="238"/>
      <c r="T9" s="238"/>
      <c r="U9" s="238"/>
      <c r="V9" s="238"/>
      <c r="W9" s="238"/>
      <c r="X9" s="239"/>
      <c r="Y9" s="239"/>
      <c r="Z9" s="239"/>
      <c r="AA9" s="239"/>
      <c r="AB9" s="239"/>
      <c r="AC9" s="238"/>
      <c r="AD9" s="370"/>
      <c r="AE9" s="371"/>
      <c r="AF9" s="238"/>
      <c r="AG9" s="238"/>
      <c r="AH9" s="238"/>
      <c r="AI9" s="698"/>
    </row>
    <row r="10" spans="1:35" s="37" customFormat="1" ht="24" customHeight="1">
      <c r="A10" s="36"/>
      <c r="B10" s="36"/>
      <c r="C10" s="112"/>
      <c r="D10" s="68"/>
      <c r="E10" s="109"/>
      <c r="F10" s="294"/>
      <c r="G10" s="125"/>
      <c r="H10" s="111"/>
      <c r="I10" s="111"/>
      <c r="J10" s="68"/>
      <c r="K10" s="68"/>
      <c r="L10" s="69"/>
      <c r="N10" s="693"/>
      <c r="O10" s="236"/>
      <c r="P10" s="237"/>
      <c r="Q10" s="238"/>
      <c r="R10" s="238"/>
      <c r="S10" s="238"/>
      <c r="T10" s="238"/>
      <c r="U10" s="238"/>
      <c r="V10" s="238"/>
      <c r="W10" s="238"/>
      <c r="X10" s="239"/>
      <c r="Y10" s="239"/>
      <c r="Z10" s="239"/>
      <c r="AA10" s="239"/>
      <c r="AB10" s="239"/>
      <c r="AC10" s="238"/>
      <c r="AD10" s="370"/>
      <c r="AE10" s="371"/>
      <c r="AF10" s="238"/>
      <c r="AG10" s="238"/>
      <c r="AH10" s="238"/>
      <c r="AI10" s="698"/>
    </row>
    <row r="11" spans="1:35" s="37" customFormat="1" ht="24" customHeight="1">
      <c r="A11" s="36"/>
      <c r="B11" s="36"/>
      <c r="C11" s="112"/>
      <c r="D11" s="68"/>
      <c r="E11" s="109"/>
      <c r="F11" s="294"/>
      <c r="G11" s="125"/>
      <c r="H11" s="111"/>
      <c r="I11" s="111"/>
      <c r="J11" s="68"/>
      <c r="K11" s="68"/>
      <c r="L11" s="69"/>
      <c r="N11" s="693"/>
      <c r="O11" s="236"/>
      <c r="P11" s="237"/>
      <c r="Q11" s="238"/>
      <c r="R11" s="238"/>
      <c r="S11" s="238"/>
      <c r="T11" s="238"/>
      <c r="U11" s="238"/>
      <c r="V11" s="238"/>
      <c r="W11" s="238"/>
      <c r="X11" s="239"/>
      <c r="Y11" s="239"/>
      <c r="Z11" s="239"/>
      <c r="AA11" s="239"/>
      <c r="AB11" s="239"/>
      <c r="AC11" s="238"/>
      <c r="AD11" s="370"/>
      <c r="AE11" s="371"/>
      <c r="AF11" s="238"/>
      <c r="AG11" s="238"/>
      <c r="AH11" s="238"/>
      <c r="AI11" s="698"/>
    </row>
    <row r="12" spans="1:35" s="37" customFormat="1" ht="24" customHeight="1">
      <c r="A12" s="36"/>
      <c r="B12" s="36"/>
      <c r="C12" s="112"/>
      <c r="D12" s="68"/>
      <c r="E12" s="109"/>
      <c r="F12" s="294"/>
      <c r="G12" s="125"/>
      <c r="H12" s="111"/>
      <c r="I12" s="111"/>
      <c r="J12" s="68"/>
      <c r="K12" s="68"/>
      <c r="L12" s="69"/>
      <c r="N12" s="693"/>
      <c r="O12" s="236"/>
      <c r="P12" s="237"/>
      <c r="Q12" s="238"/>
      <c r="R12" s="238"/>
      <c r="S12" s="238"/>
      <c r="T12" s="238"/>
      <c r="U12" s="238"/>
      <c r="V12" s="238"/>
      <c r="W12" s="238"/>
      <c r="X12" s="239"/>
      <c r="Y12" s="239"/>
      <c r="Z12" s="239"/>
      <c r="AA12" s="239"/>
      <c r="AB12" s="239"/>
      <c r="AC12" s="238"/>
      <c r="AD12" s="370"/>
      <c r="AE12" s="371"/>
      <c r="AF12" s="238"/>
      <c r="AG12" s="238"/>
      <c r="AH12" s="238"/>
      <c r="AI12" s="698"/>
    </row>
    <row r="13" spans="1:35" s="37" customFormat="1" ht="24" customHeight="1">
      <c r="A13" s="36"/>
      <c r="B13" s="36"/>
      <c r="C13" s="112"/>
      <c r="D13" s="68"/>
      <c r="E13" s="109"/>
      <c r="F13" s="294"/>
      <c r="G13" s="125"/>
      <c r="H13" s="111"/>
      <c r="I13" s="111"/>
      <c r="J13" s="68"/>
      <c r="K13" s="68"/>
      <c r="L13" s="69"/>
      <c r="N13" s="693"/>
      <c r="O13" s="236"/>
      <c r="P13" s="237"/>
      <c r="Q13" s="238"/>
      <c r="R13" s="238"/>
      <c r="S13" s="238"/>
      <c r="T13" s="238"/>
      <c r="U13" s="238"/>
      <c r="V13" s="238"/>
      <c r="W13" s="238"/>
      <c r="X13" s="239"/>
      <c r="Y13" s="239"/>
      <c r="Z13" s="239"/>
      <c r="AA13" s="239"/>
      <c r="AB13" s="239"/>
      <c r="AC13" s="238"/>
      <c r="AD13" s="370"/>
      <c r="AE13" s="371"/>
      <c r="AF13" s="238"/>
      <c r="AG13" s="238"/>
      <c r="AH13" s="238"/>
      <c r="AI13" s="698"/>
    </row>
    <row r="14" spans="1:35" s="37" customFormat="1" ht="24" customHeight="1">
      <c r="A14" s="36"/>
      <c r="B14" s="36"/>
      <c r="C14" s="112"/>
      <c r="D14" s="68"/>
      <c r="E14" s="109"/>
      <c r="F14" s="294"/>
      <c r="G14" s="125"/>
      <c r="H14" s="111"/>
      <c r="I14" s="111"/>
      <c r="J14" s="68"/>
      <c r="K14" s="68"/>
      <c r="L14" s="69"/>
      <c r="N14" s="693"/>
      <c r="O14" s="236"/>
      <c r="P14" s="237"/>
      <c r="Q14" s="238"/>
      <c r="R14" s="238"/>
      <c r="S14" s="238"/>
      <c r="T14" s="238"/>
      <c r="U14" s="238"/>
      <c r="V14" s="238"/>
      <c r="W14" s="238"/>
      <c r="X14" s="239"/>
      <c r="Y14" s="239"/>
      <c r="Z14" s="239"/>
      <c r="AA14" s="239"/>
      <c r="AB14" s="239"/>
      <c r="AC14" s="238"/>
      <c r="AD14" s="370"/>
      <c r="AE14" s="371"/>
      <c r="AF14" s="238"/>
      <c r="AG14" s="238"/>
      <c r="AH14" s="238"/>
      <c r="AI14" s="698"/>
    </row>
    <row r="15" spans="1:35" s="37" customFormat="1" ht="24" customHeight="1">
      <c r="A15" s="36"/>
      <c r="B15" s="36"/>
      <c r="C15" s="112"/>
      <c r="D15" s="68"/>
      <c r="E15" s="109"/>
      <c r="F15" s="294"/>
      <c r="G15" s="125"/>
      <c r="H15" s="111"/>
      <c r="I15" s="111"/>
      <c r="J15" s="68"/>
      <c r="K15" s="68"/>
      <c r="L15" s="69"/>
      <c r="N15" s="693"/>
      <c r="O15" s="236"/>
      <c r="P15" s="237"/>
      <c r="Q15" s="238"/>
      <c r="R15" s="238"/>
      <c r="S15" s="238"/>
      <c r="T15" s="238"/>
      <c r="U15" s="238"/>
      <c r="V15" s="238"/>
      <c r="W15" s="238"/>
      <c r="X15" s="239"/>
      <c r="Y15" s="239"/>
      <c r="Z15" s="239"/>
      <c r="AA15" s="239"/>
      <c r="AB15" s="239"/>
      <c r="AC15" s="238"/>
      <c r="AD15" s="370"/>
      <c r="AE15" s="371"/>
      <c r="AF15" s="238"/>
      <c r="AG15" s="238"/>
      <c r="AH15" s="238"/>
      <c r="AI15" s="698"/>
    </row>
    <row r="16" spans="1:35" s="37" customFormat="1" ht="24" customHeight="1">
      <c r="A16" s="36"/>
      <c r="B16" s="36"/>
      <c r="C16" s="112"/>
      <c r="D16" s="68" t="s">
        <v>65</v>
      </c>
      <c r="E16" s="109"/>
      <c r="F16" s="294"/>
      <c r="G16" s="125"/>
      <c r="H16" s="111"/>
      <c r="I16" s="111">
        <f>SUM(I7:I15)</f>
        <v>0</v>
      </c>
      <c r="J16" s="766" t="str">
        <f>IF(COUNTIF(N:N,"費用")=0,"","うち費用")</f>
        <v/>
      </c>
      <c r="K16" s="767" t="str">
        <f>IF(COUNTIF(N:N,"費用")=0,"",SUMIF(N:N,"費用",I:I))</f>
        <v/>
      </c>
      <c r="L16" s="69"/>
      <c r="N16" s="693"/>
      <c r="O16" s="236"/>
      <c r="P16" s="237"/>
      <c r="Q16" s="238"/>
      <c r="R16" s="238"/>
      <c r="S16" s="238"/>
      <c r="T16" s="238"/>
      <c r="U16" s="238"/>
      <c r="V16" s="238"/>
      <c r="W16" s="238"/>
      <c r="X16" s="239"/>
      <c r="Y16" s="239"/>
      <c r="Z16" s="239"/>
      <c r="AA16" s="239"/>
      <c r="AB16" s="239"/>
      <c r="AC16" s="238"/>
      <c r="AD16" s="370"/>
      <c r="AE16" s="371"/>
      <c r="AF16" s="238"/>
      <c r="AG16" s="238"/>
      <c r="AH16" s="238"/>
      <c r="AI16" s="698"/>
    </row>
    <row r="17" spans="1:35" s="37" customFormat="1" ht="24" customHeight="1">
      <c r="A17" s="36"/>
      <c r="B17" s="36"/>
      <c r="C17" s="112"/>
      <c r="D17" s="126"/>
      <c r="E17" s="109"/>
      <c r="F17" s="294"/>
      <c r="G17" s="125"/>
      <c r="H17" s="111"/>
      <c r="I17" s="111"/>
      <c r="J17" s="68"/>
      <c r="K17" s="68"/>
      <c r="L17" s="69"/>
      <c r="N17" s="693"/>
      <c r="O17" s="236"/>
      <c r="P17" s="237"/>
      <c r="Q17" s="238"/>
      <c r="R17" s="238"/>
      <c r="S17" s="238"/>
      <c r="T17" s="238"/>
      <c r="U17" s="238"/>
      <c r="V17" s="238"/>
      <c r="W17" s="238"/>
      <c r="X17" s="239"/>
      <c r="Y17" s="239"/>
      <c r="Z17" s="239"/>
      <c r="AA17" s="239"/>
      <c r="AB17" s="239"/>
      <c r="AC17" s="238"/>
      <c r="AD17" s="370"/>
      <c r="AE17" s="371"/>
      <c r="AF17" s="238"/>
      <c r="AG17" s="238"/>
      <c r="AH17" s="238"/>
      <c r="AI17" s="698"/>
    </row>
    <row r="18" spans="1:35" s="37" customFormat="1" ht="24" customHeight="1">
      <c r="A18" s="36"/>
      <c r="B18" s="36"/>
      <c r="C18" s="197" t="s">
        <v>177</v>
      </c>
      <c r="D18" s="68"/>
      <c r="E18" s="109"/>
      <c r="F18" s="294"/>
      <c r="G18" s="125"/>
      <c r="H18" s="111"/>
      <c r="I18" s="111"/>
      <c r="J18" s="68"/>
      <c r="K18" s="68"/>
      <c r="L18" s="69"/>
      <c r="N18" s="693"/>
      <c r="O18" s="236"/>
      <c r="P18" s="237"/>
      <c r="Q18" s="238"/>
      <c r="R18" s="238"/>
      <c r="S18" s="238"/>
      <c r="T18" s="238"/>
      <c r="U18" s="238"/>
      <c r="V18" s="238"/>
      <c r="W18" s="238"/>
      <c r="X18" s="239"/>
      <c r="Y18" s="239"/>
      <c r="Z18" s="239"/>
      <c r="AA18" s="239"/>
      <c r="AB18" s="239"/>
      <c r="AC18" s="238"/>
      <c r="AD18" s="370"/>
      <c r="AE18" s="371"/>
      <c r="AF18" s="238"/>
      <c r="AG18" s="238"/>
      <c r="AH18" s="238"/>
      <c r="AI18" s="698"/>
    </row>
    <row r="19" spans="1:35" s="37" customFormat="1" ht="24" customHeight="1">
      <c r="A19" s="36"/>
      <c r="B19" s="36"/>
      <c r="C19" s="112"/>
      <c r="D19" s="68" t="s">
        <v>181</v>
      </c>
      <c r="E19" s="109"/>
      <c r="F19" s="294">
        <v>1</v>
      </c>
      <c r="G19" s="125" t="s">
        <v>7</v>
      </c>
      <c r="H19" s="111"/>
      <c r="I19" s="111">
        <v>200000</v>
      </c>
      <c r="J19" s="68"/>
      <c r="K19" s="68"/>
      <c r="L19" s="69"/>
      <c r="N19" s="693"/>
      <c r="O19" s="236"/>
      <c r="P19" s="237"/>
      <c r="Q19" s="238"/>
      <c r="R19" s="238"/>
      <c r="S19" s="238"/>
      <c r="T19" s="238"/>
      <c r="U19" s="238"/>
      <c r="V19" s="238"/>
      <c r="W19" s="238"/>
      <c r="X19" s="239"/>
      <c r="Y19" s="239"/>
      <c r="Z19" s="239"/>
      <c r="AA19" s="239"/>
      <c r="AB19" s="239"/>
      <c r="AC19" s="238"/>
      <c r="AD19" s="370"/>
      <c r="AE19" s="371"/>
      <c r="AF19" s="238"/>
      <c r="AG19" s="238"/>
      <c r="AH19" s="238"/>
      <c r="AI19" s="698"/>
    </row>
    <row r="20" spans="1:35" s="37" customFormat="1" ht="24" customHeight="1">
      <c r="A20" s="36"/>
      <c r="B20" s="36"/>
      <c r="C20" s="112"/>
      <c r="D20" s="68" t="s">
        <v>178</v>
      </c>
      <c r="E20" s="109"/>
      <c r="F20" s="294">
        <v>1</v>
      </c>
      <c r="G20" s="125" t="s">
        <v>7</v>
      </c>
      <c r="H20" s="111"/>
      <c r="I20" s="111"/>
      <c r="J20" s="198"/>
      <c r="K20" s="68"/>
      <c r="L20" s="69"/>
      <c r="N20" s="693"/>
      <c r="O20" s="236"/>
      <c r="P20" s="237"/>
      <c r="Q20" s="238"/>
      <c r="R20" s="238"/>
      <c r="S20" s="238"/>
      <c r="T20" s="238"/>
      <c r="U20" s="238"/>
      <c r="V20" s="238"/>
      <c r="W20" s="238"/>
      <c r="X20" s="239"/>
      <c r="Y20" s="239"/>
      <c r="Z20" s="239"/>
      <c r="AA20" s="239"/>
      <c r="AB20" s="239"/>
      <c r="AC20" s="238"/>
      <c r="AD20" s="370"/>
      <c r="AE20" s="371"/>
      <c r="AF20" s="238"/>
      <c r="AG20" s="238"/>
      <c r="AH20" s="238"/>
      <c r="AI20" s="698"/>
    </row>
    <row r="21" spans="1:35" s="37" customFormat="1" ht="24" customHeight="1">
      <c r="A21" s="36"/>
      <c r="B21" s="36"/>
      <c r="C21" s="112"/>
      <c r="D21" s="68"/>
      <c r="E21" s="109"/>
      <c r="F21" s="294"/>
      <c r="G21" s="125"/>
      <c r="H21" s="111"/>
      <c r="I21" s="111"/>
      <c r="J21" s="68"/>
      <c r="K21" s="68"/>
      <c r="L21" s="69"/>
      <c r="N21" s="693"/>
      <c r="O21" s="236"/>
      <c r="P21" s="237"/>
      <c r="Q21" s="238"/>
      <c r="R21" s="238"/>
      <c r="S21" s="238"/>
      <c r="T21" s="238"/>
      <c r="U21" s="238"/>
      <c r="V21" s="238"/>
      <c r="W21" s="238"/>
      <c r="X21" s="239"/>
      <c r="Y21" s="239"/>
      <c r="Z21" s="239"/>
      <c r="AA21" s="239"/>
      <c r="AB21" s="239"/>
      <c r="AC21" s="238"/>
      <c r="AD21" s="370"/>
      <c r="AE21" s="371"/>
      <c r="AF21" s="238"/>
      <c r="AG21" s="238"/>
      <c r="AH21" s="238"/>
      <c r="AI21" s="698"/>
    </row>
    <row r="22" spans="1:35" s="37" customFormat="1" ht="24" customHeight="1">
      <c r="A22" s="36"/>
      <c r="B22" s="36"/>
      <c r="C22" s="112"/>
      <c r="D22" s="68" t="s">
        <v>65</v>
      </c>
      <c r="E22" s="109"/>
      <c r="F22" s="294"/>
      <c r="G22" s="125"/>
      <c r="H22" s="111"/>
      <c r="I22" s="111">
        <f>+I19+I20</f>
        <v>200000</v>
      </c>
      <c r="J22" s="68"/>
      <c r="K22" s="68"/>
      <c r="L22" s="69"/>
      <c r="N22" s="693"/>
      <c r="O22" s="236"/>
      <c r="P22" s="237"/>
      <c r="Q22" s="238"/>
      <c r="R22" s="238"/>
      <c r="S22" s="238"/>
      <c r="T22" s="238"/>
      <c r="U22" s="238"/>
      <c r="V22" s="238"/>
      <c r="W22" s="238"/>
      <c r="X22" s="239"/>
      <c r="Y22" s="239"/>
      <c r="Z22" s="239"/>
      <c r="AA22" s="239"/>
      <c r="AB22" s="239"/>
      <c r="AC22" s="238"/>
      <c r="AD22" s="370"/>
      <c r="AE22" s="371"/>
      <c r="AF22" s="238"/>
      <c r="AG22" s="238"/>
      <c r="AH22" s="238"/>
      <c r="AI22" s="698"/>
    </row>
    <row r="23" spans="1:35" s="37" customFormat="1" ht="24" customHeight="1">
      <c r="A23" s="36"/>
      <c r="B23" s="36"/>
      <c r="C23" s="112"/>
      <c r="D23" s="68"/>
      <c r="E23" s="109"/>
      <c r="F23" s="294"/>
      <c r="G23" s="125"/>
      <c r="H23" s="111"/>
      <c r="I23" s="111"/>
      <c r="J23" s="68"/>
      <c r="K23" s="68"/>
      <c r="L23" s="69"/>
      <c r="N23" s="693"/>
      <c r="O23" s="236"/>
      <c r="P23" s="237"/>
      <c r="Q23" s="238"/>
      <c r="R23" s="238"/>
      <c r="S23" s="238"/>
      <c r="T23" s="238"/>
      <c r="U23" s="238"/>
      <c r="V23" s="238"/>
      <c r="W23" s="238"/>
      <c r="X23" s="239"/>
      <c r="Y23" s="239"/>
      <c r="Z23" s="239"/>
      <c r="AA23" s="239"/>
      <c r="AB23" s="239"/>
      <c r="AC23" s="238"/>
      <c r="AD23" s="370"/>
      <c r="AE23" s="371"/>
      <c r="AF23" s="238"/>
      <c r="AG23" s="238"/>
      <c r="AH23" s="238"/>
      <c r="AI23" s="698"/>
    </row>
    <row r="24" spans="1:35" ht="24" customHeight="1" thickBot="1">
      <c r="A24" s="36"/>
      <c r="B24" s="36"/>
      <c r="C24" s="113"/>
      <c r="D24" s="99" t="s">
        <v>61</v>
      </c>
      <c r="E24" s="114"/>
      <c r="F24" s="295"/>
      <c r="G24" s="127"/>
      <c r="H24" s="128" t="s">
        <v>88</v>
      </c>
      <c r="I24" s="115">
        <f>+I22+I16</f>
        <v>200000</v>
      </c>
      <c r="J24" s="99" t="s">
        <v>89</v>
      </c>
      <c r="K24" s="99"/>
      <c r="L24" s="129"/>
      <c r="O24" s="236"/>
      <c r="P24" s="237"/>
      <c r="Q24" s="238"/>
      <c r="R24" s="238"/>
      <c r="S24" s="238"/>
      <c r="T24" s="238"/>
      <c r="U24" s="238"/>
      <c r="V24" s="238"/>
      <c r="W24" s="238"/>
      <c r="X24" s="239"/>
      <c r="Y24" s="239"/>
      <c r="Z24" s="239"/>
      <c r="AA24" s="239"/>
      <c r="AB24" s="239"/>
      <c r="AC24" s="238"/>
      <c r="AD24" s="370"/>
      <c r="AE24" s="371"/>
      <c r="AF24" s="238"/>
      <c r="AG24" s="238"/>
      <c r="AH24" s="238"/>
      <c r="AI24" s="698"/>
    </row>
    <row r="25" spans="1:35" ht="14.25" customHeight="1">
      <c r="E25" s="130" t="s">
        <v>106</v>
      </c>
      <c r="F25" s="131">
        <f>+F2+1</f>
        <v>12</v>
      </c>
      <c r="G25" s="132" t="s">
        <v>67</v>
      </c>
      <c r="H25" s="133">
        <f>H2</f>
        <v>6</v>
      </c>
      <c r="M25" s="38" t="str">
        <f>IF(A27="","EOL","")</f>
        <v/>
      </c>
      <c r="N25" s="6">
        <f>+F25</f>
        <v>12</v>
      </c>
    </row>
    <row r="26" spans="1:35" ht="26" customHeight="1" thickBot="1">
      <c r="C26" s="938" t="s">
        <v>369</v>
      </c>
      <c r="D26" s="938"/>
      <c r="E26" s="938"/>
      <c r="F26" s="938"/>
      <c r="G26" s="938"/>
      <c r="H26" s="938"/>
      <c r="I26" s="938"/>
      <c r="J26" s="938"/>
      <c r="K26" s="938"/>
      <c r="L26" s="938"/>
      <c r="O26" s="1039" t="s">
        <v>154</v>
      </c>
      <c r="P26" s="1039"/>
      <c r="Q26" s="1039"/>
      <c r="R26" s="1039"/>
      <c r="S26" s="1039"/>
      <c r="T26" s="1039"/>
      <c r="U26" s="1039"/>
      <c r="V26" s="1039"/>
      <c r="W26" s="1039"/>
      <c r="X26" s="1039"/>
      <c r="Y26" s="1039"/>
      <c r="Z26" s="1039"/>
      <c r="AA26" s="1039"/>
      <c r="AB26" s="1039"/>
      <c r="AC26" s="1039"/>
      <c r="AD26" s="1039"/>
      <c r="AE26" s="1039"/>
      <c r="AF26" s="1039"/>
      <c r="AG26" s="1039"/>
      <c r="AH26" s="1040"/>
      <c r="AI26" s="696"/>
    </row>
    <row r="27" spans="1:35" ht="42" customHeight="1">
      <c r="A27" s="5" t="s">
        <v>11</v>
      </c>
      <c r="B27" s="5" t="s">
        <v>10</v>
      </c>
      <c r="C27" s="120" t="s">
        <v>0</v>
      </c>
      <c r="D27" s="116"/>
      <c r="E27" s="117" t="s">
        <v>1</v>
      </c>
      <c r="F27" s="118" t="s">
        <v>2</v>
      </c>
      <c r="G27" s="118" t="s">
        <v>3</v>
      </c>
      <c r="H27" s="119" t="s">
        <v>4</v>
      </c>
      <c r="I27" s="119" t="s">
        <v>5</v>
      </c>
      <c r="J27" s="968" t="s">
        <v>6</v>
      </c>
      <c r="K27" s="969"/>
      <c r="L27" s="970"/>
      <c r="O27" s="165" t="s">
        <v>85</v>
      </c>
      <c r="P27" s="364" t="s">
        <v>288</v>
      </c>
      <c r="Q27" s="296" t="s">
        <v>305</v>
      </c>
      <c r="R27" s="296" t="s">
        <v>249</v>
      </c>
      <c r="S27" s="296" t="s">
        <v>250</v>
      </c>
      <c r="T27" s="296" t="s">
        <v>265</v>
      </c>
      <c r="U27" s="296" t="s">
        <v>148</v>
      </c>
      <c r="V27" s="164" t="s">
        <v>147</v>
      </c>
      <c r="W27" s="296" t="s">
        <v>251</v>
      </c>
      <c r="X27" s="229" t="s">
        <v>252</v>
      </c>
      <c r="Y27" s="229" t="s">
        <v>253</v>
      </c>
      <c r="Z27" s="229" t="s">
        <v>254</v>
      </c>
      <c r="AA27" s="229" t="s">
        <v>255</v>
      </c>
      <c r="AB27" s="229" t="s">
        <v>300</v>
      </c>
      <c r="AC27" s="367" t="s">
        <v>309</v>
      </c>
      <c r="AD27" s="368" t="s">
        <v>310</v>
      </c>
      <c r="AE27" s="369" t="s">
        <v>150</v>
      </c>
      <c r="AF27" s="163" t="s">
        <v>153</v>
      </c>
      <c r="AG27" s="163" t="s">
        <v>151</v>
      </c>
      <c r="AH27" s="163" t="s">
        <v>152</v>
      </c>
      <c r="AI27" s="697"/>
    </row>
    <row r="28" spans="1:35" ht="24" customHeight="1">
      <c r="A28" s="36"/>
      <c r="B28" s="36"/>
      <c r="C28" s="138" t="s">
        <v>182</v>
      </c>
      <c r="D28" s="103"/>
      <c r="E28" s="106"/>
      <c r="F28" s="293"/>
      <c r="G28" s="142"/>
      <c r="H28" s="98" t="s">
        <v>12</v>
      </c>
      <c r="I28" s="98" t="s">
        <v>12</v>
      </c>
      <c r="J28" s="103"/>
      <c r="K28" s="103"/>
      <c r="L28" s="104"/>
      <c r="O28" s="236"/>
      <c r="P28" s="237"/>
      <c r="Q28" s="238"/>
      <c r="R28" s="238"/>
      <c r="S28" s="238"/>
      <c r="T28" s="238"/>
      <c r="U28" s="238"/>
      <c r="V28" s="238"/>
      <c r="W28" s="238"/>
      <c r="X28" s="239"/>
      <c r="Y28" s="239"/>
      <c r="Z28" s="239"/>
      <c r="AA28" s="239"/>
      <c r="AB28" s="239"/>
      <c r="AC28" s="238"/>
      <c r="AD28" s="370"/>
      <c r="AE28" s="371"/>
      <c r="AF28" s="238"/>
      <c r="AG28" s="238"/>
      <c r="AH28" s="238"/>
      <c r="AI28" s="698"/>
    </row>
    <row r="29" spans="1:35" s="37" customFormat="1" ht="24" customHeight="1">
      <c r="A29" s="36"/>
      <c r="B29" s="36"/>
      <c r="C29" s="112"/>
      <c r="D29" s="68" t="s">
        <v>4255</v>
      </c>
      <c r="E29" s="109"/>
      <c r="F29" s="294"/>
      <c r="G29" s="125"/>
      <c r="H29" s="143"/>
      <c r="I29" s="111" t="str">
        <f t="shared" ref="I29:I44" si="0">IF(F29="","",INT(F29*H29))</f>
        <v/>
      </c>
      <c r="J29" s="68"/>
      <c r="K29" s="68"/>
      <c r="L29" s="69"/>
      <c r="N29" s="693"/>
      <c r="O29" s="236"/>
      <c r="P29" s="237"/>
      <c r="Q29" s="238"/>
      <c r="R29" s="238"/>
      <c r="S29" s="238"/>
      <c r="T29" s="238"/>
      <c r="U29" s="238"/>
      <c r="V29" s="238"/>
      <c r="W29" s="238"/>
      <c r="X29" s="239"/>
      <c r="Y29" s="239"/>
      <c r="Z29" s="239"/>
      <c r="AA29" s="239"/>
      <c r="AB29" s="239"/>
      <c r="AC29" s="238"/>
      <c r="AD29" s="370"/>
      <c r="AE29" s="371"/>
      <c r="AF29" s="238"/>
      <c r="AG29" s="238"/>
      <c r="AH29" s="238"/>
      <c r="AI29" s="698"/>
    </row>
    <row r="30" spans="1:35" s="37" customFormat="1" ht="24" customHeight="1">
      <c r="A30" s="36"/>
      <c r="B30" s="36"/>
      <c r="C30" s="112"/>
      <c r="D30" s="68" t="s">
        <v>4253</v>
      </c>
      <c r="E30" s="109"/>
      <c r="F30" s="294">
        <v>1</v>
      </c>
      <c r="G30" s="125" t="s">
        <v>336</v>
      </c>
      <c r="H30" s="143"/>
      <c r="I30" s="111">
        <f t="shared" si="0"/>
        <v>0</v>
      </c>
      <c r="J30" s="68"/>
      <c r="K30" s="68"/>
      <c r="L30" s="69"/>
      <c r="N30" s="693"/>
      <c r="O30" s="236"/>
      <c r="P30" s="237"/>
      <c r="Q30" s="238"/>
      <c r="R30" s="238"/>
      <c r="S30" s="238"/>
      <c r="T30" s="238"/>
      <c r="U30" s="238"/>
      <c r="V30" s="238"/>
      <c r="W30" s="238"/>
      <c r="X30" s="239"/>
      <c r="Y30" s="239"/>
      <c r="Z30" s="239"/>
      <c r="AA30" s="239"/>
      <c r="AB30" s="239"/>
      <c r="AC30" s="238"/>
      <c r="AD30" s="370"/>
      <c r="AE30" s="371"/>
      <c r="AF30" s="238"/>
      <c r="AG30" s="238"/>
      <c r="AH30" s="238"/>
      <c r="AI30" s="698"/>
    </row>
    <row r="31" spans="1:35" s="37" customFormat="1" ht="24" customHeight="1">
      <c r="A31" s="36"/>
      <c r="B31" s="36"/>
      <c r="C31" s="835"/>
      <c r="D31" s="836"/>
      <c r="E31" s="837"/>
      <c r="F31" s="838"/>
      <c r="G31" s="839"/>
      <c r="H31" s="840"/>
      <c r="I31" s="111" t="str">
        <f t="shared" si="0"/>
        <v/>
      </c>
      <c r="J31" s="836"/>
      <c r="K31" s="836"/>
      <c r="L31" s="841"/>
      <c r="N31" s="693"/>
      <c r="O31" s="236"/>
      <c r="P31" s="237"/>
      <c r="Q31" s="238"/>
      <c r="R31" s="238"/>
      <c r="S31" s="238"/>
      <c r="T31" s="238"/>
      <c r="U31" s="238"/>
      <c r="V31" s="238"/>
      <c r="W31" s="238"/>
      <c r="X31" s="239"/>
      <c r="Y31" s="239"/>
      <c r="Z31" s="239"/>
      <c r="AA31" s="239"/>
      <c r="AB31" s="239"/>
      <c r="AC31" s="238"/>
      <c r="AD31" s="370"/>
      <c r="AE31" s="371"/>
      <c r="AF31" s="238"/>
      <c r="AG31" s="238"/>
      <c r="AH31" s="238"/>
      <c r="AI31" s="698"/>
    </row>
    <row r="32" spans="1:35" s="37" customFormat="1" ht="24" customHeight="1">
      <c r="A32" s="36"/>
      <c r="B32" s="36"/>
      <c r="C32" s="843"/>
      <c r="D32" s="844" t="s">
        <v>4258</v>
      </c>
      <c r="E32" s="845"/>
      <c r="F32" s="846"/>
      <c r="G32" s="847"/>
      <c r="H32" s="848"/>
      <c r="I32" s="849">
        <f>SUM(I30:I31)</f>
        <v>0</v>
      </c>
      <c r="J32" s="844"/>
      <c r="K32" s="844"/>
      <c r="L32" s="850"/>
      <c r="N32" s="693"/>
      <c r="O32" s="236"/>
      <c r="P32" s="237"/>
      <c r="Q32" s="238"/>
      <c r="R32" s="238"/>
      <c r="S32" s="238"/>
      <c r="T32" s="238"/>
      <c r="U32" s="238"/>
      <c r="V32" s="238"/>
      <c r="W32" s="238"/>
      <c r="X32" s="239"/>
      <c r="Y32" s="239"/>
      <c r="Z32" s="239"/>
      <c r="AA32" s="239"/>
      <c r="AB32" s="239"/>
      <c r="AC32" s="238"/>
      <c r="AD32" s="370"/>
      <c r="AE32" s="371"/>
      <c r="AF32" s="238"/>
      <c r="AG32" s="238"/>
      <c r="AH32" s="238"/>
      <c r="AI32" s="698"/>
    </row>
    <row r="33" spans="1:35" s="37" customFormat="1" ht="24" customHeight="1">
      <c r="A33" s="36"/>
      <c r="B33" s="36"/>
      <c r="C33" s="842"/>
      <c r="D33" s="828"/>
      <c r="E33" s="829"/>
      <c r="F33" s="830"/>
      <c r="G33" s="831"/>
      <c r="H33" s="832"/>
      <c r="I33" s="833" t="str">
        <f t="shared" si="0"/>
        <v/>
      </c>
      <c r="J33" s="828"/>
      <c r="K33" s="828"/>
      <c r="L33" s="834"/>
      <c r="N33" s="693"/>
      <c r="O33" s="236"/>
      <c r="P33" s="237"/>
      <c r="Q33" s="238"/>
      <c r="R33" s="238"/>
      <c r="S33" s="238"/>
      <c r="T33" s="238"/>
      <c r="U33" s="238"/>
      <c r="V33" s="238"/>
      <c r="W33" s="238"/>
      <c r="X33" s="239"/>
      <c r="Y33" s="239"/>
      <c r="Z33" s="239"/>
      <c r="AA33" s="239"/>
      <c r="AB33" s="239"/>
      <c r="AC33" s="238"/>
      <c r="AD33" s="370"/>
      <c r="AE33" s="371"/>
      <c r="AF33" s="238"/>
      <c r="AG33" s="238"/>
      <c r="AH33" s="238"/>
      <c r="AI33" s="698"/>
    </row>
    <row r="34" spans="1:35" s="37" customFormat="1" ht="24" customHeight="1">
      <c r="A34" s="36"/>
      <c r="B34" s="36"/>
      <c r="C34" s="112"/>
      <c r="D34" s="68" t="s">
        <v>4256</v>
      </c>
      <c r="E34" s="109"/>
      <c r="F34" s="294"/>
      <c r="G34" s="125"/>
      <c r="H34" s="143"/>
      <c r="I34" s="111" t="str">
        <f t="shared" si="0"/>
        <v/>
      </c>
      <c r="J34" s="68"/>
      <c r="K34" s="68"/>
      <c r="L34" s="69"/>
      <c r="N34" s="693"/>
      <c r="O34" s="236"/>
      <c r="P34" s="237"/>
      <c r="Q34" s="238"/>
      <c r="R34" s="238"/>
      <c r="S34" s="238"/>
      <c r="T34" s="238"/>
      <c r="U34" s="238"/>
      <c r="V34" s="238"/>
      <c r="W34" s="238"/>
      <c r="X34" s="239"/>
      <c r="Y34" s="239"/>
      <c r="Z34" s="239"/>
      <c r="AA34" s="239"/>
      <c r="AB34" s="239"/>
      <c r="AC34" s="238"/>
      <c r="AD34" s="370"/>
      <c r="AE34" s="371"/>
      <c r="AF34" s="238"/>
      <c r="AG34" s="238"/>
      <c r="AH34" s="238"/>
      <c r="AI34" s="698"/>
    </row>
    <row r="35" spans="1:35" s="37" customFormat="1" ht="24" customHeight="1">
      <c r="A35" s="36"/>
      <c r="B35" s="36"/>
      <c r="C35" s="112"/>
      <c r="D35" s="68" t="s">
        <v>49</v>
      </c>
      <c r="E35" s="109"/>
      <c r="F35" s="294">
        <v>1</v>
      </c>
      <c r="G35" s="125" t="s">
        <v>7</v>
      </c>
      <c r="H35" s="143"/>
      <c r="I35" s="111">
        <f t="shared" si="0"/>
        <v>0</v>
      </c>
      <c r="J35" s="68"/>
      <c r="K35" s="68"/>
      <c r="L35" s="69"/>
      <c r="N35" s="693"/>
      <c r="O35" s="236"/>
      <c r="P35" s="237"/>
      <c r="Q35" s="238"/>
      <c r="R35" s="238"/>
      <c r="S35" s="238"/>
      <c r="T35" s="238"/>
      <c r="U35" s="238"/>
      <c r="V35" s="238"/>
      <c r="W35" s="238"/>
      <c r="X35" s="239"/>
      <c r="Y35" s="239"/>
      <c r="Z35" s="239"/>
      <c r="AA35" s="239"/>
      <c r="AB35" s="239"/>
      <c r="AC35" s="238"/>
      <c r="AD35" s="370"/>
      <c r="AE35" s="371"/>
      <c r="AF35" s="238"/>
      <c r="AG35" s="238"/>
      <c r="AH35" s="238"/>
      <c r="AI35" s="698"/>
    </row>
    <row r="36" spans="1:35" s="37" customFormat="1" ht="24" customHeight="1">
      <c r="A36" s="36"/>
      <c r="B36" s="36"/>
      <c r="C36" s="112"/>
      <c r="D36" s="68" t="s">
        <v>50</v>
      </c>
      <c r="E36" s="109"/>
      <c r="F36" s="294">
        <v>1</v>
      </c>
      <c r="G36" s="125" t="s">
        <v>7</v>
      </c>
      <c r="H36" s="143"/>
      <c r="I36" s="111">
        <f t="shared" si="0"/>
        <v>0</v>
      </c>
      <c r="J36" s="68"/>
      <c r="K36" s="68"/>
      <c r="L36" s="69"/>
      <c r="N36" s="693"/>
      <c r="O36" s="236"/>
      <c r="P36" s="237"/>
      <c r="Q36" s="238"/>
      <c r="R36" s="238"/>
      <c r="S36" s="238"/>
      <c r="T36" s="238"/>
      <c r="U36" s="238"/>
      <c r="V36" s="238"/>
      <c r="W36" s="238"/>
      <c r="X36" s="239"/>
      <c r="Y36" s="239"/>
      <c r="Z36" s="239"/>
      <c r="AA36" s="239"/>
      <c r="AB36" s="239"/>
      <c r="AC36" s="238"/>
      <c r="AD36" s="370"/>
      <c r="AE36" s="371"/>
      <c r="AF36" s="238"/>
      <c r="AG36" s="238"/>
      <c r="AH36" s="238"/>
      <c r="AI36" s="698"/>
    </row>
    <row r="37" spans="1:35" s="37" customFormat="1" ht="24" customHeight="1">
      <c r="A37" s="36"/>
      <c r="B37" s="36"/>
      <c r="C37" s="112"/>
      <c r="D37" s="68" t="s">
        <v>48</v>
      </c>
      <c r="E37" s="109"/>
      <c r="F37" s="294">
        <v>1</v>
      </c>
      <c r="G37" s="125" t="s">
        <v>7</v>
      </c>
      <c r="H37" s="143"/>
      <c r="I37" s="111">
        <f t="shared" si="0"/>
        <v>0</v>
      </c>
      <c r="J37" s="68"/>
      <c r="K37" s="68"/>
      <c r="L37" s="69"/>
      <c r="N37" s="693"/>
      <c r="O37" s="236"/>
      <c r="P37" s="237"/>
      <c r="Q37" s="238"/>
      <c r="R37" s="238"/>
      <c r="S37" s="238"/>
      <c r="T37" s="238"/>
      <c r="U37" s="238"/>
      <c r="V37" s="238"/>
      <c r="W37" s="238"/>
      <c r="X37" s="239"/>
      <c r="Y37" s="239"/>
      <c r="Z37" s="239"/>
      <c r="AA37" s="239"/>
      <c r="AB37" s="239"/>
      <c r="AC37" s="238"/>
      <c r="AD37" s="370"/>
      <c r="AE37" s="371"/>
      <c r="AF37" s="238"/>
      <c r="AG37" s="238"/>
      <c r="AH37" s="238"/>
      <c r="AI37" s="698"/>
    </row>
    <row r="38" spans="1:35" s="37" customFormat="1" ht="24" customHeight="1">
      <c r="A38" s="36"/>
      <c r="B38" s="36"/>
      <c r="C38" s="112"/>
      <c r="D38" s="68" t="s">
        <v>179</v>
      </c>
      <c r="E38" s="109"/>
      <c r="F38" s="294">
        <v>1</v>
      </c>
      <c r="G38" s="125" t="s">
        <v>7</v>
      </c>
      <c r="H38" s="143"/>
      <c r="I38" s="111">
        <f t="shared" si="0"/>
        <v>0</v>
      </c>
      <c r="J38" s="68"/>
      <c r="K38" s="68"/>
      <c r="L38" s="69"/>
      <c r="N38" s="693"/>
      <c r="O38" s="236"/>
      <c r="P38" s="237"/>
      <c r="Q38" s="238"/>
      <c r="R38" s="238"/>
      <c r="S38" s="238"/>
      <c r="T38" s="238"/>
      <c r="U38" s="238"/>
      <c r="V38" s="238"/>
      <c r="W38" s="238"/>
      <c r="X38" s="239"/>
      <c r="Y38" s="239"/>
      <c r="Z38" s="239"/>
      <c r="AA38" s="239"/>
      <c r="AB38" s="239"/>
      <c r="AC38" s="238"/>
      <c r="AD38" s="370"/>
      <c r="AE38" s="371"/>
      <c r="AF38" s="238"/>
      <c r="AG38" s="238"/>
      <c r="AH38" s="238"/>
      <c r="AI38" s="698"/>
    </row>
    <row r="39" spans="1:35" s="37" customFormat="1" ht="24" customHeight="1">
      <c r="A39" s="36"/>
      <c r="B39" s="36"/>
      <c r="C39" s="112"/>
      <c r="D39" s="68" t="s">
        <v>51</v>
      </c>
      <c r="E39" s="109"/>
      <c r="F39" s="294">
        <v>1</v>
      </c>
      <c r="G39" s="125" t="s">
        <v>7</v>
      </c>
      <c r="H39" s="143"/>
      <c r="I39" s="111">
        <f t="shared" si="0"/>
        <v>0</v>
      </c>
      <c r="J39" s="68"/>
      <c r="K39" s="68"/>
      <c r="L39" s="69"/>
      <c r="N39" s="693"/>
      <c r="O39" s="236"/>
      <c r="P39" s="237"/>
      <c r="Q39" s="238"/>
      <c r="R39" s="238"/>
      <c r="S39" s="238"/>
      <c r="T39" s="238"/>
      <c r="U39" s="238"/>
      <c r="V39" s="238"/>
      <c r="W39" s="238"/>
      <c r="X39" s="239"/>
      <c r="Y39" s="239"/>
      <c r="Z39" s="239"/>
      <c r="AA39" s="239"/>
      <c r="AB39" s="239"/>
      <c r="AC39" s="238"/>
      <c r="AD39" s="370"/>
      <c r="AE39" s="371"/>
      <c r="AF39" s="238"/>
      <c r="AG39" s="238"/>
      <c r="AH39" s="238"/>
      <c r="AI39" s="698"/>
    </row>
    <row r="40" spans="1:35" s="37" customFormat="1" ht="24" customHeight="1">
      <c r="A40" s="36"/>
      <c r="B40" s="36"/>
      <c r="C40" s="112"/>
      <c r="D40" s="68" t="s">
        <v>52</v>
      </c>
      <c r="E40" s="109"/>
      <c r="F40" s="294">
        <v>1</v>
      </c>
      <c r="G40" s="125" t="s">
        <v>7</v>
      </c>
      <c r="H40" s="143"/>
      <c r="I40" s="111">
        <f t="shared" si="0"/>
        <v>0</v>
      </c>
      <c r="J40" s="68"/>
      <c r="K40" s="68"/>
      <c r="L40" s="69"/>
      <c r="N40" s="693"/>
      <c r="O40" s="236"/>
      <c r="P40" s="237"/>
      <c r="Q40" s="238"/>
      <c r="R40" s="238"/>
      <c r="S40" s="238"/>
      <c r="T40" s="238"/>
      <c r="U40" s="238"/>
      <c r="V40" s="238"/>
      <c r="W40" s="238"/>
      <c r="X40" s="239"/>
      <c r="Y40" s="239"/>
      <c r="Z40" s="239"/>
      <c r="AA40" s="239"/>
      <c r="AB40" s="239"/>
      <c r="AC40" s="238"/>
      <c r="AD40" s="370"/>
      <c r="AE40" s="371"/>
      <c r="AF40" s="238"/>
      <c r="AG40" s="238"/>
      <c r="AH40" s="238"/>
      <c r="AI40" s="698"/>
    </row>
    <row r="41" spans="1:35" s="37" customFormat="1" ht="24" customHeight="1">
      <c r="A41" s="36"/>
      <c r="B41" s="36"/>
      <c r="C41" s="112"/>
      <c r="D41" s="68" t="s">
        <v>53</v>
      </c>
      <c r="E41" s="109"/>
      <c r="F41" s="294">
        <v>1</v>
      </c>
      <c r="G41" s="125" t="s">
        <v>7</v>
      </c>
      <c r="H41" s="143"/>
      <c r="I41" s="111">
        <f t="shared" si="0"/>
        <v>0</v>
      </c>
      <c r="J41" s="68"/>
      <c r="K41" s="68"/>
      <c r="L41" s="69"/>
      <c r="N41" s="693"/>
      <c r="O41" s="236"/>
      <c r="P41" s="237"/>
      <c r="Q41" s="238"/>
      <c r="R41" s="238"/>
      <c r="S41" s="238"/>
      <c r="T41" s="238"/>
      <c r="U41" s="238"/>
      <c r="V41" s="238"/>
      <c r="W41" s="238"/>
      <c r="X41" s="239"/>
      <c r="Y41" s="239"/>
      <c r="Z41" s="239"/>
      <c r="AA41" s="239"/>
      <c r="AB41" s="239"/>
      <c r="AC41" s="238"/>
      <c r="AD41" s="370"/>
      <c r="AE41" s="371"/>
      <c r="AF41" s="238"/>
      <c r="AG41" s="238"/>
      <c r="AH41" s="238"/>
      <c r="AI41" s="698"/>
    </row>
    <row r="42" spans="1:35" s="37" customFormat="1" ht="24" customHeight="1">
      <c r="A42" s="36"/>
      <c r="B42" s="36"/>
      <c r="C42" s="112"/>
      <c r="D42" s="68" t="s">
        <v>54</v>
      </c>
      <c r="E42" s="109"/>
      <c r="F42" s="294">
        <v>1</v>
      </c>
      <c r="G42" s="125" t="s">
        <v>7</v>
      </c>
      <c r="H42" s="143"/>
      <c r="I42" s="111">
        <f t="shared" si="0"/>
        <v>0</v>
      </c>
      <c r="J42" s="68"/>
      <c r="K42" s="68"/>
      <c r="L42" s="69"/>
      <c r="N42" s="693"/>
      <c r="O42" s="236"/>
      <c r="P42" s="237"/>
      <c r="Q42" s="238"/>
      <c r="R42" s="238"/>
      <c r="S42" s="238"/>
      <c r="T42" s="238"/>
      <c r="U42" s="238"/>
      <c r="V42" s="238"/>
      <c r="W42" s="238"/>
      <c r="X42" s="239"/>
      <c r="Y42" s="239"/>
      <c r="Z42" s="239"/>
      <c r="AA42" s="239"/>
      <c r="AB42" s="239"/>
      <c r="AC42" s="238"/>
      <c r="AD42" s="370"/>
      <c r="AE42" s="371"/>
      <c r="AF42" s="238"/>
      <c r="AG42" s="238"/>
      <c r="AH42" s="238"/>
      <c r="AI42" s="698"/>
    </row>
    <row r="43" spans="1:35" s="37" customFormat="1" ht="24" customHeight="1">
      <c r="A43" s="36"/>
      <c r="B43" s="36"/>
      <c r="C43" s="112"/>
      <c r="D43" s="68" t="s">
        <v>55</v>
      </c>
      <c r="E43" s="109"/>
      <c r="F43" s="294">
        <v>1</v>
      </c>
      <c r="G43" s="125" t="s">
        <v>7</v>
      </c>
      <c r="H43" s="143"/>
      <c r="I43" s="111">
        <f t="shared" si="0"/>
        <v>0</v>
      </c>
      <c r="J43" s="68"/>
      <c r="K43" s="68"/>
      <c r="L43" s="69"/>
      <c r="N43" s="693"/>
      <c r="O43" s="236"/>
      <c r="P43" s="237"/>
      <c r="Q43" s="238"/>
      <c r="R43" s="238"/>
      <c r="S43" s="238"/>
      <c r="T43" s="238"/>
      <c r="U43" s="238"/>
      <c r="V43" s="238"/>
      <c r="W43" s="238"/>
      <c r="X43" s="239"/>
      <c r="Y43" s="239"/>
      <c r="Z43" s="239"/>
      <c r="AA43" s="239"/>
      <c r="AB43" s="239"/>
      <c r="AC43" s="238"/>
      <c r="AD43" s="370"/>
      <c r="AE43" s="371"/>
      <c r="AF43" s="238"/>
      <c r="AG43" s="238"/>
      <c r="AH43" s="238"/>
      <c r="AI43" s="698"/>
    </row>
    <row r="44" spans="1:35" s="37" customFormat="1" ht="24" customHeight="1">
      <c r="A44" s="36"/>
      <c r="B44" s="36"/>
      <c r="C44" s="835"/>
      <c r="D44" s="836"/>
      <c r="E44" s="837"/>
      <c r="F44" s="838"/>
      <c r="G44" s="839"/>
      <c r="H44" s="840"/>
      <c r="I44" s="111" t="str">
        <f t="shared" si="0"/>
        <v/>
      </c>
      <c r="J44" s="836"/>
      <c r="K44" s="836"/>
      <c r="L44" s="841"/>
      <c r="N44" s="693"/>
      <c r="O44" s="236"/>
      <c r="P44" s="237"/>
      <c r="Q44" s="238"/>
      <c r="R44" s="238"/>
      <c r="S44" s="238"/>
      <c r="T44" s="238"/>
      <c r="U44" s="238"/>
      <c r="V44" s="238"/>
      <c r="W44" s="238"/>
      <c r="X44" s="239"/>
      <c r="Y44" s="239"/>
      <c r="Z44" s="239"/>
      <c r="AA44" s="239"/>
      <c r="AB44" s="239"/>
      <c r="AC44" s="238"/>
      <c r="AD44" s="370"/>
      <c r="AE44" s="371"/>
      <c r="AF44" s="238"/>
      <c r="AG44" s="238"/>
      <c r="AH44" s="238"/>
      <c r="AI44" s="698"/>
    </row>
    <row r="45" spans="1:35" s="37" customFormat="1" ht="24" customHeight="1">
      <c r="A45" s="36"/>
      <c r="B45" s="36"/>
      <c r="C45" s="851"/>
      <c r="D45" s="844" t="s">
        <v>4257</v>
      </c>
      <c r="E45" s="845"/>
      <c r="F45" s="846"/>
      <c r="G45" s="847"/>
      <c r="H45" s="848"/>
      <c r="I45" s="849">
        <f>SUM(I35:I44)</f>
        <v>0</v>
      </c>
      <c r="J45" s="844"/>
      <c r="K45" s="844"/>
      <c r="L45" s="850"/>
      <c r="N45" s="693"/>
      <c r="O45" s="236"/>
      <c r="P45" s="237"/>
      <c r="Q45" s="238"/>
      <c r="R45" s="238"/>
      <c r="S45" s="238"/>
      <c r="T45" s="238"/>
      <c r="U45" s="238"/>
      <c r="V45" s="238"/>
      <c r="W45" s="238"/>
      <c r="X45" s="239"/>
      <c r="Y45" s="239"/>
      <c r="Z45" s="239"/>
      <c r="AA45" s="239"/>
      <c r="AB45" s="239"/>
      <c r="AC45" s="238"/>
      <c r="AD45" s="370"/>
      <c r="AE45" s="371"/>
      <c r="AF45" s="238"/>
      <c r="AG45" s="238"/>
      <c r="AH45" s="238"/>
      <c r="AI45" s="698"/>
    </row>
    <row r="46" spans="1:35" s="37" customFormat="1" ht="24" customHeight="1">
      <c r="A46" s="36"/>
      <c r="B46" s="36"/>
      <c r="C46" s="112"/>
      <c r="D46" s="68"/>
      <c r="E46" s="109"/>
      <c r="F46" s="294"/>
      <c r="G46" s="125"/>
      <c r="H46" s="143"/>
      <c r="I46" s="111" t="str">
        <f t="shared" ref="I46" si="1">IF(F46="","",INT(F46*H46))</f>
        <v/>
      </c>
      <c r="J46" s="68"/>
      <c r="K46" s="68"/>
      <c r="L46" s="69"/>
      <c r="N46" s="693"/>
      <c r="O46" s="236"/>
      <c r="P46" s="237"/>
      <c r="Q46" s="238"/>
      <c r="R46" s="238"/>
      <c r="S46" s="238"/>
      <c r="T46" s="238"/>
      <c r="U46" s="238"/>
      <c r="V46" s="238"/>
      <c r="W46" s="238"/>
      <c r="X46" s="239"/>
      <c r="Y46" s="239"/>
      <c r="Z46" s="239"/>
      <c r="AA46" s="239"/>
      <c r="AB46" s="239"/>
      <c r="AC46" s="238"/>
      <c r="AD46" s="370"/>
      <c r="AE46" s="371"/>
      <c r="AF46" s="238"/>
      <c r="AG46" s="238"/>
      <c r="AH46" s="238"/>
      <c r="AI46" s="698"/>
    </row>
    <row r="47" spans="1:35" ht="24" customHeight="1" thickBot="1">
      <c r="A47" s="36"/>
      <c r="B47" s="36"/>
      <c r="C47" s="113"/>
      <c r="D47" s="99" t="s">
        <v>9</v>
      </c>
      <c r="E47" s="114"/>
      <c r="F47" s="295"/>
      <c r="G47" s="127"/>
      <c r="H47" s="137" t="s">
        <v>88</v>
      </c>
      <c r="I47" s="115">
        <f>I32+I45</f>
        <v>0</v>
      </c>
      <c r="J47" s="99" t="s">
        <v>89</v>
      </c>
      <c r="K47" s="99"/>
      <c r="L47" s="129"/>
      <c r="O47" s="236"/>
      <c r="P47" s="237"/>
      <c r="Q47" s="238"/>
      <c r="R47" s="238"/>
      <c r="S47" s="238"/>
      <c r="T47" s="238"/>
      <c r="U47" s="238"/>
      <c r="V47" s="238"/>
      <c r="W47" s="238"/>
      <c r="X47" s="239"/>
      <c r="Y47" s="239"/>
      <c r="Z47" s="239"/>
      <c r="AA47" s="239"/>
      <c r="AB47" s="239"/>
      <c r="AC47" s="238"/>
      <c r="AD47" s="370"/>
      <c r="AE47" s="371"/>
      <c r="AF47" s="238"/>
      <c r="AG47" s="238"/>
      <c r="AH47" s="238"/>
      <c r="AI47" s="698"/>
    </row>
    <row r="48" spans="1:35" ht="14.25" customHeight="1">
      <c r="E48" s="130" t="s">
        <v>106</v>
      </c>
      <c r="F48" s="131">
        <f>+F25+1</f>
        <v>13</v>
      </c>
      <c r="G48" s="132" t="s">
        <v>67</v>
      </c>
      <c r="H48" s="133">
        <f>+$H$25</f>
        <v>6</v>
      </c>
      <c r="I48" s="133"/>
      <c r="M48" s="38" t="str">
        <f>IF(A50="","EOL","")</f>
        <v/>
      </c>
      <c r="N48" s="6">
        <f>+F48</f>
        <v>13</v>
      </c>
      <c r="O48" s="1"/>
      <c r="P48" s="1"/>
    </row>
    <row r="49" spans="1:35" ht="26" customHeight="1" thickBot="1">
      <c r="C49" s="938" t="s">
        <v>369</v>
      </c>
      <c r="D49" s="938"/>
      <c r="E49" s="938"/>
      <c r="F49" s="938"/>
      <c r="G49" s="938"/>
      <c r="H49" s="938"/>
      <c r="I49" s="938"/>
      <c r="J49" s="938"/>
      <c r="K49" s="938"/>
      <c r="L49" s="938"/>
      <c r="O49" s="1039" t="s">
        <v>154</v>
      </c>
      <c r="P49" s="1039"/>
      <c r="Q49" s="1039"/>
      <c r="R49" s="1039"/>
      <c r="S49" s="1039"/>
      <c r="T49" s="1039"/>
      <c r="U49" s="1039"/>
      <c r="V49" s="1039"/>
      <c r="W49" s="1039"/>
      <c r="X49" s="1039"/>
      <c r="Y49" s="1039"/>
      <c r="Z49" s="1039"/>
      <c r="AA49" s="1039"/>
      <c r="AB49" s="1039"/>
      <c r="AC49" s="1039"/>
      <c r="AD49" s="1039"/>
      <c r="AE49" s="1039"/>
      <c r="AF49" s="1039"/>
      <c r="AG49" s="1039"/>
      <c r="AH49" s="1040"/>
      <c r="AI49" s="696"/>
    </row>
    <row r="50" spans="1:35" ht="42" customHeight="1">
      <c r="A50" s="5" t="s">
        <v>11</v>
      </c>
      <c r="B50" s="5" t="s">
        <v>10</v>
      </c>
      <c r="C50" s="120" t="s">
        <v>0</v>
      </c>
      <c r="D50" s="116"/>
      <c r="E50" s="117" t="s">
        <v>1</v>
      </c>
      <c r="F50" s="118" t="s">
        <v>2</v>
      </c>
      <c r="G50" s="118" t="s">
        <v>3</v>
      </c>
      <c r="H50" s="119" t="s">
        <v>4</v>
      </c>
      <c r="I50" s="119" t="s">
        <v>5</v>
      </c>
      <c r="J50" s="968" t="s">
        <v>6</v>
      </c>
      <c r="K50" s="969"/>
      <c r="L50" s="970"/>
      <c r="O50" s="165" t="s">
        <v>85</v>
      </c>
      <c r="P50" s="364" t="s">
        <v>288</v>
      </c>
      <c r="Q50" s="296" t="s">
        <v>305</v>
      </c>
      <c r="R50" s="296" t="s">
        <v>249</v>
      </c>
      <c r="S50" s="296" t="s">
        <v>250</v>
      </c>
      <c r="T50" s="296" t="s">
        <v>265</v>
      </c>
      <c r="U50" s="296" t="s">
        <v>148</v>
      </c>
      <c r="V50" s="164" t="s">
        <v>147</v>
      </c>
      <c r="W50" s="296" t="s">
        <v>251</v>
      </c>
      <c r="X50" s="229" t="s">
        <v>252</v>
      </c>
      <c r="Y50" s="229" t="s">
        <v>253</v>
      </c>
      <c r="Z50" s="229" t="s">
        <v>254</v>
      </c>
      <c r="AA50" s="229" t="s">
        <v>255</v>
      </c>
      <c r="AB50" s="229" t="s">
        <v>300</v>
      </c>
      <c r="AC50" s="367" t="s">
        <v>309</v>
      </c>
      <c r="AD50" s="368" t="s">
        <v>310</v>
      </c>
      <c r="AE50" s="369" t="s">
        <v>150</v>
      </c>
      <c r="AF50" s="163" t="s">
        <v>153</v>
      </c>
      <c r="AG50" s="163" t="s">
        <v>151</v>
      </c>
      <c r="AH50" s="163" t="s">
        <v>152</v>
      </c>
      <c r="AI50" s="697"/>
    </row>
    <row r="51" spans="1:35" ht="24" customHeight="1">
      <c r="A51" s="36"/>
      <c r="B51" s="36"/>
      <c r="C51" s="138" t="s">
        <v>42</v>
      </c>
      <c r="D51" s="144"/>
      <c r="E51" s="106"/>
      <c r="F51" s="293"/>
      <c r="G51" s="142"/>
      <c r="H51" s="98" t="s">
        <v>12</v>
      </c>
      <c r="I51" s="98" t="s">
        <v>12</v>
      </c>
      <c r="J51" s="1036"/>
      <c r="K51" s="1037"/>
      <c r="L51" s="1038"/>
      <c r="O51" s="236"/>
      <c r="P51" s="237"/>
      <c r="Q51" s="238"/>
      <c r="R51" s="238"/>
      <c r="S51" s="238"/>
      <c r="T51" s="238"/>
      <c r="U51" s="238"/>
      <c r="V51" s="238"/>
      <c r="W51" s="238"/>
      <c r="X51" s="239"/>
      <c r="Y51" s="239"/>
      <c r="Z51" s="239"/>
      <c r="AA51" s="239"/>
      <c r="AB51" s="239"/>
      <c r="AC51" s="238"/>
      <c r="AD51" s="370"/>
      <c r="AE51" s="371"/>
      <c r="AF51" s="238"/>
      <c r="AG51" s="238"/>
      <c r="AH51" s="238"/>
      <c r="AI51" s="698"/>
    </row>
    <row r="52" spans="1:35" s="37" customFormat="1" ht="24" customHeight="1">
      <c r="A52" s="36"/>
      <c r="B52" s="36"/>
      <c r="C52" s="112"/>
      <c r="D52" s="144"/>
      <c r="E52" s="109"/>
      <c r="F52" s="294"/>
      <c r="G52" s="125"/>
      <c r="H52" s="143"/>
      <c r="I52" s="111" t="str">
        <f>IF(F52="","",INT(F52*H52))</f>
        <v/>
      </c>
      <c r="J52" s="68"/>
      <c r="K52" s="68"/>
      <c r="L52" s="69"/>
      <c r="N52" s="693"/>
      <c r="O52" s="236"/>
      <c r="P52" s="237"/>
      <c r="Q52" s="238"/>
      <c r="R52" s="238"/>
      <c r="S52" s="238"/>
      <c r="T52" s="238"/>
      <c r="U52" s="238"/>
      <c r="V52" s="238"/>
      <c r="W52" s="238"/>
      <c r="X52" s="239"/>
      <c r="Y52" s="239"/>
      <c r="Z52" s="239"/>
      <c r="AA52" s="239"/>
      <c r="AB52" s="239"/>
      <c r="AC52" s="238"/>
      <c r="AD52" s="370"/>
      <c r="AE52" s="371"/>
      <c r="AF52" s="238"/>
      <c r="AG52" s="238"/>
      <c r="AH52" s="238"/>
      <c r="AI52" s="698"/>
    </row>
    <row r="53" spans="1:35" s="37" customFormat="1" ht="24" customHeight="1">
      <c r="A53" s="36"/>
      <c r="B53" s="36"/>
      <c r="C53" s="112"/>
      <c r="D53" s="144" t="s">
        <v>56</v>
      </c>
      <c r="E53" s="109"/>
      <c r="F53" s="294">
        <v>1</v>
      </c>
      <c r="G53" s="125" t="s">
        <v>7</v>
      </c>
      <c r="H53" s="143"/>
      <c r="I53" s="111">
        <f t="shared" ref="I53:I69" si="2">IF(F53="","",INT(F53*H53))</f>
        <v>0</v>
      </c>
      <c r="J53" s="68"/>
      <c r="K53" s="68"/>
      <c r="L53" s="69"/>
      <c r="N53" s="693"/>
      <c r="O53" s="236"/>
      <c r="P53" s="237"/>
      <c r="Q53" s="238"/>
      <c r="R53" s="238"/>
      <c r="S53" s="238"/>
      <c r="T53" s="238"/>
      <c r="U53" s="238"/>
      <c r="V53" s="238"/>
      <c r="W53" s="238"/>
      <c r="X53" s="239"/>
      <c r="Y53" s="239"/>
      <c r="Z53" s="239"/>
      <c r="AA53" s="239"/>
      <c r="AB53" s="239"/>
      <c r="AC53" s="238"/>
      <c r="AD53" s="370"/>
      <c r="AE53" s="371"/>
      <c r="AF53" s="238"/>
      <c r="AG53" s="238"/>
      <c r="AH53" s="238"/>
      <c r="AI53" s="698"/>
    </row>
    <row r="54" spans="1:35" s="37" customFormat="1" ht="24" customHeight="1">
      <c r="A54" s="36"/>
      <c r="B54" s="36"/>
      <c r="C54" s="112"/>
      <c r="D54" s="144" t="s">
        <v>180</v>
      </c>
      <c r="E54" s="109"/>
      <c r="F54" s="294">
        <v>1</v>
      </c>
      <c r="G54" s="125" t="s">
        <v>7</v>
      </c>
      <c r="H54" s="143"/>
      <c r="I54" s="111">
        <f t="shared" si="2"/>
        <v>0</v>
      </c>
      <c r="J54" s="68"/>
      <c r="K54" s="68"/>
      <c r="L54" s="69"/>
      <c r="N54" s="693"/>
      <c r="O54" s="236"/>
      <c r="P54" s="237"/>
      <c r="Q54" s="238"/>
      <c r="R54" s="238"/>
      <c r="S54" s="238"/>
      <c r="T54" s="238"/>
      <c r="U54" s="238"/>
      <c r="V54" s="238"/>
      <c r="W54" s="238"/>
      <c r="X54" s="239"/>
      <c r="Y54" s="239"/>
      <c r="Z54" s="239"/>
      <c r="AA54" s="239"/>
      <c r="AB54" s="239"/>
      <c r="AC54" s="238"/>
      <c r="AD54" s="370"/>
      <c r="AE54" s="371"/>
      <c r="AF54" s="238"/>
      <c r="AG54" s="238"/>
      <c r="AH54" s="238"/>
      <c r="AI54" s="698"/>
    </row>
    <row r="55" spans="1:35" s="37" customFormat="1" ht="24" customHeight="1">
      <c r="A55" s="36"/>
      <c r="B55" s="36"/>
      <c r="C55" s="112"/>
      <c r="D55" s="144" t="s">
        <v>57</v>
      </c>
      <c r="E55" s="109"/>
      <c r="F55" s="294">
        <v>1</v>
      </c>
      <c r="G55" s="125" t="s">
        <v>7</v>
      </c>
      <c r="H55" s="143"/>
      <c r="I55" s="111">
        <f t="shared" si="2"/>
        <v>0</v>
      </c>
      <c r="J55" s="68"/>
      <c r="K55" s="68"/>
      <c r="L55" s="69"/>
      <c r="N55" s="693"/>
      <c r="O55" s="236"/>
      <c r="P55" s="237"/>
      <c r="Q55" s="238"/>
      <c r="R55" s="238"/>
      <c r="S55" s="238"/>
      <c r="T55" s="238"/>
      <c r="U55" s="238"/>
      <c r="V55" s="238"/>
      <c r="W55" s="238"/>
      <c r="X55" s="239"/>
      <c r="Y55" s="239"/>
      <c r="Z55" s="239"/>
      <c r="AA55" s="239"/>
      <c r="AB55" s="239"/>
      <c r="AC55" s="238"/>
      <c r="AD55" s="370"/>
      <c r="AE55" s="371"/>
      <c r="AF55" s="238"/>
      <c r="AG55" s="238"/>
      <c r="AH55" s="238"/>
      <c r="AI55" s="698"/>
    </row>
    <row r="56" spans="1:35" s="37" customFormat="1" ht="24" customHeight="1">
      <c r="A56" s="36"/>
      <c r="B56" s="36"/>
      <c r="C56" s="112"/>
      <c r="D56" s="144" t="s">
        <v>58</v>
      </c>
      <c r="E56" s="109"/>
      <c r="F56" s="294">
        <v>1</v>
      </c>
      <c r="G56" s="125" t="s">
        <v>7</v>
      </c>
      <c r="H56" s="143"/>
      <c r="I56" s="111">
        <f t="shared" si="2"/>
        <v>0</v>
      </c>
      <c r="J56" s="68"/>
      <c r="K56" s="68"/>
      <c r="L56" s="69"/>
      <c r="N56" s="693"/>
      <c r="O56" s="236"/>
      <c r="P56" s="237"/>
      <c r="Q56" s="238"/>
      <c r="R56" s="238"/>
      <c r="S56" s="238"/>
      <c r="T56" s="238"/>
      <c r="U56" s="238"/>
      <c r="V56" s="238"/>
      <c r="W56" s="238"/>
      <c r="X56" s="239"/>
      <c r="Y56" s="239"/>
      <c r="Z56" s="239"/>
      <c r="AA56" s="239"/>
      <c r="AB56" s="239"/>
      <c r="AC56" s="238"/>
      <c r="AD56" s="370"/>
      <c r="AE56" s="371"/>
      <c r="AF56" s="238"/>
      <c r="AG56" s="238"/>
      <c r="AH56" s="238"/>
      <c r="AI56" s="698"/>
    </row>
    <row r="57" spans="1:35" s="37" customFormat="1" ht="24" customHeight="1">
      <c r="A57" s="36"/>
      <c r="B57" s="36"/>
      <c r="C57" s="112"/>
      <c r="D57" s="144" t="s">
        <v>59</v>
      </c>
      <c r="E57" s="109"/>
      <c r="F57" s="294">
        <v>1</v>
      </c>
      <c r="G57" s="125" t="s">
        <v>7</v>
      </c>
      <c r="H57" s="143"/>
      <c r="I57" s="111">
        <f t="shared" si="2"/>
        <v>0</v>
      </c>
      <c r="J57" s="68"/>
      <c r="K57" s="68"/>
      <c r="L57" s="69"/>
      <c r="N57" s="693"/>
      <c r="O57" s="236"/>
      <c r="P57" s="237"/>
      <c r="Q57" s="238"/>
      <c r="R57" s="238"/>
      <c r="S57" s="238"/>
      <c r="T57" s="238"/>
      <c r="U57" s="238"/>
      <c r="V57" s="238"/>
      <c r="W57" s="238"/>
      <c r="X57" s="239"/>
      <c r="Y57" s="239"/>
      <c r="Z57" s="239"/>
      <c r="AA57" s="239"/>
      <c r="AB57" s="239"/>
      <c r="AC57" s="238"/>
      <c r="AD57" s="370"/>
      <c r="AE57" s="371"/>
      <c r="AF57" s="238"/>
      <c r="AG57" s="238"/>
      <c r="AH57" s="238"/>
      <c r="AI57" s="698"/>
    </row>
    <row r="58" spans="1:35" s="37" customFormat="1" ht="24" customHeight="1">
      <c r="A58" s="36"/>
      <c r="B58" s="36"/>
      <c r="C58" s="112"/>
      <c r="D58" s="144" t="s">
        <v>60</v>
      </c>
      <c r="E58" s="109"/>
      <c r="F58" s="294">
        <v>1</v>
      </c>
      <c r="G58" s="125" t="s">
        <v>7</v>
      </c>
      <c r="H58" s="143"/>
      <c r="I58" s="111">
        <f t="shared" si="2"/>
        <v>0</v>
      </c>
      <c r="J58" s="68"/>
      <c r="K58" s="68"/>
      <c r="L58" s="69"/>
      <c r="N58" s="693"/>
      <c r="O58" s="236"/>
      <c r="P58" s="237"/>
      <c r="Q58" s="238"/>
      <c r="R58" s="238"/>
      <c r="S58" s="238"/>
      <c r="T58" s="238"/>
      <c r="U58" s="238"/>
      <c r="V58" s="238"/>
      <c r="W58" s="238"/>
      <c r="X58" s="239"/>
      <c r="Y58" s="239"/>
      <c r="Z58" s="239"/>
      <c r="AA58" s="239"/>
      <c r="AB58" s="239"/>
      <c r="AC58" s="238"/>
      <c r="AD58" s="370"/>
      <c r="AE58" s="371"/>
      <c r="AF58" s="238"/>
      <c r="AG58" s="238"/>
      <c r="AH58" s="238"/>
      <c r="AI58" s="698"/>
    </row>
    <row r="59" spans="1:35" s="37" customFormat="1" ht="24" customHeight="1">
      <c r="A59" s="36"/>
      <c r="B59" s="36"/>
      <c r="C59" s="112"/>
      <c r="D59" s="144"/>
      <c r="E59" s="109"/>
      <c r="F59" s="294"/>
      <c r="G59" s="125"/>
      <c r="H59" s="143"/>
      <c r="I59" s="111" t="str">
        <f t="shared" si="2"/>
        <v/>
      </c>
      <c r="J59" s="68"/>
      <c r="K59" s="68"/>
      <c r="L59" s="69"/>
      <c r="N59" s="693"/>
      <c r="O59" s="236"/>
      <c r="P59" s="237"/>
      <c r="Q59" s="238"/>
      <c r="R59" s="238"/>
      <c r="S59" s="238"/>
      <c r="T59" s="238"/>
      <c r="U59" s="238"/>
      <c r="V59" s="238"/>
      <c r="W59" s="238"/>
      <c r="X59" s="239"/>
      <c r="Y59" s="239"/>
      <c r="Z59" s="239"/>
      <c r="AA59" s="239"/>
      <c r="AB59" s="239"/>
      <c r="AC59" s="238"/>
      <c r="AD59" s="370"/>
      <c r="AE59" s="371"/>
      <c r="AF59" s="238"/>
      <c r="AG59" s="238"/>
      <c r="AH59" s="238"/>
      <c r="AI59" s="698"/>
    </row>
    <row r="60" spans="1:35" s="37" customFormat="1" ht="24" customHeight="1">
      <c r="A60" s="36"/>
      <c r="B60" s="36"/>
      <c r="C60" s="112"/>
      <c r="D60" s="144"/>
      <c r="E60" s="109"/>
      <c r="F60" s="294"/>
      <c r="G60" s="125"/>
      <c r="H60" s="143"/>
      <c r="I60" s="111" t="str">
        <f t="shared" si="2"/>
        <v/>
      </c>
      <c r="J60" s="68"/>
      <c r="K60" s="68"/>
      <c r="L60" s="69"/>
      <c r="N60" s="693"/>
      <c r="O60" s="236"/>
      <c r="P60" s="237"/>
      <c r="Q60" s="238"/>
      <c r="R60" s="238"/>
      <c r="S60" s="238"/>
      <c r="T60" s="238"/>
      <c r="U60" s="238"/>
      <c r="V60" s="238"/>
      <c r="W60" s="238"/>
      <c r="X60" s="239"/>
      <c r="Y60" s="239"/>
      <c r="Z60" s="239"/>
      <c r="AA60" s="239"/>
      <c r="AB60" s="239"/>
      <c r="AC60" s="238"/>
      <c r="AD60" s="370"/>
      <c r="AE60" s="371"/>
      <c r="AF60" s="238"/>
      <c r="AG60" s="238"/>
      <c r="AH60" s="238"/>
      <c r="AI60" s="698"/>
    </row>
    <row r="61" spans="1:35" s="37" customFormat="1" ht="24" customHeight="1">
      <c r="A61" s="36"/>
      <c r="B61" s="36"/>
      <c r="C61" s="112"/>
      <c r="D61" s="144"/>
      <c r="E61" s="109"/>
      <c r="F61" s="294"/>
      <c r="G61" s="125"/>
      <c r="H61" s="143"/>
      <c r="I61" s="111" t="str">
        <f t="shared" si="2"/>
        <v/>
      </c>
      <c r="J61" s="68"/>
      <c r="K61" s="68"/>
      <c r="L61" s="69"/>
      <c r="N61" s="693"/>
      <c r="O61" s="236"/>
      <c r="P61" s="237"/>
      <c r="Q61" s="238"/>
      <c r="R61" s="238"/>
      <c r="S61" s="238"/>
      <c r="T61" s="238"/>
      <c r="U61" s="238"/>
      <c r="V61" s="238"/>
      <c r="W61" s="238"/>
      <c r="X61" s="239"/>
      <c r="Y61" s="239"/>
      <c r="Z61" s="239"/>
      <c r="AA61" s="239"/>
      <c r="AB61" s="239"/>
      <c r="AC61" s="238"/>
      <c r="AD61" s="370"/>
      <c r="AE61" s="371"/>
      <c r="AF61" s="238"/>
      <c r="AG61" s="238"/>
      <c r="AH61" s="238"/>
      <c r="AI61" s="698"/>
    </row>
    <row r="62" spans="1:35" s="37" customFormat="1" ht="24" customHeight="1">
      <c r="A62" s="36"/>
      <c r="B62" s="36"/>
      <c r="C62" s="112"/>
      <c r="D62" s="144"/>
      <c r="E62" s="109"/>
      <c r="F62" s="294"/>
      <c r="G62" s="125"/>
      <c r="H62" s="143"/>
      <c r="I62" s="111" t="str">
        <f t="shared" si="2"/>
        <v/>
      </c>
      <c r="J62" s="68"/>
      <c r="K62" s="68"/>
      <c r="L62" s="69"/>
      <c r="N62" s="693"/>
      <c r="O62" s="236"/>
      <c r="P62" s="237"/>
      <c r="Q62" s="238"/>
      <c r="R62" s="238"/>
      <c r="S62" s="238"/>
      <c r="T62" s="238"/>
      <c r="U62" s="238"/>
      <c r="V62" s="238"/>
      <c r="W62" s="238"/>
      <c r="X62" s="239"/>
      <c r="Y62" s="239"/>
      <c r="Z62" s="239"/>
      <c r="AA62" s="239"/>
      <c r="AB62" s="239"/>
      <c r="AC62" s="238"/>
      <c r="AD62" s="370"/>
      <c r="AE62" s="371"/>
      <c r="AF62" s="238"/>
      <c r="AG62" s="238"/>
      <c r="AH62" s="238"/>
      <c r="AI62" s="698"/>
    </row>
    <row r="63" spans="1:35" s="37" customFormat="1" ht="24" customHeight="1">
      <c r="A63" s="36"/>
      <c r="B63" s="36"/>
      <c r="C63" s="112"/>
      <c r="D63" s="144"/>
      <c r="E63" s="109"/>
      <c r="F63" s="294"/>
      <c r="G63" s="125"/>
      <c r="H63" s="143"/>
      <c r="I63" s="111" t="str">
        <f t="shared" si="2"/>
        <v/>
      </c>
      <c r="J63" s="68"/>
      <c r="K63" s="68"/>
      <c r="L63" s="69"/>
      <c r="N63" s="693"/>
      <c r="O63" s="236"/>
      <c r="P63" s="237"/>
      <c r="Q63" s="238"/>
      <c r="R63" s="238"/>
      <c r="S63" s="238"/>
      <c r="T63" s="238"/>
      <c r="U63" s="238"/>
      <c r="V63" s="238"/>
      <c r="W63" s="238"/>
      <c r="X63" s="239"/>
      <c r="Y63" s="239"/>
      <c r="Z63" s="239"/>
      <c r="AA63" s="239"/>
      <c r="AB63" s="239"/>
      <c r="AC63" s="238"/>
      <c r="AD63" s="370"/>
      <c r="AE63" s="371"/>
      <c r="AF63" s="238"/>
      <c r="AG63" s="238"/>
      <c r="AH63" s="238"/>
      <c r="AI63" s="698"/>
    </row>
    <row r="64" spans="1:35" s="37" customFormat="1" ht="24" customHeight="1">
      <c r="A64" s="36"/>
      <c r="B64" s="36"/>
      <c r="C64" s="112"/>
      <c r="D64" s="144"/>
      <c r="E64" s="109"/>
      <c r="F64" s="294"/>
      <c r="G64" s="125"/>
      <c r="H64" s="143"/>
      <c r="I64" s="111" t="str">
        <f t="shared" si="2"/>
        <v/>
      </c>
      <c r="J64" s="68"/>
      <c r="K64" s="68"/>
      <c r="L64" s="69"/>
      <c r="N64" s="693"/>
      <c r="O64" s="236"/>
      <c r="P64" s="237"/>
      <c r="Q64" s="238"/>
      <c r="R64" s="238"/>
      <c r="S64" s="238"/>
      <c r="T64" s="238"/>
      <c r="U64" s="238"/>
      <c r="V64" s="238"/>
      <c r="W64" s="238"/>
      <c r="X64" s="239"/>
      <c r="Y64" s="239"/>
      <c r="Z64" s="239"/>
      <c r="AA64" s="239"/>
      <c r="AB64" s="239"/>
      <c r="AC64" s="238"/>
      <c r="AD64" s="370"/>
      <c r="AE64" s="371"/>
      <c r="AF64" s="238"/>
      <c r="AG64" s="238"/>
      <c r="AH64" s="238"/>
      <c r="AI64" s="698"/>
    </row>
    <row r="65" spans="1:35" s="37" customFormat="1" ht="24" customHeight="1">
      <c r="A65" s="36"/>
      <c r="B65" s="36"/>
      <c r="C65" s="112"/>
      <c r="D65" s="144"/>
      <c r="E65" s="109"/>
      <c r="F65" s="294"/>
      <c r="G65" s="125"/>
      <c r="H65" s="143"/>
      <c r="I65" s="111" t="str">
        <f t="shared" si="2"/>
        <v/>
      </c>
      <c r="J65" s="68"/>
      <c r="K65" s="68"/>
      <c r="L65" s="69"/>
      <c r="N65" s="693"/>
      <c r="O65" s="236"/>
      <c r="P65" s="237"/>
      <c r="Q65" s="238"/>
      <c r="R65" s="238"/>
      <c r="S65" s="238"/>
      <c r="T65" s="238"/>
      <c r="U65" s="238"/>
      <c r="V65" s="238"/>
      <c r="W65" s="238"/>
      <c r="X65" s="239"/>
      <c r="Y65" s="239"/>
      <c r="Z65" s="239"/>
      <c r="AA65" s="239"/>
      <c r="AB65" s="239"/>
      <c r="AC65" s="238"/>
      <c r="AD65" s="370"/>
      <c r="AE65" s="371"/>
      <c r="AF65" s="238"/>
      <c r="AG65" s="238"/>
      <c r="AH65" s="238"/>
      <c r="AI65" s="698"/>
    </row>
    <row r="66" spans="1:35" s="37" customFormat="1" ht="24" customHeight="1">
      <c r="A66" s="36"/>
      <c r="B66" s="36"/>
      <c r="C66" s="112"/>
      <c r="D66" s="144"/>
      <c r="E66" s="109"/>
      <c r="F66" s="294"/>
      <c r="G66" s="125"/>
      <c r="H66" s="143"/>
      <c r="I66" s="111" t="str">
        <f t="shared" si="2"/>
        <v/>
      </c>
      <c r="J66" s="68"/>
      <c r="K66" s="68"/>
      <c r="L66" s="69"/>
      <c r="N66" s="693"/>
      <c r="O66" s="236"/>
      <c r="P66" s="237"/>
      <c r="Q66" s="238"/>
      <c r="R66" s="238"/>
      <c r="S66" s="238"/>
      <c r="T66" s="238"/>
      <c r="U66" s="238"/>
      <c r="V66" s="238"/>
      <c r="W66" s="238"/>
      <c r="X66" s="239"/>
      <c r="Y66" s="239"/>
      <c r="Z66" s="239"/>
      <c r="AA66" s="239"/>
      <c r="AB66" s="239"/>
      <c r="AC66" s="238"/>
      <c r="AD66" s="370"/>
      <c r="AE66" s="371"/>
      <c r="AF66" s="238"/>
      <c r="AG66" s="238"/>
      <c r="AH66" s="238"/>
      <c r="AI66" s="698"/>
    </row>
    <row r="67" spans="1:35" s="37" customFormat="1" ht="24" customHeight="1">
      <c r="A67" s="36"/>
      <c r="B67" s="36"/>
      <c r="C67" s="112"/>
      <c r="D67" s="144"/>
      <c r="E67" s="109"/>
      <c r="F67" s="294"/>
      <c r="G67" s="125"/>
      <c r="H67" s="143"/>
      <c r="I67" s="111" t="str">
        <f t="shared" si="2"/>
        <v/>
      </c>
      <c r="J67" s="68"/>
      <c r="K67" s="68"/>
      <c r="L67" s="69"/>
      <c r="N67" s="693"/>
      <c r="O67" s="236"/>
      <c r="P67" s="237"/>
      <c r="Q67" s="238"/>
      <c r="R67" s="238"/>
      <c r="S67" s="238"/>
      <c r="T67" s="238"/>
      <c r="U67" s="238"/>
      <c r="V67" s="238"/>
      <c r="W67" s="238"/>
      <c r="X67" s="239"/>
      <c r="Y67" s="239"/>
      <c r="Z67" s="239"/>
      <c r="AA67" s="239"/>
      <c r="AB67" s="239"/>
      <c r="AC67" s="238"/>
      <c r="AD67" s="370"/>
      <c r="AE67" s="371"/>
      <c r="AF67" s="238"/>
      <c r="AG67" s="238"/>
      <c r="AH67" s="238"/>
      <c r="AI67" s="698"/>
    </row>
    <row r="68" spans="1:35" s="37" customFormat="1" ht="24" customHeight="1">
      <c r="A68" s="36"/>
      <c r="B68" s="36"/>
      <c r="C68" s="112"/>
      <c r="D68" s="144"/>
      <c r="E68" s="109"/>
      <c r="F68" s="294"/>
      <c r="G68" s="125"/>
      <c r="H68" s="143"/>
      <c r="I68" s="111" t="str">
        <f t="shared" si="2"/>
        <v/>
      </c>
      <c r="J68" s="68"/>
      <c r="K68" s="68"/>
      <c r="L68" s="69"/>
      <c r="N68" s="693"/>
      <c r="O68" s="236"/>
      <c r="P68" s="237"/>
      <c r="Q68" s="238"/>
      <c r="R68" s="238"/>
      <c r="S68" s="238"/>
      <c r="T68" s="238"/>
      <c r="U68" s="238"/>
      <c r="V68" s="238"/>
      <c r="W68" s="238"/>
      <c r="X68" s="239"/>
      <c r="Y68" s="239"/>
      <c r="Z68" s="239"/>
      <c r="AA68" s="239"/>
      <c r="AB68" s="239"/>
      <c r="AC68" s="238"/>
      <c r="AD68" s="370"/>
      <c r="AE68" s="371"/>
      <c r="AF68" s="238"/>
      <c r="AG68" s="238"/>
      <c r="AH68" s="238"/>
      <c r="AI68" s="698"/>
    </row>
    <row r="69" spans="1:35" s="37" customFormat="1" ht="24" customHeight="1">
      <c r="A69" s="36"/>
      <c r="B69" s="36"/>
      <c r="C69" s="112"/>
      <c r="D69" s="144"/>
      <c r="E69" s="109"/>
      <c r="F69" s="294"/>
      <c r="G69" s="125"/>
      <c r="H69" s="143"/>
      <c r="I69" s="111" t="str">
        <f t="shared" si="2"/>
        <v/>
      </c>
      <c r="J69" s="68"/>
      <c r="K69" s="68"/>
      <c r="L69" s="69"/>
      <c r="N69" s="693"/>
      <c r="O69" s="236"/>
      <c r="P69" s="237"/>
      <c r="Q69" s="238"/>
      <c r="R69" s="238"/>
      <c r="S69" s="238"/>
      <c r="T69" s="238"/>
      <c r="U69" s="238"/>
      <c r="V69" s="238"/>
      <c r="W69" s="238"/>
      <c r="X69" s="239"/>
      <c r="Y69" s="239"/>
      <c r="Z69" s="239"/>
      <c r="AA69" s="239"/>
      <c r="AB69" s="239"/>
      <c r="AC69" s="238"/>
      <c r="AD69" s="370"/>
      <c r="AE69" s="371"/>
      <c r="AF69" s="238"/>
      <c r="AG69" s="238"/>
      <c r="AH69" s="238"/>
      <c r="AI69" s="698"/>
    </row>
    <row r="70" spans="1:35" ht="24" customHeight="1" thickBot="1">
      <c r="A70" s="36"/>
      <c r="B70" s="36"/>
      <c r="C70" s="113"/>
      <c r="D70" s="99" t="s">
        <v>9</v>
      </c>
      <c r="E70" s="114"/>
      <c r="F70" s="295"/>
      <c r="G70" s="127"/>
      <c r="H70" s="137" t="s">
        <v>108</v>
      </c>
      <c r="I70" s="115">
        <f>SUM(I52:I69)</f>
        <v>0</v>
      </c>
      <c r="J70" s="99" t="s">
        <v>109</v>
      </c>
      <c r="K70" s="99"/>
      <c r="L70" s="129"/>
      <c r="O70" s="236"/>
      <c r="P70" s="237"/>
      <c r="Q70" s="238"/>
      <c r="R70" s="238"/>
      <c r="S70" s="238"/>
      <c r="T70" s="238"/>
      <c r="U70" s="238"/>
      <c r="V70" s="238"/>
      <c r="W70" s="238"/>
      <c r="X70" s="239"/>
      <c r="Y70" s="239"/>
      <c r="Z70" s="239"/>
      <c r="AA70" s="239"/>
      <c r="AB70" s="239"/>
      <c r="AC70" s="238"/>
      <c r="AD70" s="370"/>
      <c r="AE70" s="371"/>
      <c r="AF70" s="238"/>
      <c r="AG70" s="238"/>
      <c r="AH70" s="238"/>
      <c r="AI70" s="698"/>
    </row>
    <row r="71" spans="1:35" ht="14.25" customHeight="1">
      <c r="D71" s="131"/>
      <c r="E71" s="130" t="s">
        <v>106</v>
      </c>
      <c r="F71" s="131">
        <f>+F48+1</f>
        <v>14</v>
      </c>
      <c r="G71" s="132" t="s">
        <v>67</v>
      </c>
      <c r="H71" s="133">
        <f>+$H$25</f>
        <v>6</v>
      </c>
      <c r="I71" s="133"/>
      <c r="M71" s="31" t="str">
        <f>IF(A73="","EOL","")</f>
        <v>EOL</v>
      </c>
      <c r="N71" s="6">
        <f>+F71</f>
        <v>14</v>
      </c>
      <c r="O71" s="1"/>
      <c r="P71" s="1"/>
    </row>
    <row r="72" spans="1:35" ht="26" customHeight="1">
      <c r="O72" s="235"/>
      <c r="P72" s="235"/>
      <c r="Q72" s="235"/>
      <c r="R72" s="235"/>
      <c r="S72" s="235"/>
      <c r="T72" s="235"/>
      <c r="U72" s="235"/>
      <c r="V72" s="235"/>
      <c r="W72" s="235"/>
      <c r="X72" s="235"/>
      <c r="Y72" s="235"/>
      <c r="Z72" s="235"/>
      <c r="AA72" s="235"/>
    </row>
    <row r="73" spans="1:35" ht="26" customHeight="1">
      <c r="O73" s="854"/>
      <c r="P73" s="854"/>
      <c r="Q73" s="231"/>
      <c r="R73" s="232"/>
      <c r="S73" s="233"/>
      <c r="T73" s="233"/>
      <c r="U73" s="231"/>
      <c r="V73" s="231"/>
      <c r="W73" s="233"/>
      <c r="X73" s="854"/>
      <c r="Y73" s="854"/>
      <c r="Z73" s="854"/>
      <c r="AA73" s="854"/>
    </row>
    <row r="74" spans="1:35" ht="26" customHeight="1">
      <c r="O74" s="234"/>
      <c r="P74" s="234"/>
      <c r="Q74" s="231"/>
      <c r="R74" s="231"/>
      <c r="S74" s="231"/>
      <c r="T74" s="231"/>
      <c r="U74" s="231"/>
      <c r="V74" s="231"/>
      <c r="W74" s="231"/>
      <c r="X74" s="231"/>
      <c r="Y74" s="231"/>
      <c r="Z74" s="231"/>
      <c r="AA74" s="231"/>
    </row>
    <row r="75" spans="1:35" ht="26" customHeight="1">
      <c r="O75" s="234"/>
      <c r="P75" s="234"/>
      <c r="Q75" s="231"/>
      <c r="R75" s="231"/>
      <c r="S75" s="231"/>
      <c r="T75" s="231"/>
      <c r="U75" s="231"/>
      <c r="V75" s="231"/>
      <c r="W75" s="231"/>
      <c r="X75" s="231"/>
      <c r="Y75" s="231"/>
      <c r="Z75" s="231"/>
      <c r="AA75" s="231"/>
    </row>
    <row r="76" spans="1:35" ht="26" customHeight="1">
      <c r="O76" s="234"/>
      <c r="P76" s="234"/>
      <c r="Q76" s="231"/>
      <c r="R76" s="231"/>
      <c r="S76" s="231"/>
      <c r="T76" s="231"/>
      <c r="U76" s="231"/>
      <c r="V76" s="231"/>
      <c r="W76" s="231"/>
      <c r="X76" s="231"/>
      <c r="Y76" s="231"/>
      <c r="Z76" s="231"/>
      <c r="AA76" s="231"/>
    </row>
    <row r="77" spans="1:35" ht="26" customHeight="1">
      <c r="O77" s="234"/>
      <c r="P77" s="234"/>
      <c r="Q77" s="231"/>
      <c r="R77" s="231"/>
      <c r="S77" s="231"/>
      <c r="T77" s="231"/>
      <c r="U77" s="231"/>
      <c r="V77" s="231"/>
      <c r="W77" s="231"/>
      <c r="X77" s="231"/>
      <c r="Y77" s="231"/>
      <c r="Z77" s="231"/>
      <c r="AA77" s="231"/>
    </row>
    <row r="78" spans="1:35" ht="26" customHeight="1">
      <c r="O78" s="234"/>
      <c r="P78" s="234"/>
      <c r="Q78" s="231"/>
      <c r="R78" s="231"/>
      <c r="S78" s="231"/>
      <c r="T78" s="231"/>
      <c r="U78" s="231"/>
      <c r="V78" s="231"/>
      <c r="W78" s="231"/>
      <c r="X78" s="231"/>
      <c r="Y78" s="231"/>
      <c r="Z78" s="231"/>
      <c r="AA78" s="231"/>
    </row>
    <row r="79" spans="1:35" ht="26" customHeight="1">
      <c r="O79" s="234"/>
      <c r="P79" s="234"/>
      <c r="Q79" s="231"/>
      <c r="R79" s="231"/>
      <c r="S79" s="231"/>
      <c r="T79" s="231"/>
      <c r="U79" s="231"/>
      <c r="V79" s="231"/>
      <c r="W79" s="231"/>
      <c r="X79" s="231"/>
      <c r="Y79" s="231"/>
      <c r="Z79" s="231"/>
      <c r="AA79" s="231"/>
    </row>
    <row r="80" spans="1:35" ht="26" customHeight="1">
      <c r="O80" s="234"/>
      <c r="P80" s="234"/>
      <c r="Q80" s="231"/>
      <c r="R80" s="231"/>
      <c r="S80" s="231"/>
      <c r="T80" s="231"/>
      <c r="U80" s="231"/>
      <c r="V80" s="231"/>
      <c r="W80" s="231"/>
      <c r="X80" s="231"/>
      <c r="Y80" s="231"/>
      <c r="Z80" s="231"/>
      <c r="AA80" s="231"/>
    </row>
    <row r="81" spans="15:27" ht="26" customHeight="1">
      <c r="O81" s="234"/>
      <c r="P81" s="234"/>
      <c r="Q81" s="231"/>
      <c r="R81" s="231"/>
      <c r="S81" s="231"/>
      <c r="T81" s="231"/>
      <c r="U81" s="231"/>
      <c r="V81" s="231"/>
      <c r="W81" s="231"/>
      <c r="X81" s="231"/>
      <c r="Y81" s="231"/>
      <c r="Z81" s="231"/>
      <c r="AA81" s="231"/>
    </row>
    <row r="82" spans="15:27" ht="26" customHeight="1">
      <c r="O82" s="234"/>
      <c r="P82" s="234"/>
      <c r="Q82" s="231"/>
      <c r="R82" s="231"/>
      <c r="S82" s="231"/>
      <c r="T82" s="231"/>
      <c r="U82" s="231"/>
      <c r="V82" s="231"/>
      <c r="W82" s="231"/>
      <c r="X82" s="231"/>
      <c r="Y82" s="231"/>
      <c r="Z82" s="231"/>
      <c r="AA82" s="231"/>
    </row>
    <row r="83" spans="15:27" ht="26" customHeight="1">
      <c r="O83" s="234"/>
      <c r="P83" s="234"/>
      <c r="Q83" s="231"/>
      <c r="R83" s="231"/>
      <c r="S83" s="231"/>
      <c r="T83" s="231"/>
      <c r="U83" s="231"/>
      <c r="V83" s="231"/>
      <c r="W83" s="231"/>
      <c r="X83" s="231"/>
      <c r="Y83" s="231"/>
      <c r="Z83" s="231"/>
      <c r="AA83" s="231"/>
    </row>
    <row r="84" spans="15:27" ht="26" customHeight="1">
      <c r="O84" s="234"/>
      <c r="P84" s="234"/>
      <c r="Q84" s="231"/>
      <c r="R84" s="231"/>
      <c r="S84" s="231"/>
      <c r="T84" s="231"/>
      <c r="U84" s="231"/>
      <c r="V84" s="231"/>
      <c r="W84" s="231"/>
      <c r="X84" s="231"/>
      <c r="Y84" s="231"/>
      <c r="Z84" s="231"/>
      <c r="AA84" s="231"/>
    </row>
    <row r="85" spans="15:27" ht="26" customHeight="1">
      <c r="O85" s="234"/>
      <c r="P85" s="234"/>
      <c r="Q85" s="231"/>
      <c r="R85" s="231"/>
      <c r="S85" s="231"/>
      <c r="T85" s="231"/>
      <c r="U85" s="231"/>
      <c r="V85" s="231"/>
      <c r="W85" s="231"/>
      <c r="X85" s="231"/>
      <c r="Y85" s="231"/>
      <c r="Z85" s="231"/>
      <c r="AA85" s="231"/>
    </row>
    <row r="86" spans="15:27" ht="26" customHeight="1">
      <c r="O86" s="234"/>
      <c r="P86" s="234"/>
      <c r="Q86" s="231"/>
      <c r="R86" s="231"/>
      <c r="S86" s="231"/>
      <c r="T86" s="231"/>
      <c r="U86" s="231"/>
      <c r="V86" s="231"/>
      <c r="W86" s="231"/>
      <c r="X86" s="231"/>
      <c r="Y86" s="231"/>
      <c r="Z86" s="231"/>
      <c r="AA86" s="231"/>
    </row>
    <row r="87" spans="15:27" ht="26" customHeight="1">
      <c r="O87" s="234"/>
      <c r="P87" s="234"/>
      <c r="Q87" s="231"/>
      <c r="R87" s="231"/>
      <c r="S87" s="231"/>
      <c r="T87" s="231"/>
      <c r="U87" s="231"/>
      <c r="V87" s="231"/>
      <c r="W87" s="231"/>
      <c r="X87" s="231"/>
      <c r="Y87" s="231"/>
      <c r="Z87" s="231"/>
      <c r="AA87" s="231"/>
    </row>
    <row r="88" spans="15:27" ht="26" customHeight="1">
      <c r="O88" s="234"/>
      <c r="P88" s="234"/>
      <c r="Q88" s="231"/>
      <c r="R88" s="231"/>
      <c r="S88" s="231"/>
      <c r="T88" s="231"/>
      <c r="U88" s="231"/>
      <c r="V88" s="231"/>
      <c r="W88" s="231"/>
      <c r="X88" s="231"/>
      <c r="Y88" s="231"/>
      <c r="Z88" s="231"/>
      <c r="AA88" s="231"/>
    </row>
    <row r="89" spans="15:27" ht="26" customHeight="1">
      <c r="O89" s="234"/>
      <c r="P89" s="234"/>
      <c r="Q89" s="231"/>
      <c r="R89" s="231"/>
      <c r="S89" s="231"/>
      <c r="T89" s="231"/>
      <c r="U89" s="231"/>
      <c r="V89" s="231"/>
      <c r="W89" s="231"/>
      <c r="X89" s="231"/>
      <c r="Y89" s="231"/>
      <c r="Z89" s="231"/>
      <c r="AA89" s="231"/>
    </row>
    <row r="90" spans="15:27" ht="26" customHeight="1">
      <c r="O90" s="234"/>
      <c r="P90" s="234"/>
      <c r="Q90" s="231"/>
      <c r="R90" s="231"/>
      <c r="S90" s="231"/>
      <c r="T90" s="231"/>
      <c r="U90" s="231"/>
      <c r="V90" s="231"/>
      <c r="W90" s="231"/>
      <c r="X90" s="231"/>
      <c r="Y90" s="231"/>
      <c r="Z90" s="231"/>
      <c r="AA90" s="231"/>
    </row>
    <row r="91" spans="15:27" ht="26" customHeight="1">
      <c r="O91" s="234"/>
      <c r="P91" s="234"/>
      <c r="Q91" s="231"/>
      <c r="R91" s="231"/>
      <c r="S91" s="231"/>
      <c r="T91" s="231"/>
      <c r="U91" s="231"/>
      <c r="V91" s="231"/>
      <c r="W91" s="231"/>
      <c r="X91" s="231"/>
      <c r="Y91" s="231"/>
      <c r="Z91" s="231"/>
      <c r="AA91" s="231"/>
    </row>
    <row r="92" spans="15:27" ht="26" customHeight="1">
      <c r="O92" s="234"/>
      <c r="P92" s="234"/>
      <c r="Q92" s="231"/>
      <c r="R92" s="231"/>
      <c r="S92" s="231"/>
      <c r="T92" s="231"/>
      <c r="U92" s="231"/>
      <c r="V92" s="231"/>
      <c r="W92" s="231"/>
      <c r="X92" s="231"/>
      <c r="Y92" s="231"/>
      <c r="Z92" s="231"/>
      <c r="AA92" s="231"/>
    </row>
    <row r="93" spans="15:27" ht="26" customHeight="1">
      <c r="O93" s="234"/>
      <c r="P93" s="234"/>
      <c r="Q93" s="231"/>
      <c r="R93" s="231"/>
      <c r="S93" s="231"/>
      <c r="T93" s="231"/>
      <c r="U93" s="231"/>
      <c r="V93" s="231"/>
      <c r="W93" s="231"/>
      <c r="X93" s="231"/>
      <c r="Y93" s="231"/>
      <c r="Z93" s="231"/>
      <c r="AA93" s="231"/>
    </row>
    <row r="94" spans="15:27" ht="26" customHeight="1">
      <c r="O94" s="1"/>
      <c r="P94" s="1"/>
    </row>
  </sheetData>
  <mergeCells count="11">
    <mergeCell ref="C3:L3"/>
    <mergeCell ref="O3:AH3"/>
    <mergeCell ref="J4:L4"/>
    <mergeCell ref="J5:L5"/>
    <mergeCell ref="C26:L26"/>
    <mergeCell ref="O26:AH26"/>
    <mergeCell ref="J27:L27"/>
    <mergeCell ref="C49:L49"/>
    <mergeCell ref="O49:AH49"/>
    <mergeCell ref="J50:L50"/>
    <mergeCell ref="J51:L51"/>
  </mergeCells>
  <phoneticPr fontId="2"/>
  <printOptions horizontalCentered="1" verticalCentered="1"/>
  <pageMargins left="0.39370078740157483" right="0.39370078740157483" top="0.78740157480314965" bottom="0.19685039370078741" header="0.51181102362204722" footer="0.51181102362204722"/>
  <pageSetup paperSize="9" orientation="landscape" horizontalDpi="300" verticalDpi="300" r:id="rId1"/>
  <headerFooter alignWithMargins="0"/>
  <rowBreaks count="1" manualBreakCount="1">
    <brk id="2" max="1638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Q27"/>
  <sheetViews>
    <sheetView zoomScale="85" zoomScaleNormal="85" workbookViewId="0">
      <selection sqref="A1:M1"/>
    </sheetView>
  </sheetViews>
  <sheetFormatPr defaultColWidth="9" defaultRowHeight="20" customHeight="1"/>
  <cols>
    <col min="1" max="1" width="6.1796875" style="220" customWidth="1"/>
    <col min="2" max="3" width="4.1796875" style="220" customWidth="1"/>
    <col min="4" max="4" width="24" style="221" customWidth="1"/>
    <col min="5" max="5" width="21.1796875" style="221" customWidth="1"/>
    <col min="6" max="6" width="4.6328125" style="221" customWidth="1"/>
    <col min="7" max="7" width="4.36328125" style="220" customWidth="1"/>
    <col min="8" max="15" width="9.1796875" style="222" customWidth="1"/>
    <col min="16" max="16" width="9.1796875" style="221" bestFit="1" customWidth="1"/>
    <col min="17" max="17" width="5.81640625" style="221" customWidth="1"/>
    <col min="18" max="20" width="10.6328125" style="221" customWidth="1"/>
    <col min="21" max="16384" width="9" style="221"/>
  </cols>
  <sheetData>
    <row r="1" spans="1:17" s="18" customFormat="1" ht="20" customHeight="1" thickBot="1">
      <c r="A1" s="1043" t="s">
        <v>15</v>
      </c>
      <c r="B1" s="1043"/>
      <c r="C1" s="1043"/>
      <c r="D1" s="1043"/>
      <c r="E1" s="1043"/>
      <c r="F1" s="1043"/>
      <c r="G1" s="1043"/>
      <c r="H1" s="1043"/>
      <c r="I1" s="1043"/>
      <c r="J1" s="1043"/>
      <c r="K1" s="1043"/>
      <c r="L1" s="1043"/>
      <c r="M1" s="1043"/>
      <c r="N1" s="22" t="s">
        <v>105</v>
      </c>
      <c r="O1" s="223">
        <v>1</v>
      </c>
      <c r="P1" s="18" t="s">
        <v>80</v>
      </c>
      <c r="Q1" s="1">
        <f>VLOOKUP("EOL",$N$27:$O$65536,2,FALSE)</f>
        <v>1</v>
      </c>
    </row>
    <row r="2" spans="1:17" s="22" customFormat="1" ht="20" customHeight="1">
      <c r="A2" s="19"/>
      <c r="B2" s="20" t="s">
        <v>16</v>
      </c>
      <c r="C2" s="21" t="s">
        <v>18</v>
      </c>
      <c r="D2" s="21"/>
      <c r="E2" s="78"/>
      <c r="F2" s="53"/>
      <c r="G2" s="73"/>
      <c r="H2" s="1044" t="s">
        <v>214</v>
      </c>
      <c r="I2" s="1045"/>
      <c r="J2" s="1045" t="s">
        <v>215</v>
      </c>
      <c r="K2" s="1046"/>
      <c r="L2" s="1045" t="s">
        <v>27</v>
      </c>
      <c r="M2" s="1047"/>
      <c r="N2" s="1041" t="str">
        <f>IF(G53="",IF(O26=I26,H2,IF(O26=K26,J2,L2)),N29)</f>
        <v>B:YKKap㈱</v>
      </c>
      <c r="O2" s="1042"/>
    </row>
    <row r="3" spans="1:17" s="22" customFormat="1" ht="20" customHeight="1" thickBot="1">
      <c r="A3" s="23" t="s">
        <v>28</v>
      </c>
      <c r="B3" s="24" t="s">
        <v>17</v>
      </c>
      <c r="C3" s="25" t="s">
        <v>17</v>
      </c>
      <c r="D3" s="25" t="s">
        <v>19</v>
      </c>
      <c r="E3" s="79" t="s">
        <v>20</v>
      </c>
      <c r="F3" s="54" t="s">
        <v>21</v>
      </c>
      <c r="G3" s="74" t="s">
        <v>22</v>
      </c>
      <c r="H3" s="59" t="s">
        <v>23</v>
      </c>
      <c r="I3" s="60" t="s">
        <v>24</v>
      </c>
      <c r="J3" s="61" t="s">
        <v>23</v>
      </c>
      <c r="K3" s="60" t="s">
        <v>24</v>
      </c>
      <c r="L3" s="61" t="s">
        <v>23</v>
      </c>
      <c r="M3" s="60" t="s">
        <v>24</v>
      </c>
      <c r="N3" s="59" t="s">
        <v>29</v>
      </c>
      <c r="O3" s="83" t="s">
        <v>30</v>
      </c>
    </row>
    <row r="4" spans="1:17" s="18" customFormat="1" ht="20" customHeight="1">
      <c r="A4" s="50"/>
      <c r="B4" s="91"/>
      <c r="C4" s="92"/>
      <c r="D4" s="475"/>
      <c r="E4" s="266"/>
      <c r="F4" s="55"/>
      <c r="G4" s="75"/>
      <c r="H4" s="454"/>
      <c r="I4" s="455" t="str">
        <f t="shared" ref="I4:I25" si="0">IF(H4="","",ROUNDDOWN(H4*F4,0))</f>
        <v/>
      </c>
      <c r="J4" s="462"/>
      <c r="K4" s="455" t="str">
        <f t="shared" ref="K4:K25" si="1">IF(J4="","",ROUNDDOWN(J4*$F4,0))</f>
        <v/>
      </c>
      <c r="L4" s="462"/>
      <c r="M4" s="466" t="str">
        <f t="shared" ref="M4:M25" si="2">IF(L4="","",ROUNDDOWN(L4*$F4,0))</f>
        <v/>
      </c>
      <c r="N4" s="454" t="str">
        <f>IF(F4="","",INT(HLOOKUP(N2,H2:M25,3,FALSE)*O1))</f>
        <v/>
      </c>
      <c r="O4" s="470" t="str">
        <f t="shared" ref="O4:O25" si="3">IF(N4="","",IF(N4&lt;10,INT(N4),IF(N4&lt;10000,ROUNDDOWN(N4,-1),ROUNDDOWN(N4,-2))))</f>
        <v/>
      </c>
    </row>
    <row r="5" spans="1:17" s="18" customFormat="1" ht="20" customHeight="1">
      <c r="A5" s="51">
        <v>200</v>
      </c>
      <c r="B5" s="93">
        <v>1</v>
      </c>
      <c r="C5" s="94">
        <v>1</v>
      </c>
      <c r="D5" s="476" t="s">
        <v>211</v>
      </c>
      <c r="E5" s="276" t="s">
        <v>212</v>
      </c>
      <c r="F5" s="57">
        <v>1</v>
      </c>
      <c r="G5" s="76" t="s">
        <v>213</v>
      </c>
      <c r="H5" s="456">
        <v>110000</v>
      </c>
      <c r="I5" s="457">
        <f t="shared" si="0"/>
        <v>110000</v>
      </c>
      <c r="J5" s="463">
        <v>10540</v>
      </c>
      <c r="K5" s="457">
        <f t="shared" si="1"/>
        <v>10540</v>
      </c>
      <c r="L5" s="463"/>
      <c r="M5" s="467" t="str">
        <f t="shared" si="2"/>
        <v/>
      </c>
      <c r="N5" s="456">
        <f>IF(F5="","",INT(HLOOKUP(N2,H2:M25,4,FALSE)*O1))</f>
        <v>10540</v>
      </c>
      <c r="O5" s="471">
        <f t="shared" si="3"/>
        <v>10500</v>
      </c>
    </row>
    <row r="6" spans="1:17" s="18" customFormat="1" ht="20" customHeight="1">
      <c r="A6" s="51"/>
      <c r="B6" s="93"/>
      <c r="C6" s="94"/>
      <c r="D6" s="477" t="s">
        <v>294</v>
      </c>
      <c r="E6" s="276"/>
      <c r="F6" s="57"/>
      <c r="G6" s="76"/>
      <c r="H6" s="456"/>
      <c r="I6" s="457" t="str">
        <f t="shared" si="0"/>
        <v/>
      </c>
      <c r="J6" s="463"/>
      <c r="K6" s="457" t="str">
        <f t="shared" si="1"/>
        <v/>
      </c>
      <c r="L6" s="463"/>
      <c r="M6" s="467" t="str">
        <f t="shared" si="2"/>
        <v/>
      </c>
      <c r="N6" s="456" t="str">
        <f>IF(F6="","",INT(HLOOKUP(N2,H2:M25,5,FALSE)*O1))</f>
        <v/>
      </c>
      <c r="O6" s="471" t="str">
        <f t="shared" si="3"/>
        <v/>
      </c>
    </row>
    <row r="7" spans="1:17" s="18" customFormat="1" ht="20" customHeight="1">
      <c r="A7" s="51"/>
      <c r="B7" s="93"/>
      <c r="C7" s="94"/>
      <c r="D7" s="476"/>
      <c r="E7" s="276"/>
      <c r="F7" s="57"/>
      <c r="G7" s="76"/>
      <c r="H7" s="456"/>
      <c r="I7" s="457" t="str">
        <f t="shared" si="0"/>
        <v/>
      </c>
      <c r="J7" s="463"/>
      <c r="K7" s="457" t="str">
        <f t="shared" si="1"/>
        <v/>
      </c>
      <c r="L7" s="463"/>
      <c r="M7" s="467" t="str">
        <f t="shared" si="2"/>
        <v/>
      </c>
      <c r="N7" s="456" t="str">
        <f>IF(F7="","",INT(HLOOKUP(N2,H2:M25,6,FALSE)*O1))</f>
        <v/>
      </c>
      <c r="O7" s="471" t="str">
        <f t="shared" si="3"/>
        <v/>
      </c>
    </row>
    <row r="8" spans="1:17" s="18" customFormat="1" ht="20" customHeight="1">
      <c r="A8" s="51"/>
      <c r="B8" s="93"/>
      <c r="C8" s="94"/>
      <c r="D8" s="476"/>
      <c r="E8" s="276"/>
      <c r="F8" s="57"/>
      <c r="G8" s="76"/>
      <c r="H8" s="456"/>
      <c r="I8" s="457" t="str">
        <f t="shared" si="0"/>
        <v/>
      </c>
      <c r="J8" s="463"/>
      <c r="K8" s="457" t="str">
        <f t="shared" si="1"/>
        <v/>
      </c>
      <c r="L8" s="463"/>
      <c r="M8" s="467" t="str">
        <f t="shared" si="2"/>
        <v/>
      </c>
      <c r="N8" s="456" t="str">
        <f>IF(F8="","",INT(HLOOKUP(N2,H2:M25,7,FALSE)*O1))</f>
        <v/>
      </c>
      <c r="O8" s="471" t="str">
        <f t="shared" si="3"/>
        <v/>
      </c>
    </row>
    <row r="9" spans="1:17" s="18" customFormat="1" ht="20" customHeight="1">
      <c r="A9" s="51"/>
      <c r="B9" s="93"/>
      <c r="C9" s="94"/>
      <c r="D9" s="476"/>
      <c r="E9" s="276"/>
      <c r="F9" s="57"/>
      <c r="G9" s="76"/>
      <c r="H9" s="456"/>
      <c r="I9" s="457" t="str">
        <f t="shared" si="0"/>
        <v/>
      </c>
      <c r="J9" s="463"/>
      <c r="K9" s="457" t="str">
        <f t="shared" si="1"/>
        <v/>
      </c>
      <c r="L9" s="463"/>
      <c r="M9" s="467" t="str">
        <f t="shared" si="2"/>
        <v/>
      </c>
      <c r="N9" s="456" t="str">
        <f>IF(F9="","",INT(HLOOKUP(N2,H2:M25,8,FALSE)*O1))</f>
        <v/>
      </c>
      <c r="O9" s="471" t="str">
        <f t="shared" si="3"/>
        <v/>
      </c>
    </row>
    <row r="10" spans="1:17" s="18" customFormat="1" ht="20" customHeight="1">
      <c r="A10" s="51"/>
      <c r="B10" s="93"/>
      <c r="C10" s="94"/>
      <c r="D10" s="476"/>
      <c r="E10" s="276"/>
      <c r="F10" s="57"/>
      <c r="G10" s="76"/>
      <c r="H10" s="456"/>
      <c r="I10" s="457" t="str">
        <f t="shared" si="0"/>
        <v/>
      </c>
      <c r="J10" s="463"/>
      <c r="K10" s="457" t="str">
        <f t="shared" si="1"/>
        <v/>
      </c>
      <c r="L10" s="463"/>
      <c r="M10" s="467" t="str">
        <f t="shared" si="2"/>
        <v/>
      </c>
      <c r="N10" s="456" t="str">
        <f>IF(F10="","",INT(HLOOKUP(N2,H2:M25,9,FALSE)*O1))</f>
        <v/>
      </c>
      <c r="O10" s="471" t="str">
        <f t="shared" si="3"/>
        <v/>
      </c>
    </row>
    <row r="11" spans="1:17" s="18" customFormat="1" ht="20" customHeight="1">
      <c r="A11" s="51"/>
      <c r="B11" s="93"/>
      <c r="C11" s="94"/>
      <c r="D11" s="476"/>
      <c r="E11" s="276"/>
      <c r="F11" s="57"/>
      <c r="G11" s="76"/>
      <c r="H11" s="456"/>
      <c r="I11" s="457" t="str">
        <f t="shared" si="0"/>
        <v/>
      </c>
      <c r="J11" s="463"/>
      <c r="K11" s="457" t="str">
        <f t="shared" si="1"/>
        <v/>
      </c>
      <c r="L11" s="463"/>
      <c r="M11" s="467" t="str">
        <f t="shared" si="2"/>
        <v/>
      </c>
      <c r="N11" s="456" t="str">
        <f>IF(F11="","",INT(HLOOKUP(N2,H2:M25,10,FALSE)*O1))</f>
        <v/>
      </c>
      <c r="O11" s="471" t="str">
        <f t="shared" si="3"/>
        <v/>
      </c>
    </row>
    <row r="12" spans="1:17" s="18" customFormat="1" ht="20" customHeight="1">
      <c r="A12" s="51"/>
      <c r="B12" s="93"/>
      <c r="C12" s="94"/>
      <c r="D12" s="476"/>
      <c r="E12" s="276"/>
      <c r="F12" s="57"/>
      <c r="G12" s="76"/>
      <c r="H12" s="456"/>
      <c r="I12" s="457" t="str">
        <f t="shared" si="0"/>
        <v/>
      </c>
      <c r="J12" s="463"/>
      <c r="K12" s="457" t="str">
        <f t="shared" si="1"/>
        <v/>
      </c>
      <c r="L12" s="463"/>
      <c r="M12" s="467" t="str">
        <f t="shared" si="2"/>
        <v/>
      </c>
      <c r="N12" s="456" t="str">
        <f>IF(F12="","",INT(HLOOKUP(N2,H2:M25,11,FALSE)*O1))</f>
        <v/>
      </c>
      <c r="O12" s="471" t="str">
        <f t="shared" si="3"/>
        <v/>
      </c>
    </row>
    <row r="13" spans="1:17" s="18" customFormat="1" ht="20" customHeight="1">
      <c r="A13" s="51"/>
      <c r="B13" s="93"/>
      <c r="C13" s="94"/>
      <c r="D13" s="476"/>
      <c r="E13" s="276"/>
      <c r="F13" s="57"/>
      <c r="G13" s="76"/>
      <c r="H13" s="456"/>
      <c r="I13" s="457" t="str">
        <f t="shared" si="0"/>
        <v/>
      </c>
      <c r="J13" s="463"/>
      <c r="K13" s="457" t="str">
        <f t="shared" si="1"/>
        <v/>
      </c>
      <c r="L13" s="463"/>
      <c r="M13" s="467" t="str">
        <f t="shared" si="2"/>
        <v/>
      </c>
      <c r="N13" s="456" t="str">
        <f>IF(F13="","",INT(HLOOKUP(N2,H2:M25,12,FALSE)*O1))</f>
        <v/>
      </c>
      <c r="O13" s="471" t="str">
        <f t="shared" si="3"/>
        <v/>
      </c>
    </row>
    <row r="14" spans="1:17" s="18" customFormat="1" ht="20" customHeight="1">
      <c r="A14" s="51"/>
      <c r="B14" s="93"/>
      <c r="C14" s="94"/>
      <c r="D14" s="476"/>
      <c r="E14" s="276"/>
      <c r="F14" s="57"/>
      <c r="G14" s="76"/>
      <c r="H14" s="456"/>
      <c r="I14" s="457" t="str">
        <f t="shared" si="0"/>
        <v/>
      </c>
      <c r="J14" s="463"/>
      <c r="K14" s="457" t="str">
        <f t="shared" si="1"/>
        <v/>
      </c>
      <c r="L14" s="463"/>
      <c r="M14" s="467" t="str">
        <f t="shared" si="2"/>
        <v/>
      </c>
      <c r="N14" s="456" t="str">
        <f>IF(F14="","",INT(HLOOKUP(N2,H2:M25,13,FALSE)*O1))</f>
        <v/>
      </c>
      <c r="O14" s="471" t="str">
        <f t="shared" si="3"/>
        <v/>
      </c>
    </row>
    <row r="15" spans="1:17" s="18" customFormat="1" ht="20" customHeight="1">
      <c r="A15" s="51"/>
      <c r="B15" s="93"/>
      <c r="C15" s="94"/>
      <c r="D15" s="476"/>
      <c r="E15" s="276"/>
      <c r="F15" s="57"/>
      <c r="G15" s="76"/>
      <c r="H15" s="456"/>
      <c r="I15" s="457" t="str">
        <f t="shared" si="0"/>
        <v/>
      </c>
      <c r="J15" s="463"/>
      <c r="K15" s="457" t="str">
        <f t="shared" si="1"/>
        <v/>
      </c>
      <c r="L15" s="463"/>
      <c r="M15" s="467" t="str">
        <f t="shared" si="2"/>
        <v/>
      </c>
      <c r="N15" s="456" t="str">
        <f>IF(F15="","",INT(HLOOKUP(N2,H2:M25,14,FALSE)*O1))</f>
        <v/>
      </c>
      <c r="O15" s="471" t="str">
        <f t="shared" si="3"/>
        <v/>
      </c>
    </row>
    <row r="16" spans="1:17" s="18" customFormat="1" ht="20" customHeight="1">
      <c r="A16" s="51"/>
      <c r="B16" s="93"/>
      <c r="C16" s="94"/>
      <c r="D16" s="476"/>
      <c r="E16" s="276"/>
      <c r="F16" s="57"/>
      <c r="G16" s="76"/>
      <c r="H16" s="456"/>
      <c r="I16" s="457" t="str">
        <f t="shared" si="0"/>
        <v/>
      </c>
      <c r="J16" s="463"/>
      <c r="K16" s="457" t="str">
        <f t="shared" si="1"/>
        <v/>
      </c>
      <c r="L16" s="463"/>
      <c r="M16" s="467" t="str">
        <f t="shared" si="2"/>
        <v/>
      </c>
      <c r="N16" s="456" t="str">
        <f>IF(F16="","",INT(HLOOKUP(N2,H2:M25,15,FALSE)*O1))</f>
        <v/>
      </c>
      <c r="O16" s="471" t="str">
        <f t="shared" si="3"/>
        <v/>
      </c>
    </row>
    <row r="17" spans="1:15" s="18" customFormat="1" ht="20" customHeight="1">
      <c r="A17" s="51"/>
      <c r="B17" s="93"/>
      <c r="C17" s="94"/>
      <c r="D17" s="476"/>
      <c r="E17" s="276"/>
      <c r="F17" s="57"/>
      <c r="G17" s="76"/>
      <c r="H17" s="456"/>
      <c r="I17" s="457" t="str">
        <f t="shared" si="0"/>
        <v/>
      </c>
      <c r="J17" s="463"/>
      <c r="K17" s="457" t="str">
        <f t="shared" si="1"/>
        <v/>
      </c>
      <c r="L17" s="463"/>
      <c r="M17" s="467" t="str">
        <f t="shared" si="2"/>
        <v/>
      </c>
      <c r="N17" s="456" t="str">
        <f>IF(F17="","",INT(HLOOKUP(N2,H2:M25,16,FALSE)*O1))</f>
        <v/>
      </c>
      <c r="O17" s="471" t="str">
        <f t="shared" si="3"/>
        <v/>
      </c>
    </row>
    <row r="18" spans="1:15" s="18" customFormat="1" ht="20" customHeight="1">
      <c r="A18" s="51"/>
      <c r="B18" s="93"/>
      <c r="C18" s="94"/>
      <c r="D18" s="476"/>
      <c r="E18" s="276"/>
      <c r="F18" s="57"/>
      <c r="G18" s="76"/>
      <c r="H18" s="456"/>
      <c r="I18" s="457" t="str">
        <f t="shared" si="0"/>
        <v/>
      </c>
      <c r="J18" s="463"/>
      <c r="K18" s="457" t="str">
        <f t="shared" si="1"/>
        <v/>
      </c>
      <c r="L18" s="463"/>
      <c r="M18" s="467" t="str">
        <f t="shared" si="2"/>
        <v/>
      </c>
      <c r="N18" s="456" t="str">
        <f>IF(F18="","",INT(HLOOKUP(N2,H2:M25,17,FALSE)*O1))</f>
        <v/>
      </c>
      <c r="O18" s="471" t="str">
        <f t="shared" si="3"/>
        <v/>
      </c>
    </row>
    <row r="19" spans="1:15" s="18" customFormat="1" ht="20" customHeight="1">
      <c r="A19" s="51"/>
      <c r="B19" s="93"/>
      <c r="C19" s="94"/>
      <c r="D19" s="476"/>
      <c r="E19" s="276"/>
      <c r="F19" s="57"/>
      <c r="G19" s="76"/>
      <c r="H19" s="456"/>
      <c r="I19" s="457" t="str">
        <f t="shared" si="0"/>
        <v/>
      </c>
      <c r="J19" s="463"/>
      <c r="K19" s="457" t="str">
        <f t="shared" si="1"/>
        <v/>
      </c>
      <c r="L19" s="463"/>
      <c r="M19" s="467" t="str">
        <f t="shared" si="2"/>
        <v/>
      </c>
      <c r="N19" s="456" t="str">
        <f>IF(F19="","",INT(HLOOKUP(N2,H2:M25,18,FALSE)*O1))</f>
        <v/>
      </c>
      <c r="O19" s="471" t="str">
        <f t="shared" si="3"/>
        <v/>
      </c>
    </row>
    <row r="20" spans="1:15" s="18" customFormat="1" ht="20" customHeight="1">
      <c r="A20" s="51"/>
      <c r="B20" s="93"/>
      <c r="C20" s="94"/>
      <c r="D20" s="476"/>
      <c r="E20" s="276"/>
      <c r="F20" s="57"/>
      <c r="G20" s="76"/>
      <c r="H20" s="456"/>
      <c r="I20" s="457" t="str">
        <f t="shared" si="0"/>
        <v/>
      </c>
      <c r="J20" s="463"/>
      <c r="K20" s="457" t="str">
        <f t="shared" si="1"/>
        <v/>
      </c>
      <c r="L20" s="463"/>
      <c r="M20" s="467" t="str">
        <f t="shared" si="2"/>
        <v/>
      </c>
      <c r="N20" s="456" t="str">
        <f>IF(F20="","",INT(HLOOKUP(N2,H2:M25,19,FALSE)*O1))</f>
        <v/>
      </c>
      <c r="O20" s="471" t="str">
        <f t="shared" si="3"/>
        <v/>
      </c>
    </row>
    <row r="21" spans="1:15" s="18" customFormat="1" ht="20" customHeight="1">
      <c r="A21" s="51"/>
      <c r="B21" s="93"/>
      <c r="C21" s="94"/>
      <c r="D21" s="476"/>
      <c r="E21" s="276"/>
      <c r="F21" s="57"/>
      <c r="G21" s="76"/>
      <c r="H21" s="456"/>
      <c r="I21" s="457" t="str">
        <f t="shared" si="0"/>
        <v/>
      </c>
      <c r="J21" s="463"/>
      <c r="K21" s="457" t="str">
        <f t="shared" si="1"/>
        <v/>
      </c>
      <c r="L21" s="463"/>
      <c r="M21" s="467" t="str">
        <f t="shared" si="2"/>
        <v/>
      </c>
      <c r="N21" s="456" t="str">
        <f>IF(F21="","",INT(HLOOKUP(N2,H2:M25,20,FALSE)*O1))</f>
        <v/>
      </c>
      <c r="O21" s="471" t="str">
        <f t="shared" si="3"/>
        <v/>
      </c>
    </row>
    <row r="22" spans="1:15" s="18" customFormat="1" ht="20" customHeight="1">
      <c r="A22" s="51"/>
      <c r="B22" s="93"/>
      <c r="C22" s="94"/>
      <c r="D22" s="476"/>
      <c r="E22" s="276"/>
      <c r="F22" s="57"/>
      <c r="G22" s="76"/>
      <c r="H22" s="456"/>
      <c r="I22" s="457" t="str">
        <f t="shared" si="0"/>
        <v/>
      </c>
      <c r="J22" s="463"/>
      <c r="K22" s="457" t="str">
        <f t="shared" si="1"/>
        <v/>
      </c>
      <c r="L22" s="463"/>
      <c r="M22" s="467" t="str">
        <f t="shared" si="2"/>
        <v/>
      </c>
      <c r="N22" s="456" t="str">
        <f>IF(F22="","",INT(HLOOKUP(N2,H2:M25,21,FALSE)*O1))</f>
        <v/>
      </c>
      <c r="O22" s="471" t="str">
        <f t="shared" si="3"/>
        <v/>
      </c>
    </row>
    <row r="23" spans="1:15" s="18" customFormat="1" ht="20" customHeight="1">
      <c r="A23" s="51"/>
      <c r="B23" s="93"/>
      <c r="C23" s="94"/>
      <c r="D23" s="476"/>
      <c r="E23" s="276"/>
      <c r="F23" s="57"/>
      <c r="G23" s="76"/>
      <c r="H23" s="456"/>
      <c r="I23" s="457" t="str">
        <f t="shared" si="0"/>
        <v/>
      </c>
      <c r="J23" s="463"/>
      <c r="K23" s="457" t="str">
        <f t="shared" si="1"/>
        <v/>
      </c>
      <c r="L23" s="463"/>
      <c r="M23" s="467" t="str">
        <f t="shared" si="2"/>
        <v/>
      </c>
      <c r="N23" s="456" t="str">
        <f>IF(F23="","",INT(HLOOKUP(N2,H2:M25,22,FALSE)*O1))</f>
        <v/>
      </c>
      <c r="O23" s="471" t="str">
        <f t="shared" si="3"/>
        <v/>
      </c>
    </row>
    <row r="24" spans="1:15" s="18" customFormat="1" ht="20" customHeight="1">
      <c r="A24" s="51"/>
      <c r="B24" s="93"/>
      <c r="C24" s="94"/>
      <c r="D24" s="476"/>
      <c r="E24" s="276"/>
      <c r="F24" s="57"/>
      <c r="G24" s="76"/>
      <c r="H24" s="456"/>
      <c r="I24" s="457" t="str">
        <f t="shared" si="0"/>
        <v/>
      </c>
      <c r="J24" s="463"/>
      <c r="K24" s="457" t="str">
        <f t="shared" si="1"/>
        <v/>
      </c>
      <c r="L24" s="463"/>
      <c r="M24" s="467" t="str">
        <f t="shared" si="2"/>
        <v/>
      </c>
      <c r="N24" s="456" t="str">
        <f>IF(F24="","",INT(HLOOKUP(N2,H2:M25,23,FALSE)*O1))</f>
        <v/>
      </c>
      <c r="O24" s="471" t="str">
        <f t="shared" si="3"/>
        <v/>
      </c>
    </row>
    <row r="25" spans="1:15" s="18" customFormat="1" ht="20" customHeight="1" thickBot="1">
      <c r="A25" s="52"/>
      <c r="B25" s="95"/>
      <c r="C25" s="96"/>
      <c r="D25" s="478"/>
      <c r="E25" s="479"/>
      <c r="F25" s="58"/>
      <c r="G25" s="77"/>
      <c r="H25" s="458"/>
      <c r="I25" s="459" t="str">
        <f t="shared" si="0"/>
        <v/>
      </c>
      <c r="J25" s="464"/>
      <c r="K25" s="459" t="str">
        <f t="shared" si="1"/>
        <v/>
      </c>
      <c r="L25" s="464"/>
      <c r="M25" s="468" t="str">
        <f t="shared" si="2"/>
        <v/>
      </c>
      <c r="N25" s="458" t="str">
        <f>IF(F25="","",INT(HLOOKUP(N2,H2:M25,24,FALSE)*O1))</f>
        <v/>
      </c>
      <c r="O25" s="472" t="str">
        <f t="shared" si="3"/>
        <v/>
      </c>
    </row>
    <row r="26" spans="1:15" s="18" customFormat="1" ht="20" customHeight="1" thickTop="1" thickBot="1">
      <c r="A26" s="26"/>
      <c r="B26" s="27"/>
      <c r="C26" s="27"/>
      <c r="D26" s="28" t="str">
        <f>IF(G26="","合      計","")</f>
        <v>合      計</v>
      </c>
      <c r="E26" s="29" t="s">
        <v>79</v>
      </c>
      <c r="F26" s="29"/>
      <c r="G26" s="49"/>
      <c r="H26" s="460"/>
      <c r="I26" s="461">
        <f>IF($G26="",IF(SUM(I4:I25)=0,"",SUM(I4:I25)),IF(#REF!="","",SUM(I4:I25)+#REF!))</f>
        <v>110000</v>
      </c>
      <c r="J26" s="465"/>
      <c r="K26" s="461">
        <f>IF(G26="",IF(SUM(K4:K25)=0,"",SUM(K4:K25)),IF(#REF!="","",SUM(K4:K25)+#REF!))</f>
        <v>10540</v>
      </c>
      <c r="L26" s="465"/>
      <c r="M26" s="469" t="str">
        <f>IF(G26="",IF(SUM(M4:M25)=0,"",SUM(M4:M25)),IF(#REF!="","",SUM(M4:M25)+#REF!))</f>
        <v/>
      </c>
      <c r="N26" s="473" t="s">
        <v>31</v>
      </c>
      <c r="O26" s="474">
        <f>IF(G53="",MIN(I26,K26,M26),"")</f>
        <v>10540</v>
      </c>
    </row>
    <row r="27" spans="1:15" s="18" customFormat="1" ht="20" customHeight="1">
      <c r="A27" s="22"/>
      <c r="B27" s="22"/>
      <c r="C27" s="22"/>
      <c r="G27" s="22"/>
      <c r="H27" s="30"/>
      <c r="I27" s="30"/>
      <c r="J27" s="30"/>
      <c r="K27" s="30"/>
      <c r="L27" s="30"/>
      <c r="M27" s="30"/>
      <c r="N27" s="18" t="str">
        <f>IF(B29="","EOL","")</f>
        <v>EOL</v>
      </c>
      <c r="O27" s="30">
        <v>1</v>
      </c>
    </row>
  </sheetData>
  <mergeCells count="5">
    <mergeCell ref="N2:O2"/>
    <mergeCell ref="A1:M1"/>
    <mergeCell ref="H2:I2"/>
    <mergeCell ref="J2:K2"/>
    <mergeCell ref="L2:M2"/>
  </mergeCells>
  <phoneticPr fontId="2"/>
  <pageMargins left="0.19685039370078741" right="0.19685039370078741" top="0.78740157480314965" bottom="0.19685039370078741" header="0.51181102362204722" footer="0.51181102362204722"/>
  <pageSetup paperSize="9" orientation="landscape" horizontalDpi="300" verticalDpi="300"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A1:AE31"/>
  <sheetViews>
    <sheetView view="pageBreakPreview" topLeftCell="B1" zoomScaleNormal="100" zoomScaleSheetLayoutView="100" workbookViewId="0">
      <selection activeCell="B1" sqref="B1"/>
    </sheetView>
  </sheetViews>
  <sheetFormatPr defaultColWidth="9" defaultRowHeight="11"/>
  <cols>
    <col min="1" max="1" width="2.6328125" style="166" hidden="1" customWidth="1"/>
    <col min="2" max="2" width="19.36328125" style="85" customWidth="1"/>
    <col min="3" max="3" width="22.453125" style="85" customWidth="1"/>
    <col min="4" max="4" width="5.1796875" style="85" customWidth="1"/>
    <col min="5" max="5" width="5.1796875" style="100" customWidth="1"/>
    <col min="6" max="22" width="5.1796875" style="85" customWidth="1"/>
    <col min="23" max="27" width="4.6328125" style="85" customWidth="1"/>
    <col min="28" max="16384" width="9" style="85"/>
  </cols>
  <sheetData>
    <row r="1" spans="1:31" ht="15" customHeight="1">
      <c r="B1" s="181" t="s">
        <v>161</v>
      </c>
      <c r="C1" s="85" t="str">
        <f>工事1!C2</f>
        <v>建築工事</v>
      </c>
      <c r="F1" s="166"/>
      <c r="G1" s="344"/>
      <c r="H1" s="345"/>
      <c r="I1" s="345"/>
      <c r="J1" s="346"/>
      <c r="K1" s="347" t="s">
        <v>183</v>
      </c>
      <c r="L1" s="348" t="s">
        <v>184</v>
      </c>
      <c r="M1" s="348" t="s">
        <v>185</v>
      </c>
      <c r="N1" s="349" t="s">
        <v>186</v>
      </c>
      <c r="O1" s="350"/>
      <c r="P1" s="351"/>
      <c r="Q1" s="351"/>
      <c r="R1" s="352"/>
      <c r="S1" s="347" t="s">
        <v>183</v>
      </c>
      <c r="T1" s="348" t="s">
        <v>184</v>
      </c>
      <c r="U1" s="348" t="s">
        <v>185</v>
      </c>
      <c r="V1" s="349" t="s">
        <v>186</v>
      </c>
      <c r="W1" s="343"/>
    </row>
    <row r="2" spans="1:31" ht="15" customHeight="1">
      <c r="B2" s="181"/>
      <c r="E2" s="337"/>
      <c r="G2" s="1066" t="s">
        <v>284</v>
      </c>
      <c r="H2" s="1067"/>
      <c r="I2" s="1067"/>
      <c r="J2" s="1068"/>
      <c r="K2" s="353">
        <f>+H9+L9</f>
        <v>36964</v>
      </c>
      <c r="L2" s="354">
        <f>+I9+M9</f>
        <v>0</v>
      </c>
      <c r="M2" s="354">
        <f>+J9+N9</f>
        <v>0</v>
      </c>
      <c r="N2" s="355">
        <f>+K9+O9</f>
        <v>0</v>
      </c>
      <c r="O2" s="1060" t="s">
        <v>295</v>
      </c>
      <c r="P2" s="1061"/>
      <c r="Q2" s="1061"/>
      <c r="R2" s="1062"/>
      <c r="S2" s="353">
        <f>+P9+T9+X9</f>
        <v>36100</v>
      </c>
      <c r="T2" s="354">
        <f>+Q9+U9+Y9</f>
        <v>0</v>
      </c>
      <c r="U2" s="354">
        <f>+R9+V9+Z9</f>
        <v>0</v>
      </c>
      <c r="V2" s="355">
        <f>+S9+W9+AA9</f>
        <v>0</v>
      </c>
      <c r="W2" s="336"/>
    </row>
    <row r="3" spans="1:31" ht="15" customHeight="1">
      <c r="B3" s="181"/>
      <c r="E3" s="337"/>
      <c r="G3" s="1069" t="s">
        <v>285</v>
      </c>
      <c r="H3" s="1070"/>
      <c r="I3" s="1070"/>
      <c r="J3" s="1071"/>
      <c r="K3" s="356">
        <f>+H9</f>
        <v>864</v>
      </c>
      <c r="L3" s="357">
        <f>+I9</f>
        <v>0</v>
      </c>
      <c r="M3" s="357">
        <f>+J9</f>
        <v>0</v>
      </c>
      <c r="N3" s="358">
        <f>+K9</f>
        <v>0</v>
      </c>
      <c r="O3" s="1063" t="s">
        <v>296</v>
      </c>
      <c r="P3" s="1064"/>
      <c r="Q3" s="1064"/>
      <c r="R3" s="1065"/>
      <c r="S3" s="356">
        <f>+P9</f>
        <v>15600</v>
      </c>
      <c r="T3" s="357">
        <f>+Q9</f>
        <v>0</v>
      </c>
      <c r="U3" s="357">
        <f>+R9</f>
        <v>0</v>
      </c>
      <c r="V3" s="358">
        <f>+S9</f>
        <v>0</v>
      </c>
      <c r="W3" s="336"/>
    </row>
    <row r="4" spans="1:31" ht="15" customHeight="1">
      <c r="B4" s="181"/>
      <c r="E4" s="337"/>
      <c r="G4" s="1069" t="s">
        <v>286</v>
      </c>
      <c r="H4" s="1070"/>
      <c r="I4" s="1070"/>
      <c r="J4" s="1071"/>
      <c r="K4" s="356">
        <f>+L9</f>
        <v>36100</v>
      </c>
      <c r="L4" s="357">
        <f>+M9</f>
        <v>0</v>
      </c>
      <c r="M4" s="357">
        <f>+N9</f>
        <v>0</v>
      </c>
      <c r="N4" s="358">
        <f>+O9</f>
        <v>0</v>
      </c>
      <c r="O4" s="1063" t="s">
        <v>297</v>
      </c>
      <c r="P4" s="1064"/>
      <c r="Q4" s="1064"/>
      <c r="R4" s="1065"/>
      <c r="S4" s="356">
        <f>+T9</f>
        <v>12100</v>
      </c>
      <c r="T4" s="357">
        <f>+U9</f>
        <v>0</v>
      </c>
      <c r="U4" s="357">
        <f>+V9</f>
        <v>0</v>
      </c>
      <c r="V4" s="358">
        <f>+W9</f>
        <v>0</v>
      </c>
      <c r="W4" s="336"/>
    </row>
    <row r="5" spans="1:31" ht="15" customHeight="1">
      <c r="B5" s="181"/>
      <c r="E5" s="337"/>
      <c r="G5" s="1057"/>
      <c r="H5" s="1058"/>
      <c r="I5" s="1058"/>
      <c r="J5" s="1059"/>
      <c r="K5" s="359"/>
      <c r="L5" s="359"/>
      <c r="M5" s="359"/>
      <c r="N5" s="359"/>
      <c r="O5" s="1057" t="s">
        <v>316</v>
      </c>
      <c r="P5" s="1058"/>
      <c r="Q5" s="1058"/>
      <c r="R5" s="1059"/>
      <c r="S5" s="359">
        <f>X9</f>
        <v>8400</v>
      </c>
      <c r="T5" s="359">
        <f>Y9</f>
        <v>0</v>
      </c>
      <c r="U5" s="359">
        <f>Z9</f>
        <v>0</v>
      </c>
      <c r="V5" s="360">
        <f>AA9</f>
        <v>0</v>
      </c>
      <c r="W5" s="336"/>
      <c r="AB5" s="361"/>
      <c r="AC5" s="361"/>
      <c r="AD5" s="361"/>
      <c r="AE5" s="361"/>
    </row>
    <row r="6" spans="1:31" ht="7.5" customHeight="1">
      <c r="B6" s="181"/>
      <c r="E6" s="338"/>
      <c r="F6" s="339"/>
      <c r="G6" s="340"/>
      <c r="H6" s="340"/>
      <c r="I6" s="340"/>
      <c r="J6" s="340"/>
      <c r="K6" s="341"/>
      <c r="L6" s="339"/>
      <c r="M6" s="339"/>
      <c r="N6" s="339"/>
      <c r="O6" s="339"/>
      <c r="P6" s="339"/>
      <c r="Q6" s="339"/>
      <c r="R6" s="339"/>
      <c r="S6" s="342"/>
      <c r="T6" s="342"/>
      <c r="U6" s="342"/>
      <c r="V6" s="342"/>
      <c r="W6" s="336"/>
    </row>
    <row r="7" spans="1:31" ht="15" customHeight="1">
      <c r="B7" s="173"/>
      <c r="C7" s="174"/>
      <c r="D7" s="175"/>
      <c r="E7" s="188"/>
      <c r="F7" s="391"/>
      <c r="G7" s="398"/>
      <c r="H7" s="1048" t="s">
        <v>283</v>
      </c>
      <c r="I7" s="1049"/>
      <c r="J7" s="1049"/>
      <c r="K7" s="1050"/>
      <c r="L7" s="1048" t="s">
        <v>313</v>
      </c>
      <c r="M7" s="1049"/>
      <c r="N7" s="1049"/>
      <c r="O7" s="1050"/>
      <c r="P7" s="1048" t="s">
        <v>314</v>
      </c>
      <c r="Q7" s="1049"/>
      <c r="R7" s="1049"/>
      <c r="S7" s="1050"/>
      <c r="T7" s="1048" t="s">
        <v>299</v>
      </c>
      <c r="U7" s="1049"/>
      <c r="V7" s="1049"/>
      <c r="W7" s="1050"/>
      <c r="X7" s="1048" t="s">
        <v>315</v>
      </c>
      <c r="Y7" s="1049"/>
      <c r="Z7" s="1049"/>
      <c r="AA7" s="1050"/>
    </row>
    <row r="8" spans="1:31">
      <c r="B8" s="172" t="s">
        <v>85</v>
      </c>
      <c r="C8" s="156" t="s">
        <v>86</v>
      </c>
      <c r="D8" s="169" t="s">
        <v>21</v>
      </c>
      <c r="E8" s="189" t="s">
        <v>87</v>
      </c>
      <c r="F8" s="392" t="s">
        <v>162</v>
      </c>
      <c r="G8" s="397" t="s">
        <v>326</v>
      </c>
      <c r="H8" s="170" t="s">
        <v>183</v>
      </c>
      <c r="I8" s="56" t="s">
        <v>184</v>
      </c>
      <c r="J8" s="56" t="s">
        <v>185</v>
      </c>
      <c r="K8" s="171" t="s">
        <v>186</v>
      </c>
      <c r="L8" s="170" t="s">
        <v>183</v>
      </c>
      <c r="M8" s="56" t="s">
        <v>184</v>
      </c>
      <c r="N8" s="56" t="s">
        <v>185</v>
      </c>
      <c r="O8" s="171" t="s">
        <v>186</v>
      </c>
      <c r="P8" s="170" t="s">
        <v>183</v>
      </c>
      <c r="Q8" s="56" t="s">
        <v>184</v>
      </c>
      <c r="R8" s="56" t="s">
        <v>185</v>
      </c>
      <c r="S8" s="171" t="s">
        <v>186</v>
      </c>
      <c r="T8" s="170" t="s">
        <v>183</v>
      </c>
      <c r="U8" s="56" t="s">
        <v>184</v>
      </c>
      <c r="V8" s="56" t="s">
        <v>185</v>
      </c>
      <c r="W8" s="171" t="s">
        <v>186</v>
      </c>
      <c r="X8" s="170" t="s">
        <v>183</v>
      </c>
      <c r="Y8" s="56" t="s">
        <v>184</v>
      </c>
      <c r="Z8" s="56" t="s">
        <v>185</v>
      </c>
      <c r="AA8" s="171" t="s">
        <v>186</v>
      </c>
    </row>
    <row r="9" spans="1:31" s="179" customFormat="1" ht="15.75" customHeight="1">
      <c r="A9" s="176"/>
      <c r="B9" s="177"/>
      <c r="C9" s="178"/>
      <c r="D9" s="180"/>
      <c r="E9" s="333" t="s">
        <v>281</v>
      </c>
      <c r="F9" s="393" t="s">
        <v>187</v>
      </c>
      <c r="G9" s="399"/>
      <c r="H9" s="199">
        <f t="shared" ref="H9:AA9" si="0">SUM(H10:H19)</f>
        <v>864</v>
      </c>
      <c r="I9" s="200">
        <f t="shared" si="0"/>
        <v>0</v>
      </c>
      <c r="J9" s="200">
        <f t="shared" si="0"/>
        <v>0</v>
      </c>
      <c r="K9" s="201">
        <f t="shared" si="0"/>
        <v>0</v>
      </c>
      <c r="L9" s="199">
        <f t="shared" si="0"/>
        <v>36100</v>
      </c>
      <c r="M9" s="200">
        <f t="shared" si="0"/>
        <v>0</v>
      </c>
      <c r="N9" s="200">
        <f t="shared" si="0"/>
        <v>0</v>
      </c>
      <c r="O9" s="201">
        <f t="shared" si="0"/>
        <v>0</v>
      </c>
      <c r="P9" s="199">
        <f t="shared" si="0"/>
        <v>15600</v>
      </c>
      <c r="Q9" s="200">
        <f t="shared" si="0"/>
        <v>0</v>
      </c>
      <c r="R9" s="200">
        <f t="shared" si="0"/>
        <v>0</v>
      </c>
      <c r="S9" s="201">
        <f t="shared" si="0"/>
        <v>0</v>
      </c>
      <c r="T9" s="200">
        <f t="shared" si="0"/>
        <v>12100</v>
      </c>
      <c r="U9" s="200">
        <f t="shared" si="0"/>
        <v>0</v>
      </c>
      <c r="V9" s="200">
        <f t="shared" si="0"/>
        <v>0</v>
      </c>
      <c r="W9" s="201">
        <f t="shared" si="0"/>
        <v>0</v>
      </c>
      <c r="X9" s="200">
        <f t="shared" si="0"/>
        <v>8400</v>
      </c>
      <c r="Y9" s="200">
        <f t="shared" si="0"/>
        <v>0</v>
      </c>
      <c r="Z9" s="200">
        <f t="shared" si="0"/>
        <v>0</v>
      </c>
      <c r="AA9" s="201">
        <f t="shared" si="0"/>
        <v>0</v>
      </c>
    </row>
    <row r="10" spans="1:31" s="179" customFormat="1" ht="11.25" customHeight="1">
      <c r="B10" s="191"/>
      <c r="C10" s="192"/>
      <c r="D10" s="193"/>
      <c r="E10" s="194"/>
      <c r="F10" s="394"/>
      <c r="G10" s="400"/>
      <c r="H10" s="202"/>
      <c r="I10" s="203"/>
      <c r="J10" s="203"/>
      <c r="K10" s="204"/>
      <c r="L10" s="202"/>
      <c r="M10" s="203"/>
      <c r="N10" s="203"/>
      <c r="O10" s="204"/>
      <c r="P10" s="202"/>
      <c r="Q10" s="203"/>
      <c r="R10" s="203"/>
      <c r="S10" s="204"/>
      <c r="T10" s="202"/>
      <c r="U10" s="203"/>
      <c r="V10" s="203"/>
      <c r="W10" s="204"/>
      <c r="X10" s="202"/>
      <c r="Y10" s="203"/>
      <c r="Z10" s="203"/>
      <c r="AA10" s="204"/>
    </row>
    <row r="11" spans="1:31" s="179" customFormat="1" ht="11.25" customHeight="1">
      <c r="B11" s="191" t="s">
        <v>3805</v>
      </c>
      <c r="C11" s="192" t="s">
        <v>3806</v>
      </c>
      <c r="D11" s="193">
        <v>3</v>
      </c>
      <c r="E11" s="194">
        <v>144</v>
      </c>
      <c r="F11" s="394"/>
      <c r="G11" s="400"/>
      <c r="H11" s="202">
        <f>D11*E11</f>
        <v>432</v>
      </c>
      <c r="I11" s="203"/>
      <c r="J11" s="203"/>
      <c r="K11" s="204"/>
      <c r="L11" s="202"/>
      <c r="M11" s="203"/>
      <c r="N11" s="203"/>
      <c r="O11" s="204"/>
      <c r="P11" s="202"/>
      <c r="Q11" s="203"/>
      <c r="R11" s="203"/>
      <c r="S11" s="204"/>
      <c r="T11" s="202"/>
      <c r="U11" s="203"/>
      <c r="V11" s="203"/>
      <c r="W11" s="204"/>
      <c r="X11" s="202"/>
      <c r="Y11" s="203"/>
      <c r="Z11" s="203"/>
      <c r="AA11" s="204"/>
    </row>
    <row r="12" spans="1:31" s="179" customFormat="1" ht="11.25" customHeight="1">
      <c r="B12" s="191" t="s">
        <v>3805</v>
      </c>
      <c r="C12" s="192" t="s">
        <v>3806</v>
      </c>
      <c r="D12" s="193">
        <v>3</v>
      </c>
      <c r="E12" s="194">
        <v>144</v>
      </c>
      <c r="F12" s="394"/>
      <c r="G12" s="400"/>
      <c r="H12" s="202">
        <f>D12*E12</f>
        <v>432</v>
      </c>
      <c r="I12" s="203"/>
      <c r="J12" s="203"/>
      <c r="K12" s="204"/>
      <c r="L12" s="202"/>
      <c r="M12" s="203"/>
      <c r="N12" s="203"/>
      <c r="O12" s="204"/>
      <c r="P12" s="202"/>
      <c r="Q12" s="203"/>
      <c r="R12" s="203"/>
      <c r="S12" s="204"/>
      <c r="T12" s="202"/>
      <c r="U12" s="203"/>
      <c r="V12" s="203"/>
      <c r="W12" s="204"/>
      <c r="X12" s="202"/>
      <c r="Y12" s="203"/>
      <c r="Z12" s="203"/>
      <c r="AA12" s="204"/>
    </row>
    <row r="13" spans="1:31" s="179" customFormat="1" ht="11.25" customHeight="1">
      <c r="B13" s="191" t="s">
        <v>3729</v>
      </c>
      <c r="C13" s="192" t="s">
        <v>3730</v>
      </c>
      <c r="D13" s="193"/>
      <c r="E13" s="194">
        <v>200</v>
      </c>
      <c r="F13" s="394"/>
      <c r="G13" s="400"/>
      <c r="H13" s="202"/>
      <c r="I13" s="203"/>
      <c r="J13" s="203">
        <f>D13*E13</f>
        <v>0</v>
      </c>
      <c r="K13" s="204"/>
      <c r="L13" s="202"/>
      <c r="M13" s="203"/>
      <c r="N13" s="203"/>
      <c r="O13" s="204"/>
      <c r="P13" s="202"/>
      <c r="Q13" s="203"/>
      <c r="R13" s="203"/>
      <c r="S13" s="204"/>
      <c r="T13" s="202"/>
      <c r="U13" s="203"/>
      <c r="V13" s="203"/>
      <c r="W13" s="204"/>
      <c r="X13" s="202"/>
      <c r="Y13" s="203"/>
      <c r="Z13" s="203"/>
      <c r="AA13" s="204"/>
    </row>
    <row r="14" spans="1:31" s="179" customFormat="1" ht="11.25" customHeight="1">
      <c r="B14" s="191" t="s">
        <v>3729</v>
      </c>
      <c r="C14" s="192" t="s">
        <v>3730</v>
      </c>
      <c r="D14" s="193"/>
      <c r="E14" s="194">
        <v>200</v>
      </c>
      <c r="F14" s="394"/>
      <c r="G14" s="400"/>
      <c r="H14" s="202">
        <f>D14*E14</f>
        <v>0</v>
      </c>
      <c r="I14" s="203"/>
      <c r="J14" s="203"/>
      <c r="K14" s="204"/>
      <c r="L14" s="202"/>
      <c r="M14" s="203"/>
      <c r="N14" s="203"/>
      <c r="O14" s="204"/>
      <c r="P14" s="202"/>
      <c r="Q14" s="203"/>
      <c r="R14" s="203"/>
      <c r="S14" s="204"/>
      <c r="T14" s="202"/>
      <c r="U14" s="203"/>
      <c r="V14" s="203"/>
      <c r="W14" s="204"/>
      <c r="X14" s="202"/>
      <c r="Y14" s="203"/>
      <c r="Z14" s="203"/>
      <c r="AA14" s="204"/>
    </row>
    <row r="15" spans="1:31" s="179" customFormat="1" ht="11.25" customHeight="1">
      <c r="B15" s="191" t="s">
        <v>96</v>
      </c>
      <c r="C15" s="192" t="s">
        <v>104</v>
      </c>
      <c r="D15" s="193">
        <v>100</v>
      </c>
      <c r="E15" s="194">
        <v>78</v>
      </c>
      <c r="F15" s="394">
        <v>51</v>
      </c>
      <c r="G15" s="400">
        <v>42</v>
      </c>
      <c r="H15" s="202"/>
      <c r="I15" s="203"/>
      <c r="J15" s="203"/>
      <c r="K15" s="204"/>
      <c r="L15" s="202">
        <f>D15*(E15+F15+G15)</f>
        <v>17100</v>
      </c>
      <c r="M15" s="203"/>
      <c r="N15" s="203"/>
      <c r="O15" s="204"/>
      <c r="P15" s="202">
        <f>D15*E15</f>
        <v>7800</v>
      </c>
      <c r="Q15" s="203"/>
      <c r="R15" s="203"/>
      <c r="S15" s="204"/>
      <c r="T15" s="202">
        <f>D15*F15</f>
        <v>5100</v>
      </c>
      <c r="U15" s="203"/>
      <c r="V15" s="203"/>
      <c r="W15" s="204"/>
      <c r="X15" s="202">
        <f>D15*G15</f>
        <v>4200</v>
      </c>
      <c r="Y15" s="203"/>
      <c r="Z15" s="203"/>
      <c r="AA15" s="204"/>
    </row>
    <row r="16" spans="1:31" s="179" customFormat="1" ht="11.25" customHeight="1">
      <c r="B16" s="191" t="s">
        <v>96</v>
      </c>
      <c r="C16" s="192" t="s">
        <v>104</v>
      </c>
      <c r="D16" s="193">
        <v>100</v>
      </c>
      <c r="E16" s="194">
        <v>78</v>
      </c>
      <c r="F16" s="394">
        <v>70</v>
      </c>
      <c r="G16" s="400">
        <v>42</v>
      </c>
      <c r="H16" s="202"/>
      <c r="I16" s="203"/>
      <c r="J16" s="203"/>
      <c r="K16" s="204"/>
      <c r="L16" s="202">
        <f>D16*(E16+F16+G16)</f>
        <v>19000</v>
      </c>
      <c r="M16" s="203"/>
      <c r="N16" s="203"/>
      <c r="O16" s="204"/>
      <c r="P16" s="202">
        <f>D16*E16</f>
        <v>7800</v>
      </c>
      <c r="Q16" s="203"/>
      <c r="R16" s="203"/>
      <c r="S16" s="204"/>
      <c r="T16" s="202">
        <f>D16*F16</f>
        <v>7000</v>
      </c>
      <c r="U16" s="203"/>
      <c r="V16" s="203"/>
      <c r="W16" s="204"/>
      <c r="X16" s="202">
        <f>D16*G16</f>
        <v>4200</v>
      </c>
      <c r="Y16" s="203"/>
      <c r="Z16" s="203"/>
      <c r="AA16" s="204"/>
    </row>
    <row r="17" spans="1:27" s="179" customFormat="1" ht="11.25" customHeight="1">
      <c r="B17" s="191"/>
      <c r="C17" s="192"/>
      <c r="D17" s="193"/>
      <c r="E17" s="194"/>
      <c r="F17" s="394"/>
      <c r="G17" s="400"/>
      <c r="H17" s="202"/>
      <c r="I17" s="203"/>
      <c r="J17" s="203"/>
      <c r="K17" s="204"/>
      <c r="L17" s="202"/>
      <c r="M17" s="203"/>
      <c r="N17" s="203"/>
      <c r="O17" s="204"/>
      <c r="P17" s="202"/>
      <c r="Q17" s="203"/>
      <c r="R17" s="203"/>
      <c r="S17" s="204"/>
      <c r="T17" s="202"/>
      <c r="U17" s="203"/>
      <c r="V17" s="203"/>
      <c r="W17" s="204"/>
      <c r="X17" s="202"/>
      <c r="Y17" s="203"/>
      <c r="Z17" s="203"/>
      <c r="AA17" s="204"/>
    </row>
    <row r="18" spans="1:27" s="179" customFormat="1" ht="11.25" customHeight="1">
      <c r="A18" s="166" t="s">
        <v>287</v>
      </c>
      <c r="B18" s="185"/>
      <c r="C18" s="186"/>
      <c r="D18" s="187"/>
      <c r="E18" s="195"/>
      <c r="F18" s="395"/>
      <c r="G18" s="401"/>
      <c r="H18" s="205">
        <f>D18*E18</f>
        <v>0</v>
      </c>
      <c r="I18" s="206"/>
      <c r="J18" s="206"/>
      <c r="K18" s="207"/>
      <c r="L18" s="205"/>
      <c r="M18" s="206"/>
      <c r="N18" s="206"/>
      <c r="O18" s="207"/>
      <c r="P18" s="205"/>
      <c r="Q18" s="206"/>
      <c r="R18" s="206"/>
      <c r="S18" s="207"/>
      <c r="T18" s="205"/>
      <c r="U18" s="206"/>
      <c r="V18" s="206"/>
      <c r="W18" s="207"/>
      <c r="X18" s="205"/>
      <c r="Y18" s="206"/>
      <c r="Z18" s="206"/>
      <c r="AA18" s="207"/>
    </row>
    <row r="19" spans="1:27">
      <c r="A19" s="85"/>
      <c r="B19" s="183"/>
      <c r="C19" s="184"/>
      <c r="D19" s="190"/>
      <c r="E19" s="196"/>
      <c r="F19" s="396"/>
      <c r="G19" s="402"/>
      <c r="H19" s="208"/>
      <c r="I19" s="209"/>
      <c r="J19" s="209"/>
      <c r="K19" s="210"/>
      <c r="L19" s="208"/>
      <c r="M19" s="209"/>
      <c r="N19" s="209"/>
      <c r="O19" s="210"/>
      <c r="P19" s="208"/>
      <c r="Q19" s="209"/>
      <c r="R19" s="209"/>
      <c r="S19" s="210"/>
      <c r="T19" s="208"/>
      <c r="U19" s="209"/>
      <c r="V19" s="209"/>
      <c r="W19" s="210"/>
      <c r="X19" s="208"/>
      <c r="Y19" s="209"/>
      <c r="Z19" s="209"/>
      <c r="AA19" s="210"/>
    </row>
    <row r="20" spans="1:27" ht="15" customHeight="1">
      <c r="B20" s="182" t="s">
        <v>160</v>
      </c>
      <c r="C20"/>
      <c r="D20"/>
      <c r="E20"/>
      <c r="F20"/>
      <c r="G20"/>
      <c r="H20"/>
      <c r="I20"/>
      <c r="J20"/>
      <c r="K20"/>
      <c r="L20"/>
      <c r="M20"/>
      <c r="N20"/>
      <c r="O20"/>
    </row>
    <row r="21" spans="1:27" ht="13.5" customHeight="1">
      <c r="B21" s="173" t="s">
        <v>158</v>
      </c>
      <c r="C21" s="174"/>
      <c r="D21" s="175"/>
      <c r="E21" s="1051" t="s">
        <v>149</v>
      </c>
      <c r="F21" s="1052"/>
      <c r="G21" s="1052"/>
      <c r="H21" s="1052"/>
      <c r="I21" s="1052"/>
      <c r="J21" s="1052"/>
      <c r="K21" s="1052"/>
      <c r="L21" s="1052"/>
      <c r="M21" s="1052"/>
      <c r="N21" s="1052"/>
      <c r="O21" s="1052"/>
      <c r="P21" s="1052"/>
      <c r="Q21" s="1052"/>
      <c r="R21" s="1053"/>
      <c r="S21" s="1054"/>
      <c r="T21" s="1048" t="s">
        <v>317</v>
      </c>
      <c r="U21" s="1055"/>
      <c r="V21" s="1055"/>
      <c r="W21" s="1056"/>
    </row>
    <row r="22" spans="1:27" ht="12.75" customHeight="1">
      <c r="B22" s="242"/>
      <c r="C22" s="243"/>
      <c r="D22" s="244"/>
      <c r="E22" s="297" t="s">
        <v>304</v>
      </c>
      <c r="F22" s="298" t="s">
        <v>305</v>
      </c>
      <c r="G22" s="298" t="s">
        <v>248</v>
      </c>
      <c r="H22" s="298" t="s">
        <v>248</v>
      </c>
      <c r="I22" s="298" t="s">
        <v>306</v>
      </c>
      <c r="J22" s="299" t="s">
        <v>318</v>
      </c>
      <c r="K22" s="301" t="s">
        <v>259</v>
      </c>
      <c r="L22" s="298" t="s">
        <v>145</v>
      </c>
      <c r="M22" s="298" t="s">
        <v>260</v>
      </c>
      <c r="N22" s="298" t="s">
        <v>319</v>
      </c>
      <c r="O22" s="302" t="s">
        <v>261</v>
      </c>
      <c r="P22" s="303" t="s">
        <v>263</v>
      </c>
      <c r="Q22" s="373" t="s">
        <v>144</v>
      </c>
      <c r="R22" s="374" t="s">
        <v>252</v>
      </c>
      <c r="S22" s="375" t="s">
        <v>253</v>
      </c>
      <c r="T22" s="376" t="s">
        <v>150</v>
      </c>
      <c r="U22" s="298" t="s">
        <v>311</v>
      </c>
      <c r="V22" s="374" t="s">
        <v>320</v>
      </c>
      <c r="W22" s="375" t="s">
        <v>152</v>
      </c>
    </row>
    <row r="23" spans="1:27">
      <c r="B23" s="172" t="s">
        <v>85</v>
      </c>
      <c r="C23" s="156" t="s">
        <v>86</v>
      </c>
      <c r="D23" s="168" t="s">
        <v>21</v>
      </c>
      <c r="E23" s="334"/>
      <c r="F23" s="300"/>
      <c r="G23" s="300" t="s">
        <v>256</v>
      </c>
      <c r="H23" s="300" t="s">
        <v>257</v>
      </c>
      <c r="I23" s="300"/>
      <c r="J23" s="300" t="s">
        <v>258</v>
      </c>
      <c r="K23" s="300" t="s">
        <v>321</v>
      </c>
      <c r="L23" s="300"/>
      <c r="M23" s="300" t="s">
        <v>322</v>
      </c>
      <c r="N23" s="300" t="s">
        <v>323</v>
      </c>
      <c r="O23" s="300" t="s">
        <v>262</v>
      </c>
      <c r="P23" s="300" t="s">
        <v>264</v>
      </c>
      <c r="Q23" s="377" t="s">
        <v>324</v>
      </c>
      <c r="R23" s="244" t="s">
        <v>325</v>
      </c>
      <c r="S23" s="378" t="s">
        <v>325</v>
      </c>
      <c r="T23" s="379"/>
      <c r="U23" s="243"/>
      <c r="V23" s="380"/>
      <c r="W23" s="378"/>
    </row>
    <row r="24" spans="1:27" s="179" customFormat="1" ht="15.75" customHeight="1">
      <c r="A24" s="176"/>
      <c r="B24" s="177"/>
      <c r="C24" s="178"/>
      <c r="D24" s="180"/>
      <c r="E24" s="199">
        <f t="shared" ref="E24:W24" si="1">SUM(E25:E34)</f>
        <v>200</v>
      </c>
      <c r="F24" s="200">
        <f t="shared" si="1"/>
        <v>400</v>
      </c>
      <c r="G24" s="200">
        <f t="shared" si="1"/>
        <v>600</v>
      </c>
      <c r="H24" s="200">
        <f t="shared" si="1"/>
        <v>800</v>
      </c>
      <c r="I24" s="200">
        <f t="shared" si="1"/>
        <v>1000</v>
      </c>
      <c r="J24" s="200">
        <f t="shared" si="1"/>
        <v>1200</v>
      </c>
      <c r="K24" s="200">
        <f t="shared" si="1"/>
        <v>1400</v>
      </c>
      <c r="L24" s="200">
        <f t="shared" si="1"/>
        <v>1600</v>
      </c>
      <c r="M24" s="200">
        <f t="shared" si="1"/>
        <v>1800</v>
      </c>
      <c r="N24" s="200">
        <f t="shared" si="1"/>
        <v>2000</v>
      </c>
      <c r="O24" s="335">
        <f t="shared" si="1"/>
        <v>2200</v>
      </c>
      <c r="P24" s="200">
        <f t="shared" si="1"/>
        <v>2400</v>
      </c>
      <c r="Q24" s="381">
        <f t="shared" si="1"/>
        <v>2600</v>
      </c>
      <c r="R24" s="200">
        <f t="shared" si="1"/>
        <v>2800</v>
      </c>
      <c r="S24" s="201">
        <f t="shared" si="1"/>
        <v>3000</v>
      </c>
      <c r="T24" s="384">
        <f t="shared" si="1"/>
        <v>3200</v>
      </c>
      <c r="U24" s="200">
        <f t="shared" si="1"/>
        <v>3400</v>
      </c>
      <c r="V24" s="381">
        <f t="shared" si="1"/>
        <v>3600</v>
      </c>
      <c r="W24" s="201">
        <f t="shared" si="1"/>
        <v>1900</v>
      </c>
    </row>
    <row r="25" spans="1:27" s="179" customFormat="1" ht="11.25" customHeight="1">
      <c r="B25" s="185"/>
      <c r="C25" s="186"/>
      <c r="D25" s="187"/>
      <c r="E25" s="205"/>
      <c r="F25" s="206"/>
      <c r="G25" s="206"/>
      <c r="H25" s="206"/>
      <c r="I25" s="206"/>
      <c r="J25" s="206"/>
      <c r="K25" s="206"/>
      <c r="L25" s="206"/>
      <c r="M25" s="206"/>
      <c r="N25" s="206"/>
      <c r="O25" s="304"/>
      <c r="P25" s="206"/>
      <c r="Q25" s="382"/>
      <c r="R25" s="206"/>
      <c r="S25" s="207"/>
      <c r="T25" s="385"/>
      <c r="U25" s="206"/>
      <c r="V25" s="382"/>
      <c r="W25" s="388"/>
    </row>
    <row r="26" spans="1:27" s="179" customFormat="1" ht="11.25" customHeight="1">
      <c r="B26" s="185" t="s">
        <v>96</v>
      </c>
      <c r="C26" s="186" t="s">
        <v>104</v>
      </c>
      <c r="D26" s="187">
        <v>100</v>
      </c>
      <c r="E26" s="205">
        <f>D26*1</f>
        <v>100</v>
      </c>
      <c r="F26" s="206">
        <f>D26*2</f>
        <v>200</v>
      </c>
      <c r="G26" s="206">
        <f>D26*3</f>
        <v>300</v>
      </c>
      <c r="H26" s="206">
        <f>D26*4</f>
        <v>400</v>
      </c>
      <c r="I26" s="206">
        <f>D26*5</f>
        <v>500</v>
      </c>
      <c r="J26" s="206">
        <f>D26*6</f>
        <v>600</v>
      </c>
      <c r="K26" s="206">
        <f>D26*7</f>
        <v>700</v>
      </c>
      <c r="L26" s="206">
        <f>D26*8</f>
        <v>800</v>
      </c>
      <c r="M26" s="206">
        <f>D26*9</f>
        <v>900</v>
      </c>
      <c r="N26" s="206">
        <f>D26*10</f>
        <v>1000</v>
      </c>
      <c r="O26" s="304">
        <f>D26*11</f>
        <v>1100</v>
      </c>
      <c r="P26" s="206">
        <f>D26*12</f>
        <v>1200</v>
      </c>
      <c r="Q26" s="382">
        <f>D26*13</f>
        <v>1300</v>
      </c>
      <c r="R26" s="206">
        <f>D26*14</f>
        <v>1400</v>
      </c>
      <c r="S26" s="207">
        <f>D26*15</f>
        <v>1500</v>
      </c>
      <c r="T26" s="385">
        <f>D26*16</f>
        <v>1600</v>
      </c>
      <c r="U26" s="206">
        <f>D26*17</f>
        <v>1700</v>
      </c>
      <c r="V26" s="382">
        <f>D26*18</f>
        <v>1800</v>
      </c>
      <c r="W26" s="388"/>
    </row>
    <row r="27" spans="1:27" s="179" customFormat="1" ht="11.25" customHeight="1">
      <c r="B27" s="185" t="s">
        <v>96</v>
      </c>
      <c r="C27" s="186" t="s">
        <v>104</v>
      </c>
      <c r="D27" s="187">
        <v>100</v>
      </c>
      <c r="E27" s="205">
        <f>D27*1</f>
        <v>100</v>
      </c>
      <c r="F27" s="206">
        <f>D27*2</f>
        <v>200</v>
      </c>
      <c r="G27" s="206">
        <f>D27*3</f>
        <v>300</v>
      </c>
      <c r="H27" s="206">
        <f>D27*4</f>
        <v>400</v>
      </c>
      <c r="I27" s="206">
        <f>D27*5</f>
        <v>500</v>
      </c>
      <c r="J27" s="206">
        <f>D27*6</f>
        <v>600</v>
      </c>
      <c r="K27" s="206">
        <f>D27*7</f>
        <v>700</v>
      </c>
      <c r="L27" s="206">
        <f>D27*8</f>
        <v>800</v>
      </c>
      <c r="M27" s="206">
        <f>D27*9</f>
        <v>900</v>
      </c>
      <c r="N27" s="206">
        <f>D27*10</f>
        <v>1000</v>
      </c>
      <c r="O27" s="304">
        <f>D27*11</f>
        <v>1100</v>
      </c>
      <c r="P27" s="206">
        <f>D27*12</f>
        <v>1200</v>
      </c>
      <c r="Q27" s="382">
        <f>D27*13</f>
        <v>1300</v>
      </c>
      <c r="R27" s="206">
        <f>D27*14</f>
        <v>1400</v>
      </c>
      <c r="S27" s="207">
        <f>D27*15</f>
        <v>1500</v>
      </c>
      <c r="T27" s="385">
        <f>D27*16</f>
        <v>1600</v>
      </c>
      <c r="U27" s="206">
        <f>D27*17</f>
        <v>1700</v>
      </c>
      <c r="V27" s="382">
        <f>D27*18</f>
        <v>1800</v>
      </c>
      <c r="W27" s="388">
        <f>D27*19</f>
        <v>1900</v>
      </c>
    </row>
    <row r="28" spans="1:27" s="179" customFormat="1" ht="11.25" customHeight="1">
      <c r="B28" s="185"/>
      <c r="C28" s="186"/>
      <c r="D28" s="187"/>
      <c r="E28" s="205"/>
      <c r="F28" s="206"/>
      <c r="G28" s="206"/>
      <c r="H28" s="206"/>
      <c r="I28" s="206"/>
      <c r="J28" s="206"/>
      <c r="K28" s="206"/>
      <c r="L28" s="206"/>
      <c r="M28" s="206"/>
      <c r="N28" s="206"/>
      <c r="O28" s="304"/>
      <c r="P28" s="206"/>
      <c r="Q28" s="382"/>
      <c r="R28" s="206"/>
      <c r="S28" s="207"/>
      <c r="T28" s="385"/>
      <c r="U28" s="206"/>
      <c r="V28" s="382"/>
      <c r="W28" s="388"/>
    </row>
    <row r="29" spans="1:27" s="179" customFormat="1" ht="11.25" customHeight="1">
      <c r="A29" s="166" t="s">
        <v>289</v>
      </c>
      <c r="B29" s="185"/>
      <c r="C29" s="186"/>
      <c r="D29" s="187"/>
      <c r="E29" s="205"/>
      <c r="F29" s="206"/>
      <c r="G29" s="206"/>
      <c r="H29" s="206"/>
      <c r="I29" s="206"/>
      <c r="J29" s="206"/>
      <c r="K29" s="206"/>
      <c r="L29" s="206"/>
      <c r="M29" s="206"/>
      <c r="N29" s="206"/>
      <c r="O29" s="304"/>
      <c r="P29" s="206"/>
      <c r="Q29" s="382"/>
      <c r="R29" s="206"/>
      <c r="S29" s="207"/>
      <c r="T29" s="385"/>
      <c r="U29" s="206">
        <f>$D29*O29</f>
        <v>0</v>
      </c>
      <c r="V29" s="382">
        <f>$D29*P29</f>
        <v>0</v>
      </c>
      <c r="W29" s="390"/>
    </row>
    <row r="30" spans="1:27">
      <c r="A30" s="85"/>
      <c r="B30" s="183"/>
      <c r="C30" s="184"/>
      <c r="D30" s="190"/>
      <c r="E30" s="208"/>
      <c r="F30" s="209"/>
      <c r="G30" s="209"/>
      <c r="H30" s="305"/>
      <c r="I30" s="305"/>
      <c r="J30" s="305"/>
      <c r="K30" s="305"/>
      <c r="L30" s="305"/>
      <c r="M30" s="305"/>
      <c r="N30" s="305"/>
      <c r="O30" s="305"/>
      <c r="P30" s="305"/>
      <c r="Q30" s="383"/>
      <c r="R30" s="209"/>
      <c r="S30" s="210"/>
      <c r="T30" s="386"/>
      <c r="U30" s="209">
        <f>$D30*O30</f>
        <v>0</v>
      </c>
      <c r="V30" s="387">
        <f>$D30*P30</f>
        <v>0</v>
      </c>
      <c r="W30" s="389"/>
    </row>
    <row r="31" spans="1:27">
      <c r="E31" s="85"/>
    </row>
  </sheetData>
  <mergeCells count="15">
    <mergeCell ref="X7:AA7"/>
    <mergeCell ref="E21:S21"/>
    <mergeCell ref="T21:W21"/>
    <mergeCell ref="G5:J5"/>
    <mergeCell ref="O2:R2"/>
    <mergeCell ref="O3:R3"/>
    <mergeCell ref="O4:R4"/>
    <mergeCell ref="O5:R5"/>
    <mergeCell ref="G2:J2"/>
    <mergeCell ref="G3:J3"/>
    <mergeCell ref="G4:J4"/>
    <mergeCell ref="H7:K7"/>
    <mergeCell ref="T7:W7"/>
    <mergeCell ref="L7:O7"/>
    <mergeCell ref="P7:S7"/>
  </mergeCells>
  <phoneticPr fontId="2"/>
  <pageMargins left="0.19685039370078741" right="0.19685039370078741" top="0.78740157480314965" bottom="0.19685039370078741" header="0.51181102362204722" footer="0.51181102362204722"/>
  <pageSetup paperSize="9" scale="88" orientation="landscape" horizontalDpi="300" verticalDpi="300"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pageSetUpPr fitToPage="1"/>
  </sheetPr>
  <dimension ref="A1:AH13"/>
  <sheetViews>
    <sheetView workbookViewId="0">
      <pane xSplit="4" topLeftCell="E1" activePane="topRight" state="frozen"/>
      <selection activeCell="C73" sqref="C73"/>
      <selection pane="topRight"/>
    </sheetView>
  </sheetViews>
  <sheetFormatPr defaultColWidth="9" defaultRowHeight="12"/>
  <cols>
    <col min="1" max="1" width="3.6328125" style="145" customWidth="1"/>
    <col min="2" max="2" width="4.81640625" style="145" customWidth="1"/>
    <col min="3" max="3" width="16.36328125" style="145" customWidth="1"/>
    <col min="4" max="4" width="16.6328125" style="145" customWidth="1"/>
    <col min="5" max="5" width="5.1796875" style="145" bestFit="1" customWidth="1"/>
    <col min="6" max="6" width="23.6328125" style="145" bestFit="1" customWidth="1"/>
    <col min="7" max="13" width="4.6328125" style="145" customWidth="1"/>
    <col min="14" max="34" width="5.6328125" style="145" customWidth="1"/>
    <col min="35" max="16384" width="9" style="145"/>
  </cols>
  <sheetData>
    <row r="1" spans="1:34">
      <c r="A1" s="145" t="s">
        <v>41</v>
      </c>
      <c r="B1" s="145" t="s">
        <v>32</v>
      </c>
      <c r="C1" s="145" t="s">
        <v>77</v>
      </c>
      <c r="D1" s="145" t="s">
        <v>33</v>
      </c>
      <c r="E1" s="145" t="s">
        <v>34</v>
      </c>
      <c r="F1" s="145" t="s">
        <v>40</v>
      </c>
      <c r="G1" s="145" t="s">
        <v>35</v>
      </c>
      <c r="H1" s="145" t="s">
        <v>36</v>
      </c>
      <c r="I1" s="145" t="s">
        <v>112</v>
      </c>
      <c r="J1" s="145" t="s">
        <v>113</v>
      </c>
      <c r="K1" s="145" t="s">
        <v>37</v>
      </c>
      <c r="L1" s="145" t="s">
        <v>38</v>
      </c>
      <c r="M1" s="145" t="s">
        <v>39</v>
      </c>
      <c r="N1" s="145" t="s">
        <v>159</v>
      </c>
      <c r="O1" s="145" t="s">
        <v>288</v>
      </c>
      <c r="P1" s="145" t="s">
        <v>247</v>
      </c>
      <c r="Q1" s="145" t="s">
        <v>267</v>
      </c>
      <c r="R1" s="145" t="s">
        <v>268</v>
      </c>
      <c r="S1" s="145" t="s">
        <v>144</v>
      </c>
      <c r="T1" s="145" t="s">
        <v>155</v>
      </c>
      <c r="U1" s="145" t="s">
        <v>146</v>
      </c>
      <c r="V1" s="145" t="s">
        <v>145</v>
      </c>
      <c r="W1" s="145" t="s">
        <v>269</v>
      </c>
      <c r="X1" s="145" t="s">
        <v>270</v>
      </c>
      <c r="Y1" s="145" t="s">
        <v>271</v>
      </c>
      <c r="Z1" s="145" t="s">
        <v>255</v>
      </c>
      <c r="AA1" s="145" t="s">
        <v>3807</v>
      </c>
      <c r="AB1" s="145" t="s">
        <v>309</v>
      </c>
      <c r="AC1" s="145" t="s">
        <v>310</v>
      </c>
      <c r="AD1" s="145" t="s">
        <v>150</v>
      </c>
      <c r="AE1" s="145" t="s">
        <v>156</v>
      </c>
      <c r="AF1" s="145" t="s">
        <v>157</v>
      </c>
      <c r="AG1" s="145" t="s">
        <v>152</v>
      </c>
      <c r="AH1" s="145" t="s">
        <v>3808</v>
      </c>
    </row>
    <row r="2" spans="1:34">
      <c r="A2" s="145">
        <v>3</v>
      </c>
      <c r="B2" s="145">
        <v>101</v>
      </c>
      <c r="C2" s="145" t="s">
        <v>131</v>
      </c>
      <c r="D2" s="145" t="s">
        <v>114</v>
      </c>
      <c r="E2" s="145" t="s">
        <v>115</v>
      </c>
      <c r="N2" s="145">
        <v>1000</v>
      </c>
    </row>
    <row r="3" spans="1:34">
      <c r="A3" s="145">
        <v>3</v>
      </c>
      <c r="B3" s="145">
        <v>102</v>
      </c>
      <c r="C3" s="145" t="s">
        <v>131</v>
      </c>
      <c r="D3" s="145" t="s">
        <v>92</v>
      </c>
      <c r="E3" s="145" t="s">
        <v>115</v>
      </c>
      <c r="N3" s="145">
        <v>1000</v>
      </c>
    </row>
    <row r="4" spans="1:34">
      <c r="A4" s="145">
        <v>3</v>
      </c>
      <c r="B4" s="145">
        <v>103</v>
      </c>
      <c r="C4" s="145" t="s">
        <v>131</v>
      </c>
      <c r="D4" s="145" t="s">
        <v>93</v>
      </c>
      <c r="E4" s="145" t="s">
        <v>115</v>
      </c>
      <c r="N4" s="145">
        <v>1000</v>
      </c>
    </row>
    <row r="5" spans="1:34">
      <c r="A5" s="145">
        <v>3</v>
      </c>
      <c r="B5" s="145">
        <v>104</v>
      </c>
      <c r="C5" s="145" t="s">
        <v>132</v>
      </c>
      <c r="D5" s="145" t="s">
        <v>94</v>
      </c>
      <c r="E5" s="145" t="s">
        <v>115</v>
      </c>
      <c r="N5" s="145">
        <v>1000</v>
      </c>
    </row>
    <row r="6" spans="1:34">
      <c r="A6" s="145">
        <v>3</v>
      </c>
      <c r="B6" s="145">
        <v>105</v>
      </c>
      <c r="C6" s="145" t="s">
        <v>132</v>
      </c>
      <c r="D6" s="145" t="s">
        <v>95</v>
      </c>
      <c r="E6" s="145" t="s">
        <v>115</v>
      </c>
      <c r="N6" s="145">
        <v>1000</v>
      </c>
    </row>
    <row r="7" spans="1:34">
      <c r="A7" s="145">
        <v>4</v>
      </c>
      <c r="B7" s="145">
        <v>106</v>
      </c>
      <c r="C7" s="145" t="s">
        <v>96</v>
      </c>
      <c r="D7" s="145" t="s">
        <v>97</v>
      </c>
      <c r="E7" s="145" t="s">
        <v>78</v>
      </c>
      <c r="N7" s="145">
        <v>0</v>
      </c>
    </row>
    <row r="8" spans="1:34">
      <c r="A8" s="145">
        <v>4</v>
      </c>
      <c r="B8" s="145">
        <v>107</v>
      </c>
      <c r="C8" s="145" t="s">
        <v>96</v>
      </c>
      <c r="D8" s="145" t="s">
        <v>98</v>
      </c>
      <c r="E8" s="145" t="s">
        <v>78</v>
      </c>
      <c r="N8" s="145">
        <v>0</v>
      </c>
    </row>
    <row r="9" spans="1:34">
      <c r="A9" s="145">
        <v>4</v>
      </c>
      <c r="B9" s="145">
        <v>109</v>
      </c>
      <c r="C9" s="145" t="s">
        <v>96</v>
      </c>
      <c r="D9" s="145" t="s">
        <v>128</v>
      </c>
      <c r="E9" s="145" t="s">
        <v>78</v>
      </c>
      <c r="N9" s="145">
        <v>0</v>
      </c>
    </row>
    <row r="10" spans="1:34">
      <c r="A10" s="145">
        <v>3</v>
      </c>
      <c r="B10" s="145">
        <v>110</v>
      </c>
      <c r="C10" s="145" t="s">
        <v>96</v>
      </c>
      <c r="D10" s="145" t="s">
        <v>218</v>
      </c>
      <c r="E10" s="145" t="s">
        <v>78</v>
      </c>
      <c r="N10" s="145">
        <v>0</v>
      </c>
    </row>
    <row r="11" spans="1:34" s="652" customFormat="1">
      <c r="A11" s="652">
        <v>4</v>
      </c>
      <c r="B11" s="652">
        <v>108</v>
      </c>
      <c r="C11" s="652" t="s">
        <v>96</v>
      </c>
      <c r="D11" s="652" t="s">
        <v>104</v>
      </c>
      <c r="E11" s="652" t="s">
        <v>78</v>
      </c>
      <c r="N11" s="652">
        <v>0</v>
      </c>
      <c r="O11" s="652">
        <v>1</v>
      </c>
      <c r="P11" s="652">
        <v>2</v>
      </c>
      <c r="Q11" s="652">
        <v>3</v>
      </c>
      <c r="R11" s="652">
        <v>4</v>
      </c>
      <c r="S11" s="652">
        <v>5</v>
      </c>
      <c r="T11" s="652">
        <v>6</v>
      </c>
      <c r="U11" s="652">
        <v>7</v>
      </c>
      <c r="V11" s="652">
        <v>8</v>
      </c>
      <c r="W11" s="652">
        <v>9</v>
      </c>
      <c r="X11" s="652">
        <v>10</v>
      </c>
      <c r="Y11" s="652">
        <v>11</v>
      </c>
      <c r="Z11" s="652">
        <v>12</v>
      </c>
      <c r="AA11" s="652">
        <v>13</v>
      </c>
      <c r="AB11" s="652">
        <v>14</v>
      </c>
      <c r="AC11" s="652">
        <v>15</v>
      </c>
      <c r="AD11" s="652">
        <v>16</v>
      </c>
      <c r="AE11" s="652">
        <v>17</v>
      </c>
      <c r="AF11" s="652">
        <v>18</v>
      </c>
      <c r="AG11" s="652">
        <v>19</v>
      </c>
      <c r="AH11" s="652">
        <v>20</v>
      </c>
    </row>
    <row r="12" spans="1:34">
      <c r="A12" s="145">
        <v>99</v>
      </c>
      <c r="B12" s="145">
        <v>1</v>
      </c>
      <c r="C12" s="145" t="str">
        <f>代価!$D$5</f>
        <v>未記入</v>
      </c>
      <c r="D12" s="145" t="str">
        <f>代価!$E$5</f>
        <v>未記入</v>
      </c>
      <c r="E12" s="145" t="str">
        <f>代価!$G$5</f>
        <v>未記入</v>
      </c>
      <c r="F12" s="145">
        <f>代価!$J$5</f>
        <v>0</v>
      </c>
      <c r="H12" s="145">
        <f>代価!$I24</f>
        <v>0</v>
      </c>
      <c r="I12" s="145" t="s">
        <v>3815</v>
      </c>
      <c r="J12" s="145" t="s">
        <v>3815</v>
      </c>
      <c r="K12" s="145" t="s">
        <v>3815</v>
      </c>
      <c r="L12" s="145" t="s">
        <v>3815</v>
      </c>
      <c r="M12" s="145" t="s">
        <v>3815</v>
      </c>
      <c r="N12" s="145">
        <f>代価!$O$24</f>
        <v>0</v>
      </c>
      <c r="O12" s="145">
        <f>代価!$P$24</f>
        <v>0</v>
      </c>
      <c r="P12" s="145">
        <f>代価!$Q$24</f>
        <v>0</v>
      </c>
      <c r="Q12" s="145">
        <f>代価!$R$24</f>
        <v>0</v>
      </c>
      <c r="R12" s="145">
        <f>代価!$S$24</f>
        <v>0</v>
      </c>
      <c r="S12" s="145">
        <f>代価!$T$24</f>
        <v>0</v>
      </c>
      <c r="T12" s="145">
        <f>代価!$U$24</f>
        <v>0</v>
      </c>
      <c r="U12" s="145">
        <f>代価!$V$24</f>
        <v>0</v>
      </c>
      <c r="V12" s="145">
        <f>代価!$W$24</f>
        <v>0</v>
      </c>
      <c r="W12" s="145">
        <f>代価!$X$24</f>
        <v>0</v>
      </c>
      <c r="X12" s="145">
        <f>代価!$Y$24</f>
        <v>0</v>
      </c>
      <c r="Y12" s="145">
        <f>代価!$Z$24</f>
        <v>0</v>
      </c>
      <c r="Z12" s="145">
        <f>代価!$AA$24</f>
        <v>0</v>
      </c>
      <c r="AA12" s="145">
        <f>代価!$AB$24</f>
        <v>0</v>
      </c>
      <c r="AB12" s="145">
        <f>代価!$AC$24</f>
        <v>0</v>
      </c>
      <c r="AC12" s="145">
        <f>代価!$AD$24</f>
        <v>0</v>
      </c>
      <c r="AD12" s="145">
        <f>代価!$AE$24</f>
        <v>0</v>
      </c>
      <c r="AE12" s="145">
        <f>代価!$AF$24</f>
        <v>0</v>
      </c>
      <c r="AF12" s="145">
        <f>代価!$AG$24</f>
        <v>0</v>
      </c>
    </row>
    <row r="13" spans="1:34">
      <c r="A13" s="145">
        <v>99</v>
      </c>
      <c r="B13" s="145">
        <v>2</v>
      </c>
      <c r="C13" s="145" t="str">
        <f>代価!$D$28</f>
        <v>会所４００角</v>
      </c>
      <c r="D13" s="145" t="str">
        <f>代価!$E$28</f>
        <v xml:space="preserve"> H=1200 根切共</v>
      </c>
      <c r="E13" s="145" t="str">
        <f>代価!$G$28</f>
        <v>ヵ所</v>
      </c>
      <c r="F13" s="145">
        <f>代価!$J$28</f>
        <v>0</v>
      </c>
      <c r="H13" s="145">
        <f>代価!$I47</f>
        <v>0</v>
      </c>
      <c r="I13" s="145" t="s">
        <v>3815</v>
      </c>
      <c r="J13" s="145" t="s">
        <v>3815</v>
      </c>
      <c r="K13" s="145" t="s">
        <v>3815</v>
      </c>
      <c r="L13" s="145" t="s">
        <v>3815</v>
      </c>
      <c r="M13" s="145" t="s">
        <v>3815</v>
      </c>
      <c r="N13" s="145">
        <f>代価!$O$47</f>
        <v>0</v>
      </c>
      <c r="O13" s="145">
        <f>代価!$P$47</f>
        <v>0</v>
      </c>
      <c r="P13" s="145">
        <f>代価!$Q$47</f>
        <v>0</v>
      </c>
      <c r="Q13" s="145">
        <f>代価!$R$47</f>
        <v>0</v>
      </c>
      <c r="R13" s="145">
        <f>代価!$S$47</f>
        <v>0</v>
      </c>
      <c r="S13" s="145">
        <f>代価!$T$47</f>
        <v>0</v>
      </c>
      <c r="T13" s="145">
        <f>代価!$U$47</f>
        <v>0</v>
      </c>
      <c r="U13" s="145">
        <f>代価!$V$47</f>
        <v>0</v>
      </c>
      <c r="V13" s="145">
        <f>代価!$W$47</f>
        <v>0</v>
      </c>
      <c r="W13" s="145">
        <f>代価!$X$47</f>
        <v>0</v>
      </c>
      <c r="X13" s="145">
        <f>代価!$Y$47</f>
        <v>0</v>
      </c>
      <c r="Y13" s="145">
        <f>代価!$Z$47</f>
        <v>0</v>
      </c>
      <c r="Z13" s="145">
        <f>代価!$AA$47</f>
        <v>0</v>
      </c>
      <c r="AA13" s="145">
        <f>代価!$AB$47</f>
        <v>0</v>
      </c>
      <c r="AB13" s="145">
        <f>代価!$AC$47</f>
        <v>0</v>
      </c>
      <c r="AC13" s="145">
        <f>代価!$AD$47</f>
        <v>0</v>
      </c>
      <c r="AD13" s="145">
        <f>代価!$AE$47</f>
        <v>0</v>
      </c>
      <c r="AE13" s="145">
        <f>代価!$AF$47</f>
        <v>0</v>
      </c>
      <c r="AF13" s="145">
        <f>代価!$AG$47</f>
        <v>0</v>
      </c>
    </row>
  </sheetData>
  <phoneticPr fontId="2"/>
  <pageMargins left="0.78740157480314965" right="0.78740157480314965" top="0.98425196850393704" bottom="0.98425196850393704" header="0.51181102362204722" footer="0.51181102362204722"/>
  <pageSetup paperSize="9" scale="57" orientation="landscape" horizontalDpi="300" verticalDpi="300"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B1687"/>
  <sheetViews>
    <sheetView workbookViewId="0"/>
  </sheetViews>
  <sheetFormatPr defaultColWidth="8.81640625" defaultRowHeight="13"/>
  <cols>
    <col min="1" max="1" width="9.453125" bestFit="1" customWidth="1"/>
    <col min="2" max="2" width="93.81640625" bestFit="1" customWidth="1"/>
  </cols>
  <sheetData>
    <row r="1" spans="1:2">
      <c r="A1" t="s">
        <v>4144</v>
      </c>
      <c r="B1" t="s">
        <v>4145</v>
      </c>
    </row>
    <row r="2" spans="1:2">
      <c r="A2" s="799">
        <v>10100101</v>
      </c>
      <c r="B2" t="s">
        <v>378</v>
      </c>
    </row>
    <row r="3" spans="1:2">
      <c r="A3" s="799">
        <v>10100201</v>
      </c>
      <c r="B3" t="s">
        <v>380</v>
      </c>
    </row>
    <row r="4" spans="1:2">
      <c r="A4" s="799">
        <v>10100301</v>
      </c>
      <c r="B4" t="s">
        <v>382</v>
      </c>
    </row>
    <row r="5" spans="1:2">
      <c r="A5" s="799">
        <v>10100401</v>
      </c>
      <c r="B5" t="s">
        <v>384</v>
      </c>
    </row>
    <row r="6" spans="1:2">
      <c r="A6" s="799">
        <v>10100501</v>
      </c>
      <c r="B6" t="s">
        <v>386</v>
      </c>
    </row>
    <row r="7" spans="1:2">
      <c r="A7" s="799">
        <v>10100601</v>
      </c>
      <c r="B7" t="s">
        <v>388</v>
      </c>
    </row>
    <row r="8" spans="1:2">
      <c r="A8" s="799">
        <v>10199901</v>
      </c>
      <c r="B8" t="s">
        <v>390</v>
      </c>
    </row>
    <row r="9" spans="1:2">
      <c r="A9" s="799">
        <v>10500701</v>
      </c>
      <c r="B9" t="s">
        <v>391</v>
      </c>
    </row>
    <row r="10" spans="1:2">
      <c r="A10" s="799">
        <v>10500702</v>
      </c>
      <c r="B10" t="s">
        <v>393</v>
      </c>
    </row>
    <row r="11" spans="1:2">
      <c r="A11" s="799">
        <v>10500703</v>
      </c>
      <c r="B11" t="s">
        <v>395</v>
      </c>
    </row>
    <row r="12" spans="1:2">
      <c r="A12" s="799">
        <v>10500704</v>
      </c>
      <c r="B12" t="s">
        <v>397</v>
      </c>
    </row>
    <row r="13" spans="1:2">
      <c r="A13" s="799">
        <v>10500705</v>
      </c>
      <c r="B13" t="s">
        <v>399</v>
      </c>
    </row>
    <row r="14" spans="1:2">
      <c r="A14" s="799">
        <v>10500706</v>
      </c>
      <c r="B14" t="s">
        <v>401</v>
      </c>
    </row>
    <row r="15" spans="1:2">
      <c r="A15" s="799">
        <v>10500707</v>
      </c>
      <c r="B15" t="s">
        <v>403</v>
      </c>
    </row>
    <row r="16" spans="1:2">
      <c r="A16" s="799">
        <v>10500708</v>
      </c>
      <c r="B16" t="s">
        <v>405</v>
      </c>
    </row>
    <row r="17" spans="1:2">
      <c r="A17" s="799">
        <v>10500709</v>
      </c>
      <c r="B17" t="s">
        <v>407</v>
      </c>
    </row>
    <row r="18" spans="1:2">
      <c r="A18" s="799">
        <v>10500801</v>
      </c>
      <c r="B18" t="s">
        <v>441</v>
      </c>
    </row>
    <row r="19" spans="1:2">
      <c r="A19" s="799">
        <v>10500802</v>
      </c>
      <c r="B19" t="s">
        <v>443</v>
      </c>
    </row>
    <row r="20" spans="1:2">
      <c r="A20" s="799">
        <v>10500803</v>
      </c>
      <c r="B20" t="s">
        <v>445</v>
      </c>
    </row>
    <row r="21" spans="1:2">
      <c r="A21" s="799">
        <v>10500804</v>
      </c>
      <c r="B21" t="s">
        <v>447</v>
      </c>
    </row>
    <row r="22" spans="1:2">
      <c r="A22" s="799">
        <v>10500805</v>
      </c>
      <c r="B22" t="s">
        <v>449</v>
      </c>
    </row>
    <row r="23" spans="1:2">
      <c r="A23" s="799">
        <v>10500806</v>
      </c>
      <c r="B23" t="s">
        <v>451</v>
      </c>
    </row>
    <row r="24" spans="1:2">
      <c r="A24" s="799">
        <v>10500807</v>
      </c>
      <c r="B24" t="s">
        <v>453</v>
      </c>
    </row>
    <row r="25" spans="1:2">
      <c r="A25">
        <v>10500808</v>
      </c>
      <c r="B25" t="s">
        <v>455</v>
      </c>
    </row>
    <row r="26" spans="1:2">
      <c r="A26">
        <v>10500809</v>
      </c>
      <c r="B26" t="s">
        <v>457</v>
      </c>
    </row>
    <row r="27" spans="1:2">
      <c r="A27" s="799">
        <v>10500901</v>
      </c>
      <c r="B27" t="s">
        <v>491</v>
      </c>
    </row>
    <row r="28" spans="1:2">
      <c r="A28" s="799">
        <v>10500902</v>
      </c>
      <c r="B28" t="s">
        <v>493</v>
      </c>
    </row>
    <row r="29" spans="1:2">
      <c r="A29" s="799">
        <v>10500903</v>
      </c>
      <c r="B29" t="s">
        <v>495</v>
      </c>
    </row>
    <row r="30" spans="1:2">
      <c r="A30" s="799">
        <v>10500904</v>
      </c>
      <c r="B30" t="s">
        <v>497</v>
      </c>
    </row>
    <row r="31" spans="1:2">
      <c r="A31" s="799">
        <v>10500905</v>
      </c>
      <c r="B31" t="s">
        <v>499</v>
      </c>
    </row>
    <row r="32" spans="1:2">
      <c r="A32" s="799">
        <v>10500906</v>
      </c>
      <c r="B32" t="s">
        <v>501</v>
      </c>
    </row>
    <row r="33" spans="1:2">
      <c r="A33" s="799">
        <v>10500907</v>
      </c>
      <c r="B33" t="s">
        <v>503</v>
      </c>
    </row>
    <row r="34" spans="1:2">
      <c r="A34" s="799">
        <v>10500908</v>
      </c>
      <c r="B34" t="s">
        <v>505</v>
      </c>
    </row>
    <row r="35" spans="1:2">
      <c r="A35">
        <v>10500909</v>
      </c>
      <c r="B35" t="s">
        <v>507</v>
      </c>
    </row>
    <row r="36" spans="1:2">
      <c r="A36">
        <v>10501001</v>
      </c>
      <c r="B36" t="s">
        <v>541</v>
      </c>
    </row>
    <row r="37" spans="1:2">
      <c r="A37">
        <v>10501002</v>
      </c>
      <c r="B37" t="s">
        <v>543</v>
      </c>
    </row>
    <row r="38" spans="1:2">
      <c r="A38">
        <v>10501003</v>
      </c>
      <c r="B38" t="s">
        <v>545</v>
      </c>
    </row>
    <row r="39" spans="1:2">
      <c r="A39">
        <v>10501004</v>
      </c>
      <c r="B39" t="s">
        <v>547</v>
      </c>
    </row>
    <row r="40" spans="1:2">
      <c r="A40">
        <v>10501005</v>
      </c>
      <c r="B40" t="s">
        <v>549</v>
      </c>
    </row>
    <row r="41" spans="1:2">
      <c r="A41">
        <v>10501006</v>
      </c>
      <c r="B41" t="s">
        <v>551</v>
      </c>
    </row>
    <row r="42" spans="1:2">
      <c r="A42">
        <v>10501007</v>
      </c>
      <c r="B42" t="s">
        <v>553</v>
      </c>
    </row>
    <row r="43" spans="1:2">
      <c r="A43">
        <v>10501008</v>
      </c>
      <c r="B43" t="s">
        <v>555</v>
      </c>
    </row>
    <row r="44" spans="1:2">
      <c r="A44">
        <v>10501009</v>
      </c>
      <c r="B44" t="s">
        <v>557</v>
      </c>
    </row>
    <row r="45" spans="1:2">
      <c r="A45" s="799">
        <v>10501101</v>
      </c>
      <c r="B45" t="s">
        <v>591</v>
      </c>
    </row>
    <row r="46" spans="1:2">
      <c r="A46" s="799">
        <v>10501102</v>
      </c>
      <c r="B46" t="s">
        <v>593</v>
      </c>
    </row>
    <row r="47" spans="1:2">
      <c r="A47" s="799">
        <v>10501103</v>
      </c>
      <c r="B47" t="s">
        <v>595</v>
      </c>
    </row>
    <row r="48" spans="1:2">
      <c r="A48" s="799">
        <v>10501104</v>
      </c>
      <c r="B48" t="s">
        <v>597</v>
      </c>
    </row>
    <row r="49" spans="1:2">
      <c r="A49" s="799">
        <v>10501105</v>
      </c>
      <c r="B49" t="s">
        <v>599</v>
      </c>
    </row>
    <row r="50" spans="1:2">
      <c r="A50" s="799">
        <v>10501106</v>
      </c>
      <c r="B50" t="s">
        <v>601</v>
      </c>
    </row>
    <row r="51" spans="1:2">
      <c r="A51" s="799">
        <v>10501107</v>
      </c>
      <c r="B51" t="s">
        <v>603</v>
      </c>
    </row>
    <row r="52" spans="1:2">
      <c r="A52">
        <v>10501108</v>
      </c>
      <c r="B52" t="s">
        <v>605</v>
      </c>
    </row>
    <row r="53" spans="1:2">
      <c r="A53">
        <v>10501109</v>
      </c>
      <c r="B53" t="s">
        <v>607</v>
      </c>
    </row>
    <row r="54" spans="1:2">
      <c r="A54">
        <v>10501201</v>
      </c>
      <c r="B54" t="s">
        <v>641</v>
      </c>
    </row>
    <row r="55" spans="1:2">
      <c r="A55">
        <v>10501202</v>
      </c>
      <c r="B55" t="s">
        <v>643</v>
      </c>
    </row>
    <row r="56" spans="1:2">
      <c r="A56">
        <v>10501203</v>
      </c>
      <c r="B56" t="s">
        <v>645</v>
      </c>
    </row>
    <row r="57" spans="1:2">
      <c r="A57">
        <v>10501204</v>
      </c>
      <c r="B57" t="s">
        <v>647</v>
      </c>
    </row>
    <row r="58" spans="1:2">
      <c r="A58">
        <v>10501205</v>
      </c>
      <c r="B58" t="s">
        <v>649</v>
      </c>
    </row>
    <row r="59" spans="1:2">
      <c r="A59">
        <v>10501206</v>
      </c>
      <c r="B59" t="s">
        <v>651</v>
      </c>
    </row>
    <row r="60" spans="1:2">
      <c r="A60">
        <v>10501207</v>
      </c>
      <c r="B60" t="s">
        <v>653</v>
      </c>
    </row>
    <row r="61" spans="1:2">
      <c r="A61">
        <v>10501208</v>
      </c>
      <c r="B61" t="s">
        <v>655</v>
      </c>
    </row>
    <row r="62" spans="1:2">
      <c r="A62">
        <v>10501209</v>
      </c>
      <c r="B62" t="s">
        <v>657</v>
      </c>
    </row>
    <row r="63" spans="1:2">
      <c r="A63">
        <v>10501301</v>
      </c>
      <c r="B63" t="s">
        <v>691</v>
      </c>
    </row>
    <row r="64" spans="1:2">
      <c r="A64">
        <v>10501302</v>
      </c>
      <c r="B64" t="s">
        <v>693</v>
      </c>
    </row>
    <row r="65" spans="1:2">
      <c r="A65">
        <v>10501303</v>
      </c>
      <c r="B65" t="s">
        <v>695</v>
      </c>
    </row>
    <row r="66" spans="1:2">
      <c r="A66">
        <v>10501304</v>
      </c>
      <c r="B66" t="s">
        <v>697</v>
      </c>
    </row>
    <row r="67" spans="1:2">
      <c r="A67">
        <v>10501305</v>
      </c>
      <c r="B67" t="s">
        <v>699</v>
      </c>
    </row>
    <row r="68" spans="1:2">
      <c r="A68">
        <v>10501306</v>
      </c>
      <c r="B68" t="s">
        <v>701</v>
      </c>
    </row>
    <row r="69" spans="1:2">
      <c r="A69">
        <v>10501307</v>
      </c>
      <c r="B69" t="s">
        <v>703</v>
      </c>
    </row>
    <row r="70" spans="1:2">
      <c r="A70">
        <v>10501308</v>
      </c>
      <c r="B70" t="s">
        <v>705</v>
      </c>
    </row>
    <row r="71" spans="1:2">
      <c r="A71">
        <v>10501309</v>
      </c>
      <c r="B71" t="s">
        <v>707</v>
      </c>
    </row>
    <row r="72" spans="1:2">
      <c r="A72">
        <v>10599901</v>
      </c>
      <c r="B72" t="s">
        <v>741</v>
      </c>
    </row>
    <row r="73" spans="1:2">
      <c r="A73">
        <v>10599902</v>
      </c>
      <c r="B73" t="s">
        <v>743</v>
      </c>
    </row>
    <row r="74" spans="1:2">
      <c r="A74">
        <v>10599903</v>
      </c>
      <c r="B74" t="s">
        <v>745</v>
      </c>
    </row>
    <row r="75" spans="1:2">
      <c r="A75">
        <v>10599904</v>
      </c>
      <c r="B75" t="s">
        <v>747</v>
      </c>
    </row>
    <row r="76" spans="1:2">
      <c r="A76">
        <v>10599905</v>
      </c>
      <c r="B76" t="s">
        <v>749</v>
      </c>
    </row>
    <row r="77" spans="1:2">
      <c r="A77">
        <v>10599906</v>
      </c>
      <c r="B77" t="s">
        <v>751</v>
      </c>
    </row>
    <row r="78" spans="1:2">
      <c r="A78">
        <v>10599907</v>
      </c>
      <c r="B78" t="s">
        <v>753</v>
      </c>
    </row>
    <row r="79" spans="1:2">
      <c r="A79">
        <v>10599908</v>
      </c>
      <c r="B79" t="s">
        <v>755</v>
      </c>
    </row>
    <row r="80" spans="1:2">
      <c r="A80">
        <v>10599909</v>
      </c>
      <c r="B80" t="s">
        <v>757</v>
      </c>
    </row>
    <row r="81" spans="1:2">
      <c r="A81">
        <v>10599910</v>
      </c>
      <c r="B81" t="s">
        <v>759</v>
      </c>
    </row>
    <row r="82" spans="1:2">
      <c r="A82">
        <v>10599911</v>
      </c>
      <c r="B82" t="s">
        <v>761</v>
      </c>
    </row>
    <row r="83" spans="1:2">
      <c r="A83">
        <v>10599912</v>
      </c>
      <c r="B83" t="s">
        <v>763</v>
      </c>
    </row>
    <row r="84" spans="1:2">
      <c r="A84">
        <v>10599913</v>
      </c>
      <c r="B84" t="s">
        <v>765</v>
      </c>
    </row>
    <row r="85" spans="1:2">
      <c r="A85">
        <v>10599914</v>
      </c>
      <c r="B85" t="s">
        <v>767</v>
      </c>
    </row>
    <row r="86" spans="1:2">
      <c r="A86">
        <v>10599915</v>
      </c>
      <c r="B86" t="s">
        <v>769</v>
      </c>
    </row>
    <row r="87" spans="1:2">
      <c r="A87">
        <v>10599916</v>
      </c>
      <c r="B87" t="s">
        <v>771</v>
      </c>
    </row>
    <row r="88" spans="1:2">
      <c r="A88">
        <v>10599917</v>
      </c>
      <c r="B88" t="s">
        <v>773</v>
      </c>
    </row>
    <row r="89" spans="1:2">
      <c r="A89">
        <v>10599918</v>
      </c>
      <c r="B89" t="s">
        <v>775</v>
      </c>
    </row>
    <row r="90" spans="1:2">
      <c r="A90">
        <v>10599919</v>
      </c>
      <c r="B90" t="s">
        <v>777</v>
      </c>
    </row>
    <row r="91" spans="1:2">
      <c r="A91">
        <v>10599920</v>
      </c>
      <c r="B91" t="s">
        <v>779</v>
      </c>
    </row>
    <row r="92" spans="1:2">
      <c r="A92">
        <v>10599921</v>
      </c>
      <c r="B92" t="s">
        <v>781</v>
      </c>
    </row>
    <row r="93" spans="1:2">
      <c r="A93">
        <v>10599922</v>
      </c>
      <c r="B93" t="s">
        <v>783</v>
      </c>
    </row>
    <row r="94" spans="1:2">
      <c r="A94">
        <v>10599923</v>
      </c>
      <c r="B94" t="s">
        <v>785</v>
      </c>
    </row>
    <row r="95" spans="1:2">
      <c r="A95">
        <v>10599924</v>
      </c>
      <c r="B95" t="s">
        <v>787</v>
      </c>
    </row>
    <row r="96" spans="1:2">
      <c r="A96">
        <v>10599925</v>
      </c>
      <c r="B96" t="s">
        <v>789</v>
      </c>
    </row>
    <row r="97" spans="1:2">
      <c r="A97">
        <v>10599926</v>
      </c>
      <c r="B97" t="s">
        <v>791</v>
      </c>
    </row>
    <row r="98" spans="1:2">
      <c r="A98">
        <v>10599927</v>
      </c>
      <c r="B98" t="s">
        <v>793</v>
      </c>
    </row>
    <row r="99" spans="1:2">
      <c r="A99">
        <v>10500710</v>
      </c>
      <c r="B99" t="s">
        <v>409</v>
      </c>
    </row>
    <row r="100" spans="1:2">
      <c r="A100">
        <v>10500711</v>
      </c>
      <c r="B100" t="s">
        <v>411</v>
      </c>
    </row>
    <row r="101" spans="1:2">
      <c r="A101">
        <v>10500712</v>
      </c>
      <c r="B101" t="s">
        <v>413</v>
      </c>
    </row>
    <row r="102" spans="1:2">
      <c r="A102">
        <v>10500713</v>
      </c>
      <c r="B102" t="s">
        <v>415</v>
      </c>
    </row>
    <row r="103" spans="1:2">
      <c r="A103">
        <v>10500714</v>
      </c>
      <c r="B103" t="s">
        <v>417</v>
      </c>
    </row>
    <row r="104" spans="1:2">
      <c r="A104">
        <v>10500715</v>
      </c>
      <c r="B104" t="s">
        <v>419</v>
      </c>
    </row>
    <row r="105" spans="1:2">
      <c r="A105">
        <v>10500716</v>
      </c>
      <c r="B105" t="s">
        <v>421</v>
      </c>
    </row>
    <row r="106" spans="1:2">
      <c r="A106">
        <v>10500717</v>
      </c>
      <c r="B106" t="s">
        <v>423</v>
      </c>
    </row>
    <row r="107" spans="1:2">
      <c r="A107">
        <v>10500718</v>
      </c>
      <c r="B107" t="s">
        <v>425</v>
      </c>
    </row>
    <row r="108" spans="1:2">
      <c r="A108">
        <v>10500719</v>
      </c>
      <c r="B108" t="s">
        <v>427</v>
      </c>
    </row>
    <row r="109" spans="1:2">
      <c r="A109">
        <v>10500720</v>
      </c>
      <c r="B109" t="s">
        <v>429</v>
      </c>
    </row>
    <row r="110" spans="1:2">
      <c r="A110">
        <v>10500721</v>
      </c>
      <c r="B110" t="s">
        <v>431</v>
      </c>
    </row>
    <row r="111" spans="1:2">
      <c r="A111">
        <v>10500722</v>
      </c>
      <c r="B111" t="s">
        <v>433</v>
      </c>
    </row>
    <row r="112" spans="1:2">
      <c r="A112">
        <v>10500723</v>
      </c>
      <c r="B112" t="s">
        <v>435</v>
      </c>
    </row>
    <row r="113" spans="1:2">
      <c r="A113">
        <v>10500724</v>
      </c>
      <c r="B113" t="s">
        <v>437</v>
      </c>
    </row>
    <row r="114" spans="1:2">
      <c r="A114">
        <v>10500725</v>
      </c>
      <c r="B114" t="s">
        <v>439</v>
      </c>
    </row>
    <row r="115" spans="1:2">
      <c r="A115">
        <v>10500810</v>
      </c>
      <c r="B115" t="s">
        <v>459</v>
      </c>
    </row>
    <row r="116" spans="1:2">
      <c r="A116">
        <v>10500811</v>
      </c>
      <c r="B116" t="s">
        <v>461</v>
      </c>
    </row>
    <row r="117" spans="1:2">
      <c r="A117">
        <v>10500812</v>
      </c>
      <c r="B117" t="s">
        <v>463</v>
      </c>
    </row>
    <row r="118" spans="1:2">
      <c r="A118">
        <v>10500813</v>
      </c>
      <c r="B118" t="s">
        <v>465</v>
      </c>
    </row>
    <row r="119" spans="1:2">
      <c r="A119">
        <v>10500814</v>
      </c>
      <c r="B119" t="s">
        <v>467</v>
      </c>
    </row>
    <row r="120" spans="1:2">
      <c r="A120">
        <v>10500815</v>
      </c>
      <c r="B120" t="s">
        <v>469</v>
      </c>
    </row>
    <row r="121" spans="1:2">
      <c r="A121">
        <v>10500816</v>
      </c>
      <c r="B121" t="s">
        <v>471</v>
      </c>
    </row>
    <row r="122" spans="1:2">
      <c r="A122">
        <v>10500817</v>
      </c>
      <c r="B122" t="s">
        <v>473</v>
      </c>
    </row>
    <row r="123" spans="1:2">
      <c r="A123">
        <v>10500818</v>
      </c>
      <c r="B123" t="s">
        <v>475</v>
      </c>
    </row>
    <row r="124" spans="1:2">
      <c r="A124">
        <v>10500819</v>
      </c>
      <c r="B124" t="s">
        <v>477</v>
      </c>
    </row>
    <row r="125" spans="1:2">
      <c r="A125">
        <v>10500820</v>
      </c>
      <c r="B125" t="s">
        <v>479</v>
      </c>
    </row>
    <row r="126" spans="1:2">
      <c r="A126">
        <v>10500821</v>
      </c>
      <c r="B126" t="s">
        <v>481</v>
      </c>
    </row>
    <row r="127" spans="1:2">
      <c r="A127">
        <v>10500822</v>
      </c>
      <c r="B127" t="s">
        <v>483</v>
      </c>
    </row>
    <row r="128" spans="1:2">
      <c r="A128">
        <v>10500823</v>
      </c>
      <c r="B128" t="s">
        <v>485</v>
      </c>
    </row>
    <row r="129" spans="1:2">
      <c r="A129">
        <v>10500824</v>
      </c>
      <c r="B129" t="s">
        <v>487</v>
      </c>
    </row>
    <row r="130" spans="1:2">
      <c r="A130">
        <v>10500825</v>
      </c>
      <c r="B130" t="s">
        <v>489</v>
      </c>
    </row>
    <row r="131" spans="1:2">
      <c r="A131">
        <v>10500910</v>
      </c>
      <c r="B131" t="s">
        <v>509</v>
      </c>
    </row>
    <row r="132" spans="1:2">
      <c r="A132">
        <v>10500911</v>
      </c>
      <c r="B132" t="s">
        <v>511</v>
      </c>
    </row>
    <row r="133" spans="1:2">
      <c r="A133">
        <v>10500912</v>
      </c>
      <c r="B133" t="s">
        <v>513</v>
      </c>
    </row>
    <row r="134" spans="1:2">
      <c r="A134">
        <v>10500913</v>
      </c>
      <c r="B134" t="s">
        <v>515</v>
      </c>
    </row>
    <row r="135" spans="1:2">
      <c r="A135">
        <v>10500914</v>
      </c>
      <c r="B135" t="s">
        <v>517</v>
      </c>
    </row>
    <row r="136" spans="1:2">
      <c r="A136">
        <v>10500915</v>
      </c>
      <c r="B136" t="s">
        <v>519</v>
      </c>
    </row>
    <row r="137" spans="1:2">
      <c r="A137">
        <v>10500916</v>
      </c>
      <c r="B137" t="s">
        <v>521</v>
      </c>
    </row>
    <row r="138" spans="1:2">
      <c r="A138">
        <v>10500917</v>
      </c>
      <c r="B138" t="s">
        <v>523</v>
      </c>
    </row>
    <row r="139" spans="1:2">
      <c r="A139">
        <v>10500918</v>
      </c>
      <c r="B139" t="s">
        <v>525</v>
      </c>
    </row>
    <row r="140" spans="1:2">
      <c r="A140">
        <v>10500919</v>
      </c>
      <c r="B140" t="s">
        <v>527</v>
      </c>
    </row>
    <row r="141" spans="1:2">
      <c r="A141">
        <v>10500920</v>
      </c>
      <c r="B141" t="s">
        <v>529</v>
      </c>
    </row>
    <row r="142" spans="1:2">
      <c r="A142">
        <v>10500921</v>
      </c>
      <c r="B142" t="s">
        <v>531</v>
      </c>
    </row>
    <row r="143" spans="1:2">
      <c r="A143">
        <v>10500922</v>
      </c>
      <c r="B143" t="s">
        <v>533</v>
      </c>
    </row>
    <row r="144" spans="1:2">
      <c r="A144">
        <v>10500923</v>
      </c>
      <c r="B144" t="s">
        <v>535</v>
      </c>
    </row>
    <row r="145" spans="1:2">
      <c r="A145">
        <v>10500924</v>
      </c>
      <c r="B145" t="s">
        <v>537</v>
      </c>
    </row>
    <row r="146" spans="1:2">
      <c r="A146">
        <v>10500925</v>
      </c>
      <c r="B146" t="s">
        <v>539</v>
      </c>
    </row>
    <row r="147" spans="1:2">
      <c r="A147">
        <v>10501010</v>
      </c>
      <c r="B147" t="s">
        <v>559</v>
      </c>
    </row>
    <row r="148" spans="1:2">
      <c r="A148">
        <v>10501011</v>
      </c>
      <c r="B148" t="s">
        <v>561</v>
      </c>
    </row>
    <row r="149" spans="1:2">
      <c r="A149">
        <v>10501012</v>
      </c>
      <c r="B149" t="s">
        <v>563</v>
      </c>
    </row>
    <row r="150" spans="1:2">
      <c r="A150">
        <v>10501013</v>
      </c>
      <c r="B150" t="s">
        <v>565</v>
      </c>
    </row>
    <row r="151" spans="1:2">
      <c r="A151">
        <v>10501014</v>
      </c>
      <c r="B151" t="s">
        <v>567</v>
      </c>
    </row>
    <row r="152" spans="1:2">
      <c r="A152">
        <v>10501015</v>
      </c>
      <c r="B152" t="s">
        <v>569</v>
      </c>
    </row>
    <row r="153" spans="1:2">
      <c r="A153">
        <v>10501016</v>
      </c>
      <c r="B153" t="s">
        <v>571</v>
      </c>
    </row>
    <row r="154" spans="1:2">
      <c r="A154">
        <v>10501017</v>
      </c>
      <c r="B154" t="s">
        <v>573</v>
      </c>
    </row>
    <row r="155" spans="1:2">
      <c r="A155">
        <v>10501018</v>
      </c>
      <c r="B155" t="s">
        <v>575</v>
      </c>
    </row>
    <row r="156" spans="1:2">
      <c r="A156">
        <v>10501019</v>
      </c>
      <c r="B156" t="s">
        <v>577</v>
      </c>
    </row>
    <row r="157" spans="1:2">
      <c r="A157">
        <v>10501020</v>
      </c>
      <c r="B157" t="s">
        <v>579</v>
      </c>
    </row>
    <row r="158" spans="1:2">
      <c r="A158">
        <v>10501021</v>
      </c>
      <c r="B158" t="s">
        <v>581</v>
      </c>
    </row>
    <row r="159" spans="1:2">
      <c r="A159">
        <v>10501022</v>
      </c>
      <c r="B159" t="s">
        <v>583</v>
      </c>
    </row>
    <row r="160" spans="1:2">
      <c r="A160">
        <v>10501023</v>
      </c>
      <c r="B160" t="s">
        <v>585</v>
      </c>
    </row>
    <row r="161" spans="1:2">
      <c r="A161">
        <v>10501024</v>
      </c>
      <c r="B161" t="s">
        <v>587</v>
      </c>
    </row>
    <row r="162" spans="1:2">
      <c r="A162">
        <v>10501025</v>
      </c>
      <c r="B162" t="s">
        <v>589</v>
      </c>
    </row>
    <row r="163" spans="1:2">
      <c r="A163">
        <v>10501110</v>
      </c>
      <c r="B163" t="s">
        <v>609</v>
      </c>
    </row>
    <row r="164" spans="1:2">
      <c r="A164">
        <v>10501111</v>
      </c>
      <c r="B164" t="s">
        <v>611</v>
      </c>
    </row>
    <row r="165" spans="1:2">
      <c r="A165">
        <v>10501112</v>
      </c>
      <c r="B165" t="s">
        <v>613</v>
      </c>
    </row>
    <row r="166" spans="1:2">
      <c r="A166">
        <v>10501113</v>
      </c>
      <c r="B166" t="s">
        <v>615</v>
      </c>
    </row>
    <row r="167" spans="1:2">
      <c r="A167">
        <v>10501114</v>
      </c>
      <c r="B167" t="s">
        <v>617</v>
      </c>
    </row>
    <row r="168" spans="1:2">
      <c r="A168">
        <v>10501115</v>
      </c>
      <c r="B168" t="s">
        <v>619</v>
      </c>
    </row>
    <row r="169" spans="1:2">
      <c r="A169">
        <v>10501116</v>
      </c>
      <c r="B169" t="s">
        <v>621</v>
      </c>
    </row>
    <row r="170" spans="1:2">
      <c r="A170">
        <v>10501117</v>
      </c>
      <c r="B170" t="s">
        <v>623</v>
      </c>
    </row>
    <row r="171" spans="1:2">
      <c r="A171">
        <v>10501118</v>
      </c>
      <c r="B171" t="s">
        <v>625</v>
      </c>
    </row>
    <row r="172" spans="1:2">
      <c r="A172">
        <v>10501119</v>
      </c>
      <c r="B172" t="s">
        <v>627</v>
      </c>
    </row>
    <row r="173" spans="1:2">
      <c r="A173">
        <v>10501120</v>
      </c>
      <c r="B173" t="s">
        <v>629</v>
      </c>
    </row>
    <row r="174" spans="1:2">
      <c r="A174">
        <v>10501121</v>
      </c>
      <c r="B174" t="s">
        <v>631</v>
      </c>
    </row>
    <row r="175" spans="1:2">
      <c r="A175">
        <v>10501122</v>
      </c>
      <c r="B175" t="s">
        <v>633</v>
      </c>
    </row>
    <row r="176" spans="1:2">
      <c r="A176">
        <v>10501123</v>
      </c>
      <c r="B176" t="s">
        <v>635</v>
      </c>
    </row>
    <row r="177" spans="1:2">
      <c r="A177">
        <v>10501124</v>
      </c>
      <c r="B177" t="s">
        <v>637</v>
      </c>
    </row>
    <row r="178" spans="1:2">
      <c r="A178">
        <v>10501125</v>
      </c>
      <c r="B178" t="s">
        <v>639</v>
      </c>
    </row>
    <row r="179" spans="1:2">
      <c r="A179">
        <v>10501210</v>
      </c>
      <c r="B179" t="s">
        <v>659</v>
      </c>
    </row>
    <row r="180" spans="1:2">
      <c r="A180">
        <v>10501211</v>
      </c>
      <c r="B180" t="s">
        <v>661</v>
      </c>
    </row>
    <row r="181" spans="1:2">
      <c r="A181">
        <v>10501212</v>
      </c>
      <c r="B181" t="s">
        <v>663</v>
      </c>
    </row>
    <row r="182" spans="1:2">
      <c r="A182">
        <v>10501213</v>
      </c>
      <c r="B182" t="s">
        <v>665</v>
      </c>
    </row>
    <row r="183" spans="1:2">
      <c r="A183">
        <v>10501214</v>
      </c>
      <c r="B183" t="s">
        <v>667</v>
      </c>
    </row>
    <row r="184" spans="1:2">
      <c r="A184">
        <v>10501215</v>
      </c>
      <c r="B184" t="s">
        <v>669</v>
      </c>
    </row>
    <row r="185" spans="1:2">
      <c r="A185">
        <v>10501216</v>
      </c>
      <c r="B185" t="s">
        <v>671</v>
      </c>
    </row>
    <row r="186" spans="1:2">
      <c r="A186">
        <v>10501217</v>
      </c>
      <c r="B186" t="s">
        <v>673</v>
      </c>
    </row>
    <row r="187" spans="1:2">
      <c r="A187">
        <v>10501218</v>
      </c>
      <c r="B187" t="s">
        <v>675</v>
      </c>
    </row>
    <row r="188" spans="1:2">
      <c r="A188">
        <v>10501219</v>
      </c>
      <c r="B188" t="s">
        <v>677</v>
      </c>
    </row>
    <row r="189" spans="1:2">
      <c r="A189">
        <v>10501220</v>
      </c>
      <c r="B189" t="s">
        <v>679</v>
      </c>
    </row>
    <row r="190" spans="1:2">
      <c r="A190">
        <v>10501221</v>
      </c>
      <c r="B190" t="s">
        <v>681</v>
      </c>
    </row>
    <row r="191" spans="1:2">
      <c r="A191">
        <v>10501222</v>
      </c>
      <c r="B191" t="s">
        <v>683</v>
      </c>
    </row>
    <row r="192" spans="1:2">
      <c r="A192">
        <v>10501223</v>
      </c>
      <c r="B192" t="s">
        <v>685</v>
      </c>
    </row>
    <row r="193" spans="1:2">
      <c r="A193">
        <v>10501224</v>
      </c>
      <c r="B193" t="s">
        <v>687</v>
      </c>
    </row>
    <row r="194" spans="1:2">
      <c r="A194">
        <v>10501225</v>
      </c>
      <c r="B194" t="s">
        <v>689</v>
      </c>
    </row>
    <row r="195" spans="1:2">
      <c r="A195">
        <v>10501310</v>
      </c>
      <c r="B195" t="s">
        <v>709</v>
      </c>
    </row>
    <row r="196" spans="1:2">
      <c r="A196">
        <v>10501311</v>
      </c>
      <c r="B196" t="s">
        <v>711</v>
      </c>
    </row>
    <row r="197" spans="1:2">
      <c r="A197">
        <v>10501312</v>
      </c>
      <c r="B197" t="s">
        <v>713</v>
      </c>
    </row>
    <row r="198" spans="1:2">
      <c r="A198">
        <v>10501313</v>
      </c>
      <c r="B198" t="s">
        <v>715</v>
      </c>
    </row>
    <row r="199" spans="1:2">
      <c r="A199">
        <v>10501314</v>
      </c>
      <c r="B199" t="s">
        <v>717</v>
      </c>
    </row>
    <row r="200" spans="1:2">
      <c r="A200">
        <v>10501315</v>
      </c>
      <c r="B200" t="s">
        <v>719</v>
      </c>
    </row>
    <row r="201" spans="1:2">
      <c r="A201">
        <v>10501316</v>
      </c>
      <c r="B201" t="s">
        <v>721</v>
      </c>
    </row>
    <row r="202" spans="1:2">
      <c r="A202">
        <v>10501317</v>
      </c>
      <c r="B202" t="s">
        <v>723</v>
      </c>
    </row>
    <row r="203" spans="1:2">
      <c r="A203">
        <v>10501318</v>
      </c>
      <c r="B203" t="s">
        <v>725</v>
      </c>
    </row>
    <row r="204" spans="1:2">
      <c r="A204">
        <v>10501319</v>
      </c>
      <c r="B204" t="s">
        <v>727</v>
      </c>
    </row>
    <row r="205" spans="1:2">
      <c r="A205">
        <v>10501320</v>
      </c>
      <c r="B205" t="s">
        <v>729</v>
      </c>
    </row>
    <row r="206" spans="1:2">
      <c r="A206">
        <v>10501321</v>
      </c>
      <c r="B206" t="s">
        <v>731</v>
      </c>
    </row>
    <row r="207" spans="1:2">
      <c r="A207">
        <v>10501322</v>
      </c>
      <c r="B207" t="s">
        <v>733</v>
      </c>
    </row>
    <row r="208" spans="1:2">
      <c r="A208">
        <v>10501323</v>
      </c>
      <c r="B208" t="s">
        <v>735</v>
      </c>
    </row>
    <row r="209" spans="1:2">
      <c r="A209">
        <v>10501324</v>
      </c>
      <c r="B209" t="s">
        <v>737</v>
      </c>
    </row>
    <row r="210" spans="1:2">
      <c r="A210">
        <v>10501325</v>
      </c>
      <c r="B210" t="s">
        <v>739</v>
      </c>
    </row>
    <row r="211" spans="1:2">
      <c r="A211">
        <v>10599928</v>
      </c>
      <c r="B211" t="s">
        <v>795</v>
      </c>
    </row>
    <row r="212" spans="1:2">
      <c r="A212">
        <v>10599929</v>
      </c>
      <c r="B212" t="s">
        <v>797</v>
      </c>
    </row>
    <row r="213" spans="1:2">
      <c r="A213">
        <v>10599930</v>
      </c>
      <c r="B213" t="s">
        <v>799</v>
      </c>
    </row>
    <row r="214" spans="1:2">
      <c r="A214">
        <v>10599931</v>
      </c>
      <c r="B214" t="s">
        <v>801</v>
      </c>
    </row>
    <row r="215" spans="1:2">
      <c r="A215">
        <v>10599932</v>
      </c>
      <c r="B215" t="s">
        <v>803</v>
      </c>
    </row>
    <row r="216" spans="1:2">
      <c r="A216">
        <v>10599933</v>
      </c>
      <c r="B216" t="s">
        <v>805</v>
      </c>
    </row>
    <row r="217" spans="1:2">
      <c r="A217">
        <v>10599934</v>
      </c>
      <c r="B217" t="s">
        <v>807</v>
      </c>
    </row>
    <row r="218" spans="1:2">
      <c r="A218">
        <v>10599935</v>
      </c>
      <c r="B218" t="s">
        <v>809</v>
      </c>
    </row>
    <row r="219" spans="1:2">
      <c r="A219">
        <v>10599936</v>
      </c>
      <c r="B219" t="s">
        <v>811</v>
      </c>
    </row>
    <row r="220" spans="1:2">
      <c r="A220">
        <v>10599937</v>
      </c>
      <c r="B220" t="s">
        <v>813</v>
      </c>
    </row>
    <row r="221" spans="1:2">
      <c r="A221">
        <v>10599938</v>
      </c>
      <c r="B221" t="s">
        <v>815</v>
      </c>
    </row>
    <row r="222" spans="1:2">
      <c r="A222">
        <v>10599939</v>
      </c>
      <c r="B222" t="s">
        <v>817</v>
      </c>
    </row>
    <row r="223" spans="1:2">
      <c r="A223">
        <v>10599940</v>
      </c>
      <c r="B223" t="s">
        <v>819</v>
      </c>
    </row>
    <row r="224" spans="1:2">
      <c r="A224">
        <v>10599941</v>
      </c>
      <c r="B224" t="s">
        <v>821</v>
      </c>
    </row>
    <row r="225" spans="1:2">
      <c r="A225">
        <v>10599942</v>
      </c>
      <c r="B225" t="s">
        <v>823</v>
      </c>
    </row>
    <row r="226" spans="1:2">
      <c r="A226">
        <v>10599943</v>
      </c>
      <c r="B226" t="s">
        <v>825</v>
      </c>
    </row>
    <row r="227" spans="1:2">
      <c r="A227">
        <v>11001401</v>
      </c>
      <c r="B227" t="s">
        <v>827</v>
      </c>
    </row>
    <row r="228" spans="1:2">
      <c r="A228">
        <v>11001402</v>
      </c>
      <c r="B228" t="s">
        <v>829</v>
      </c>
    </row>
    <row r="229" spans="1:2">
      <c r="A229">
        <v>11001403</v>
      </c>
      <c r="B229" t="s">
        <v>831</v>
      </c>
    </row>
    <row r="230" spans="1:2">
      <c r="A230">
        <v>11001404</v>
      </c>
      <c r="B230" t="s">
        <v>833</v>
      </c>
    </row>
    <row r="231" spans="1:2">
      <c r="A231">
        <v>11001405</v>
      </c>
      <c r="B231" t="s">
        <v>835</v>
      </c>
    </row>
    <row r="232" spans="1:2">
      <c r="A232">
        <v>11001406</v>
      </c>
      <c r="B232" t="s">
        <v>837</v>
      </c>
    </row>
    <row r="233" spans="1:2">
      <c r="A233">
        <v>11001407</v>
      </c>
      <c r="B233" t="s">
        <v>839</v>
      </c>
    </row>
    <row r="234" spans="1:2">
      <c r="A234">
        <v>11001408</v>
      </c>
      <c r="B234" t="s">
        <v>841</v>
      </c>
    </row>
    <row r="235" spans="1:2">
      <c r="A235">
        <v>11001501</v>
      </c>
      <c r="B235" t="s">
        <v>843</v>
      </c>
    </row>
    <row r="236" spans="1:2">
      <c r="A236">
        <v>11001502</v>
      </c>
      <c r="B236" t="s">
        <v>845</v>
      </c>
    </row>
    <row r="237" spans="1:2">
      <c r="A237">
        <v>11001503</v>
      </c>
      <c r="B237" t="s">
        <v>847</v>
      </c>
    </row>
    <row r="238" spans="1:2">
      <c r="A238">
        <v>11001504</v>
      </c>
      <c r="B238" t="s">
        <v>849</v>
      </c>
    </row>
    <row r="239" spans="1:2">
      <c r="A239">
        <v>11001601</v>
      </c>
      <c r="B239" t="s">
        <v>851</v>
      </c>
    </row>
    <row r="240" spans="1:2">
      <c r="A240">
        <v>11001602</v>
      </c>
      <c r="B240" t="s">
        <v>853</v>
      </c>
    </row>
    <row r="241" spans="1:2">
      <c r="A241">
        <v>11001603</v>
      </c>
      <c r="B241" t="s">
        <v>4146</v>
      </c>
    </row>
    <row r="242" spans="1:2">
      <c r="A242">
        <v>11001701</v>
      </c>
      <c r="B242" t="s">
        <v>857</v>
      </c>
    </row>
    <row r="243" spans="1:2">
      <c r="A243">
        <v>11001702</v>
      </c>
      <c r="B243" t="s">
        <v>4147</v>
      </c>
    </row>
    <row r="244" spans="1:2">
      <c r="A244">
        <v>11001703</v>
      </c>
      <c r="B244" t="s">
        <v>4148</v>
      </c>
    </row>
    <row r="245" spans="1:2">
      <c r="A245">
        <v>11001801</v>
      </c>
      <c r="B245" t="s">
        <v>863</v>
      </c>
    </row>
    <row r="246" spans="1:2">
      <c r="A246">
        <v>11001802</v>
      </c>
      <c r="B246" t="s">
        <v>4149</v>
      </c>
    </row>
    <row r="247" spans="1:2">
      <c r="A247">
        <v>11001901</v>
      </c>
      <c r="B247" t="s">
        <v>867</v>
      </c>
    </row>
    <row r="248" spans="1:2">
      <c r="A248">
        <v>11002001</v>
      </c>
      <c r="B248" t="s">
        <v>869</v>
      </c>
    </row>
    <row r="249" spans="1:2">
      <c r="A249">
        <v>11002002</v>
      </c>
      <c r="B249" t="s">
        <v>871</v>
      </c>
    </row>
    <row r="250" spans="1:2">
      <c r="A250">
        <v>11002101</v>
      </c>
      <c r="B250" t="s">
        <v>4150</v>
      </c>
    </row>
    <row r="251" spans="1:2">
      <c r="A251">
        <v>11002102</v>
      </c>
      <c r="B251" t="s">
        <v>4151</v>
      </c>
    </row>
    <row r="252" spans="1:2">
      <c r="A252">
        <v>11002103</v>
      </c>
      <c r="B252" t="s">
        <v>4152</v>
      </c>
    </row>
    <row r="253" spans="1:2">
      <c r="A253">
        <v>11007701</v>
      </c>
      <c r="B253" t="s">
        <v>942</v>
      </c>
    </row>
    <row r="254" spans="1:2">
      <c r="A254">
        <v>11007801</v>
      </c>
      <c r="B254" t="s">
        <v>944</v>
      </c>
    </row>
    <row r="255" spans="1:2">
      <c r="A255">
        <v>11007901</v>
      </c>
      <c r="B255" t="s">
        <v>946</v>
      </c>
    </row>
    <row r="256" spans="1:2">
      <c r="A256">
        <v>11002201</v>
      </c>
      <c r="B256" t="s">
        <v>879</v>
      </c>
    </row>
    <row r="257" spans="1:2">
      <c r="A257">
        <v>11002301</v>
      </c>
      <c r="B257" t="s">
        <v>881</v>
      </c>
    </row>
    <row r="258" spans="1:2">
      <c r="A258">
        <v>11002401</v>
      </c>
      <c r="B258" t="s">
        <v>4153</v>
      </c>
    </row>
    <row r="259" spans="1:2">
      <c r="A259">
        <v>11002501</v>
      </c>
      <c r="B259" t="s">
        <v>884</v>
      </c>
    </row>
    <row r="260" spans="1:2">
      <c r="A260">
        <v>11002601</v>
      </c>
      <c r="B260" t="s">
        <v>886</v>
      </c>
    </row>
    <row r="261" spans="1:2">
      <c r="A261">
        <v>11002701</v>
      </c>
      <c r="B261" t="s">
        <v>888</v>
      </c>
    </row>
    <row r="262" spans="1:2">
      <c r="A262">
        <v>11002801</v>
      </c>
      <c r="B262" t="s">
        <v>890</v>
      </c>
    </row>
    <row r="263" spans="1:2">
      <c r="A263">
        <v>11002901</v>
      </c>
      <c r="B263" t="s">
        <v>892</v>
      </c>
    </row>
    <row r="264" spans="1:2">
      <c r="A264">
        <v>11003001</v>
      </c>
      <c r="B264" t="s">
        <v>894</v>
      </c>
    </row>
    <row r="265" spans="1:2">
      <c r="A265">
        <v>11003101</v>
      </c>
      <c r="B265" t="s">
        <v>896</v>
      </c>
    </row>
    <row r="266" spans="1:2">
      <c r="A266">
        <v>11003201</v>
      </c>
      <c r="B266" t="s">
        <v>898</v>
      </c>
    </row>
    <row r="267" spans="1:2">
      <c r="A267">
        <v>11003301</v>
      </c>
      <c r="B267" t="s">
        <v>900</v>
      </c>
    </row>
    <row r="268" spans="1:2">
      <c r="A268">
        <v>11003401</v>
      </c>
      <c r="B268" t="s">
        <v>902</v>
      </c>
    </row>
    <row r="269" spans="1:2">
      <c r="A269">
        <v>11003501</v>
      </c>
      <c r="B269" t="s">
        <v>904</v>
      </c>
    </row>
    <row r="270" spans="1:2">
      <c r="A270">
        <v>11003601</v>
      </c>
      <c r="B270" t="s">
        <v>906</v>
      </c>
    </row>
    <row r="271" spans="1:2">
      <c r="A271">
        <v>11003701</v>
      </c>
      <c r="B271" t="s">
        <v>908</v>
      </c>
    </row>
    <row r="272" spans="1:2">
      <c r="A272">
        <v>11003801</v>
      </c>
      <c r="B272" t="s">
        <v>910</v>
      </c>
    </row>
    <row r="273" spans="1:2">
      <c r="A273">
        <v>11003901</v>
      </c>
      <c r="B273" t="s">
        <v>912</v>
      </c>
    </row>
    <row r="274" spans="1:2">
      <c r="A274">
        <v>11004001</v>
      </c>
      <c r="B274" t="s">
        <v>914</v>
      </c>
    </row>
    <row r="275" spans="1:2">
      <c r="A275">
        <v>11004101</v>
      </c>
      <c r="B275" t="s">
        <v>916</v>
      </c>
    </row>
    <row r="276" spans="1:2">
      <c r="A276">
        <v>11004201</v>
      </c>
      <c r="B276" t="s">
        <v>918</v>
      </c>
    </row>
    <row r="277" spans="1:2">
      <c r="A277">
        <v>11004301</v>
      </c>
      <c r="B277" t="s">
        <v>920</v>
      </c>
    </row>
    <row r="278" spans="1:2">
      <c r="A278">
        <v>11004401</v>
      </c>
      <c r="B278" t="s">
        <v>922</v>
      </c>
    </row>
    <row r="279" spans="1:2">
      <c r="A279">
        <v>11004501</v>
      </c>
      <c r="B279" t="s">
        <v>924</v>
      </c>
    </row>
    <row r="280" spans="1:2">
      <c r="A280">
        <v>11004601</v>
      </c>
      <c r="B280" t="s">
        <v>926</v>
      </c>
    </row>
    <row r="281" spans="1:2">
      <c r="A281">
        <v>11004701</v>
      </c>
      <c r="B281" t="s">
        <v>928</v>
      </c>
    </row>
    <row r="282" spans="1:2">
      <c r="A282">
        <v>11004801</v>
      </c>
      <c r="B282" t="s">
        <v>930</v>
      </c>
    </row>
    <row r="283" spans="1:2">
      <c r="A283">
        <v>11004802</v>
      </c>
      <c r="B283" t="s">
        <v>932</v>
      </c>
    </row>
    <row r="284" spans="1:2">
      <c r="A284">
        <v>11004803</v>
      </c>
      <c r="B284" t="s">
        <v>934</v>
      </c>
    </row>
    <row r="285" spans="1:2">
      <c r="A285">
        <v>11004804</v>
      </c>
      <c r="B285" t="s">
        <v>936</v>
      </c>
    </row>
    <row r="286" spans="1:2">
      <c r="A286">
        <v>11004901</v>
      </c>
      <c r="B286" t="s">
        <v>938</v>
      </c>
    </row>
    <row r="287" spans="1:2">
      <c r="A287">
        <v>11005001</v>
      </c>
      <c r="B287" t="s">
        <v>940</v>
      </c>
    </row>
    <row r="288" spans="1:2">
      <c r="A288">
        <v>11099901</v>
      </c>
      <c r="B288" t="s">
        <v>948</v>
      </c>
    </row>
    <row r="289" spans="1:2">
      <c r="A289">
        <v>11004901</v>
      </c>
      <c r="B289" t="s">
        <v>4154</v>
      </c>
    </row>
    <row r="290" spans="1:2">
      <c r="A290">
        <v>11004902</v>
      </c>
      <c r="B290" t="s">
        <v>4155</v>
      </c>
    </row>
    <row r="291" spans="1:2">
      <c r="A291">
        <v>11004903</v>
      </c>
      <c r="B291" t="s">
        <v>4156</v>
      </c>
    </row>
    <row r="292" spans="1:2">
      <c r="A292">
        <v>11004904</v>
      </c>
      <c r="B292" t="s">
        <v>4157</v>
      </c>
    </row>
    <row r="293" spans="1:2">
      <c r="A293">
        <v>11004905</v>
      </c>
      <c r="B293" t="s">
        <v>4158</v>
      </c>
    </row>
    <row r="294" spans="1:2">
      <c r="A294">
        <v>11004906</v>
      </c>
      <c r="B294" t="s">
        <v>4159</v>
      </c>
    </row>
    <row r="295" spans="1:2">
      <c r="A295">
        <v>11004907</v>
      </c>
      <c r="B295" t="s">
        <v>4160</v>
      </c>
    </row>
    <row r="296" spans="1:2">
      <c r="A296">
        <v>11004908</v>
      </c>
      <c r="B296" t="s">
        <v>4161</v>
      </c>
    </row>
    <row r="297" spans="1:2">
      <c r="A297">
        <v>11004909</v>
      </c>
      <c r="B297" t="s">
        <v>4162</v>
      </c>
    </row>
    <row r="298" spans="1:2">
      <c r="A298">
        <v>11004910</v>
      </c>
      <c r="B298" t="s">
        <v>4163</v>
      </c>
    </row>
    <row r="299" spans="1:2">
      <c r="A299">
        <v>11004911</v>
      </c>
      <c r="B299" t="s">
        <v>4164</v>
      </c>
    </row>
    <row r="300" spans="1:2">
      <c r="A300">
        <v>11005001</v>
      </c>
      <c r="B300" t="s">
        <v>4165</v>
      </c>
    </row>
    <row r="301" spans="1:2">
      <c r="A301">
        <v>11005002</v>
      </c>
      <c r="B301" t="s">
        <v>4166</v>
      </c>
    </row>
    <row r="302" spans="1:2">
      <c r="A302">
        <v>11005003</v>
      </c>
      <c r="B302" t="s">
        <v>4167</v>
      </c>
    </row>
    <row r="303" spans="1:2">
      <c r="A303">
        <v>11005004</v>
      </c>
      <c r="B303" t="s">
        <v>4168</v>
      </c>
    </row>
    <row r="304" spans="1:2">
      <c r="A304">
        <v>11005005</v>
      </c>
      <c r="B304" t="s">
        <v>4169</v>
      </c>
    </row>
    <row r="305" spans="1:2">
      <c r="A305">
        <v>11005006</v>
      </c>
      <c r="B305" t="s">
        <v>4170</v>
      </c>
    </row>
    <row r="306" spans="1:2">
      <c r="A306">
        <v>11005007</v>
      </c>
      <c r="B306" t="s">
        <v>4171</v>
      </c>
    </row>
    <row r="307" spans="1:2">
      <c r="A307">
        <v>11005008</v>
      </c>
      <c r="B307" t="s">
        <v>4172</v>
      </c>
    </row>
    <row r="308" spans="1:2">
      <c r="A308">
        <v>11005009</v>
      </c>
      <c r="B308" t="s">
        <v>4173</v>
      </c>
    </row>
    <row r="309" spans="1:2">
      <c r="A309">
        <v>11005010</v>
      </c>
      <c r="B309" t="s">
        <v>4174</v>
      </c>
    </row>
    <row r="310" spans="1:2">
      <c r="A310">
        <v>11005011</v>
      </c>
      <c r="B310" t="s">
        <v>4175</v>
      </c>
    </row>
    <row r="311" spans="1:2">
      <c r="A311">
        <v>11099901</v>
      </c>
      <c r="B311" t="s">
        <v>4176</v>
      </c>
    </row>
    <row r="312" spans="1:2">
      <c r="A312">
        <v>11099902</v>
      </c>
      <c r="B312" t="s">
        <v>4177</v>
      </c>
    </row>
    <row r="313" spans="1:2">
      <c r="A313">
        <v>11099903</v>
      </c>
      <c r="B313" t="s">
        <v>4178</v>
      </c>
    </row>
    <row r="314" spans="1:2">
      <c r="A314">
        <v>11099904</v>
      </c>
      <c r="B314" t="s">
        <v>4179</v>
      </c>
    </row>
    <row r="315" spans="1:2">
      <c r="A315">
        <v>11099905</v>
      </c>
      <c r="B315" t="s">
        <v>4180</v>
      </c>
    </row>
    <row r="316" spans="1:2">
      <c r="A316">
        <v>11099912</v>
      </c>
      <c r="B316" t="s">
        <v>4181</v>
      </c>
    </row>
    <row r="317" spans="1:2">
      <c r="A317">
        <v>11099906</v>
      </c>
      <c r="B317" t="s">
        <v>4182</v>
      </c>
    </row>
    <row r="318" spans="1:2">
      <c r="A318">
        <v>11099907</v>
      </c>
      <c r="B318" t="s">
        <v>4183</v>
      </c>
    </row>
    <row r="319" spans="1:2">
      <c r="A319">
        <v>11099908</v>
      </c>
      <c r="B319" t="s">
        <v>4184</v>
      </c>
    </row>
    <row r="320" spans="1:2">
      <c r="A320">
        <v>11099909</v>
      </c>
      <c r="B320" t="s">
        <v>4185</v>
      </c>
    </row>
    <row r="321" spans="1:2">
      <c r="A321">
        <v>11099913</v>
      </c>
      <c r="B321" t="s">
        <v>4186</v>
      </c>
    </row>
    <row r="322" spans="1:2">
      <c r="A322">
        <v>11099914</v>
      </c>
      <c r="B322" t="s">
        <v>4187</v>
      </c>
    </row>
    <row r="323" spans="1:2">
      <c r="A323">
        <v>11099915</v>
      </c>
      <c r="B323" t="s">
        <v>4188</v>
      </c>
    </row>
    <row r="324" spans="1:2">
      <c r="A324">
        <v>11099910</v>
      </c>
      <c r="B324" t="s">
        <v>4189</v>
      </c>
    </row>
    <row r="325" spans="1:2">
      <c r="A325">
        <v>11099911</v>
      </c>
      <c r="B325" t="s">
        <v>4190</v>
      </c>
    </row>
    <row r="326" spans="1:2">
      <c r="A326">
        <v>11099916</v>
      </c>
      <c r="B326" t="s">
        <v>4191</v>
      </c>
    </row>
    <row r="327" spans="1:2">
      <c r="A327">
        <v>11099917</v>
      </c>
      <c r="B327" t="s">
        <v>4192</v>
      </c>
    </row>
    <row r="328" spans="1:2">
      <c r="A328">
        <v>11099918</v>
      </c>
      <c r="B328" t="s">
        <v>4193</v>
      </c>
    </row>
    <row r="329" spans="1:2">
      <c r="A329">
        <v>11505101</v>
      </c>
      <c r="B329" t="s">
        <v>950</v>
      </c>
    </row>
    <row r="330" spans="1:2">
      <c r="A330">
        <v>11505201</v>
      </c>
      <c r="B330" t="s">
        <v>952</v>
      </c>
    </row>
    <row r="331" spans="1:2">
      <c r="A331">
        <v>11505301</v>
      </c>
      <c r="B331" t="s">
        <v>954</v>
      </c>
    </row>
    <row r="332" spans="1:2">
      <c r="A332">
        <v>11505401</v>
      </c>
      <c r="B332" t="s">
        <v>956</v>
      </c>
    </row>
    <row r="333" spans="1:2">
      <c r="A333">
        <v>11508001</v>
      </c>
      <c r="B333" t="s">
        <v>4194</v>
      </c>
    </row>
    <row r="334" spans="1:2">
      <c r="A334">
        <v>12005501</v>
      </c>
      <c r="B334" t="s">
        <v>958</v>
      </c>
    </row>
    <row r="335" spans="1:2">
      <c r="A335">
        <v>12005601</v>
      </c>
      <c r="B335" t="s">
        <v>960</v>
      </c>
    </row>
    <row r="336" spans="1:2">
      <c r="A336">
        <v>12005602</v>
      </c>
      <c r="B336" t="s">
        <v>962</v>
      </c>
    </row>
    <row r="337" spans="1:2">
      <c r="A337">
        <v>12005603</v>
      </c>
      <c r="B337" t="s">
        <v>964</v>
      </c>
    </row>
    <row r="338" spans="1:2">
      <c r="A338">
        <v>12005604</v>
      </c>
      <c r="B338" t="s">
        <v>966</v>
      </c>
    </row>
    <row r="339" spans="1:2">
      <c r="A339">
        <v>12005701</v>
      </c>
      <c r="B339" t="s">
        <v>968</v>
      </c>
    </row>
    <row r="340" spans="1:2">
      <c r="A340">
        <v>12005702</v>
      </c>
      <c r="B340" t="s">
        <v>970</v>
      </c>
    </row>
    <row r="341" spans="1:2">
      <c r="A341">
        <v>12005703</v>
      </c>
      <c r="B341" t="s">
        <v>972</v>
      </c>
    </row>
    <row r="342" spans="1:2">
      <c r="A342">
        <v>12005801</v>
      </c>
      <c r="B342" t="s">
        <v>974</v>
      </c>
    </row>
    <row r="343" spans="1:2">
      <c r="A343">
        <v>12099901</v>
      </c>
      <c r="B343" t="s">
        <v>976</v>
      </c>
    </row>
    <row r="344" spans="1:2">
      <c r="A344">
        <v>12099902</v>
      </c>
      <c r="B344" t="s">
        <v>978</v>
      </c>
    </row>
    <row r="345" spans="1:2">
      <c r="A345">
        <v>12505901</v>
      </c>
      <c r="B345" t="s">
        <v>980</v>
      </c>
    </row>
    <row r="346" spans="1:2">
      <c r="A346">
        <v>12505902</v>
      </c>
      <c r="B346" t="s">
        <v>982</v>
      </c>
    </row>
    <row r="347" spans="1:2">
      <c r="A347">
        <v>12505903</v>
      </c>
      <c r="B347" t="s">
        <v>984</v>
      </c>
    </row>
    <row r="348" spans="1:2">
      <c r="A348">
        <v>12505904</v>
      </c>
      <c r="B348" t="s">
        <v>986</v>
      </c>
    </row>
    <row r="349" spans="1:2">
      <c r="A349">
        <v>12505905</v>
      </c>
      <c r="B349" t="s">
        <v>988</v>
      </c>
    </row>
    <row r="350" spans="1:2">
      <c r="A350">
        <v>12505906</v>
      </c>
      <c r="B350" t="s">
        <v>990</v>
      </c>
    </row>
    <row r="351" spans="1:2">
      <c r="A351">
        <v>12505907</v>
      </c>
      <c r="B351" t="s">
        <v>992</v>
      </c>
    </row>
    <row r="352" spans="1:2">
      <c r="A352">
        <v>12505908</v>
      </c>
      <c r="B352" t="s">
        <v>994</v>
      </c>
    </row>
    <row r="353" spans="1:2">
      <c r="A353">
        <v>12505909</v>
      </c>
      <c r="B353" t="s">
        <v>996</v>
      </c>
    </row>
    <row r="354" spans="1:2">
      <c r="A354">
        <v>12505910</v>
      </c>
      <c r="B354" t="s">
        <v>998</v>
      </c>
    </row>
    <row r="355" spans="1:2">
      <c r="A355">
        <v>12505911</v>
      </c>
      <c r="B355" t="s">
        <v>1000</v>
      </c>
    </row>
    <row r="356" spans="1:2">
      <c r="A356">
        <v>12505912</v>
      </c>
      <c r="B356" t="s">
        <v>1002</v>
      </c>
    </row>
    <row r="357" spans="1:2">
      <c r="A357">
        <v>12505913</v>
      </c>
      <c r="B357" t="s">
        <v>1004</v>
      </c>
    </row>
    <row r="358" spans="1:2">
      <c r="A358">
        <v>12505914</v>
      </c>
      <c r="B358" t="s">
        <v>1006</v>
      </c>
    </row>
    <row r="359" spans="1:2">
      <c r="A359">
        <v>12505915</v>
      </c>
      <c r="B359" t="s">
        <v>1008</v>
      </c>
    </row>
    <row r="360" spans="1:2">
      <c r="A360">
        <v>12505916</v>
      </c>
      <c r="B360" t="s">
        <v>1010</v>
      </c>
    </row>
    <row r="361" spans="1:2">
      <c r="A361">
        <v>12505917</v>
      </c>
      <c r="B361" t="s">
        <v>1012</v>
      </c>
    </row>
    <row r="362" spans="1:2">
      <c r="A362">
        <v>12505918</v>
      </c>
      <c r="B362" t="s">
        <v>1014</v>
      </c>
    </row>
    <row r="363" spans="1:2">
      <c r="A363">
        <v>12505919</v>
      </c>
      <c r="B363" t="s">
        <v>1016</v>
      </c>
    </row>
    <row r="364" spans="1:2">
      <c r="A364">
        <v>12505920</v>
      </c>
      <c r="B364" t="s">
        <v>1018</v>
      </c>
    </row>
    <row r="365" spans="1:2">
      <c r="A365">
        <v>12505921</v>
      </c>
      <c r="B365" t="s">
        <v>1020</v>
      </c>
    </row>
    <row r="366" spans="1:2">
      <c r="A366">
        <v>12505922</v>
      </c>
      <c r="B366" t="s">
        <v>1022</v>
      </c>
    </row>
    <row r="367" spans="1:2">
      <c r="A367">
        <v>12505923</v>
      </c>
      <c r="B367" t="s">
        <v>1024</v>
      </c>
    </row>
    <row r="368" spans="1:2">
      <c r="A368">
        <v>12505924</v>
      </c>
      <c r="B368" t="s">
        <v>1026</v>
      </c>
    </row>
    <row r="369" spans="1:2">
      <c r="A369">
        <v>12505925</v>
      </c>
      <c r="B369" t="s">
        <v>1028</v>
      </c>
    </row>
    <row r="370" spans="1:2">
      <c r="A370">
        <v>12505926</v>
      </c>
      <c r="B370" t="s">
        <v>1030</v>
      </c>
    </row>
    <row r="371" spans="1:2">
      <c r="A371">
        <v>12505927</v>
      </c>
      <c r="B371" t="s">
        <v>1032</v>
      </c>
    </row>
    <row r="372" spans="1:2">
      <c r="A372">
        <v>12505928</v>
      </c>
      <c r="B372" t="s">
        <v>1034</v>
      </c>
    </row>
    <row r="373" spans="1:2">
      <c r="A373">
        <v>12505929</v>
      </c>
      <c r="B373" t="s">
        <v>1036</v>
      </c>
    </row>
    <row r="374" spans="1:2">
      <c r="A374">
        <v>12505930</v>
      </c>
      <c r="B374" t="s">
        <v>1038</v>
      </c>
    </row>
    <row r="375" spans="1:2">
      <c r="A375">
        <v>12505931</v>
      </c>
      <c r="B375" t="s">
        <v>1040</v>
      </c>
    </row>
    <row r="376" spans="1:2">
      <c r="A376">
        <v>12505932</v>
      </c>
      <c r="B376" t="s">
        <v>1042</v>
      </c>
    </row>
    <row r="377" spans="1:2">
      <c r="A377">
        <v>12505933</v>
      </c>
      <c r="B377" t="s">
        <v>1044</v>
      </c>
    </row>
    <row r="378" spans="1:2">
      <c r="A378">
        <v>12505934</v>
      </c>
      <c r="B378" t="s">
        <v>1046</v>
      </c>
    </row>
    <row r="379" spans="1:2">
      <c r="A379">
        <v>12505935</v>
      </c>
      <c r="B379" t="s">
        <v>1048</v>
      </c>
    </row>
    <row r="380" spans="1:2">
      <c r="A380">
        <v>12505936</v>
      </c>
      <c r="B380" t="s">
        <v>1050</v>
      </c>
    </row>
    <row r="381" spans="1:2">
      <c r="A381">
        <v>12505937</v>
      </c>
      <c r="B381" t="s">
        <v>1052</v>
      </c>
    </row>
    <row r="382" spans="1:2">
      <c r="A382">
        <v>12505938</v>
      </c>
      <c r="B382" t="s">
        <v>1054</v>
      </c>
    </row>
    <row r="383" spans="1:2">
      <c r="A383">
        <v>12505939</v>
      </c>
      <c r="B383" t="s">
        <v>1056</v>
      </c>
    </row>
    <row r="384" spans="1:2">
      <c r="A384">
        <v>12505940</v>
      </c>
      <c r="B384" t="s">
        <v>1058</v>
      </c>
    </row>
    <row r="385" spans="1:2">
      <c r="A385">
        <v>12505941</v>
      </c>
      <c r="B385" t="s">
        <v>1060</v>
      </c>
    </row>
    <row r="386" spans="1:2">
      <c r="A386">
        <v>12505942</v>
      </c>
      <c r="B386" t="s">
        <v>1062</v>
      </c>
    </row>
    <row r="387" spans="1:2">
      <c r="A387">
        <v>12505943</v>
      </c>
      <c r="B387" t="s">
        <v>1064</v>
      </c>
    </row>
    <row r="388" spans="1:2">
      <c r="A388">
        <v>12505944</v>
      </c>
      <c r="B388" t="s">
        <v>1066</v>
      </c>
    </row>
    <row r="389" spans="1:2">
      <c r="A389">
        <v>12505945</v>
      </c>
      <c r="B389" t="s">
        <v>1068</v>
      </c>
    </row>
    <row r="390" spans="1:2">
      <c r="A390">
        <v>12505946</v>
      </c>
      <c r="B390" t="s">
        <v>1070</v>
      </c>
    </row>
    <row r="391" spans="1:2">
      <c r="A391">
        <v>12505947</v>
      </c>
      <c r="B391" t="s">
        <v>1072</v>
      </c>
    </row>
    <row r="392" spans="1:2">
      <c r="A392">
        <v>12505948</v>
      </c>
      <c r="B392" t="s">
        <v>1074</v>
      </c>
    </row>
    <row r="393" spans="1:2">
      <c r="A393">
        <v>12505949</v>
      </c>
      <c r="B393" t="s">
        <v>1076</v>
      </c>
    </row>
    <row r="394" spans="1:2">
      <c r="A394">
        <v>12505950</v>
      </c>
      <c r="B394" t="s">
        <v>1078</v>
      </c>
    </row>
    <row r="395" spans="1:2">
      <c r="A395">
        <v>12505951</v>
      </c>
      <c r="B395" t="s">
        <v>1080</v>
      </c>
    </row>
    <row r="396" spans="1:2">
      <c r="A396">
        <v>12505952</v>
      </c>
      <c r="B396" t="s">
        <v>1082</v>
      </c>
    </row>
    <row r="397" spans="1:2">
      <c r="A397">
        <v>12505953</v>
      </c>
      <c r="B397" t="s">
        <v>1084</v>
      </c>
    </row>
    <row r="398" spans="1:2">
      <c r="A398">
        <v>12505954</v>
      </c>
      <c r="B398" t="s">
        <v>1086</v>
      </c>
    </row>
    <row r="399" spans="1:2">
      <c r="A399">
        <v>12505955</v>
      </c>
      <c r="B399" t="s">
        <v>1088</v>
      </c>
    </row>
    <row r="400" spans="1:2">
      <c r="A400">
        <v>12505956</v>
      </c>
      <c r="B400" t="s">
        <v>1090</v>
      </c>
    </row>
    <row r="401" spans="1:2">
      <c r="A401">
        <v>12505957</v>
      </c>
      <c r="B401" t="s">
        <v>1092</v>
      </c>
    </row>
    <row r="402" spans="1:2">
      <c r="A402">
        <v>12505958</v>
      </c>
      <c r="B402" t="s">
        <v>1094</v>
      </c>
    </row>
    <row r="403" spans="1:2">
      <c r="A403">
        <v>12505959</v>
      </c>
      <c r="B403" t="s">
        <v>1096</v>
      </c>
    </row>
    <row r="404" spans="1:2">
      <c r="A404">
        <v>12505960</v>
      </c>
      <c r="B404" t="s">
        <v>1098</v>
      </c>
    </row>
    <row r="405" spans="1:2">
      <c r="A405">
        <v>12505961</v>
      </c>
      <c r="B405" t="s">
        <v>1100</v>
      </c>
    </row>
    <row r="406" spans="1:2">
      <c r="A406">
        <v>12505962</v>
      </c>
      <c r="B406" t="s">
        <v>1102</v>
      </c>
    </row>
    <row r="407" spans="1:2">
      <c r="A407">
        <v>12505963</v>
      </c>
      <c r="B407" t="s">
        <v>1104</v>
      </c>
    </row>
    <row r="408" spans="1:2">
      <c r="A408">
        <v>12505964</v>
      </c>
      <c r="B408" t="s">
        <v>1106</v>
      </c>
    </row>
    <row r="409" spans="1:2">
      <c r="A409">
        <v>12505965</v>
      </c>
      <c r="B409" t="s">
        <v>1108</v>
      </c>
    </row>
    <row r="410" spans="1:2">
      <c r="A410">
        <v>12505966</v>
      </c>
      <c r="B410" t="s">
        <v>1110</v>
      </c>
    </row>
    <row r="411" spans="1:2">
      <c r="A411">
        <v>12505967</v>
      </c>
      <c r="B411" t="s">
        <v>1112</v>
      </c>
    </row>
    <row r="412" spans="1:2">
      <c r="A412">
        <v>12505968</v>
      </c>
      <c r="B412" t="s">
        <v>1114</v>
      </c>
    </row>
    <row r="413" spans="1:2">
      <c r="A413">
        <v>12505969</v>
      </c>
      <c r="B413" t="s">
        <v>1116</v>
      </c>
    </row>
    <row r="414" spans="1:2">
      <c r="A414">
        <v>12505970</v>
      </c>
      <c r="B414" t="s">
        <v>1118</v>
      </c>
    </row>
    <row r="415" spans="1:2">
      <c r="A415">
        <v>12505971</v>
      </c>
      <c r="B415" t="s">
        <v>1120</v>
      </c>
    </row>
    <row r="416" spans="1:2">
      <c r="A416">
        <v>12505972</v>
      </c>
      <c r="B416" t="s">
        <v>1122</v>
      </c>
    </row>
    <row r="417" spans="1:2">
      <c r="A417">
        <v>12505973</v>
      </c>
      <c r="B417" t="s">
        <v>1124</v>
      </c>
    </row>
    <row r="418" spans="1:2">
      <c r="A418">
        <v>12505974</v>
      </c>
      <c r="B418" t="s">
        <v>1126</v>
      </c>
    </row>
    <row r="419" spans="1:2">
      <c r="A419">
        <v>12505975</v>
      </c>
      <c r="B419" t="s">
        <v>1128</v>
      </c>
    </row>
    <row r="420" spans="1:2">
      <c r="A420">
        <v>12505976</v>
      </c>
      <c r="B420" t="s">
        <v>1130</v>
      </c>
    </row>
    <row r="421" spans="1:2">
      <c r="A421">
        <v>12505977</v>
      </c>
      <c r="B421" t="s">
        <v>1132</v>
      </c>
    </row>
    <row r="422" spans="1:2">
      <c r="A422">
        <v>12505978</v>
      </c>
      <c r="B422" t="s">
        <v>1134</v>
      </c>
    </row>
    <row r="423" spans="1:2">
      <c r="A423">
        <v>12505979</v>
      </c>
      <c r="B423" t="s">
        <v>1136</v>
      </c>
    </row>
    <row r="424" spans="1:2">
      <c r="A424">
        <v>12505980</v>
      </c>
      <c r="B424" t="s">
        <v>1138</v>
      </c>
    </row>
    <row r="425" spans="1:2">
      <c r="A425">
        <v>12505981</v>
      </c>
      <c r="B425" t="s">
        <v>1140</v>
      </c>
    </row>
    <row r="426" spans="1:2">
      <c r="A426">
        <v>12505982</v>
      </c>
      <c r="B426" t="s">
        <v>1142</v>
      </c>
    </row>
    <row r="427" spans="1:2">
      <c r="A427">
        <v>12505983</v>
      </c>
      <c r="B427" t="s">
        <v>1144</v>
      </c>
    </row>
    <row r="428" spans="1:2">
      <c r="A428">
        <v>12505984</v>
      </c>
      <c r="B428" t="s">
        <v>1146</v>
      </c>
    </row>
    <row r="429" spans="1:2">
      <c r="A429">
        <v>12505985</v>
      </c>
      <c r="B429" t="s">
        <v>1148</v>
      </c>
    </row>
    <row r="430" spans="1:2">
      <c r="A430">
        <v>12505986</v>
      </c>
      <c r="B430" t="s">
        <v>1150</v>
      </c>
    </row>
    <row r="431" spans="1:2">
      <c r="A431">
        <v>12505987</v>
      </c>
      <c r="B431" t="s">
        <v>1152</v>
      </c>
    </row>
    <row r="432" spans="1:2">
      <c r="A432">
        <v>12505988</v>
      </c>
      <c r="B432" t="s">
        <v>1154</v>
      </c>
    </row>
    <row r="433" spans="1:2">
      <c r="A433">
        <v>12505989</v>
      </c>
      <c r="B433" t="s">
        <v>1156</v>
      </c>
    </row>
    <row r="434" spans="1:2">
      <c r="A434">
        <v>12505990</v>
      </c>
      <c r="B434" t="s">
        <v>1158</v>
      </c>
    </row>
    <row r="435" spans="1:2">
      <c r="A435">
        <v>12505991</v>
      </c>
      <c r="B435" t="s">
        <v>1160</v>
      </c>
    </row>
    <row r="436" spans="1:2">
      <c r="A436">
        <v>12505992</v>
      </c>
      <c r="B436" t="s">
        <v>4195</v>
      </c>
    </row>
    <row r="437" spans="1:2">
      <c r="A437">
        <v>12505993</v>
      </c>
      <c r="B437" t="s">
        <v>4196</v>
      </c>
    </row>
    <row r="438" spans="1:2">
      <c r="A438">
        <v>12505994</v>
      </c>
      <c r="B438" t="s">
        <v>4197</v>
      </c>
    </row>
    <row r="439" spans="1:2">
      <c r="A439">
        <v>12506001</v>
      </c>
      <c r="B439" t="s">
        <v>1168</v>
      </c>
    </row>
    <row r="440" spans="1:2">
      <c r="A440">
        <v>12506002</v>
      </c>
      <c r="B440" t="s">
        <v>1170</v>
      </c>
    </row>
    <row r="441" spans="1:2">
      <c r="A441">
        <v>12506003</v>
      </c>
      <c r="B441" t="s">
        <v>1172</v>
      </c>
    </row>
    <row r="442" spans="1:2">
      <c r="A442">
        <v>12506004</v>
      </c>
      <c r="B442" t="s">
        <v>1174</v>
      </c>
    </row>
    <row r="443" spans="1:2">
      <c r="A443">
        <v>12506005</v>
      </c>
      <c r="B443" t="s">
        <v>1176</v>
      </c>
    </row>
    <row r="444" spans="1:2">
      <c r="A444">
        <v>12506006</v>
      </c>
      <c r="B444" t="s">
        <v>1178</v>
      </c>
    </row>
    <row r="445" spans="1:2">
      <c r="A445">
        <v>12506007</v>
      </c>
      <c r="B445" t="s">
        <v>1180</v>
      </c>
    </row>
    <row r="446" spans="1:2">
      <c r="A446">
        <v>12506008</v>
      </c>
      <c r="B446" t="s">
        <v>1182</v>
      </c>
    </row>
    <row r="447" spans="1:2">
      <c r="A447">
        <v>12506009</v>
      </c>
      <c r="B447" t="s">
        <v>1184</v>
      </c>
    </row>
    <row r="448" spans="1:2">
      <c r="A448">
        <v>12506010</v>
      </c>
      <c r="B448" t="s">
        <v>1186</v>
      </c>
    </row>
    <row r="449" spans="1:2">
      <c r="A449">
        <v>12506011</v>
      </c>
      <c r="B449" t="s">
        <v>1188</v>
      </c>
    </row>
    <row r="450" spans="1:2">
      <c r="A450">
        <v>12506012</v>
      </c>
      <c r="B450" t="s">
        <v>1190</v>
      </c>
    </row>
    <row r="451" spans="1:2">
      <c r="A451">
        <v>12506013</v>
      </c>
      <c r="B451" t="s">
        <v>1192</v>
      </c>
    </row>
    <row r="452" spans="1:2">
      <c r="A452">
        <v>12506014</v>
      </c>
      <c r="B452" t="s">
        <v>1194</v>
      </c>
    </row>
    <row r="453" spans="1:2">
      <c r="A453">
        <v>12506015</v>
      </c>
      <c r="B453" t="s">
        <v>4198</v>
      </c>
    </row>
    <row r="454" spans="1:2">
      <c r="A454">
        <v>13006101</v>
      </c>
      <c r="B454" t="s">
        <v>1196</v>
      </c>
    </row>
    <row r="455" spans="1:2">
      <c r="A455">
        <v>13006102</v>
      </c>
      <c r="B455" t="s">
        <v>1198</v>
      </c>
    </row>
    <row r="456" spans="1:2">
      <c r="A456">
        <v>13006103</v>
      </c>
      <c r="B456" t="s">
        <v>1200</v>
      </c>
    </row>
    <row r="457" spans="1:2">
      <c r="A457">
        <v>13006104</v>
      </c>
      <c r="B457" t="s">
        <v>1202</v>
      </c>
    </row>
    <row r="458" spans="1:2">
      <c r="A458">
        <v>13006105</v>
      </c>
      <c r="B458" t="s">
        <v>1204</v>
      </c>
    </row>
    <row r="459" spans="1:2">
      <c r="A459">
        <v>13006106</v>
      </c>
      <c r="B459" t="s">
        <v>1206</v>
      </c>
    </row>
    <row r="460" spans="1:2">
      <c r="A460">
        <v>13506201</v>
      </c>
      <c r="B460" t="s">
        <v>1208</v>
      </c>
    </row>
    <row r="461" spans="1:2">
      <c r="A461">
        <v>14006301</v>
      </c>
      <c r="B461" t="s">
        <v>1210</v>
      </c>
    </row>
    <row r="462" spans="1:2">
      <c r="A462">
        <v>14006401</v>
      </c>
      <c r="B462" t="s">
        <v>1212</v>
      </c>
    </row>
    <row r="463" spans="1:2">
      <c r="A463">
        <v>14006501</v>
      </c>
      <c r="B463" t="s">
        <v>1214</v>
      </c>
    </row>
    <row r="464" spans="1:2">
      <c r="A464">
        <v>14006601</v>
      </c>
      <c r="B464" t="s">
        <v>1216</v>
      </c>
    </row>
    <row r="465" spans="1:2">
      <c r="A465">
        <v>14006701</v>
      </c>
      <c r="B465" t="s">
        <v>1218</v>
      </c>
    </row>
    <row r="466" spans="1:2">
      <c r="A466">
        <v>14006801</v>
      </c>
      <c r="B466" t="s">
        <v>1220</v>
      </c>
    </row>
    <row r="467" spans="1:2">
      <c r="A467">
        <v>14099901</v>
      </c>
      <c r="B467" t="s">
        <v>1222</v>
      </c>
    </row>
    <row r="468" spans="1:2">
      <c r="A468">
        <v>14506901</v>
      </c>
      <c r="B468" t="s">
        <v>1224</v>
      </c>
    </row>
    <row r="469" spans="1:2">
      <c r="A469">
        <v>14506902</v>
      </c>
      <c r="B469" t="s">
        <v>1226</v>
      </c>
    </row>
    <row r="470" spans="1:2">
      <c r="A470">
        <v>14506903</v>
      </c>
      <c r="B470" t="s">
        <v>1228</v>
      </c>
    </row>
    <row r="471" spans="1:2">
      <c r="A471">
        <v>14506904</v>
      </c>
      <c r="B471" t="s">
        <v>1230</v>
      </c>
    </row>
    <row r="472" spans="1:2">
      <c r="A472">
        <v>14506905</v>
      </c>
      <c r="B472" t="s">
        <v>1232</v>
      </c>
    </row>
    <row r="473" spans="1:2">
      <c r="A473">
        <v>14506906</v>
      </c>
      <c r="B473" t="s">
        <v>1234</v>
      </c>
    </row>
    <row r="474" spans="1:2">
      <c r="A474">
        <v>14506907</v>
      </c>
      <c r="B474" t="s">
        <v>1236</v>
      </c>
    </row>
    <row r="475" spans="1:2">
      <c r="A475">
        <v>14506908</v>
      </c>
      <c r="B475" t="s">
        <v>1238</v>
      </c>
    </row>
    <row r="476" spans="1:2">
      <c r="A476">
        <v>14506909</v>
      </c>
      <c r="B476" t="s">
        <v>1240</v>
      </c>
    </row>
    <row r="477" spans="1:2">
      <c r="A477">
        <v>14507001</v>
      </c>
      <c r="B477" t="s">
        <v>1274</v>
      </c>
    </row>
    <row r="478" spans="1:2">
      <c r="A478">
        <v>14507002</v>
      </c>
      <c r="B478" t="s">
        <v>1276</v>
      </c>
    </row>
    <row r="479" spans="1:2">
      <c r="A479">
        <v>14507003</v>
      </c>
      <c r="B479" t="s">
        <v>1278</v>
      </c>
    </row>
    <row r="480" spans="1:2">
      <c r="A480">
        <v>14507004</v>
      </c>
      <c r="B480" t="s">
        <v>1280</v>
      </c>
    </row>
    <row r="481" spans="1:2">
      <c r="A481">
        <v>14507005</v>
      </c>
      <c r="B481" t="s">
        <v>1282</v>
      </c>
    </row>
    <row r="482" spans="1:2">
      <c r="A482">
        <v>14507006</v>
      </c>
      <c r="B482" t="s">
        <v>1284</v>
      </c>
    </row>
    <row r="483" spans="1:2">
      <c r="A483">
        <v>14507007</v>
      </c>
      <c r="B483" t="s">
        <v>1286</v>
      </c>
    </row>
    <row r="484" spans="1:2">
      <c r="A484">
        <v>14507008</v>
      </c>
      <c r="B484" t="s">
        <v>1288</v>
      </c>
    </row>
    <row r="485" spans="1:2">
      <c r="A485">
        <v>14507009</v>
      </c>
      <c r="B485" t="s">
        <v>1290</v>
      </c>
    </row>
    <row r="486" spans="1:2">
      <c r="A486">
        <v>14507101</v>
      </c>
      <c r="B486" t="s">
        <v>1324</v>
      </c>
    </row>
    <row r="487" spans="1:2">
      <c r="A487">
        <v>14507102</v>
      </c>
      <c r="B487" t="s">
        <v>1326</v>
      </c>
    </row>
    <row r="488" spans="1:2">
      <c r="A488">
        <v>14507103</v>
      </c>
      <c r="B488" t="s">
        <v>1328</v>
      </c>
    </row>
    <row r="489" spans="1:2">
      <c r="A489">
        <v>14507104</v>
      </c>
      <c r="B489" t="s">
        <v>1330</v>
      </c>
    </row>
    <row r="490" spans="1:2">
      <c r="A490">
        <v>14507105</v>
      </c>
      <c r="B490" t="s">
        <v>1332</v>
      </c>
    </row>
    <row r="491" spans="1:2">
      <c r="A491">
        <v>14507106</v>
      </c>
      <c r="B491" t="s">
        <v>1334</v>
      </c>
    </row>
    <row r="492" spans="1:2">
      <c r="A492">
        <v>14507107</v>
      </c>
      <c r="B492" t="s">
        <v>1336</v>
      </c>
    </row>
    <row r="493" spans="1:2">
      <c r="A493">
        <v>14507108</v>
      </c>
      <c r="B493" t="s">
        <v>1338</v>
      </c>
    </row>
    <row r="494" spans="1:2">
      <c r="A494">
        <v>14507109</v>
      </c>
      <c r="B494" t="s">
        <v>1340</v>
      </c>
    </row>
    <row r="495" spans="1:2">
      <c r="A495">
        <v>14507201</v>
      </c>
      <c r="B495" t="s">
        <v>1374</v>
      </c>
    </row>
    <row r="496" spans="1:2">
      <c r="A496">
        <v>14507202</v>
      </c>
      <c r="B496" t="s">
        <v>1376</v>
      </c>
    </row>
    <row r="497" spans="1:2">
      <c r="A497">
        <v>14507203</v>
      </c>
      <c r="B497" t="s">
        <v>1378</v>
      </c>
    </row>
    <row r="498" spans="1:2">
      <c r="A498">
        <v>14507204</v>
      </c>
      <c r="B498" t="s">
        <v>1380</v>
      </c>
    </row>
    <row r="499" spans="1:2">
      <c r="A499">
        <v>14507205</v>
      </c>
      <c r="B499" t="s">
        <v>1382</v>
      </c>
    </row>
    <row r="500" spans="1:2">
      <c r="A500">
        <v>14507206</v>
      </c>
      <c r="B500" t="s">
        <v>1384</v>
      </c>
    </row>
    <row r="501" spans="1:2">
      <c r="A501">
        <v>14507207</v>
      </c>
      <c r="B501" t="s">
        <v>1386</v>
      </c>
    </row>
    <row r="502" spans="1:2">
      <c r="A502">
        <v>14507208</v>
      </c>
      <c r="B502" t="s">
        <v>1388</v>
      </c>
    </row>
    <row r="503" spans="1:2">
      <c r="A503">
        <v>14507209</v>
      </c>
      <c r="B503" t="s">
        <v>1390</v>
      </c>
    </row>
    <row r="504" spans="1:2">
      <c r="A504">
        <v>14507301</v>
      </c>
      <c r="B504" t="s">
        <v>1424</v>
      </c>
    </row>
    <row r="505" spans="1:2">
      <c r="A505">
        <v>14507302</v>
      </c>
      <c r="B505" t="s">
        <v>1426</v>
      </c>
    </row>
    <row r="506" spans="1:2">
      <c r="A506">
        <v>14507303</v>
      </c>
      <c r="B506" t="s">
        <v>1428</v>
      </c>
    </row>
    <row r="507" spans="1:2">
      <c r="A507">
        <v>14507304</v>
      </c>
      <c r="B507" t="s">
        <v>1430</v>
      </c>
    </row>
    <row r="508" spans="1:2">
      <c r="A508">
        <v>14507305</v>
      </c>
      <c r="B508" t="s">
        <v>1432</v>
      </c>
    </row>
    <row r="509" spans="1:2">
      <c r="A509">
        <v>14507306</v>
      </c>
      <c r="B509" t="s">
        <v>1434</v>
      </c>
    </row>
    <row r="510" spans="1:2">
      <c r="A510">
        <v>14507307</v>
      </c>
      <c r="B510" t="s">
        <v>1436</v>
      </c>
    </row>
    <row r="511" spans="1:2">
      <c r="A511">
        <v>14507308</v>
      </c>
      <c r="B511" t="s">
        <v>1438</v>
      </c>
    </row>
    <row r="512" spans="1:2">
      <c r="A512">
        <v>14507309</v>
      </c>
      <c r="B512" t="s">
        <v>1440</v>
      </c>
    </row>
    <row r="513" spans="1:2">
      <c r="A513">
        <v>14507401</v>
      </c>
      <c r="B513" t="s">
        <v>1474</v>
      </c>
    </row>
    <row r="514" spans="1:2">
      <c r="A514">
        <v>14507402</v>
      </c>
      <c r="B514" t="s">
        <v>1476</v>
      </c>
    </row>
    <row r="515" spans="1:2">
      <c r="A515">
        <v>14507403</v>
      </c>
      <c r="B515" t="s">
        <v>1478</v>
      </c>
    </row>
    <row r="516" spans="1:2">
      <c r="A516">
        <v>14507404</v>
      </c>
      <c r="B516" t="s">
        <v>1480</v>
      </c>
    </row>
    <row r="517" spans="1:2">
      <c r="A517">
        <v>14507405</v>
      </c>
      <c r="B517" t="s">
        <v>1482</v>
      </c>
    </row>
    <row r="518" spans="1:2">
      <c r="A518">
        <v>14507406</v>
      </c>
      <c r="B518" t="s">
        <v>1484</v>
      </c>
    </row>
    <row r="519" spans="1:2">
      <c r="A519">
        <v>14507407</v>
      </c>
      <c r="B519" t="s">
        <v>1486</v>
      </c>
    </row>
    <row r="520" spans="1:2">
      <c r="A520">
        <v>14507408</v>
      </c>
      <c r="B520" t="s">
        <v>1488</v>
      </c>
    </row>
    <row r="521" spans="1:2">
      <c r="A521">
        <v>14507409</v>
      </c>
      <c r="B521" t="s">
        <v>1490</v>
      </c>
    </row>
    <row r="522" spans="1:2">
      <c r="A522">
        <v>14507501</v>
      </c>
      <c r="B522" t="s">
        <v>1524</v>
      </c>
    </row>
    <row r="523" spans="1:2">
      <c r="A523">
        <v>14507502</v>
      </c>
      <c r="B523" t="s">
        <v>1526</v>
      </c>
    </row>
    <row r="524" spans="1:2">
      <c r="A524">
        <v>14507503</v>
      </c>
      <c r="B524" t="s">
        <v>1528</v>
      </c>
    </row>
    <row r="525" spans="1:2">
      <c r="A525">
        <v>14507504</v>
      </c>
      <c r="B525" t="s">
        <v>1530</v>
      </c>
    </row>
    <row r="526" spans="1:2">
      <c r="A526">
        <v>14507505</v>
      </c>
      <c r="B526" t="s">
        <v>1532</v>
      </c>
    </row>
    <row r="527" spans="1:2">
      <c r="A527">
        <v>14507506</v>
      </c>
      <c r="B527" t="s">
        <v>1534</v>
      </c>
    </row>
    <row r="528" spans="1:2">
      <c r="A528">
        <v>14507507</v>
      </c>
      <c r="B528" t="s">
        <v>1536</v>
      </c>
    </row>
    <row r="529" spans="1:2">
      <c r="A529">
        <v>14507508</v>
      </c>
      <c r="B529" t="s">
        <v>4199</v>
      </c>
    </row>
    <row r="530" spans="1:2">
      <c r="A530">
        <v>14507509</v>
      </c>
      <c r="B530" t="s">
        <v>1540</v>
      </c>
    </row>
    <row r="531" spans="1:2">
      <c r="A531">
        <v>14599901</v>
      </c>
      <c r="B531" t="s">
        <v>1574</v>
      </c>
    </row>
    <row r="532" spans="1:2">
      <c r="A532">
        <v>14599902</v>
      </c>
      <c r="B532" t="s">
        <v>1576</v>
      </c>
    </row>
    <row r="533" spans="1:2">
      <c r="A533">
        <v>14599903</v>
      </c>
      <c r="B533" t="s">
        <v>1578</v>
      </c>
    </row>
    <row r="534" spans="1:2">
      <c r="A534">
        <v>14599904</v>
      </c>
      <c r="B534" t="s">
        <v>1580</v>
      </c>
    </row>
    <row r="535" spans="1:2">
      <c r="A535">
        <v>14599905</v>
      </c>
      <c r="B535" t="s">
        <v>1582</v>
      </c>
    </row>
    <row r="536" spans="1:2">
      <c r="A536">
        <v>14599906</v>
      </c>
      <c r="B536" t="s">
        <v>1584</v>
      </c>
    </row>
    <row r="537" spans="1:2">
      <c r="A537">
        <v>14599907</v>
      </c>
      <c r="B537" t="s">
        <v>1586</v>
      </c>
    </row>
    <row r="538" spans="1:2">
      <c r="A538">
        <v>14599908</v>
      </c>
      <c r="B538" t="s">
        <v>1588</v>
      </c>
    </row>
    <row r="539" spans="1:2">
      <c r="A539">
        <v>14599909</v>
      </c>
      <c r="B539" t="s">
        <v>1590</v>
      </c>
    </row>
    <row r="540" spans="1:2">
      <c r="A540">
        <v>14599910</v>
      </c>
      <c r="B540" t="s">
        <v>1592</v>
      </c>
    </row>
    <row r="541" spans="1:2">
      <c r="A541">
        <v>14599911</v>
      </c>
      <c r="B541" t="s">
        <v>1594</v>
      </c>
    </row>
    <row r="542" spans="1:2">
      <c r="A542">
        <v>14599912</v>
      </c>
      <c r="B542" t="s">
        <v>1596</v>
      </c>
    </row>
    <row r="543" spans="1:2">
      <c r="A543">
        <v>14599913</v>
      </c>
      <c r="B543" t="s">
        <v>1598</v>
      </c>
    </row>
    <row r="544" spans="1:2">
      <c r="A544">
        <v>14599914</v>
      </c>
      <c r="B544" t="s">
        <v>1600</v>
      </c>
    </row>
    <row r="545" spans="1:2">
      <c r="A545">
        <v>14599915</v>
      </c>
      <c r="B545" t="s">
        <v>1602</v>
      </c>
    </row>
    <row r="546" spans="1:2">
      <c r="A546">
        <v>14599916</v>
      </c>
      <c r="B546" t="s">
        <v>1604</v>
      </c>
    </row>
    <row r="547" spans="1:2">
      <c r="A547">
        <v>14599917</v>
      </c>
      <c r="B547" t="s">
        <v>1606</v>
      </c>
    </row>
    <row r="548" spans="1:2">
      <c r="A548">
        <v>14599918</v>
      </c>
      <c r="B548" t="s">
        <v>1608</v>
      </c>
    </row>
    <row r="549" spans="1:2">
      <c r="A549">
        <v>14599919</v>
      </c>
      <c r="B549" t="s">
        <v>1610</v>
      </c>
    </row>
    <row r="550" spans="1:2">
      <c r="A550">
        <v>14599920</v>
      </c>
      <c r="B550" t="s">
        <v>1612</v>
      </c>
    </row>
    <row r="551" spans="1:2">
      <c r="A551">
        <v>14599921</v>
      </c>
      <c r="B551" t="s">
        <v>1614</v>
      </c>
    </row>
    <row r="552" spans="1:2">
      <c r="A552">
        <v>14599922</v>
      </c>
      <c r="B552" t="s">
        <v>1616</v>
      </c>
    </row>
    <row r="553" spans="1:2">
      <c r="A553">
        <v>14599923</v>
      </c>
      <c r="B553" t="s">
        <v>1618</v>
      </c>
    </row>
    <row r="554" spans="1:2">
      <c r="A554">
        <v>14599924</v>
      </c>
      <c r="B554" t="s">
        <v>1620</v>
      </c>
    </row>
    <row r="555" spans="1:2">
      <c r="A555">
        <v>14599925</v>
      </c>
      <c r="B555" t="s">
        <v>1622</v>
      </c>
    </row>
    <row r="556" spans="1:2">
      <c r="A556">
        <v>14599926</v>
      </c>
      <c r="B556" t="s">
        <v>1624</v>
      </c>
    </row>
    <row r="557" spans="1:2">
      <c r="A557">
        <v>14599927</v>
      </c>
      <c r="B557" t="s">
        <v>1626</v>
      </c>
    </row>
    <row r="558" spans="1:2">
      <c r="A558">
        <v>14506910</v>
      </c>
      <c r="B558" t="s">
        <v>1242</v>
      </c>
    </row>
    <row r="559" spans="1:2">
      <c r="A559">
        <v>14506911</v>
      </c>
      <c r="B559" t="s">
        <v>1244</v>
      </c>
    </row>
    <row r="560" spans="1:2">
      <c r="A560">
        <v>14506912</v>
      </c>
      <c r="B560" t="s">
        <v>1246</v>
      </c>
    </row>
    <row r="561" spans="1:2">
      <c r="A561">
        <v>14506913</v>
      </c>
      <c r="B561" t="s">
        <v>1248</v>
      </c>
    </row>
    <row r="562" spans="1:2">
      <c r="A562">
        <v>14506914</v>
      </c>
      <c r="B562" t="s">
        <v>1250</v>
      </c>
    </row>
    <row r="563" spans="1:2">
      <c r="A563">
        <v>14506915</v>
      </c>
      <c r="B563" t="s">
        <v>1252</v>
      </c>
    </row>
    <row r="564" spans="1:2">
      <c r="A564">
        <v>14506916</v>
      </c>
      <c r="B564" t="s">
        <v>1254</v>
      </c>
    </row>
    <row r="565" spans="1:2">
      <c r="A565">
        <v>14506917</v>
      </c>
      <c r="B565" t="s">
        <v>1256</v>
      </c>
    </row>
    <row r="566" spans="1:2">
      <c r="A566">
        <v>14506918</v>
      </c>
      <c r="B566" t="s">
        <v>1258</v>
      </c>
    </row>
    <row r="567" spans="1:2">
      <c r="A567">
        <v>14506919</v>
      </c>
      <c r="B567" t="s">
        <v>1260</v>
      </c>
    </row>
    <row r="568" spans="1:2">
      <c r="A568">
        <v>14506920</v>
      </c>
      <c r="B568" t="s">
        <v>1262</v>
      </c>
    </row>
    <row r="569" spans="1:2">
      <c r="A569">
        <v>14506921</v>
      </c>
      <c r="B569" t="s">
        <v>1264</v>
      </c>
    </row>
    <row r="570" spans="1:2">
      <c r="A570">
        <v>14506922</v>
      </c>
      <c r="B570" t="s">
        <v>1266</v>
      </c>
    </row>
    <row r="571" spans="1:2">
      <c r="A571">
        <v>14506923</v>
      </c>
      <c r="B571" t="s">
        <v>1268</v>
      </c>
    </row>
    <row r="572" spans="1:2">
      <c r="A572">
        <v>14506924</v>
      </c>
      <c r="B572" t="s">
        <v>1270</v>
      </c>
    </row>
    <row r="573" spans="1:2">
      <c r="A573">
        <v>14506925</v>
      </c>
      <c r="B573" t="s">
        <v>1272</v>
      </c>
    </row>
    <row r="574" spans="1:2">
      <c r="A574">
        <v>14507010</v>
      </c>
      <c r="B574" t="s">
        <v>1292</v>
      </c>
    </row>
    <row r="575" spans="1:2">
      <c r="A575">
        <v>14507011</v>
      </c>
      <c r="B575" t="s">
        <v>1294</v>
      </c>
    </row>
    <row r="576" spans="1:2">
      <c r="A576">
        <v>14507012</v>
      </c>
      <c r="B576" t="s">
        <v>1296</v>
      </c>
    </row>
    <row r="577" spans="1:2">
      <c r="A577">
        <v>14507013</v>
      </c>
      <c r="B577" t="s">
        <v>1298</v>
      </c>
    </row>
    <row r="578" spans="1:2">
      <c r="A578">
        <v>14507014</v>
      </c>
      <c r="B578" t="s">
        <v>1300</v>
      </c>
    </row>
    <row r="579" spans="1:2">
      <c r="A579">
        <v>14507015</v>
      </c>
      <c r="B579" t="s">
        <v>1302</v>
      </c>
    </row>
    <row r="580" spans="1:2">
      <c r="A580">
        <v>14507016</v>
      </c>
      <c r="B580" t="s">
        <v>1304</v>
      </c>
    </row>
    <row r="581" spans="1:2">
      <c r="A581">
        <v>14507017</v>
      </c>
      <c r="B581" t="s">
        <v>1306</v>
      </c>
    </row>
    <row r="582" spans="1:2">
      <c r="A582">
        <v>14507018</v>
      </c>
      <c r="B582" t="s">
        <v>1308</v>
      </c>
    </row>
    <row r="583" spans="1:2">
      <c r="A583">
        <v>14507019</v>
      </c>
      <c r="B583" t="s">
        <v>1310</v>
      </c>
    </row>
    <row r="584" spans="1:2">
      <c r="A584">
        <v>14507020</v>
      </c>
      <c r="B584" t="s">
        <v>1312</v>
      </c>
    </row>
    <row r="585" spans="1:2">
      <c r="A585">
        <v>14507021</v>
      </c>
      <c r="B585" t="s">
        <v>1314</v>
      </c>
    </row>
    <row r="586" spans="1:2">
      <c r="A586">
        <v>14507022</v>
      </c>
      <c r="B586" t="s">
        <v>1316</v>
      </c>
    </row>
    <row r="587" spans="1:2">
      <c r="A587">
        <v>14507023</v>
      </c>
      <c r="B587" t="s">
        <v>1318</v>
      </c>
    </row>
    <row r="588" spans="1:2">
      <c r="A588">
        <v>14507024</v>
      </c>
      <c r="B588" t="s">
        <v>1320</v>
      </c>
    </row>
    <row r="589" spans="1:2">
      <c r="A589">
        <v>14507025</v>
      </c>
      <c r="B589" t="s">
        <v>1322</v>
      </c>
    </row>
    <row r="590" spans="1:2">
      <c r="A590">
        <v>14507110</v>
      </c>
      <c r="B590" t="s">
        <v>1342</v>
      </c>
    </row>
    <row r="591" spans="1:2">
      <c r="A591">
        <v>14507111</v>
      </c>
      <c r="B591" t="s">
        <v>1344</v>
      </c>
    </row>
    <row r="592" spans="1:2">
      <c r="A592">
        <v>14507112</v>
      </c>
      <c r="B592" t="s">
        <v>1346</v>
      </c>
    </row>
    <row r="593" spans="1:2">
      <c r="A593">
        <v>14507113</v>
      </c>
      <c r="B593" t="s">
        <v>1348</v>
      </c>
    </row>
    <row r="594" spans="1:2">
      <c r="A594">
        <v>14507114</v>
      </c>
      <c r="B594" t="s">
        <v>1350</v>
      </c>
    </row>
    <row r="595" spans="1:2">
      <c r="A595">
        <v>14507115</v>
      </c>
      <c r="B595" t="s">
        <v>1352</v>
      </c>
    </row>
    <row r="596" spans="1:2">
      <c r="A596">
        <v>14507116</v>
      </c>
      <c r="B596" t="s">
        <v>1354</v>
      </c>
    </row>
    <row r="597" spans="1:2">
      <c r="A597">
        <v>14507117</v>
      </c>
      <c r="B597" t="s">
        <v>1356</v>
      </c>
    </row>
    <row r="598" spans="1:2">
      <c r="A598">
        <v>14507118</v>
      </c>
      <c r="B598" t="s">
        <v>1358</v>
      </c>
    </row>
    <row r="599" spans="1:2">
      <c r="A599">
        <v>14507119</v>
      </c>
      <c r="B599" t="s">
        <v>1360</v>
      </c>
    </row>
    <row r="600" spans="1:2">
      <c r="A600">
        <v>14507120</v>
      </c>
      <c r="B600" t="s">
        <v>1362</v>
      </c>
    </row>
    <row r="601" spans="1:2">
      <c r="A601">
        <v>14507121</v>
      </c>
      <c r="B601" t="s">
        <v>1364</v>
      </c>
    </row>
    <row r="602" spans="1:2">
      <c r="A602">
        <v>14507122</v>
      </c>
      <c r="B602" t="s">
        <v>1366</v>
      </c>
    </row>
    <row r="603" spans="1:2">
      <c r="A603">
        <v>14507123</v>
      </c>
      <c r="B603" t="s">
        <v>1368</v>
      </c>
    </row>
    <row r="604" spans="1:2">
      <c r="A604">
        <v>14507124</v>
      </c>
      <c r="B604" t="s">
        <v>1370</v>
      </c>
    </row>
    <row r="605" spans="1:2">
      <c r="A605">
        <v>14507125</v>
      </c>
      <c r="B605" t="s">
        <v>1372</v>
      </c>
    </row>
    <row r="606" spans="1:2">
      <c r="A606">
        <v>14507210</v>
      </c>
      <c r="B606" t="s">
        <v>1392</v>
      </c>
    </row>
    <row r="607" spans="1:2">
      <c r="A607">
        <v>14507211</v>
      </c>
      <c r="B607" t="s">
        <v>1394</v>
      </c>
    </row>
    <row r="608" spans="1:2">
      <c r="A608">
        <v>14507212</v>
      </c>
      <c r="B608" t="s">
        <v>1396</v>
      </c>
    </row>
    <row r="609" spans="1:2">
      <c r="A609">
        <v>14507213</v>
      </c>
      <c r="B609" t="s">
        <v>1398</v>
      </c>
    </row>
    <row r="610" spans="1:2">
      <c r="A610">
        <v>14507214</v>
      </c>
      <c r="B610" t="s">
        <v>1400</v>
      </c>
    </row>
    <row r="611" spans="1:2">
      <c r="A611">
        <v>14507215</v>
      </c>
      <c r="B611" t="s">
        <v>1402</v>
      </c>
    </row>
    <row r="612" spans="1:2">
      <c r="A612">
        <v>14507216</v>
      </c>
      <c r="B612" t="s">
        <v>1404</v>
      </c>
    </row>
    <row r="613" spans="1:2">
      <c r="A613">
        <v>14507217</v>
      </c>
      <c r="B613" t="s">
        <v>1406</v>
      </c>
    </row>
    <row r="614" spans="1:2">
      <c r="A614">
        <v>14507218</v>
      </c>
      <c r="B614" t="s">
        <v>1408</v>
      </c>
    </row>
    <row r="615" spans="1:2">
      <c r="A615">
        <v>14507219</v>
      </c>
      <c r="B615" t="s">
        <v>1410</v>
      </c>
    </row>
    <row r="616" spans="1:2">
      <c r="A616">
        <v>14507220</v>
      </c>
      <c r="B616" t="s">
        <v>1412</v>
      </c>
    </row>
    <row r="617" spans="1:2">
      <c r="A617">
        <v>14507221</v>
      </c>
      <c r="B617" t="s">
        <v>1414</v>
      </c>
    </row>
    <row r="618" spans="1:2">
      <c r="A618">
        <v>14507222</v>
      </c>
      <c r="B618" t="s">
        <v>1416</v>
      </c>
    </row>
    <row r="619" spans="1:2">
      <c r="A619">
        <v>14507223</v>
      </c>
      <c r="B619" t="s">
        <v>1418</v>
      </c>
    </row>
    <row r="620" spans="1:2">
      <c r="A620">
        <v>14507224</v>
      </c>
      <c r="B620" t="s">
        <v>1420</v>
      </c>
    </row>
    <row r="621" spans="1:2">
      <c r="A621">
        <v>14507225</v>
      </c>
      <c r="B621" t="s">
        <v>1422</v>
      </c>
    </row>
    <row r="622" spans="1:2">
      <c r="A622">
        <v>14507310</v>
      </c>
      <c r="B622" t="s">
        <v>1442</v>
      </c>
    </row>
    <row r="623" spans="1:2">
      <c r="A623">
        <v>14507311</v>
      </c>
      <c r="B623" t="s">
        <v>1444</v>
      </c>
    </row>
    <row r="624" spans="1:2">
      <c r="A624">
        <v>14507312</v>
      </c>
      <c r="B624" t="s">
        <v>1446</v>
      </c>
    </row>
    <row r="625" spans="1:2">
      <c r="A625">
        <v>14507313</v>
      </c>
      <c r="B625" t="s">
        <v>1448</v>
      </c>
    </row>
    <row r="626" spans="1:2">
      <c r="A626">
        <v>14507314</v>
      </c>
      <c r="B626" t="s">
        <v>1450</v>
      </c>
    </row>
    <row r="627" spans="1:2">
      <c r="A627">
        <v>14507315</v>
      </c>
      <c r="B627" t="s">
        <v>1452</v>
      </c>
    </row>
    <row r="628" spans="1:2">
      <c r="A628">
        <v>14507316</v>
      </c>
      <c r="B628" t="s">
        <v>1454</v>
      </c>
    </row>
    <row r="629" spans="1:2">
      <c r="A629">
        <v>14507317</v>
      </c>
      <c r="B629" t="s">
        <v>1456</v>
      </c>
    </row>
    <row r="630" spans="1:2">
      <c r="A630">
        <v>14507318</v>
      </c>
      <c r="B630" t="s">
        <v>1458</v>
      </c>
    </row>
    <row r="631" spans="1:2">
      <c r="A631">
        <v>14507319</v>
      </c>
      <c r="B631" t="s">
        <v>1460</v>
      </c>
    </row>
    <row r="632" spans="1:2">
      <c r="A632">
        <v>14507320</v>
      </c>
      <c r="B632" t="s">
        <v>1462</v>
      </c>
    </row>
    <row r="633" spans="1:2">
      <c r="A633">
        <v>14507321</v>
      </c>
      <c r="B633" t="s">
        <v>1464</v>
      </c>
    </row>
    <row r="634" spans="1:2">
      <c r="A634">
        <v>14507322</v>
      </c>
      <c r="B634" t="s">
        <v>1466</v>
      </c>
    </row>
    <row r="635" spans="1:2">
      <c r="A635">
        <v>14507323</v>
      </c>
      <c r="B635" t="s">
        <v>1468</v>
      </c>
    </row>
    <row r="636" spans="1:2">
      <c r="A636">
        <v>14507324</v>
      </c>
      <c r="B636" t="s">
        <v>1470</v>
      </c>
    </row>
    <row r="637" spans="1:2">
      <c r="A637">
        <v>14507325</v>
      </c>
      <c r="B637" t="s">
        <v>1472</v>
      </c>
    </row>
    <row r="638" spans="1:2">
      <c r="A638">
        <v>14507410</v>
      </c>
      <c r="B638" t="s">
        <v>1492</v>
      </c>
    </row>
    <row r="639" spans="1:2">
      <c r="A639">
        <v>14507411</v>
      </c>
      <c r="B639" t="s">
        <v>1494</v>
      </c>
    </row>
    <row r="640" spans="1:2">
      <c r="A640">
        <v>14507412</v>
      </c>
      <c r="B640" t="s">
        <v>1496</v>
      </c>
    </row>
    <row r="641" spans="1:2">
      <c r="A641">
        <v>14507413</v>
      </c>
      <c r="B641" t="s">
        <v>1498</v>
      </c>
    </row>
    <row r="642" spans="1:2">
      <c r="A642">
        <v>14507414</v>
      </c>
      <c r="B642" t="s">
        <v>1500</v>
      </c>
    </row>
    <row r="643" spans="1:2">
      <c r="A643">
        <v>14507415</v>
      </c>
      <c r="B643" t="s">
        <v>1502</v>
      </c>
    </row>
    <row r="644" spans="1:2">
      <c r="A644">
        <v>14507416</v>
      </c>
      <c r="B644" t="s">
        <v>1504</v>
      </c>
    </row>
    <row r="645" spans="1:2">
      <c r="A645">
        <v>14507417</v>
      </c>
      <c r="B645" t="s">
        <v>1506</v>
      </c>
    </row>
    <row r="646" spans="1:2">
      <c r="A646">
        <v>14507418</v>
      </c>
      <c r="B646" t="s">
        <v>1508</v>
      </c>
    </row>
    <row r="647" spans="1:2">
      <c r="A647">
        <v>14507419</v>
      </c>
      <c r="B647" t="s">
        <v>1510</v>
      </c>
    </row>
    <row r="648" spans="1:2">
      <c r="A648">
        <v>14507420</v>
      </c>
      <c r="B648" t="s">
        <v>1512</v>
      </c>
    </row>
    <row r="649" spans="1:2">
      <c r="A649">
        <v>14507421</v>
      </c>
      <c r="B649" t="s">
        <v>1514</v>
      </c>
    </row>
    <row r="650" spans="1:2">
      <c r="A650">
        <v>14507422</v>
      </c>
      <c r="B650" t="s">
        <v>1516</v>
      </c>
    </row>
    <row r="651" spans="1:2">
      <c r="A651">
        <v>14507423</v>
      </c>
      <c r="B651" t="s">
        <v>1518</v>
      </c>
    </row>
    <row r="652" spans="1:2">
      <c r="A652">
        <v>14507424</v>
      </c>
      <c r="B652" t="s">
        <v>1520</v>
      </c>
    </row>
    <row r="653" spans="1:2">
      <c r="A653">
        <v>14507425</v>
      </c>
      <c r="B653" t="s">
        <v>1522</v>
      </c>
    </row>
    <row r="654" spans="1:2">
      <c r="A654">
        <v>14507510</v>
      </c>
      <c r="B654" t="s">
        <v>1542</v>
      </c>
    </row>
    <row r="655" spans="1:2">
      <c r="A655">
        <v>14507511</v>
      </c>
      <c r="B655" t="s">
        <v>1544</v>
      </c>
    </row>
    <row r="656" spans="1:2">
      <c r="A656">
        <v>14507512</v>
      </c>
      <c r="B656" t="s">
        <v>1546</v>
      </c>
    </row>
    <row r="657" spans="1:2">
      <c r="A657">
        <v>14507513</v>
      </c>
      <c r="B657" t="s">
        <v>1548</v>
      </c>
    </row>
    <row r="658" spans="1:2">
      <c r="A658">
        <v>14507514</v>
      </c>
      <c r="B658" t="s">
        <v>1550</v>
      </c>
    </row>
    <row r="659" spans="1:2">
      <c r="A659">
        <v>14507515</v>
      </c>
      <c r="B659" t="s">
        <v>1552</v>
      </c>
    </row>
    <row r="660" spans="1:2">
      <c r="A660">
        <v>14507516</v>
      </c>
      <c r="B660" t="s">
        <v>1554</v>
      </c>
    </row>
    <row r="661" spans="1:2">
      <c r="A661">
        <v>14507517</v>
      </c>
      <c r="B661" t="s">
        <v>1556</v>
      </c>
    </row>
    <row r="662" spans="1:2">
      <c r="A662">
        <v>14507518</v>
      </c>
      <c r="B662" t="s">
        <v>1558</v>
      </c>
    </row>
    <row r="663" spans="1:2">
      <c r="A663">
        <v>14507519</v>
      </c>
      <c r="B663" t="s">
        <v>1560</v>
      </c>
    </row>
    <row r="664" spans="1:2">
      <c r="A664">
        <v>14507520</v>
      </c>
      <c r="B664" t="s">
        <v>1562</v>
      </c>
    </row>
    <row r="665" spans="1:2">
      <c r="A665">
        <v>14507521</v>
      </c>
      <c r="B665" t="s">
        <v>1564</v>
      </c>
    </row>
    <row r="666" spans="1:2">
      <c r="A666">
        <v>14507522</v>
      </c>
      <c r="B666" t="s">
        <v>1566</v>
      </c>
    </row>
    <row r="667" spans="1:2">
      <c r="A667">
        <v>14507523</v>
      </c>
      <c r="B667" t="s">
        <v>1568</v>
      </c>
    </row>
    <row r="668" spans="1:2">
      <c r="A668">
        <v>14507524</v>
      </c>
      <c r="B668" t="s">
        <v>1570</v>
      </c>
    </row>
    <row r="669" spans="1:2">
      <c r="A669">
        <v>14507525</v>
      </c>
      <c r="B669" t="s">
        <v>1572</v>
      </c>
    </row>
    <row r="670" spans="1:2">
      <c r="A670">
        <v>14599928</v>
      </c>
      <c r="B670" t="s">
        <v>1628</v>
      </c>
    </row>
    <row r="671" spans="1:2">
      <c r="A671">
        <v>14599929</v>
      </c>
      <c r="B671" t="s">
        <v>1630</v>
      </c>
    </row>
    <row r="672" spans="1:2">
      <c r="A672">
        <v>14599930</v>
      </c>
      <c r="B672" t="s">
        <v>1632</v>
      </c>
    </row>
    <row r="673" spans="1:2">
      <c r="A673">
        <v>14599931</v>
      </c>
      <c r="B673" t="s">
        <v>1634</v>
      </c>
    </row>
    <row r="674" spans="1:2">
      <c r="A674">
        <v>14599932</v>
      </c>
      <c r="B674" t="s">
        <v>1636</v>
      </c>
    </row>
    <row r="675" spans="1:2">
      <c r="A675">
        <v>14599933</v>
      </c>
      <c r="B675" t="s">
        <v>1638</v>
      </c>
    </row>
    <row r="676" spans="1:2">
      <c r="A676">
        <v>14599934</v>
      </c>
      <c r="B676" t="s">
        <v>1640</v>
      </c>
    </row>
    <row r="677" spans="1:2">
      <c r="A677">
        <v>14599935</v>
      </c>
      <c r="B677" t="s">
        <v>1642</v>
      </c>
    </row>
    <row r="678" spans="1:2">
      <c r="A678">
        <v>14599936</v>
      </c>
      <c r="B678" t="s">
        <v>1644</v>
      </c>
    </row>
    <row r="679" spans="1:2">
      <c r="A679">
        <v>14599937</v>
      </c>
      <c r="B679" t="s">
        <v>1646</v>
      </c>
    </row>
    <row r="680" spans="1:2">
      <c r="A680">
        <v>14599938</v>
      </c>
      <c r="B680" t="s">
        <v>1648</v>
      </c>
    </row>
    <row r="681" spans="1:2">
      <c r="A681">
        <v>14599939</v>
      </c>
      <c r="B681" t="s">
        <v>1650</v>
      </c>
    </row>
    <row r="682" spans="1:2">
      <c r="A682">
        <v>14599940</v>
      </c>
      <c r="B682" t="s">
        <v>1652</v>
      </c>
    </row>
    <row r="683" spans="1:2">
      <c r="A683">
        <v>14599941</v>
      </c>
      <c r="B683" t="s">
        <v>1654</v>
      </c>
    </row>
    <row r="684" spans="1:2">
      <c r="A684">
        <v>14599942</v>
      </c>
      <c r="B684" t="s">
        <v>1656</v>
      </c>
    </row>
    <row r="685" spans="1:2">
      <c r="A685">
        <v>14599943</v>
      </c>
      <c r="B685" t="s">
        <v>1658</v>
      </c>
    </row>
    <row r="686" spans="1:2">
      <c r="A686">
        <v>15007601</v>
      </c>
      <c r="B686" t="s">
        <v>1660</v>
      </c>
    </row>
    <row r="687" spans="1:2">
      <c r="A687" t="s">
        <v>3377</v>
      </c>
      <c r="B687" t="s">
        <v>3378</v>
      </c>
    </row>
    <row r="688" spans="1:2">
      <c r="A688" t="s">
        <v>3379</v>
      </c>
      <c r="B688" t="s">
        <v>3380</v>
      </c>
    </row>
    <row r="689" spans="1:2">
      <c r="A689" t="s">
        <v>3381</v>
      </c>
      <c r="B689" t="s">
        <v>3382</v>
      </c>
    </row>
    <row r="690" spans="1:2">
      <c r="A690" t="s">
        <v>3383</v>
      </c>
      <c r="B690" t="s">
        <v>3384</v>
      </c>
    </row>
    <row r="691" spans="1:2">
      <c r="A691" t="s">
        <v>3385</v>
      </c>
      <c r="B691" t="s">
        <v>3386</v>
      </c>
    </row>
    <row r="692" spans="1:2">
      <c r="A692" t="s">
        <v>3387</v>
      </c>
      <c r="B692" t="s">
        <v>3388</v>
      </c>
    </row>
    <row r="693" spans="1:2">
      <c r="A693" t="s">
        <v>3389</v>
      </c>
      <c r="B693" t="s">
        <v>3390</v>
      </c>
    </row>
    <row r="694" spans="1:2">
      <c r="A694" t="s">
        <v>3391</v>
      </c>
      <c r="B694" t="s">
        <v>3392</v>
      </c>
    </row>
    <row r="695" spans="1:2">
      <c r="A695" t="s">
        <v>3393</v>
      </c>
      <c r="B695" t="s">
        <v>3394</v>
      </c>
    </row>
    <row r="696" spans="1:2">
      <c r="A696" t="s">
        <v>3395</v>
      </c>
      <c r="B696" t="s">
        <v>3396</v>
      </c>
    </row>
    <row r="697" spans="1:2">
      <c r="A697" t="s">
        <v>3397</v>
      </c>
      <c r="B697" t="s">
        <v>3398</v>
      </c>
    </row>
    <row r="698" spans="1:2">
      <c r="A698" t="s">
        <v>3399</v>
      </c>
      <c r="B698" t="s">
        <v>3400</v>
      </c>
    </row>
    <row r="699" spans="1:2">
      <c r="A699" t="s">
        <v>3401</v>
      </c>
      <c r="B699" t="s">
        <v>3402</v>
      </c>
    </row>
    <row r="700" spans="1:2">
      <c r="A700" t="s">
        <v>3403</v>
      </c>
      <c r="B700" t="s">
        <v>3404</v>
      </c>
    </row>
    <row r="701" spans="1:2">
      <c r="A701" t="s">
        <v>3405</v>
      </c>
      <c r="B701" t="s">
        <v>3406</v>
      </c>
    </row>
    <row r="702" spans="1:2">
      <c r="A702" t="s">
        <v>3407</v>
      </c>
      <c r="B702" t="s">
        <v>3408</v>
      </c>
    </row>
    <row r="703" spans="1:2">
      <c r="A703" t="s">
        <v>3409</v>
      </c>
      <c r="B703" t="s">
        <v>3410</v>
      </c>
    </row>
    <row r="704" spans="1:2">
      <c r="A704" t="s">
        <v>3411</v>
      </c>
      <c r="B704" t="s">
        <v>3412</v>
      </c>
    </row>
    <row r="705" spans="1:2">
      <c r="A705">
        <v>20100101</v>
      </c>
      <c r="B705" t="s">
        <v>1662</v>
      </c>
    </row>
    <row r="706" spans="1:2">
      <c r="A706">
        <v>20100201</v>
      </c>
      <c r="B706" t="s">
        <v>1664</v>
      </c>
    </row>
    <row r="707" spans="1:2">
      <c r="A707">
        <v>20199901</v>
      </c>
      <c r="B707" t="s">
        <v>1666</v>
      </c>
    </row>
    <row r="708" spans="1:2">
      <c r="A708">
        <v>20500301</v>
      </c>
      <c r="B708" t="s">
        <v>1668</v>
      </c>
    </row>
    <row r="709" spans="1:2">
      <c r="A709">
        <v>20500302</v>
      </c>
      <c r="B709" t="s">
        <v>1670</v>
      </c>
    </row>
    <row r="710" spans="1:2">
      <c r="A710">
        <v>20500303</v>
      </c>
      <c r="B710" t="s">
        <v>1672</v>
      </c>
    </row>
    <row r="711" spans="1:2">
      <c r="A711">
        <v>20500304</v>
      </c>
      <c r="B711" t="s">
        <v>1674</v>
      </c>
    </row>
    <row r="712" spans="1:2">
      <c r="A712">
        <v>20500305</v>
      </c>
      <c r="B712" t="s">
        <v>1676</v>
      </c>
    </row>
    <row r="713" spans="1:2">
      <c r="A713">
        <v>20500306</v>
      </c>
      <c r="B713" t="s">
        <v>1678</v>
      </c>
    </row>
    <row r="714" spans="1:2">
      <c r="A714">
        <v>20500307</v>
      </c>
      <c r="B714" t="s">
        <v>1676</v>
      </c>
    </row>
    <row r="715" spans="1:2">
      <c r="A715">
        <v>20500308</v>
      </c>
      <c r="B715" t="s">
        <v>1681</v>
      </c>
    </row>
    <row r="716" spans="1:2">
      <c r="A716">
        <v>20500309</v>
      </c>
      <c r="B716" t="s">
        <v>1683</v>
      </c>
    </row>
    <row r="717" spans="1:2">
      <c r="A717">
        <v>20500401</v>
      </c>
      <c r="B717" t="s">
        <v>1701</v>
      </c>
    </row>
    <row r="718" spans="1:2">
      <c r="A718">
        <v>20500402</v>
      </c>
      <c r="B718" t="s">
        <v>1703</v>
      </c>
    </row>
    <row r="719" spans="1:2">
      <c r="A719">
        <v>20500403</v>
      </c>
      <c r="B719" t="s">
        <v>1705</v>
      </c>
    </row>
    <row r="720" spans="1:2">
      <c r="A720">
        <v>20500404</v>
      </c>
      <c r="B720" t="s">
        <v>1707</v>
      </c>
    </row>
    <row r="721" spans="1:2">
      <c r="A721">
        <v>20500405</v>
      </c>
      <c r="B721" t="s">
        <v>1709</v>
      </c>
    </row>
    <row r="722" spans="1:2">
      <c r="A722">
        <v>20500406</v>
      </c>
      <c r="B722" t="s">
        <v>1711</v>
      </c>
    </row>
    <row r="723" spans="1:2">
      <c r="A723">
        <v>20500407</v>
      </c>
      <c r="B723" t="s">
        <v>1713</v>
      </c>
    </row>
    <row r="724" spans="1:2">
      <c r="A724">
        <v>20500408</v>
      </c>
      <c r="B724" t="s">
        <v>1715</v>
      </c>
    </row>
    <row r="725" spans="1:2">
      <c r="A725">
        <v>20500409</v>
      </c>
      <c r="B725" t="s">
        <v>1717</v>
      </c>
    </row>
    <row r="726" spans="1:2">
      <c r="A726">
        <v>20599901</v>
      </c>
      <c r="B726" t="s">
        <v>1735</v>
      </c>
    </row>
    <row r="727" spans="1:2">
      <c r="A727">
        <v>20599902</v>
      </c>
      <c r="B727" t="s">
        <v>1737</v>
      </c>
    </row>
    <row r="728" spans="1:2">
      <c r="A728">
        <v>20599903</v>
      </c>
      <c r="B728" t="s">
        <v>1739</v>
      </c>
    </row>
    <row r="729" spans="1:2">
      <c r="A729">
        <v>20599904</v>
      </c>
      <c r="B729" t="s">
        <v>1741</v>
      </c>
    </row>
    <row r="730" spans="1:2">
      <c r="A730">
        <v>20599905</v>
      </c>
      <c r="B730" t="s">
        <v>1743</v>
      </c>
    </row>
    <row r="731" spans="1:2">
      <c r="A731">
        <v>20599906</v>
      </c>
      <c r="B731" t="s">
        <v>1745</v>
      </c>
    </row>
    <row r="732" spans="1:2">
      <c r="A732">
        <v>20599907</v>
      </c>
      <c r="B732" t="s">
        <v>1747</v>
      </c>
    </row>
    <row r="733" spans="1:2">
      <c r="A733">
        <v>20599908</v>
      </c>
      <c r="B733" t="s">
        <v>1749</v>
      </c>
    </row>
    <row r="734" spans="1:2">
      <c r="A734">
        <v>20599909</v>
      </c>
      <c r="B734" t="s">
        <v>1751</v>
      </c>
    </row>
    <row r="735" spans="1:2">
      <c r="A735">
        <v>20599910</v>
      </c>
      <c r="B735" t="s">
        <v>1753</v>
      </c>
    </row>
    <row r="736" spans="1:2">
      <c r="A736">
        <v>20599911</v>
      </c>
      <c r="B736" t="s">
        <v>1755</v>
      </c>
    </row>
    <row r="737" spans="1:2">
      <c r="A737">
        <v>20599912</v>
      </c>
      <c r="B737" t="s">
        <v>1757</v>
      </c>
    </row>
    <row r="738" spans="1:2">
      <c r="A738">
        <v>20599913</v>
      </c>
      <c r="B738" t="s">
        <v>1759</v>
      </c>
    </row>
    <row r="739" spans="1:2">
      <c r="A739">
        <v>20599914</v>
      </c>
      <c r="B739" t="s">
        <v>1761</v>
      </c>
    </row>
    <row r="740" spans="1:2">
      <c r="A740">
        <v>20599915</v>
      </c>
      <c r="B740" t="s">
        <v>1763</v>
      </c>
    </row>
    <row r="741" spans="1:2">
      <c r="A741">
        <v>20599916</v>
      </c>
      <c r="B741" t="s">
        <v>1765</v>
      </c>
    </row>
    <row r="742" spans="1:2">
      <c r="A742">
        <v>20599917</v>
      </c>
      <c r="B742" t="s">
        <v>1767</v>
      </c>
    </row>
    <row r="743" spans="1:2">
      <c r="A743">
        <v>20599918</v>
      </c>
      <c r="B743" t="s">
        <v>1769</v>
      </c>
    </row>
    <row r="744" spans="1:2">
      <c r="A744">
        <v>20599919</v>
      </c>
      <c r="B744" t="s">
        <v>1771</v>
      </c>
    </row>
    <row r="745" spans="1:2">
      <c r="A745">
        <v>20599920</v>
      </c>
      <c r="B745" t="s">
        <v>1773</v>
      </c>
    </row>
    <row r="746" spans="1:2">
      <c r="A746">
        <v>20599921</v>
      </c>
      <c r="B746" t="s">
        <v>1775</v>
      </c>
    </row>
    <row r="747" spans="1:2">
      <c r="A747">
        <v>20599922</v>
      </c>
      <c r="B747" t="s">
        <v>1777</v>
      </c>
    </row>
    <row r="748" spans="1:2">
      <c r="A748">
        <v>20599923</v>
      </c>
      <c r="B748" t="s">
        <v>1779</v>
      </c>
    </row>
    <row r="749" spans="1:2">
      <c r="A749">
        <v>20599924</v>
      </c>
      <c r="B749" t="s">
        <v>1781</v>
      </c>
    </row>
    <row r="750" spans="1:2">
      <c r="A750">
        <v>20599925</v>
      </c>
      <c r="B750" t="s">
        <v>1783</v>
      </c>
    </row>
    <row r="751" spans="1:2">
      <c r="A751">
        <v>20599926</v>
      </c>
      <c r="B751" t="s">
        <v>1785</v>
      </c>
    </row>
    <row r="752" spans="1:2">
      <c r="A752">
        <v>20599927</v>
      </c>
      <c r="B752" t="s">
        <v>1787</v>
      </c>
    </row>
    <row r="753" spans="1:2">
      <c r="A753">
        <v>20500310</v>
      </c>
      <c r="B753" t="s">
        <v>1685</v>
      </c>
    </row>
    <row r="754" spans="1:2">
      <c r="A754">
        <v>20500311</v>
      </c>
      <c r="B754" t="s">
        <v>1687</v>
      </c>
    </row>
    <row r="755" spans="1:2">
      <c r="A755">
        <v>20500312</v>
      </c>
      <c r="B755" t="s">
        <v>1689</v>
      </c>
    </row>
    <row r="756" spans="1:2">
      <c r="A756">
        <v>20500313</v>
      </c>
      <c r="B756" t="s">
        <v>1691</v>
      </c>
    </row>
    <row r="757" spans="1:2">
      <c r="A757">
        <v>20500314</v>
      </c>
      <c r="B757" t="s">
        <v>1693</v>
      </c>
    </row>
    <row r="758" spans="1:2">
      <c r="A758">
        <v>20500315</v>
      </c>
      <c r="B758" t="s">
        <v>1695</v>
      </c>
    </row>
    <row r="759" spans="1:2">
      <c r="A759">
        <v>20500316</v>
      </c>
      <c r="B759" t="s">
        <v>1697</v>
      </c>
    </row>
    <row r="760" spans="1:2">
      <c r="A760">
        <v>20500317</v>
      </c>
      <c r="B760" t="s">
        <v>1699</v>
      </c>
    </row>
    <row r="761" spans="1:2">
      <c r="A761">
        <v>20500410</v>
      </c>
      <c r="B761" t="s">
        <v>1719</v>
      </c>
    </row>
    <row r="762" spans="1:2">
      <c r="A762">
        <v>20500411</v>
      </c>
      <c r="B762" t="s">
        <v>1721</v>
      </c>
    </row>
    <row r="763" spans="1:2">
      <c r="A763">
        <v>20500412</v>
      </c>
      <c r="B763" t="s">
        <v>1723</v>
      </c>
    </row>
    <row r="764" spans="1:2">
      <c r="A764">
        <v>20500413</v>
      </c>
      <c r="B764" t="s">
        <v>1725</v>
      </c>
    </row>
    <row r="765" spans="1:2">
      <c r="A765">
        <v>20500414</v>
      </c>
      <c r="B765" t="s">
        <v>1727</v>
      </c>
    </row>
    <row r="766" spans="1:2">
      <c r="A766">
        <v>20500415</v>
      </c>
      <c r="B766" t="s">
        <v>1729</v>
      </c>
    </row>
    <row r="767" spans="1:2">
      <c r="A767">
        <v>20500416</v>
      </c>
      <c r="B767" t="s">
        <v>1731</v>
      </c>
    </row>
    <row r="768" spans="1:2">
      <c r="A768">
        <v>20500417</v>
      </c>
      <c r="B768" t="s">
        <v>1733</v>
      </c>
    </row>
    <row r="769" spans="1:2">
      <c r="A769">
        <v>20599928</v>
      </c>
      <c r="B769" t="s">
        <v>1789</v>
      </c>
    </row>
    <row r="770" spans="1:2">
      <c r="A770">
        <v>20599929</v>
      </c>
      <c r="B770" t="s">
        <v>1791</v>
      </c>
    </row>
    <row r="771" spans="1:2">
      <c r="A771">
        <v>20599930</v>
      </c>
      <c r="B771" t="s">
        <v>1793</v>
      </c>
    </row>
    <row r="772" spans="1:2">
      <c r="A772">
        <v>20599931</v>
      </c>
      <c r="B772" t="s">
        <v>1795</v>
      </c>
    </row>
    <row r="773" spans="1:2">
      <c r="A773">
        <v>20599932</v>
      </c>
      <c r="B773" t="s">
        <v>1797</v>
      </c>
    </row>
    <row r="774" spans="1:2">
      <c r="A774">
        <v>20599933</v>
      </c>
      <c r="B774" t="s">
        <v>1799</v>
      </c>
    </row>
    <row r="775" spans="1:2">
      <c r="A775">
        <v>20599934</v>
      </c>
      <c r="B775" t="s">
        <v>1801</v>
      </c>
    </row>
    <row r="776" spans="1:2">
      <c r="A776">
        <v>20599935</v>
      </c>
      <c r="B776" t="s">
        <v>1803</v>
      </c>
    </row>
    <row r="777" spans="1:2">
      <c r="A777">
        <v>21000501</v>
      </c>
      <c r="B777" t="s">
        <v>1805</v>
      </c>
    </row>
    <row r="778" spans="1:2">
      <c r="A778">
        <v>21000502</v>
      </c>
      <c r="B778" t="s">
        <v>1807</v>
      </c>
    </row>
    <row r="779" spans="1:2">
      <c r="A779">
        <v>21000503</v>
      </c>
      <c r="B779" t="s">
        <v>1809</v>
      </c>
    </row>
    <row r="780" spans="1:2">
      <c r="A780">
        <v>21000504</v>
      </c>
      <c r="B780" t="s">
        <v>1811</v>
      </c>
    </row>
    <row r="781" spans="1:2">
      <c r="A781">
        <v>21000505</v>
      </c>
      <c r="B781" t="s">
        <v>1813</v>
      </c>
    </row>
    <row r="782" spans="1:2">
      <c r="A782">
        <v>21000506</v>
      </c>
      <c r="B782" t="s">
        <v>1815</v>
      </c>
    </row>
    <row r="783" spans="1:2">
      <c r="A783">
        <v>21000507</v>
      </c>
      <c r="B783" t="s">
        <v>1817</v>
      </c>
    </row>
    <row r="784" spans="1:2">
      <c r="A784">
        <v>21000508</v>
      </c>
      <c r="B784" t="s">
        <v>1819</v>
      </c>
    </row>
    <row r="785" spans="1:2">
      <c r="A785">
        <v>21000509</v>
      </c>
      <c r="B785" t="s">
        <v>1821</v>
      </c>
    </row>
    <row r="786" spans="1:2">
      <c r="A786">
        <v>21000510</v>
      </c>
      <c r="B786" t="s">
        <v>1823</v>
      </c>
    </row>
    <row r="787" spans="1:2">
      <c r="A787">
        <v>21000511</v>
      </c>
      <c r="B787" t="s">
        <v>1825</v>
      </c>
    </row>
    <row r="788" spans="1:2">
      <c r="A788">
        <v>21000512</v>
      </c>
      <c r="B788" t="s">
        <v>1827</v>
      </c>
    </row>
    <row r="789" spans="1:2">
      <c r="A789">
        <v>21000513</v>
      </c>
      <c r="B789" t="s">
        <v>1829</v>
      </c>
    </row>
    <row r="790" spans="1:2">
      <c r="A790">
        <v>21000514</v>
      </c>
      <c r="B790" t="s">
        <v>1831</v>
      </c>
    </row>
    <row r="791" spans="1:2">
      <c r="A791">
        <v>21000515</v>
      </c>
      <c r="B791" t="s">
        <v>1833</v>
      </c>
    </row>
    <row r="792" spans="1:2">
      <c r="A792">
        <v>21000516</v>
      </c>
      <c r="B792" t="s">
        <v>1835</v>
      </c>
    </row>
    <row r="793" spans="1:2">
      <c r="A793">
        <v>21000517</v>
      </c>
      <c r="B793" t="s">
        <v>1837</v>
      </c>
    </row>
    <row r="794" spans="1:2">
      <c r="A794">
        <v>21000518</v>
      </c>
      <c r="B794" t="s">
        <v>1839</v>
      </c>
    </row>
    <row r="795" spans="1:2">
      <c r="A795">
        <v>21000519</v>
      </c>
      <c r="B795" t="s">
        <v>1841</v>
      </c>
    </row>
    <row r="796" spans="1:2">
      <c r="A796">
        <v>21000520</v>
      </c>
      <c r="B796" t="s">
        <v>1843</v>
      </c>
    </row>
    <row r="797" spans="1:2">
      <c r="A797">
        <v>21000521</v>
      </c>
      <c r="B797" t="s">
        <v>1845</v>
      </c>
    </row>
    <row r="798" spans="1:2">
      <c r="A798">
        <v>21000522</v>
      </c>
      <c r="B798" t="s">
        <v>1847</v>
      </c>
    </row>
    <row r="799" spans="1:2">
      <c r="A799">
        <v>21000523</v>
      </c>
      <c r="B799" t="s">
        <v>1849</v>
      </c>
    </row>
    <row r="800" spans="1:2">
      <c r="A800">
        <v>21000524</v>
      </c>
      <c r="B800" t="s">
        <v>1851</v>
      </c>
    </row>
    <row r="801" spans="1:2">
      <c r="A801">
        <v>21000525</v>
      </c>
      <c r="B801" t="s">
        <v>1853</v>
      </c>
    </row>
    <row r="802" spans="1:2">
      <c r="A802">
        <v>21000526</v>
      </c>
      <c r="B802" t="s">
        <v>1855</v>
      </c>
    </row>
    <row r="803" spans="1:2">
      <c r="A803">
        <v>21000527</v>
      </c>
      <c r="B803" t="s">
        <v>1857</v>
      </c>
    </row>
    <row r="804" spans="1:2">
      <c r="A804">
        <v>21000528</v>
      </c>
      <c r="B804" t="s">
        <v>1859</v>
      </c>
    </row>
    <row r="805" spans="1:2">
      <c r="A805">
        <v>21000529</v>
      </c>
      <c r="B805" t="s">
        <v>1861</v>
      </c>
    </row>
    <row r="806" spans="1:2">
      <c r="A806">
        <v>21000530</v>
      </c>
      <c r="B806" t="s">
        <v>1863</v>
      </c>
    </row>
    <row r="807" spans="1:2">
      <c r="A807">
        <v>21000531</v>
      </c>
      <c r="B807" t="s">
        <v>1865</v>
      </c>
    </row>
    <row r="808" spans="1:2">
      <c r="A808">
        <v>21000532</v>
      </c>
      <c r="B808" t="s">
        <v>1867</v>
      </c>
    </row>
    <row r="809" spans="1:2">
      <c r="A809">
        <v>22000601</v>
      </c>
      <c r="B809" t="s">
        <v>1869</v>
      </c>
    </row>
    <row r="810" spans="1:2">
      <c r="A810">
        <v>22000602</v>
      </c>
      <c r="B810" t="s">
        <v>1871</v>
      </c>
    </row>
    <row r="811" spans="1:2">
      <c r="A811">
        <v>22000603</v>
      </c>
      <c r="B811" t="s">
        <v>1873</v>
      </c>
    </row>
    <row r="812" spans="1:2">
      <c r="A812">
        <v>22000604</v>
      </c>
      <c r="B812" t="s">
        <v>1875</v>
      </c>
    </row>
    <row r="813" spans="1:2">
      <c r="A813">
        <v>22000605</v>
      </c>
      <c r="B813" t="s">
        <v>1877</v>
      </c>
    </row>
    <row r="814" spans="1:2">
      <c r="A814">
        <v>22000606</v>
      </c>
      <c r="B814" t="s">
        <v>1879</v>
      </c>
    </row>
    <row r="815" spans="1:2">
      <c r="A815">
        <v>22000607</v>
      </c>
      <c r="B815" t="s">
        <v>1881</v>
      </c>
    </row>
    <row r="816" spans="1:2">
      <c r="A816">
        <v>22000608</v>
      </c>
      <c r="B816" t="s">
        <v>1883</v>
      </c>
    </row>
    <row r="817" spans="1:2">
      <c r="A817">
        <v>22000609</v>
      </c>
      <c r="B817" t="s">
        <v>1885</v>
      </c>
    </row>
    <row r="818" spans="1:2">
      <c r="A818">
        <v>22000610</v>
      </c>
      <c r="B818" t="s">
        <v>1887</v>
      </c>
    </row>
    <row r="819" spans="1:2">
      <c r="A819">
        <v>22000611</v>
      </c>
      <c r="B819" t="s">
        <v>1889</v>
      </c>
    </row>
    <row r="820" spans="1:2">
      <c r="A820">
        <v>22000612</v>
      </c>
      <c r="B820" t="s">
        <v>1891</v>
      </c>
    </row>
    <row r="821" spans="1:2">
      <c r="A821">
        <v>22000613</v>
      </c>
      <c r="B821" t="s">
        <v>1893</v>
      </c>
    </row>
    <row r="822" spans="1:2">
      <c r="A822">
        <v>22000614</v>
      </c>
      <c r="B822" t="s">
        <v>1895</v>
      </c>
    </row>
    <row r="823" spans="1:2">
      <c r="A823">
        <v>22000615</v>
      </c>
      <c r="B823" t="s">
        <v>1897</v>
      </c>
    </row>
    <row r="824" spans="1:2">
      <c r="A824">
        <v>22000616</v>
      </c>
      <c r="B824" t="s">
        <v>1899</v>
      </c>
    </row>
    <row r="825" spans="1:2">
      <c r="A825">
        <v>22000617</v>
      </c>
      <c r="B825" t="s">
        <v>1901</v>
      </c>
    </row>
    <row r="826" spans="1:2">
      <c r="A826">
        <v>22500701</v>
      </c>
      <c r="B826" t="s">
        <v>1903</v>
      </c>
    </row>
    <row r="827" spans="1:2">
      <c r="A827">
        <v>22500702</v>
      </c>
      <c r="B827" t="s">
        <v>1905</v>
      </c>
    </row>
    <row r="828" spans="1:2">
      <c r="A828">
        <v>22500703</v>
      </c>
      <c r="B828" t="s">
        <v>1907</v>
      </c>
    </row>
    <row r="829" spans="1:2">
      <c r="A829">
        <v>22500704</v>
      </c>
      <c r="B829" t="s">
        <v>1909</v>
      </c>
    </row>
    <row r="830" spans="1:2">
      <c r="A830">
        <v>22500705</v>
      </c>
      <c r="B830" t="s">
        <v>1911</v>
      </c>
    </row>
    <row r="831" spans="1:2">
      <c r="A831">
        <v>22500706</v>
      </c>
      <c r="B831" t="s">
        <v>1913</v>
      </c>
    </row>
    <row r="832" spans="1:2">
      <c r="A832">
        <v>22500707</v>
      </c>
      <c r="B832" t="s">
        <v>1915</v>
      </c>
    </row>
    <row r="833" spans="1:2">
      <c r="A833">
        <v>22500708</v>
      </c>
      <c r="B833" t="s">
        <v>1917</v>
      </c>
    </row>
    <row r="834" spans="1:2">
      <c r="A834">
        <v>22500709</v>
      </c>
      <c r="B834" t="s">
        <v>1919</v>
      </c>
    </row>
    <row r="835" spans="1:2">
      <c r="A835">
        <v>22500710</v>
      </c>
      <c r="B835" t="s">
        <v>1905</v>
      </c>
    </row>
    <row r="836" spans="1:2">
      <c r="A836">
        <v>22500711</v>
      </c>
      <c r="B836" t="s">
        <v>1922</v>
      </c>
    </row>
    <row r="837" spans="1:2">
      <c r="A837">
        <v>22500712</v>
      </c>
      <c r="B837" t="s">
        <v>1924</v>
      </c>
    </row>
    <row r="838" spans="1:2">
      <c r="A838">
        <v>22500713</v>
      </c>
      <c r="B838" t="s">
        <v>1907</v>
      </c>
    </row>
    <row r="839" spans="1:2">
      <c r="A839">
        <v>22500714</v>
      </c>
      <c r="B839" t="s">
        <v>1909</v>
      </c>
    </row>
    <row r="840" spans="1:2">
      <c r="A840">
        <v>22500715</v>
      </c>
      <c r="B840" t="s">
        <v>1911</v>
      </c>
    </row>
    <row r="841" spans="1:2">
      <c r="A841">
        <v>22500716</v>
      </c>
      <c r="B841" t="s">
        <v>1913</v>
      </c>
    </row>
    <row r="842" spans="1:2">
      <c r="A842">
        <v>22500801</v>
      </c>
      <c r="B842" t="s">
        <v>1930</v>
      </c>
    </row>
    <row r="843" spans="1:2">
      <c r="A843">
        <v>22500802</v>
      </c>
      <c r="B843" t="s">
        <v>1932</v>
      </c>
    </row>
    <row r="844" spans="1:2">
      <c r="A844">
        <v>22500803</v>
      </c>
      <c r="B844" t="s">
        <v>1934</v>
      </c>
    </row>
    <row r="845" spans="1:2">
      <c r="A845">
        <v>22500804</v>
      </c>
      <c r="B845" t="s">
        <v>1936</v>
      </c>
    </row>
    <row r="846" spans="1:2">
      <c r="A846">
        <v>22500805</v>
      </c>
      <c r="B846" t="s">
        <v>1938</v>
      </c>
    </row>
    <row r="847" spans="1:2">
      <c r="A847">
        <v>22500806</v>
      </c>
      <c r="B847" t="s">
        <v>1940</v>
      </c>
    </row>
    <row r="848" spans="1:2">
      <c r="A848">
        <v>23000901</v>
      </c>
      <c r="B848" t="s">
        <v>1942</v>
      </c>
    </row>
    <row r="849" spans="1:2">
      <c r="A849">
        <v>23000902</v>
      </c>
      <c r="B849" t="s">
        <v>1944</v>
      </c>
    </row>
    <row r="850" spans="1:2">
      <c r="A850">
        <v>23000903</v>
      </c>
      <c r="B850" t="s">
        <v>1946</v>
      </c>
    </row>
    <row r="851" spans="1:2">
      <c r="A851">
        <v>23000904</v>
      </c>
      <c r="B851" t="s">
        <v>1948</v>
      </c>
    </row>
    <row r="852" spans="1:2">
      <c r="A852">
        <v>23000905</v>
      </c>
      <c r="B852" t="s">
        <v>1950</v>
      </c>
    </row>
    <row r="853" spans="1:2">
      <c r="A853">
        <v>23000906</v>
      </c>
      <c r="B853" t="s">
        <v>1952</v>
      </c>
    </row>
    <row r="854" spans="1:2">
      <c r="A854">
        <v>29901001</v>
      </c>
      <c r="B854" t="s">
        <v>1954</v>
      </c>
    </row>
    <row r="855" spans="1:2">
      <c r="A855" t="s">
        <v>3413</v>
      </c>
      <c r="B855" t="s">
        <v>3414</v>
      </c>
    </row>
    <row r="856" spans="1:2">
      <c r="A856" t="s">
        <v>3415</v>
      </c>
      <c r="B856" t="s">
        <v>3416</v>
      </c>
    </row>
    <row r="857" spans="1:2">
      <c r="A857" t="s">
        <v>3417</v>
      </c>
      <c r="B857" t="s">
        <v>3418</v>
      </c>
    </row>
    <row r="858" spans="1:2">
      <c r="A858" t="s">
        <v>3419</v>
      </c>
      <c r="B858" t="s">
        <v>3420</v>
      </c>
    </row>
    <row r="859" spans="1:2">
      <c r="A859" t="s">
        <v>3421</v>
      </c>
      <c r="B859" t="s">
        <v>3422</v>
      </c>
    </row>
    <row r="860" spans="1:2">
      <c r="A860" t="s">
        <v>3423</v>
      </c>
      <c r="B860" t="s">
        <v>3424</v>
      </c>
    </row>
    <row r="861" spans="1:2">
      <c r="A861" t="s">
        <v>3425</v>
      </c>
      <c r="B861" t="s">
        <v>3426</v>
      </c>
    </row>
    <row r="862" spans="1:2">
      <c r="A862" t="s">
        <v>3427</v>
      </c>
      <c r="B862" t="s">
        <v>3428</v>
      </c>
    </row>
    <row r="863" spans="1:2">
      <c r="A863" t="s">
        <v>3429</v>
      </c>
      <c r="B863" t="s">
        <v>3430</v>
      </c>
    </row>
    <row r="864" spans="1:2">
      <c r="A864" t="s">
        <v>3431</v>
      </c>
      <c r="B864" t="s">
        <v>3432</v>
      </c>
    </row>
    <row r="865" spans="1:2">
      <c r="A865" t="s">
        <v>3433</v>
      </c>
      <c r="B865" t="s">
        <v>3434</v>
      </c>
    </row>
    <row r="866" spans="1:2">
      <c r="A866" t="s">
        <v>3435</v>
      </c>
      <c r="B866" t="s">
        <v>3436</v>
      </c>
    </row>
    <row r="867" spans="1:2">
      <c r="A867" t="s">
        <v>3437</v>
      </c>
      <c r="B867" t="s">
        <v>3438</v>
      </c>
    </row>
    <row r="868" spans="1:2">
      <c r="A868" t="s">
        <v>3439</v>
      </c>
      <c r="B868" t="s">
        <v>3440</v>
      </c>
    </row>
    <row r="869" spans="1:2">
      <c r="A869" t="s">
        <v>3441</v>
      </c>
      <c r="B869" t="s">
        <v>3442</v>
      </c>
    </row>
    <row r="870" spans="1:2">
      <c r="A870" t="s">
        <v>3443</v>
      </c>
      <c r="B870" t="s">
        <v>3444</v>
      </c>
    </row>
    <row r="871" spans="1:2">
      <c r="A871" t="s">
        <v>3445</v>
      </c>
      <c r="B871" t="s">
        <v>3446</v>
      </c>
    </row>
    <row r="872" spans="1:2">
      <c r="A872" t="s">
        <v>3447</v>
      </c>
      <c r="B872" t="s">
        <v>3448</v>
      </c>
    </row>
    <row r="873" spans="1:2">
      <c r="A873">
        <v>30100101</v>
      </c>
      <c r="B873" t="s">
        <v>1956</v>
      </c>
    </row>
    <row r="874" spans="1:2">
      <c r="A874">
        <v>30100201</v>
      </c>
      <c r="B874" t="s">
        <v>1958</v>
      </c>
    </row>
    <row r="875" spans="1:2">
      <c r="A875">
        <v>30199901</v>
      </c>
      <c r="B875" t="s">
        <v>1960</v>
      </c>
    </row>
    <row r="876" spans="1:2">
      <c r="A876">
        <v>30500301</v>
      </c>
      <c r="B876" t="s">
        <v>1962</v>
      </c>
    </row>
    <row r="877" spans="1:2">
      <c r="A877">
        <v>30500302</v>
      </c>
      <c r="B877" t="s">
        <v>1964</v>
      </c>
    </row>
    <row r="878" spans="1:2">
      <c r="A878">
        <v>30500303</v>
      </c>
      <c r="B878" t="s">
        <v>1966</v>
      </c>
    </row>
    <row r="879" spans="1:2">
      <c r="A879">
        <v>30500304</v>
      </c>
      <c r="B879" t="s">
        <v>1968</v>
      </c>
    </row>
    <row r="880" spans="1:2">
      <c r="A880">
        <v>30500305</v>
      </c>
      <c r="B880" t="s">
        <v>1970</v>
      </c>
    </row>
    <row r="881" spans="1:2">
      <c r="A881">
        <v>30500306</v>
      </c>
      <c r="B881" t="s">
        <v>1972</v>
      </c>
    </row>
    <row r="882" spans="1:2">
      <c r="A882">
        <v>30500307</v>
      </c>
      <c r="B882" t="s">
        <v>1970</v>
      </c>
    </row>
    <row r="883" spans="1:2">
      <c r="A883">
        <v>30500308</v>
      </c>
      <c r="B883" t="s">
        <v>1975</v>
      </c>
    </row>
    <row r="884" spans="1:2">
      <c r="A884">
        <v>30500309</v>
      </c>
      <c r="B884" t="s">
        <v>1977</v>
      </c>
    </row>
    <row r="885" spans="1:2">
      <c r="A885">
        <v>30500401</v>
      </c>
      <c r="B885" t="s">
        <v>1995</v>
      </c>
    </row>
    <row r="886" spans="1:2">
      <c r="A886">
        <v>30500402</v>
      </c>
      <c r="B886" t="s">
        <v>1997</v>
      </c>
    </row>
    <row r="887" spans="1:2">
      <c r="A887">
        <v>30500403</v>
      </c>
      <c r="B887" t="s">
        <v>1999</v>
      </c>
    </row>
    <row r="888" spans="1:2">
      <c r="A888">
        <v>30500404</v>
      </c>
      <c r="B888" t="s">
        <v>2001</v>
      </c>
    </row>
    <row r="889" spans="1:2">
      <c r="A889">
        <v>30500405</v>
      </c>
      <c r="B889" t="s">
        <v>2003</v>
      </c>
    </row>
    <row r="890" spans="1:2">
      <c r="A890">
        <v>30500406</v>
      </c>
      <c r="B890" t="s">
        <v>2005</v>
      </c>
    </row>
    <row r="891" spans="1:2">
      <c r="A891">
        <v>30500407</v>
      </c>
      <c r="B891" t="s">
        <v>2007</v>
      </c>
    </row>
    <row r="892" spans="1:2">
      <c r="A892">
        <v>30500408</v>
      </c>
      <c r="B892" t="s">
        <v>2009</v>
      </c>
    </row>
    <row r="893" spans="1:2">
      <c r="A893">
        <v>30500409</v>
      </c>
      <c r="B893" t="s">
        <v>2011</v>
      </c>
    </row>
    <row r="894" spans="1:2">
      <c r="A894">
        <v>30599901</v>
      </c>
      <c r="B894" t="s">
        <v>2029</v>
      </c>
    </row>
    <row r="895" spans="1:2">
      <c r="A895">
        <v>30599902</v>
      </c>
      <c r="B895" t="s">
        <v>2031</v>
      </c>
    </row>
    <row r="896" spans="1:2">
      <c r="A896">
        <v>30599903</v>
      </c>
      <c r="B896" t="s">
        <v>2033</v>
      </c>
    </row>
    <row r="897" spans="1:2">
      <c r="A897">
        <v>30599904</v>
      </c>
      <c r="B897" t="s">
        <v>2035</v>
      </c>
    </row>
    <row r="898" spans="1:2">
      <c r="A898">
        <v>30599905</v>
      </c>
      <c r="B898" t="s">
        <v>2037</v>
      </c>
    </row>
    <row r="899" spans="1:2">
      <c r="A899">
        <v>30599906</v>
      </c>
      <c r="B899" t="s">
        <v>2039</v>
      </c>
    </row>
    <row r="900" spans="1:2">
      <c r="A900">
        <v>30599907</v>
      </c>
      <c r="B900" t="s">
        <v>2041</v>
      </c>
    </row>
    <row r="901" spans="1:2">
      <c r="A901">
        <v>30599908</v>
      </c>
      <c r="B901" t="s">
        <v>2043</v>
      </c>
    </row>
    <row r="902" spans="1:2">
      <c r="A902">
        <v>30599909</v>
      </c>
      <c r="B902" t="s">
        <v>2045</v>
      </c>
    </row>
    <row r="903" spans="1:2">
      <c r="A903">
        <v>30599910</v>
      </c>
      <c r="B903" t="s">
        <v>2047</v>
      </c>
    </row>
    <row r="904" spans="1:2">
      <c r="A904">
        <v>30599911</v>
      </c>
      <c r="B904" t="s">
        <v>2049</v>
      </c>
    </row>
    <row r="905" spans="1:2">
      <c r="A905">
        <v>30599912</v>
      </c>
      <c r="B905" t="s">
        <v>2051</v>
      </c>
    </row>
    <row r="906" spans="1:2">
      <c r="A906">
        <v>30599913</v>
      </c>
      <c r="B906" t="s">
        <v>2053</v>
      </c>
    </row>
    <row r="907" spans="1:2">
      <c r="A907">
        <v>30599914</v>
      </c>
      <c r="B907" t="s">
        <v>2055</v>
      </c>
    </row>
    <row r="908" spans="1:2">
      <c r="A908">
        <v>30599915</v>
      </c>
      <c r="B908" t="s">
        <v>2057</v>
      </c>
    </row>
    <row r="909" spans="1:2">
      <c r="A909">
        <v>30599916</v>
      </c>
      <c r="B909" t="s">
        <v>2059</v>
      </c>
    </row>
    <row r="910" spans="1:2">
      <c r="A910">
        <v>30599917</v>
      </c>
      <c r="B910" t="s">
        <v>2061</v>
      </c>
    </row>
    <row r="911" spans="1:2">
      <c r="A911">
        <v>30599918</v>
      </c>
      <c r="B911" t="s">
        <v>2063</v>
      </c>
    </row>
    <row r="912" spans="1:2">
      <c r="A912">
        <v>30599919</v>
      </c>
      <c r="B912" t="s">
        <v>2065</v>
      </c>
    </row>
    <row r="913" spans="1:2">
      <c r="A913">
        <v>30599920</v>
      </c>
      <c r="B913" t="s">
        <v>2067</v>
      </c>
    </row>
    <row r="914" spans="1:2">
      <c r="A914">
        <v>30599921</v>
      </c>
      <c r="B914" t="s">
        <v>2069</v>
      </c>
    </row>
    <row r="915" spans="1:2">
      <c r="A915">
        <v>30599922</v>
      </c>
      <c r="B915" t="s">
        <v>2071</v>
      </c>
    </row>
    <row r="916" spans="1:2">
      <c r="A916">
        <v>30599923</v>
      </c>
      <c r="B916" t="s">
        <v>2073</v>
      </c>
    </row>
    <row r="917" spans="1:2">
      <c r="A917">
        <v>30599924</v>
      </c>
      <c r="B917" t="s">
        <v>2075</v>
      </c>
    </row>
    <row r="918" spans="1:2">
      <c r="A918">
        <v>30599925</v>
      </c>
      <c r="B918" t="s">
        <v>2077</v>
      </c>
    </row>
    <row r="919" spans="1:2">
      <c r="A919">
        <v>30599926</v>
      </c>
      <c r="B919" t="s">
        <v>2079</v>
      </c>
    </row>
    <row r="920" spans="1:2">
      <c r="A920">
        <v>30599927</v>
      </c>
      <c r="B920" t="s">
        <v>2081</v>
      </c>
    </row>
    <row r="921" spans="1:2">
      <c r="A921">
        <v>30500310</v>
      </c>
      <c r="B921" t="s">
        <v>1979</v>
      </c>
    </row>
    <row r="922" spans="1:2">
      <c r="A922">
        <v>30500311</v>
      </c>
      <c r="B922" t="s">
        <v>1981</v>
      </c>
    </row>
    <row r="923" spans="1:2">
      <c r="A923">
        <v>30500312</v>
      </c>
      <c r="B923" t="s">
        <v>1983</v>
      </c>
    </row>
    <row r="924" spans="1:2">
      <c r="A924">
        <v>30500313</v>
      </c>
      <c r="B924" t="s">
        <v>1985</v>
      </c>
    </row>
    <row r="925" spans="1:2">
      <c r="A925">
        <v>30500314</v>
      </c>
      <c r="B925" t="s">
        <v>1987</v>
      </c>
    </row>
    <row r="926" spans="1:2">
      <c r="A926">
        <v>30500315</v>
      </c>
      <c r="B926" t="s">
        <v>1989</v>
      </c>
    </row>
    <row r="927" spans="1:2">
      <c r="A927">
        <v>30500316</v>
      </c>
      <c r="B927" t="s">
        <v>1991</v>
      </c>
    </row>
    <row r="928" spans="1:2">
      <c r="A928">
        <v>30500317</v>
      </c>
      <c r="B928" t="s">
        <v>1993</v>
      </c>
    </row>
    <row r="929" spans="1:2">
      <c r="A929">
        <v>30500410</v>
      </c>
      <c r="B929" t="s">
        <v>2013</v>
      </c>
    </row>
    <row r="930" spans="1:2">
      <c r="A930">
        <v>30500411</v>
      </c>
      <c r="B930" t="s">
        <v>2015</v>
      </c>
    </row>
    <row r="931" spans="1:2">
      <c r="A931">
        <v>30500412</v>
      </c>
      <c r="B931" t="s">
        <v>2017</v>
      </c>
    </row>
    <row r="932" spans="1:2">
      <c r="A932">
        <v>30500413</v>
      </c>
      <c r="B932" t="s">
        <v>2019</v>
      </c>
    </row>
    <row r="933" spans="1:2">
      <c r="A933">
        <v>30500414</v>
      </c>
      <c r="B933" t="s">
        <v>2021</v>
      </c>
    </row>
    <row r="934" spans="1:2">
      <c r="A934">
        <v>30500415</v>
      </c>
      <c r="B934" t="s">
        <v>2023</v>
      </c>
    </row>
    <row r="935" spans="1:2">
      <c r="A935">
        <v>30500416</v>
      </c>
      <c r="B935" t="s">
        <v>2025</v>
      </c>
    </row>
    <row r="936" spans="1:2">
      <c r="A936">
        <v>30500417</v>
      </c>
      <c r="B936" t="s">
        <v>2027</v>
      </c>
    </row>
    <row r="937" spans="1:2">
      <c r="A937">
        <v>30599928</v>
      </c>
      <c r="B937" t="s">
        <v>2083</v>
      </c>
    </row>
    <row r="938" spans="1:2">
      <c r="A938">
        <v>30599929</v>
      </c>
      <c r="B938" t="s">
        <v>2085</v>
      </c>
    </row>
    <row r="939" spans="1:2">
      <c r="A939">
        <v>30599930</v>
      </c>
      <c r="B939" t="s">
        <v>2087</v>
      </c>
    </row>
    <row r="940" spans="1:2">
      <c r="A940">
        <v>30599931</v>
      </c>
      <c r="B940" t="s">
        <v>2089</v>
      </c>
    </row>
    <row r="941" spans="1:2">
      <c r="A941">
        <v>30599932</v>
      </c>
      <c r="B941" t="s">
        <v>2091</v>
      </c>
    </row>
    <row r="942" spans="1:2">
      <c r="A942">
        <v>30599933</v>
      </c>
      <c r="B942" t="s">
        <v>2093</v>
      </c>
    </row>
    <row r="943" spans="1:2">
      <c r="A943">
        <v>30599934</v>
      </c>
      <c r="B943" t="s">
        <v>2095</v>
      </c>
    </row>
    <row r="944" spans="1:2">
      <c r="A944">
        <v>30599935</v>
      </c>
      <c r="B944" t="s">
        <v>2097</v>
      </c>
    </row>
    <row r="945" spans="1:2">
      <c r="A945">
        <v>31000501</v>
      </c>
      <c r="B945" t="s">
        <v>2099</v>
      </c>
    </row>
    <row r="946" spans="1:2">
      <c r="A946">
        <v>31000502</v>
      </c>
      <c r="B946" t="s">
        <v>2101</v>
      </c>
    </row>
    <row r="947" spans="1:2">
      <c r="A947">
        <v>31000503</v>
      </c>
      <c r="B947" t="s">
        <v>2103</v>
      </c>
    </row>
    <row r="948" spans="1:2">
      <c r="A948">
        <v>31000504</v>
      </c>
      <c r="B948" t="s">
        <v>2105</v>
      </c>
    </row>
    <row r="949" spans="1:2">
      <c r="A949">
        <v>31000505</v>
      </c>
      <c r="B949" t="s">
        <v>2107</v>
      </c>
    </row>
    <row r="950" spans="1:2">
      <c r="A950">
        <v>31000506</v>
      </c>
      <c r="B950" t="s">
        <v>2109</v>
      </c>
    </row>
    <row r="951" spans="1:2">
      <c r="A951">
        <v>31000507</v>
      </c>
      <c r="B951" t="s">
        <v>2111</v>
      </c>
    </row>
    <row r="952" spans="1:2">
      <c r="A952">
        <v>31000508</v>
      </c>
      <c r="B952" t="s">
        <v>2113</v>
      </c>
    </row>
    <row r="953" spans="1:2">
      <c r="A953">
        <v>31000509</v>
      </c>
      <c r="B953" t="s">
        <v>2115</v>
      </c>
    </row>
    <row r="954" spans="1:2">
      <c r="A954">
        <v>31000510</v>
      </c>
      <c r="B954" t="s">
        <v>2117</v>
      </c>
    </row>
    <row r="955" spans="1:2">
      <c r="A955">
        <v>31000511</v>
      </c>
      <c r="B955" t="s">
        <v>2119</v>
      </c>
    </row>
    <row r="956" spans="1:2">
      <c r="A956">
        <v>31000512</v>
      </c>
      <c r="B956" t="s">
        <v>2121</v>
      </c>
    </row>
    <row r="957" spans="1:2">
      <c r="A957">
        <v>31000513</v>
      </c>
      <c r="B957" t="s">
        <v>2123</v>
      </c>
    </row>
    <row r="958" spans="1:2">
      <c r="A958">
        <v>31000514</v>
      </c>
      <c r="B958" t="s">
        <v>2125</v>
      </c>
    </row>
    <row r="959" spans="1:2">
      <c r="A959">
        <v>31000515</v>
      </c>
      <c r="B959" t="s">
        <v>2127</v>
      </c>
    </row>
    <row r="960" spans="1:2">
      <c r="A960">
        <v>31000516</v>
      </c>
      <c r="B960" t="s">
        <v>2129</v>
      </c>
    </row>
    <row r="961" spans="1:2">
      <c r="A961">
        <v>31000517</v>
      </c>
      <c r="B961" t="s">
        <v>2131</v>
      </c>
    </row>
    <row r="962" spans="1:2">
      <c r="A962">
        <v>31000518</v>
      </c>
      <c r="B962" t="s">
        <v>2133</v>
      </c>
    </row>
    <row r="963" spans="1:2">
      <c r="A963">
        <v>31000519</v>
      </c>
      <c r="B963" t="s">
        <v>2135</v>
      </c>
    </row>
    <row r="964" spans="1:2">
      <c r="A964">
        <v>31000520</v>
      </c>
      <c r="B964" t="s">
        <v>2137</v>
      </c>
    </row>
    <row r="965" spans="1:2">
      <c r="A965">
        <v>31000521</v>
      </c>
      <c r="B965" t="s">
        <v>2139</v>
      </c>
    </row>
    <row r="966" spans="1:2">
      <c r="A966">
        <v>31000522</v>
      </c>
      <c r="B966" t="s">
        <v>2141</v>
      </c>
    </row>
    <row r="967" spans="1:2">
      <c r="A967">
        <v>31000523</v>
      </c>
      <c r="B967" t="s">
        <v>2143</v>
      </c>
    </row>
    <row r="968" spans="1:2">
      <c r="A968">
        <v>31000524</v>
      </c>
      <c r="B968" t="s">
        <v>2145</v>
      </c>
    </row>
    <row r="969" spans="1:2">
      <c r="A969">
        <v>31000525</v>
      </c>
      <c r="B969" t="s">
        <v>2147</v>
      </c>
    </row>
    <row r="970" spans="1:2">
      <c r="A970">
        <v>31000526</v>
      </c>
      <c r="B970" t="s">
        <v>2149</v>
      </c>
    </row>
    <row r="971" spans="1:2">
      <c r="A971">
        <v>31000527</v>
      </c>
      <c r="B971" t="s">
        <v>2151</v>
      </c>
    </row>
    <row r="972" spans="1:2">
      <c r="A972">
        <v>31000528</v>
      </c>
      <c r="B972" t="s">
        <v>2153</v>
      </c>
    </row>
    <row r="973" spans="1:2">
      <c r="A973">
        <v>31000529</v>
      </c>
      <c r="B973" t="s">
        <v>2155</v>
      </c>
    </row>
    <row r="974" spans="1:2">
      <c r="A974">
        <v>31000530</v>
      </c>
      <c r="B974" t="s">
        <v>2157</v>
      </c>
    </row>
    <row r="975" spans="1:2">
      <c r="A975">
        <v>31000531</v>
      </c>
      <c r="B975" t="s">
        <v>2159</v>
      </c>
    </row>
    <row r="976" spans="1:2">
      <c r="A976">
        <v>31000532</v>
      </c>
      <c r="B976" t="s">
        <v>2161</v>
      </c>
    </row>
    <row r="977" spans="1:2">
      <c r="A977">
        <v>32000601</v>
      </c>
      <c r="B977" t="s">
        <v>2163</v>
      </c>
    </row>
    <row r="978" spans="1:2">
      <c r="A978">
        <v>32000602</v>
      </c>
      <c r="B978" t="s">
        <v>2165</v>
      </c>
    </row>
    <row r="979" spans="1:2">
      <c r="A979">
        <v>32000603</v>
      </c>
      <c r="B979" t="s">
        <v>2167</v>
      </c>
    </row>
    <row r="980" spans="1:2">
      <c r="A980">
        <v>32000604</v>
      </c>
      <c r="B980" t="s">
        <v>2169</v>
      </c>
    </row>
    <row r="981" spans="1:2">
      <c r="A981">
        <v>32000605</v>
      </c>
      <c r="B981" t="s">
        <v>2171</v>
      </c>
    </row>
    <row r="982" spans="1:2">
      <c r="A982">
        <v>32000606</v>
      </c>
      <c r="B982" t="s">
        <v>2173</v>
      </c>
    </row>
    <row r="983" spans="1:2">
      <c r="A983">
        <v>32000607</v>
      </c>
      <c r="B983" t="s">
        <v>2175</v>
      </c>
    </row>
    <row r="984" spans="1:2">
      <c r="A984">
        <v>32000608</v>
      </c>
      <c r="B984" t="s">
        <v>2177</v>
      </c>
    </row>
    <row r="985" spans="1:2">
      <c r="A985">
        <v>32000609</v>
      </c>
      <c r="B985" t="s">
        <v>2179</v>
      </c>
    </row>
    <row r="986" spans="1:2">
      <c r="A986">
        <v>32000610</v>
      </c>
      <c r="B986" t="s">
        <v>2181</v>
      </c>
    </row>
    <row r="987" spans="1:2">
      <c r="A987">
        <v>32000611</v>
      </c>
      <c r="B987" t="s">
        <v>2183</v>
      </c>
    </row>
    <row r="988" spans="1:2">
      <c r="A988">
        <v>32000612</v>
      </c>
      <c r="B988" t="s">
        <v>2185</v>
      </c>
    </row>
    <row r="989" spans="1:2">
      <c r="A989">
        <v>32000613</v>
      </c>
      <c r="B989" t="s">
        <v>2187</v>
      </c>
    </row>
    <row r="990" spans="1:2">
      <c r="A990">
        <v>32000614</v>
      </c>
      <c r="B990" t="s">
        <v>2189</v>
      </c>
    </row>
    <row r="991" spans="1:2">
      <c r="A991">
        <v>32000615</v>
      </c>
      <c r="B991" t="s">
        <v>2191</v>
      </c>
    </row>
    <row r="992" spans="1:2">
      <c r="A992">
        <v>32000616</v>
      </c>
      <c r="B992" t="s">
        <v>2193</v>
      </c>
    </row>
    <row r="993" spans="1:2">
      <c r="A993">
        <v>32000617</v>
      </c>
      <c r="B993" t="s">
        <v>2195</v>
      </c>
    </row>
    <row r="994" spans="1:2">
      <c r="A994">
        <v>32500701</v>
      </c>
      <c r="B994" t="s">
        <v>2197</v>
      </c>
    </row>
    <row r="995" spans="1:2">
      <c r="A995">
        <v>32500702</v>
      </c>
      <c r="B995" t="s">
        <v>2199</v>
      </c>
    </row>
    <row r="996" spans="1:2">
      <c r="A996">
        <v>32500703</v>
      </c>
      <c r="B996" t="s">
        <v>2201</v>
      </c>
    </row>
    <row r="997" spans="1:2">
      <c r="A997">
        <v>32500704</v>
      </c>
      <c r="B997" t="s">
        <v>2203</v>
      </c>
    </row>
    <row r="998" spans="1:2">
      <c r="A998">
        <v>32500705</v>
      </c>
      <c r="B998" t="s">
        <v>2205</v>
      </c>
    </row>
    <row r="999" spans="1:2">
      <c r="A999">
        <v>32500706</v>
      </c>
      <c r="B999" t="s">
        <v>2207</v>
      </c>
    </row>
    <row r="1000" spans="1:2">
      <c r="A1000">
        <v>32500707</v>
      </c>
      <c r="B1000" t="s">
        <v>2209</v>
      </c>
    </row>
    <row r="1001" spans="1:2">
      <c r="A1001">
        <v>32500708</v>
      </c>
      <c r="B1001" t="s">
        <v>2211</v>
      </c>
    </row>
    <row r="1002" spans="1:2">
      <c r="A1002">
        <v>32500709</v>
      </c>
      <c r="B1002" t="s">
        <v>2213</v>
      </c>
    </row>
    <row r="1003" spans="1:2">
      <c r="A1003">
        <v>32500710</v>
      </c>
      <c r="B1003" t="s">
        <v>2199</v>
      </c>
    </row>
    <row r="1004" spans="1:2">
      <c r="A1004">
        <v>32500711</v>
      </c>
      <c r="B1004" t="s">
        <v>2216</v>
      </c>
    </row>
    <row r="1005" spans="1:2">
      <c r="A1005">
        <v>32500712</v>
      </c>
      <c r="B1005" t="s">
        <v>2218</v>
      </c>
    </row>
    <row r="1006" spans="1:2">
      <c r="A1006">
        <v>32500713</v>
      </c>
      <c r="B1006" t="s">
        <v>2201</v>
      </c>
    </row>
    <row r="1007" spans="1:2">
      <c r="A1007">
        <v>32500714</v>
      </c>
      <c r="B1007" t="s">
        <v>2203</v>
      </c>
    </row>
    <row r="1008" spans="1:2">
      <c r="A1008">
        <v>32500715</v>
      </c>
      <c r="B1008" t="s">
        <v>2205</v>
      </c>
    </row>
    <row r="1009" spans="1:2">
      <c r="A1009">
        <v>32500716</v>
      </c>
      <c r="B1009" t="s">
        <v>2207</v>
      </c>
    </row>
    <row r="1010" spans="1:2">
      <c r="A1010">
        <v>32500801</v>
      </c>
      <c r="B1010" t="s">
        <v>2224</v>
      </c>
    </row>
    <row r="1011" spans="1:2">
      <c r="A1011">
        <v>32500802</v>
      </c>
      <c r="B1011" t="s">
        <v>2226</v>
      </c>
    </row>
    <row r="1012" spans="1:2">
      <c r="A1012">
        <v>32500803</v>
      </c>
      <c r="B1012" t="s">
        <v>2228</v>
      </c>
    </row>
    <row r="1013" spans="1:2">
      <c r="A1013">
        <v>32500804</v>
      </c>
      <c r="B1013" t="s">
        <v>2230</v>
      </c>
    </row>
    <row r="1014" spans="1:2">
      <c r="A1014">
        <v>32500805</v>
      </c>
      <c r="B1014" t="s">
        <v>2232</v>
      </c>
    </row>
    <row r="1015" spans="1:2">
      <c r="A1015">
        <v>32500806</v>
      </c>
      <c r="B1015" t="s">
        <v>2234</v>
      </c>
    </row>
    <row r="1016" spans="1:2">
      <c r="A1016">
        <v>33000901</v>
      </c>
      <c r="B1016" t="s">
        <v>2236</v>
      </c>
    </row>
    <row r="1017" spans="1:2">
      <c r="A1017">
        <v>33000902</v>
      </c>
      <c r="B1017" t="s">
        <v>2238</v>
      </c>
    </row>
    <row r="1018" spans="1:2">
      <c r="A1018">
        <v>33000903</v>
      </c>
      <c r="B1018" t="s">
        <v>2240</v>
      </c>
    </row>
    <row r="1019" spans="1:2">
      <c r="A1019">
        <v>33000904</v>
      </c>
      <c r="B1019" t="s">
        <v>2242</v>
      </c>
    </row>
    <row r="1020" spans="1:2">
      <c r="A1020">
        <v>33000905</v>
      </c>
      <c r="B1020" t="s">
        <v>2244</v>
      </c>
    </row>
    <row r="1021" spans="1:2">
      <c r="A1021">
        <v>33000906</v>
      </c>
      <c r="B1021" t="s">
        <v>2246</v>
      </c>
    </row>
    <row r="1022" spans="1:2">
      <c r="A1022">
        <v>39901001</v>
      </c>
      <c r="B1022" t="s">
        <v>2248</v>
      </c>
    </row>
    <row r="1023" spans="1:2">
      <c r="A1023" t="s">
        <v>3449</v>
      </c>
      <c r="B1023" t="s">
        <v>3450</v>
      </c>
    </row>
    <row r="1024" spans="1:2">
      <c r="A1024" t="s">
        <v>3451</v>
      </c>
      <c r="B1024" t="s">
        <v>3452</v>
      </c>
    </row>
    <row r="1025" spans="1:2">
      <c r="A1025" t="s">
        <v>3453</v>
      </c>
      <c r="B1025" t="s">
        <v>3454</v>
      </c>
    </row>
    <row r="1026" spans="1:2">
      <c r="A1026" t="s">
        <v>3455</v>
      </c>
      <c r="B1026" t="s">
        <v>3456</v>
      </c>
    </row>
    <row r="1027" spans="1:2">
      <c r="A1027" t="s">
        <v>3457</v>
      </c>
      <c r="B1027" t="s">
        <v>3458</v>
      </c>
    </row>
    <row r="1028" spans="1:2">
      <c r="A1028" t="s">
        <v>3459</v>
      </c>
      <c r="B1028" t="s">
        <v>3460</v>
      </c>
    </row>
    <row r="1029" spans="1:2">
      <c r="A1029" t="s">
        <v>3461</v>
      </c>
      <c r="B1029" t="s">
        <v>3462</v>
      </c>
    </row>
    <row r="1030" spans="1:2">
      <c r="A1030" t="s">
        <v>3463</v>
      </c>
      <c r="B1030" t="s">
        <v>3464</v>
      </c>
    </row>
    <row r="1031" spans="1:2">
      <c r="A1031" t="s">
        <v>3465</v>
      </c>
      <c r="B1031" t="s">
        <v>3466</v>
      </c>
    </row>
    <row r="1032" spans="1:2">
      <c r="A1032" t="s">
        <v>3467</v>
      </c>
      <c r="B1032" t="s">
        <v>3468</v>
      </c>
    </row>
    <row r="1033" spans="1:2">
      <c r="A1033" t="s">
        <v>3469</v>
      </c>
      <c r="B1033" t="s">
        <v>3470</v>
      </c>
    </row>
    <row r="1034" spans="1:2">
      <c r="A1034" t="s">
        <v>3471</v>
      </c>
      <c r="B1034" t="s">
        <v>3472</v>
      </c>
    </row>
    <row r="1035" spans="1:2">
      <c r="A1035" t="s">
        <v>3473</v>
      </c>
      <c r="B1035" t="s">
        <v>3474</v>
      </c>
    </row>
    <row r="1036" spans="1:2">
      <c r="A1036" t="s">
        <v>3475</v>
      </c>
      <c r="B1036" t="s">
        <v>3476</v>
      </c>
    </row>
    <row r="1037" spans="1:2">
      <c r="A1037" t="s">
        <v>3477</v>
      </c>
      <c r="B1037" t="s">
        <v>3478</v>
      </c>
    </row>
    <row r="1038" spans="1:2">
      <c r="A1038" t="s">
        <v>3479</v>
      </c>
      <c r="B1038" t="s">
        <v>3480</v>
      </c>
    </row>
    <row r="1039" spans="1:2">
      <c r="A1039" t="s">
        <v>3481</v>
      </c>
      <c r="B1039" t="s">
        <v>3482</v>
      </c>
    </row>
    <row r="1040" spans="1:2">
      <c r="A1040" t="s">
        <v>3483</v>
      </c>
      <c r="B1040" t="s">
        <v>3484</v>
      </c>
    </row>
    <row r="1041" spans="1:2">
      <c r="A1041">
        <v>40100101</v>
      </c>
      <c r="B1041" t="s">
        <v>2250</v>
      </c>
    </row>
    <row r="1042" spans="1:2">
      <c r="A1042">
        <v>40100201</v>
      </c>
      <c r="B1042" t="s">
        <v>2252</v>
      </c>
    </row>
    <row r="1043" spans="1:2">
      <c r="A1043">
        <v>40199901</v>
      </c>
      <c r="B1043" t="s">
        <v>2254</v>
      </c>
    </row>
    <row r="1044" spans="1:2">
      <c r="A1044">
        <v>40500301</v>
      </c>
      <c r="B1044" t="s">
        <v>2256</v>
      </c>
    </row>
    <row r="1045" spans="1:2">
      <c r="A1045">
        <v>40500302</v>
      </c>
      <c r="B1045" t="s">
        <v>2258</v>
      </c>
    </row>
    <row r="1046" spans="1:2">
      <c r="A1046">
        <v>40500303</v>
      </c>
      <c r="B1046" t="s">
        <v>2260</v>
      </c>
    </row>
    <row r="1047" spans="1:2">
      <c r="A1047">
        <v>40500304</v>
      </c>
      <c r="B1047" t="s">
        <v>2262</v>
      </c>
    </row>
    <row r="1048" spans="1:2">
      <c r="A1048">
        <v>40500305</v>
      </c>
      <c r="B1048" t="s">
        <v>2264</v>
      </c>
    </row>
    <row r="1049" spans="1:2">
      <c r="A1049">
        <v>40500306</v>
      </c>
      <c r="B1049" t="s">
        <v>2266</v>
      </c>
    </row>
    <row r="1050" spans="1:2">
      <c r="A1050">
        <v>40500307</v>
      </c>
      <c r="B1050" t="s">
        <v>2264</v>
      </c>
    </row>
    <row r="1051" spans="1:2">
      <c r="A1051">
        <v>40500308</v>
      </c>
      <c r="B1051" t="s">
        <v>2269</v>
      </c>
    </row>
    <row r="1052" spans="1:2">
      <c r="A1052">
        <v>40500309</v>
      </c>
      <c r="B1052" t="s">
        <v>2271</v>
      </c>
    </row>
    <row r="1053" spans="1:2">
      <c r="A1053">
        <v>40500401</v>
      </c>
      <c r="B1053" t="s">
        <v>2289</v>
      </c>
    </row>
    <row r="1054" spans="1:2">
      <c r="A1054">
        <v>40500402</v>
      </c>
      <c r="B1054" t="s">
        <v>2291</v>
      </c>
    </row>
    <row r="1055" spans="1:2">
      <c r="A1055">
        <v>40500403</v>
      </c>
      <c r="B1055" t="s">
        <v>2293</v>
      </c>
    </row>
    <row r="1056" spans="1:2">
      <c r="A1056">
        <v>40500404</v>
      </c>
      <c r="B1056" t="s">
        <v>2295</v>
      </c>
    </row>
    <row r="1057" spans="1:2">
      <c r="A1057">
        <v>40500405</v>
      </c>
      <c r="B1057" t="s">
        <v>2297</v>
      </c>
    </row>
    <row r="1058" spans="1:2">
      <c r="A1058">
        <v>40500406</v>
      </c>
      <c r="B1058" t="s">
        <v>2299</v>
      </c>
    </row>
    <row r="1059" spans="1:2">
      <c r="A1059">
        <v>40500407</v>
      </c>
      <c r="B1059" t="s">
        <v>2301</v>
      </c>
    </row>
    <row r="1060" spans="1:2">
      <c r="A1060">
        <v>40500408</v>
      </c>
      <c r="B1060" t="s">
        <v>2303</v>
      </c>
    </row>
    <row r="1061" spans="1:2">
      <c r="A1061">
        <v>40500409</v>
      </c>
      <c r="B1061" t="s">
        <v>2305</v>
      </c>
    </row>
    <row r="1062" spans="1:2">
      <c r="A1062">
        <v>40599901</v>
      </c>
      <c r="B1062" t="s">
        <v>2323</v>
      </c>
    </row>
    <row r="1063" spans="1:2">
      <c r="A1063">
        <v>40599902</v>
      </c>
      <c r="B1063" t="s">
        <v>2325</v>
      </c>
    </row>
    <row r="1064" spans="1:2">
      <c r="A1064">
        <v>40599903</v>
      </c>
      <c r="B1064" t="s">
        <v>2327</v>
      </c>
    </row>
    <row r="1065" spans="1:2">
      <c r="A1065">
        <v>40599904</v>
      </c>
      <c r="B1065" t="s">
        <v>2329</v>
      </c>
    </row>
    <row r="1066" spans="1:2">
      <c r="A1066">
        <v>40599905</v>
      </c>
      <c r="B1066" t="s">
        <v>2331</v>
      </c>
    </row>
    <row r="1067" spans="1:2">
      <c r="A1067">
        <v>40599906</v>
      </c>
      <c r="B1067" t="s">
        <v>2333</v>
      </c>
    </row>
    <row r="1068" spans="1:2">
      <c r="A1068">
        <v>40599907</v>
      </c>
      <c r="B1068" t="s">
        <v>2335</v>
      </c>
    </row>
    <row r="1069" spans="1:2">
      <c r="A1069">
        <v>40599908</v>
      </c>
      <c r="B1069" t="s">
        <v>2337</v>
      </c>
    </row>
    <row r="1070" spans="1:2">
      <c r="A1070">
        <v>40599909</v>
      </c>
      <c r="B1070" t="s">
        <v>2339</v>
      </c>
    </row>
    <row r="1071" spans="1:2">
      <c r="A1071">
        <v>40599910</v>
      </c>
      <c r="B1071" t="s">
        <v>2341</v>
      </c>
    </row>
    <row r="1072" spans="1:2">
      <c r="A1072">
        <v>40599911</v>
      </c>
      <c r="B1072" t="s">
        <v>2343</v>
      </c>
    </row>
    <row r="1073" spans="1:2">
      <c r="A1073">
        <v>40599912</v>
      </c>
      <c r="B1073" t="s">
        <v>2345</v>
      </c>
    </row>
    <row r="1074" spans="1:2">
      <c r="A1074">
        <v>40599913</v>
      </c>
      <c r="B1074" t="s">
        <v>2347</v>
      </c>
    </row>
    <row r="1075" spans="1:2">
      <c r="A1075">
        <v>40599914</v>
      </c>
      <c r="B1075" t="s">
        <v>2349</v>
      </c>
    </row>
    <row r="1076" spans="1:2">
      <c r="A1076">
        <v>40599915</v>
      </c>
      <c r="B1076" t="s">
        <v>2351</v>
      </c>
    </row>
    <row r="1077" spans="1:2">
      <c r="A1077">
        <v>40599916</v>
      </c>
      <c r="B1077" t="s">
        <v>2353</v>
      </c>
    </row>
    <row r="1078" spans="1:2">
      <c r="A1078">
        <v>40599917</v>
      </c>
      <c r="B1078" t="s">
        <v>2355</v>
      </c>
    </row>
    <row r="1079" spans="1:2">
      <c r="A1079">
        <v>40599918</v>
      </c>
      <c r="B1079" t="s">
        <v>2357</v>
      </c>
    </row>
    <row r="1080" spans="1:2">
      <c r="A1080">
        <v>40599919</v>
      </c>
      <c r="B1080" t="s">
        <v>2359</v>
      </c>
    </row>
    <row r="1081" spans="1:2">
      <c r="A1081">
        <v>40599920</v>
      </c>
      <c r="B1081" t="s">
        <v>2361</v>
      </c>
    </row>
    <row r="1082" spans="1:2">
      <c r="A1082">
        <v>40599921</v>
      </c>
      <c r="B1082" t="s">
        <v>2363</v>
      </c>
    </row>
    <row r="1083" spans="1:2">
      <c r="A1083">
        <v>40599922</v>
      </c>
      <c r="B1083" t="s">
        <v>2365</v>
      </c>
    </row>
    <row r="1084" spans="1:2">
      <c r="A1084">
        <v>40599923</v>
      </c>
      <c r="B1084" t="s">
        <v>2367</v>
      </c>
    </row>
    <row r="1085" spans="1:2">
      <c r="A1085">
        <v>40599924</v>
      </c>
      <c r="B1085" t="s">
        <v>2369</v>
      </c>
    </row>
    <row r="1086" spans="1:2">
      <c r="A1086">
        <v>40599925</v>
      </c>
      <c r="B1086" t="s">
        <v>2371</v>
      </c>
    </row>
    <row r="1087" spans="1:2">
      <c r="A1087">
        <v>40599926</v>
      </c>
      <c r="B1087" t="s">
        <v>2373</v>
      </c>
    </row>
    <row r="1088" spans="1:2">
      <c r="A1088">
        <v>40599927</v>
      </c>
      <c r="B1088" t="s">
        <v>2375</v>
      </c>
    </row>
    <row r="1089" spans="1:2">
      <c r="A1089">
        <v>40500310</v>
      </c>
      <c r="B1089" t="s">
        <v>2273</v>
      </c>
    </row>
    <row r="1090" spans="1:2">
      <c r="A1090">
        <v>40500311</v>
      </c>
      <c r="B1090" t="s">
        <v>2275</v>
      </c>
    </row>
    <row r="1091" spans="1:2">
      <c r="A1091">
        <v>40500312</v>
      </c>
      <c r="B1091" t="s">
        <v>2277</v>
      </c>
    </row>
    <row r="1092" spans="1:2">
      <c r="A1092">
        <v>40500313</v>
      </c>
      <c r="B1092" t="s">
        <v>2279</v>
      </c>
    </row>
    <row r="1093" spans="1:2">
      <c r="A1093">
        <v>40500314</v>
      </c>
      <c r="B1093" t="s">
        <v>2281</v>
      </c>
    </row>
    <row r="1094" spans="1:2">
      <c r="A1094">
        <v>40500315</v>
      </c>
      <c r="B1094" t="s">
        <v>2283</v>
      </c>
    </row>
    <row r="1095" spans="1:2">
      <c r="A1095">
        <v>40500316</v>
      </c>
      <c r="B1095" t="s">
        <v>2285</v>
      </c>
    </row>
    <row r="1096" spans="1:2">
      <c r="A1096">
        <v>40500317</v>
      </c>
      <c r="B1096" t="s">
        <v>2287</v>
      </c>
    </row>
    <row r="1097" spans="1:2">
      <c r="A1097">
        <v>40500410</v>
      </c>
      <c r="B1097" t="s">
        <v>2307</v>
      </c>
    </row>
    <row r="1098" spans="1:2">
      <c r="A1098">
        <v>40500411</v>
      </c>
      <c r="B1098" t="s">
        <v>2309</v>
      </c>
    </row>
    <row r="1099" spans="1:2">
      <c r="A1099">
        <v>40500412</v>
      </c>
      <c r="B1099" t="s">
        <v>2311</v>
      </c>
    </row>
    <row r="1100" spans="1:2">
      <c r="A1100">
        <v>40500413</v>
      </c>
      <c r="B1100" t="s">
        <v>2313</v>
      </c>
    </row>
    <row r="1101" spans="1:2">
      <c r="A1101">
        <v>40500414</v>
      </c>
      <c r="B1101" t="s">
        <v>2315</v>
      </c>
    </row>
    <row r="1102" spans="1:2">
      <c r="A1102">
        <v>40500415</v>
      </c>
      <c r="B1102" t="s">
        <v>2317</v>
      </c>
    </row>
    <row r="1103" spans="1:2">
      <c r="A1103">
        <v>40500416</v>
      </c>
      <c r="B1103" t="s">
        <v>2319</v>
      </c>
    </row>
    <row r="1104" spans="1:2">
      <c r="A1104">
        <v>40500417</v>
      </c>
      <c r="B1104" t="s">
        <v>2321</v>
      </c>
    </row>
    <row r="1105" spans="1:2">
      <c r="A1105">
        <v>40599928</v>
      </c>
      <c r="B1105" t="s">
        <v>2377</v>
      </c>
    </row>
    <row r="1106" spans="1:2">
      <c r="A1106">
        <v>40599929</v>
      </c>
      <c r="B1106" t="s">
        <v>2379</v>
      </c>
    </row>
    <row r="1107" spans="1:2">
      <c r="A1107">
        <v>40599930</v>
      </c>
      <c r="B1107" t="s">
        <v>2381</v>
      </c>
    </row>
    <row r="1108" spans="1:2">
      <c r="A1108">
        <v>40599931</v>
      </c>
      <c r="B1108" t="s">
        <v>2383</v>
      </c>
    </row>
    <row r="1109" spans="1:2">
      <c r="A1109">
        <v>40599932</v>
      </c>
      <c r="B1109" t="s">
        <v>2385</v>
      </c>
    </row>
    <row r="1110" spans="1:2">
      <c r="A1110">
        <v>40599933</v>
      </c>
      <c r="B1110" t="s">
        <v>2387</v>
      </c>
    </row>
    <row r="1111" spans="1:2">
      <c r="A1111">
        <v>40599934</v>
      </c>
      <c r="B1111" t="s">
        <v>2389</v>
      </c>
    </row>
    <row r="1112" spans="1:2">
      <c r="A1112">
        <v>40599935</v>
      </c>
      <c r="B1112" t="s">
        <v>2391</v>
      </c>
    </row>
    <row r="1113" spans="1:2">
      <c r="A1113">
        <v>41000501</v>
      </c>
      <c r="B1113" t="s">
        <v>2393</v>
      </c>
    </row>
    <row r="1114" spans="1:2">
      <c r="A1114">
        <v>41000502</v>
      </c>
      <c r="B1114" t="s">
        <v>2395</v>
      </c>
    </row>
    <row r="1115" spans="1:2">
      <c r="A1115">
        <v>41000503</v>
      </c>
      <c r="B1115" t="s">
        <v>2397</v>
      </c>
    </row>
    <row r="1116" spans="1:2">
      <c r="A1116">
        <v>41000504</v>
      </c>
      <c r="B1116" t="s">
        <v>2399</v>
      </c>
    </row>
    <row r="1117" spans="1:2">
      <c r="A1117">
        <v>41000505</v>
      </c>
      <c r="B1117" t="s">
        <v>2401</v>
      </c>
    </row>
    <row r="1118" spans="1:2">
      <c r="A1118">
        <v>41000506</v>
      </c>
      <c r="B1118" t="s">
        <v>2403</v>
      </c>
    </row>
    <row r="1119" spans="1:2">
      <c r="A1119">
        <v>41000507</v>
      </c>
      <c r="B1119" t="s">
        <v>2405</v>
      </c>
    </row>
    <row r="1120" spans="1:2">
      <c r="A1120">
        <v>41000508</v>
      </c>
      <c r="B1120" t="s">
        <v>2407</v>
      </c>
    </row>
    <row r="1121" spans="1:2">
      <c r="A1121">
        <v>41000509</v>
      </c>
      <c r="B1121" t="s">
        <v>2409</v>
      </c>
    </row>
    <row r="1122" spans="1:2">
      <c r="A1122">
        <v>41000510</v>
      </c>
      <c r="B1122" t="s">
        <v>2411</v>
      </c>
    </row>
    <row r="1123" spans="1:2">
      <c r="A1123">
        <v>41000511</v>
      </c>
      <c r="B1123" t="s">
        <v>2413</v>
      </c>
    </row>
    <row r="1124" spans="1:2">
      <c r="A1124">
        <v>41000512</v>
      </c>
      <c r="B1124" t="s">
        <v>2415</v>
      </c>
    </row>
    <row r="1125" spans="1:2">
      <c r="A1125">
        <v>41000513</v>
      </c>
      <c r="B1125" t="s">
        <v>2417</v>
      </c>
    </row>
    <row r="1126" spans="1:2">
      <c r="A1126">
        <v>41000514</v>
      </c>
      <c r="B1126" t="s">
        <v>2419</v>
      </c>
    </row>
    <row r="1127" spans="1:2">
      <c r="A1127">
        <v>41000515</v>
      </c>
      <c r="B1127" t="s">
        <v>2421</v>
      </c>
    </row>
    <row r="1128" spans="1:2">
      <c r="A1128">
        <v>41000516</v>
      </c>
      <c r="B1128" t="s">
        <v>2423</v>
      </c>
    </row>
    <row r="1129" spans="1:2">
      <c r="A1129">
        <v>41000517</v>
      </c>
      <c r="B1129" t="s">
        <v>2425</v>
      </c>
    </row>
    <row r="1130" spans="1:2">
      <c r="A1130">
        <v>41000518</v>
      </c>
      <c r="B1130" t="s">
        <v>2427</v>
      </c>
    </row>
    <row r="1131" spans="1:2">
      <c r="A1131">
        <v>41000519</v>
      </c>
      <c r="B1131" t="s">
        <v>2429</v>
      </c>
    </row>
    <row r="1132" spans="1:2">
      <c r="A1132">
        <v>41000520</v>
      </c>
      <c r="B1132" t="s">
        <v>2431</v>
      </c>
    </row>
    <row r="1133" spans="1:2">
      <c r="A1133">
        <v>41000521</v>
      </c>
      <c r="B1133" t="s">
        <v>2433</v>
      </c>
    </row>
    <row r="1134" spans="1:2">
      <c r="A1134">
        <v>41000522</v>
      </c>
      <c r="B1134" t="s">
        <v>2435</v>
      </c>
    </row>
    <row r="1135" spans="1:2">
      <c r="A1135">
        <v>41000523</v>
      </c>
      <c r="B1135" t="s">
        <v>2437</v>
      </c>
    </row>
    <row r="1136" spans="1:2">
      <c r="A1136">
        <v>41000524</v>
      </c>
      <c r="B1136" t="s">
        <v>2439</v>
      </c>
    </row>
    <row r="1137" spans="1:2">
      <c r="A1137">
        <v>41000525</v>
      </c>
      <c r="B1137" t="s">
        <v>2441</v>
      </c>
    </row>
    <row r="1138" spans="1:2">
      <c r="A1138">
        <v>41000526</v>
      </c>
      <c r="B1138" t="s">
        <v>2443</v>
      </c>
    </row>
    <row r="1139" spans="1:2">
      <c r="A1139">
        <v>41000527</v>
      </c>
      <c r="B1139" t="s">
        <v>2445</v>
      </c>
    </row>
    <row r="1140" spans="1:2">
      <c r="A1140">
        <v>41000528</v>
      </c>
      <c r="B1140" t="s">
        <v>2447</v>
      </c>
    </row>
    <row r="1141" spans="1:2">
      <c r="A1141">
        <v>41000529</v>
      </c>
      <c r="B1141" t="s">
        <v>2449</v>
      </c>
    </row>
    <row r="1142" spans="1:2">
      <c r="A1142">
        <v>41000530</v>
      </c>
      <c r="B1142" t="s">
        <v>2451</v>
      </c>
    </row>
    <row r="1143" spans="1:2">
      <c r="A1143">
        <v>41000531</v>
      </c>
      <c r="B1143" t="s">
        <v>2453</v>
      </c>
    </row>
    <row r="1144" spans="1:2">
      <c r="A1144">
        <v>41000532</v>
      </c>
      <c r="B1144" t="s">
        <v>2455</v>
      </c>
    </row>
    <row r="1145" spans="1:2">
      <c r="A1145">
        <v>42000601</v>
      </c>
      <c r="B1145" t="s">
        <v>2457</v>
      </c>
    </row>
    <row r="1146" spans="1:2">
      <c r="A1146">
        <v>42000602</v>
      </c>
      <c r="B1146" t="s">
        <v>2459</v>
      </c>
    </row>
    <row r="1147" spans="1:2">
      <c r="A1147">
        <v>42000603</v>
      </c>
      <c r="B1147" t="s">
        <v>2461</v>
      </c>
    </row>
    <row r="1148" spans="1:2">
      <c r="A1148">
        <v>42000604</v>
      </c>
      <c r="B1148" t="s">
        <v>2463</v>
      </c>
    </row>
    <row r="1149" spans="1:2">
      <c r="A1149">
        <v>42000605</v>
      </c>
      <c r="B1149" t="s">
        <v>2465</v>
      </c>
    </row>
    <row r="1150" spans="1:2">
      <c r="A1150">
        <v>42000606</v>
      </c>
      <c r="B1150" t="s">
        <v>2467</v>
      </c>
    </row>
    <row r="1151" spans="1:2">
      <c r="A1151">
        <v>42000607</v>
      </c>
      <c r="B1151" t="s">
        <v>2469</v>
      </c>
    </row>
    <row r="1152" spans="1:2">
      <c r="A1152">
        <v>42000608</v>
      </c>
      <c r="B1152" t="s">
        <v>2471</v>
      </c>
    </row>
    <row r="1153" spans="1:2">
      <c r="A1153">
        <v>42000609</v>
      </c>
      <c r="B1153" t="s">
        <v>2473</v>
      </c>
    </row>
    <row r="1154" spans="1:2">
      <c r="A1154">
        <v>42000610</v>
      </c>
      <c r="B1154" t="s">
        <v>2475</v>
      </c>
    </row>
    <row r="1155" spans="1:2">
      <c r="A1155">
        <v>42000611</v>
      </c>
      <c r="B1155" t="s">
        <v>2477</v>
      </c>
    </row>
    <row r="1156" spans="1:2">
      <c r="A1156">
        <v>42000612</v>
      </c>
      <c r="B1156" t="s">
        <v>2479</v>
      </c>
    </row>
    <row r="1157" spans="1:2">
      <c r="A1157">
        <v>42000613</v>
      </c>
      <c r="B1157" t="s">
        <v>2481</v>
      </c>
    </row>
    <row r="1158" spans="1:2">
      <c r="A1158">
        <v>42000614</v>
      </c>
      <c r="B1158" t="s">
        <v>2483</v>
      </c>
    </row>
    <row r="1159" spans="1:2">
      <c r="A1159">
        <v>42000615</v>
      </c>
      <c r="B1159" t="s">
        <v>2485</v>
      </c>
    </row>
    <row r="1160" spans="1:2">
      <c r="A1160">
        <v>42000616</v>
      </c>
      <c r="B1160" t="s">
        <v>2487</v>
      </c>
    </row>
    <row r="1161" spans="1:2">
      <c r="A1161">
        <v>42000617</v>
      </c>
      <c r="B1161" t="s">
        <v>2489</v>
      </c>
    </row>
    <row r="1162" spans="1:2">
      <c r="A1162">
        <v>42500701</v>
      </c>
      <c r="B1162" t="s">
        <v>2491</v>
      </c>
    </row>
    <row r="1163" spans="1:2">
      <c r="A1163">
        <v>42500702</v>
      </c>
      <c r="B1163" t="s">
        <v>2493</v>
      </c>
    </row>
    <row r="1164" spans="1:2">
      <c r="A1164">
        <v>42500703</v>
      </c>
      <c r="B1164" t="s">
        <v>2495</v>
      </c>
    </row>
    <row r="1165" spans="1:2">
      <c r="A1165">
        <v>42500704</v>
      </c>
      <c r="B1165" t="s">
        <v>2497</v>
      </c>
    </row>
    <row r="1166" spans="1:2">
      <c r="A1166">
        <v>42500705</v>
      </c>
      <c r="B1166" t="s">
        <v>2499</v>
      </c>
    </row>
    <row r="1167" spans="1:2">
      <c r="A1167">
        <v>42500706</v>
      </c>
      <c r="B1167" t="s">
        <v>2501</v>
      </c>
    </row>
    <row r="1168" spans="1:2">
      <c r="A1168">
        <v>42500707</v>
      </c>
      <c r="B1168" t="s">
        <v>2503</v>
      </c>
    </row>
    <row r="1169" spans="1:2">
      <c r="A1169">
        <v>42500708</v>
      </c>
      <c r="B1169" t="s">
        <v>2505</v>
      </c>
    </row>
    <row r="1170" spans="1:2">
      <c r="A1170">
        <v>42500709</v>
      </c>
      <c r="B1170" t="s">
        <v>2507</v>
      </c>
    </row>
    <row r="1171" spans="1:2">
      <c r="A1171">
        <v>42500710</v>
      </c>
      <c r="B1171" t="s">
        <v>2493</v>
      </c>
    </row>
    <row r="1172" spans="1:2">
      <c r="A1172">
        <v>42500711</v>
      </c>
      <c r="B1172" t="s">
        <v>2510</v>
      </c>
    </row>
    <row r="1173" spans="1:2">
      <c r="A1173">
        <v>42500712</v>
      </c>
      <c r="B1173" t="s">
        <v>2512</v>
      </c>
    </row>
    <row r="1174" spans="1:2">
      <c r="A1174">
        <v>42500713</v>
      </c>
      <c r="B1174" t="s">
        <v>2495</v>
      </c>
    </row>
    <row r="1175" spans="1:2">
      <c r="A1175">
        <v>42500714</v>
      </c>
      <c r="B1175" t="s">
        <v>2497</v>
      </c>
    </row>
    <row r="1176" spans="1:2">
      <c r="A1176">
        <v>42500715</v>
      </c>
      <c r="B1176" t="s">
        <v>2499</v>
      </c>
    </row>
    <row r="1177" spans="1:2">
      <c r="A1177">
        <v>42500716</v>
      </c>
      <c r="B1177" t="s">
        <v>2501</v>
      </c>
    </row>
    <row r="1178" spans="1:2">
      <c r="A1178">
        <v>42500801</v>
      </c>
      <c r="B1178" t="s">
        <v>2518</v>
      </c>
    </row>
    <row r="1179" spans="1:2">
      <c r="A1179">
        <v>42500802</v>
      </c>
      <c r="B1179" t="s">
        <v>2520</v>
      </c>
    </row>
    <row r="1180" spans="1:2">
      <c r="A1180">
        <v>42500803</v>
      </c>
      <c r="B1180" t="s">
        <v>2522</v>
      </c>
    </row>
    <row r="1181" spans="1:2">
      <c r="A1181">
        <v>42500804</v>
      </c>
      <c r="B1181" t="s">
        <v>2524</v>
      </c>
    </row>
    <row r="1182" spans="1:2">
      <c r="A1182">
        <v>42500805</v>
      </c>
      <c r="B1182" t="s">
        <v>2526</v>
      </c>
    </row>
    <row r="1183" spans="1:2">
      <c r="A1183">
        <v>42500806</v>
      </c>
      <c r="B1183" t="s">
        <v>2528</v>
      </c>
    </row>
    <row r="1184" spans="1:2">
      <c r="A1184">
        <v>43000901</v>
      </c>
      <c r="B1184" t="s">
        <v>2530</v>
      </c>
    </row>
    <row r="1185" spans="1:2">
      <c r="A1185">
        <v>43000902</v>
      </c>
      <c r="B1185" t="s">
        <v>2532</v>
      </c>
    </row>
    <row r="1186" spans="1:2">
      <c r="A1186">
        <v>43000903</v>
      </c>
      <c r="B1186" t="s">
        <v>2534</v>
      </c>
    </row>
    <row r="1187" spans="1:2">
      <c r="A1187">
        <v>43000904</v>
      </c>
      <c r="B1187" t="s">
        <v>2536</v>
      </c>
    </row>
    <row r="1188" spans="1:2">
      <c r="A1188">
        <v>43000905</v>
      </c>
      <c r="B1188" t="s">
        <v>2538</v>
      </c>
    </row>
    <row r="1189" spans="1:2">
      <c r="A1189">
        <v>43000906</v>
      </c>
      <c r="B1189" t="s">
        <v>2540</v>
      </c>
    </row>
    <row r="1190" spans="1:2">
      <c r="A1190">
        <v>49901001</v>
      </c>
      <c r="B1190" t="s">
        <v>2542</v>
      </c>
    </row>
    <row r="1191" spans="1:2">
      <c r="A1191" t="s">
        <v>3485</v>
      </c>
      <c r="B1191" t="s">
        <v>3486</v>
      </c>
    </row>
    <row r="1192" spans="1:2">
      <c r="A1192" t="s">
        <v>3487</v>
      </c>
      <c r="B1192" t="s">
        <v>3488</v>
      </c>
    </row>
    <row r="1193" spans="1:2">
      <c r="A1193" t="s">
        <v>3489</v>
      </c>
      <c r="B1193" t="s">
        <v>3490</v>
      </c>
    </row>
    <row r="1194" spans="1:2">
      <c r="A1194" t="s">
        <v>3491</v>
      </c>
      <c r="B1194" t="s">
        <v>3492</v>
      </c>
    </row>
    <row r="1195" spans="1:2">
      <c r="A1195" t="s">
        <v>3493</v>
      </c>
      <c r="B1195" t="s">
        <v>3494</v>
      </c>
    </row>
    <row r="1196" spans="1:2">
      <c r="A1196" t="s">
        <v>3495</v>
      </c>
      <c r="B1196" t="s">
        <v>3496</v>
      </c>
    </row>
    <row r="1197" spans="1:2">
      <c r="A1197" t="s">
        <v>3497</v>
      </c>
      <c r="B1197" t="s">
        <v>3498</v>
      </c>
    </row>
    <row r="1198" spans="1:2">
      <c r="A1198" t="s">
        <v>3499</v>
      </c>
      <c r="B1198" t="s">
        <v>3500</v>
      </c>
    </row>
    <row r="1199" spans="1:2">
      <c r="A1199" t="s">
        <v>3501</v>
      </c>
      <c r="B1199" t="s">
        <v>3502</v>
      </c>
    </row>
    <row r="1200" spans="1:2">
      <c r="A1200" t="s">
        <v>3503</v>
      </c>
      <c r="B1200" t="s">
        <v>3504</v>
      </c>
    </row>
    <row r="1201" spans="1:2">
      <c r="A1201" t="s">
        <v>3505</v>
      </c>
      <c r="B1201" t="s">
        <v>3506</v>
      </c>
    </row>
    <row r="1202" spans="1:2">
      <c r="A1202" t="s">
        <v>3507</v>
      </c>
      <c r="B1202" t="s">
        <v>3508</v>
      </c>
    </row>
    <row r="1203" spans="1:2">
      <c r="A1203" t="s">
        <v>3509</v>
      </c>
      <c r="B1203" t="s">
        <v>3510</v>
      </c>
    </row>
    <row r="1204" spans="1:2">
      <c r="A1204" t="s">
        <v>3511</v>
      </c>
      <c r="B1204" t="s">
        <v>3512</v>
      </c>
    </row>
    <row r="1205" spans="1:2">
      <c r="A1205" t="s">
        <v>3513</v>
      </c>
      <c r="B1205" t="s">
        <v>3514</v>
      </c>
    </row>
    <row r="1206" spans="1:2">
      <c r="A1206" t="s">
        <v>3515</v>
      </c>
      <c r="B1206" t="s">
        <v>3516</v>
      </c>
    </row>
    <row r="1207" spans="1:2">
      <c r="A1207" t="s">
        <v>3517</v>
      </c>
      <c r="B1207" t="s">
        <v>3518</v>
      </c>
    </row>
    <row r="1208" spans="1:2">
      <c r="A1208" t="s">
        <v>3519</v>
      </c>
      <c r="B1208" t="s">
        <v>3520</v>
      </c>
    </row>
    <row r="1209" spans="1:2">
      <c r="A1209">
        <v>50100101</v>
      </c>
      <c r="B1209" t="s">
        <v>2544</v>
      </c>
    </row>
    <row r="1210" spans="1:2">
      <c r="A1210">
        <v>50100201</v>
      </c>
      <c r="B1210" t="s">
        <v>2546</v>
      </c>
    </row>
    <row r="1211" spans="1:2">
      <c r="A1211">
        <v>50199901</v>
      </c>
      <c r="B1211" t="s">
        <v>2548</v>
      </c>
    </row>
    <row r="1212" spans="1:2">
      <c r="A1212">
        <v>50500301</v>
      </c>
      <c r="B1212" t="s">
        <v>2550</v>
      </c>
    </row>
    <row r="1213" spans="1:2">
      <c r="A1213">
        <v>50500302</v>
      </c>
      <c r="B1213" t="s">
        <v>2552</v>
      </c>
    </row>
    <row r="1214" spans="1:2">
      <c r="A1214">
        <v>50500303</v>
      </c>
      <c r="B1214" t="s">
        <v>2554</v>
      </c>
    </row>
    <row r="1215" spans="1:2">
      <c r="A1215">
        <v>50500304</v>
      </c>
      <c r="B1215" t="s">
        <v>2556</v>
      </c>
    </row>
    <row r="1216" spans="1:2">
      <c r="A1216">
        <v>50500305</v>
      </c>
      <c r="B1216" t="s">
        <v>2558</v>
      </c>
    </row>
    <row r="1217" spans="1:2">
      <c r="A1217">
        <v>50500306</v>
      </c>
      <c r="B1217" t="s">
        <v>2560</v>
      </c>
    </row>
    <row r="1218" spans="1:2">
      <c r="A1218">
        <v>50500307</v>
      </c>
      <c r="B1218" t="s">
        <v>2558</v>
      </c>
    </row>
    <row r="1219" spans="1:2">
      <c r="A1219">
        <v>50500308</v>
      </c>
      <c r="B1219" t="s">
        <v>2563</v>
      </c>
    </row>
    <row r="1220" spans="1:2">
      <c r="A1220">
        <v>50500309</v>
      </c>
      <c r="B1220" t="s">
        <v>2565</v>
      </c>
    </row>
    <row r="1221" spans="1:2">
      <c r="A1221">
        <v>50500401</v>
      </c>
      <c r="B1221" t="s">
        <v>2583</v>
      </c>
    </row>
    <row r="1222" spans="1:2">
      <c r="A1222">
        <v>50500402</v>
      </c>
      <c r="B1222" t="s">
        <v>2585</v>
      </c>
    </row>
    <row r="1223" spans="1:2">
      <c r="A1223">
        <v>50500403</v>
      </c>
      <c r="B1223" t="s">
        <v>2587</v>
      </c>
    </row>
    <row r="1224" spans="1:2">
      <c r="A1224">
        <v>50500404</v>
      </c>
      <c r="B1224" t="s">
        <v>2589</v>
      </c>
    </row>
    <row r="1225" spans="1:2">
      <c r="A1225">
        <v>50500405</v>
      </c>
      <c r="B1225" t="s">
        <v>2591</v>
      </c>
    </row>
    <row r="1226" spans="1:2">
      <c r="A1226">
        <v>50500406</v>
      </c>
      <c r="B1226" t="s">
        <v>2593</v>
      </c>
    </row>
    <row r="1227" spans="1:2">
      <c r="A1227">
        <v>50500407</v>
      </c>
      <c r="B1227" t="s">
        <v>2595</v>
      </c>
    </row>
    <row r="1228" spans="1:2">
      <c r="A1228">
        <v>50500408</v>
      </c>
      <c r="B1228" t="s">
        <v>2597</v>
      </c>
    </row>
    <row r="1229" spans="1:2">
      <c r="A1229">
        <v>50500409</v>
      </c>
      <c r="B1229" t="s">
        <v>2599</v>
      </c>
    </row>
    <row r="1230" spans="1:2">
      <c r="A1230">
        <v>50599901</v>
      </c>
      <c r="B1230" t="s">
        <v>2617</v>
      </c>
    </row>
    <row r="1231" spans="1:2">
      <c r="A1231">
        <v>50599902</v>
      </c>
      <c r="B1231" t="s">
        <v>2619</v>
      </c>
    </row>
    <row r="1232" spans="1:2">
      <c r="A1232">
        <v>50599903</v>
      </c>
      <c r="B1232" t="s">
        <v>2621</v>
      </c>
    </row>
    <row r="1233" spans="1:2">
      <c r="A1233">
        <v>50599904</v>
      </c>
      <c r="B1233" t="s">
        <v>2623</v>
      </c>
    </row>
    <row r="1234" spans="1:2">
      <c r="A1234">
        <v>50599905</v>
      </c>
      <c r="B1234" t="s">
        <v>2625</v>
      </c>
    </row>
    <row r="1235" spans="1:2">
      <c r="A1235">
        <v>50599906</v>
      </c>
      <c r="B1235" t="s">
        <v>2627</v>
      </c>
    </row>
    <row r="1236" spans="1:2">
      <c r="A1236">
        <v>50599907</v>
      </c>
      <c r="B1236" t="s">
        <v>2629</v>
      </c>
    </row>
    <row r="1237" spans="1:2">
      <c r="A1237">
        <v>50599908</v>
      </c>
      <c r="B1237" t="s">
        <v>2631</v>
      </c>
    </row>
    <row r="1238" spans="1:2">
      <c r="A1238">
        <v>50599909</v>
      </c>
      <c r="B1238" t="s">
        <v>2633</v>
      </c>
    </row>
    <row r="1239" spans="1:2">
      <c r="A1239">
        <v>50599910</v>
      </c>
      <c r="B1239" t="s">
        <v>2635</v>
      </c>
    </row>
    <row r="1240" spans="1:2">
      <c r="A1240">
        <v>50599911</v>
      </c>
      <c r="B1240" t="s">
        <v>2637</v>
      </c>
    </row>
    <row r="1241" spans="1:2">
      <c r="A1241">
        <v>50599912</v>
      </c>
      <c r="B1241" t="s">
        <v>2639</v>
      </c>
    </row>
    <row r="1242" spans="1:2">
      <c r="A1242">
        <v>50599913</v>
      </c>
      <c r="B1242" t="s">
        <v>2641</v>
      </c>
    </row>
    <row r="1243" spans="1:2">
      <c r="A1243">
        <v>50599914</v>
      </c>
      <c r="B1243" t="s">
        <v>2643</v>
      </c>
    </row>
    <row r="1244" spans="1:2">
      <c r="A1244">
        <v>50599915</v>
      </c>
      <c r="B1244" t="s">
        <v>2645</v>
      </c>
    </row>
    <row r="1245" spans="1:2">
      <c r="A1245">
        <v>50599916</v>
      </c>
      <c r="B1245" t="s">
        <v>2647</v>
      </c>
    </row>
    <row r="1246" spans="1:2">
      <c r="A1246">
        <v>50599917</v>
      </c>
      <c r="B1246" t="s">
        <v>2649</v>
      </c>
    </row>
    <row r="1247" spans="1:2">
      <c r="A1247">
        <v>50599918</v>
      </c>
      <c r="B1247" t="s">
        <v>2651</v>
      </c>
    </row>
    <row r="1248" spans="1:2">
      <c r="A1248">
        <v>50599919</v>
      </c>
      <c r="B1248" t="s">
        <v>2653</v>
      </c>
    </row>
    <row r="1249" spans="1:2">
      <c r="A1249">
        <v>50599920</v>
      </c>
      <c r="B1249" t="s">
        <v>2655</v>
      </c>
    </row>
    <row r="1250" spans="1:2">
      <c r="A1250">
        <v>50599921</v>
      </c>
      <c r="B1250" t="s">
        <v>2657</v>
      </c>
    </row>
    <row r="1251" spans="1:2">
      <c r="A1251">
        <v>50599922</v>
      </c>
      <c r="B1251" t="s">
        <v>2659</v>
      </c>
    </row>
    <row r="1252" spans="1:2">
      <c r="A1252">
        <v>50599923</v>
      </c>
      <c r="B1252" t="s">
        <v>2661</v>
      </c>
    </row>
    <row r="1253" spans="1:2">
      <c r="A1253">
        <v>50599924</v>
      </c>
      <c r="B1253" t="s">
        <v>2663</v>
      </c>
    </row>
    <row r="1254" spans="1:2">
      <c r="A1254">
        <v>50599925</v>
      </c>
      <c r="B1254" t="s">
        <v>2665</v>
      </c>
    </row>
    <row r="1255" spans="1:2">
      <c r="A1255">
        <v>50599926</v>
      </c>
      <c r="B1255" t="s">
        <v>2667</v>
      </c>
    </row>
    <row r="1256" spans="1:2">
      <c r="A1256">
        <v>50599927</v>
      </c>
      <c r="B1256" t="s">
        <v>2669</v>
      </c>
    </row>
    <row r="1257" spans="1:2">
      <c r="A1257">
        <v>50500310</v>
      </c>
      <c r="B1257" t="s">
        <v>2567</v>
      </c>
    </row>
    <row r="1258" spans="1:2">
      <c r="A1258">
        <v>50500311</v>
      </c>
      <c r="B1258" t="s">
        <v>2569</v>
      </c>
    </row>
    <row r="1259" spans="1:2">
      <c r="A1259">
        <v>50500312</v>
      </c>
      <c r="B1259" t="s">
        <v>2571</v>
      </c>
    </row>
    <row r="1260" spans="1:2">
      <c r="A1260">
        <v>50500313</v>
      </c>
      <c r="B1260" t="s">
        <v>2573</v>
      </c>
    </row>
    <row r="1261" spans="1:2">
      <c r="A1261">
        <v>50500314</v>
      </c>
      <c r="B1261" t="s">
        <v>2575</v>
      </c>
    </row>
    <row r="1262" spans="1:2">
      <c r="A1262">
        <v>50500315</v>
      </c>
      <c r="B1262" t="s">
        <v>2577</v>
      </c>
    </row>
    <row r="1263" spans="1:2">
      <c r="A1263">
        <v>50500316</v>
      </c>
      <c r="B1263" t="s">
        <v>2579</v>
      </c>
    </row>
    <row r="1264" spans="1:2">
      <c r="A1264">
        <v>50500317</v>
      </c>
      <c r="B1264" t="s">
        <v>2581</v>
      </c>
    </row>
    <row r="1265" spans="1:2">
      <c r="A1265">
        <v>50500410</v>
      </c>
      <c r="B1265" t="s">
        <v>2601</v>
      </c>
    </row>
    <row r="1266" spans="1:2">
      <c r="A1266">
        <v>50500411</v>
      </c>
      <c r="B1266" t="s">
        <v>2603</v>
      </c>
    </row>
    <row r="1267" spans="1:2">
      <c r="A1267">
        <v>50500412</v>
      </c>
      <c r="B1267" t="s">
        <v>2605</v>
      </c>
    </row>
    <row r="1268" spans="1:2">
      <c r="A1268">
        <v>50500413</v>
      </c>
      <c r="B1268" t="s">
        <v>2607</v>
      </c>
    </row>
    <row r="1269" spans="1:2">
      <c r="A1269">
        <v>50500414</v>
      </c>
      <c r="B1269" t="s">
        <v>2609</v>
      </c>
    </row>
    <row r="1270" spans="1:2">
      <c r="A1270">
        <v>50500415</v>
      </c>
      <c r="B1270" t="s">
        <v>2611</v>
      </c>
    </row>
    <row r="1271" spans="1:2">
      <c r="A1271">
        <v>50500416</v>
      </c>
      <c r="B1271" t="s">
        <v>2613</v>
      </c>
    </row>
    <row r="1272" spans="1:2">
      <c r="A1272">
        <v>50500417</v>
      </c>
      <c r="B1272" t="s">
        <v>2615</v>
      </c>
    </row>
    <row r="1273" spans="1:2">
      <c r="A1273">
        <v>50599928</v>
      </c>
      <c r="B1273" t="s">
        <v>2671</v>
      </c>
    </row>
    <row r="1274" spans="1:2">
      <c r="A1274">
        <v>50599929</v>
      </c>
      <c r="B1274" t="s">
        <v>2673</v>
      </c>
    </row>
    <row r="1275" spans="1:2">
      <c r="A1275">
        <v>50599930</v>
      </c>
      <c r="B1275" t="s">
        <v>2675</v>
      </c>
    </row>
    <row r="1276" spans="1:2">
      <c r="A1276">
        <v>50599931</v>
      </c>
      <c r="B1276" t="s">
        <v>2677</v>
      </c>
    </row>
    <row r="1277" spans="1:2">
      <c r="A1277">
        <v>50599932</v>
      </c>
      <c r="B1277" t="s">
        <v>2679</v>
      </c>
    </row>
    <row r="1278" spans="1:2">
      <c r="A1278">
        <v>50599933</v>
      </c>
      <c r="B1278" t="s">
        <v>2681</v>
      </c>
    </row>
    <row r="1279" spans="1:2">
      <c r="A1279">
        <v>50599934</v>
      </c>
      <c r="B1279" t="s">
        <v>2683</v>
      </c>
    </row>
    <row r="1280" spans="1:2">
      <c r="A1280">
        <v>50599935</v>
      </c>
      <c r="B1280" t="s">
        <v>2685</v>
      </c>
    </row>
    <row r="1281" spans="1:2">
      <c r="A1281">
        <v>51000501</v>
      </c>
      <c r="B1281" t="s">
        <v>2687</v>
      </c>
    </row>
    <row r="1282" spans="1:2">
      <c r="A1282">
        <v>51000502</v>
      </c>
      <c r="B1282" t="s">
        <v>2689</v>
      </c>
    </row>
    <row r="1283" spans="1:2">
      <c r="A1283">
        <v>51000503</v>
      </c>
      <c r="B1283" t="s">
        <v>2691</v>
      </c>
    </row>
    <row r="1284" spans="1:2">
      <c r="A1284">
        <v>51000504</v>
      </c>
      <c r="B1284" t="s">
        <v>2693</v>
      </c>
    </row>
    <row r="1285" spans="1:2">
      <c r="A1285">
        <v>51000505</v>
      </c>
      <c r="B1285" t="s">
        <v>2695</v>
      </c>
    </row>
    <row r="1286" spans="1:2">
      <c r="A1286">
        <v>51000506</v>
      </c>
      <c r="B1286" t="s">
        <v>2697</v>
      </c>
    </row>
    <row r="1287" spans="1:2">
      <c r="A1287">
        <v>51000507</v>
      </c>
      <c r="B1287" t="s">
        <v>2699</v>
      </c>
    </row>
    <row r="1288" spans="1:2">
      <c r="A1288">
        <v>51000508</v>
      </c>
      <c r="B1288" t="s">
        <v>2701</v>
      </c>
    </row>
    <row r="1289" spans="1:2">
      <c r="A1289">
        <v>51000509</v>
      </c>
      <c r="B1289" t="s">
        <v>2703</v>
      </c>
    </row>
    <row r="1290" spans="1:2">
      <c r="A1290">
        <v>51000510</v>
      </c>
      <c r="B1290" t="s">
        <v>2705</v>
      </c>
    </row>
    <row r="1291" spans="1:2">
      <c r="A1291">
        <v>51000511</v>
      </c>
      <c r="B1291" t="s">
        <v>2707</v>
      </c>
    </row>
    <row r="1292" spans="1:2">
      <c r="A1292">
        <v>51000512</v>
      </c>
      <c r="B1292" t="s">
        <v>2709</v>
      </c>
    </row>
    <row r="1293" spans="1:2">
      <c r="A1293">
        <v>51000513</v>
      </c>
      <c r="B1293" t="s">
        <v>2711</v>
      </c>
    </row>
    <row r="1294" spans="1:2">
      <c r="A1294">
        <v>51000514</v>
      </c>
      <c r="B1294" t="s">
        <v>2713</v>
      </c>
    </row>
    <row r="1295" spans="1:2">
      <c r="A1295">
        <v>51000515</v>
      </c>
      <c r="B1295" t="s">
        <v>2715</v>
      </c>
    </row>
    <row r="1296" spans="1:2">
      <c r="A1296">
        <v>51000516</v>
      </c>
      <c r="B1296" t="s">
        <v>2717</v>
      </c>
    </row>
    <row r="1297" spans="1:2">
      <c r="A1297">
        <v>51000517</v>
      </c>
      <c r="B1297" t="s">
        <v>2719</v>
      </c>
    </row>
    <row r="1298" spans="1:2">
      <c r="A1298">
        <v>51000518</v>
      </c>
      <c r="B1298" t="s">
        <v>2721</v>
      </c>
    </row>
    <row r="1299" spans="1:2">
      <c r="A1299">
        <v>51000519</v>
      </c>
      <c r="B1299" t="s">
        <v>2723</v>
      </c>
    </row>
    <row r="1300" spans="1:2">
      <c r="A1300">
        <v>51000520</v>
      </c>
      <c r="B1300" t="s">
        <v>2725</v>
      </c>
    </row>
    <row r="1301" spans="1:2">
      <c r="A1301">
        <v>51000521</v>
      </c>
      <c r="B1301" t="s">
        <v>2727</v>
      </c>
    </row>
    <row r="1302" spans="1:2">
      <c r="A1302">
        <v>51000522</v>
      </c>
      <c r="B1302" t="s">
        <v>2729</v>
      </c>
    </row>
    <row r="1303" spans="1:2">
      <c r="A1303">
        <v>51000523</v>
      </c>
      <c r="B1303" t="s">
        <v>2731</v>
      </c>
    </row>
    <row r="1304" spans="1:2">
      <c r="A1304">
        <v>51000524</v>
      </c>
      <c r="B1304" t="s">
        <v>2733</v>
      </c>
    </row>
    <row r="1305" spans="1:2">
      <c r="A1305">
        <v>51000525</v>
      </c>
      <c r="B1305" t="s">
        <v>2735</v>
      </c>
    </row>
    <row r="1306" spans="1:2">
      <c r="A1306">
        <v>51000526</v>
      </c>
      <c r="B1306" t="s">
        <v>2737</v>
      </c>
    </row>
    <row r="1307" spans="1:2">
      <c r="A1307">
        <v>51000527</v>
      </c>
      <c r="B1307" t="s">
        <v>2739</v>
      </c>
    </row>
    <row r="1308" spans="1:2">
      <c r="A1308">
        <v>51000528</v>
      </c>
      <c r="B1308" t="s">
        <v>2741</v>
      </c>
    </row>
    <row r="1309" spans="1:2">
      <c r="A1309">
        <v>51000529</v>
      </c>
      <c r="B1309" t="s">
        <v>2743</v>
      </c>
    </row>
    <row r="1310" spans="1:2">
      <c r="A1310">
        <v>51000530</v>
      </c>
      <c r="B1310" t="s">
        <v>2745</v>
      </c>
    </row>
    <row r="1311" spans="1:2">
      <c r="A1311">
        <v>51000531</v>
      </c>
      <c r="B1311" t="s">
        <v>2747</v>
      </c>
    </row>
    <row r="1312" spans="1:2">
      <c r="A1312">
        <v>51000532</v>
      </c>
      <c r="B1312" t="s">
        <v>2749</v>
      </c>
    </row>
    <row r="1313" spans="1:2">
      <c r="A1313">
        <v>52000601</v>
      </c>
      <c r="B1313" t="s">
        <v>2751</v>
      </c>
    </row>
    <row r="1314" spans="1:2">
      <c r="A1314">
        <v>52000602</v>
      </c>
      <c r="B1314" t="s">
        <v>2753</v>
      </c>
    </row>
    <row r="1315" spans="1:2">
      <c r="A1315">
        <v>52000603</v>
      </c>
      <c r="B1315" t="s">
        <v>2755</v>
      </c>
    </row>
    <row r="1316" spans="1:2">
      <c r="A1316">
        <v>52000604</v>
      </c>
      <c r="B1316" t="s">
        <v>2757</v>
      </c>
    </row>
    <row r="1317" spans="1:2">
      <c r="A1317">
        <v>52000605</v>
      </c>
      <c r="B1317" t="s">
        <v>2759</v>
      </c>
    </row>
    <row r="1318" spans="1:2">
      <c r="A1318">
        <v>52000606</v>
      </c>
      <c r="B1318" t="s">
        <v>2761</v>
      </c>
    </row>
    <row r="1319" spans="1:2">
      <c r="A1319">
        <v>52000607</v>
      </c>
      <c r="B1319" t="s">
        <v>2763</v>
      </c>
    </row>
    <row r="1320" spans="1:2">
      <c r="A1320">
        <v>52000608</v>
      </c>
      <c r="B1320" t="s">
        <v>2765</v>
      </c>
    </row>
    <row r="1321" spans="1:2">
      <c r="A1321">
        <v>52000609</v>
      </c>
      <c r="B1321" t="s">
        <v>2767</v>
      </c>
    </row>
    <row r="1322" spans="1:2">
      <c r="A1322">
        <v>52000610</v>
      </c>
      <c r="B1322" t="s">
        <v>2769</v>
      </c>
    </row>
    <row r="1323" spans="1:2">
      <c r="A1323">
        <v>52000611</v>
      </c>
      <c r="B1323" t="s">
        <v>2771</v>
      </c>
    </row>
    <row r="1324" spans="1:2">
      <c r="A1324">
        <v>52000612</v>
      </c>
      <c r="B1324" t="s">
        <v>2773</v>
      </c>
    </row>
    <row r="1325" spans="1:2">
      <c r="A1325">
        <v>52000613</v>
      </c>
      <c r="B1325" t="s">
        <v>2775</v>
      </c>
    </row>
    <row r="1326" spans="1:2">
      <c r="A1326">
        <v>52000614</v>
      </c>
      <c r="B1326" t="s">
        <v>2777</v>
      </c>
    </row>
    <row r="1327" spans="1:2">
      <c r="A1327">
        <v>52000615</v>
      </c>
      <c r="B1327" t="s">
        <v>2779</v>
      </c>
    </row>
    <row r="1328" spans="1:2">
      <c r="A1328">
        <v>52000616</v>
      </c>
      <c r="B1328" t="s">
        <v>2781</v>
      </c>
    </row>
    <row r="1329" spans="1:2">
      <c r="A1329">
        <v>52000617</v>
      </c>
      <c r="B1329" t="s">
        <v>2783</v>
      </c>
    </row>
    <row r="1330" spans="1:2">
      <c r="A1330">
        <v>52500701</v>
      </c>
      <c r="B1330" t="s">
        <v>2785</v>
      </c>
    </row>
    <row r="1331" spans="1:2">
      <c r="A1331">
        <v>52500702</v>
      </c>
      <c r="B1331" t="s">
        <v>2787</v>
      </c>
    </row>
    <row r="1332" spans="1:2">
      <c r="A1332">
        <v>52500703</v>
      </c>
      <c r="B1332" t="s">
        <v>2789</v>
      </c>
    </row>
    <row r="1333" spans="1:2">
      <c r="A1333">
        <v>52500704</v>
      </c>
      <c r="B1333" t="s">
        <v>2791</v>
      </c>
    </row>
    <row r="1334" spans="1:2">
      <c r="A1334">
        <v>52500705</v>
      </c>
      <c r="B1334" t="s">
        <v>2793</v>
      </c>
    </row>
    <row r="1335" spans="1:2">
      <c r="A1335">
        <v>52500706</v>
      </c>
      <c r="B1335" t="s">
        <v>2795</v>
      </c>
    </row>
    <row r="1336" spans="1:2">
      <c r="A1336">
        <v>52500707</v>
      </c>
      <c r="B1336" t="s">
        <v>2797</v>
      </c>
    </row>
    <row r="1337" spans="1:2">
      <c r="A1337">
        <v>52500708</v>
      </c>
      <c r="B1337" t="s">
        <v>2799</v>
      </c>
    </row>
    <row r="1338" spans="1:2">
      <c r="A1338">
        <v>52500709</v>
      </c>
      <c r="B1338" t="s">
        <v>2801</v>
      </c>
    </row>
    <row r="1339" spans="1:2">
      <c r="A1339">
        <v>52500710</v>
      </c>
      <c r="B1339" t="s">
        <v>2787</v>
      </c>
    </row>
    <row r="1340" spans="1:2">
      <c r="A1340">
        <v>52500711</v>
      </c>
      <c r="B1340" t="s">
        <v>2804</v>
      </c>
    </row>
    <row r="1341" spans="1:2">
      <c r="A1341">
        <v>52500712</v>
      </c>
      <c r="B1341" t="s">
        <v>2806</v>
      </c>
    </row>
    <row r="1342" spans="1:2">
      <c r="A1342">
        <v>52500713</v>
      </c>
      <c r="B1342" t="s">
        <v>2789</v>
      </c>
    </row>
    <row r="1343" spans="1:2">
      <c r="A1343">
        <v>52500714</v>
      </c>
      <c r="B1343" t="s">
        <v>2791</v>
      </c>
    </row>
    <row r="1344" spans="1:2">
      <c r="A1344">
        <v>52500715</v>
      </c>
      <c r="B1344" t="s">
        <v>2793</v>
      </c>
    </row>
    <row r="1345" spans="1:2">
      <c r="A1345">
        <v>52500716</v>
      </c>
      <c r="B1345" t="s">
        <v>2795</v>
      </c>
    </row>
    <row r="1346" spans="1:2">
      <c r="A1346">
        <v>52500801</v>
      </c>
      <c r="B1346" t="s">
        <v>2812</v>
      </c>
    </row>
    <row r="1347" spans="1:2">
      <c r="A1347">
        <v>52500802</v>
      </c>
      <c r="B1347" t="s">
        <v>2814</v>
      </c>
    </row>
    <row r="1348" spans="1:2">
      <c r="A1348">
        <v>52500803</v>
      </c>
      <c r="B1348" t="s">
        <v>2816</v>
      </c>
    </row>
    <row r="1349" spans="1:2">
      <c r="A1349">
        <v>52500804</v>
      </c>
      <c r="B1349" t="s">
        <v>2818</v>
      </c>
    </row>
    <row r="1350" spans="1:2">
      <c r="A1350">
        <v>52500805</v>
      </c>
      <c r="B1350" t="s">
        <v>2820</v>
      </c>
    </row>
    <row r="1351" spans="1:2">
      <c r="A1351">
        <v>52500806</v>
      </c>
      <c r="B1351" t="s">
        <v>2822</v>
      </c>
    </row>
    <row r="1352" spans="1:2">
      <c r="A1352">
        <v>53000901</v>
      </c>
      <c r="B1352" t="s">
        <v>2824</v>
      </c>
    </row>
    <row r="1353" spans="1:2">
      <c r="A1353">
        <v>53000902</v>
      </c>
      <c r="B1353" t="s">
        <v>2826</v>
      </c>
    </row>
    <row r="1354" spans="1:2">
      <c r="A1354">
        <v>53000903</v>
      </c>
      <c r="B1354" t="s">
        <v>2828</v>
      </c>
    </row>
    <row r="1355" spans="1:2">
      <c r="A1355">
        <v>53000904</v>
      </c>
      <c r="B1355" t="s">
        <v>2830</v>
      </c>
    </row>
    <row r="1356" spans="1:2">
      <c r="A1356">
        <v>53000905</v>
      </c>
      <c r="B1356" t="s">
        <v>2832</v>
      </c>
    </row>
    <row r="1357" spans="1:2">
      <c r="A1357">
        <v>53000906</v>
      </c>
      <c r="B1357" t="s">
        <v>2834</v>
      </c>
    </row>
    <row r="1358" spans="1:2">
      <c r="A1358">
        <v>59901001</v>
      </c>
      <c r="B1358" t="s">
        <v>2836</v>
      </c>
    </row>
    <row r="1359" spans="1:2">
      <c r="A1359" t="s">
        <v>3521</v>
      </c>
      <c r="B1359" t="s">
        <v>3522</v>
      </c>
    </row>
    <row r="1360" spans="1:2">
      <c r="A1360" t="s">
        <v>3523</v>
      </c>
      <c r="B1360" t="s">
        <v>3524</v>
      </c>
    </row>
    <row r="1361" spans="1:2">
      <c r="A1361" t="s">
        <v>3525</v>
      </c>
      <c r="B1361" t="s">
        <v>3526</v>
      </c>
    </row>
    <row r="1362" spans="1:2">
      <c r="A1362" t="s">
        <v>3527</v>
      </c>
      <c r="B1362" t="s">
        <v>3528</v>
      </c>
    </row>
    <row r="1363" spans="1:2">
      <c r="A1363" t="s">
        <v>3529</v>
      </c>
      <c r="B1363" t="s">
        <v>3530</v>
      </c>
    </row>
    <row r="1364" spans="1:2">
      <c r="A1364" t="s">
        <v>3531</v>
      </c>
      <c r="B1364" t="s">
        <v>3532</v>
      </c>
    </row>
    <row r="1365" spans="1:2">
      <c r="A1365" t="s">
        <v>3533</v>
      </c>
      <c r="B1365" t="s">
        <v>3534</v>
      </c>
    </row>
    <row r="1366" spans="1:2">
      <c r="A1366" t="s">
        <v>3535</v>
      </c>
      <c r="B1366" t="s">
        <v>3536</v>
      </c>
    </row>
    <row r="1367" spans="1:2">
      <c r="A1367" t="s">
        <v>3537</v>
      </c>
      <c r="B1367" t="s">
        <v>3538</v>
      </c>
    </row>
    <row r="1368" spans="1:2">
      <c r="A1368" t="s">
        <v>3539</v>
      </c>
      <c r="B1368" t="s">
        <v>3540</v>
      </c>
    </row>
    <row r="1369" spans="1:2">
      <c r="A1369" t="s">
        <v>3541</v>
      </c>
      <c r="B1369" t="s">
        <v>3542</v>
      </c>
    </row>
    <row r="1370" spans="1:2">
      <c r="A1370" t="s">
        <v>3543</v>
      </c>
      <c r="B1370" t="s">
        <v>3544</v>
      </c>
    </row>
    <row r="1371" spans="1:2">
      <c r="A1371" t="s">
        <v>3545</v>
      </c>
      <c r="B1371" t="s">
        <v>3546</v>
      </c>
    </row>
    <row r="1372" spans="1:2">
      <c r="A1372" t="s">
        <v>3547</v>
      </c>
      <c r="B1372" t="s">
        <v>3548</v>
      </c>
    </row>
    <row r="1373" spans="1:2">
      <c r="A1373" t="s">
        <v>3549</v>
      </c>
      <c r="B1373" t="s">
        <v>3550</v>
      </c>
    </row>
    <row r="1374" spans="1:2">
      <c r="A1374" t="s">
        <v>3551</v>
      </c>
      <c r="B1374" t="s">
        <v>3552</v>
      </c>
    </row>
    <row r="1375" spans="1:2">
      <c r="A1375" t="s">
        <v>3553</v>
      </c>
      <c r="B1375" t="s">
        <v>3554</v>
      </c>
    </row>
    <row r="1376" spans="1:2">
      <c r="A1376" t="s">
        <v>3555</v>
      </c>
      <c r="B1376" t="s">
        <v>3556</v>
      </c>
    </row>
    <row r="1377" spans="1:2">
      <c r="A1377">
        <v>60000001</v>
      </c>
      <c r="B1377" t="s">
        <v>2838</v>
      </c>
    </row>
    <row r="1378" spans="1:2">
      <c r="A1378">
        <v>70100101</v>
      </c>
      <c r="B1378" t="s">
        <v>2840</v>
      </c>
    </row>
    <row r="1379" spans="1:2">
      <c r="A1379">
        <v>70100201</v>
      </c>
      <c r="B1379" t="s">
        <v>2842</v>
      </c>
    </row>
    <row r="1380" spans="1:2">
      <c r="A1380">
        <v>70100301</v>
      </c>
      <c r="B1380" t="s">
        <v>2844</v>
      </c>
    </row>
    <row r="1381" spans="1:2">
      <c r="A1381">
        <v>70500101</v>
      </c>
      <c r="B1381" t="s">
        <v>2846</v>
      </c>
    </row>
    <row r="1382" spans="1:2">
      <c r="A1382">
        <v>70500201</v>
      </c>
      <c r="B1382" t="s">
        <v>2848</v>
      </c>
    </row>
    <row r="1383" spans="1:2">
      <c r="A1383">
        <v>70500301</v>
      </c>
      <c r="B1383" t="s">
        <v>4200</v>
      </c>
    </row>
    <row r="1384" spans="1:2">
      <c r="A1384">
        <v>71000101</v>
      </c>
      <c r="B1384" t="s">
        <v>2852</v>
      </c>
    </row>
    <row r="1385" spans="1:2">
      <c r="A1385">
        <v>71000201</v>
      </c>
      <c r="B1385" t="s">
        <v>2854</v>
      </c>
    </row>
    <row r="1386" spans="1:2">
      <c r="A1386">
        <v>71000301</v>
      </c>
      <c r="B1386" t="s">
        <v>2856</v>
      </c>
    </row>
    <row r="1387" spans="1:2">
      <c r="A1387">
        <v>71500101</v>
      </c>
      <c r="B1387" t="s">
        <v>2858</v>
      </c>
    </row>
    <row r="1388" spans="1:2">
      <c r="A1388">
        <v>71500201</v>
      </c>
      <c r="B1388" t="s">
        <v>2860</v>
      </c>
    </row>
    <row r="1389" spans="1:2">
      <c r="A1389">
        <v>71500301</v>
      </c>
      <c r="B1389" t="s">
        <v>2862</v>
      </c>
    </row>
    <row r="1390" spans="1:2">
      <c r="A1390">
        <v>72000101</v>
      </c>
      <c r="B1390" t="s">
        <v>2864</v>
      </c>
    </row>
    <row r="1391" spans="1:2">
      <c r="A1391">
        <v>72000201</v>
      </c>
      <c r="B1391" t="s">
        <v>2866</v>
      </c>
    </row>
    <row r="1392" spans="1:2">
      <c r="A1392">
        <v>72000301</v>
      </c>
      <c r="B1392" t="s">
        <v>2868</v>
      </c>
    </row>
    <row r="1393" spans="1:2">
      <c r="A1393">
        <v>72500101</v>
      </c>
      <c r="B1393" t="s">
        <v>4201</v>
      </c>
    </row>
    <row r="1394" spans="1:2">
      <c r="A1394">
        <v>72500201</v>
      </c>
      <c r="B1394" t="s">
        <v>4202</v>
      </c>
    </row>
    <row r="1395" spans="1:2">
      <c r="A1395">
        <v>72500301</v>
      </c>
      <c r="B1395" t="s">
        <v>2874</v>
      </c>
    </row>
    <row r="1396" spans="1:2">
      <c r="A1396">
        <v>90100401</v>
      </c>
      <c r="B1396" t="s">
        <v>2876</v>
      </c>
    </row>
    <row r="1397" spans="1:2">
      <c r="A1397">
        <v>90100501</v>
      </c>
      <c r="B1397" t="s">
        <v>2878</v>
      </c>
    </row>
    <row r="1398" spans="1:2">
      <c r="A1398">
        <v>90100601</v>
      </c>
      <c r="B1398" t="s">
        <v>2880</v>
      </c>
    </row>
    <row r="1399" spans="1:2">
      <c r="A1399">
        <v>90199901</v>
      </c>
      <c r="B1399" t="s">
        <v>2882</v>
      </c>
    </row>
    <row r="1400" spans="1:2">
      <c r="A1400">
        <v>90501001</v>
      </c>
      <c r="B1400" t="s">
        <v>2884</v>
      </c>
    </row>
    <row r="1401" spans="1:2">
      <c r="A1401">
        <v>90501002</v>
      </c>
      <c r="B1401" t="s">
        <v>2886</v>
      </c>
    </row>
    <row r="1402" spans="1:2">
      <c r="A1402">
        <v>90501003</v>
      </c>
      <c r="B1402" t="s">
        <v>2888</v>
      </c>
    </row>
    <row r="1403" spans="1:2">
      <c r="A1403">
        <v>90501004</v>
      </c>
      <c r="B1403" t="s">
        <v>2890</v>
      </c>
    </row>
    <row r="1404" spans="1:2">
      <c r="A1404">
        <v>90501005</v>
      </c>
      <c r="B1404" t="s">
        <v>2892</v>
      </c>
    </row>
    <row r="1405" spans="1:2">
      <c r="A1405">
        <v>90501006</v>
      </c>
      <c r="B1405" t="s">
        <v>2894</v>
      </c>
    </row>
    <row r="1406" spans="1:2">
      <c r="A1406">
        <v>90501007</v>
      </c>
      <c r="B1406" t="s">
        <v>2896</v>
      </c>
    </row>
    <row r="1407" spans="1:2">
      <c r="A1407">
        <v>90501008</v>
      </c>
      <c r="B1407" t="s">
        <v>2898</v>
      </c>
    </row>
    <row r="1408" spans="1:2">
      <c r="A1408">
        <v>90501009</v>
      </c>
      <c r="B1408" t="s">
        <v>2900</v>
      </c>
    </row>
    <row r="1409" spans="1:2">
      <c r="A1409">
        <v>90501101</v>
      </c>
      <c r="B1409" t="s">
        <v>2934</v>
      </c>
    </row>
    <row r="1410" spans="1:2">
      <c r="A1410">
        <v>90501102</v>
      </c>
      <c r="B1410" t="s">
        <v>2936</v>
      </c>
    </row>
    <row r="1411" spans="1:2">
      <c r="A1411">
        <v>90501103</v>
      </c>
      <c r="B1411" t="s">
        <v>2938</v>
      </c>
    </row>
    <row r="1412" spans="1:2">
      <c r="A1412">
        <v>90501104</v>
      </c>
      <c r="B1412" t="s">
        <v>2940</v>
      </c>
    </row>
    <row r="1413" spans="1:2">
      <c r="A1413">
        <v>90501105</v>
      </c>
      <c r="B1413" t="s">
        <v>2942</v>
      </c>
    </row>
    <row r="1414" spans="1:2">
      <c r="A1414">
        <v>90501106</v>
      </c>
      <c r="B1414" t="s">
        <v>2944</v>
      </c>
    </row>
    <row r="1415" spans="1:2">
      <c r="A1415">
        <v>90501107</v>
      </c>
      <c r="B1415" t="s">
        <v>2946</v>
      </c>
    </row>
    <row r="1416" spans="1:2">
      <c r="A1416">
        <v>90501108</v>
      </c>
      <c r="B1416" t="s">
        <v>2948</v>
      </c>
    </row>
    <row r="1417" spans="1:2">
      <c r="A1417">
        <v>90501109</v>
      </c>
      <c r="B1417" t="s">
        <v>2950</v>
      </c>
    </row>
    <row r="1418" spans="1:2">
      <c r="A1418">
        <v>90501201</v>
      </c>
      <c r="B1418" t="s">
        <v>2969</v>
      </c>
    </row>
    <row r="1419" spans="1:2">
      <c r="A1419">
        <v>90501202</v>
      </c>
      <c r="B1419" t="s">
        <v>2971</v>
      </c>
    </row>
    <row r="1420" spans="1:2">
      <c r="A1420">
        <v>90501203</v>
      </c>
      <c r="B1420" t="s">
        <v>2973</v>
      </c>
    </row>
    <row r="1421" spans="1:2">
      <c r="A1421">
        <v>90501204</v>
      </c>
      <c r="B1421" t="s">
        <v>2975</v>
      </c>
    </row>
    <row r="1422" spans="1:2">
      <c r="A1422">
        <v>90501205</v>
      </c>
      <c r="B1422" t="s">
        <v>2977</v>
      </c>
    </row>
    <row r="1423" spans="1:2">
      <c r="A1423">
        <v>90501206</v>
      </c>
      <c r="B1423" t="s">
        <v>2979</v>
      </c>
    </row>
    <row r="1424" spans="1:2">
      <c r="A1424">
        <v>90501207</v>
      </c>
      <c r="B1424" t="s">
        <v>2981</v>
      </c>
    </row>
    <row r="1425" spans="1:2">
      <c r="A1425">
        <v>90501208</v>
      </c>
      <c r="B1425" t="s">
        <v>2983</v>
      </c>
    </row>
    <row r="1426" spans="1:2">
      <c r="A1426">
        <v>90501209</v>
      </c>
      <c r="B1426" t="s">
        <v>2985</v>
      </c>
    </row>
    <row r="1427" spans="1:2">
      <c r="A1427">
        <v>90501301</v>
      </c>
      <c r="B1427" t="s">
        <v>3003</v>
      </c>
    </row>
    <row r="1428" spans="1:2">
      <c r="A1428">
        <v>90501302</v>
      </c>
      <c r="B1428" t="s">
        <v>3005</v>
      </c>
    </row>
    <row r="1429" spans="1:2">
      <c r="A1429">
        <v>90501303</v>
      </c>
      <c r="B1429" t="s">
        <v>3007</v>
      </c>
    </row>
    <row r="1430" spans="1:2">
      <c r="A1430">
        <v>90501304</v>
      </c>
      <c r="B1430" t="s">
        <v>3009</v>
      </c>
    </row>
    <row r="1431" spans="1:2">
      <c r="A1431">
        <v>90501305</v>
      </c>
      <c r="B1431" t="s">
        <v>3011</v>
      </c>
    </row>
    <row r="1432" spans="1:2">
      <c r="A1432">
        <v>90501306</v>
      </c>
      <c r="B1432" t="s">
        <v>3013</v>
      </c>
    </row>
    <row r="1433" spans="1:2">
      <c r="A1433">
        <v>90501307</v>
      </c>
      <c r="B1433" t="s">
        <v>3015</v>
      </c>
    </row>
    <row r="1434" spans="1:2">
      <c r="A1434">
        <v>90501308</v>
      </c>
      <c r="B1434" t="s">
        <v>3017</v>
      </c>
    </row>
    <row r="1435" spans="1:2">
      <c r="A1435">
        <v>90501309</v>
      </c>
      <c r="B1435" t="s">
        <v>3019</v>
      </c>
    </row>
    <row r="1436" spans="1:2">
      <c r="A1436">
        <v>90599901</v>
      </c>
      <c r="B1436" t="s">
        <v>3038</v>
      </c>
    </row>
    <row r="1437" spans="1:2">
      <c r="A1437">
        <v>90599902</v>
      </c>
      <c r="B1437" t="s">
        <v>3040</v>
      </c>
    </row>
    <row r="1438" spans="1:2">
      <c r="A1438">
        <v>90599903</v>
      </c>
      <c r="B1438" t="s">
        <v>3042</v>
      </c>
    </row>
    <row r="1439" spans="1:2">
      <c r="A1439">
        <v>90599904</v>
      </c>
      <c r="B1439" t="s">
        <v>3044</v>
      </c>
    </row>
    <row r="1440" spans="1:2">
      <c r="A1440">
        <v>90599905</v>
      </c>
      <c r="B1440" t="s">
        <v>3046</v>
      </c>
    </row>
    <row r="1441" spans="1:2">
      <c r="A1441">
        <v>90599906</v>
      </c>
      <c r="B1441" t="s">
        <v>3048</v>
      </c>
    </row>
    <row r="1442" spans="1:2">
      <c r="A1442">
        <v>90599907</v>
      </c>
      <c r="B1442" t="s">
        <v>3050</v>
      </c>
    </row>
    <row r="1443" spans="1:2">
      <c r="A1443">
        <v>90599908</v>
      </c>
      <c r="B1443" t="s">
        <v>3052</v>
      </c>
    </row>
    <row r="1444" spans="1:2">
      <c r="A1444">
        <v>90599909</v>
      </c>
      <c r="B1444" t="s">
        <v>3054</v>
      </c>
    </row>
    <row r="1445" spans="1:2">
      <c r="A1445">
        <v>90599910</v>
      </c>
      <c r="B1445" t="s">
        <v>3056</v>
      </c>
    </row>
    <row r="1446" spans="1:2">
      <c r="A1446">
        <v>90599911</v>
      </c>
      <c r="B1446" t="s">
        <v>3058</v>
      </c>
    </row>
    <row r="1447" spans="1:2">
      <c r="A1447">
        <v>90599912</v>
      </c>
      <c r="B1447" t="s">
        <v>3060</v>
      </c>
    </row>
    <row r="1448" spans="1:2">
      <c r="A1448">
        <v>90599913</v>
      </c>
      <c r="B1448" t="s">
        <v>3062</v>
      </c>
    </row>
    <row r="1449" spans="1:2">
      <c r="A1449">
        <v>90599914</v>
      </c>
      <c r="B1449" t="s">
        <v>3064</v>
      </c>
    </row>
    <row r="1450" spans="1:2">
      <c r="A1450">
        <v>90599915</v>
      </c>
      <c r="B1450" t="s">
        <v>3066</v>
      </c>
    </row>
    <row r="1451" spans="1:2">
      <c r="A1451">
        <v>90599916</v>
      </c>
      <c r="B1451" t="s">
        <v>3068</v>
      </c>
    </row>
    <row r="1452" spans="1:2">
      <c r="A1452">
        <v>90599917</v>
      </c>
      <c r="B1452" t="s">
        <v>3070</v>
      </c>
    </row>
    <row r="1453" spans="1:2">
      <c r="A1453">
        <v>90599918</v>
      </c>
      <c r="B1453" t="s">
        <v>3072</v>
      </c>
    </row>
    <row r="1454" spans="1:2">
      <c r="A1454">
        <v>90599919</v>
      </c>
      <c r="B1454" t="s">
        <v>3074</v>
      </c>
    </row>
    <row r="1455" spans="1:2">
      <c r="A1455">
        <v>90599920</v>
      </c>
      <c r="B1455" t="s">
        <v>3076</v>
      </c>
    </row>
    <row r="1456" spans="1:2">
      <c r="A1456">
        <v>90599921</v>
      </c>
      <c r="B1456" t="s">
        <v>3078</v>
      </c>
    </row>
    <row r="1457" spans="1:2">
      <c r="A1457">
        <v>90599922</v>
      </c>
      <c r="B1457" t="s">
        <v>3080</v>
      </c>
    </row>
    <row r="1458" spans="1:2">
      <c r="A1458">
        <v>90599923</v>
      </c>
      <c r="B1458" t="s">
        <v>3082</v>
      </c>
    </row>
    <row r="1459" spans="1:2">
      <c r="A1459">
        <v>90599924</v>
      </c>
      <c r="B1459" t="s">
        <v>3084</v>
      </c>
    </row>
    <row r="1460" spans="1:2">
      <c r="A1460">
        <v>90599925</v>
      </c>
      <c r="B1460" t="s">
        <v>3086</v>
      </c>
    </row>
    <row r="1461" spans="1:2">
      <c r="A1461">
        <v>90599926</v>
      </c>
      <c r="B1461" t="s">
        <v>3088</v>
      </c>
    </row>
    <row r="1462" spans="1:2">
      <c r="A1462">
        <v>90599927</v>
      </c>
      <c r="B1462" t="s">
        <v>3090</v>
      </c>
    </row>
    <row r="1463" spans="1:2">
      <c r="A1463">
        <v>90501010</v>
      </c>
      <c r="B1463" t="s">
        <v>2902</v>
      </c>
    </row>
    <row r="1464" spans="1:2">
      <c r="A1464">
        <v>90501011</v>
      </c>
      <c r="B1464" t="s">
        <v>2904</v>
      </c>
    </row>
    <row r="1465" spans="1:2">
      <c r="A1465">
        <v>90501012</v>
      </c>
      <c r="B1465" t="s">
        <v>2906</v>
      </c>
    </row>
    <row r="1466" spans="1:2">
      <c r="A1466">
        <v>90501013</v>
      </c>
      <c r="B1466" t="s">
        <v>2908</v>
      </c>
    </row>
    <row r="1467" spans="1:2">
      <c r="A1467">
        <v>90501014</v>
      </c>
      <c r="B1467" t="s">
        <v>2910</v>
      </c>
    </row>
    <row r="1468" spans="1:2">
      <c r="A1468">
        <v>90501015</v>
      </c>
      <c r="B1468" t="s">
        <v>2912</v>
      </c>
    </row>
    <row r="1469" spans="1:2">
      <c r="A1469">
        <v>90501016</v>
      </c>
      <c r="B1469" t="s">
        <v>2914</v>
      </c>
    </row>
    <row r="1470" spans="1:2">
      <c r="A1470">
        <v>90501017</v>
      </c>
      <c r="B1470" t="s">
        <v>2916</v>
      </c>
    </row>
    <row r="1471" spans="1:2">
      <c r="A1471">
        <v>90501018</v>
      </c>
      <c r="B1471" t="s">
        <v>2918</v>
      </c>
    </row>
    <row r="1472" spans="1:2">
      <c r="A1472">
        <v>90501019</v>
      </c>
      <c r="B1472" t="s">
        <v>2920</v>
      </c>
    </row>
    <row r="1473" spans="1:2">
      <c r="A1473">
        <v>90501020</v>
      </c>
      <c r="B1473" t="s">
        <v>2922</v>
      </c>
    </row>
    <row r="1474" spans="1:2">
      <c r="A1474">
        <v>90501021</v>
      </c>
      <c r="B1474" t="s">
        <v>2924</v>
      </c>
    </row>
    <row r="1475" spans="1:2">
      <c r="A1475">
        <v>90501022</v>
      </c>
      <c r="B1475" t="s">
        <v>2926</v>
      </c>
    </row>
    <row r="1476" spans="1:2">
      <c r="A1476">
        <v>90501023</v>
      </c>
      <c r="B1476" t="s">
        <v>2928</v>
      </c>
    </row>
    <row r="1477" spans="1:2">
      <c r="A1477">
        <v>90501024</v>
      </c>
      <c r="B1477" t="s">
        <v>2930</v>
      </c>
    </row>
    <row r="1478" spans="1:2">
      <c r="A1478">
        <v>90501025</v>
      </c>
      <c r="B1478" t="s">
        <v>2932</v>
      </c>
    </row>
    <row r="1479" spans="1:2">
      <c r="A1479">
        <v>90501110</v>
      </c>
      <c r="B1479" t="s">
        <v>2902</v>
      </c>
    </row>
    <row r="1480" spans="1:2">
      <c r="A1480">
        <v>90501111</v>
      </c>
      <c r="B1480" t="s">
        <v>2904</v>
      </c>
    </row>
    <row r="1481" spans="1:2">
      <c r="A1481">
        <v>90501112</v>
      </c>
      <c r="B1481" t="s">
        <v>2906</v>
      </c>
    </row>
    <row r="1482" spans="1:2">
      <c r="A1482">
        <v>90501113</v>
      </c>
      <c r="B1482" t="s">
        <v>2955</v>
      </c>
    </row>
    <row r="1483" spans="1:2">
      <c r="A1483">
        <v>90501114</v>
      </c>
      <c r="B1483" t="s">
        <v>2910</v>
      </c>
    </row>
    <row r="1484" spans="1:2">
      <c r="A1484">
        <v>90501115</v>
      </c>
      <c r="B1484" t="s">
        <v>2912</v>
      </c>
    </row>
    <row r="1485" spans="1:2">
      <c r="A1485">
        <v>90501116</v>
      </c>
      <c r="B1485" t="s">
        <v>2914</v>
      </c>
    </row>
    <row r="1486" spans="1:2">
      <c r="A1486">
        <v>90501117</v>
      </c>
      <c r="B1486" t="s">
        <v>2916</v>
      </c>
    </row>
    <row r="1487" spans="1:2">
      <c r="A1487">
        <v>90501118</v>
      </c>
      <c r="B1487" t="s">
        <v>2918</v>
      </c>
    </row>
    <row r="1488" spans="1:2">
      <c r="A1488">
        <v>90501119</v>
      </c>
      <c r="B1488" t="s">
        <v>2920</v>
      </c>
    </row>
    <row r="1489" spans="1:2">
      <c r="A1489">
        <v>90501120</v>
      </c>
      <c r="B1489" t="s">
        <v>2922</v>
      </c>
    </row>
    <row r="1490" spans="1:2">
      <c r="A1490">
        <v>90501121</v>
      </c>
      <c r="B1490" t="s">
        <v>2924</v>
      </c>
    </row>
    <row r="1491" spans="1:2">
      <c r="A1491">
        <v>90501122</v>
      </c>
      <c r="B1491" t="s">
        <v>2926</v>
      </c>
    </row>
    <row r="1492" spans="1:2">
      <c r="A1492">
        <v>90501123</v>
      </c>
      <c r="B1492" t="s">
        <v>2928</v>
      </c>
    </row>
    <row r="1493" spans="1:2">
      <c r="A1493">
        <v>90501124</v>
      </c>
      <c r="B1493" t="s">
        <v>2930</v>
      </c>
    </row>
    <row r="1494" spans="1:2">
      <c r="A1494">
        <v>90501125</v>
      </c>
      <c r="B1494" t="s">
        <v>2932</v>
      </c>
    </row>
    <row r="1495" spans="1:2">
      <c r="A1495">
        <v>90501210</v>
      </c>
      <c r="B1495" t="s">
        <v>2902</v>
      </c>
    </row>
    <row r="1496" spans="1:2">
      <c r="A1496">
        <v>90501211</v>
      </c>
      <c r="B1496" t="s">
        <v>2904</v>
      </c>
    </row>
    <row r="1497" spans="1:2">
      <c r="A1497">
        <v>90501212</v>
      </c>
      <c r="B1497" t="s">
        <v>2906</v>
      </c>
    </row>
    <row r="1498" spans="1:2">
      <c r="A1498">
        <v>90501213</v>
      </c>
      <c r="B1498" t="s">
        <v>2955</v>
      </c>
    </row>
    <row r="1499" spans="1:2">
      <c r="A1499">
        <v>90501214</v>
      </c>
      <c r="B1499" t="s">
        <v>2910</v>
      </c>
    </row>
    <row r="1500" spans="1:2">
      <c r="A1500">
        <v>90501215</v>
      </c>
      <c r="B1500" t="s">
        <v>2912</v>
      </c>
    </row>
    <row r="1501" spans="1:2">
      <c r="A1501">
        <v>90501216</v>
      </c>
      <c r="B1501" t="s">
        <v>2914</v>
      </c>
    </row>
    <row r="1502" spans="1:2">
      <c r="A1502">
        <v>90501217</v>
      </c>
      <c r="B1502" t="s">
        <v>2916</v>
      </c>
    </row>
    <row r="1503" spans="1:2">
      <c r="A1503">
        <v>90501218</v>
      </c>
      <c r="B1503" t="s">
        <v>2918</v>
      </c>
    </row>
    <row r="1504" spans="1:2">
      <c r="A1504">
        <v>90501219</v>
      </c>
      <c r="B1504" t="s">
        <v>2920</v>
      </c>
    </row>
    <row r="1505" spans="1:2">
      <c r="A1505">
        <v>90501220</v>
      </c>
      <c r="B1505" t="s">
        <v>2922</v>
      </c>
    </row>
    <row r="1506" spans="1:2">
      <c r="A1506">
        <v>90501221</v>
      </c>
      <c r="B1506" t="s">
        <v>2924</v>
      </c>
    </row>
    <row r="1507" spans="1:2">
      <c r="A1507">
        <v>90501222</v>
      </c>
      <c r="B1507" t="s">
        <v>2926</v>
      </c>
    </row>
    <row r="1508" spans="1:2">
      <c r="A1508">
        <v>90501223</v>
      </c>
      <c r="B1508" t="s">
        <v>2928</v>
      </c>
    </row>
    <row r="1509" spans="1:2">
      <c r="A1509">
        <v>90501224</v>
      </c>
      <c r="B1509" t="s">
        <v>2930</v>
      </c>
    </row>
    <row r="1510" spans="1:2">
      <c r="A1510">
        <v>90501225</v>
      </c>
      <c r="B1510" t="s">
        <v>2932</v>
      </c>
    </row>
    <row r="1511" spans="1:2">
      <c r="A1511">
        <v>90501310</v>
      </c>
      <c r="B1511" t="s">
        <v>2902</v>
      </c>
    </row>
    <row r="1512" spans="1:2">
      <c r="A1512">
        <v>90501311</v>
      </c>
      <c r="B1512" t="s">
        <v>2904</v>
      </c>
    </row>
    <row r="1513" spans="1:2">
      <c r="A1513">
        <v>90501312</v>
      </c>
      <c r="B1513" t="s">
        <v>2906</v>
      </c>
    </row>
    <row r="1514" spans="1:2">
      <c r="A1514">
        <v>90501313</v>
      </c>
      <c r="B1514" t="s">
        <v>3024</v>
      </c>
    </row>
    <row r="1515" spans="1:2">
      <c r="A1515">
        <v>90501314</v>
      </c>
      <c r="B1515" t="s">
        <v>2910</v>
      </c>
    </row>
    <row r="1516" spans="1:2">
      <c r="A1516">
        <v>90501315</v>
      </c>
      <c r="B1516" t="s">
        <v>2912</v>
      </c>
    </row>
    <row r="1517" spans="1:2">
      <c r="A1517">
        <v>90501316</v>
      </c>
      <c r="B1517" t="s">
        <v>2914</v>
      </c>
    </row>
    <row r="1518" spans="1:2">
      <c r="A1518">
        <v>90501317</v>
      </c>
      <c r="B1518" t="s">
        <v>2916</v>
      </c>
    </row>
    <row r="1519" spans="1:2">
      <c r="A1519">
        <v>90501318</v>
      </c>
      <c r="B1519" t="s">
        <v>2918</v>
      </c>
    </row>
    <row r="1520" spans="1:2">
      <c r="A1520">
        <v>90501319</v>
      </c>
      <c r="B1520" t="s">
        <v>2920</v>
      </c>
    </row>
    <row r="1521" spans="1:2">
      <c r="A1521">
        <v>90501320</v>
      </c>
      <c r="B1521" t="s">
        <v>2922</v>
      </c>
    </row>
    <row r="1522" spans="1:2">
      <c r="A1522">
        <v>90501321</v>
      </c>
      <c r="B1522" t="s">
        <v>2924</v>
      </c>
    </row>
    <row r="1523" spans="1:2">
      <c r="A1523">
        <v>90501322</v>
      </c>
      <c r="B1523" t="s">
        <v>2926</v>
      </c>
    </row>
    <row r="1524" spans="1:2">
      <c r="A1524">
        <v>90501323</v>
      </c>
      <c r="B1524" t="s">
        <v>2928</v>
      </c>
    </row>
    <row r="1525" spans="1:2">
      <c r="A1525">
        <v>90501324</v>
      </c>
      <c r="B1525" t="s">
        <v>2930</v>
      </c>
    </row>
    <row r="1526" spans="1:2">
      <c r="A1526">
        <v>90501325</v>
      </c>
      <c r="B1526" t="s">
        <v>2932</v>
      </c>
    </row>
    <row r="1527" spans="1:2">
      <c r="A1527">
        <v>90599928</v>
      </c>
      <c r="B1527" t="s">
        <v>4203</v>
      </c>
    </row>
    <row r="1528" spans="1:2">
      <c r="A1528">
        <v>90599929</v>
      </c>
      <c r="B1528" t="s">
        <v>3094</v>
      </c>
    </row>
    <row r="1529" spans="1:2">
      <c r="A1529">
        <v>90599930</v>
      </c>
      <c r="B1529" t="s">
        <v>3096</v>
      </c>
    </row>
    <row r="1530" spans="1:2">
      <c r="A1530">
        <v>90599931</v>
      </c>
      <c r="B1530" t="s">
        <v>3098</v>
      </c>
    </row>
    <row r="1531" spans="1:2">
      <c r="A1531">
        <v>90599932</v>
      </c>
      <c r="B1531" t="s">
        <v>3100</v>
      </c>
    </row>
    <row r="1532" spans="1:2">
      <c r="A1532">
        <v>90599933</v>
      </c>
      <c r="B1532" t="s">
        <v>3102</v>
      </c>
    </row>
    <row r="1533" spans="1:2">
      <c r="A1533">
        <v>90599934</v>
      </c>
      <c r="B1533" t="s">
        <v>3104</v>
      </c>
    </row>
    <row r="1534" spans="1:2">
      <c r="A1534">
        <v>90599935</v>
      </c>
      <c r="B1534" t="s">
        <v>3106</v>
      </c>
    </row>
    <row r="1535" spans="1:2">
      <c r="A1535">
        <v>90599936</v>
      </c>
      <c r="B1535" t="s">
        <v>3108</v>
      </c>
    </row>
    <row r="1536" spans="1:2">
      <c r="A1536">
        <v>90599937</v>
      </c>
      <c r="B1536" t="s">
        <v>3110</v>
      </c>
    </row>
    <row r="1537" spans="1:2">
      <c r="A1537">
        <v>90599938</v>
      </c>
      <c r="B1537" t="s">
        <v>3112</v>
      </c>
    </row>
    <row r="1538" spans="1:2">
      <c r="A1538">
        <v>90599939</v>
      </c>
      <c r="B1538" t="s">
        <v>3114</v>
      </c>
    </row>
    <row r="1539" spans="1:2">
      <c r="A1539">
        <v>90599940</v>
      </c>
      <c r="B1539" t="s">
        <v>3116</v>
      </c>
    </row>
    <row r="1540" spans="1:2">
      <c r="A1540">
        <v>90599941</v>
      </c>
      <c r="B1540" t="s">
        <v>3118</v>
      </c>
    </row>
    <row r="1541" spans="1:2">
      <c r="A1541">
        <v>90599942</v>
      </c>
      <c r="B1541" t="s">
        <v>3120</v>
      </c>
    </row>
    <row r="1542" spans="1:2">
      <c r="A1542">
        <v>90599943</v>
      </c>
      <c r="B1542" t="s">
        <v>3122</v>
      </c>
    </row>
    <row r="1543" spans="1:2">
      <c r="A1543">
        <v>91002501</v>
      </c>
      <c r="B1543" t="s">
        <v>3124</v>
      </c>
    </row>
    <row r="1544" spans="1:2">
      <c r="A1544">
        <v>91002601</v>
      </c>
      <c r="B1544" t="s">
        <v>3126</v>
      </c>
    </row>
    <row r="1545" spans="1:2">
      <c r="A1545">
        <v>91002701</v>
      </c>
      <c r="B1545" t="s">
        <v>3128</v>
      </c>
    </row>
    <row r="1546" spans="1:2">
      <c r="A1546">
        <v>91002801</v>
      </c>
      <c r="B1546" t="s">
        <v>3130</v>
      </c>
    </row>
    <row r="1547" spans="1:2">
      <c r="A1547">
        <v>91002901</v>
      </c>
      <c r="B1547" t="s">
        <v>3132</v>
      </c>
    </row>
    <row r="1548" spans="1:2">
      <c r="A1548">
        <v>91004101</v>
      </c>
      <c r="B1548" t="s">
        <v>3134</v>
      </c>
    </row>
    <row r="1549" spans="1:2">
      <c r="A1549">
        <v>91004601</v>
      </c>
      <c r="B1549" t="s">
        <v>3136</v>
      </c>
    </row>
    <row r="1550" spans="1:2">
      <c r="A1550">
        <v>91004803</v>
      </c>
      <c r="B1550" t="s">
        <v>3138</v>
      </c>
    </row>
    <row r="1551" spans="1:2">
      <c r="A1551">
        <v>91004804</v>
      </c>
      <c r="B1551" t="s">
        <v>3140</v>
      </c>
    </row>
    <row r="1552" spans="1:2">
      <c r="A1552">
        <v>92005601</v>
      </c>
      <c r="B1552" t="s">
        <v>3142</v>
      </c>
    </row>
    <row r="1553" spans="1:2">
      <c r="A1553">
        <v>92099901</v>
      </c>
      <c r="B1553" t="s">
        <v>3144</v>
      </c>
    </row>
    <row r="1554" spans="1:2">
      <c r="A1554">
        <v>92099902</v>
      </c>
      <c r="B1554" t="s">
        <v>3146</v>
      </c>
    </row>
    <row r="1555" spans="1:2">
      <c r="A1555">
        <v>92505901</v>
      </c>
      <c r="B1555" t="s">
        <v>3148</v>
      </c>
    </row>
    <row r="1556" spans="1:2">
      <c r="A1556">
        <v>92505902</v>
      </c>
      <c r="B1556" t="s">
        <v>3150</v>
      </c>
    </row>
    <row r="1557" spans="1:2">
      <c r="A1557">
        <v>92505903</v>
      </c>
      <c r="B1557" t="s">
        <v>3152</v>
      </c>
    </row>
    <row r="1558" spans="1:2">
      <c r="A1558">
        <v>92505904</v>
      </c>
      <c r="B1558" t="s">
        <v>3154</v>
      </c>
    </row>
    <row r="1559" spans="1:2">
      <c r="A1559">
        <v>92505905</v>
      </c>
      <c r="B1559" t="s">
        <v>3156</v>
      </c>
    </row>
    <row r="1560" spans="1:2">
      <c r="A1560">
        <v>92505906</v>
      </c>
      <c r="B1560" t="s">
        <v>3158</v>
      </c>
    </row>
    <row r="1561" spans="1:2">
      <c r="A1561">
        <v>92505907</v>
      </c>
      <c r="B1561" t="s">
        <v>3160</v>
      </c>
    </row>
    <row r="1562" spans="1:2">
      <c r="A1562">
        <v>92505908</v>
      </c>
      <c r="B1562" t="s">
        <v>3162</v>
      </c>
    </row>
    <row r="1563" spans="1:2">
      <c r="A1563">
        <v>92505909</v>
      </c>
      <c r="B1563" t="s">
        <v>3164</v>
      </c>
    </row>
    <row r="1564" spans="1:2">
      <c r="A1564">
        <v>92505910</v>
      </c>
      <c r="B1564" t="s">
        <v>3166</v>
      </c>
    </row>
    <row r="1565" spans="1:2">
      <c r="A1565">
        <v>92505911</v>
      </c>
      <c r="B1565" t="s">
        <v>3168</v>
      </c>
    </row>
    <row r="1566" spans="1:2">
      <c r="A1566">
        <v>92505912</v>
      </c>
      <c r="B1566" t="s">
        <v>3170</v>
      </c>
    </row>
    <row r="1567" spans="1:2">
      <c r="A1567">
        <v>92505913</v>
      </c>
      <c r="B1567" t="s">
        <v>3172</v>
      </c>
    </row>
    <row r="1568" spans="1:2">
      <c r="A1568">
        <v>92505914</v>
      </c>
      <c r="B1568" t="s">
        <v>3174</v>
      </c>
    </row>
    <row r="1569" spans="1:2">
      <c r="A1569">
        <v>92505915</v>
      </c>
      <c r="B1569" t="s">
        <v>3176</v>
      </c>
    </row>
    <row r="1570" spans="1:2">
      <c r="A1570">
        <v>92505916</v>
      </c>
      <c r="B1570" t="s">
        <v>3178</v>
      </c>
    </row>
    <row r="1571" spans="1:2">
      <c r="A1571">
        <v>92505917</v>
      </c>
      <c r="B1571" t="s">
        <v>3180</v>
      </c>
    </row>
    <row r="1572" spans="1:2">
      <c r="A1572">
        <v>92505918</v>
      </c>
      <c r="B1572" t="s">
        <v>3182</v>
      </c>
    </row>
    <row r="1573" spans="1:2">
      <c r="A1573">
        <v>92505919</v>
      </c>
      <c r="B1573" t="s">
        <v>3184</v>
      </c>
    </row>
    <row r="1574" spans="1:2">
      <c r="A1574">
        <v>92505920</v>
      </c>
      <c r="B1574" t="s">
        <v>3186</v>
      </c>
    </row>
    <row r="1575" spans="1:2">
      <c r="A1575">
        <v>92505921</v>
      </c>
      <c r="B1575" t="s">
        <v>3188</v>
      </c>
    </row>
    <row r="1576" spans="1:2">
      <c r="A1576">
        <v>92505922</v>
      </c>
      <c r="B1576" t="s">
        <v>3190</v>
      </c>
    </row>
    <row r="1577" spans="1:2">
      <c r="A1577">
        <v>92505923</v>
      </c>
      <c r="B1577" t="s">
        <v>3192</v>
      </c>
    </row>
    <row r="1578" spans="1:2">
      <c r="A1578">
        <v>92505924</v>
      </c>
      <c r="B1578" t="s">
        <v>3194</v>
      </c>
    </row>
    <row r="1579" spans="1:2">
      <c r="A1579">
        <v>92505925</v>
      </c>
      <c r="B1579" t="s">
        <v>3196</v>
      </c>
    </row>
    <row r="1580" spans="1:2">
      <c r="A1580">
        <v>92505926</v>
      </c>
      <c r="B1580" t="s">
        <v>3198</v>
      </c>
    </row>
    <row r="1581" spans="1:2">
      <c r="A1581">
        <v>92505927</v>
      </c>
      <c r="B1581" t="s">
        <v>3200</v>
      </c>
    </row>
    <row r="1582" spans="1:2">
      <c r="A1582">
        <v>92505928</v>
      </c>
      <c r="B1582" t="s">
        <v>3202</v>
      </c>
    </row>
    <row r="1583" spans="1:2">
      <c r="A1583">
        <v>92505929</v>
      </c>
      <c r="B1583" t="s">
        <v>3204</v>
      </c>
    </row>
    <row r="1584" spans="1:2">
      <c r="A1584">
        <v>92505930</v>
      </c>
      <c r="B1584" t="s">
        <v>3206</v>
      </c>
    </row>
    <row r="1585" spans="1:2">
      <c r="A1585">
        <v>92505931</v>
      </c>
      <c r="B1585" t="s">
        <v>3208</v>
      </c>
    </row>
    <row r="1586" spans="1:2">
      <c r="A1586">
        <v>92505932</v>
      </c>
      <c r="B1586" t="s">
        <v>3210</v>
      </c>
    </row>
    <row r="1587" spans="1:2">
      <c r="A1587">
        <v>92505933</v>
      </c>
      <c r="B1587" t="s">
        <v>3212</v>
      </c>
    </row>
    <row r="1588" spans="1:2">
      <c r="A1588">
        <v>92505934</v>
      </c>
      <c r="B1588" t="s">
        <v>3214</v>
      </c>
    </row>
    <row r="1589" spans="1:2">
      <c r="A1589">
        <v>92505935</v>
      </c>
      <c r="B1589" t="s">
        <v>3216</v>
      </c>
    </row>
    <row r="1590" spans="1:2">
      <c r="A1590">
        <v>92505936</v>
      </c>
      <c r="B1590" t="s">
        <v>3218</v>
      </c>
    </row>
    <row r="1591" spans="1:2">
      <c r="A1591">
        <v>92505937</v>
      </c>
      <c r="B1591" t="s">
        <v>3220</v>
      </c>
    </row>
    <row r="1592" spans="1:2">
      <c r="A1592">
        <v>92505938</v>
      </c>
      <c r="B1592" t="s">
        <v>3222</v>
      </c>
    </row>
    <row r="1593" spans="1:2">
      <c r="A1593">
        <v>92505939</v>
      </c>
      <c r="B1593" t="s">
        <v>3224</v>
      </c>
    </row>
    <row r="1594" spans="1:2">
      <c r="A1594">
        <v>92505940</v>
      </c>
      <c r="B1594" t="s">
        <v>3226</v>
      </c>
    </row>
    <row r="1595" spans="1:2">
      <c r="A1595">
        <v>92505941</v>
      </c>
      <c r="B1595" t="s">
        <v>3228</v>
      </c>
    </row>
    <row r="1596" spans="1:2">
      <c r="A1596">
        <v>92505942</v>
      </c>
      <c r="B1596" t="s">
        <v>3230</v>
      </c>
    </row>
    <row r="1597" spans="1:2">
      <c r="A1597">
        <v>92505943</v>
      </c>
      <c r="B1597" t="s">
        <v>3232</v>
      </c>
    </row>
    <row r="1598" spans="1:2">
      <c r="A1598">
        <v>92505944</v>
      </c>
      <c r="B1598" t="s">
        <v>3234</v>
      </c>
    </row>
    <row r="1599" spans="1:2">
      <c r="A1599">
        <v>92505945</v>
      </c>
      <c r="B1599" t="s">
        <v>3236</v>
      </c>
    </row>
    <row r="1600" spans="1:2">
      <c r="A1600">
        <v>92505946</v>
      </c>
      <c r="B1600" t="s">
        <v>3238</v>
      </c>
    </row>
    <row r="1601" spans="1:2">
      <c r="A1601">
        <v>92505947</v>
      </c>
      <c r="B1601" t="s">
        <v>3240</v>
      </c>
    </row>
    <row r="1602" spans="1:2">
      <c r="A1602">
        <v>92505948</v>
      </c>
      <c r="B1602" t="s">
        <v>3242</v>
      </c>
    </row>
    <row r="1603" spans="1:2">
      <c r="A1603">
        <v>92505949</v>
      </c>
      <c r="B1603" t="s">
        <v>3244</v>
      </c>
    </row>
    <row r="1604" spans="1:2">
      <c r="A1604">
        <v>92505950</v>
      </c>
      <c r="B1604" t="s">
        <v>3246</v>
      </c>
    </row>
    <row r="1605" spans="1:2">
      <c r="A1605">
        <v>92505951</v>
      </c>
      <c r="B1605" t="s">
        <v>3248</v>
      </c>
    </row>
    <row r="1606" spans="1:2">
      <c r="A1606">
        <v>92505952</v>
      </c>
      <c r="B1606" t="s">
        <v>3250</v>
      </c>
    </row>
    <row r="1607" spans="1:2">
      <c r="A1607">
        <v>92505953</v>
      </c>
      <c r="B1607" t="s">
        <v>3252</v>
      </c>
    </row>
    <row r="1608" spans="1:2">
      <c r="A1608">
        <v>92505954</v>
      </c>
      <c r="B1608" t="s">
        <v>3254</v>
      </c>
    </row>
    <row r="1609" spans="1:2">
      <c r="A1609">
        <v>92505955</v>
      </c>
      <c r="B1609" t="s">
        <v>3256</v>
      </c>
    </row>
    <row r="1610" spans="1:2">
      <c r="A1610">
        <v>92505956</v>
      </c>
      <c r="B1610" t="s">
        <v>3258</v>
      </c>
    </row>
    <row r="1611" spans="1:2">
      <c r="A1611">
        <v>92505957</v>
      </c>
      <c r="B1611" t="s">
        <v>3260</v>
      </c>
    </row>
    <row r="1612" spans="1:2">
      <c r="A1612">
        <v>92505958</v>
      </c>
      <c r="B1612" t="s">
        <v>3262</v>
      </c>
    </row>
    <row r="1613" spans="1:2">
      <c r="A1613">
        <v>92505959</v>
      </c>
      <c r="B1613" t="s">
        <v>3264</v>
      </c>
    </row>
    <row r="1614" spans="1:2">
      <c r="A1614">
        <v>92505960</v>
      </c>
      <c r="B1614" t="s">
        <v>3266</v>
      </c>
    </row>
    <row r="1615" spans="1:2">
      <c r="A1615">
        <v>92505961</v>
      </c>
      <c r="B1615" t="s">
        <v>3268</v>
      </c>
    </row>
    <row r="1616" spans="1:2">
      <c r="A1616">
        <v>92505962</v>
      </c>
      <c r="B1616" t="s">
        <v>3270</v>
      </c>
    </row>
    <row r="1617" spans="1:2">
      <c r="A1617">
        <v>92505963</v>
      </c>
      <c r="B1617" t="s">
        <v>3272</v>
      </c>
    </row>
    <row r="1618" spans="1:2">
      <c r="A1618">
        <v>92505964</v>
      </c>
      <c r="B1618" t="s">
        <v>3274</v>
      </c>
    </row>
    <row r="1619" spans="1:2">
      <c r="A1619">
        <v>92505965</v>
      </c>
      <c r="B1619" t="s">
        <v>3276</v>
      </c>
    </row>
    <row r="1620" spans="1:2">
      <c r="A1620">
        <v>92505966</v>
      </c>
      <c r="B1620" t="s">
        <v>3278</v>
      </c>
    </row>
    <row r="1621" spans="1:2">
      <c r="A1621">
        <v>92505967</v>
      </c>
      <c r="B1621" t="s">
        <v>3280</v>
      </c>
    </row>
    <row r="1622" spans="1:2">
      <c r="A1622">
        <v>92505968</v>
      </c>
      <c r="B1622" t="s">
        <v>3282</v>
      </c>
    </row>
    <row r="1623" spans="1:2">
      <c r="A1623">
        <v>92505969</v>
      </c>
      <c r="B1623" t="s">
        <v>3284</v>
      </c>
    </row>
    <row r="1624" spans="1:2">
      <c r="A1624">
        <v>92505970</v>
      </c>
      <c r="B1624" t="s">
        <v>3286</v>
      </c>
    </row>
    <row r="1625" spans="1:2">
      <c r="A1625">
        <v>92505971</v>
      </c>
      <c r="B1625" t="s">
        <v>3288</v>
      </c>
    </row>
    <row r="1626" spans="1:2">
      <c r="A1626">
        <v>92505972</v>
      </c>
      <c r="B1626" t="s">
        <v>3290</v>
      </c>
    </row>
    <row r="1627" spans="1:2">
      <c r="A1627">
        <v>92505973</v>
      </c>
      <c r="B1627" t="s">
        <v>3292</v>
      </c>
    </row>
    <row r="1628" spans="1:2">
      <c r="A1628">
        <v>92505974</v>
      </c>
      <c r="B1628" t="s">
        <v>3294</v>
      </c>
    </row>
    <row r="1629" spans="1:2">
      <c r="A1629">
        <v>92505975</v>
      </c>
      <c r="B1629" t="s">
        <v>3296</v>
      </c>
    </row>
    <row r="1630" spans="1:2">
      <c r="A1630">
        <v>92505976</v>
      </c>
      <c r="B1630" t="s">
        <v>3298</v>
      </c>
    </row>
    <row r="1631" spans="1:2">
      <c r="A1631">
        <v>92505977</v>
      </c>
      <c r="B1631" t="s">
        <v>3300</v>
      </c>
    </row>
    <row r="1632" spans="1:2">
      <c r="A1632">
        <v>92505978</v>
      </c>
      <c r="B1632" t="s">
        <v>3302</v>
      </c>
    </row>
    <row r="1633" spans="1:2">
      <c r="A1633">
        <v>92505979</v>
      </c>
      <c r="B1633" t="s">
        <v>3304</v>
      </c>
    </row>
    <row r="1634" spans="1:2">
      <c r="A1634">
        <v>92505980</v>
      </c>
      <c r="B1634" t="s">
        <v>3306</v>
      </c>
    </row>
    <row r="1635" spans="1:2">
      <c r="A1635">
        <v>92505981</v>
      </c>
      <c r="B1635" t="s">
        <v>3308</v>
      </c>
    </row>
    <row r="1636" spans="1:2">
      <c r="A1636">
        <v>92505982</v>
      </c>
      <c r="B1636" t="s">
        <v>3310</v>
      </c>
    </row>
    <row r="1637" spans="1:2">
      <c r="A1637">
        <v>92505983</v>
      </c>
      <c r="B1637" t="s">
        <v>3312</v>
      </c>
    </row>
    <row r="1638" spans="1:2">
      <c r="A1638">
        <v>92505984</v>
      </c>
      <c r="B1638" t="s">
        <v>3314</v>
      </c>
    </row>
    <row r="1639" spans="1:2">
      <c r="A1639">
        <v>92505985</v>
      </c>
      <c r="B1639" t="s">
        <v>3316</v>
      </c>
    </row>
    <row r="1640" spans="1:2">
      <c r="A1640">
        <v>92505986</v>
      </c>
      <c r="B1640" t="s">
        <v>3318</v>
      </c>
    </row>
    <row r="1641" spans="1:2">
      <c r="A1641">
        <v>92505987</v>
      </c>
      <c r="B1641" t="s">
        <v>3320</v>
      </c>
    </row>
    <row r="1642" spans="1:2">
      <c r="A1642">
        <v>92505988</v>
      </c>
      <c r="B1642" t="s">
        <v>3322</v>
      </c>
    </row>
    <row r="1643" spans="1:2">
      <c r="A1643">
        <v>92505989</v>
      </c>
      <c r="B1643" t="s">
        <v>3324</v>
      </c>
    </row>
    <row r="1644" spans="1:2">
      <c r="A1644">
        <v>92505990</v>
      </c>
      <c r="B1644" t="s">
        <v>3326</v>
      </c>
    </row>
    <row r="1645" spans="1:2">
      <c r="A1645">
        <v>92505991</v>
      </c>
      <c r="B1645" t="s">
        <v>3328</v>
      </c>
    </row>
    <row r="1646" spans="1:2">
      <c r="A1646">
        <v>92505992</v>
      </c>
      <c r="B1646" t="s">
        <v>4204</v>
      </c>
    </row>
    <row r="1647" spans="1:2">
      <c r="A1647">
        <v>92505993</v>
      </c>
      <c r="B1647" t="s">
        <v>4205</v>
      </c>
    </row>
    <row r="1648" spans="1:2">
      <c r="A1648">
        <v>92505994</v>
      </c>
      <c r="B1648" t="s">
        <v>4206</v>
      </c>
    </row>
    <row r="1649" spans="1:2">
      <c r="A1649">
        <v>92506001</v>
      </c>
      <c r="B1649" t="s">
        <v>3336</v>
      </c>
    </row>
    <row r="1650" spans="1:2">
      <c r="A1650">
        <v>92506002</v>
      </c>
      <c r="B1650" t="s">
        <v>3338</v>
      </c>
    </row>
    <row r="1651" spans="1:2">
      <c r="A1651">
        <v>92506003</v>
      </c>
      <c r="B1651" t="s">
        <v>3340</v>
      </c>
    </row>
    <row r="1652" spans="1:2">
      <c r="A1652">
        <v>92506004</v>
      </c>
      <c r="B1652" t="s">
        <v>3342</v>
      </c>
    </row>
    <row r="1653" spans="1:2">
      <c r="A1653">
        <v>92506005</v>
      </c>
      <c r="B1653" t="s">
        <v>3344</v>
      </c>
    </row>
    <row r="1654" spans="1:2">
      <c r="A1654">
        <v>92506006</v>
      </c>
      <c r="B1654" t="s">
        <v>3346</v>
      </c>
    </row>
    <row r="1655" spans="1:2">
      <c r="A1655">
        <v>92506007</v>
      </c>
      <c r="B1655" t="s">
        <v>3348</v>
      </c>
    </row>
    <row r="1656" spans="1:2">
      <c r="A1656">
        <v>92506008</v>
      </c>
      <c r="B1656" t="s">
        <v>3350</v>
      </c>
    </row>
    <row r="1657" spans="1:2">
      <c r="A1657">
        <v>92506009</v>
      </c>
      <c r="B1657" t="s">
        <v>3352</v>
      </c>
    </row>
    <row r="1658" spans="1:2">
      <c r="A1658">
        <v>92506010</v>
      </c>
      <c r="B1658" t="s">
        <v>3354</v>
      </c>
    </row>
    <row r="1659" spans="1:2">
      <c r="A1659">
        <v>92506011</v>
      </c>
      <c r="B1659" t="s">
        <v>3356</v>
      </c>
    </row>
    <row r="1660" spans="1:2">
      <c r="A1660">
        <v>92506012</v>
      </c>
      <c r="B1660" t="s">
        <v>3358</v>
      </c>
    </row>
    <row r="1661" spans="1:2">
      <c r="A1661">
        <v>92506013</v>
      </c>
      <c r="B1661" t="s">
        <v>3360</v>
      </c>
    </row>
    <row r="1662" spans="1:2">
      <c r="A1662">
        <v>92506014</v>
      </c>
      <c r="B1662" t="s">
        <v>3362</v>
      </c>
    </row>
    <row r="1663" spans="1:2">
      <c r="A1663">
        <v>93006101</v>
      </c>
      <c r="B1663" t="s">
        <v>3364</v>
      </c>
    </row>
    <row r="1664" spans="1:2">
      <c r="A1664">
        <v>93006102</v>
      </c>
      <c r="B1664" t="s">
        <v>3366</v>
      </c>
    </row>
    <row r="1665" spans="1:2">
      <c r="A1665">
        <v>93006103</v>
      </c>
      <c r="B1665" t="s">
        <v>3368</v>
      </c>
    </row>
    <row r="1666" spans="1:2">
      <c r="A1666">
        <v>93006104</v>
      </c>
      <c r="B1666" t="s">
        <v>3370</v>
      </c>
    </row>
    <row r="1667" spans="1:2">
      <c r="A1667">
        <v>93006105</v>
      </c>
      <c r="B1667" t="s">
        <v>3372</v>
      </c>
    </row>
    <row r="1668" spans="1:2">
      <c r="A1668">
        <v>93006106</v>
      </c>
      <c r="B1668" t="s">
        <v>3374</v>
      </c>
    </row>
    <row r="1669" spans="1:2">
      <c r="A1669">
        <v>99906201</v>
      </c>
      <c r="B1669" t="s">
        <v>3376</v>
      </c>
    </row>
    <row r="1670" spans="1:2">
      <c r="A1670" t="s">
        <v>3557</v>
      </c>
      <c r="B1670" t="s">
        <v>3558</v>
      </c>
    </row>
    <row r="1671" spans="1:2">
      <c r="A1671" t="s">
        <v>3559</v>
      </c>
      <c r="B1671" t="s">
        <v>4207</v>
      </c>
    </row>
    <row r="1672" spans="1:2">
      <c r="A1672" t="s">
        <v>3561</v>
      </c>
      <c r="B1672" t="s">
        <v>4208</v>
      </c>
    </row>
    <row r="1673" spans="1:2">
      <c r="A1673" t="s">
        <v>3563</v>
      </c>
      <c r="B1673" t="s">
        <v>4209</v>
      </c>
    </row>
    <row r="1674" spans="1:2">
      <c r="A1674" t="s">
        <v>3565</v>
      </c>
      <c r="B1674" t="s">
        <v>3566</v>
      </c>
    </row>
    <row r="1675" spans="1:2">
      <c r="A1675" t="s">
        <v>3567</v>
      </c>
      <c r="B1675" t="s">
        <v>3568</v>
      </c>
    </row>
    <row r="1676" spans="1:2">
      <c r="A1676" t="s">
        <v>3569</v>
      </c>
      <c r="B1676" t="s">
        <v>3570</v>
      </c>
    </row>
    <row r="1677" spans="1:2">
      <c r="A1677" t="s">
        <v>3571</v>
      </c>
      <c r="B1677" t="s">
        <v>3572</v>
      </c>
    </row>
    <row r="1678" spans="1:2">
      <c r="A1678" t="s">
        <v>3573</v>
      </c>
      <c r="B1678" t="s">
        <v>3574</v>
      </c>
    </row>
    <row r="1679" spans="1:2">
      <c r="A1679" t="s">
        <v>3575</v>
      </c>
      <c r="B1679" t="s">
        <v>3576</v>
      </c>
    </row>
    <row r="1680" spans="1:2">
      <c r="A1680" t="s">
        <v>3577</v>
      </c>
      <c r="B1680" t="s">
        <v>3578</v>
      </c>
    </row>
    <row r="1681" spans="1:2">
      <c r="A1681" t="s">
        <v>3579</v>
      </c>
      <c r="B1681" t="s">
        <v>3580</v>
      </c>
    </row>
    <row r="1682" spans="1:2">
      <c r="A1682" t="s">
        <v>3581</v>
      </c>
      <c r="B1682" t="s">
        <v>3582</v>
      </c>
    </row>
    <row r="1683" spans="1:2">
      <c r="A1683" t="s">
        <v>3583</v>
      </c>
      <c r="B1683" t="s">
        <v>3584</v>
      </c>
    </row>
    <row r="1684" spans="1:2">
      <c r="A1684" t="s">
        <v>3585</v>
      </c>
      <c r="B1684" t="s">
        <v>3586</v>
      </c>
    </row>
    <row r="1685" spans="1:2">
      <c r="A1685" t="s">
        <v>3587</v>
      </c>
      <c r="B1685" t="s">
        <v>3588</v>
      </c>
    </row>
    <row r="1686" spans="1:2">
      <c r="A1686" t="s">
        <v>3589</v>
      </c>
      <c r="B1686" t="s">
        <v>3590</v>
      </c>
    </row>
    <row r="1687" spans="1:2">
      <c r="A1687" t="s">
        <v>3591</v>
      </c>
      <c r="B1687" t="s">
        <v>3592</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AI136"/>
  <sheetViews>
    <sheetView view="pageBreakPreview" topLeftCell="A5" zoomScale="80" zoomScaleNormal="100" zoomScaleSheetLayoutView="80" workbookViewId="0">
      <selection activeCell="H19" sqref="H19"/>
    </sheetView>
  </sheetViews>
  <sheetFormatPr defaultColWidth="8.81640625" defaultRowHeight="13"/>
  <cols>
    <col min="1" max="1" width="7" customWidth="1"/>
    <col min="6" max="6" width="8" customWidth="1"/>
    <col min="9" max="9" width="9.453125" customWidth="1"/>
    <col min="12" max="12" width="4.36328125" customWidth="1"/>
    <col min="13" max="13" width="14.6328125" customWidth="1"/>
    <col min="14" max="14" width="15.36328125" customWidth="1"/>
  </cols>
  <sheetData>
    <row r="1" spans="1:15">
      <c r="A1" s="39"/>
      <c r="B1" t="s">
        <v>134</v>
      </c>
      <c r="E1" s="39"/>
      <c r="F1" s="39"/>
      <c r="G1" s="39"/>
      <c r="H1" s="39"/>
      <c r="I1" s="39"/>
      <c r="J1" t="s">
        <v>301</v>
      </c>
    </row>
    <row r="2" spans="1:15">
      <c r="A2" s="39"/>
      <c r="C2" t="s">
        <v>133</v>
      </c>
      <c r="D2" s="146">
        <v>0</v>
      </c>
      <c r="E2" s="39"/>
      <c r="F2" s="44" t="s">
        <v>43</v>
      </c>
      <c r="G2" s="45"/>
      <c r="H2" s="111" t="str">
        <f>IF(E2="","",INT(E2*G2))</f>
        <v/>
      </c>
      <c r="I2" s="39"/>
      <c r="J2" t="s">
        <v>302</v>
      </c>
      <c r="K2" s="365" t="s">
        <v>303</v>
      </c>
      <c r="L2" s="157"/>
      <c r="M2" s="158"/>
      <c r="N2" s="157"/>
      <c r="O2" s="157"/>
    </row>
    <row r="3" spans="1:15">
      <c r="A3" s="39"/>
      <c r="B3" t="s">
        <v>116</v>
      </c>
      <c r="E3" s="47"/>
      <c r="F3" s="39"/>
      <c r="G3" s="39"/>
      <c r="H3" s="39"/>
      <c r="I3" s="39"/>
      <c r="J3" s="157"/>
      <c r="K3" s="159"/>
      <c r="L3" s="157"/>
      <c r="M3" s="157"/>
      <c r="N3" s="157"/>
      <c r="O3" s="157"/>
    </row>
    <row r="4" spans="1:15">
      <c r="A4" s="39"/>
      <c r="C4" t="s">
        <v>117</v>
      </c>
      <c r="D4" s="146">
        <v>1</v>
      </c>
      <c r="E4" s="39"/>
      <c r="F4" s="42" t="s">
        <v>44</v>
      </c>
      <c r="G4" s="42"/>
      <c r="H4" s="40" t="str">
        <f>+表紙!S5</f>
        <v>標準単価金額無2018.xls</v>
      </c>
      <c r="I4" s="39"/>
      <c r="J4" s="157"/>
      <c r="K4" s="160"/>
      <c r="L4" s="160"/>
      <c r="M4" s="158"/>
      <c r="N4" s="158"/>
      <c r="O4" s="157"/>
    </row>
    <row r="5" spans="1:15">
      <c r="A5" s="39"/>
      <c r="B5" t="s">
        <v>118</v>
      </c>
      <c r="D5" s="39"/>
      <c r="E5" s="39"/>
      <c r="F5" s="46" t="s">
        <v>45</v>
      </c>
      <c r="G5" s="42"/>
      <c r="H5" s="41" t="str">
        <f>+表紙!S6</f>
        <v>c:\積算\</v>
      </c>
      <c r="I5" s="39"/>
      <c r="J5" s="157"/>
      <c r="K5" s="160"/>
      <c r="L5" s="160"/>
      <c r="M5" s="158"/>
      <c r="N5" s="158"/>
      <c r="O5" s="157"/>
    </row>
    <row r="6" spans="1:15">
      <c r="A6" s="39"/>
      <c r="C6" t="s">
        <v>121</v>
      </c>
      <c r="D6" s="146">
        <v>1</v>
      </c>
      <c r="E6" s="39"/>
      <c r="F6" s="39"/>
      <c r="G6" s="39"/>
      <c r="H6" s="39"/>
      <c r="I6" s="39"/>
      <c r="J6" s="157"/>
      <c r="K6" s="160"/>
      <c r="L6" s="160"/>
      <c r="M6" s="158"/>
      <c r="N6" s="158"/>
      <c r="O6" s="157"/>
    </row>
    <row r="7" spans="1:15">
      <c r="A7" s="39"/>
      <c r="B7" t="s">
        <v>119</v>
      </c>
      <c r="D7" s="39"/>
      <c r="E7" s="39"/>
      <c r="F7" s="39" t="s">
        <v>124</v>
      </c>
      <c r="G7" s="39"/>
      <c r="H7" s="39"/>
      <c r="I7" s="39"/>
      <c r="J7" s="157"/>
      <c r="K7" s="160"/>
      <c r="L7" s="160"/>
      <c r="M7" s="158"/>
      <c r="N7" s="158"/>
      <c r="O7" s="157"/>
    </row>
    <row r="8" spans="1:15">
      <c r="A8" s="39"/>
      <c r="C8" t="s">
        <v>122</v>
      </c>
      <c r="D8" s="146">
        <v>1</v>
      </c>
      <c r="E8" s="39"/>
      <c r="F8" s="39"/>
      <c r="G8" s="39" t="s">
        <v>62</v>
      </c>
      <c r="H8" s="148">
        <v>0</v>
      </c>
      <c r="I8" s="39"/>
      <c r="J8" s="157"/>
      <c r="K8" s="160"/>
      <c r="L8" s="160"/>
      <c r="M8" s="158"/>
      <c r="N8" s="158"/>
      <c r="O8" s="157"/>
    </row>
    <row r="9" spans="1:15">
      <c r="A9" s="39"/>
      <c r="B9" t="s">
        <v>120</v>
      </c>
      <c r="D9" s="39"/>
      <c r="E9" s="39"/>
      <c r="F9" s="39" t="s">
        <v>46</v>
      </c>
      <c r="G9" s="39"/>
      <c r="H9" s="39"/>
      <c r="I9" s="39"/>
      <c r="J9" s="157"/>
      <c r="K9" s="160"/>
      <c r="L9" s="160"/>
      <c r="M9" s="158"/>
      <c r="N9" s="158"/>
      <c r="O9" s="157"/>
    </row>
    <row r="10" spans="1:15">
      <c r="A10" s="39"/>
      <c r="C10" t="s">
        <v>123</v>
      </c>
      <c r="D10" s="146">
        <v>0</v>
      </c>
      <c r="E10" s="39"/>
      <c r="F10" s="39"/>
      <c r="G10" s="39" t="s">
        <v>63</v>
      </c>
      <c r="H10" s="43">
        <v>5000</v>
      </c>
      <c r="I10" s="39"/>
      <c r="J10" s="157"/>
      <c r="K10" s="160"/>
      <c r="L10" s="160"/>
      <c r="M10" s="158"/>
      <c r="N10" s="158"/>
      <c r="O10" s="157"/>
    </row>
    <row r="11" spans="1:15">
      <c r="A11" s="39"/>
      <c r="B11" t="s">
        <v>130</v>
      </c>
      <c r="D11" s="39"/>
      <c r="E11" s="39"/>
      <c r="F11" s="39" t="s">
        <v>101</v>
      </c>
      <c r="G11" s="39"/>
      <c r="H11" s="39"/>
      <c r="I11" s="39"/>
      <c r="J11" s="157"/>
      <c r="K11" s="160"/>
      <c r="L11" s="160"/>
      <c r="M11" s="158"/>
      <c r="N11" s="158"/>
      <c r="O11" s="157"/>
    </row>
    <row r="12" spans="1:15">
      <c r="A12" s="39"/>
      <c r="C12" t="s">
        <v>127</v>
      </c>
      <c r="D12" s="146">
        <v>0</v>
      </c>
      <c r="E12" s="39"/>
      <c r="F12" s="39"/>
      <c r="G12" s="47" t="s">
        <v>64</v>
      </c>
      <c r="H12" s="147">
        <v>3</v>
      </c>
      <c r="I12" s="39"/>
      <c r="J12" s="157"/>
      <c r="K12" s="160"/>
      <c r="L12" s="160"/>
      <c r="M12" s="158"/>
      <c r="N12" s="158"/>
      <c r="O12" s="157"/>
    </row>
    <row r="13" spans="1:15">
      <c r="A13" s="39"/>
      <c r="B13" t="s">
        <v>126</v>
      </c>
      <c r="D13" s="39"/>
      <c r="E13" s="39"/>
      <c r="F13" s="39" t="s">
        <v>69</v>
      </c>
      <c r="G13" s="39"/>
      <c r="H13" s="39"/>
      <c r="I13" s="39"/>
      <c r="J13" s="157"/>
      <c r="K13" s="160"/>
      <c r="L13" s="160"/>
      <c r="M13" s="158"/>
      <c r="N13" s="158"/>
      <c r="O13" s="157"/>
    </row>
    <row r="14" spans="1:15">
      <c r="A14" s="39"/>
      <c r="C14" t="s">
        <v>129</v>
      </c>
      <c r="D14" s="148">
        <v>16</v>
      </c>
      <c r="E14" s="39"/>
      <c r="F14" s="39"/>
      <c r="G14" s="39" t="s">
        <v>70</v>
      </c>
      <c r="H14" s="43">
        <f>表紙!S9</f>
        <v>1</v>
      </c>
      <c r="I14" s="39"/>
      <c r="J14" s="157"/>
      <c r="K14" s="160"/>
      <c r="L14" s="160"/>
      <c r="M14" s="158"/>
      <c r="N14" s="158"/>
      <c r="O14" s="157"/>
    </row>
    <row r="15" spans="1:15">
      <c r="A15" s="39"/>
      <c r="B15" t="s">
        <v>234</v>
      </c>
      <c r="D15" s="39"/>
      <c r="E15" s="39"/>
      <c r="F15" s="39" t="s">
        <v>71</v>
      </c>
      <c r="G15" s="39"/>
      <c r="H15" s="39"/>
      <c r="I15" s="39"/>
      <c r="J15" s="157"/>
      <c r="K15" s="160"/>
      <c r="L15" s="160"/>
      <c r="M15" s="158"/>
      <c r="N15" s="158"/>
      <c r="O15" s="157"/>
    </row>
    <row r="16" spans="1:15">
      <c r="A16" s="39"/>
      <c r="C16" t="s">
        <v>225</v>
      </c>
      <c r="D16" s="43">
        <v>1</v>
      </c>
      <c r="E16" s="39"/>
      <c r="F16" s="39"/>
      <c r="G16" s="39" t="s">
        <v>237</v>
      </c>
      <c r="H16" s="148">
        <v>2</v>
      </c>
      <c r="I16" s="39"/>
      <c r="J16" s="157"/>
      <c r="K16" s="160"/>
      <c r="L16" s="160"/>
      <c r="M16" s="158"/>
      <c r="N16" s="158"/>
      <c r="O16" s="157"/>
    </row>
    <row r="17" spans="1:15">
      <c r="A17" s="39"/>
      <c r="B17" t="s">
        <v>226</v>
      </c>
      <c r="D17" s="39"/>
      <c r="E17" s="39"/>
      <c r="F17" s="39" t="s">
        <v>72</v>
      </c>
      <c r="G17" s="39"/>
      <c r="H17" s="149"/>
      <c r="I17" s="39"/>
      <c r="J17" s="157"/>
      <c r="K17" s="160"/>
      <c r="L17" s="160"/>
      <c r="M17" s="158"/>
      <c r="N17" s="158"/>
      <c r="O17" s="157"/>
    </row>
    <row r="18" spans="1:15">
      <c r="A18" s="39"/>
      <c r="C18" t="s">
        <v>227</v>
      </c>
      <c r="D18" s="228" t="s">
        <v>235</v>
      </c>
      <c r="E18" s="39"/>
      <c r="F18" s="39"/>
      <c r="G18" s="39" t="s">
        <v>73</v>
      </c>
      <c r="H18" s="148">
        <v>6</v>
      </c>
      <c r="I18" s="39"/>
      <c r="J18" s="157"/>
      <c r="K18" s="160"/>
      <c r="L18" s="160"/>
      <c r="M18" s="158"/>
      <c r="N18" s="158"/>
      <c r="O18" s="157"/>
    </row>
    <row r="19" spans="1:15">
      <c r="A19" s="39"/>
      <c r="C19" t="s">
        <v>228</v>
      </c>
      <c r="D19" s="228" t="s">
        <v>233</v>
      </c>
      <c r="E19" s="39"/>
      <c r="F19" s="39" t="s">
        <v>75</v>
      </c>
      <c r="G19" s="39"/>
      <c r="H19" s="149"/>
      <c r="I19" s="39"/>
      <c r="J19" s="157"/>
      <c r="K19" s="160"/>
      <c r="L19" s="160"/>
      <c r="M19" s="158"/>
      <c r="N19" s="158"/>
      <c r="O19" s="157"/>
    </row>
    <row r="20" spans="1:15">
      <c r="A20" s="39"/>
      <c r="D20" s="39"/>
      <c r="E20" s="39"/>
      <c r="F20" s="39"/>
      <c r="G20" s="39" t="s">
        <v>76</v>
      </c>
      <c r="H20" s="148">
        <f>COUNTA(代価一覧!C2:C65532)</f>
        <v>12</v>
      </c>
      <c r="I20" s="39"/>
    </row>
    <row r="21" spans="1:15">
      <c r="A21" s="39"/>
      <c r="D21" s="39"/>
      <c r="E21" s="39"/>
      <c r="F21" s="42" t="s">
        <v>136</v>
      </c>
      <c r="G21" s="42"/>
      <c r="H21" s="40" t="str">
        <f>表紙!W8</f>
        <v>諸経費表2018.xlsx</v>
      </c>
      <c r="I21" s="39"/>
    </row>
    <row r="22" spans="1:15">
      <c r="A22" s="39"/>
      <c r="D22" s="39"/>
      <c r="E22" s="39"/>
      <c r="F22" s="46" t="s">
        <v>137</v>
      </c>
      <c r="G22" s="42"/>
      <c r="H22" s="41" t="str">
        <f>表紙!W9</f>
        <v>c:\積算\</v>
      </c>
      <c r="I22" s="39"/>
    </row>
    <row r="23" spans="1:15" ht="16.5">
      <c r="A23" s="39"/>
      <c r="D23" s="39"/>
      <c r="E23" s="39"/>
      <c r="F23" s="39"/>
      <c r="G23" s="39"/>
      <c r="H23" s="84"/>
      <c r="I23" s="39"/>
    </row>
    <row r="24" spans="1:15">
      <c r="A24" s="39"/>
      <c r="B24" t="s">
        <v>230</v>
      </c>
      <c r="E24" s="39"/>
      <c r="F24" s="39" t="s">
        <v>81</v>
      </c>
      <c r="G24" s="39"/>
      <c r="H24" s="39"/>
      <c r="I24" s="39"/>
    </row>
    <row r="25" spans="1:15">
      <c r="A25" s="39"/>
      <c r="C25" t="s">
        <v>229</v>
      </c>
      <c r="D25" s="146">
        <v>8</v>
      </c>
      <c r="E25" s="39"/>
      <c r="F25" s="39"/>
      <c r="G25" s="39" t="s">
        <v>82</v>
      </c>
      <c r="H25" s="43">
        <v>500</v>
      </c>
      <c r="I25" s="39"/>
    </row>
    <row r="26" spans="1:15">
      <c r="A26" s="39"/>
      <c r="B26" t="s">
        <v>231</v>
      </c>
      <c r="E26" s="39"/>
      <c r="F26" s="39" t="s">
        <v>143</v>
      </c>
      <c r="G26" s="39"/>
      <c r="H26" s="39"/>
      <c r="I26" s="39"/>
    </row>
    <row r="27" spans="1:15" ht="13.5" thickBot="1">
      <c r="A27" s="39"/>
      <c r="C27" t="s">
        <v>229</v>
      </c>
      <c r="D27" s="146" t="s">
        <v>232</v>
      </c>
      <c r="E27" s="39"/>
      <c r="F27" s="39"/>
      <c r="G27" s="162" t="s">
        <v>142</v>
      </c>
      <c r="H27" s="115" t="e">
        <f>SUM(H9:H26)+H4</f>
        <v>#VALUE!</v>
      </c>
      <c r="I27" s="115">
        <f>SUM(I9:I26)+I4</f>
        <v>0</v>
      </c>
      <c r="J27" s="770">
        <f>IF(B8="部分撤去工事",(J4+K27),0)</f>
        <v>0</v>
      </c>
      <c r="K27" s="769">
        <f>IF(B8="部分撤去工事",SUMIF(M9:M26,"費用",H9:H26),0)</f>
        <v>0</v>
      </c>
    </row>
    <row r="28" spans="1:15">
      <c r="A28" s="39"/>
      <c r="D28" s="39"/>
      <c r="E28" s="39"/>
      <c r="F28" s="39" t="s">
        <v>102</v>
      </c>
      <c r="G28" s="39"/>
      <c r="H28" s="39"/>
      <c r="I28" s="39"/>
    </row>
    <row r="29" spans="1:15">
      <c r="A29" s="39"/>
      <c r="D29" s="39"/>
      <c r="E29" s="39"/>
      <c r="F29" s="39"/>
      <c r="G29" s="39" t="s">
        <v>103</v>
      </c>
      <c r="H29" s="43">
        <v>0</v>
      </c>
      <c r="I29" s="39"/>
    </row>
    <row r="30" spans="1:15">
      <c r="A30" s="39"/>
      <c r="B30" s="39"/>
      <c r="C30" s="39"/>
      <c r="D30" s="39"/>
      <c r="E30" s="39"/>
      <c r="F30" s="39" t="s">
        <v>138</v>
      </c>
      <c r="G30" s="39"/>
      <c r="H30" s="39"/>
      <c r="I30" s="39"/>
    </row>
    <row r="31" spans="1:15">
      <c r="G31" s="39" t="s">
        <v>139</v>
      </c>
      <c r="H31" s="161" t="s">
        <v>4263</v>
      </c>
    </row>
    <row r="32" spans="1:15">
      <c r="G32" s="39" t="s">
        <v>140</v>
      </c>
      <c r="H32" s="161" t="s">
        <v>4264</v>
      </c>
    </row>
    <row r="33" spans="7:8">
      <c r="G33" s="39" t="s">
        <v>141</v>
      </c>
      <c r="H33" s="161" t="s">
        <v>4265</v>
      </c>
    </row>
    <row r="35" spans="7:8">
      <c r="G35" s="39"/>
    </row>
    <row r="50" spans="1:35" s="1" customFormat="1" ht="26" customHeight="1" thickBot="1">
      <c r="A50" s="6"/>
      <c r="B50" s="6"/>
      <c r="C50" s="938" t="s">
        <v>369</v>
      </c>
      <c r="D50" s="938"/>
      <c r="E50" s="938"/>
      <c r="F50" s="938"/>
      <c r="G50" s="938"/>
      <c r="H50" s="938"/>
      <c r="I50" s="938"/>
      <c r="J50" s="938"/>
      <c r="K50" s="938"/>
      <c r="L50" s="938"/>
      <c r="O50" s="1039" t="s">
        <v>154</v>
      </c>
      <c r="P50" s="1039"/>
      <c r="Q50" s="1039"/>
      <c r="R50" s="1039"/>
      <c r="S50" s="1039"/>
      <c r="T50" s="1039"/>
      <c r="U50" s="1039"/>
      <c r="V50" s="1039"/>
      <c r="W50" s="1039"/>
      <c r="X50" s="1039"/>
      <c r="Y50" s="1039"/>
      <c r="Z50" s="1039"/>
      <c r="AA50" s="1039"/>
      <c r="AB50" s="1039"/>
      <c r="AC50" s="1039"/>
      <c r="AD50" s="1039"/>
      <c r="AE50" s="1039"/>
      <c r="AF50" s="1039"/>
      <c r="AG50" s="1039"/>
      <c r="AH50" s="1040"/>
      <c r="AI50" s="696"/>
    </row>
    <row r="51" spans="1:35" s="1" customFormat="1" ht="41.25" customHeight="1">
      <c r="A51" s="5" t="s">
        <v>13</v>
      </c>
      <c r="B51" s="5" t="s">
        <v>47</v>
      </c>
      <c r="C51" s="120" t="s">
        <v>0</v>
      </c>
      <c r="D51" s="116"/>
      <c r="E51" s="117" t="s">
        <v>1</v>
      </c>
      <c r="F51" s="118" t="s">
        <v>2</v>
      </c>
      <c r="G51" s="118" t="s">
        <v>3</v>
      </c>
      <c r="H51" s="119" t="s">
        <v>4</v>
      </c>
      <c r="I51" s="119" t="s">
        <v>5</v>
      </c>
      <c r="J51" s="968" t="s">
        <v>6</v>
      </c>
      <c r="K51" s="969"/>
      <c r="L51" s="970"/>
      <c r="M51" s="779"/>
      <c r="N51" s="786" t="s">
        <v>4269</v>
      </c>
      <c r="O51" s="776" t="s">
        <v>85</v>
      </c>
      <c r="P51" s="364" t="s">
        <v>304</v>
      </c>
      <c r="Q51" s="296" t="s">
        <v>305</v>
      </c>
      <c r="R51" s="296" t="s">
        <v>249</v>
      </c>
      <c r="S51" s="296" t="s">
        <v>250</v>
      </c>
      <c r="T51" s="296" t="s">
        <v>306</v>
      </c>
      <c r="U51" s="296" t="s">
        <v>148</v>
      </c>
      <c r="V51" s="164" t="s">
        <v>147</v>
      </c>
      <c r="W51" s="296" t="s">
        <v>307</v>
      </c>
      <c r="X51" s="229" t="s">
        <v>252</v>
      </c>
      <c r="Y51" s="229" t="s">
        <v>253</v>
      </c>
      <c r="Z51" s="229" t="s">
        <v>254</v>
      </c>
      <c r="AA51" s="229" t="s">
        <v>255</v>
      </c>
      <c r="AB51" s="229" t="s">
        <v>308</v>
      </c>
      <c r="AC51" s="367" t="s">
        <v>309</v>
      </c>
      <c r="AD51" s="368" t="s">
        <v>310</v>
      </c>
      <c r="AE51" s="369" t="s">
        <v>150</v>
      </c>
      <c r="AF51" s="163" t="s">
        <v>311</v>
      </c>
      <c r="AG51" s="163" t="s">
        <v>312</v>
      </c>
      <c r="AH51" s="163" t="s">
        <v>152</v>
      </c>
      <c r="AI51" s="697"/>
    </row>
    <row r="52" spans="1:35" s="1" customFormat="1" ht="24" customHeight="1">
      <c r="A52" s="36"/>
      <c r="B52" s="36"/>
      <c r="C52" s="138"/>
      <c r="D52" s="139"/>
      <c r="E52" s="140"/>
      <c r="F52" s="293"/>
      <c r="G52" s="107"/>
      <c r="H52" s="97" t="s">
        <v>12</v>
      </c>
      <c r="I52" s="97" t="s">
        <v>12</v>
      </c>
      <c r="J52" s="1036"/>
      <c r="K52" s="1037"/>
      <c r="L52" s="1038"/>
      <c r="M52" s="780"/>
      <c r="N52" s="781"/>
      <c r="O52" s="777"/>
      <c r="P52" s="237"/>
      <c r="Q52" s="238"/>
      <c r="R52" s="238"/>
      <c r="S52" s="238"/>
      <c r="T52" s="238"/>
      <c r="U52" s="238"/>
      <c r="V52" s="238"/>
      <c r="W52" s="238"/>
      <c r="X52" s="239"/>
      <c r="Y52" s="239"/>
      <c r="Z52" s="239"/>
      <c r="AA52" s="239"/>
      <c r="AB52" s="239"/>
      <c r="AC52" s="238"/>
      <c r="AD52" s="370"/>
      <c r="AE52" s="371"/>
      <c r="AF52" s="238"/>
      <c r="AG52" s="238"/>
      <c r="AH52" s="238"/>
      <c r="AI52" s="698"/>
    </row>
    <row r="53" spans="1:35" s="37" customFormat="1" ht="24" customHeight="1">
      <c r="A53" s="36"/>
      <c r="B53" s="36"/>
      <c r="C53" s="134"/>
      <c r="D53" s="135"/>
      <c r="E53" s="124"/>
      <c r="F53" s="294"/>
      <c r="G53" s="125"/>
      <c r="H53" s="141"/>
      <c r="I53" s="111" t="str">
        <f t="shared" ref="I53:I70" si="0">IF(F53="","",INT(F53*H53))</f>
        <v/>
      </c>
      <c r="J53" s="67"/>
      <c r="K53" s="68"/>
      <c r="L53" s="69"/>
      <c r="M53" s="782"/>
      <c r="N53" s="783"/>
      <c r="O53" s="777"/>
      <c r="P53" s="237"/>
      <c r="Q53" s="238"/>
      <c r="R53" s="238"/>
      <c r="S53" s="238"/>
      <c r="T53" s="238"/>
      <c r="U53" s="238"/>
      <c r="V53" s="238"/>
      <c r="W53" s="238"/>
      <c r="X53" s="239"/>
      <c r="Y53" s="239"/>
      <c r="Z53" s="239"/>
      <c r="AA53" s="239"/>
      <c r="AB53" s="239"/>
      <c r="AC53" s="238"/>
      <c r="AD53" s="370"/>
      <c r="AE53" s="371"/>
      <c r="AF53" s="238"/>
      <c r="AG53" s="238"/>
      <c r="AH53" s="650"/>
      <c r="AI53" s="698"/>
    </row>
    <row r="54" spans="1:35" s="37" customFormat="1" ht="24" customHeight="1">
      <c r="A54" s="36"/>
      <c r="B54" s="36"/>
      <c r="C54" s="134"/>
      <c r="D54" s="135"/>
      <c r="E54" s="124"/>
      <c r="F54" s="294"/>
      <c r="G54" s="125"/>
      <c r="H54" s="141"/>
      <c r="I54" s="111" t="str">
        <f t="shared" si="0"/>
        <v/>
      </c>
      <c r="J54" s="67"/>
      <c r="K54" s="68"/>
      <c r="L54" s="69"/>
      <c r="M54" s="782"/>
      <c r="N54" s="783"/>
      <c r="O54" s="777"/>
      <c r="P54" s="237"/>
      <c r="Q54" s="238"/>
      <c r="R54" s="238"/>
      <c r="S54" s="238"/>
      <c r="T54" s="238"/>
      <c r="U54" s="238"/>
      <c r="V54" s="238"/>
      <c r="W54" s="238"/>
      <c r="X54" s="239"/>
      <c r="Y54" s="239"/>
      <c r="Z54" s="239"/>
      <c r="AA54" s="239"/>
      <c r="AB54" s="239"/>
      <c r="AC54" s="238"/>
      <c r="AD54" s="370"/>
      <c r="AE54" s="371"/>
      <c r="AF54" s="238"/>
      <c r="AG54" s="238"/>
      <c r="AH54" s="650"/>
      <c r="AI54" s="698"/>
    </row>
    <row r="55" spans="1:35" s="37" customFormat="1" ht="24" customHeight="1">
      <c r="A55" s="36"/>
      <c r="B55" s="36"/>
      <c r="C55" s="134"/>
      <c r="D55" s="135"/>
      <c r="E55" s="124"/>
      <c r="F55" s="294"/>
      <c r="G55" s="125"/>
      <c r="H55" s="141"/>
      <c r="I55" s="111" t="str">
        <f t="shared" si="0"/>
        <v/>
      </c>
      <c r="J55" s="67"/>
      <c r="K55" s="68"/>
      <c r="L55" s="69"/>
      <c r="M55" s="782"/>
      <c r="N55" s="783"/>
      <c r="O55" s="777"/>
      <c r="P55" s="237"/>
      <c r="Q55" s="238"/>
      <c r="R55" s="238"/>
      <c r="S55" s="238"/>
      <c r="T55" s="238"/>
      <c r="U55" s="238"/>
      <c r="V55" s="238"/>
      <c r="W55" s="238"/>
      <c r="X55" s="239"/>
      <c r="Y55" s="239"/>
      <c r="Z55" s="239"/>
      <c r="AA55" s="239"/>
      <c r="AB55" s="239"/>
      <c r="AC55" s="238"/>
      <c r="AD55" s="370"/>
      <c r="AE55" s="371"/>
      <c r="AF55" s="238"/>
      <c r="AG55" s="238"/>
      <c r="AH55" s="650"/>
      <c r="AI55" s="698"/>
    </row>
    <row r="56" spans="1:35" s="37" customFormat="1" ht="24" customHeight="1">
      <c r="A56" s="36"/>
      <c r="B56" s="36"/>
      <c r="C56" s="134"/>
      <c r="D56" s="135"/>
      <c r="E56" s="124"/>
      <c r="F56" s="294"/>
      <c r="G56" s="125"/>
      <c r="H56" s="141"/>
      <c r="I56" s="111" t="str">
        <f t="shared" si="0"/>
        <v/>
      </c>
      <c r="J56" s="67"/>
      <c r="K56" s="68"/>
      <c r="L56" s="69"/>
      <c r="M56" s="782"/>
      <c r="N56" s="783"/>
      <c r="O56" s="777"/>
      <c r="P56" s="237"/>
      <c r="Q56" s="238"/>
      <c r="R56" s="238"/>
      <c r="S56" s="238"/>
      <c r="T56" s="238"/>
      <c r="U56" s="238"/>
      <c r="V56" s="238"/>
      <c r="W56" s="238"/>
      <c r="X56" s="239"/>
      <c r="Y56" s="239"/>
      <c r="Z56" s="239"/>
      <c r="AA56" s="239"/>
      <c r="AB56" s="239"/>
      <c r="AC56" s="238"/>
      <c r="AD56" s="370"/>
      <c r="AE56" s="371"/>
      <c r="AF56" s="238"/>
      <c r="AG56" s="238"/>
      <c r="AH56" s="650"/>
      <c r="AI56" s="698"/>
    </row>
    <row r="57" spans="1:35" s="37" customFormat="1" ht="24" customHeight="1">
      <c r="A57" s="36"/>
      <c r="B57" s="36"/>
      <c r="C57" s="134"/>
      <c r="D57" s="135"/>
      <c r="E57" s="124"/>
      <c r="F57" s="294"/>
      <c r="G57" s="125"/>
      <c r="H57" s="141"/>
      <c r="I57" s="111" t="str">
        <f t="shared" si="0"/>
        <v/>
      </c>
      <c r="J57" s="67"/>
      <c r="K57" s="68"/>
      <c r="L57" s="69"/>
      <c r="M57" s="782"/>
      <c r="N57" s="783"/>
      <c r="O57" s="777"/>
      <c r="P57" s="237"/>
      <c r="Q57" s="238"/>
      <c r="R57" s="238"/>
      <c r="S57" s="238"/>
      <c r="T57" s="238"/>
      <c r="U57" s="238"/>
      <c r="V57" s="238"/>
      <c r="W57" s="238"/>
      <c r="X57" s="239"/>
      <c r="Y57" s="239"/>
      <c r="Z57" s="239"/>
      <c r="AA57" s="239"/>
      <c r="AB57" s="239"/>
      <c r="AC57" s="238"/>
      <c r="AD57" s="370"/>
      <c r="AE57" s="371"/>
      <c r="AF57" s="238"/>
      <c r="AG57" s="238"/>
      <c r="AH57" s="650"/>
      <c r="AI57" s="698"/>
    </row>
    <row r="58" spans="1:35" s="37" customFormat="1" ht="24" customHeight="1">
      <c r="A58" s="36"/>
      <c r="B58" s="36"/>
      <c r="C58" s="134"/>
      <c r="D58" s="135"/>
      <c r="E58" s="124"/>
      <c r="F58" s="294"/>
      <c r="G58" s="125"/>
      <c r="H58" s="141"/>
      <c r="I58" s="111" t="str">
        <f t="shared" si="0"/>
        <v/>
      </c>
      <c r="J58" s="67"/>
      <c r="K58" s="68"/>
      <c r="L58" s="69"/>
      <c r="M58" s="782"/>
      <c r="N58" s="783"/>
      <c r="O58" s="777"/>
      <c r="P58" s="237"/>
      <c r="Q58" s="238"/>
      <c r="R58" s="238"/>
      <c r="S58" s="238"/>
      <c r="T58" s="238"/>
      <c r="U58" s="238"/>
      <c r="V58" s="238"/>
      <c r="W58" s="238"/>
      <c r="X58" s="239"/>
      <c r="Y58" s="239"/>
      <c r="Z58" s="239"/>
      <c r="AA58" s="239"/>
      <c r="AB58" s="239"/>
      <c r="AC58" s="238"/>
      <c r="AD58" s="370"/>
      <c r="AE58" s="371"/>
      <c r="AF58" s="238"/>
      <c r="AG58" s="238"/>
      <c r="AH58" s="650"/>
      <c r="AI58" s="698"/>
    </row>
    <row r="59" spans="1:35" s="37" customFormat="1" ht="24" customHeight="1">
      <c r="A59" s="36"/>
      <c r="B59" s="36"/>
      <c r="C59" s="134"/>
      <c r="D59" s="135"/>
      <c r="E59" s="124"/>
      <c r="F59" s="294"/>
      <c r="G59" s="125"/>
      <c r="H59" s="141"/>
      <c r="I59" s="111" t="str">
        <f t="shared" si="0"/>
        <v/>
      </c>
      <c r="J59" s="67"/>
      <c r="K59" s="68"/>
      <c r="L59" s="69"/>
      <c r="M59" s="782"/>
      <c r="N59" s="783"/>
      <c r="O59" s="777"/>
      <c r="P59" s="237"/>
      <c r="Q59" s="238"/>
      <c r="R59" s="238"/>
      <c r="S59" s="238"/>
      <c r="T59" s="238"/>
      <c r="U59" s="238"/>
      <c r="V59" s="238"/>
      <c r="W59" s="238"/>
      <c r="X59" s="239"/>
      <c r="Y59" s="239"/>
      <c r="Z59" s="239"/>
      <c r="AA59" s="239"/>
      <c r="AB59" s="239"/>
      <c r="AC59" s="238"/>
      <c r="AD59" s="370"/>
      <c r="AE59" s="371"/>
      <c r="AF59" s="238"/>
      <c r="AG59" s="238"/>
      <c r="AH59" s="650"/>
      <c r="AI59" s="698"/>
    </row>
    <row r="60" spans="1:35" s="37" customFormat="1" ht="24" customHeight="1">
      <c r="A60" s="36"/>
      <c r="B60" s="36"/>
      <c r="C60" s="134"/>
      <c r="D60" s="135"/>
      <c r="E60" s="124"/>
      <c r="F60" s="294"/>
      <c r="G60" s="125"/>
      <c r="H60" s="141"/>
      <c r="I60" s="111" t="str">
        <f t="shared" si="0"/>
        <v/>
      </c>
      <c r="J60" s="67"/>
      <c r="K60" s="68"/>
      <c r="L60" s="69"/>
      <c r="M60" s="782"/>
      <c r="N60" s="783"/>
      <c r="O60" s="777"/>
      <c r="P60" s="237"/>
      <c r="Q60" s="238"/>
      <c r="R60" s="238"/>
      <c r="S60" s="238"/>
      <c r="T60" s="238"/>
      <c r="U60" s="238"/>
      <c r="V60" s="238"/>
      <c r="W60" s="238"/>
      <c r="X60" s="239"/>
      <c r="Y60" s="239"/>
      <c r="Z60" s="239"/>
      <c r="AA60" s="239"/>
      <c r="AB60" s="239"/>
      <c r="AC60" s="238"/>
      <c r="AD60" s="370"/>
      <c r="AE60" s="371"/>
      <c r="AF60" s="238"/>
      <c r="AG60" s="238"/>
      <c r="AH60" s="650"/>
      <c r="AI60" s="698"/>
    </row>
    <row r="61" spans="1:35" s="37" customFormat="1" ht="24" customHeight="1">
      <c r="A61" s="36"/>
      <c r="B61" s="36"/>
      <c r="C61" s="134"/>
      <c r="D61" s="135"/>
      <c r="E61" s="124"/>
      <c r="F61" s="294"/>
      <c r="G61" s="125"/>
      <c r="H61" s="141"/>
      <c r="I61" s="111" t="str">
        <f t="shared" si="0"/>
        <v/>
      </c>
      <c r="J61" s="67"/>
      <c r="K61" s="68"/>
      <c r="L61" s="69"/>
      <c r="M61" s="782"/>
      <c r="N61" s="783"/>
      <c r="O61" s="777"/>
      <c r="P61" s="237"/>
      <c r="Q61" s="238"/>
      <c r="R61" s="238"/>
      <c r="S61" s="238"/>
      <c r="T61" s="238"/>
      <c r="U61" s="238"/>
      <c r="V61" s="238"/>
      <c r="W61" s="238"/>
      <c r="X61" s="239"/>
      <c r="Y61" s="239"/>
      <c r="Z61" s="239"/>
      <c r="AA61" s="239"/>
      <c r="AB61" s="239"/>
      <c r="AC61" s="238"/>
      <c r="AD61" s="370"/>
      <c r="AE61" s="371"/>
      <c r="AF61" s="238"/>
      <c r="AG61" s="238"/>
      <c r="AH61" s="650"/>
      <c r="AI61" s="698"/>
    </row>
    <row r="62" spans="1:35" s="37" customFormat="1" ht="24" customHeight="1">
      <c r="A62" s="36"/>
      <c r="B62" s="36"/>
      <c r="C62" s="134"/>
      <c r="D62" s="135"/>
      <c r="E62" s="124"/>
      <c r="F62" s="294"/>
      <c r="G62" s="125"/>
      <c r="H62" s="141"/>
      <c r="I62" s="111" t="str">
        <f t="shared" si="0"/>
        <v/>
      </c>
      <c r="J62" s="67"/>
      <c r="K62" s="68"/>
      <c r="L62" s="69"/>
      <c r="M62" s="782"/>
      <c r="N62" s="783"/>
      <c r="O62" s="777"/>
      <c r="P62" s="237"/>
      <c r="Q62" s="238"/>
      <c r="R62" s="238"/>
      <c r="S62" s="238"/>
      <c r="T62" s="238"/>
      <c r="U62" s="238"/>
      <c r="V62" s="238"/>
      <c r="W62" s="238"/>
      <c r="X62" s="239"/>
      <c r="Y62" s="239"/>
      <c r="Z62" s="239"/>
      <c r="AA62" s="239"/>
      <c r="AB62" s="239"/>
      <c r="AC62" s="238"/>
      <c r="AD62" s="370"/>
      <c r="AE62" s="371"/>
      <c r="AF62" s="238"/>
      <c r="AG62" s="238"/>
      <c r="AH62" s="650"/>
      <c r="AI62" s="698"/>
    </row>
    <row r="63" spans="1:35" s="37" customFormat="1" ht="24" customHeight="1">
      <c r="A63" s="36"/>
      <c r="B63" s="36"/>
      <c r="C63" s="134"/>
      <c r="D63" s="135"/>
      <c r="E63" s="124"/>
      <c r="F63" s="294"/>
      <c r="G63" s="125"/>
      <c r="H63" s="141"/>
      <c r="I63" s="111" t="str">
        <f t="shared" si="0"/>
        <v/>
      </c>
      <c r="J63" s="67"/>
      <c r="K63" s="68"/>
      <c r="L63" s="69"/>
      <c r="M63" s="782"/>
      <c r="N63" s="783"/>
      <c r="O63" s="777"/>
      <c r="P63" s="237"/>
      <c r="Q63" s="238"/>
      <c r="R63" s="238"/>
      <c r="S63" s="238"/>
      <c r="T63" s="238"/>
      <c r="U63" s="238"/>
      <c r="V63" s="238"/>
      <c r="W63" s="238"/>
      <c r="X63" s="239"/>
      <c r="Y63" s="239"/>
      <c r="Z63" s="239"/>
      <c r="AA63" s="239"/>
      <c r="AB63" s="239"/>
      <c r="AC63" s="238"/>
      <c r="AD63" s="370"/>
      <c r="AE63" s="371"/>
      <c r="AF63" s="238"/>
      <c r="AG63" s="238"/>
      <c r="AH63" s="650"/>
      <c r="AI63" s="698"/>
    </row>
    <row r="64" spans="1:35" s="37" customFormat="1" ht="24" customHeight="1">
      <c r="A64" s="36"/>
      <c r="B64" s="36"/>
      <c r="C64" s="134"/>
      <c r="D64" s="135"/>
      <c r="E64" s="124"/>
      <c r="F64" s="294"/>
      <c r="G64" s="125"/>
      <c r="H64" s="141"/>
      <c r="I64" s="111" t="str">
        <f t="shared" si="0"/>
        <v/>
      </c>
      <c r="J64" s="67"/>
      <c r="K64" s="68"/>
      <c r="L64" s="69"/>
      <c r="M64" s="782"/>
      <c r="N64" s="783"/>
      <c r="O64" s="777"/>
      <c r="P64" s="237"/>
      <c r="Q64" s="238"/>
      <c r="R64" s="238"/>
      <c r="S64" s="238"/>
      <c r="T64" s="238"/>
      <c r="U64" s="238"/>
      <c r="V64" s="238"/>
      <c r="W64" s="238"/>
      <c r="X64" s="239"/>
      <c r="Y64" s="239"/>
      <c r="Z64" s="239"/>
      <c r="AA64" s="239"/>
      <c r="AB64" s="239"/>
      <c r="AC64" s="238"/>
      <c r="AD64" s="370"/>
      <c r="AE64" s="371"/>
      <c r="AF64" s="238"/>
      <c r="AG64" s="238"/>
      <c r="AH64" s="650"/>
      <c r="AI64" s="698"/>
    </row>
    <row r="65" spans="1:35" s="37" customFormat="1" ht="24" customHeight="1">
      <c r="A65" s="36"/>
      <c r="B65" s="36"/>
      <c r="C65" s="134"/>
      <c r="D65" s="135"/>
      <c r="E65" s="124"/>
      <c r="F65" s="294"/>
      <c r="G65" s="125"/>
      <c r="H65" s="141"/>
      <c r="I65" s="111" t="str">
        <f t="shared" si="0"/>
        <v/>
      </c>
      <c r="J65" s="67"/>
      <c r="K65" s="68"/>
      <c r="L65" s="69"/>
      <c r="M65" s="782"/>
      <c r="N65" s="783"/>
      <c r="O65" s="777"/>
      <c r="P65" s="237"/>
      <c r="Q65" s="238"/>
      <c r="R65" s="238"/>
      <c r="S65" s="238"/>
      <c r="T65" s="238"/>
      <c r="U65" s="238"/>
      <c r="V65" s="238"/>
      <c r="W65" s="238"/>
      <c r="X65" s="239"/>
      <c r="Y65" s="239"/>
      <c r="Z65" s="239"/>
      <c r="AA65" s="239"/>
      <c r="AB65" s="239"/>
      <c r="AC65" s="238"/>
      <c r="AD65" s="370"/>
      <c r="AE65" s="371"/>
      <c r="AF65" s="238"/>
      <c r="AG65" s="238"/>
      <c r="AH65" s="650"/>
      <c r="AI65" s="698"/>
    </row>
    <row r="66" spans="1:35" s="37" customFormat="1" ht="24" customHeight="1">
      <c r="A66" s="36"/>
      <c r="B66" s="36"/>
      <c r="C66" s="134"/>
      <c r="D66" s="135"/>
      <c r="E66" s="124"/>
      <c r="F66" s="294"/>
      <c r="G66" s="125"/>
      <c r="H66" s="141"/>
      <c r="I66" s="111" t="str">
        <f t="shared" si="0"/>
        <v/>
      </c>
      <c r="J66" s="67"/>
      <c r="K66" s="68"/>
      <c r="L66" s="69"/>
      <c r="M66" s="782"/>
      <c r="N66" s="783"/>
      <c r="O66" s="777"/>
      <c r="P66" s="237"/>
      <c r="Q66" s="238"/>
      <c r="R66" s="238"/>
      <c r="S66" s="238"/>
      <c r="T66" s="238"/>
      <c r="U66" s="238"/>
      <c r="V66" s="238"/>
      <c r="W66" s="238"/>
      <c r="X66" s="239"/>
      <c r="Y66" s="239"/>
      <c r="Z66" s="239"/>
      <c r="AA66" s="239"/>
      <c r="AB66" s="239"/>
      <c r="AC66" s="238"/>
      <c r="AD66" s="370"/>
      <c r="AE66" s="371"/>
      <c r="AF66" s="238"/>
      <c r="AG66" s="238"/>
      <c r="AH66" s="650"/>
      <c r="AI66" s="698"/>
    </row>
    <row r="67" spans="1:35" s="37" customFormat="1" ht="24" customHeight="1">
      <c r="A67" s="36"/>
      <c r="B67" s="36"/>
      <c r="C67" s="134"/>
      <c r="D67" s="135"/>
      <c r="E67" s="124"/>
      <c r="F67" s="294"/>
      <c r="G67" s="125"/>
      <c r="H67" s="141"/>
      <c r="I67" s="111" t="str">
        <f t="shared" si="0"/>
        <v/>
      </c>
      <c r="J67" s="67"/>
      <c r="K67" s="68"/>
      <c r="L67" s="69"/>
      <c r="M67" s="782"/>
      <c r="N67" s="783"/>
      <c r="O67" s="777"/>
      <c r="P67" s="237"/>
      <c r="Q67" s="238"/>
      <c r="R67" s="238"/>
      <c r="S67" s="238"/>
      <c r="T67" s="238"/>
      <c r="U67" s="238"/>
      <c r="V67" s="238"/>
      <c r="W67" s="238"/>
      <c r="X67" s="239"/>
      <c r="Y67" s="239"/>
      <c r="Z67" s="239"/>
      <c r="AA67" s="239"/>
      <c r="AB67" s="239"/>
      <c r="AC67" s="238"/>
      <c r="AD67" s="370"/>
      <c r="AE67" s="371"/>
      <c r="AF67" s="238"/>
      <c r="AG67" s="238"/>
      <c r="AH67" s="650"/>
      <c r="AI67" s="698"/>
    </row>
    <row r="68" spans="1:35" s="37" customFormat="1" ht="24" customHeight="1">
      <c r="A68" s="36"/>
      <c r="B68" s="36"/>
      <c r="C68" s="134"/>
      <c r="D68" s="135"/>
      <c r="E68" s="124"/>
      <c r="F68" s="294"/>
      <c r="G68" s="125"/>
      <c r="H68" s="141"/>
      <c r="I68" s="111" t="str">
        <f t="shared" si="0"/>
        <v/>
      </c>
      <c r="J68" s="67"/>
      <c r="K68" s="68"/>
      <c r="L68" s="69"/>
      <c r="M68" s="782"/>
      <c r="N68" s="783"/>
      <c r="O68" s="777"/>
      <c r="P68" s="237"/>
      <c r="Q68" s="238"/>
      <c r="R68" s="238"/>
      <c r="S68" s="238"/>
      <c r="T68" s="238"/>
      <c r="U68" s="238"/>
      <c r="V68" s="238"/>
      <c r="W68" s="238"/>
      <c r="X68" s="239"/>
      <c r="Y68" s="239"/>
      <c r="Z68" s="239"/>
      <c r="AA68" s="239"/>
      <c r="AB68" s="239"/>
      <c r="AC68" s="238"/>
      <c r="AD68" s="370"/>
      <c r="AE68" s="371"/>
      <c r="AF68" s="238"/>
      <c r="AG68" s="238"/>
      <c r="AH68" s="650"/>
      <c r="AI68" s="698"/>
    </row>
    <row r="69" spans="1:35" s="37" customFormat="1" ht="24" customHeight="1">
      <c r="A69" s="36"/>
      <c r="B69" s="36"/>
      <c r="C69" s="134"/>
      <c r="D69" s="135"/>
      <c r="E69" s="124"/>
      <c r="F69" s="294"/>
      <c r="G69" s="125"/>
      <c r="H69" s="141"/>
      <c r="I69" s="111" t="str">
        <f t="shared" si="0"/>
        <v/>
      </c>
      <c r="J69" s="67"/>
      <c r="K69" s="68"/>
      <c r="L69" s="69"/>
      <c r="M69" s="782"/>
      <c r="N69" s="783"/>
      <c r="O69" s="777"/>
      <c r="P69" s="237"/>
      <c r="Q69" s="238"/>
      <c r="R69" s="238"/>
      <c r="S69" s="238"/>
      <c r="T69" s="238"/>
      <c r="U69" s="238"/>
      <c r="V69" s="238"/>
      <c r="W69" s="238"/>
      <c r="X69" s="239"/>
      <c r="Y69" s="239"/>
      <c r="Z69" s="239"/>
      <c r="AA69" s="239"/>
      <c r="AB69" s="239"/>
      <c r="AC69" s="238"/>
      <c r="AD69" s="370"/>
      <c r="AE69" s="371"/>
      <c r="AF69" s="238"/>
      <c r="AG69" s="238"/>
      <c r="AH69" s="650"/>
      <c r="AI69" s="698"/>
    </row>
    <row r="70" spans="1:35" s="37" customFormat="1" ht="24" customHeight="1">
      <c r="A70" s="36"/>
      <c r="B70" s="36"/>
      <c r="C70" s="134"/>
      <c r="D70" s="135"/>
      <c r="E70" s="124"/>
      <c r="F70" s="294"/>
      <c r="G70" s="125"/>
      <c r="H70" s="141"/>
      <c r="I70" s="111" t="str">
        <f t="shared" si="0"/>
        <v/>
      </c>
      <c r="J70" s="67"/>
      <c r="K70" s="68"/>
      <c r="L70" s="69"/>
      <c r="M70" s="782"/>
      <c r="N70" s="783"/>
      <c r="O70" s="777"/>
      <c r="P70" s="237"/>
      <c r="Q70" s="238"/>
      <c r="R70" s="238"/>
      <c r="S70" s="238"/>
      <c r="T70" s="238"/>
      <c r="U70" s="238"/>
      <c r="V70" s="238"/>
      <c r="W70" s="238"/>
      <c r="X70" s="239"/>
      <c r="Y70" s="239"/>
      <c r="Z70" s="239"/>
      <c r="AA70" s="239"/>
      <c r="AB70" s="239"/>
      <c r="AC70" s="238"/>
      <c r="AD70" s="370"/>
      <c r="AE70" s="371"/>
      <c r="AF70" s="238"/>
      <c r="AG70" s="238"/>
      <c r="AH70" s="650"/>
      <c r="AI70" s="698"/>
    </row>
    <row r="71" spans="1:35" s="1" customFormat="1" ht="24" customHeight="1" thickBot="1">
      <c r="A71" s="36"/>
      <c r="B71" s="36"/>
      <c r="C71" s="113"/>
      <c r="D71" s="99" t="s">
        <v>9</v>
      </c>
      <c r="E71" s="114"/>
      <c r="F71" s="295"/>
      <c r="G71" s="127"/>
      <c r="H71" s="137" t="s">
        <v>110</v>
      </c>
      <c r="I71" s="115">
        <f>SUM(I53:I70)</f>
        <v>0</v>
      </c>
      <c r="J71" s="768" t="str">
        <f>IF(C52="部分撤去工事","）うち費用",")")</f>
        <v>)</v>
      </c>
      <c r="K71" s="770">
        <f>IF(C52="部分撤去工事",(K48+L71),0)</f>
        <v>0</v>
      </c>
      <c r="L71" s="769">
        <f>IF(C52="部分撤去工事",SUMIF(N53:N70,"費用",I53:I70),0)</f>
        <v>0</v>
      </c>
      <c r="M71" s="784"/>
      <c r="N71" s="785"/>
      <c r="O71" s="777"/>
      <c r="P71" s="237"/>
      <c r="Q71" s="238"/>
      <c r="R71" s="238"/>
      <c r="S71" s="238"/>
      <c r="T71" s="238"/>
      <c r="U71" s="238"/>
      <c r="V71" s="238"/>
      <c r="W71" s="238"/>
      <c r="X71" s="239"/>
      <c r="Y71" s="239"/>
      <c r="Z71" s="239"/>
      <c r="AA71" s="239"/>
      <c r="AB71" s="239"/>
      <c r="AC71" s="238"/>
      <c r="AD71" s="370"/>
      <c r="AE71" s="371"/>
      <c r="AF71" s="238"/>
      <c r="AG71" s="238"/>
      <c r="AH71" s="238"/>
      <c r="AI71" s="698"/>
    </row>
    <row r="72" spans="1:35" s="1" customFormat="1" ht="14.25" customHeight="1">
      <c r="A72" s="6"/>
      <c r="B72" s="6"/>
      <c r="E72" s="130" t="s">
        <v>106</v>
      </c>
      <c r="F72" s="131">
        <f>+F49+1</f>
        <v>1</v>
      </c>
      <c r="G72" s="132" t="s">
        <v>107</v>
      </c>
      <c r="H72" s="133">
        <f>+H49</f>
        <v>0</v>
      </c>
      <c r="I72" s="133"/>
      <c r="M72" s="778" t="str">
        <f>IF(A74="","EOL","")</f>
        <v>EOL</v>
      </c>
      <c r="N72" s="1">
        <f>+F72</f>
        <v>1</v>
      </c>
      <c r="O72" s="37"/>
      <c r="P72" s="37"/>
      <c r="Q72" s="37"/>
      <c r="R72" s="37"/>
      <c r="S72" s="37"/>
      <c r="T72" s="37"/>
      <c r="U72" s="37"/>
      <c r="V72" s="37"/>
      <c r="W72" s="37"/>
      <c r="X72" s="37"/>
      <c r="Y72" s="37"/>
      <c r="Z72" s="37"/>
      <c r="AI72" s="695"/>
    </row>
    <row r="73" spans="1:35">
      <c r="O73" s="39"/>
      <c r="P73" s="39"/>
      <c r="Q73" s="39"/>
      <c r="R73" s="39"/>
      <c r="S73" s="39"/>
      <c r="T73" s="39"/>
      <c r="U73" s="39"/>
      <c r="V73" s="39"/>
      <c r="W73" s="39"/>
      <c r="X73" s="39"/>
      <c r="Y73" s="39"/>
      <c r="Z73" s="39"/>
      <c r="AI73" s="699"/>
    </row>
    <row r="74" spans="1:35">
      <c r="O74" s="39"/>
      <c r="P74" s="39"/>
      <c r="Q74" s="39"/>
      <c r="R74" s="39"/>
      <c r="S74" s="39"/>
      <c r="T74" s="39"/>
      <c r="U74" s="39"/>
      <c r="V74" s="39"/>
      <c r="W74" s="39"/>
      <c r="X74" s="39"/>
      <c r="Y74" s="39"/>
      <c r="Z74" s="39"/>
      <c r="AI74" s="699"/>
    </row>
    <row r="75" spans="1:35">
      <c r="O75" s="39"/>
      <c r="P75" s="39"/>
      <c r="Q75" s="39"/>
      <c r="R75" s="39"/>
      <c r="S75" s="39"/>
      <c r="T75" s="39"/>
      <c r="U75" s="39"/>
      <c r="V75" s="39"/>
      <c r="W75" s="39"/>
      <c r="X75" s="39"/>
      <c r="Y75" s="39"/>
      <c r="Z75" s="39"/>
      <c r="AI75" s="699"/>
    </row>
    <row r="76" spans="1:35" s="37" customFormat="1" ht="24" customHeight="1">
      <c r="A76" s="36"/>
      <c r="B76" s="36"/>
      <c r="C76" s="134"/>
      <c r="D76" s="135"/>
      <c r="E76" s="124"/>
      <c r="F76" s="294"/>
      <c r="G76" s="125"/>
      <c r="H76" s="136"/>
      <c r="I76" s="111" t="str">
        <f>IF(F76="","",ROUNDDOWN(F76*H76,0))</f>
        <v/>
      </c>
      <c r="J76" s="67"/>
      <c r="K76" s="68"/>
      <c r="L76" s="69"/>
      <c r="O76" s="236"/>
      <c r="P76" s="237"/>
      <c r="Q76" s="238"/>
      <c r="R76" s="238"/>
      <c r="S76" s="238"/>
      <c r="T76" s="238"/>
      <c r="U76" s="238"/>
      <c r="V76" s="238"/>
      <c r="W76" s="239"/>
      <c r="X76" s="239"/>
      <c r="Y76" s="239"/>
      <c r="Z76" s="239"/>
      <c r="AA76" s="241"/>
      <c r="AB76" s="240"/>
      <c r="AC76" s="238"/>
      <c r="AD76" s="238"/>
      <c r="AE76" s="238"/>
      <c r="AF76" s="238"/>
      <c r="AG76" s="238"/>
      <c r="AH76" s="650"/>
      <c r="AI76" s="698"/>
    </row>
    <row r="77" spans="1:35" s="37" customFormat="1" ht="24" customHeight="1">
      <c r="A77" s="36"/>
      <c r="B77" s="36"/>
      <c r="C77" s="134"/>
      <c r="D77" s="135" t="s">
        <v>9</v>
      </c>
      <c r="E77" s="124"/>
      <c r="F77" s="294"/>
      <c r="G77" s="125"/>
      <c r="H77" s="136" t="s">
        <v>83</v>
      </c>
      <c r="I77" s="111"/>
      <c r="J77" s="67" t="s">
        <v>84</v>
      </c>
      <c r="K77" s="68"/>
      <c r="L77" s="69"/>
      <c r="O77" s="236"/>
      <c r="P77" s="237"/>
      <c r="Q77" s="238"/>
      <c r="R77" s="238"/>
      <c r="S77" s="238"/>
      <c r="T77" s="238"/>
      <c r="U77" s="238"/>
      <c r="V77" s="238"/>
      <c r="W77" s="239"/>
      <c r="X77" s="239"/>
      <c r="Y77" s="239"/>
      <c r="Z77" s="239"/>
      <c r="AA77" s="241"/>
      <c r="AB77" s="240"/>
      <c r="AC77" s="238"/>
      <c r="AD77" s="238"/>
      <c r="AE77" s="238"/>
      <c r="AF77" s="238"/>
      <c r="AG77" s="238"/>
      <c r="AH77" s="650"/>
      <c r="AI77" s="698"/>
    </row>
    <row r="78" spans="1:35" s="37" customFormat="1" ht="24" customHeight="1">
      <c r="A78" s="36"/>
      <c r="B78" s="36"/>
      <c r="C78" s="134"/>
      <c r="D78" s="135"/>
      <c r="E78" s="124"/>
      <c r="F78" s="294"/>
      <c r="G78" s="125"/>
      <c r="H78" s="136"/>
      <c r="I78" s="111"/>
      <c r="J78" s="67"/>
      <c r="K78" s="68"/>
      <c r="L78" s="69"/>
      <c r="O78" s="236"/>
      <c r="P78" s="237"/>
      <c r="Q78" s="238"/>
      <c r="R78" s="238"/>
      <c r="S78" s="238"/>
      <c r="T78" s="238"/>
      <c r="U78" s="238"/>
      <c r="V78" s="238"/>
      <c r="W78" s="239"/>
      <c r="X78" s="239"/>
      <c r="Y78" s="239"/>
      <c r="Z78" s="239"/>
      <c r="AA78" s="241"/>
      <c r="AB78" s="240"/>
      <c r="AC78" s="238"/>
      <c r="AD78" s="238"/>
      <c r="AE78" s="238"/>
      <c r="AF78" s="238"/>
      <c r="AG78" s="238"/>
      <c r="AH78" s="238"/>
      <c r="AI78" s="698"/>
    </row>
    <row r="81" spans="1:15" s="18" customFormat="1" ht="20" customHeight="1" thickBot="1">
      <c r="A81" s="1043" t="s">
        <v>15</v>
      </c>
      <c r="B81" s="1043"/>
      <c r="C81" s="1043"/>
      <c r="D81" s="1043"/>
      <c r="E81" s="1043"/>
      <c r="F81" s="1043"/>
      <c r="G81" s="1043"/>
      <c r="H81" s="1043"/>
      <c r="I81" s="1043"/>
      <c r="J81" s="1043"/>
      <c r="K81" s="1043"/>
      <c r="L81" s="1043"/>
      <c r="M81" s="1043"/>
      <c r="N81" s="22" t="s">
        <v>105</v>
      </c>
      <c r="O81" s="223">
        <f>+O54</f>
        <v>0</v>
      </c>
    </row>
    <row r="82" spans="1:15" s="22" customFormat="1" ht="20" customHeight="1">
      <c r="A82" s="19"/>
      <c r="B82" s="20" t="s">
        <v>16</v>
      </c>
      <c r="C82" s="21" t="s">
        <v>18</v>
      </c>
      <c r="D82" s="21"/>
      <c r="E82" s="78"/>
      <c r="F82" s="53"/>
      <c r="G82" s="73"/>
      <c r="H82" s="1044" t="s">
        <v>25</v>
      </c>
      <c r="I82" s="1045"/>
      <c r="J82" s="1045" t="s">
        <v>26</v>
      </c>
      <c r="K82" s="1046"/>
      <c r="L82" s="1045" t="s">
        <v>27</v>
      </c>
      <c r="M82" s="1047"/>
      <c r="N82" s="1041" t="str">
        <f>IF(G133="",IF(O106=I106,H82,IF(O106=K106,J82,L82)),N109)</f>
        <v>C:</v>
      </c>
      <c r="O82" s="1042"/>
    </row>
    <row r="83" spans="1:15" s="22" customFormat="1" ht="20" customHeight="1" thickBot="1">
      <c r="A83" s="23" t="s">
        <v>28</v>
      </c>
      <c r="B83" s="24" t="s">
        <v>17</v>
      </c>
      <c r="C83" s="25" t="s">
        <v>17</v>
      </c>
      <c r="D83" s="25" t="s">
        <v>19</v>
      </c>
      <c r="E83" s="79" t="s">
        <v>20</v>
      </c>
      <c r="F83" s="54" t="s">
        <v>21</v>
      </c>
      <c r="G83" s="74" t="s">
        <v>22</v>
      </c>
      <c r="H83" s="59" t="s">
        <v>23</v>
      </c>
      <c r="I83" s="60" t="s">
        <v>24</v>
      </c>
      <c r="J83" s="61" t="s">
        <v>23</v>
      </c>
      <c r="K83" s="60" t="s">
        <v>24</v>
      </c>
      <c r="L83" s="61" t="s">
        <v>23</v>
      </c>
      <c r="M83" s="60" t="s">
        <v>24</v>
      </c>
      <c r="N83" s="59" t="s">
        <v>29</v>
      </c>
      <c r="O83" s="83" t="s">
        <v>30</v>
      </c>
    </row>
    <row r="84" spans="1:15" s="18" customFormat="1" ht="20" customHeight="1">
      <c r="A84" s="50"/>
      <c r="B84" s="91"/>
      <c r="C84" s="92"/>
      <c r="D84" s="70"/>
      <c r="E84" s="80"/>
      <c r="F84" s="55"/>
      <c r="G84" s="75"/>
      <c r="H84" s="454"/>
      <c r="I84" s="455" t="str">
        <f t="shared" ref="I84:I105" si="1">IF(H84="","",ROUNDDOWN(H84*F84,0))</f>
        <v/>
      </c>
      <c r="J84" s="462"/>
      <c r="K84" s="455" t="str">
        <f t="shared" ref="K84:K105" si="2">IF(J84="","",ROUNDDOWN(J84*$F84,0))</f>
        <v/>
      </c>
      <c r="L84" s="462"/>
      <c r="M84" s="466" t="str">
        <f t="shared" ref="M84:M105" si="3">IF(L84="","",ROUNDDOWN(L84*$F84,0))</f>
        <v/>
      </c>
      <c r="N84" s="454" t="str">
        <f>IF(F84="","",INT(HLOOKUP(N82,H82:M105,3,FALSE)*O81))</f>
        <v/>
      </c>
      <c r="O84" s="470" t="str">
        <f t="shared" ref="O84:O105" si="4">IF(N84="","",IF(N84&lt;10,INT(N84),IF(N84&lt;10000,ROUNDDOWN(N84,-1),ROUNDDOWN(N84,-2))))</f>
        <v/>
      </c>
    </row>
    <row r="85" spans="1:15" s="18" customFormat="1" ht="20" customHeight="1">
      <c r="A85" s="51"/>
      <c r="B85" s="93"/>
      <c r="C85" s="94"/>
      <c r="D85" s="71"/>
      <c r="E85" s="81"/>
      <c r="F85" s="57"/>
      <c r="G85" s="76"/>
      <c r="H85" s="456"/>
      <c r="I85" s="457" t="str">
        <f t="shared" si="1"/>
        <v/>
      </c>
      <c r="J85" s="463"/>
      <c r="K85" s="457" t="str">
        <f t="shared" si="2"/>
        <v/>
      </c>
      <c r="L85" s="463"/>
      <c r="M85" s="467" t="str">
        <f t="shared" si="3"/>
        <v/>
      </c>
      <c r="N85" s="456" t="str">
        <f>IF(F85="","",INT(HLOOKUP(N82,H82:M105,4,FALSE)*O81))</f>
        <v/>
      </c>
      <c r="O85" s="471" t="str">
        <f t="shared" si="4"/>
        <v/>
      </c>
    </row>
    <row r="86" spans="1:15" s="18" customFormat="1" ht="20" customHeight="1">
      <c r="A86" s="51"/>
      <c r="B86" s="93"/>
      <c r="C86" s="94"/>
      <c r="D86" s="71"/>
      <c r="E86" s="81"/>
      <c r="F86" s="57"/>
      <c r="G86" s="76"/>
      <c r="H86" s="456"/>
      <c r="I86" s="457" t="str">
        <f t="shared" si="1"/>
        <v/>
      </c>
      <c r="J86" s="463"/>
      <c r="K86" s="457" t="str">
        <f t="shared" si="2"/>
        <v/>
      </c>
      <c r="L86" s="463"/>
      <c r="M86" s="467" t="str">
        <f t="shared" si="3"/>
        <v/>
      </c>
      <c r="N86" s="456" t="str">
        <f>IF(F86="","",INT(HLOOKUP(N82,H82:M105,5,FALSE)*O81))</f>
        <v/>
      </c>
      <c r="O86" s="471" t="str">
        <f t="shared" si="4"/>
        <v/>
      </c>
    </row>
    <row r="87" spans="1:15" s="18" customFormat="1" ht="20" customHeight="1">
      <c r="A87" s="51"/>
      <c r="B87" s="93"/>
      <c r="C87" s="94"/>
      <c r="D87" s="71"/>
      <c r="E87" s="81"/>
      <c r="F87" s="57"/>
      <c r="G87" s="76"/>
      <c r="H87" s="456"/>
      <c r="I87" s="457" t="str">
        <f t="shared" si="1"/>
        <v/>
      </c>
      <c r="J87" s="463"/>
      <c r="K87" s="457" t="str">
        <f t="shared" si="2"/>
        <v/>
      </c>
      <c r="L87" s="463"/>
      <c r="M87" s="467" t="str">
        <f t="shared" si="3"/>
        <v/>
      </c>
      <c r="N87" s="456" t="str">
        <f>IF(F87="","",INT(HLOOKUP(N82,H82:M105,6,FALSE)*O81))</f>
        <v/>
      </c>
      <c r="O87" s="471" t="str">
        <f t="shared" si="4"/>
        <v/>
      </c>
    </row>
    <row r="88" spans="1:15" s="18" customFormat="1" ht="20" customHeight="1">
      <c r="A88" s="51"/>
      <c r="B88" s="93"/>
      <c r="C88" s="94"/>
      <c r="D88" s="71"/>
      <c r="E88" s="81"/>
      <c r="F88" s="57"/>
      <c r="G88" s="76"/>
      <c r="H88" s="456"/>
      <c r="I88" s="457" t="str">
        <f t="shared" si="1"/>
        <v/>
      </c>
      <c r="J88" s="463"/>
      <c r="K88" s="457" t="str">
        <f t="shared" si="2"/>
        <v/>
      </c>
      <c r="L88" s="463"/>
      <c r="M88" s="467" t="str">
        <f t="shared" si="3"/>
        <v/>
      </c>
      <c r="N88" s="456" t="str">
        <f>IF(F88="","",INT(HLOOKUP(N82,H82:M105,7,FALSE)*O81))</f>
        <v/>
      </c>
      <c r="O88" s="471" t="str">
        <f t="shared" si="4"/>
        <v/>
      </c>
    </row>
    <row r="89" spans="1:15" s="18" customFormat="1" ht="20" customHeight="1">
      <c r="A89" s="51"/>
      <c r="B89" s="93"/>
      <c r="C89" s="94"/>
      <c r="D89" s="71"/>
      <c r="E89" s="81"/>
      <c r="F89" s="57"/>
      <c r="G89" s="76"/>
      <c r="H89" s="456"/>
      <c r="I89" s="457" t="str">
        <f t="shared" si="1"/>
        <v/>
      </c>
      <c r="J89" s="463"/>
      <c r="K89" s="457" t="str">
        <f t="shared" si="2"/>
        <v/>
      </c>
      <c r="L89" s="463"/>
      <c r="M89" s="467" t="str">
        <f t="shared" si="3"/>
        <v/>
      </c>
      <c r="N89" s="456" t="str">
        <f>IF(F89="","",INT(HLOOKUP(N82,H82:M105,8,FALSE)*O81))</f>
        <v/>
      </c>
      <c r="O89" s="471" t="str">
        <f t="shared" si="4"/>
        <v/>
      </c>
    </row>
    <row r="90" spans="1:15" s="18" customFormat="1" ht="20" customHeight="1">
      <c r="A90" s="51"/>
      <c r="B90" s="93"/>
      <c r="C90" s="94"/>
      <c r="D90" s="71"/>
      <c r="E90" s="81"/>
      <c r="F90" s="57"/>
      <c r="G90" s="76"/>
      <c r="H90" s="456"/>
      <c r="I90" s="457" t="str">
        <f t="shared" si="1"/>
        <v/>
      </c>
      <c r="J90" s="463"/>
      <c r="K90" s="457" t="str">
        <f t="shared" si="2"/>
        <v/>
      </c>
      <c r="L90" s="463"/>
      <c r="M90" s="467" t="str">
        <f t="shared" si="3"/>
        <v/>
      </c>
      <c r="N90" s="456" t="str">
        <f>IF(F90="","",INT(HLOOKUP(N82,H82:M105,9,FALSE)*O81))</f>
        <v/>
      </c>
      <c r="O90" s="471" t="str">
        <f t="shared" si="4"/>
        <v/>
      </c>
    </row>
    <row r="91" spans="1:15" s="18" customFormat="1" ht="20" customHeight="1">
      <c r="A91" s="51"/>
      <c r="B91" s="93"/>
      <c r="C91" s="94"/>
      <c r="D91" s="71"/>
      <c r="E91" s="81"/>
      <c r="F91" s="57"/>
      <c r="G91" s="76"/>
      <c r="H91" s="456"/>
      <c r="I91" s="457" t="str">
        <f t="shared" si="1"/>
        <v/>
      </c>
      <c r="J91" s="463"/>
      <c r="K91" s="457" t="str">
        <f t="shared" si="2"/>
        <v/>
      </c>
      <c r="L91" s="463"/>
      <c r="M91" s="467" t="str">
        <f t="shared" si="3"/>
        <v/>
      </c>
      <c r="N91" s="456" t="str">
        <f>IF(F91="","",INT(HLOOKUP(N82,H82:M105,10,FALSE)*O81))</f>
        <v/>
      </c>
      <c r="O91" s="471" t="str">
        <f t="shared" si="4"/>
        <v/>
      </c>
    </row>
    <row r="92" spans="1:15" s="18" customFormat="1" ht="20" customHeight="1">
      <c r="A92" s="51"/>
      <c r="B92" s="93"/>
      <c r="C92" s="94"/>
      <c r="D92" s="71"/>
      <c r="E92" s="81"/>
      <c r="F92" s="57"/>
      <c r="G92" s="76"/>
      <c r="H92" s="456"/>
      <c r="I92" s="457" t="str">
        <f t="shared" si="1"/>
        <v/>
      </c>
      <c r="J92" s="463"/>
      <c r="K92" s="457" t="str">
        <f t="shared" si="2"/>
        <v/>
      </c>
      <c r="L92" s="463"/>
      <c r="M92" s="467" t="str">
        <f t="shared" si="3"/>
        <v/>
      </c>
      <c r="N92" s="456" t="str">
        <f>IF(F92="","",INT(HLOOKUP(N82,H82:M105,11,FALSE)*O81))</f>
        <v/>
      </c>
      <c r="O92" s="471" t="str">
        <f t="shared" si="4"/>
        <v/>
      </c>
    </row>
    <row r="93" spans="1:15" s="18" customFormat="1" ht="20" customHeight="1">
      <c r="A93" s="51"/>
      <c r="B93" s="93"/>
      <c r="C93" s="94"/>
      <c r="D93" s="71"/>
      <c r="E93" s="81"/>
      <c r="F93" s="57"/>
      <c r="G93" s="76"/>
      <c r="H93" s="456"/>
      <c r="I93" s="457" t="str">
        <f t="shared" si="1"/>
        <v/>
      </c>
      <c r="J93" s="463"/>
      <c r="K93" s="457" t="str">
        <f t="shared" si="2"/>
        <v/>
      </c>
      <c r="L93" s="463"/>
      <c r="M93" s="467" t="str">
        <f t="shared" si="3"/>
        <v/>
      </c>
      <c r="N93" s="456" t="str">
        <f>IF(F93="","",INT(HLOOKUP(N82,H82:M105,12,FALSE)*O81))</f>
        <v/>
      </c>
      <c r="O93" s="471" t="str">
        <f t="shared" si="4"/>
        <v/>
      </c>
    </row>
    <row r="94" spans="1:15" s="18" customFormat="1" ht="20" customHeight="1">
      <c r="A94" s="51"/>
      <c r="B94" s="93"/>
      <c r="C94" s="94"/>
      <c r="D94" s="71"/>
      <c r="E94" s="81"/>
      <c r="F94" s="57"/>
      <c r="G94" s="76"/>
      <c r="H94" s="456"/>
      <c r="I94" s="457" t="str">
        <f t="shared" si="1"/>
        <v/>
      </c>
      <c r="J94" s="463"/>
      <c r="K94" s="457" t="str">
        <f t="shared" si="2"/>
        <v/>
      </c>
      <c r="L94" s="463"/>
      <c r="M94" s="467" t="str">
        <f t="shared" si="3"/>
        <v/>
      </c>
      <c r="N94" s="456" t="str">
        <f>IF(F94="","",INT(HLOOKUP(N82,H82:M105,13,FALSE)*O81))</f>
        <v/>
      </c>
      <c r="O94" s="471" t="str">
        <f t="shared" si="4"/>
        <v/>
      </c>
    </row>
    <row r="95" spans="1:15" s="18" customFormat="1" ht="20" customHeight="1">
      <c r="A95" s="51"/>
      <c r="B95" s="93"/>
      <c r="C95" s="94"/>
      <c r="D95" s="71"/>
      <c r="E95" s="81"/>
      <c r="F95" s="57"/>
      <c r="G95" s="76"/>
      <c r="H95" s="456"/>
      <c r="I95" s="457" t="str">
        <f t="shared" si="1"/>
        <v/>
      </c>
      <c r="J95" s="463"/>
      <c r="K95" s="457" t="str">
        <f t="shared" si="2"/>
        <v/>
      </c>
      <c r="L95" s="463"/>
      <c r="M95" s="467" t="str">
        <f t="shared" si="3"/>
        <v/>
      </c>
      <c r="N95" s="456" t="str">
        <f>IF(F95="","",INT(HLOOKUP(N82,H82:M105,14,FALSE)*O81))</f>
        <v/>
      </c>
      <c r="O95" s="471" t="str">
        <f t="shared" si="4"/>
        <v/>
      </c>
    </row>
    <row r="96" spans="1:15" s="18" customFormat="1" ht="20" customHeight="1">
      <c r="A96" s="51"/>
      <c r="B96" s="93"/>
      <c r="C96" s="94"/>
      <c r="D96" s="71"/>
      <c r="E96" s="81"/>
      <c r="F96" s="57"/>
      <c r="G96" s="76"/>
      <c r="H96" s="456"/>
      <c r="I96" s="457" t="str">
        <f t="shared" si="1"/>
        <v/>
      </c>
      <c r="J96" s="463"/>
      <c r="K96" s="457" t="str">
        <f t="shared" si="2"/>
        <v/>
      </c>
      <c r="L96" s="463"/>
      <c r="M96" s="467" t="str">
        <f t="shared" si="3"/>
        <v/>
      </c>
      <c r="N96" s="456" t="str">
        <f>IF(F96="","",INT(HLOOKUP(N82,H82:M105,15,FALSE)*O81))</f>
        <v/>
      </c>
      <c r="O96" s="471" t="str">
        <f t="shared" si="4"/>
        <v/>
      </c>
    </row>
    <row r="97" spans="1:19" s="18" customFormat="1" ht="20" customHeight="1">
      <c r="A97" s="51"/>
      <c r="B97" s="93"/>
      <c r="C97" s="94"/>
      <c r="D97" s="71"/>
      <c r="E97" s="81"/>
      <c r="F97" s="57"/>
      <c r="G97" s="76"/>
      <c r="H97" s="456"/>
      <c r="I97" s="457" t="str">
        <f t="shared" si="1"/>
        <v/>
      </c>
      <c r="J97" s="463"/>
      <c r="K97" s="457" t="str">
        <f t="shared" si="2"/>
        <v/>
      </c>
      <c r="L97" s="463"/>
      <c r="M97" s="467" t="str">
        <f t="shared" si="3"/>
        <v/>
      </c>
      <c r="N97" s="456" t="str">
        <f>IF(F97="","",INT(HLOOKUP(N82,H82:M105,16,FALSE)*O81))</f>
        <v/>
      </c>
      <c r="O97" s="471" t="str">
        <f t="shared" si="4"/>
        <v/>
      </c>
    </row>
    <row r="98" spans="1:19" s="18" customFormat="1" ht="20" customHeight="1">
      <c r="A98" s="51"/>
      <c r="B98" s="93"/>
      <c r="C98" s="94"/>
      <c r="D98" s="71"/>
      <c r="E98" s="81"/>
      <c r="F98" s="57"/>
      <c r="G98" s="76"/>
      <c r="H98" s="456"/>
      <c r="I98" s="457" t="str">
        <f t="shared" si="1"/>
        <v/>
      </c>
      <c r="J98" s="463"/>
      <c r="K98" s="457" t="str">
        <f t="shared" si="2"/>
        <v/>
      </c>
      <c r="L98" s="463"/>
      <c r="M98" s="467" t="str">
        <f t="shared" si="3"/>
        <v/>
      </c>
      <c r="N98" s="456" t="str">
        <f>IF(F98="","",INT(HLOOKUP(N82,H82:M105,17,FALSE)*O81))</f>
        <v/>
      </c>
      <c r="O98" s="471" t="str">
        <f t="shared" si="4"/>
        <v/>
      </c>
    </row>
    <row r="99" spans="1:19" s="18" customFormat="1" ht="20" customHeight="1">
      <c r="A99" s="51"/>
      <c r="B99" s="93"/>
      <c r="C99" s="94"/>
      <c r="D99" s="71"/>
      <c r="E99" s="81"/>
      <c r="F99" s="57"/>
      <c r="G99" s="76"/>
      <c r="H99" s="456"/>
      <c r="I99" s="457" t="str">
        <f t="shared" si="1"/>
        <v/>
      </c>
      <c r="J99" s="463"/>
      <c r="K99" s="457" t="str">
        <f t="shared" si="2"/>
        <v/>
      </c>
      <c r="L99" s="463"/>
      <c r="M99" s="467" t="str">
        <f t="shared" si="3"/>
        <v/>
      </c>
      <c r="N99" s="456" t="str">
        <f>IF(F99="","",INT(HLOOKUP(N82,H82:M105,18,FALSE)*O81))</f>
        <v/>
      </c>
      <c r="O99" s="471" t="str">
        <f t="shared" si="4"/>
        <v/>
      </c>
    </row>
    <row r="100" spans="1:19" s="18" customFormat="1" ht="20" customHeight="1">
      <c r="A100" s="51"/>
      <c r="B100" s="93"/>
      <c r="C100" s="94"/>
      <c r="D100" s="71"/>
      <c r="E100" s="81"/>
      <c r="F100" s="57"/>
      <c r="G100" s="76"/>
      <c r="H100" s="456"/>
      <c r="I100" s="457" t="str">
        <f t="shared" si="1"/>
        <v/>
      </c>
      <c r="J100" s="463"/>
      <c r="K100" s="457" t="str">
        <f t="shared" si="2"/>
        <v/>
      </c>
      <c r="L100" s="463"/>
      <c r="M100" s="467" t="str">
        <f t="shared" si="3"/>
        <v/>
      </c>
      <c r="N100" s="456" t="str">
        <f>IF(F100="","",INT(HLOOKUP(N82,H82:M105,19,FALSE)*O81))</f>
        <v/>
      </c>
      <c r="O100" s="471" t="str">
        <f t="shared" si="4"/>
        <v/>
      </c>
    </row>
    <row r="101" spans="1:19" s="18" customFormat="1" ht="20" customHeight="1">
      <c r="A101" s="51"/>
      <c r="B101" s="93"/>
      <c r="C101" s="94"/>
      <c r="D101" s="71"/>
      <c r="E101" s="81"/>
      <c r="F101" s="57"/>
      <c r="G101" s="76"/>
      <c r="H101" s="456"/>
      <c r="I101" s="457" t="str">
        <f t="shared" si="1"/>
        <v/>
      </c>
      <c r="J101" s="463"/>
      <c r="K101" s="457" t="str">
        <f t="shared" si="2"/>
        <v/>
      </c>
      <c r="L101" s="463"/>
      <c r="M101" s="467" t="str">
        <f t="shared" si="3"/>
        <v/>
      </c>
      <c r="N101" s="456" t="str">
        <f>IF(F101="","",INT(HLOOKUP(N82,H82:M105,20,FALSE)*O81))</f>
        <v/>
      </c>
      <c r="O101" s="471" t="str">
        <f t="shared" si="4"/>
        <v/>
      </c>
    </row>
    <row r="102" spans="1:19" s="18" customFormat="1" ht="20" customHeight="1">
      <c r="A102" s="51"/>
      <c r="B102" s="93"/>
      <c r="C102" s="94"/>
      <c r="D102" s="71"/>
      <c r="E102" s="81"/>
      <c r="F102" s="57"/>
      <c r="G102" s="76"/>
      <c r="H102" s="456"/>
      <c r="I102" s="457" t="str">
        <f t="shared" si="1"/>
        <v/>
      </c>
      <c r="J102" s="463"/>
      <c r="K102" s="457" t="str">
        <f t="shared" si="2"/>
        <v/>
      </c>
      <c r="L102" s="463"/>
      <c r="M102" s="467" t="str">
        <f t="shared" si="3"/>
        <v/>
      </c>
      <c r="N102" s="456" t="str">
        <f>IF(F102="","",INT(HLOOKUP(N82,H82:M105,21,FALSE)*O81))</f>
        <v/>
      </c>
      <c r="O102" s="471" t="str">
        <f t="shared" si="4"/>
        <v/>
      </c>
    </row>
    <row r="103" spans="1:19" s="18" customFormat="1" ht="20" customHeight="1">
      <c r="A103" s="51"/>
      <c r="B103" s="93"/>
      <c r="C103" s="94"/>
      <c r="D103" s="71"/>
      <c r="E103" s="81"/>
      <c r="F103" s="57"/>
      <c r="G103" s="76"/>
      <c r="H103" s="456"/>
      <c r="I103" s="457" t="str">
        <f t="shared" si="1"/>
        <v/>
      </c>
      <c r="J103" s="463"/>
      <c r="K103" s="457" t="str">
        <f t="shared" si="2"/>
        <v/>
      </c>
      <c r="L103" s="463"/>
      <c r="M103" s="467" t="str">
        <f t="shared" si="3"/>
        <v/>
      </c>
      <c r="N103" s="456" t="str">
        <f>IF(F103="","",INT(HLOOKUP(N82,H82:M105,22,FALSE)*O81))</f>
        <v/>
      </c>
      <c r="O103" s="471" t="str">
        <f t="shared" si="4"/>
        <v/>
      </c>
    </row>
    <row r="104" spans="1:19" s="18" customFormat="1" ht="20" customHeight="1">
      <c r="A104" s="51"/>
      <c r="B104" s="93"/>
      <c r="C104" s="94"/>
      <c r="D104" s="71"/>
      <c r="E104" s="81"/>
      <c r="F104" s="57"/>
      <c r="G104" s="76"/>
      <c r="H104" s="456"/>
      <c r="I104" s="457" t="str">
        <f t="shared" si="1"/>
        <v/>
      </c>
      <c r="J104" s="463"/>
      <c r="K104" s="457" t="str">
        <f t="shared" si="2"/>
        <v/>
      </c>
      <c r="L104" s="463"/>
      <c r="M104" s="467" t="str">
        <f t="shared" si="3"/>
        <v/>
      </c>
      <c r="N104" s="456" t="str">
        <f>IF(F104="","",INT(HLOOKUP(N82,H82:M105,23,FALSE)*O81))</f>
        <v/>
      </c>
      <c r="O104" s="471" t="str">
        <f t="shared" si="4"/>
        <v/>
      </c>
    </row>
    <row r="105" spans="1:19" s="18" customFormat="1" ht="20" customHeight="1" thickBot="1">
      <c r="A105" s="52"/>
      <c r="B105" s="95"/>
      <c r="C105" s="96"/>
      <c r="D105" s="72"/>
      <c r="E105" s="82"/>
      <c r="F105" s="58"/>
      <c r="G105" s="77"/>
      <c r="H105" s="458"/>
      <c r="I105" s="459" t="str">
        <f t="shared" si="1"/>
        <v/>
      </c>
      <c r="J105" s="464"/>
      <c r="K105" s="459" t="str">
        <f t="shared" si="2"/>
        <v/>
      </c>
      <c r="L105" s="464"/>
      <c r="M105" s="468" t="str">
        <f t="shared" si="3"/>
        <v/>
      </c>
      <c r="N105" s="458" t="str">
        <f>IF(F105="","",INT(HLOOKUP(N82,H82:M105,24,FALSE)*O81))</f>
        <v/>
      </c>
      <c r="O105" s="472" t="str">
        <f t="shared" si="4"/>
        <v/>
      </c>
    </row>
    <row r="106" spans="1:19" s="18" customFormat="1" ht="20" customHeight="1" thickTop="1" thickBot="1">
      <c r="A106" s="26"/>
      <c r="B106" s="27"/>
      <c r="C106" s="27"/>
      <c r="D106" s="28" t="str">
        <f>IF(G106="","合      計","")</f>
        <v>合      計</v>
      </c>
      <c r="E106" s="29" t="s">
        <v>79</v>
      </c>
      <c r="F106" s="29"/>
      <c r="G106" s="49"/>
      <c r="H106" s="460"/>
      <c r="I106" s="461" t="str">
        <f>IF($G106="",IF(SUM(I84:I105)=0,"",SUM(I84:I105)),IF(I79="","",SUM(I84:I105)+I79))</f>
        <v/>
      </c>
      <c r="J106" s="465"/>
      <c r="K106" s="461" t="str">
        <f>IF(G106="",IF(SUM(K84:K105)=0,"",SUM(K84:K105)),IF(K79="","",SUM(K84:K105)+K79))</f>
        <v/>
      </c>
      <c r="L106" s="465"/>
      <c r="M106" s="469" t="str">
        <f>IF(G106="",IF(SUM(M84:M105)=0,"",SUM(M84:M105)),IF(M79="","",SUM(M84:M105)+M79))</f>
        <v/>
      </c>
      <c r="N106" s="473" t="s">
        <v>31</v>
      </c>
      <c r="O106" s="474">
        <f>IF(G133="",MIN(I106,K106,M106),"")</f>
        <v>0</v>
      </c>
    </row>
    <row r="107" spans="1:19" s="18" customFormat="1" ht="20" customHeight="1">
      <c r="A107" s="22"/>
      <c r="B107" s="22"/>
      <c r="C107" s="22"/>
      <c r="G107" s="22"/>
      <c r="H107" s="30"/>
      <c r="I107" s="30"/>
      <c r="J107" s="30"/>
      <c r="K107" s="30"/>
      <c r="L107" s="30"/>
      <c r="M107" s="30"/>
      <c r="N107" s="18" t="str">
        <f>IF(B109="","EOL","")</f>
        <v>EOL</v>
      </c>
      <c r="O107" s="30">
        <f>+O80+1</f>
        <v>1</v>
      </c>
    </row>
    <row r="110" spans="1:19" s="18" customFormat="1" ht="20" customHeight="1" thickBot="1">
      <c r="A110" s="1082" t="s">
        <v>272</v>
      </c>
      <c r="B110" s="1082"/>
      <c r="C110" s="1082"/>
      <c r="D110" s="1082"/>
      <c r="E110" s="1082"/>
      <c r="F110" s="1082"/>
      <c r="G110" s="1082"/>
      <c r="H110" s="1082"/>
      <c r="I110" s="1082"/>
      <c r="J110" s="1082"/>
      <c r="K110" s="1082"/>
      <c r="L110" s="1082"/>
      <c r="M110" s="246" t="s">
        <v>238</v>
      </c>
      <c r="N110" s="1083" t="s">
        <v>239</v>
      </c>
      <c r="O110" s="1083"/>
      <c r="P110" s="1083"/>
      <c r="Q110" s="247"/>
      <c r="S110" s="1"/>
    </row>
    <row r="111" spans="1:19" s="22" customFormat="1" ht="20" customHeight="1">
      <c r="A111" s="311"/>
      <c r="B111" s="310"/>
      <c r="C111" s="310"/>
      <c r="D111" s="1072" t="s">
        <v>240</v>
      </c>
      <c r="E111" s="1072"/>
      <c r="F111" s="1072"/>
      <c r="G111" s="1073"/>
      <c r="H111" s="249" t="s">
        <v>273</v>
      </c>
      <c r="I111" s="250" t="s">
        <v>274</v>
      </c>
      <c r="J111" s="1074" t="s">
        <v>243</v>
      </c>
      <c r="K111" s="1075"/>
      <c r="L111" s="1075"/>
      <c r="M111" s="1075"/>
      <c r="N111" s="1075"/>
      <c r="O111" s="1075"/>
      <c r="P111" s="1075"/>
      <c r="Q111" s="1076"/>
    </row>
    <row r="112" spans="1:19" s="22" customFormat="1" ht="20" customHeight="1" thickBot="1">
      <c r="A112" s="312"/>
      <c r="B112" s="313"/>
      <c r="C112" s="313"/>
      <c r="D112" s="314"/>
      <c r="E112" s="315" t="s">
        <v>275</v>
      </c>
      <c r="F112" s="1077">
        <v>1</v>
      </c>
      <c r="G112" s="1078"/>
      <c r="H112" s="316"/>
      <c r="I112" s="316"/>
      <c r="J112" s="1079" t="s">
        <v>276</v>
      </c>
      <c r="K112" s="1080"/>
      <c r="L112" s="1080"/>
      <c r="M112" s="1080"/>
      <c r="N112" s="1080"/>
      <c r="O112" s="1080"/>
      <c r="P112" s="1080"/>
      <c r="Q112" s="1081"/>
    </row>
    <row r="113" spans="1:17" s="18" customFormat="1" ht="20" customHeight="1">
      <c r="A113" s="317" t="s">
        <v>277</v>
      </c>
      <c r="B113" s="318" t="s">
        <v>278</v>
      </c>
      <c r="C113" s="319" t="s">
        <v>279</v>
      </c>
      <c r="D113" s="320"/>
      <c r="E113" s="321"/>
      <c r="F113" s="321"/>
      <c r="G113" s="322"/>
      <c r="H113" s="249" t="s">
        <v>241</v>
      </c>
      <c r="I113" s="250" t="s">
        <v>242</v>
      </c>
      <c r="J113" s="251" t="s">
        <v>16</v>
      </c>
      <c r="K113" s="248" t="s">
        <v>18</v>
      </c>
      <c r="L113" s="323"/>
      <c r="M113" s="324"/>
      <c r="N113" s="325"/>
      <c r="O113" s="326"/>
      <c r="P113" s="250" t="s">
        <v>244</v>
      </c>
      <c r="Q113" s="327">
        <f>IF(I112=0,0,H112/I112*F112)</f>
        <v>0</v>
      </c>
    </row>
    <row r="114" spans="1:17" s="18" customFormat="1" ht="20" customHeight="1" thickBot="1">
      <c r="A114" s="252" t="s">
        <v>245</v>
      </c>
      <c r="B114" s="253" t="s">
        <v>17</v>
      </c>
      <c r="C114" s="254" t="s">
        <v>17</v>
      </c>
      <c r="D114" s="255" t="s">
        <v>19</v>
      </c>
      <c r="E114" s="256" t="s">
        <v>20</v>
      </c>
      <c r="F114" s="328" t="s">
        <v>21</v>
      </c>
      <c r="G114" s="329" t="s">
        <v>22</v>
      </c>
      <c r="H114" s="257" t="s">
        <v>280</v>
      </c>
      <c r="I114" s="258" t="s">
        <v>23</v>
      </c>
      <c r="J114" s="259" t="s">
        <v>17</v>
      </c>
      <c r="K114" s="253" t="s">
        <v>17</v>
      </c>
      <c r="L114" s="260" t="s">
        <v>19</v>
      </c>
      <c r="M114" s="256" t="s">
        <v>20</v>
      </c>
      <c r="N114" s="328" t="s">
        <v>21</v>
      </c>
      <c r="O114" s="329" t="s">
        <v>22</v>
      </c>
      <c r="P114" s="258" t="s">
        <v>23</v>
      </c>
      <c r="Q114" s="261" t="s">
        <v>30</v>
      </c>
    </row>
    <row r="115" spans="1:17" s="18" customFormat="1" ht="20" customHeight="1">
      <c r="A115" s="262"/>
      <c r="B115" s="263"/>
      <c r="C115" s="264"/>
      <c r="D115" s="265"/>
      <c r="E115" s="266"/>
      <c r="F115" s="267"/>
      <c r="G115" s="268"/>
      <c r="H115" s="330"/>
      <c r="I115" s="269"/>
      <c r="J115" s="270"/>
      <c r="K115" s="264"/>
      <c r="L115" s="265"/>
      <c r="M115" s="266"/>
      <c r="N115" s="267"/>
      <c r="O115" s="268"/>
      <c r="P115" s="269"/>
      <c r="Q115" s="271" t="str">
        <f>IF(P115="","",IF(I115&lt;&gt;"",IF((P115/I115*H115)&lt;10,INT(P115/I115*H115),IF((P115/I115*H115)&lt;10000,ROUNDDOWN(P115/I115*H115,-1),ROUNDDOWN(P115/I115*H115,-2))),IF((P115*Q113)&lt;10,INT(P115*Q113),IF((P115*Q113)&lt;10000,ROUNDDOWN(P115*Q113,-1),ROUNDDOWN(P115*Q113,-2)))))</f>
        <v/>
      </c>
    </row>
    <row r="116" spans="1:17" s="18" customFormat="1" ht="20" customHeight="1">
      <c r="A116" s="272"/>
      <c r="B116" s="273"/>
      <c r="C116" s="274"/>
      <c r="D116" s="275"/>
      <c r="E116" s="276"/>
      <c r="F116" s="277"/>
      <c r="G116" s="278"/>
      <c r="H116" s="331"/>
      <c r="I116" s="279"/>
      <c r="J116" s="280"/>
      <c r="K116" s="274"/>
      <c r="L116" s="275"/>
      <c r="M116" s="276"/>
      <c r="N116" s="277"/>
      <c r="O116" s="278"/>
      <c r="P116" s="279"/>
      <c r="Q116" s="281" t="str">
        <f>IF(P116="","",IF(I116&lt;&gt;"",IF((P116/I116*H116)&lt;10,INT(P116/I116*H116),IF((P116/I116*H116)&lt;10000,ROUNDDOWN(P116/I116*H116,-1),ROUNDDOWN(P116/I116*H116,-2))),IF((P116*Q113)&lt;10,INT(P116*Q113),IF((P116*Q113)&lt;10000,ROUNDDOWN(P116*Q113,-1),ROUNDDOWN(P116*Q113,-2)))))</f>
        <v/>
      </c>
    </row>
    <row r="117" spans="1:17" s="18" customFormat="1" ht="20" customHeight="1">
      <c r="A117" s="272"/>
      <c r="B117" s="273"/>
      <c r="C117" s="274"/>
      <c r="D117" s="275"/>
      <c r="E117" s="276"/>
      <c r="F117" s="277"/>
      <c r="G117" s="278"/>
      <c r="H117" s="331"/>
      <c r="I117" s="279"/>
      <c r="J117" s="280"/>
      <c r="K117" s="274"/>
      <c r="L117" s="275"/>
      <c r="M117" s="276"/>
      <c r="N117" s="277"/>
      <c r="O117" s="278"/>
      <c r="P117" s="279"/>
      <c r="Q117" s="281" t="str">
        <f>IF(P117="","",IF(I117&lt;&gt;"",IF((P117/I117*H117)&lt;10,INT(P117/I117*H117),IF((P117/I117*H117)&lt;10000,ROUNDDOWN(P117/I117*H117,-1),ROUNDDOWN(P117/I117*H117,-2))),IF((P117*Q113)&lt;10,INT(P117*Q113),IF((P117*Q113)&lt;10000,ROUNDDOWN(P117*Q113,-1),ROUNDDOWN(P117*Q113,-2)))))</f>
        <v/>
      </c>
    </row>
    <row r="118" spans="1:17" s="18" customFormat="1" ht="20" customHeight="1">
      <c r="A118" s="272"/>
      <c r="B118" s="273"/>
      <c r="C118" s="274"/>
      <c r="D118" s="275"/>
      <c r="E118" s="276"/>
      <c r="F118" s="277"/>
      <c r="G118" s="278"/>
      <c r="H118" s="331"/>
      <c r="I118" s="279"/>
      <c r="J118" s="280"/>
      <c r="K118" s="274"/>
      <c r="L118" s="275"/>
      <c r="M118" s="276"/>
      <c r="N118" s="277"/>
      <c r="O118" s="278"/>
      <c r="P118" s="279"/>
      <c r="Q118" s="281" t="str">
        <f>IF(P118="","",IF(I118&lt;&gt;"",IF((P118/I118*H118)&lt;10,INT(P118/I118*H118),IF((P118/I118*H118)&lt;10000,ROUNDDOWN(P118/I118*H118,-1),ROUNDDOWN(P118/I118*H118,-2))),IF((P118*Q113)&lt;10,INT(P118*Q113),IF((P118*Q113)&lt;10000,ROUNDDOWN(P118*Q113,-1),ROUNDDOWN(P118*Q113,-2)))))</f>
        <v/>
      </c>
    </row>
    <row r="119" spans="1:17" s="18" customFormat="1" ht="20" customHeight="1">
      <c r="A119" s="272"/>
      <c r="B119" s="273"/>
      <c r="C119" s="274"/>
      <c r="D119" s="275"/>
      <c r="E119" s="276"/>
      <c r="F119" s="277"/>
      <c r="G119" s="278"/>
      <c r="H119" s="331"/>
      <c r="I119" s="279"/>
      <c r="J119" s="280"/>
      <c r="K119" s="274"/>
      <c r="L119" s="275"/>
      <c r="M119" s="276"/>
      <c r="N119" s="277"/>
      <c r="O119" s="278"/>
      <c r="P119" s="279"/>
      <c r="Q119" s="281" t="str">
        <f>IF(P119="","",IF(I119&lt;&gt;"",IF((P119/I119*H119)&lt;10,INT(P119/I119*H119),IF((P119/I119*H119)&lt;10000,ROUNDDOWN(P119/I119*H119,-1),ROUNDDOWN(P119/I119*H119,-2))),IF((P119*Q113)&lt;10,INT(P119*Q113),IF((P119*Q113)&lt;10000,ROUNDDOWN(P119*Q113,-1),ROUNDDOWN(P119*Q113,-2)))))</f>
        <v/>
      </c>
    </row>
    <row r="120" spans="1:17" s="18" customFormat="1" ht="20" customHeight="1">
      <c r="A120" s="272"/>
      <c r="B120" s="273"/>
      <c r="C120" s="274"/>
      <c r="D120" s="275"/>
      <c r="E120" s="276"/>
      <c r="F120" s="277"/>
      <c r="G120" s="278"/>
      <c r="H120" s="331"/>
      <c r="I120" s="279"/>
      <c r="J120" s="280"/>
      <c r="K120" s="274"/>
      <c r="L120" s="275"/>
      <c r="M120" s="276"/>
      <c r="N120" s="277"/>
      <c r="O120" s="278"/>
      <c r="P120" s="279"/>
      <c r="Q120" s="281" t="str">
        <f>IF(P120="","",IF(I120&lt;&gt;"",IF((P120/I120*H120)&lt;10,INT(P120/I120*H120),IF((P120/I120*H120)&lt;10000,ROUNDDOWN(P120/I120*H120,-1),ROUNDDOWN(P120/I120*H120,-2))),IF((P120*Q113)&lt;10,INT(P120*Q113),IF((P120*Q113)&lt;10000,ROUNDDOWN(P120*Q113,-1),ROUNDDOWN(P120*Q113,-2)))))</f>
        <v/>
      </c>
    </row>
    <row r="121" spans="1:17" s="18" customFormat="1" ht="20" customHeight="1">
      <c r="A121" s="272"/>
      <c r="B121" s="273"/>
      <c r="C121" s="274"/>
      <c r="D121" s="275"/>
      <c r="E121" s="276"/>
      <c r="F121" s="277"/>
      <c r="G121" s="278"/>
      <c r="H121" s="331"/>
      <c r="I121" s="279"/>
      <c r="J121" s="280"/>
      <c r="K121" s="274"/>
      <c r="L121" s="275"/>
      <c r="M121" s="276"/>
      <c r="N121" s="277"/>
      <c r="O121" s="278"/>
      <c r="P121" s="279"/>
      <c r="Q121" s="281" t="str">
        <f>IF(P121="","",IF(I121&lt;&gt;"",IF((P121/I121*H121)&lt;10,INT(P121/I121*H121),IF((P121/I121*H121)&lt;10000,ROUNDDOWN(P121/I121*H121,-1),ROUNDDOWN(P121/I121*H121,-2))),IF((P121*Q113)&lt;10,INT(P121*Q113),IF((P121*Q113)&lt;10000,ROUNDDOWN(P121*Q113,-1),ROUNDDOWN(P121*Q113,-2)))))</f>
        <v/>
      </c>
    </row>
    <row r="122" spans="1:17" s="18" customFormat="1" ht="20" customHeight="1">
      <c r="A122" s="272"/>
      <c r="B122" s="273"/>
      <c r="C122" s="274"/>
      <c r="D122" s="275"/>
      <c r="E122" s="276"/>
      <c r="F122" s="277"/>
      <c r="G122" s="278"/>
      <c r="H122" s="331"/>
      <c r="I122" s="279"/>
      <c r="J122" s="280"/>
      <c r="K122" s="274"/>
      <c r="L122" s="275"/>
      <c r="M122" s="276"/>
      <c r="N122" s="277"/>
      <c r="O122" s="278"/>
      <c r="P122" s="279"/>
      <c r="Q122" s="281" t="str">
        <f>IF(P122="","",IF(I122&lt;&gt;"",IF((P122/I122*H122)&lt;10,INT(P122/I122*H122),IF((P122/I122*H122)&lt;10000,ROUNDDOWN(P122/I122*H122,-1),ROUNDDOWN(P122/I122*H122,-2))),IF((P122*Q113)&lt;10,INT(P122*Q113),IF((P122*Q113)&lt;10000,ROUNDDOWN(P122*Q113,-1),ROUNDDOWN(P122*Q113,-2)))))</f>
        <v/>
      </c>
    </row>
    <row r="123" spans="1:17" s="18" customFormat="1" ht="20" customHeight="1">
      <c r="A123" s="272"/>
      <c r="B123" s="273"/>
      <c r="C123" s="274"/>
      <c r="D123" s="275"/>
      <c r="E123" s="276"/>
      <c r="F123" s="277"/>
      <c r="G123" s="278"/>
      <c r="H123" s="331"/>
      <c r="I123" s="279"/>
      <c r="J123" s="280"/>
      <c r="K123" s="274"/>
      <c r="L123" s="275"/>
      <c r="M123" s="276"/>
      <c r="N123" s="277"/>
      <c r="O123" s="278"/>
      <c r="P123" s="279"/>
      <c r="Q123" s="281" t="str">
        <f>IF(P123="","",IF(I123&lt;&gt;"",IF((P123/I123*H123)&lt;10,INT(P123/I123*H123),IF((P123/I123*H123)&lt;10000,ROUNDDOWN(P123/I123*H123,-1),ROUNDDOWN(P123/I123*H123,-2))),IF((P123*Q113)&lt;10,INT(P123*Q113),IF((P123*Q113)&lt;10000,ROUNDDOWN(P123*Q113,-1),ROUNDDOWN(P123*Q113,-2)))))</f>
        <v/>
      </c>
    </row>
    <row r="124" spans="1:17" s="18" customFormat="1" ht="20" customHeight="1">
      <c r="A124" s="272"/>
      <c r="B124" s="273"/>
      <c r="C124" s="274"/>
      <c r="D124" s="275"/>
      <c r="E124" s="276"/>
      <c r="F124" s="277"/>
      <c r="G124" s="278"/>
      <c r="H124" s="331"/>
      <c r="I124" s="279"/>
      <c r="J124" s="280"/>
      <c r="K124" s="274"/>
      <c r="L124" s="275"/>
      <c r="M124" s="276"/>
      <c r="N124" s="277"/>
      <c r="O124" s="278"/>
      <c r="P124" s="279"/>
      <c r="Q124" s="281" t="str">
        <f>IF(P124="","",IF(I124&lt;&gt;"",IF((P124/I124*H124)&lt;10,INT(P124/I124*H124),IF((P124/I124*H124)&lt;10000,ROUNDDOWN(P124/I124*H124,-1),ROUNDDOWN(P124/I124*H124,-2))),IF((P124*Q113)&lt;10,INT(P124*Q113),IF((P124*Q113)&lt;10000,ROUNDDOWN(P124*Q113,-1),ROUNDDOWN(P124*Q113,-2)))))</f>
        <v/>
      </c>
    </row>
    <row r="125" spans="1:17" s="18" customFormat="1" ht="20" customHeight="1">
      <c r="A125" s="272"/>
      <c r="B125" s="273"/>
      <c r="C125" s="274"/>
      <c r="D125" s="275"/>
      <c r="E125" s="276"/>
      <c r="F125" s="277"/>
      <c r="G125" s="278"/>
      <c r="H125" s="331"/>
      <c r="I125" s="279"/>
      <c r="J125" s="280"/>
      <c r="K125" s="274"/>
      <c r="L125" s="275"/>
      <c r="M125" s="276"/>
      <c r="N125" s="277"/>
      <c r="O125" s="278"/>
      <c r="P125" s="279"/>
      <c r="Q125" s="281" t="str">
        <f>IF(P125="","",IF(I125&lt;&gt;"",IF((P125/I125*H125)&lt;10,INT(P125/I125*H125),IF((P125/I125*H125)&lt;10000,ROUNDDOWN(P125/I125*H125,-1),ROUNDDOWN(P125/I125*H125,-2))),IF((P125*Q113)&lt;10,INT(P125*Q113),IF((P125*Q113)&lt;10000,ROUNDDOWN(P125*Q113,-1),ROUNDDOWN(P125*Q113,-2)))))</f>
        <v/>
      </c>
    </row>
    <row r="126" spans="1:17" s="18" customFormat="1" ht="20" customHeight="1">
      <c r="A126" s="272"/>
      <c r="B126" s="273"/>
      <c r="C126" s="274"/>
      <c r="D126" s="275"/>
      <c r="E126" s="276"/>
      <c r="F126" s="277"/>
      <c r="G126" s="278"/>
      <c r="H126" s="331"/>
      <c r="I126" s="279"/>
      <c r="J126" s="280"/>
      <c r="K126" s="274"/>
      <c r="L126" s="275"/>
      <c r="M126" s="276"/>
      <c r="N126" s="277"/>
      <c r="O126" s="278"/>
      <c r="P126" s="279"/>
      <c r="Q126" s="281" t="str">
        <f>IF(P126="","",IF(I126&lt;&gt;"",IF((P126/I126*H126)&lt;10,INT(P126/I126*H126),IF((P126/I126*H126)&lt;10000,ROUNDDOWN(P126/I126*H126,-1),ROUNDDOWN(P126/I126*H126,-2))),IF((P126*Q113)&lt;10,INT(P126*Q113),IF((P126*Q113)&lt;10000,ROUNDDOWN(P126*Q113,-1),ROUNDDOWN(P126*Q113,-2)))))</f>
        <v/>
      </c>
    </row>
    <row r="127" spans="1:17" s="18" customFormat="1" ht="20" customHeight="1">
      <c r="A127" s="272"/>
      <c r="B127" s="273"/>
      <c r="C127" s="274"/>
      <c r="D127" s="275"/>
      <c r="E127" s="276"/>
      <c r="F127" s="277"/>
      <c r="G127" s="278"/>
      <c r="H127" s="331"/>
      <c r="I127" s="279"/>
      <c r="J127" s="280"/>
      <c r="K127" s="274"/>
      <c r="L127" s="275"/>
      <c r="M127" s="276"/>
      <c r="N127" s="277"/>
      <c r="O127" s="278"/>
      <c r="P127" s="279"/>
      <c r="Q127" s="281" t="str">
        <f>IF(P127="","",IF(I127&lt;&gt;"",IF((P127/I127*H127)&lt;10,INT(P127/I127*H127),IF((P127/I127*H127)&lt;10000,ROUNDDOWN(P127/I127*H127,-1),ROUNDDOWN(P127/I127*H127,-2))),IF((P127*Q113)&lt;10,INT(P127*Q113),IF((P127*Q113)&lt;10000,ROUNDDOWN(P127*Q113,-1),ROUNDDOWN(P127*Q113,-2)))))</f>
        <v/>
      </c>
    </row>
    <row r="128" spans="1:17" s="18" customFormat="1" ht="20" customHeight="1">
      <c r="A128" s="272"/>
      <c r="B128" s="273"/>
      <c r="C128" s="274"/>
      <c r="D128" s="275"/>
      <c r="E128" s="276"/>
      <c r="F128" s="277"/>
      <c r="G128" s="278"/>
      <c r="H128" s="331"/>
      <c r="I128" s="279"/>
      <c r="J128" s="280"/>
      <c r="K128" s="274"/>
      <c r="L128" s="275"/>
      <c r="M128" s="276"/>
      <c r="N128" s="277"/>
      <c r="O128" s="278"/>
      <c r="P128" s="279"/>
      <c r="Q128" s="281" t="str">
        <f>IF(P128="","",IF(I128&lt;&gt;"",IF((P128/I128*H128)&lt;10,INT(P128/I128*H128),IF((P128/I128*H128)&lt;10000,ROUNDDOWN(P128/I128*H128,-1),ROUNDDOWN(P128/I128*H128,-2))),IF((P128*Q113)&lt;10,INT(P128*Q113),IF((P128*Q113)&lt;10000,ROUNDDOWN(P128*Q113,-1),ROUNDDOWN(P128*Q113,-2)))))</f>
        <v/>
      </c>
    </row>
    <row r="129" spans="1:17" s="18" customFormat="1" ht="20" customHeight="1">
      <c r="A129" s="272"/>
      <c r="B129" s="273"/>
      <c r="C129" s="274"/>
      <c r="D129" s="275"/>
      <c r="E129" s="276"/>
      <c r="F129" s="277"/>
      <c r="G129" s="278"/>
      <c r="H129" s="331"/>
      <c r="I129" s="279"/>
      <c r="J129" s="280"/>
      <c r="K129" s="274"/>
      <c r="L129" s="275"/>
      <c r="M129" s="276"/>
      <c r="N129" s="277"/>
      <c r="O129" s="278"/>
      <c r="P129" s="279"/>
      <c r="Q129" s="281" t="str">
        <f>IF(P129="","",IF(I129&lt;&gt;"",IF((P129/I129*H129)&lt;10,INT(P129/I129*H129),IF((P129/I129*H129)&lt;10000,ROUNDDOWN(P129/I129*H129,-1),ROUNDDOWN(P129/I129*H129,-2))),IF((P129*Q113)&lt;10,INT(P129*Q113),IF((P129*Q113)&lt;10000,ROUNDDOWN(P129*Q113,-1),ROUNDDOWN(P129*Q113,-2)))))</f>
        <v/>
      </c>
    </row>
    <row r="130" spans="1:17" s="18" customFormat="1" ht="20" customHeight="1">
      <c r="A130" s="272"/>
      <c r="B130" s="273"/>
      <c r="C130" s="274"/>
      <c r="D130" s="275"/>
      <c r="E130" s="276"/>
      <c r="F130" s="277"/>
      <c r="G130" s="278"/>
      <c r="H130" s="331"/>
      <c r="I130" s="279"/>
      <c r="J130" s="280"/>
      <c r="K130" s="274"/>
      <c r="L130" s="275"/>
      <c r="M130" s="276"/>
      <c r="N130" s="277"/>
      <c r="O130" s="278"/>
      <c r="P130" s="279"/>
      <c r="Q130" s="281" t="str">
        <f>IF(P130="","",IF(I130&lt;&gt;"",IF((P130/I130*H130)&lt;10,INT(P130/I130*H130),IF((P130/I130*H130)&lt;10000,ROUNDDOWN(P130/I130*H130,-1),ROUNDDOWN(P130/I130*H130,-2))),IF((P130*Q113)&lt;10,INT(P130*Q113),IF((P130*Q113)&lt;10000,ROUNDDOWN(P130*Q113,-1),ROUNDDOWN(P130*Q113,-2)))))</f>
        <v/>
      </c>
    </row>
    <row r="131" spans="1:17" s="18" customFormat="1" ht="20" customHeight="1">
      <c r="A131" s="272"/>
      <c r="B131" s="273"/>
      <c r="C131" s="274"/>
      <c r="D131" s="275"/>
      <c r="E131" s="276"/>
      <c r="F131" s="277"/>
      <c r="G131" s="278"/>
      <c r="H131" s="331"/>
      <c r="I131" s="279"/>
      <c r="J131" s="280"/>
      <c r="K131" s="274"/>
      <c r="L131" s="275"/>
      <c r="M131" s="276"/>
      <c r="N131" s="277"/>
      <c r="O131" s="278"/>
      <c r="P131" s="279"/>
      <c r="Q131" s="281" t="str">
        <f>IF(P131="","",IF(I131&lt;&gt;"",IF((P131/I131*H131)&lt;10,INT(P131/I131*H131),IF((P131/I131*H131)&lt;10000,ROUNDDOWN(P131/I131*H131,-1),ROUNDDOWN(P131/I131*H131,-2))),IF((P131*Q113)&lt;10,INT(P131*Q113),IF((P131*Q113)&lt;10000,ROUNDDOWN(P131*Q113,-1),ROUNDDOWN(P131*Q113,-2)))))</f>
        <v/>
      </c>
    </row>
    <row r="132" spans="1:17" s="18" customFormat="1" ht="20" customHeight="1">
      <c r="A132" s="272"/>
      <c r="B132" s="273"/>
      <c r="C132" s="274"/>
      <c r="D132" s="275"/>
      <c r="E132" s="276"/>
      <c r="F132" s="277"/>
      <c r="G132" s="278"/>
      <c r="H132" s="331"/>
      <c r="I132" s="279"/>
      <c r="J132" s="280"/>
      <c r="K132" s="274"/>
      <c r="L132" s="275"/>
      <c r="M132" s="276"/>
      <c r="N132" s="277"/>
      <c r="O132" s="278"/>
      <c r="P132" s="279"/>
      <c r="Q132" s="281" t="str">
        <f>IF(P132="","",IF(I132&lt;&gt;"",IF((P132/I132*H132)&lt;10,INT(P132/I132*H132),IF((P132/I132*H132)&lt;10000,ROUNDDOWN(P132/I132*H132,-1),ROUNDDOWN(P132/I132*H132,-2))),IF((P132*Q113)&lt;10,INT(P132*Q113),IF((P132*Q113)&lt;10000,ROUNDDOWN(P132*Q113,-1),ROUNDDOWN(P132*Q113,-2)))))</f>
        <v/>
      </c>
    </row>
    <row r="133" spans="1:17" s="18" customFormat="1" ht="20" customHeight="1">
      <c r="A133" s="272"/>
      <c r="B133" s="273"/>
      <c r="C133" s="274"/>
      <c r="D133" s="275"/>
      <c r="E133" s="276"/>
      <c r="F133" s="277"/>
      <c r="G133" s="278"/>
      <c r="H133" s="331"/>
      <c r="I133" s="279"/>
      <c r="J133" s="280"/>
      <c r="K133" s="274"/>
      <c r="L133" s="275"/>
      <c r="M133" s="276"/>
      <c r="N133" s="277"/>
      <c r="O133" s="278"/>
      <c r="P133" s="279"/>
      <c r="Q133" s="281" t="str">
        <f>IF(P133="","",IF(I133&lt;&gt;"",IF((P133/I133*H133)&lt;10,INT(P133/I133*H133),IF((P133/I133*H133)&lt;10000,ROUNDDOWN(P133/I133*H133,-1),ROUNDDOWN(P133/I133*H133,-2))),IF((P133*Q113)&lt;10,INT(P133*Q113),IF((P133*Q113)&lt;10000,ROUNDDOWN(P133*Q113,-1),ROUNDDOWN(P133*Q113,-2)))))</f>
        <v/>
      </c>
    </row>
    <row r="134" spans="1:17" s="18" customFormat="1" ht="20" customHeight="1">
      <c r="A134" s="272"/>
      <c r="B134" s="273"/>
      <c r="C134" s="274"/>
      <c r="D134" s="275"/>
      <c r="E134" s="276"/>
      <c r="F134" s="277"/>
      <c r="G134" s="278"/>
      <c r="H134" s="331"/>
      <c r="I134" s="279"/>
      <c r="J134" s="280"/>
      <c r="K134" s="274"/>
      <c r="L134" s="275"/>
      <c r="M134" s="276"/>
      <c r="N134" s="277"/>
      <c r="O134" s="278"/>
      <c r="P134" s="279"/>
      <c r="Q134" s="281" t="str">
        <f>IF(P134="","",IF(I134&lt;&gt;"",IF((P134/I134*H134)&lt;10,INT(P134/I134*H134),IF((P134/I134*H134)&lt;10000,ROUNDDOWN(P134/I134*H134,-1),ROUNDDOWN(P134/I134*H134,-2))),IF((P134*Q113)&lt;10,INT(P134*Q113),IF((P134*Q113)&lt;10000,ROUNDDOWN(P134*Q113,-1),ROUNDDOWN(P134*Q113,-2)))))</f>
        <v/>
      </c>
    </row>
    <row r="135" spans="1:17" s="18" customFormat="1" ht="20" customHeight="1" thickBot="1">
      <c r="A135" s="282"/>
      <c r="B135" s="283"/>
      <c r="C135" s="284"/>
      <c r="D135" s="285"/>
      <c r="E135" s="286"/>
      <c r="F135" s="287"/>
      <c r="G135" s="288"/>
      <c r="H135" s="332"/>
      <c r="I135" s="289"/>
      <c r="J135" s="290"/>
      <c r="K135" s="284"/>
      <c r="L135" s="285"/>
      <c r="M135" s="286"/>
      <c r="N135" s="287"/>
      <c r="O135" s="288"/>
      <c r="P135" s="289"/>
      <c r="Q135" s="291" t="str">
        <f>IF(P135="","",IF(I135&lt;&gt;"",IF((P135/I135*H135)&lt;10,INT(P135/I135*H135),IF((P135/I135*H135)&lt;10000,ROUNDDOWN(P135/I135*H135,-1),ROUNDDOWN(P135/I135*H135,-2))),IF((P135*Q113)&lt;10,INT(P135*Q113),IF((P135*Q113)&lt;10000,ROUNDDOWN(P135*Q113,-1),ROUNDDOWN(P135*Q113,-2)))))</f>
        <v/>
      </c>
    </row>
    <row r="136" spans="1:17" s="18" customFormat="1" ht="20" customHeight="1">
      <c r="A136" s="22"/>
      <c r="B136" s="22"/>
      <c r="C136" s="22"/>
      <c r="G136" s="22"/>
      <c r="H136" s="30"/>
      <c r="I136" s="30"/>
      <c r="J136" s="22"/>
      <c r="K136" s="22"/>
      <c r="N136" s="18" t="str">
        <f>IF(A140="","EOL","")</f>
        <v>EOL</v>
      </c>
      <c r="O136" s="30">
        <f>+O109+1</f>
        <v>1</v>
      </c>
      <c r="Q136" s="30"/>
    </row>
  </sheetData>
  <mergeCells count="15">
    <mergeCell ref="D111:G111"/>
    <mergeCell ref="J111:Q111"/>
    <mergeCell ref="F112:G112"/>
    <mergeCell ref="J112:Q112"/>
    <mergeCell ref="N82:O82"/>
    <mergeCell ref="L82:M82"/>
    <mergeCell ref="H82:I82"/>
    <mergeCell ref="J82:K82"/>
    <mergeCell ref="A110:L110"/>
    <mergeCell ref="N110:P110"/>
    <mergeCell ref="J52:L52"/>
    <mergeCell ref="C50:L50"/>
    <mergeCell ref="A81:M81"/>
    <mergeCell ref="J51:L51"/>
    <mergeCell ref="O50:AH50"/>
  </mergeCells>
  <phoneticPr fontId="2"/>
  <dataValidations count="45">
    <dataValidation type="custom" allowBlank="1" showInputMessage="1" showErrorMessage="1" errorTitle="全体での比較する時のみ記入" error="各項目の元設計比較欄に金額が記入されています。_x000a_どちらかしか記入できません。" promptTitle="今回業者が元設計見積業者に含まれる時のみ記入" prompt="各項目で比較する場合、無記入。_x000a__x000a_変更見積業者が元設計業者に含まれる場合、_x000a_元設計の今回変更業者の調整前合計金額を記入。" sqref="I112" xr:uid="{00000000-0002-0000-0B00-000000000000}">
      <formula1>IF(SUM(H115:I135)&gt;0,I112=0,TRUE)</formula1>
    </dataValidation>
    <dataValidation type="custom" allowBlank="1" showInputMessage="1" showErrorMessage="1" errorTitle="各項目での比較時のみ記入" error="採用業者全体金額が記入されています。_x000a_どちらかしか記入できません。" sqref="I135" xr:uid="{00000000-0002-0000-0B00-000001000000}">
      <formula1>IF(SUM(H112:I112)&gt;0,I135=0,TRUE)</formula1>
    </dataValidation>
    <dataValidation type="custom" allowBlank="1" showInputMessage="1" showErrorMessage="1" errorTitle="各項目での比較時のみ記入" error="採用業者全体金額が記入されています。_x000a_どちらかしか記入できません。" sqref="H135" xr:uid="{00000000-0002-0000-0B00-000002000000}">
      <formula1>IF(SUM(H112:I112)&gt;0,H135=0,TRUE)</formula1>
    </dataValidation>
    <dataValidation type="custom" allowBlank="1" showInputMessage="1" showErrorMessage="1" errorTitle="各項目での比較時のみ記入" error="採用業者全体金額が記入されています。_x000a_どちらかしか記入できません。" sqref="I134" xr:uid="{00000000-0002-0000-0B00-000003000000}">
      <formula1>IF(SUM(H112:I112)&gt;0,I134=0,TRUE)</formula1>
    </dataValidation>
    <dataValidation type="custom" allowBlank="1" showInputMessage="1" showErrorMessage="1" errorTitle="各項目での比較時のみ記入" error="採用業者全体金額が記入されています。_x000a_どちらかしか記入できません。" sqref="H134" xr:uid="{00000000-0002-0000-0B00-000004000000}">
      <formula1>IF(SUM(H112:I112)&gt;0,H134=0,TRUE)</formula1>
    </dataValidation>
    <dataValidation type="custom" allowBlank="1" showInputMessage="1" showErrorMessage="1" errorTitle="各項目での比較時のみ記入" error="採用業者全体金額が記入されています。_x000a_どちらかしか記入できません。" sqref="I133" xr:uid="{00000000-0002-0000-0B00-000005000000}">
      <formula1>IF(SUM(H112:I112)&gt;0,I133=0,TRUE)</formula1>
    </dataValidation>
    <dataValidation type="custom" allowBlank="1" showInputMessage="1" showErrorMessage="1" errorTitle="各項目での比較時のみ記入" error="採用業者全体金額が記入されています。_x000a_どちらかしか記入できません。" sqref="H133" xr:uid="{00000000-0002-0000-0B00-000006000000}">
      <formula1>IF(SUM(H112:I112)&gt;0,H133=0,TRUE)</formula1>
    </dataValidation>
    <dataValidation type="custom" allowBlank="1" showInputMessage="1" showErrorMessage="1" errorTitle="各項目での比較時のみ記入" error="採用業者全体金額が記入されています。_x000a_どちらかしか記入できません。" sqref="I132" xr:uid="{00000000-0002-0000-0B00-000007000000}">
      <formula1>IF(SUM(H112:I112)&gt;0,I132=0,TRUE)</formula1>
    </dataValidation>
    <dataValidation type="custom" allowBlank="1" showInputMessage="1" showErrorMessage="1" errorTitle="各項目での比較時のみ記入" error="採用業者全体金額が記入されています。_x000a_どちらかしか記入できません。" sqref="H132" xr:uid="{00000000-0002-0000-0B00-000008000000}">
      <formula1>IF(SUM(H112:I112)&gt;0,H132=0,TRUE)</formula1>
    </dataValidation>
    <dataValidation type="custom" allowBlank="1" showInputMessage="1" showErrorMessage="1" errorTitle="各項目での比較時のみ記入" error="採用業者全体金額が⻰ᰠ_x0000__x0000_u_x0000__x0016__x0010__x0000__x0000_㿿_x0000_￩_xffff__x0000__x0000_記入できません。" sqref="I131" xr:uid="{00000000-0002-0000-0B00-000009000000}">
      <formula1>IF(SUM(H112:I112)&gt;0,I131=0,TRUE)</formula1>
    </dataValidation>
    <dataValidation type="custom" allowBlank="1" showInputMessage="1" showErrorMessage="1" errorTitle="各項目での比較時のみ記入" error="採用業者全体金額が記入されています。_x000a_どちらかしか記入できません。" sqref="H131" xr:uid="{00000000-0002-0000-0B00-00000A000000}">
      <formula1>IF(SUM(H112:I112)&gt;0,H131=0,TRUE)</formula1>
    </dataValidation>
    <dataValidation type="custom" allowBlank="1" showInputMessage="1" showErrorMessage="1" errorTitle="各項目での比較時のみ記入" error="採用業者全体金額が記入されています。_x000a_どちらかしか記入できません。" sqref="I130" xr:uid="{00000000-0002-0000-0B00-00000B000000}">
      <formula1>IF(SUM(H112:I112)&gt;0,I130=0,TRUE)</formula1>
    </dataValidation>
    <dataValidation type="custom" allowBlank="1" showInputMessage="1" showErrorMessage="1" errorTitle="各項目での比較時のみ記入" error="採用業者全体金額が記入されています。_x000a_どちらかしか記入できません。" sqref="H130" xr:uid="{00000000-0002-0000-0B00-00000C000000}">
      <formula1>IF(SUM(H112:I112)&gt;0,H130=0,TRUE)</formula1>
    </dataValidation>
    <dataValidation type="custom" allowBlank="1" showInputMessage="1" showErrorMessage="1" errorTitle="各項目での比較時のみ記入" error="採用業者全体金額が記入されています。_x000a_どちらかしか記入できません。" sqref="I129" xr:uid="{00000000-0002-0000-0B00-00000D000000}">
      <formula1>IF(SUM(H112:I112)&gt;0,I129=0,TRUE)</formula1>
    </dataValidation>
    <dataValidation type="custom" allowBlank="1" showInputMessage="1" showErrorMessage="1" errorTitle="各項目での比較時のみ記入" error="採用業者全体金額がᔧ_x0000__x0000_G_x0000__x0016__x0010__x0000__x0000_㿿_x0000_￩_xffff__x0000__x0000_記入できません。" sqref="H129" xr:uid="{00000000-0002-0000-0B00-00000E000000}">
      <formula1>IF(SUM(H112:I112)&gt;0,H129=0,TRUE)</formula1>
    </dataValidation>
    <dataValidation type="custom" allowBlank="1" showInputMessage="1" showErrorMessage="1" errorTitle="各項目での比較時のみ記入" error="採用業者全体金額が記入されています。_x000a_どちらかしか記入できません。" sqref="I128" xr:uid="{00000000-0002-0000-0B00-00000F000000}">
      <formula1>IF(SUM(H112:I112)&gt;0,I128=0,TRUE)</formula1>
    </dataValidation>
    <dataValidation type="custom" allowBlank="1" showInputMessage="1" showErrorMessage="1" errorTitle="各項目での比較時のみ記入" error="採用業者全体金額が醰ᔃ_x0000__x0000_u_x0000__x0016__x0010__x0000__x0000_㿿_x0000_￩_xffff__x0000__x0000_記入できません。" sqref="H128" xr:uid="{00000000-0002-0000-0B00-000010000000}">
      <formula1>IF(SUM(H112:I112)&gt;0,H128=0,TRUE)</formula1>
    </dataValidation>
    <dataValidation type="custom" allowBlank="1" showInputMessage="1" showErrorMessage="1" errorTitle="各項目での比較時のみ記入" error="採用業者全体金額が記入されています。_x000a_どちらかしか記入できません。" sqref="I127" xr:uid="{00000000-0002-0000-0B00-000011000000}">
      <formula1>IF(SUM(H112:I112)&gt;0,I127=0,TRUE)</formula1>
    </dataValidation>
    <dataValidation type="custom" allowBlank="1" showInputMessage="1" showErrorMessage="1" errorTitle="各項目での比較時のみ記入" error="採用業者全体金額が記入されています。_x000a_どちらかしか記入できません。" sqref="H127" xr:uid="{00000000-0002-0000-0B00-000012000000}">
      <formula1>IF(SUM(H112:I112)&gt;0,H127=0,TRUE)</formula1>
    </dataValidation>
    <dataValidation type="custom" allowBlank="1" showInputMessage="1" showErrorMessage="1" errorTitle="各項目での比較時のみ記入" error="採用業者全体金額が記入されています。_x000a_どちらかしか記入できません。" sqref="I126" xr:uid="{00000000-0002-0000-0B00-000013000000}">
      <formula1>IF(SUM(H112:I112)&gt;0,I126=0,TRUE)</formula1>
    </dataValidation>
    <dataValidation type="custom" allowBlank="1" showInputMessage="1" showErrorMessage="1" errorTitle="各項目での比較時のみ記入" error="採用業者全体金額が記入されています。_x000a_どちらかしか記入できません。" sqref="H126" xr:uid="{00000000-0002-0000-0B00-000014000000}">
      <formula1>IF(SUM(H112:I112)&gt;0,H126=0,TRUE)</formula1>
    </dataValidation>
    <dataValidation type="custom" allowBlank="1" showInputMessage="1" showErrorMessage="1" errorTitle="各項目での比較時のみ記入" error="採用業者全体金額が記入されています。_x000a_どちらかしか記入できません。" sqref="I125" xr:uid="{00000000-0002-0000-0B00-000015000000}">
      <formula1>IF(SUM(H112:I112)&gt;0,I125=0,TRUE)</formula1>
    </dataValidation>
    <dataValidation type="custom" allowBlank="1" showInputMessage="1" showErrorMessage="1" errorTitle="各項目での比較時のみ記入" error="採用業者全体金額が記入されています。_x000a_どちらかしか記入できません。" sqref="H125" xr:uid="{00000000-0002-0000-0B00-000016000000}">
      <formula1>IF(SUM(H112:I112)&gt;0,H125=0,TRUE)</formula1>
    </dataValidation>
    <dataValidation type="custom" allowBlank="1" showInputMessage="1" showErrorMessage="1" errorTitle="各項目での比較時のみ記入" error="採用業者全体金額が記入されています。_x000a_どちらかしか記入できません。" sqref="I124" xr:uid="{00000000-0002-0000-0B00-000017000000}">
      <formula1>IF(SUM(H112:I112)&gt;0,I124=0,TRUE)</formula1>
    </dataValidation>
    <dataValidation type="custom" allowBlank="1" showInputMessage="1" showErrorMessage="1" errorTitle="各項目での比較時のみ記入" error="採用業者全体金額が記入されています。_x000a_どちらかしか記入できません。" sqref="H124" xr:uid="{00000000-0002-0000-0B00-000018000000}">
      <formula1>IF(SUM(H112:I112)&gt;0,H124=0,TRUE)</formula1>
    </dataValidation>
    <dataValidation type="custom" allowBlank="1" showInputMessage="1" showErrorMessage="1" errorTitle="各項目での比較時のみ記入" error="採用業者全体金額が記入されています。_x000a_どちらかしか記入できません。" sqref="I123" xr:uid="{00000000-0002-0000-0B00-000019000000}">
      <formula1>IF(SUM(H112:I112)&gt;0,I123=0,TRUE)</formula1>
    </dataValidation>
    <dataValidation type="custom" allowBlank="1" showInputMessage="1" showErrorMessage="1" errorTitle="各項目での比較時のみ記入" error="採用業者全体金額が記入されています。_x000a_どちらかしか記入できません。" sqref="H123" xr:uid="{00000000-0002-0000-0B00-00001A000000}">
      <formula1>IF(SUM(H112:I112)&gt;0,H123=0,TRUE)</formula1>
    </dataValidation>
    <dataValidation type="custom" allowBlank="1" showInputMessage="1" showErrorMessage="1" errorTitle="各項目での比較時のみ記入" error="採用業者全体金額が記入されています。_x000a_どちらかしか記入できません。" sqref="I122" xr:uid="{00000000-0002-0000-0B00-00001B000000}">
      <formula1>IF(SUM(H112:I112)&gt;0,I122=0,TRUE)</formula1>
    </dataValidation>
    <dataValidation type="custom" allowBlank="1" showInputMessage="1" showErrorMessage="1" errorTitle="各項目での比較時のみ記入" error="採用業者全体金額が記入されています。_x000a_どちらかしか記入できません。" sqref="H122" xr:uid="{00000000-0002-0000-0B00-00001C000000}">
      <formula1>IF(SUM(H112:I112)&gt;0,H122=0,TRUE)</formula1>
    </dataValidation>
    <dataValidation type="custom" allowBlank="1" showInputMessage="1" showErrorMessage="1" errorTitle="各項目での比較時のみ記入" error="採用業者全体金額が記入されています。_x000a_どちらかしか記入できません。" sqref="I121" xr:uid="{00000000-0002-0000-0B00-00001D000000}">
      <formula1>IF(SUM(H112:I112)&gt;0,I121=0,TRUE)</formula1>
    </dataValidation>
    <dataValidation type="custom" allowBlank="1" showInputMessage="1" showErrorMessage="1" errorTitle="各項目での比較時のみ記入" error="採用業者全体金額が記入されています。_x000a_どちらかしか記入できません。" sqref="H121" xr:uid="{00000000-0002-0000-0B00-00001E000000}">
      <formula1>IF(SUM(H112:I112)&gt;0,H121=0,TRUE)</formula1>
    </dataValidation>
    <dataValidation type="custom" allowBlank="1" showInputMessage="1" showErrorMessage="1" errorTitle="各項目での比較時のみ記入" error="採用業者全体金額が記入されています。_x000a_どちらかしか記入できません。" sqref="I120" xr:uid="{00000000-0002-0000-0B00-00001F000000}">
      <formula1>IF(SUM(H112:I112)&gt;0,I120=0,TRUE)</formula1>
    </dataValidation>
    <dataValidation type="custom" allowBlank="1" showInputMessage="1" showErrorMessage="1" errorTitle="各項目での比較時のみ記入" error="採用業者全体金額が記入されています。_x000a_どちらかしか記入できません。" sqref="H120" xr:uid="{00000000-0002-0000-0B00-000020000000}">
      <formula1>IF(SUM(H112:I112)&gt;0,H120=0,TRUE)</formula1>
    </dataValidation>
    <dataValidation type="custom" allowBlank="1" showInputMessage="1" showErrorMessage="1" errorTitle="各項目での比較時のみ記入" error="採用業者全体金額が記入されています。_x000a_どちらかしか記入できません。" sqref="I119" xr:uid="{00000000-0002-0000-0B00-000021000000}">
      <formula1>IF(SUM(H112:I112)&gt;0,I119=0,TRUE)</formula1>
    </dataValidation>
    <dataValidation type="custom" allowBlank="1" showInputMessage="1" showErrorMessage="1" errorTitle="各項目での比較時のみ記入" error="採用業者全体金額が記入されています。_x000a_どちらかしか記入できません。" sqref="H119" xr:uid="{00000000-0002-0000-0B00-000022000000}">
      <formula1>IF(SUM(H112:I112)&gt;0,H119=0,TRUE)</formula1>
    </dataValidation>
    <dataValidation type="custom" allowBlank="1" showInputMessage="1" showErrorMessage="1" errorTitle="各項目での比較時のみ記入" error="採用業者全体金額が記入されています。_x000a_どちらかしか記入できません。" sqref="I118" xr:uid="{00000000-0002-0000-0B00-000023000000}">
      <formula1>IF(SUM(H112:I112)&gt;0,I118=0,TRUE)</formula1>
    </dataValidation>
    <dataValidation type="custom" allowBlank="1" showInputMessage="1" showErrorMessage="1" errorTitle="各項目での比較時のみ記入" error="採用業者全体金額が記入されています。_x000a_どちらかしか記入できません。" sqref="H118" xr:uid="{00000000-0002-0000-0B00-000024000000}">
      <formula1>IF(SUM(H112:I112)&gt;0,H118=0,TRUE)</formula1>
    </dataValidation>
    <dataValidation type="custom" allowBlank="1" showInputMessage="1" showErrorMessage="1" errorTitle="各項目での比較時のみ記入" error="採用業者全体金額が記入されています。_x000a_どちらかしか記入できません。" sqref="H117" xr:uid="{00000000-0002-0000-0B00-000025000000}">
      <formula1>IF(SUM(H112:I112)&gt;0,H117=0,TRUE)</formula1>
    </dataValidation>
    <dataValidation type="custom" allowBlank="1" showInputMessage="1" showErrorMessage="1" errorTitle="各項目での比較時のみ記入" error="採用業者全体金額が記入されています。_x000a_どちらかしか記入できません。" sqref="I117" xr:uid="{00000000-0002-0000-0B00-000026000000}">
      <formula1>IF(SUM(H112:I112)&gt;0,I117=0,TRUE)</formula1>
    </dataValidation>
    <dataValidation type="custom" allowBlank="1" showInputMessage="1" showErrorMessage="1" errorTitle="各項目での比較時のみ記入" error="採用業者全体金額が記入されています。_x000a_どちらかしか記入できません。" sqref="I116" xr:uid="{00000000-0002-0000-0B00-000027000000}">
      <formula1>IF(SUM(H112:I112)&gt;0,I116=0,TRUE)</formula1>
    </dataValidation>
    <dataValidation type="custom" allowBlank="1" showInputMessage="1" showErrorMessage="1" errorTitle="各項目での比較時のみ記入" error="採用業者全体金額が記入されています。_x000a_どちらかしか記入できません。" sqref="H116" xr:uid="{00000000-0002-0000-0B00-000028000000}">
      <formula1>IF(SUM(H112:I112)&gt;0,H116=0,TRUE)</formula1>
    </dataValidation>
    <dataValidation type="custom" allowBlank="1" showInputMessage="1" showErrorMessage="1" errorTitle="各項目での比較時のみ記入" error="採用業者全体金額が∻_x0000__x0000__x0019__x0000__x0016__x0010__x0000__x0000_㿿_x0000_￩_xffff__x0000__x0000_記入できません。" sqref="I115" xr:uid="{00000000-0002-0000-0B00-000029000000}">
      <formula1>IF(SUM(H112:I112)&gt;0,I115=0,TRUE)</formula1>
    </dataValidation>
    <dataValidation type="custom" allowBlank="1" showInputMessage="1" showErrorMessage="1" errorTitle="各項目での比較時のみ記入" error="採用業者全体金額が記入されています。_x000a_どちらかしか記入できません。" sqref="H115" xr:uid="{00000000-0002-0000-0B00-00002A000000}">
      <formula1>IF(SUM(H112:I112)&gt;0,H115=0,TRUE)</formula1>
    </dataValidation>
    <dataValidation type="custom" allowBlank="1" showInputMessage="1" showErrorMessage="1" errorTitle="全体での比較する時のみ記入" error="各項目の元設計比較欄に金額が記入されています。_x000a_どちらかしか記入できません。" promptTitle="今回業者が元設計見積業者に含まれる時のみ記入" prompt="各項目で比較する場合、無記入。_x000a__x000a_変更見積業者が元設計業者に含まれる場合、_x000a_元設計の採用業者の調整前合計金額を記入。" sqref="H112" xr:uid="{00000000-0002-0000-0B00-00002B000000}">
      <formula1>IF(SUM(H115:I135)&gt;0,H112=0,TRUE)</formula1>
    </dataValidation>
    <dataValidation type="list" allowBlank="1" showInputMessage="1" showErrorMessage="1" prompt="費用/建物附属設備/工具・器具・備品の場合、選択してください。" sqref="N53:N70" xr:uid="{00000000-0002-0000-0B00-00002C000000}">
      <formula1>"【費用分類】,費用,　,【資産区分】,＜建物附属設備＞,エヤーカーテンまたはドアー自動開閉設備,アーケード又は日よけ設備（金属製）,アーケード又は日よけ設備（その他）,店舗用簡易設備,可動間仕切り-簡易なもの,可動間仕切り-その他,シャッター等（金属製）,シャッター等（その他）,　,＜工具・器具・備品＞,電照サイン（金属製）,非電照サイン（金属製）,電照広告（金属製）,非電照広告（金属製）,電気設備,非電照サイン（その他）,非電照広告（その他）,無人駐車管理装置,その他（金属製）,その他（その他）"</formula1>
    </dataValidation>
  </dataValidations>
  <pageMargins left="0.78700000000000003" right="0.78700000000000003" top="0.98399999999999999" bottom="0.98399999999999999" header="0.51200000000000001" footer="0.51200000000000001"/>
  <pageSetup paperSize="9" scale="88" orientation="portrait" horizontalDpi="300" verticalDpi="300" r:id="rId1"/>
  <headerFooter alignWithMargins="0"/>
  <colBreaks count="1" manualBreakCount="1">
    <brk id="11" max="1048575" man="1"/>
  </col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2:AI94"/>
  <sheetViews>
    <sheetView topLeftCell="A67" zoomScale="75" zoomScaleNormal="75" workbookViewId="0">
      <pane xSplit="13" topLeftCell="N1" activePane="topRight" state="frozen"/>
      <selection activeCell="A3" sqref="A3:H3"/>
      <selection pane="topRight" activeCell="J16" sqref="J16:K16"/>
    </sheetView>
  </sheetViews>
  <sheetFormatPr defaultColWidth="6.6328125" defaultRowHeight="26" customHeight="1"/>
  <cols>
    <col min="1" max="2" width="2.6328125" style="6" customWidth="1"/>
    <col min="3" max="3" width="8.6328125" style="1" customWidth="1"/>
    <col min="4" max="4" width="28.6328125" style="1" customWidth="1"/>
    <col min="5" max="5" width="25" style="2" customWidth="1"/>
    <col min="6" max="6" width="10.6328125" style="1" customWidth="1"/>
    <col min="7" max="7" width="7.6328125" style="3" customWidth="1"/>
    <col min="8" max="8" width="11.6328125" style="4" customWidth="1"/>
    <col min="9" max="9" width="15.6328125" style="4" customWidth="1"/>
    <col min="10" max="12" width="9.6328125" style="1" customWidth="1"/>
    <col min="13" max="13" width="3.36328125" style="1" customWidth="1"/>
    <col min="14" max="14" width="19.81640625" style="6" customWidth="1"/>
    <col min="15" max="16" width="5.1796875" style="37" customWidth="1"/>
    <col min="17" max="34" width="5.1796875" style="1" customWidth="1"/>
    <col min="35" max="35" width="11.6328125" style="695" customWidth="1"/>
    <col min="36" max="16384" width="6.6328125" style="1"/>
  </cols>
  <sheetData>
    <row r="2" spans="1:35" ht="26" customHeight="1">
      <c r="C2" s="35" t="s">
        <v>14</v>
      </c>
      <c r="E2" s="34" t="s">
        <v>68</v>
      </c>
      <c r="F2" s="37">
        <v>0</v>
      </c>
      <c r="G2" s="1" t="s">
        <v>224</v>
      </c>
      <c r="H2" s="4">
        <f>表紙!H25</f>
        <v>6</v>
      </c>
      <c r="I2" s="4" t="s">
        <v>74</v>
      </c>
      <c r="J2" s="37">
        <f>VLOOKUP("EOL",$M$25:$N$65536,2,FALSE)</f>
        <v>3</v>
      </c>
    </row>
    <row r="3" spans="1:35" ht="26" customHeight="1" thickBot="1">
      <c r="C3" s="938" t="s">
        <v>369</v>
      </c>
      <c r="D3" s="938"/>
      <c r="E3" s="938"/>
      <c r="F3" s="938"/>
      <c r="G3" s="938"/>
      <c r="H3" s="938"/>
      <c r="I3" s="938"/>
      <c r="J3" s="938"/>
      <c r="K3" s="938"/>
      <c r="L3" s="938"/>
      <c r="O3" s="1039" t="s">
        <v>154</v>
      </c>
      <c r="P3" s="1039"/>
      <c r="Q3" s="1039"/>
      <c r="R3" s="1039"/>
      <c r="S3" s="1039"/>
      <c r="T3" s="1039"/>
      <c r="U3" s="1039"/>
      <c r="V3" s="1039"/>
      <c r="W3" s="1039"/>
      <c r="X3" s="1039"/>
      <c r="Y3" s="1039"/>
      <c r="Z3" s="1039"/>
      <c r="AA3" s="1039"/>
      <c r="AB3" s="1039"/>
      <c r="AC3" s="1039"/>
      <c r="AD3" s="1039"/>
      <c r="AE3" s="1039"/>
      <c r="AF3" s="1039"/>
      <c r="AG3" s="1039"/>
      <c r="AH3" s="1040"/>
      <c r="AI3" s="696"/>
    </row>
    <row r="4" spans="1:35" ht="42" customHeight="1">
      <c r="A4" s="5" t="s">
        <v>13</v>
      </c>
      <c r="B4" s="5" t="s">
        <v>10</v>
      </c>
      <c r="C4" s="120" t="s">
        <v>0</v>
      </c>
      <c r="D4" s="116"/>
      <c r="E4" s="117" t="s">
        <v>1</v>
      </c>
      <c r="F4" s="118" t="s">
        <v>2</v>
      </c>
      <c r="G4" s="118" t="s">
        <v>3</v>
      </c>
      <c r="H4" s="119" t="s">
        <v>4</v>
      </c>
      <c r="I4" s="119" t="s">
        <v>5</v>
      </c>
      <c r="J4" s="968" t="s">
        <v>6</v>
      </c>
      <c r="K4" s="969"/>
      <c r="L4" s="970"/>
      <c r="O4" s="165" t="s">
        <v>85</v>
      </c>
      <c r="P4" s="364" t="s">
        <v>288</v>
      </c>
      <c r="Q4" s="296" t="s">
        <v>305</v>
      </c>
      <c r="R4" s="296" t="s">
        <v>249</v>
      </c>
      <c r="S4" s="296" t="s">
        <v>250</v>
      </c>
      <c r="T4" s="296" t="s">
        <v>265</v>
      </c>
      <c r="U4" s="296" t="s">
        <v>148</v>
      </c>
      <c r="V4" s="164" t="s">
        <v>147</v>
      </c>
      <c r="W4" s="296" t="s">
        <v>251</v>
      </c>
      <c r="X4" s="229" t="s">
        <v>252</v>
      </c>
      <c r="Y4" s="229" t="s">
        <v>253</v>
      </c>
      <c r="Z4" s="229" t="s">
        <v>254</v>
      </c>
      <c r="AA4" s="229" t="s">
        <v>255</v>
      </c>
      <c r="AB4" s="229" t="s">
        <v>300</v>
      </c>
      <c r="AC4" s="367" t="s">
        <v>309</v>
      </c>
      <c r="AD4" s="368" t="s">
        <v>310</v>
      </c>
      <c r="AE4" s="369" t="s">
        <v>150</v>
      </c>
      <c r="AF4" s="163" t="s">
        <v>153</v>
      </c>
      <c r="AG4" s="163" t="s">
        <v>151</v>
      </c>
      <c r="AH4" s="163" t="s">
        <v>152</v>
      </c>
      <c r="AI4" s="697"/>
    </row>
    <row r="5" spans="1:35" ht="24" customHeight="1">
      <c r="A5" s="7"/>
      <c r="B5" s="7"/>
      <c r="C5" s="121" t="str">
        <f>+C2</f>
        <v>○○工事の部</v>
      </c>
      <c r="D5" s="122"/>
      <c r="E5" s="106"/>
      <c r="F5" s="293"/>
      <c r="G5" s="123"/>
      <c r="H5" s="87" t="s">
        <v>12</v>
      </c>
      <c r="I5" s="87" t="s">
        <v>12</v>
      </c>
      <c r="J5" s="1036"/>
      <c r="K5" s="1037"/>
      <c r="L5" s="1038"/>
      <c r="O5" s="236"/>
      <c r="P5" s="237"/>
      <c r="Q5" s="238"/>
      <c r="R5" s="238"/>
      <c r="S5" s="238"/>
      <c r="T5" s="238"/>
      <c r="U5" s="238"/>
      <c r="V5" s="238"/>
      <c r="W5" s="238"/>
      <c r="X5" s="239"/>
      <c r="Y5" s="239"/>
      <c r="Z5" s="239"/>
      <c r="AA5" s="239"/>
      <c r="AB5" s="239"/>
      <c r="AC5" s="238"/>
      <c r="AD5" s="370"/>
      <c r="AE5" s="371"/>
      <c r="AF5" s="238"/>
      <c r="AG5" s="238"/>
      <c r="AH5" s="238"/>
      <c r="AI5" s="698"/>
    </row>
    <row r="6" spans="1:35" s="37" customFormat="1" ht="24" customHeight="1">
      <c r="A6" s="36"/>
      <c r="B6" s="36"/>
      <c r="C6" s="197" t="s">
        <v>176</v>
      </c>
      <c r="D6" s="68"/>
      <c r="E6" s="109"/>
      <c r="F6" s="294"/>
      <c r="G6" s="125"/>
      <c r="H6" s="111"/>
      <c r="I6" s="111"/>
      <c r="J6" s="68"/>
      <c r="K6" s="68"/>
      <c r="L6" s="69"/>
      <c r="N6" s="693"/>
      <c r="O6" s="236"/>
      <c r="P6" s="237"/>
      <c r="Q6" s="238"/>
      <c r="R6" s="238"/>
      <c r="S6" s="238"/>
      <c r="T6" s="238"/>
      <c r="U6" s="238"/>
      <c r="V6" s="238"/>
      <c r="W6" s="238"/>
      <c r="X6" s="239"/>
      <c r="Y6" s="239"/>
      <c r="Z6" s="239"/>
      <c r="AA6" s="239"/>
      <c r="AB6" s="239"/>
      <c r="AC6" s="238"/>
      <c r="AD6" s="370"/>
      <c r="AE6" s="371"/>
      <c r="AF6" s="238"/>
      <c r="AG6" s="238"/>
      <c r="AH6" s="238"/>
      <c r="AI6" s="698"/>
    </row>
    <row r="7" spans="1:35" s="37" customFormat="1" ht="24" customHeight="1">
      <c r="A7" s="36"/>
      <c r="B7" s="36"/>
      <c r="C7" s="112"/>
      <c r="D7" s="68"/>
      <c r="E7" s="109"/>
      <c r="F7" s="294"/>
      <c r="G7" s="125"/>
      <c r="H7" s="111"/>
      <c r="I7" s="111"/>
      <c r="J7" s="68"/>
      <c r="K7" s="68"/>
      <c r="L7" s="69"/>
      <c r="N7" s="693"/>
      <c r="O7" s="236"/>
      <c r="P7" s="237"/>
      <c r="Q7" s="238"/>
      <c r="R7" s="238"/>
      <c r="S7" s="238"/>
      <c r="T7" s="238"/>
      <c r="U7" s="238"/>
      <c r="V7" s="238"/>
      <c r="W7" s="238"/>
      <c r="X7" s="239"/>
      <c r="Y7" s="239"/>
      <c r="Z7" s="239"/>
      <c r="AA7" s="239"/>
      <c r="AB7" s="239"/>
      <c r="AC7" s="238"/>
      <c r="AD7" s="370"/>
      <c r="AE7" s="371"/>
      <c r="AF7" s="238"/>
      <c r="AG7" s="238"/>
      <c r="AH7" s="238"/>
      <c r="AI7" s="698"/>
    </row>
    <row r="8" spans="1:35" s="37" customFormat="1" ht="24" customHeight="1">
      <c r="A8" s="36"/>
      <c r="B8" s="36"/>
      <c r="C8" s="112"/>
      <c r="D8" s="68"/>
      <c r="E8" s="109"/>
      <c r="F8" s="294"/>
      <c r="G8" s="125"/>
      <c r="H8" s="111"/>
      <c r="I8" s="111"/>
      <c r="J8" s="68"/>
      <c r="K8" s="68"/>
      <c r="L8" s="69"/>
      <c r="N8" s="693"/>
      <c r="O8" s="236"/>
      <c r="P8" s="237"/>
      <c r="Q8" s="238"/>
      <c r="R8" s="238"/>
      <c r="S8" s="238"/>
      <c r="T8" s="238"/>
      <c r="U8" s="238"/>
      <c r="V8" s="238"/>
      <c r="W8" s="238"/>
      <c r="X8" s="239"/>
      <c r="Y8" s="239"/>
      <c r="Z8" s="239"/>
      <c r="AA8" s="239"/>
      <c r="AB8" s="239"/>
      <c r="AC8" s="238"/>
      <c r="AD8" s="370"/>
      <c r="AE8" s="371"/>
      <c r="AF8" s="238"/>
      <c r="AG8" s="238"/>
      <c r="AH8" s="238"/>
      <c r="AI8" s="698"/>
    </row>
    <row r="9" spans="1:35" s="37" customFormat="1" ht="24" customHeight="1">
      <c r="A9" s="36"/>
      <c r="B9" s="36"/>
      <c r="C9" s="112"/>
      <c r="D9" s="68"/>
      <c r="E9" s="109"/>
      <c r="F9" s="294"/>
      <c r="G9" s="125"/>
      <c r="H9" s="111"/>
      <c r="I9" s="111"/>
      <c r="J9" s="68"/>
      <c r="K9" s="68"/>
      <c r="L9" s="69"/>
      <c r="N9" s="693"/>
      <c r="O9" s="236"/>
      <c r="P9" s="237"/>
      <c r="Q9" s="238"/>
      <c r="R9" s="238"/>
      <c r="S9" s="238"/>
      <c r="T9" s="238"/>
      <c r="U9" s="238"/>
      <c r="V9" s="238"/>
      <c r="W9" s="238"/>
      <c r="X9" s="239"/>
      <c r="Y9" s="239"/>
      <c r="Z9" s="239"/>
      <c r="AA9" s="239"/>
      <c r="AB9" s="239"/>
      <c r="AC9" s="238"/>
      <c r="AD9" s="370"/>
      <c r="AE9" s="371"/>
      <c r="AF9" s="238"/>
      <c r="AG9" s="238"/>
      <c r="AH9" s="238"/>
      <c r="AI9" s="698"/>
    </row>
    <row r="10" spans="1:35" s="37" customFormat="1" ht="24" customHeight="1">
      <c r="A10" s="36"/>
      <c r="B10" s="36"/>
      <c r="C10" s="112"/>
      <c r="D10" s="68"/>
      <c r="E10" s="109"/>
      <c r="F10" s="294"/>
      <c r="G10" s="125"/>
      <c r="H10" s="111"/>
      <c r="I10" s="111"/>
      <c r="J10" s="68"/>
      <c r="K10" s="68"/>
      <c r="L10" s="69"/>
      <c r="N10" s="693"/>
      <c r="O10" s="236"/>
      <c r="P10" s="237"/>
      <c r="Q10" s="238"/>
      <c r="R10" s="238"/>
      <c r="S10" s="238"/>
      <c r="T10" s="238"/>
      <c r="U10" s="238"/>
      <c r="V10" s="238"/>
      <c r="W10" s="238"/>
      <c r="X10" s="239"/>
      <c r="Y10" s="239"/>
      <c r="Z10" s="239"/>
      <c r="AA10" s="239"/>
      <c r="AB10" s="239"/>
      <c r="AC10" s="238"/>
      <c r="AD10" s="370"/>
      <c r="AE10" s="371"/>
      <c r="AF10" s="238"/>
      <c r="AG10" s="238"/>
      <c r="AH10" s="238"/>
      <c r="AI10" s="698"/>
    </row>
    <row r="11" spans="1:35" s="37" customFormat="1" ht="24" customHeight="1">
      <c r="A11" s="36"/>
      <c r="B11" s="36"/>
      <c r="C11" s="112"/>
      <c r="D11" s="68"/>
      <c r="E11" s="109"/>
      <c r="F11" s="294"/>
      <c r="G11" s="125"/>
      <c r="H11" s="111"/>
      <c r="I11" s="111"/>
      <c r="J11" s="68"/>
      <c r="K11" s="68"/>
      <c r="L11" s="69"/>
      <c r="N11" s="693"/>
      <c r="O11" s="236"/>
      <c r="P11" s="237"/>
      <c r="Q11" s="238"/>
      <c r="R11" s="238"/>
      <c r="S11" s="238"/>
      <c r="T11" s="238"/>
      <c r="U11" s="238"/>
      <c r="V11" s="238"/>
      <c r="W11" s="238"/>
      <c r="X11" s="239"/>
      <c r="Y11" s="239"/>
      <c r="Z11" s="239"/>
      <c r="AA11" s="239"/>
      <c r="AB11" s="239"/>
      <c r="AC11" s="238"/>
      <c r="AD11" s="370"/>
      <c r="AE11" s="371"/>
      <c r="AF11" s="238"/>
      <c r="AG11" s="238"/>
      <c r="AH11" s="238"/>
      <c r="AI11" s="698"/>
    </row>
    <row r="12" spans="1:35" s="37" customFormat="1" ht="24" customHeight="1">
      <c r="A12" s="36"/>
      <c r="B12" s="36"/>
      <c r="C12" s="112"/>
      <c r="D12" s="68"/>
      <c r="E12" s="109"/>
      <c r="F12" s="294"/>
      <c r="G12" s="125"/>
      <c r="H12" s="111"/>
      <c r="I12" s="111"/>
      <c r="J12" s="68"/>
      <c r="K12" s="68"/>
      <c r="L12" s="69"/>
      <c r="N12" s="693"/>
      <c r="O12" s="236"/>
      <c r="P12" s="237"/>
      <c r="Q12" s="238"/>
      <c r="R12" s="238"/>
      <c r="S12" s="238"/>
      <c r="T12" s="238"/>
      <c r="U12" s="238"/>
      <c r="V12" s="238"/>
      <c r="W12" s="238"/>
      <c r="X12" s="239"/>
      <c r="Y12" s="239"/>
      <c r="Z12" s="239"/>
      <c r="AA12" s="239"/>
      <c r="AB12" s="239"/>
      <c r="AC12" s="238"/>
      <c r="AD12" s="370"/>
      <c r="AE12" s="371"/>
      <c r="AF12" s="238"/>
      <c r="AG12" s="238"/>
      <c r="AH12" s="238"/>
      <c r="AI12" s="698"/>
    </row>
    <row r="13" spans="1:35" s="37" customFormat="1" ht="24" customHeight="1">
      <c r="A13" s="36"/>
      <c r="B13" s="36"/>
      <c r="C13" s="112"/>
      <c r="D13" s="68"/>
      <c r="E13" s="109"/>
      <c r="F13" s="294"/>
      <c r="G13" s="125"/>
      <c r="H13" s="111"/>
      <c r="I13" s="111"/>
      <c r="J13" s="68"/>
      <c r="K13" s="68"/>
      <c r="L13" s="69"/>
      <c r="N13" s="693"/>
      <c r="O13" s="236"/>
      <c r="P13" s="237"/>
      <c r="Q13" s="238"/>
      <c r="R13" s="238"/>
      <c r="S13" s="238"/>
      <c r="T13" s="238"/>
      <c r="U13" s="238"/>
      <c r="V13" s="238"/>
      <c r="W13" s="238"/>
      <c r="X13" s="239"/>
      <c r="Y13" s="239"/>
      <c r="Z13" s="239"/>
      <c r="AA13" s="239"/>
      <c r="AB13" s="239"/>
      <c r="AC13" s="238"/>
      <c r="AD13" s="370"/>
      <c r="AE13" s="371"/>
      <c r="AF13" s="238"/>
      <c r="AG13" s="238"/>
      <c r="AH13" s="238"/>
      <c r="AI13" s="698"/>
    </row>
    <row r="14" spans="1:35" s="37" customFormat="1" ht="24" customHeight="1">
      <c r="A14" s="36"/>
      <c r="B14" s="36"/>
      <c r="C14" s="112"/>
      <c r="D14" s="68"/>
      <c r="E14" s="109"/>
      <c r="F14" s="294"/>
      <c r="G14" s="125"/>
      <c r="H14" s="111"/>
      <c r="I14" s="111"/>
      <c r="J14" s="68"/>
      <c r="K14" s="68"/>
      <c r="L14" s="69"/>
      <c r="N14" s="693"/>
      <c r="O14" s="236"/>
      <c r="P14" s="237"/>
      <c r="Q14" s="238"/>
      <c r="R14" s="238"/>
      <c r="S14" s="238"/>
      <c r="T14" s="238"/>
      <c r="U14" s="238"/>
      <c r="V14" s="238"/>
      <c r="W14" s="238"/>
      <c r="X14" s="239"/>
      <c r="Y14" s="239"/>
      <c r="Z14" s="239"/>
      <c r="AA14" s="239"/>
      <c r="AB14" s="239"/>
      <c r="AC14" s="238"/>
      <c r="AD14" s="370"/>
      <c r="AE14" s="371"/>
      <c r="AF14" s="238"/>
      <c r="AG14" s="238"/>
      <c r="AH14" s="238"/>
      <c r="AI14" s="698"/>
    </row>
    <row r="15" spans="1:35" s="37" customFormat="1" ht="24" customHeight="1">
      <c r="A15" s="36"/>
      <c r="B15" s="36"/>
      <c r="C15" s="112"/>
      <c r="D15" s="68"/>
      <c r="E15" s="109"/>
      <c r="F15" s="294"/>
      <c r="G15" s="125"/>
      <c r="H15" s="111"/>
      <c r="I15" s="111"/>
      <c r="J15" s="68"/>
      <c r="K15" s="68"/>
      <c r="L15" s="69"/>
      <c r="N15" s="693"/>
      <c r="O15" s="236"/>
      <c r="P15" s="237"/>
      <c r="Q15" s="238"/>
      <c r="R15" s="238"/>
      <c r="S15" s="238"/>
      <c r="T15" s="238"/>
      <c r="U15" s="238"/>
      <c r="V15" s="238"/>
      <c r="W15" s="238"/>
      <c r="X15" s="239"/>
      <c r="Y15" s="239"/>
      <c r="Z15" s="239"/>
      <c r="AA15" s="239"/>
      <c r="AB15" s="239"/>
      <c r="AC15" s="238"/>
      <c r="AD15" s="370"/>
      <c r="AE15" s="371"/>
      <c r="AF15" s="238"/>
      <c r="AG15" s="238"/>
      <c r="AH15" s="238"/>
      <c r="AI15" s="698"/>
    </row>
    <row r="16" spans="1:35" s="37" customFormat="1" ht="24" customHeight="1">
      <c r="A16" s="36"/>
      <c r="B16" s="36"/>
      <c r="C16" s="112"/>
      <c r="D16" s="68" t="s">
        <v>65</v>
      </c>
      <c r="E16" s="109"/>
      <c r="F16" s="294"/>
      <c r="G16" s="125"/>
      <c r="H16" s="111"/>
      <c r="I16" s="111">
        <f>SUM(I7:I15)</f>
        <v>0</v>
      </c>
      <c r="J16" s="766" t="str">
        <f>IF(COUNTIF(N:N,"費用")=0,"","うち費用")</f>
        <v/>
      </c>
      <c r="K16" s="767" t="str">
        <f>IF(COUNTIF(N:N,"費用")=0,"",SUMIF(N:N,"費用",I:I))</f>
        <v/>
      </c>
      <c r="L16" s="69"/>
      <c r="N16" s="693"/>
      <c r="O16" s="236"/>
      <c r="P16" s="237"/>
      <c r="Q16" s="238"/>
      <c r="R16" s="238"/>
      <c r="S16" s="238"/>
      <c r="T16" s="238"/>
      <c r="U16" s="238"/>
      <c r="V16" s="238"/>
      <c r="W16" s="238"/>
      <c r="X16" s="239"/>
      <c r="Y16" s="239"/>
      <c r="Z16" s="239"/>
      <c r="AA16" s="239"/>
      <c r="AB16" s="239"/>
      <c r="AC16" s="238"/>
      <c r="AD16" s="370"/>
      <c r="AE16" s="371"/>
      <c r="AF16" s="238"/>
      <c r="AG16" s="238"/>
      <c r="AH16" s="238"/>
      <c r="AI16" s="698"/>
    </row>
    <row r="17" spans="1:35" s="37" customFormat="1" ht="24" customHeight="1">
      <c r="A17" s="36"/>
      <c r="B17" s="36"/>
      <c r="C17" s="112"/>
      <c r="D17" s="126"/>
      <c r="E17" s="109"/>
      <c r="F17" s="294"/>
      <c r="G17" s="125"/>
      <c r="H17" s="111"/>
      <c r="I17" s="111"/>
      <c r="J17" s="68"/>
      <c r="K17" s="68"/>
      <c r="L17" s="69"/>
      <c r="N17" s="693"/>
      <c r="O17" s="236"/>
      <c r="P17" s="237"/>
      <c r="Q17" s="238"/>
      <c r="R17" s="238"/>
      <c r="S17" s="238"/>
      <c r="T17" s="238"/>
      <c r="U17" s="238"/>
      <c r="V17" s="238"/>
      <c r="W17" s="238"/>
      <c r="X17" s="239"/>
      <c r="Y17" s="239"/>
      <c r="Z17" s="239"/>
      <c r="AA17" s="239"/>
      <c r="AB17" s="239"/>
      <c r="AC17" s="238"/>
      <c r="AD17" s="370"/>
      <c r="AE17" s="371"/>
      <c r="AF17" s="238"/>
      <c r="AG17" s="238"/>
      <c r="AH17" s="238"/>
      <c r="AI17" s="698"/>
    </row>
    <row r="18" spans="1:35" s="37" customFormat="1" ht="24" customHeight="1">
      <c r="A18" s="36"/>
      <c r="B18" s="36"/>
      <c r="C18" s="197" t="s">
        <v>177</v>
      </c>
      <c r="D18" s="68"/>
      <c r="E18" s="109"/>
      <c r="F18" s="294"/>
      <c r="G18" s="125"/>
      <c r="H18" s="111"/>
      <c r="I18" s="111"/>
      <c r="J18" s="68"/>
      <c r="K18" s="68"/>
      <c r="L18" s="69"/>
      <c r="N18" s="693"/>
      <c r="O18" s="236"/>
      <c r="P18" s="237"/>
      <c r="Q18" s="238"/>
      <c r="R18" s="238"/>
      <c r="S18" s="238"/>
      <c r="T18" s="238"/>
      <c r="U18" s="238"/>
      <c r="V18" s="238"/>
      <c r="W18" s="238"/>
      <c r="X18" s="239"/>
      <c r="Y18" s="239"/>
      <c r="Z18" s="239"/>
      <c r="AA18" s="239"/>
      <c r="AB18" s="239"/>
      <c r="AC18" s="238"/>
      <c r="AD18" s="370"/>
      <c r="AE18" s="371"/>
      <c r="AF18" s="238"/>
      <c r="AG18" s="238"/>
      <c r="AH18" s="238"/>
      <c r="AI18" s="698"/>
    </row>
    <row r="19" spans="1:35" s="37" customFormat="1" ht="24" customHeight="1">
      <c r="A19" s="36"/>
      <c r="B19" s="36"/>
      <c r="C19" s="112"/>
      <c r="D19" s="68" t="s">
        <v>181</v>
      </c>
      <c r="E19" s="109"/>
      <c r="F19" s="294">
        <v>1</v>
      </c>
      <c r="G19" s="125" t="s">
        <v>7</v>
      </c>
      <c r="H19" s="111"/>
      <c r="I19" s="111">
        <f>+I47</f>
        <v>0</v>
      </c>
      <c r="J19" s="68"/>
      <c r="K19" s="68"/>
      <c r="L19" s="69"/>
      <c r="N19" s="693"/>
      <c r="O19" s="236"/>
      <c r="P19" s="237"/>
      <c r="Q19" s="238"/>
      <c r="R19" s="238"/>
      <c r="S19" s="238"/>
      <c r="T19" s="238"/>
      <c r="U19" s="238"/>
      <c r="V19" s="238"/>
      <c r="W19" s="238"/>
      <c r="X19" s="239"/>
      <c r="Y19" s="239"/>
      <c r="Z19" s="239"/>
      <c r="AA19" s="239"/>
      <c r="AB19" s="239"/>
      <c r="AC19" s="238"/>
      <c r="AD19" s="370"/>
      <c r="AE19" s="371"/>
      <c r="AF19" s="238"/>
      <c r="AG19" s="238"/>
      <c r="AH19" s="238"/>
      <c r="AI19" s="698"/>
    </row>
    <row r="20" spans="1:35" s="37" customFormat="1" ht="24" customHeight="1">
      <c r="A20" s="36"/>
      <c r="B20" s="36"/>
      <c r="C20" s="112"/>
      <c r="D20" s="68" t="s">
        <v>178</v>
      </c>
      <c r="E20" s="109"/>
      <c r="F20" s="294">
        <v>1</v>
      </c>
      <c r="G20" s="125" t="s">
        <v>7</v>
      </c>
      <c r="H20" s="111"/>
      <c r="I20" s="111"/>
      <c r="J20" s="198"/>
      <c r="K20" s="68"/>
      <c r="L20" s="69"/>
      <c r="N20" s="693"/>
      <c r="O20" s="236"/>
      <c r="P20" s="237"/>
      <c r="Q20" s="238"/>
      <c r="R20" s="238"/>
      <c r="S20" s="238"/>
      <c r="T20" s="238"/>
      <c r="U20" s="238"/>
      <c r="V20" s="238"/>
      <c r="W20" s="238"/>
      <c r="X20" s="239"/>
      <c r="Y20" s="239"/>
      <c r="Z20" s="239"/>
      <c r="AA20" s="239"/>
      <c r="AB20" s="239"/>
      <c r="AC20" s="238"/>
      <c r="AD20" s="370"/>
      <c r="AE20" s="371"/>
      <c r="AF20" s="238"/>
      <c r="AG20" s="238"/>
      <c r="AH20" s="238"/>
      <c r="AI20" s="698"/>
    </row>
    <row r="21" spans="1:35" s="37" customFormat="1" ht="24" customHeight="1">
      <c r="A21" s="36"/>
      <c r="B21" s="36"/>
      <c r="C21" s="112"/>
      <c r="D21" s="68"/>
      <c r="E21" s="109"/>
      <c r="F21" s="294"/>
      <c r="G21" s="125"/>
      <c r="H21" s="111"/>
      <c r="I21" s="111"/>
      <c r="J21" s="68"/>
      <c r="K21" s="68"/>
      <c r="L21" s="69"/>
      <c r="N21" s="693"/>
      <c r="O21" s="236"/>
      <c r="P21" s="237"/>
      <c r="Q21" s="238"/>
      <c r="R21" s="238"/>
      <c r="S21" s="238"/>
      <c r="T21" s="238"/>
      <c r="U21" s="238"/>
      <c r="V21" s="238"/>
      <c r="W21" s="238"/>
      <c r="X21" s="239"/>
      <c r="Y21" s="239"/>
      <c r="Z21" s="239"/>
      <c r="AA21" s="239"/>
      <c r="AB21" s="239"/>
      <c r="AC21" s="238"/>
      <c r="AD21" s="370"/>
      <c r="AE21" s="371"/>
      <c r="AF21" s="238"/>
      <c r="AG21" s="238"/>
      <c r="AH21" s="238"/>
      <c r="AI21" s="698"/>
    </row>
    <row r="22" spans="1:35" s="37" customFormat="1" ht="24" customHeight="1">
      <c r="A22" s="36"/>
      <c r="B22" s="36"/>
      <c r="C22" s="112"/>
      <c r="D22" s="68" t="s">
        <v>65</v>
      </c>
      <c r="E22" s="109"/>
      <c r="F22" s="294"/>
      <c r="G22" s="125"/>
      <c r="H22" s="111"/>
      <c r="I22" s="111">
        <f>+I19+I20</f>
        <v>0</v>
      </c>
      <c r="J22" s="68"/>
      <c r="K22" s="68"/>
      <c r="L22" s="69"/>
      <c r="N22" s="693"/>
      <c r="O22" s="236"/>
      <c r="P22" s="237"/>
      <c r="Q22" s="238"/>
      <c r="R22" s="238"/>
      <c r="S22" s="238"/>
      <c r="T22" s="238"/>
      <c r="U22" s="238"/>
      <c r="V22" s="238"/>
      <c r="W22" s="238"/>
      <c r="X22" s="239"/>
      <c r="Y22" s="239"/>
      <c r="Z22" s="239"/>
      <c r="AA22" s="239"/>
      <c r="AB22" s="239"/>
      <c r="AC22" s="238"/>
      <c r="AD22" s="370"/>
      <c r="AE22" s="371"/>
      <c r="AF22" s="238"/>
      <c r="AG22" s="238"/>
      <c r="AH22" s="238"/>
      <c r="AI22" s="698"/>
    </row>
    <row r="23" spans="1:35" s="37" customFormat="1" ht="24" customHeight="1">
      <c r="A23" s="36"/>
      <c r="B23" s="36"/>
      <c r="C23" s="112"/>
      <c r="D23" s="68"/>
      <c r="E23" s="109"/>
      <c r="F23" s="294"/>
      <c r="G23" s="125"/>
      <c r="H23" s="111"/>
      <c r="I23" s="111"/>
      <c r="J23" s="68"/>
      <c r="K23" s="68"/>
      <c r="L23" s="69"/>
      <c r="N23" s="693"/>
      <c r="O23" s="236"/>
      <c r="P23" s="237"/>
      <c r="Q23" s="238"/>
      <c r="R23" s="238"/>
      <c r="S23" s="238"/>
      <c r="T23" s="238"/>
      <c r="U23" s="238"/>
      <c r="V23" s="238"/>
      <c r="W23" s="238"/>
      <c r="X23" s="239"/>
      <c r="Y23" s="239"/>
      <c r="Z23" s="239"/>
      <c r="AA23" s="239"/>
      <c r="AB23" s="239"/>
      <c r="AC23" s="238"/>
      <c r="AD23" s="370"/>
      <c r="AE23" s="371"/>
      <c r="AF23" s="238"/>
      <c r="AG23" s="238"/>
      <c r="AH23" s="238"/>
      <c r="AI23" s="698"/>
    </row>
    <row r="24" spans="1:35" ht="24" customHeight="1" thickBot="1">
      <c r="A24" s="36"/>
      <c r="B24" s="36"/>
      <c r="C24" s="113"/>
      <c r="D24" s="99" t="s">
        <v>61</v>
      </c>
      <c r="E24" s="114"/>
      <c r="F24" s="295"/>
      <c r="G24" s="127"/>
      <c r="H24" s="128" t="s">
        <v>90</v>
      </c>
      <c r="I24" s="115">
        <f>+I22+I16</f>
        <v>0</v>
      </c>
      <c r="J24" s="99" t="s">
        <v>91</v>
      </c>
      <c r="K24" s="99"/>
      <c r="L24" s="129"/>
      <c r="O24" s="236"/>
      <c r="P24" s="237"/>
      <c r="Q24" s="238"/>
      <c r="R24" s="238"/>
      <c r="S24" s="238"/>
      <c r="T24" s="238"/>
      <c r="U24" s="238"/>
      <c r="V24" s="238"/>
      <c r="W24" s="238"/>
      <c r="X24" s="239"/>
      <c r="Y24" s="239"/>
      <c r="Z24" s="239"/>
      <c r="AA24" s="239"/>
      <c r="AB24" s="239"/>
      <c r="AC24" s="238"/>
      <c r="AD24" s="370"/>
      <c r="AE24" s="371"/>
      <c r="AF24" s="238"/>
      <c r="AG24" s="238"/>
      <c r="AH24" s="238"/>
      <c r="AI24" s="698"/>
    </row>
    <row r="25" spans="1:35" ht="14.25" customHeight="1">
      <c r="E25" s="130" t="s">
        <v>106</v>
      </c>
      <c r="F25" s="131">
        <f>+F2+1</f>
        <v>1</v>
      </c>
      <c r="G25" s="132" t="s">
        <v>107</v>
      </c>
      <c r="H25" s="133">
        <f>H2</f>
        <v>6</v>
      </c>
      <c r="M25" s="38" t="str">
        <f>IF(A27="","EOL","")</f>
        <v/>
      </c>
      <c r="N25" s="6">
        <f>+F25</f>
        <v>1</v>
      </c>
    </row>
    <row r="26" spans="1:35" ht="26" customHeight="1" thickBot="1">
      <c r="C26" s="938" t="s">
        <v>369</v>
      </c>
      <c r="D26" s="938"/>
      <c r="E26" s="938"/>
      <c r="F26" s="938"/>
      <c r="G26" s="938"/>
      <c r="H26" s="938"/>
      <c r="I26" s="938"/>
      <c r="J26" s="938"/>
      <c r="K26" s="938"/>
      <c r="L26" s="938"/>
      <c r="O26" s="1039" t="s">
        <v>154</v>
      </c>
      <c r="P26" s="1039"/>
      <c r="Q26" s="1039"/>
      <c r="R26" s="1039"/>
      <c r="S26" s="1039"/>
      <c r="T26" s="1039"/>
      <c r="U26" s="1039"/>
      <c r="V26" s="1039"/>
      <c r="W26" s="1039"/>
      <c r="X26" s="1039"/>
      <c r="Y26" s="1039"/>
      <c r="Z26" s="1039"/>
      <c r="AA26" s="1039"/>
      <c r="AB26" s="1039"/>
      <c r="AC26" s="1039"/>
      <c r="AD26" s="1039"/>
      <c r="AE26" s="1039"/>
      <c r="AF26" s="1039"/>
      <c r="AG26" s="1039"/>
      <c r="AH26" s="1040"/>
      <c r="AI26" s="696"/>
    </row>
    <row r="27" spans="1:35" ht="42" customHeight="1">
      <c r="A27" s="5" t="s">
        <v>13</v>
      </c>
      <c r="B27" s="5" t="s">
        <v>10</v>
      </c>
      <c r="C27" s="120" t="s">
        <v>0</v>
      </c>
      <c r="D27" s="116"/>
      <c r="E27" s="117" t="s">
        <v>1</v>
      </c>
      <c r="F27" s="118" t="s">
        <v>2</v>
      </c>
      <c r="G27" s="118" t="s">
        <v>3</v>
      </c>
      <c r="H27" s="119" t="s">
        <v>4</v>
      </c>
      <c r="I27" s="119" t="s">
        <v>5</v>
      </c>
      <c r="J27" s="968" t="s">
        <v>6</v>
      </c>
      <c r="K27" s="969"/>
      <c r="L27" s="970"/>
      <c r="O27" s="165" t="s">
        <v>85</v>
      </c>
      <c r="P27" s="364" t="s">
        <v>288</v>
      </c>
      <c r="Q27" s="296" t="s">
        <v>305</v>
      </c>
      <c r="R27" s="296" t="s">
        <v>249</v>
      </c>
      <c r="S27" s="296" t="s">
        <v>250</v>
      </c>
      <c r="T27" s="296" t="s">
        <v>265</v>
      </c>
      <c r="U27" s="296" t="s">
        <v>148</v>
      </c>
      <c r="V27" s="164" t="s">
        <v>147</v>
      </c>
      <c r="W27" s="296" t="s">
        <v>251</v>
      </c>
      <c r="X27" s="229" t="s">
        <v>252</v>
      </c>
      <c r="Y27" s="229" t="s">
        <v>253</v>
      </c>
      <c r="Z27" s="229" t="s">
        <v>254</v>
      </c>
      <c r="AA27" s="229" t="s">
        <v>255</v>
      </c>
      <c r="AB27" s="229" t="s">
        <v>300</v>
      </c>
      <c r="AC27" s="367" t="s">
        <v>309</v>
      </c>
      <c r="AD27" s="368" t="s">
        <v>310</v>
      </c>
      <c r="AE27" s="369" t="s">
        <v>150</v>
      </c>
      <c r="AF27" s="163" t="s">
        <v>153</v>
      </c>
      <c r="AG27" s="163" t="s">
        <v>151</v>
      </c>
      <c r="AH27" s="163" t="s">
        <v>152</v>
      </c>
      <c r="AI27" s="697"/>
    </row>
    <row r="28" spans="1:35" ht="24" customHeight="1">
      <c r="A28" s="36"/>
      <c r="B28" s="36"/>
      <c r="C28" s="138" t="s">
        <v>182</v>
      </c>
      <c r="D28" s="103"/>
      <c r="E28" s="106"/>
      <c r="F28" s="293"/>
      <c r="G28" s="142"/>
      <c r="H28" s="98" t="s">
        <v>12</v>
      </c>
      <c r="I28" s="98" t="s">
        <v>12</v>
      </c>
      <c r="J28" s="103"/>
      <c r="K28" s="103"/>
      <c r="L28" s="104"/>
      <c r="O28" s="236"/>
      <c r="P28" s="237"/>
      <c r="Q28" s="238"/>
      <c r="R28" s="238"/>
      <c r="S28" s="238"/>
      <c r="T28" s="238"/>
      <c r="U28" s="238"/>
      <c r="V28" s="238"/>
      <c r="W28" s="238"/>
      <c r="X28" s="239"/>
      <c r="Y28" s="239"/>
      <c r="Z28" s="239"/>
      <c r="AA28" s="239"/>
      <c r="AB28" s="239"/>
      <c r="AC28" s="238"/>
      <c r="AD28" s="370"/>
      <c r="AE28" s="371"/>
      <c r="AF28" s="238"/>
      <c r="AG28" s="238"/>
      <c r="AH28" s="238"/>
      <c r="AI28" s="698"/>
    </row>
    <row r="29" spans="1:35" s="37" customFormat="1" ht="24" customHeight="1">
      <c r="A29" s="36"/>
      <c r="B29" s="36"/>
      <c r="C29" s="112"/>
      <c r="D29" s="68" t="s">
        <v>4255</v>
      </c>
      <c r="E29" s="109"/>
      <c r="F29" s="294"/>
      <c r="G29" s="125"/>
      <c r="H29" s="143"/>
      <c r="I29" s="111" t="str">
        <f t="shared" ref="I29:I44" si="0">IF(F29="","",INT(F29*H29))</f>
        <v/>
      </c>
      <c r="J29" s="68"/>
      <c r="K29" s="68"/>
      <c r="L29" s="69"/>
      <c r="N29" s="693"/>
      <c r="O29" s="236"/>
      <c r="P29" s="237"/>
      <c r="Q29" s="238"/>
      <c r="R29" s="238"/>
      <c r="S29" s="238"/>
      <c r="T29" s="238"/>
      <c r="U29" s="238"/>
      <c r="V29" s="238"/>
      <c r="W29" s="238"/>
      <c r="X29" s="239"/>
      <c r="Y29" s="239"/>
      <c r="Z29" s="239"/>
      <c r="AA29" s="239"/>
      <c r="AB29" s="239"/>
      <c r="AC29" s="238"/>
      <c r="AD29" s="370"/>
      <c r="AE29" s="371"/>
      <c r="AF29" s="238"/>
      <c r="AG29" s="238"/>
      <c r="AH29" s="238"/>
      <c r="AI29" s="698"/>
    </row>
    <row r="30" spans="1:35" s="37" customFormat="1" ht="24" customHeight="1">
      <c r="A30" s="36"/>
      <c r="B30" s="36"/>
      <c r="C30" s="112"/>
      <c r="D30" s="68" t="s">
        <v>4253</v>
      </c>
      <c r="E30" s="109"/>
      <c r="F30" s="294">
        <v>1</v>
      </c>
      <c r="G30" s="125" t="s">
        <v>4254</v>
      </c>
      <c r="H30" s="143"/>
      <c r="I30" s="111">
        <f t="shared" si="0"/>
        <v>0</v>
      </c>
      <c r="J30" s="68"/>
      <c r="K30" s="68"/>
      <c r="L30" s="69"/>
      <c r="N30" s="693"/>
      <c r="O30" s="236"/>
      <c r="P30" s="237"/>
      <c r="Q30" s="238"/>
      <c r="R30" s="238"/>
      <c r="S30" s="238"/>
      <c r="T30" s="238"/>
      <c r="U30" s="238"/>
      <c r="V30" s="238"/>
      <c r="W30" s="238"/>
      <c r="X30" s="239"/>
      <c r="Y30" s="239"/>
      <c r="Z30" s="239"/>
      <c r="AA30" s="239"/>
      <c r="AB30" s="239"/>
      <c r="AC30" s="238"/>
      <c r="AD30" s="370"/>
      <c r="AE30" s="371"/>
      <c r="AF30" s="238"/>
      <c r="AG30" s="238"/>
      <c r="AH30" s="238"/>
      <c r="AI30" s="698"/>
    </row>
    <row r="31" spans="1:35" s="37" customFormat="1" ht="24" customHeight="1">
      <c r="A31" s="36"/>
      <c r="B31" s="36"/>
      <c r="C31" s="835"/>
      <c r="D31" s="836"/>
      <c r="E31" s="837"/>
      <c r="F31" s="838"/>
      <c r="G31" s="839"/>
      <c r="H31" s="840"/>
      <c r="I31" s="111" t="str">
        <f t="shared" si="0"/>
        <v/>
      </c>
      <c r="J31" s="836"/>
      <c r="K31" s="836"/>
      <c r="L31" s="841"/>
      <c r="N31" s="693"/>
      <c r="O31" s="236"/>
      <c r="P31" s="237"/>
      <c r="Q31" s="238"/>
      <c r="R31" s="238"/>
      <c r="S31" s="238"/>
      <c r="T31" s="238"/>
      <c r="U31" s="238"/>
      <c r="V31" s="238"/>
      <c r="W31" s="238"/>
      <c r="X31" s="239"/>
      <c r="Y31" s="239"/>
      <c r="Z31" s="239"/>
      <c r="AA31" s="239"/>
      <c r="AB31" s="239"/>
      <c r="AC31" s="238"/>
      <c r="AD31" s="370"/>
      <c r="AE31" s="371"/>
      <c r="AF31" s="238"/>
      <c r="AG31" s="238"/>
      <c r="AH31" s="238"/>
      <c r="AI31" s="698"/>
    </row>
    <row r="32" spans="1:35" s="37" customFormat="1" ht="24" customHeight="1">
      <c r="A32" s="36"/>
      <c r="B32" s="36"/>
      <c r="C32" s="843"/>
      <c r="D32" s="844" t="s">
        <v>4258</v>
      </c>
      <c r="E32" s="845"/>
      <c r="F32" s="846"/>
      <c r="G32" s="847"/>
      <c r="H32" s="848"/>
      <c r="I32" s="849">
        <f>SUM(I30:I31)</f>
        <v>0</v>
      </c>
      <c r="J32" s="844"/>
      <c r="K32" s="844"/>
      <c r="L32" s="850"/>
      <c r="N32" s="693"/>
      <c r="O32" s="236"/>
      <c r="P32" s="237"/>
      <c r="Q32" s="238"/>
      <c r="R32" s="238"/>
      <c r="S32" s="238"/>
      <c r="T32" s="238"/>
      <c r="U32" s="238"/>
      <c r="V32" s="238"/>
      <c r="W32" s="238"/>
      <c r="X32" s="239"/>
      <c r="Y32" s="239"/>
      <c r="Z32" s="239"/>
      <c r="AA32" s="239"/>
      <c r="AB32" s="239"/>
      <c r="AC32" s="238"/>
      <c r="AD32" s="370"/>
      <c r="AE32" s="371"/>
      <c r="AF32" s="238"/>
      <c r="AG32" s="238"/>
      <c r="AH32" s="238"/>
      <c r="AI32" s="698"/>
    </row>
    <row r="33" spans="1:35" s="37" customFormat="1" ht="24" customHeight="1">
      <c r="A33" s="36"/>
      <c r="B33" s="36"/>
      <c r="C33" s="842"/>
      <c r="D33" s="828"/>
      <c r="E33" s="829"/>
      <c r="F33" s="830"/>
      <c r="G33" s="831"/>
      <c r="H33" s="832"/>
      <c r="I33" s="833" t="str">
        <f t="shared" si="0"/>
        <v/>
      </c>
      <c r="J33" s="828"/>
      <c r="K33" s="828"/>
      <c r="L33" s="834"/>
      <c r="N33" s="693"/>
      <c r="O33" s="236"/>
      <c r="P33" s="237"/>
      <c r="Q33" s="238"/>
      <c r="R33" s="238"/>
      <c r="S33" s="238"/>
      <c r="T33" s="238"/>
      <c r="U33" s="238"/>
      <c r="V33" s="238"/>
      <c r="W33" s="238"/>
      <c r="X33" s="239"/>
      <c r="Y33" s="239"/>
      <c r="Z33" s="239"/>
      <c r="AA33" s="239"/>
      <c r="AB33" s="239"/>
      <c r="AC33" s="238"/>
      <c r="AD33" s="370"/>
      <c r="AE33" s="371"/>
      <c r="AF33" s="238"/>
      <c r="AG33" s="238"/>
      <c r="AH33" s="238"/>
      <c r="AI33" s="698"/>
    </row>
    <row r="34" spans="1:35" s="37" customFormat="1" ht="24" customHeight="1">
      <c r="A34" s="36"/>
      <c r="B34" s="36"/>
      <c r="C34" s="112"/>
      <c r="D34" s="68" t="s">
        <v>4256</v>
      </c>
      <c r="E34" s="109"/>
      <c r="F34" s="294"/>
      <c r="G34" s="125"/>
      <c r="H34" s="143"/>
      <c r="I34" s="111" t="str">
        <f t="shared" si="0"/>
        <v/>
      </c>
      <c r="J34" s="68"/>
      <c r="K34" s="68"/>
      <c r="L34" s="69"/>
      <c r="N34" s="693"/>
      <c r="O34" s="236"/>
      <c r="P34" s="237"/>
      <c r="Q34" s="238"/>
      <c r="R34" s="238"/>
      <c r="S34" s="238"/>
      <c r="T34" s="238"/>
      <c r="U34" s="238"/>
      <c r="V34" s="238"/>
      <c r="W34" s="238"/>
      <c r="X34" s="239"/>
      <c r="Y34" s="239"/>
      <c r="Z34" s="239"/>
      <c r="AA34" s="239"/>
      <c r="AB34" s="239"/>
      <c r="AC34" s="238"/>
      <c r="AD34" s="370"/>
      <c r="AE34" s="371"/>
      <c r="AF34" s="238"/>
      <c r="AG34" s="238"/>
      <c r="AH34" s="238"/>
      <c r="AI34" s="698"/>
    </row>
    <row r="35" spans="1:35" s="37" customFormat="1" ht="24" customHeight="1">
      <c r="A35" s="36"/>
      <c r="B35" s="36"/>
      <c r="C35" s="112"/>
      <c r="D35" s="68" t="s">
        <v>49</v>
      </c>
      <c r="E35" s="109"/>
      <c r="F35" s="294">
        <v>1</v>
      </c>
      <c r="G35" s="125" t="s">
        <v>7</v>
      </c>
      <c r="H35" s="143"/>
      <c r="I35" s="111">
        <f t="shared" si="0"/>
        <v>0</v>
      </c>
      <c r="J35" s="68"/>
      <c r="K35" s="68"/>
      <c r="L35" s="69"/>
      <c r="N35" s="693"/>
      <c r="O35" s="236"/>
      <c r="P35" s="237"/>
      <c r="Q35" s="238"/>
      <c r="R35" s="238"/>
      <c r="S35" s="238"/>
      <c r="T35" s="238"/>
      <c r="U35" s="238"/>
      <c r="V35" s="238"/>
      <c r="W35" s="238"/>
      <c r="X35" s="239"/>
      <c r="Y35" s="239"/>
      <c r="Z35" s="239"/>
      <c r="AA35" s="239"/>
      <c r="AB35" s="239"/>
      <c r="AC35" s="238"/>
      <c r="AD35" s="370"/>
      <c r="AE35" s="371"/>
      <c r="AF35" s="238"/>
      <c r="AG35" s="238"/>
      <c r="AH35" s="238"/>
      <c r="AI35" s="698"/>
    </row>
    <row r="36" spans="1:35" s="37" customFormat="1" ht="24" customHeight="1">
      <c r="A36" s="36"/>
      <c r="B36" s="36"/>
      <c r="C36" s="112"/>
      <c r="D36" s="68" t="s">
        <v>50</v>
      </c>
      <c r="E36" s="109"/>
      <c r="F36" s="294">
        <v>1</v>
      </c>
      <c r="G36" s="125" t="s">
        <v>7</v>
      </c>
      <c r="H36" s="143"/>
      <c r="I36" s="111">
        <f t="shared" si="0"/>
        <v>0</v>
      </c>
      <c r="J36" s="68"/>
      <c r="K36" s="68"/>
      <c r="L36" s="69"/>
      <c r="N36" s="693"/>
      <c r="O36" s="236"/>
      <c r="P36" s="237"/>
      <c r="Q36" s="238"/>
      <c r="R36" s="238"/>
      <c r="S36" s="238"/>
      <c r="T36" s="238"/>
      <c r="U36" s="238"/>
      <c r="V36" s="238"/>
      <c r="W36" s="238"/>
      <c r="X36" s="239"/>
      <c r="Y36" s="239"/>
      <c r="Z36" s="239"/>
      <c r="AA36" s="239"/>
      <c r="AB36" s="239"/>
      <c r="AC36" s="238"/>
      <c r="AD36" s="370"/>
      <c r="AE36" s="371"/>
      <c r="AF36" s="238"/>
      <c r="AG36" s="238"/>
      <c r="AH36" s="238"/>
      <c r="AI36" s="698"/>
    </row>
    <row r="37" spans="1:35" s="37" customFormat="1" ht="24" customHeight="1">
      <c r="A37" s="36"/>
      <c r="B37" s="36"/>
      <c r="C37" s="112"/>
      <c r="D37" s="68" t="s">
        <v>48</v>
      </c>
      <c r="E37" s="109"/>
      <c r="F37" s="294">
        <v>1</v>
      </c>
      <c r="G37" s="125" t="s">
        <v>7</v>
      </c>
      <c r="H37" s="143"/>
      <c r="I37" s="111">
        <f t="shared" si="0"/>
        <v>0</v>
      </c>
      <c r="J37" s="68"/>
      <c r="K37" s="68"/>
      <c r="L37" s="69"/>
      <c r="N37" s="693"/>
      <c r="O37" s="236"/>
      <c r="P37" s="237"/>
      <c r="Q37" s="238"/>
      <c r="R37" s="238"/>
      <c r="S37" s="238"/>
      <c r="T37" s="238"/>
      <c r="U37" s="238"/>
      <c r="V37" s="238"/>
      <c r="W37" s="238"/>
      <c r="X37" s="239"/>
      <c r="Y37" s="239"/>
      <c r="Z37" s="239"/>
      <c r="AA37" s="239"/>
      <c r="AB37" s="239"/>
      <c r="AC37" s="238"/>
      <c r="AD37" s="370"/>
      <c r="AE37" s="371"/>
      <c r="AF37" s="238"/>
      <c r="AG37" s="238"/>
      <c r="AH37" s="238"/>
      <c r="AI37" s="698"/>
    </row>
    <row r="38" spans="1:35" s="37" customFormat="1" ht="24" customHeight="1">
      <c r="A38" s="36"/>
      <c r="B38" s="36"/>
      <c r="C38" s="112"/>
      <c r="D38" s="68" t="s">
        <v>179</v>
      </c>
      <c r="E38" s="109"/>
      <c r="F38" s="294">
        <v>1</v>
      </c>
      <c r="G38" s="125" t="s">
        <v>7</v>
      </c>
      <c r="H38" s="143"/>
      <c r="I38" s="111">
        <f t="shared" si="0"/>
        <v>0</v>
      </c>
      <c r="J38" s="68"/>
      <c r="K38" s="68"/>
      <c r="L38" s="69"/>
      <c r="N38" s="693"/>
      <c r="O38" s="236"/>
      <c r="P38" s="237"/>
      <c r="Q38" s="238"/>
      <c r="R38" s="238"/>
      <c r="S38" s="238"/>
      <c r="T38" s="238"/>
      <c r="U38" s="238"/>
      <c r="V38" s="238"/>
      <c r="W38" s="238"/>
      <c r="X38" s="239"/>
      <c r="Y38" s="239"/>
      <c r="Z38" s="239"/>
      <c r="AA38" s="239"/>
      <c r="AB38" s="239"/>
      <c r="AC38" s="238"/>
      <c r="AD38" s="370"/>
      <c r="AE38" s="371"/>
      <c r="AF38" s="238"/>
      <c r="AG38" s="238"/>
      <c r="AH38" s="238"/>
      <c r="AI38" s="698"/>
    </row>
    <row r="39" spans="1:35" s="37" customFormat="1" ht="24" customHeight="1">
      <c r="A39" s="36"/>
      <c r="B39" s="36"/>
      <c r="C39" s="112"/>
      <c r="D39" s="68" t="s">
        <v>51</v>
      </c>
      <c r="E39" s="109"/>
      <c r="F39" s="294">
        <v>1</v>
      </c>
      <c r="G39" s="125" t="s">
        <v>7</v>
      </c>
      <c r="H39" s="143"/>
      <c r="I39" s="111">
        <f t="shared" si="0"/>
        <v>0</v>
      </c>
      <c r="J39" s="68"/>
      <c r="K39" s="68"/>
      <c r="L39" s="69"/>
      <c r="N39" s="693"/>
      <c r="O39" s="236"/>
      <c r="P39" s="237"/>
      <c r="Q39" s="238"/>
      <c r="R39" s="238"/>
      <c r="S39" s="238"/>
      <c r="T39" s="238"/>
      <c r="U39" s="238"/>
      <c r="V39" s="238"/>
      <c r="W39" s="238"/>
      <c r="X39" s="239"/>
      <c r="Y39" s="239"/>
      <c r="Z39" s="239"/>
      <c r="AA39" s="239"/>
      <c r="AB39" s="239"/>
      <c r="AC39" s="238"/>
      <c r="AD39" s="370"/>
      <c r="AE39" s="371"/>
      <c r="AF39" s="238"/>
      <c r="AG39" s="238"/>
      <c r="AH39" s="238"/>
      <c r="AI39" s="698"/>
    </row>
    <row r="40" spans="1:35" s="37" customFormat="1" ht="24" customHeight="1">
      <c r="A40" s="36"/>
      <c r="B40" s="36"/>
      <c r="C40" s="112"/>
      <c r="D40" s="68" t="s">
        <v>52</v>
      </c>
      <c r="E40" s="109"/>
      <c r="F40" s="294">
        <v>1</v>
      </c>
      <c r="G40" s="125" t="s">
        <v>7</v>
      </c>
      <c r="H40" s="143"/>
      <c r="I40" s="111">
        <f t="shared" si="0"/>
        <v>0</v>
      </c>
      <c r="J40" s="68"/>
      <c r="K40" s="68"/>
      <c r="L40" s="69"/>
      <c r="N40" s="693"/>
      <c r="O40" s="236"/>
      <c r="P40" s="237"/>
      <c r="Q40" s="238"/>
      <c r="R40" s="238"/>
      <c r="S40" s="238"/>
      <c r="T40" s="238"/>
      <c r="U40" s="238"/>
      <c r="V40" s="238"/>
      <c r="W40" s="238"/>
      <c r="X40" s="239"/>
      <c r="Y40" s="239"/>
      <c r="Z40" s="239"/>
      <c r="AA40" s="239"/>
      <c r="AB40" s="239"/>
      <c r="AC40" s="238"/>
      <c r="AD40" s="370"/>
      <c r="AE40" s="371"/>
      <c r="AF40" s="238"/>
      <c r="AG40" s="238"/>
      <c r="AH40" s="238"/>
      <c r="AI40" s="698"/>
    </row>
    <row r="41" spans="1:35" s="37" customFormat="1" ht="24" customHeight="1">
      <c r="A41" s="36"/>
      <c r="B41" s="36"/>
      <c r="C41" s="112"/>
      <c r="D41" s="68" t="s">
        <v>53</v>
      </c>
      <c r="E41" s="109"/>
      <c r="F41" s="294">
        <v>1</v>
      </c>
      <c r="G41" s="125" t="s">
        <v>7</v>
      </c>
      <c r="H41" s="143"/>
      <c r="I41" s="111">
        <f t="shared" si="0"/>
        <v>0</v>
      </c>
      <c r="J41" s="68"/>
      <c r="K41" s="68"/>
      <c r="L41" s="69"/>
      <c r="N41" s="693"/>
      <c r="O41" s="236"/>
      <c r="P41" s="237"/>
      <c r="Q41" s="238"/>
      <c r="R41" s="238"/>
      <c r="S41" s="238"/>
      <c r="T41" s="238"/>
      <c r="U41" s="238"/>
      <c r="V41" s="238"/>
      <c r="W41" s="238"/>
      <c r="X41" s="239"/>
      <c r="Y41" s="239"/>
      <c r="Z41" s="239"/>
      <c r="AA41" s="239"/>
      <c r="AB41" s="239"/>
      <c r="AC41" s="238"/>
      <c r="AD41" s="370"/>
      <c r="AE41" s="371"/>
      <c r="AF41" s="238"/>
      <c r="AG41" s="238"/>
      <c r="AH41" s="238"/>
      <c r="AI41" s="698"/>
    </row>
    <row r="42" spans="1:35" s="37" customFormat="1" ht="24" customHeight="1">
      <c r="A42" s="36"/>
      <c r="B42" s="36"/>
      <c r="C42" s="112"/>
      <c r="D42" s="68" t="s">
        <v>54</v>
      </c>
      <c r="E42" s="109"/>
      <c r="F42" s="294">
        <v>1</v>
      </c>
      <c r="G42" s="125" t="s">
        <v>7</v>
      </c>
      <c r="H42" s="143"/>
      <c r="I42" s="111">
        <f t="shared" si="0"/>
        <v>0</v>
      </c>
      <c r="J42" s="68"/>
      <c r="K42" s="68"/>
      <c r="L42" s="69"/>
      <c r="N42" s="693"/>
      <c r="O42" s="236"/>
      <c r="P42" s="237"/>
      <c r="Q42" s="238"/>
      <c r="R42" s="238"/>
      <c r="S42" s="238"/>
      <c r="T42" s="238"/>
      <c r="U42" s="238"/>
      <c r="V42" s="238"/>
      <c r="W42" s="238"/>
      <c r="X42" s="239"/>
      <c r="Y42" s="239"/>
      <c r="Z42" s="239"/>
      <c r="AA42" s="239"/>
      <c r="AB42" s="239"/>
      <c r="AC42" s="238"/>
      <c r="AD42" s="370"/>
      <c r="AE42" s="371"/>
      <c r="AF42" s="238"/>
      <c r="AG42" s="238"/>
      <c r="AH42" s="238"/>
      <c r="AI42" s="698"/>
    </row>
    <row r="43" spans="1:35" s="37" customFormat="1" ht="24" customHeight="1">
      <c r="A43" s="36"/>
      <c r="B43" s="36"/>
      <c r="C43" s="112"/>
      <c r="D43" s="68" t="s">
        <v>55</v>
      </c>
      <c r="E43" s="109"/>
      <c r="F43" s="294">
        <v>1</v>
      </c>
      <c r="G43" s="125" t="s">
        <v>7</v>
      </c>
      <c r="H43" s="143"/>
      <c r="I43" s="111">
        <f t="shared" si="0"/>
        <v>0</v>
      </c>
      <c r="J43" s="68"/>
      <c r="K43" s="68"/>
      <c r="L43" s="69"/>
      <c r="N43" s="693"/>
      <c r="O43" s="236"/>
      <c r="P43" s="237"/>
      <c r="Q43" s="238"/>
      <c r="R43" s="238"/>
      <c r="S43" s="238"/>
      <c r="T43" s="238"/>
      <c r="U43" s="238"/>
      <c r="V43" s="238"/>
      <c r="W43" s="238"/>
      <c r="X43" s="239"/>
      <c r="Y43" s="239"/>
      <c r="Z43" s="239"/>
      <c r="AA43" s="239"/>
      <c r="AB43" s="239"/>
      <c r="AC43" s="238"/>
      <c r="AD43" s="370"/>
      <c r="AE43" s="371"/>
      <c r="AF43" s="238"/>
      <c r="AG43" s="238"/>
      <c r="AH43" s="238"/>
      <c r="AI43" s="698"/>
    </row>
    <row r="44" spans="1:35" s="37" customFormat="1" ht="24" customHeight="1">
      <c r="A44" s="36"/>
      <c r="B44" s="36"/>
      <c r="C44" s="835"/>
      <c r="D44" s="836"/>
      <c r="E44" s="837"/>
      <c r="F44" s="838"/>
      <c r="G44" s="839"/>
      <c r="H44" s="840"/>
      <c r="I44" s="111" t="str">
        <f t="shared" si="0"/>
        <v/>
      </c>
      <c r="J44" s="836"/>
      <c r="K44" s="836"/>
      <c r="L44" s="841"/>
      <c r="N44" s="693"/>
      <c r="O44" s="236"/>
      <c r="P44" s="237"/>
      <c r="Q44" s="238"/>
      <c r="R44" s="238"/>
      <c r="S44" s="238"/>
      <c r="T44" s="238"/>
      <c r="U44" s="238"/>
      <c r="V44" s="238"/>
      <c r="W44" s="238"/>
      <c r="X44" s="239"/>
      <c r="Y44" s="239"/>
      <c r="Z44" s="239"/>
      <c r="AA44" s="239"/>
      <c r="AB44" s="239"/>
      <c r="AC44" s="238"/>
      <c r="AD44" s="370"/>
      <c r="AE44" s="371"/>
      <c r="AF44" s="238"/>
      <c r="AG44" s="238"/>
      <c r="AH44" s="238"/>
      <c r="AI44" s="698"/>
    </row>
    <row r="45" spans="1:35" s="37" customFormat="1" ht="24" customHeight="1">
      <c r="A45" s="36"/>
      <c r="B45" s="36"/>
      <c r="C45" s="851"/>
      <c r="D45" s="844" t="s">
        <v>4257</v>
      </c>
      <c r="E45" s="845"/>
      <c r="F45" s="846"/>
      <c r="G45" s="847"/>
      <c r="H45" s="848"/>
      <c r="I45" s="849">
        <f>SUM(I35:I44)</f>
        <v>0</v>
      </c>
      <c r="J45" s="844"/>
      <c r="K45" s="844"/>
      <c r="L45" s="850"/>
      <c r="N45" s="693"/>
      <c r="O45" s="236"/>
      <c r="P45" s="237"/>
      <c r="Q45" s="238"/>
      <c r="R45" s="238"/>
      <c r="S45" s="238"/>
      <c r="T45" s="238"/>
      <c r="U45" s="238"/>
      <c r="V45" s="238"/>
      <c r="W45" s="238"/>
      <c r="X45" s="239"/>
      <c r="Y45" s="239"/>
      <c r="Z45" s="239"/>
      <c r="AA45" s="239"/>
      <c r="AB45" s="239"/>
      <c r="AC45" s="238"/>
      <c r="AD45" s="370"/>
      <c r="AE45" s="371"/>
      <c r="AF45" s="238"/>
      <c r="AG45" s="238"/>
      <c r="AH45" s="238"/>
      <c r="AI45" s="698"/>
    </row>
    <row r="46" spans="1:35" s="37" customFormat="1" ht="24" customHeight="1">
      <c r="A46" s="36"/>
      <c r="B46" s="36"/>
      <c r="C46" s="112"/>
      <c r="D46" s="68"/>
      <c r="E46" s="109"/>
      <c r="F46" s="294"/>
      <c r="G46" s="125"/>
      <c r="H46" s="143"/>
      <c r="I46" s="111" t="str">
        <f t="shared" ref="I46" si="1">IF(F46="","",INT(F46*H46))</f>
        <v/>
      </c>
      <c r="J46" s="68"/>
      <c r="K46" s="68"/>
      <c r="L46" s="69"/>
      <c r="N46" s="693"/>
      <c r="O46" s="236"/>
      <c r="P46" s="237"/>
      <c r="Q46" s="238"/>
      <c r="R46" s="238"/>
      <c r="S46" s="238"/>
      <c r="T46" s="238"/>
      <c r="U46" s="238"/>
      <c r="V46" s="238"/>
      <c r="W46" s="238"/>
      <c r="X46" s="239"/>
      <c r="Y46" s="239"/>
      <c r="Z46" s="239"/>
      <c r="AA46" s="239"/>
      <c r="AB46" s="239"/>
      <c r="AC46" s="238"/>
      <c r="AD46" s="370"/>
      <c r="AE46" s="371"/>
      <c r="AF46" s="238"/>
      <c r="AG46" s="238"/>
      <c r="AH46" s="238"/>
      <c r="AI46" s="698"/>
    </row>
    <row r="47" spans="1:35" ht="24" customHeight="1" thickBot="1">
      <c r="A47" s="36"/>
      <c r="B47" s="36"/>
      <c r="C47" s="113"/>
      <c r="D47" s="99" t="s">
        <v>9</v>
      </c>
      <c r="E47" s="114"/>
      <c r="F47" s="295"/>
      <c r="G47" s="127"/>
      <c r="H47" s="137" t="s">
        <v>88</v>
      </c>
      <c r="I47" s="115">
        <f>I32+I45</f>
        <v>0</v>
      </c>
      <c r="J47" s="99" t="s">
        <v>89</v>
      </c>
      <c r="K47" s="99"/>
      <c r="L47" s="129"/>
      <c r="O47" s="236"/>
      <c r="P47" s="237"/>
      <c r="Q47" s="238"/>
      <c r="R47" s="238"/>
      <c r="S47" s="238"/>
      <c r="T47" s="238"/>
      <c r="U47" s="238"/>
      <c r="V47" s="238"/>
      <c r="W47" s="238"/>
      <c r="X47" s="239"/>
      <c r="Y47" s="239"/>
      <c r="Z47" s="239"/>
      <c r="AA47" s="239"/>
      <c r="AB47" s="239"/>
      <c r="AC47" s="238"/>
      <c r="AD47" s="370"/>
      <c r="AE47" s="371"/>
      <c r="AF47" s="238"/>
      <c r="AG47" s="238"/>
      <c r="AH47" s="238"/>
      <c r="AI47" s="698"/>
    </row>
    <row r="48" spans="1:35" ht="14.25" customHeight="1">
      <c r="E48" s="130" t="s">
        <v>106</v>
      </c>
      <c r="F48" s="131">
        <f>+F25+1</f>
        <v>2</v>
      </c>
      <c r="G48" s="132" t="s">
        <v>107</v>
      </c>
      <c r="H48" s="133">
        <f>+$H$25</f>
        <v>6</v>
      </c>
      <c r="I48" s="133"/>
      <c r="M48" s="38" t="str">
        <f>IF(A50="","EOL","")</f>
        <v/>
      </c>
      <c r="N48" s="6">
        <f>+F48</f>
        <v>2</v>
      </c>
      <c r="O48" s="1"/>
      <c r="P48" s="1"/>
    </row>
    <row r="49" spans="1:35" ht="26" customHeight="1" thickBot="1">
      <c r="C49" s="938" t="s">
        <v>369</v>
      </c>
      <c r="D49" s="938"/>
      <c r="E49" s="938"/>
      <c r="F49" s="938"/>
      <c r="G49" s="938"/>
      <c r="H49" s="938"/>
      <c r="I49" s="938"/>
      <c r="J49" s="938"/>
      <c r="K49" s="938"/>
      <c r="L49" s="938"/>
      <c r="O49" s="1039" t="s">
        <v>154</v>
      </c>
      <c r="P49" s="1039"/>
      <c r="Q49" s="1039"/>
      <c r="R49" s="1039"/>
      <c r="S49" s="1039"/>
      <c r="T49" s="1039"/>
      <c r="U49" s="1039"/>
      <c r="V49" s="1039"/>
      <c r="W49" s="1039"/>
      <c r="X49" s="1039"/>
      <c r="Y49" s="1039"/>
      <c r="Z49" s="1039"/>
      <c r="AA49" s="1039"/>
      <c r="AB49" s="1039"/>
      <c r="AC49" s="1039"/>
      <c r="AD49" s="1039"/>
      <c r="AE49" s="1039"/>
      <c r="AF49" s="1039"/>
      <c r="AG49" s="1039"/>
      <c r="AH49" s="1040"/>
      <c r="AI49" s="696"/>
    </row>
    <row r="50" spans="1:35" ht="42" customHeight="1">
      <c r="A50" s="5" t="s">
        <v>13</v>
      </c>
      <c r="B50" s="5" t="s">
        <v>10</v>
      </c>
      <c r="C50" s="120" t="s">
        <v>0</v>
      </c>
      <c r="D50" s="116"/>
      <c r="E50" s="117" t="s">
        <v>1</v>
      </c>
      <c r="F50" s="118" t="s">
        <v>2</v>
      </c>
      <c r="G50" s="118" t="s">
        <v>3</v>
      </c>
      <c r="H50" s="119" t="s">
        <v>4</v>
      </c>
      <c r="I50" s="119" t="s">
        <v>5</v>
      </c>
      <c r="J50" s="968" t="s">
        <v>6</v>
      </c>
      <c r="K50" s="969"/>
      <c r="L50" s="970"/>
      <c r="O50" s="165" t="s">
        <v>85</v>
      </c>
      <c r="P50" s="364" t="s">
        <v>288</v>
      </c>
      <c r="Q50" s="296" t="s">
        <v>305</v>
      </c>
      <c r="R50" s="296" t="s">
        <v>249</v>
      </c>
      <c r="S50" s="296" t="s">
        <v>250</v>
      </c>
      <c r="T50" s="296" t="s">
        <v>265</v>
      </c>
      <c r="U50" s="296" t="s">
        <v>148</v>
      </c>
      <c r="V50" s="164" t="s">
        <v>147</v>
      </c>
      <c r="W50" s="296" t="s">
        <v>251</v>
      </c>
      <c r="X50" s="229" t="s">
        <v>252</v>
      </c>
      <c r="Y50" s="229" t="s">
        <v>253</v>
      </c>
      <c r="Z50" s="229" t="s">
        <v>254</v>
      </c>
      <c r="AA50" s="229" t="s">
        <v>255</v>
      </c>
      <c r="AB50" s="229" t="s">
        <v>300</v>
      </c>
      <c r="AC50" s="367" t="s">
        <v>309</v>
      </c>
      <c r="AD50" s="368" t="s">
        <v>310</v>
      </c>
      <c r="AE50" s="369" t="s">
        <v>150</v>
      </c>
      <c r="AF50" s="163" t="s">
        <v>153</v>
      </c>
      <c r="AG50" s="163" t="s">
        <v>151</v>
      </c>
      <c r="AH50" s="163" t="s">
        <v>152</v>
      </c>
      <c r="AI50" s="697"/>
    </row>
    <row r="51" spans="1:35" ht="24" customHeight="1">
      <c r="A51" s="36"/>
      <c r="B51" s="36"/>
      <c r="C51" s="138" t="s">
        <v>42</v>
      </c>
      <c r="D51" s="144"/>
      <c r="E51" s="106"/>
      <c r="F51" s="293"/>
      <c r="G51" s="142"/>
      <c r="H51" s="98" t="s">
        <v>12</v>
      </c>
      <c r="I51" s="98" t="s">
        <v>12</v>
      </c>
      <c r="J51" s="1036"/>
      <c r="K51" s="1037"/>
      <c r="L51" s="1038"/>
      <c r="O51" s="236"/>
      <c r="P51" s="237"/>
      <c r="Q51" s="238"/>
      <c r="R51" s="238"/>
      <c r="S51" s="238"/>
      <c r="T51" s="238"/>
      <c r="U51" s="238"/>
      <c r="V51" s="238"/>
      <c r="W51" s="238"/>
      <c r="X51" s="239"/>
      <c r="Y51" s="239"/>
      <c r="Z51" s="239"/>
      <c r="AA51" s="239"/>
      <c r="AB51" s="239"/>
      <c r="AC51" s="238"/>
      <c r="AD51" s="370"/>
      <c r="AE51" s="371"/>
      <c r="AF51" s="238"/>
      <c r="AG51" s="238"/>
      <c r="AH51" s="238"/>
      <c r="AI51" s="698"/>
    </row>
    <row r="52" spans="1:35" s="37" customFormat="1" ht="24" customHeight="1">
      <c r="A52" s="36"/>
      <c r="B52" s="36"/>
      <c r="C52" s="112"/>
      <c r="D52" s="144"/>
      <c r="E52" s="109"/>
      <c r="F52" s="294"/>
      <c r="G52" s="125"/>
      <c r="H52" s="143"/>
      <c r="I52" s="111" t="str">
        <f>IF(F52="","",INT(F52*H52))</f>
        <v/>
      </c>
      <c r="J52" s="68"/>
      <c r="K52" s="68"/>
      <c r="L52" s="69"/>
      <c r="N52" s="693"/>
      <c r="O52" s="236"/>
      <c r="P52" s="237"/>
      <c r="Q52" s="238"/>
      <c r="R52" s="238"/>
      <c r="S52" s="238"/>
      <c r="T52" s="238"/>
      <c r="U52" s="238"/>
      <c r="V52" s="238"/>
      <c r="W52" s="238"/>
      <c r="X52" s="239"/>
      <c r="Y52" s="239"/>
      <c r="Z52" s="239"/>
      <c r="AA52" s="239"/>
      <c r="AB52" s="239"/>
      <c r="AC52" s="238"/>
      <c r="AD52" s="370"/>
      <c r="AE52" s="371"/>
      <c r="AF52" s="238"/>
      <c r="AG52" s="238"/>
      <c r="AH52" s="238"/>
      <c r="AI52" s="698"/>
    </row>
    <row r="53" spans="1:35" s="37" customFormat="1" ht="24" customHeight="1">
      <c r="A53" s="36"/>
      <c r="B53" s="36"/>
      <c r="C53" s="112"/>
      <c r="D53" s="144" t="s">
        <v>56</v>
      </c>
      <c r="E53" s="109"/>
      <c r="F53" s="294">
        <v>1</v>
      </c>
      <c r="G53" s="125" t="s">
        <v>7</v>
      </c>
      <c r="H53" s="143"/>
      <c r="I53" s="111">
        <f t="shared" ref="I53:I69" si="2">IF(F53="","",INT(F53*H53))</f>
        <v>0</v>
      </c>
      <c r="J53" s="68"/>
      <c r="K53" s="68"/>
      <c r="L53" s="69"/>
      <c r="N53" s="693"/>
      <c r="O53" s="236"/>
      <c r="P53" s="237"/>
      <c r="Q53" s="238"/>
      <c r="R53" s="238"/>
      <c r="S53" s="238"/>
      <c r="T53" s="238"/>
      <c r="U53" s="238"/>
      <c r="V53" s="238"/>
      <c r="W53" s="238"/>
      <c r="X53" s="239"/>
      <c r="Y53" s="239"/>
      <c r="Z53" s="239"/>
      <c r="AA53" s="239"/>
      <c r="AB53" s="239"/>
      <c r="AC53" s="238"/>
      <c r="AD53" s="370"/>
      <c r="AE53" s="371"/>
      <c r="AF53" s="238"/>
      <c r="AG53" s="238"/>
      <c r="AH53" s="238"/>
      <c r="AI53" s="698"/>
    </row>
    <row r="54" spans="1:35" s="37" customFormat="1" ht="24" customHeight="1">
      <c r="A54" s="36"/>
      <c r="B54" s="36"/>
      <c r="C54" s="112"/>
      <c r="D54" s="144" t="s">
        <v>180</v>
      </c>
      <c r="E54" s="109"/>
      <c r="F54" s="294">
        <v>1</v>
      </c>
      <c r="G54" s="125" t="s">
        <v>7</v>
      </c>
      <c r="H54" s="143"/>
      <c r="I54" s="111">
        <f t="shared" si="2"/>
        <v>0</v>
      </c>
      <c r="J54" s="68"/>
      <c r="K54" s="68"/>
      <c r="L54" s="69"/>
      <c r="N54" s="693"/>
      <c r="O54" s="236"/>
      <c r="P54" s="237"/>
      <c r="Q54" s="238"/>
      <c r="R54" s="238"/>
      <c r="S54" s="238"/>
      <c r="T54" s="238"/>
      <c r="U54" s="238"/>
      <c r="V54" s="238"/>
      <c r="W54" s="238"/>
      <c r="X54" s="239"/>
      <c r="Y54" s="239"/>
      <c r="Z54" s="239"/>
      <c r="AA54" s="239"/>
      <c r="AB54" s="239"/>
      <c r="AC54" s="238"/>
      <c r="AD54" s="370"/>
      <c r="AE54" s="371"/>
      <c r="AF54" s="238"/>
      <c r="AG54" s="238"/>
      <c r="AH54" s="238"/>
      <c r="AI54" s="698"/>
    </row>
    <row r="55" spans="1:35" s="37" customFormat="1" ht="24" customHeight="1">
      <c r="A55" s="36"/>
      <c r="B55" s="36"/>
      <c r="C55" s="112"/>
      <c r="D55" s="144" t="s">
        <v>57</v>
      </c>
      <c r="E55" s="109"/>
      <c r="F55" s="294">
        <v>1</v>
      </c>
      <c r="G55" s="125" t="s">
        <v>7</v>
      </c>
      <c r="H55" s="143"/>
      <c r="I55" s="111">
        <f t="shared" si="2"/>
        <v>0</v>
      </c>
      <c r="J55" s="68"/>
      <c r="K55" s="68"/>
      <c r="L55" s="69"/>
      <c r="N55" s="693"/>
      <c r="O55" s="236"/>
      <c r="P55" s="237"/>
      <c r="Q55" s="238"/>
      <c r="R55" s="238"/>
      <c r="S55" s="238"/>
      <c r="T55" s="238"/>
      <c r="U55" s="238"/>
      <c r="V55" s="238"/>
      <c r="W55" s="238"/>
      <c r="X55" s="239"/>
      <c r="Y55" s="239"/>
      <c r="Z55" s="239"/>
      <c r="AA55" s="239"/>
      <c r="AB55" s="239"/>
      <c r="AC55" s="238"/>
      <c r="AD55" s="370"/>
      <c r="AE55" s="371"/>
      <c r="AF55" s="238"/>
      <c r="AG55" s="238"/>
      <c r="AH55" s="238"/>
      <c r="AI55" s="698"/>
    </row>
    <row r="56" spans="1:35" s="37" customFormat="1" ht="24" customHeight="1">
      <c r="A56" s="36"/>
      <c r="B56" s="36"/>
      <c r="C56" s="112"/>
      <c r="D56" s="144" t="s">
        <v>58</v>
      </c>
      <c r="E56" s="109"/>
      <c r="F56" s="294">
        <v>1</v>
      </c>
      <c r="G56" s="125" t="s">
        <v>7</v>
      </c>
      <c r="H56" s="143"/>
      <c r="I56" s="111">
        <f t="shared" si="2"/>
        <v>0</v>
      </c>
      <c r="J56" s="68"/>
      <c r="K56" s="68"/>
      <c r="L56" s="69"/>
      <c r="N56" s="693"/>
      <c r="O56" s="236"/>
      <c r="P56" s="237"/>
      <c r="Q56" s="238"/>
      <c r="R56" s="238"/>
      <c r="S56" s="238"/>
      <c r="T56" s="238"/>
      <c r="U56" s="238"/>
      <c r="V56" s="238"/>
      <c r="W56" s="238"/>
      <c r="X56" s="239"/>
      <c r="Y56" s="239"/>
      <c r="Z56" s="239"/>
      <c r="AA56" s="239"/>
      <c r="AB56" s="239"/>
      <c r="AC56" s="238"/>
      <c r="AD56" s="370"/>
      <c r="AE56" s="371"/>
      <c r="AF56" s="238"/>
      <c r="AG56" s="238"/>
      <c r="AH56" s="238"/>
      <c r="AI56" s="698"/>
    </row>
    <row r="57" spans="1:35" s="37" customFormat="1" ht="24" customHeight="1">
      <c r="A57" s="36"/>
      <c r="B57" s="36"/>
      <c r="C57" s="112"/>
      <c r="D57" s="144" t="s">
        <v>59</v>
      </c>
      <c r="E57" s="109"/>
      <c r="F57" s="294">
        <v>1</v>
      </c>
      <c r="G57" s="125" t="s">
        <v>7</v>
      </c>
      <c r="H57" s="143"/>
      <c r="I57" s="111">
        <f t="shared" si="2"/>
        <v>0</v>
      </c>
      <c r="J57" s="68"/>
      <c r="K57" s="68"/>
      <c r="L57" s="69"/>
      <c r="N57" s="693"/>
      <c r="O57" s="236"/>
      <c r="P57" s="237"/>
      <c r="Q57" s="238"/>
      <c r="R57" s="238"/>
      <c r="S57" s="238"/>
      <c r="T57" s="238"/>
      <c r="U57" s="238"/>
      <c r="V57" s="238"/>
      <c r="W57" s="238"/>
      <c r="X57" s="239"/>
      <c r="Y57" s="239"/>
      <c r="Z57" s="239"/>
      <c r="AA57" s="239"/>
      <c r="AB57" s="239"/>
      <c r="AC57" s="238"/>
      <c r="AD57" s="370"/>
      <c r="AE57" s="371"/>
      <c r="AF57" s="238"/>
      <c r="AG57" s="238"/>
      <c r="AH57" s="238"/>
      <c r="AI57" s="698"/>
    </row>
    <row r="58" spans="1:35" s="37" customFormat="1" ht="24" customHeight="1">
      <c r="A58" s="36"/>
      <c r="B58" s="36"/>
      <c r="C58" s="112"/>
      <c r="D58" s="144" t="s">
        <v>60</v>
      </c>
      <c r="E58" s="109"/>
      <c r="F58" s="294">
        <v>1</v>
      </c>
      <c r="G58" s="125" t="s">
        <v>7</v>
      </c>
      <c r="H58" s="143"/>
      <c r="I58" s="111">
        <f t="shared" si="2"/>
        <v>0</v>
      </c>
      <c r="J58" s="68"/>
      <c r="K58" s="68"/>
      <c r="L58" s="69"/>
      <c r="N58" s="693"/>
      <c r="O58" s="236"/>
      <c r="P58" s="237"/>
      <c r="Q58" s="238"/>
      <c r="R58" s="238"/>
      <c r="S58" s="238"/>
      <c r="T58" s="238"/>
      <c r="U58" s="238"/>
      <c r="V58" s="238"/>
      <c r="W58" s="238"/>
      <c r="X58" s="239"/>
      <c r="Y58" s="239"/>
      <c r="Z58" s="239"/>
      <c r="AA58" s="239"/>
      <c r="AB58" s="239"/>
      <c r="AC58" s="238"/>
      <c r="AD58" s="370"/>
      <c r="AE58" s="371"/>
      <c r="AF58" s="238"/>
      <c r="AG58" s="238"/>
      <c r="AH58" s="238"/>
      <c r="AI58" s="698"/>
    </row>
    <row r="59" spans="1:35" s="37" customFormat="1" ht="24" customHeight="1">
      <c r="A59" s="36"/>
      <c r="B59" s="36"/>
      <c r="C59" s="112"/>
      <c r="D59" s="144"/>
      <c r="E59" s="109"/>
      <c r="F59" s="294"/>
      <c r="G59" s="125"/>
      <c r="H59" s="143"/>
      <c r="I59" s="111" t="str">
        <f t="shared" si="2"/>
        <v/>
      </c>
      <c r="J59" s="68"/>
      <c r="K59" s="68"/>
      <c r="L59" s="69"/>
      <c r="N59" s="693"/>
      <c r="O59" s="236"/>
      <c r="P59" s="237"/>
      <c r="Q59" s="238"/>
      <c r="R59" s="238"/>
      <c r="S59" s="238"/>
      <c r="T59" s="238"/>
      <c r="U59" s="238"/>
      <c r="V59" s="238"/>
      <c r="W59" s="238"/>
      <c r="X59" s="239"/>
      <c r="Y59" s="239"/>
      <c r="Z59" s="239"/>
      <c r="AA59" s="239"/>
      <c r="AB59" s="239"/>
      <c r="AC59" s="238"/>
      <c r="AD59" s="370"/>
      <c r="AE59" s="371"/>
      <c r="AF59" s="238"/>
      <c r="AG59" s="238"/>
      <c r="AH59" s="238"/>
      <c r="AI59" s="698"/>
    </row>
    <row r="60" spans="1:35" s="37" customFormat="1" ht="24" customHeight="1">
      <c r="A60" s="36"/>
      <c r="B60" s="36"/>
      <c r="C60" s="112"/>
      <c r="D60" s="144"/>
      <c r="E60" s="109"/>
      <c r="F60" s="294"/>
      <c r="G60" s="125"/>
      <c r="H60" s="143"/>
      <c r="I60" s="111" t="str">
        <f t="shared" si="2"/>
        <v/>
      </c>
      <c r="J60" s="68"/>
      <c r="K60" s="68"/>
      <c r="L60" s="69"/>
      <c r="N60" s="693"/>
      <c r="O60" s="236"/>
      <c r="P60" s="237"/>
      <c r="Q60" s="238"/>
      <c r="R60" s="238"/>
      <c r="S60" s="238"/>
      <c r="T60" s="238"/>
      <c r="U60" s="238"/>
      <c r="V60" s="238"/>
      <c r="W60" s="238"/>
      <c r="X60" s="239"/>
      <c r="Y60" s="239"/>
      <c r="Z60" s="239"/>
      <c r="AA60" s="239"/>
      <c r="AB60" s="239"/>
      <c r="AC60" s="238"/>
      <c r="AD60" s="370"/>
      <c r="AE60" s="371"/>
      <c r="AF60" s="238"/>
      <c r="AG60" s="238"/>
      <c r="AH60" s="238"/>
      <c r="AI60" s="698"/>
    </row>
    <row r="61" spans="1:35" s="37" customFormat="1" ht="24" customHeight="1">
      <c r="A61" s="36"/>
      <c r="B61" s="36"/>
      <c r="C61" s="112"/>
      <c r="D61" s="144"/>
      <c r="E61" s="109"/>
      <c r="F61" s="294"/>
      <c r="G61" s="125"/>
      <c r="H61" s="143"/>
      <c r="I61" s="111" t="str">
        <f t="shared" si="2"/>
        <v/>
      </c>
      <c r="J61" s="68"/>
      <c r="K61" s="68"/>
      <c r="L61" s="69"/>
      <c r="N61" s="693"/>
      <c r="O61" s="236"/>
      <c r="P61" s="237"/>
      <c r="Q61" s="238"/>
      <c r="R61" s="238"/>
      <c r="S61" s="238"/>
      <c r="T61" s="238"/>
      <c r="U61" s="238"/>
      <c r="V61" s="238"/>
      <c r="W61" s="238"/>
      <c r="X61" s="239"/>
      <c r="Y61" s="239"/>
      <c r="Z61" s="239"/>
      <c r="AA61" s="239"/>
      <c r="AB61" s="239"/>
      <c r="AC61" s="238"/>
      <c r="AD61" s="370"/>
      <c r="AE61" s="371"/>
      <c r="AF61" s="238"/>
      <c r="AG61" s="238"/>
      <c r="AH61" s="238"/>
      <c r="AI61" s="698"/>
    </row>
    <row r="62" spans="1:35" s="37" customFormat="1" ht="24" customHeight="1">
      <c r="A62" s="36"/>
      <c r="B62" s="36"/>
      <c r="C62" s="112"/>
      <c r="D62" s="144"/>
      <c r="E62" s="109"/>
      <c r="F62" s="294"/>
      <c r="G62" s="125"/>
      <c r="H62" s="143"/>
      <c r="I62" s="111" t="str">
        <f t="shared" si="2"/>
        <v/>
      </c>
      <c r="J62" s="68"/>
      <c r="K62" s="68"/>
      <c r="L62" s="69"/>
      <c r="N62" s="693"/>
      <c r="O62" s="236"/>
      <c r="P62" s="237"/>
      <c r="Q62" s="238"/>
      <c r="R62" s="238"/>
      <c r="S62" s="238"/>
      <c r="T62" s="238"/>
      <c r="U62" s="238"/>
      <c r="V62" s="238"/>
      <c r="W62" s="238"/>
      <c r="X62" s="239"/>
      <c r="Y62" s="239"/>
      <c r="Z62" s="239"/>
      <c r="AA62" s="239"/>
      <c r="AB62" s="239"/>
      <c r="AC62" s="238"/>
      <c r="AD62" s="370"/>
      <c r="AE62" s="371"/>
      <c r="AF62" s="238"/>
      <c r="AG62" s="238"/>
      <c r="AH62" s="238"/>
      <c r="AI62" s="698"/>
    </row>
    <row r="63" spans="1:35" s="37" customFormat="1" ht="24" customHeight="1">
      <c r="A63" s="36"/>
      <c r="B63" s="36"/>
      <c r="C63" s="112"/>
      <c r="D63" s="144"/>
      <c r="E63" s="109"/>
      <c r="F63" s="294"/>
      <c r="G63" s="125"/>
      <c r="H63" s="143"/>
      <c r="I63" s="111" t="str">
        <f t="shared" si="2"/>
        <v/>
      </c>
      <c r="J63" s="68"/>
      <c r="K63" s="68"/>
      <c r="L63" s="69"/>
      <c r="N63" s="693"/>
      <c r="O63" s="236"/>
      <c r="P63" s="237"/>
      <c r="Q63" s="238"/>
      <c r="R63" s="238"/>
      <c r="S63" s="238"/>
      <c r="T63" s="238"/>
      <c r="U63" s="238"/>
      <c r="V63" s="238"/>
      <c r="W63" s="238"/>
      <c r="X63" s="239"/>
      <c r="Y63" s="239"/>
      <c r="Z63" s="239"/>
      <c r="AA63" s="239"/>
      <c r="AB63" s="239"/>
      <c r="AC63" s="238"/>
      <c r="AD63" s="370"/>
      <c r="AE63" s="371"/>
      <c r="AF63" s="238"/>
      <c r="AG63" s="238"/>
      <c r="AH63" s="238"/>
      <c r="AI63" s="698"/>
    </row>
    <row r="64" spans="1:35" s="37" customFormat="1" ht="24" customHeight="1">
      <c r="A64" s="36"/>
      <c r="B64" s="36"/>
      <c r="C64" s="112"/>
      <c r="D64" s="144"/>
      <c r="E64" s="109"/>
      <c r="F64" s="294"/>
      <c r="G64" s="125"/>
      <c r="H64" s="143"/>
      <c r="I64" s="111" t="str">
        <f t="shared" si="2"/>
        <v/>
      </c>
      <c r="J64" s="68"/>
      <c r="K64" s="68"/>
      <c r="L64" s="69"/>
      <c r="N64" s="693"/>
      <c r="O64" s="236"/>
      <c r="P64" s="237"/>
      <c r="Q64" s="238"/>
      <c r="R64" s="238"/>
      <c r="S64" s="238"/>
      <c r="T64" s="238"/>
      <c r="U64" s="238"/>
      <c r="V64" s="238"/>
      <c r="W64" s="238"/>
      <c r="X64" s="239"/>
      <c r="Y64" s="239"/>
      <c r="Z64" s="239"/>
      <c r="AA64" s="239"/>
      <c r="AB64" s="239"/>
      <c r="AC64" s="238"/>
      <c r="AD64" s="370"/>
      <c r="AE64" s="371"/>
      <c r="AF64" s="238"/>
      <c r="AG64" s="238"/>
      <c r="AH64" s="238"/>
      <c r="AI64" s="698"/>
    </row>
    <row r="65" spans="1:35" s="37" customFormat="1" ht="24" customHeight="1">
      <c r="A65" s="36"/>
      <c r="B65" s="36"/>
      <c r="C65" s="112"/>
      <c r="D65" s="144"/>
      <c r="E65" s="109"/>
      <c r="F65" s="294"/>
      <c r="G65" s="125"/>
      <c r="H65" s="143"/>
      <c r="I65" s="111" t="str">
        <f t="shared" si="2"/>
        <v/>
      </c>
      <c r="J65" s="68"/>
      <c r="K65" s="68"/>
      <c r="L65" s="69"/>
      <c r="N65" s="693"/>
      <c r="O65" s="236"/>
      <c r="P65" s="237"/>
      <c r="Q65" s="238"/>
      <c r="R65" s="238"/>
      <c r="S65" s="238"/>
      <c r="T65" s="238"/>
      <c r="U65" s="238"/>
      <c r="V65" s="238"/>
      <c r="W65" s="238"/>
      <c r="X65" s="239"/>
      <c r="Y65" s="239"/>
      <c r="Z65" s="239"/>
      <c r="AA65" s="239"/>
      <c r="AB65" s="239"/>
      <c r="AC65" s="238"/>
      <c r="AD65" s="370"/>
      <c r="AE65" s="371"/>
      <c r="AF65" s="238"/>
      <c r="AG65" s="238"/>
      <c r="AH65" s="238"/>
      <c r="AI65" s="698"/>
    </row>
    <row r="66" spans="1:35" s="37" customFormat="1" ht="24" customHeight="1">
      <c r="A66" s="36"/>
      <c r="B66" s="36"/>
      <c r="C66" s="112"/>
      <c r="D66" s="144"/>
      <c r="E66" s="109"/>
      <c r="F66" s="294"/>
      <c r="G66" s="125"/>
      <c r="H66" s="143"/>
      <c r="I66" s="111" t="str">
        <f t="shared" si="2"/>
        <v/>
      </c>
      <c r="J66" s="68"/>
      <c r="K66" s="68"/>
      <c r="L66" s="69"/>
      <c r="N66" s="693"/>
      <c r="O66" s="236"/>
      <c r="P66" s="237"/>
      <c r="Q66" s="238"/>
      <c r="R66" s="238"/>
      <c r="S66" s="238"/>
      <c r="T66" s="238"/>
      <c r="U66" s="238"/>
      <c r="V66" s="238"/>
      <c r="W66" s="238"/>
      <c r="X66" s="239"/>
      <c r="Y66" s="239"/>
      <c r="Z66" s="239"/>
      <c r="AA66" s="239"/>
      <c r="AB66" s="239"/>
      <c r="AC66" s="238"/>
      <c r="AD66" s="370"/>
      <c r="AE66" s="371"/>
      <c r="AF66" s="238"/>
      <c r="AG66" s="238"/>
      <c r="AH66" s="238"/>
      <c r="AI66" s="698"/>
    </row>
    <row r="67" spans="1:35" s="37" customFormat="1" ht="24" customHeight="1">
      <c r="A67" s="36"/>
      <c r="B67" s="36"/>
      <c r="C67" s="112"/>
      <c r="D67" s="144"/>
      <c r="E67" s="109"/>
      <c r="F67" s="294"/>
      <c r="G67" s="125"/>
      <c r="H67" s="143"/>
      <c r="I67" s="111" t="str">
        <f t="shared" si="2"/>
        <v/>
      </c>
      <c r="J67" s="68"/>
      <c r="K67" s="68"/>
      <c r="L67" s="69"/>
      <c r="N67" s="693"/>
      <c r="O67" s="236"/>
      <c r="P67" s="237"/>
      <c r="Q67" s="238"/>
      <c r="R67" s="238"/>
      <c r="S67" s="238"/>
      <c r="T67" s="238"/>
      <c r="U67" s="238"/>
      <c r="V67" s="238"/>
      <c r="W67" s="238"/>
      <c r="X67" s="239"/>
      <c r="Y67" s="239"/>
      <c r="Z67" s="239"/>
      <c r="AA67" s="239"/>
      <c r="AB67" s="239"/>
      <c r="AC67" s="238"/>
      <c r="AD67" s="370"/>
      <c r="AE67" s="371"/>
      <c r="AF67" s="238"/>
      <c r="AG67" s="238"/>
      <c r="AH67" s="238"/>
      <c r="AI67" s="698"/>
    </row>
    <row r="68" spans="1:35" s="37" customFormat="1" ht="24" customHeight="1">
      <c r="A68" s="36"/>
      <c r="B68" s="36"/>
      <c r="C68" s="112"/>
      <c r="D68" s="144"/>
      <c r="E68" s="109"/>
      <c r="F68" s="294"/>
      <c r="G68" s="125"/>
      <c r="H68" s="143"/>
      <c r="I68" s="111" t="str">
        <f t="shared" si="2"/>
        <v/>
      </c>
      <c r="J68" s="68"/>
      <c r="K68" s="68"/>
      <c r="L68" s="69"/>
      <c r="N68" s="693"/>
      <c r="O68" s="236"/>
      <c r="P68" s="237"/>
      <c r="Q68" s="238"/>
      <c r="R68" s="238"/>
      <c r="S68" s="238"/>
      <c r="T68" s="238"/>
      <c r="U68" s="238"/>
      <c r="V68" s="238"/>
      <c r="W68" s="238"/>
      <c r="X68" s="239"/>
      <c r="Y68" s="239"/>
      <c r="Z68" s="239"/>
      <c r="AA68" s="239"/>
      <c r="AB68" s="239"/>
      <c r="AC68" s="238"/>
      <c r="AD68" s="370"/>
      <c r="AE68" s="371"/>
      <c r="AF68" s="238"/>
      <c r="AG68" s="238"/>
      <c r="AH68" s="238"/>
      <c r="AI68" s="698"/>
    </row>
    <row r="69" spans="1:35" s="37" customFormat="1" ht="24" customHeight="1">
      <c r="A69" s="36"/>
      <c r="B69" s="36"/>
      <c r="C69" s="112"/>
      <c r="D69" s="144"/>
      <c r="E69" s="109"/>
      <c r="F69" s="294"/>
      <c r="G69" s="125"/>
      <c r="H69" s="143"/>
      <c r="I69" s="111" t="str">
        <f t="shared" si="2"/>
        <v/>
      </c>
      <c r="J69" s="68"/>
      <c r="K69" s="68"/>
      <c r="L69" s="69"/>
      <c r="N69" s="693"/>
      <c r="O69" s="236"/>
      <c r="P69" s="237"/>
      <c r="Q69" s="238"/>
      <c r="R69" s="238"/>
      <c r="S69" s="238"/>
      <c r="T69" s="238"/>
      <c r="U69" s="238"/>
      <c r="V69" s="238"/>
      <c r="W69" s="238"/>
      <c r="X69" s="239"/>
      <c r="Y69" s="239"/>
      <c r="Z69" s="239"/>
      <c r="AA69" s="239"/>
      <c r="AB69" s="239"/>
      <c r="AC69" s="238"/>
      <c r="AD69" s="370"/>
      <c r="AE69" s="371"/>
      <c r="AF69" s="238"/>
      <c r="AG69" s="238"/>
      <c r="AH69" s="238"/>
      <c r="AI69" s="698"/>
    </row>
    <row r="70" spans="1:35" ht="24" customHeight="1" thickBot="1">
      <c r="A70" s="36"/>
      <c r="B70" s="36"/>
      <c r="C70" s="113"/>
      <c r="D70" s="99" t="s">
        <v>9</v>
      </c>
      <c r="E70" s="114"/>
      <c r="F70" s="295"/>
      <c r="G70" s="127"/>
      <c r="H70" s="137" t="s">
        <v>108</v>
      </c>
      <c r="I70" s="115">
        <f>SUM(I52:I69)</f>
        <v>0</v>
      </c>
      <c r="J70" s="99" t="s">
        <v>109</v>
      </c>
      <c r="K70" s="99"/>
      <c r="L70" s="129"/>
      <c r="O70" s="236"/>
      <c r="P70" s="237"/>
      <c r="Q70" s="238"/>
      <c r="R70" s="238"/>
      <c r="S70" s="238"/>
      <c r="T70" s="238"/>
      <c r="U70" s="238"/>
      <c r="V70" s="238"/>
      <c r="W70" s="238"/>
      <c r="X70" s="239"/>
      <c r="Y70" s="239"/>
      <c r="Z70" s="239"/>
      <c r="AA70" s="239"/>
      <c r="AB70" s="239"/>
      <c r="AC70" s="238"/>
      <c r="AD70" s="370"/>
      <c r="AE70" s="371"/>
      <c r="AF70" s="238"/>
      <c r="AG70" s="238"/>
      <c r="AH70" s="238"/>
      <c r="AI70" s="698"/>
    </row>
    <row r="71" spans="1:35" ht="14.25" customHeight="1">
      <c r="D71" s="131"/>
      <c r="E71" s="130" t="s">
        <v>106</v>
      </c>
      <c r="F71" s="131">
        <f>+F48+1</f>
        <v>3</v>
      </c>
      <c r="G71" s="132" t="s">
        <v>107</v>
      </c>
      <c r="H71" s="133">
        <f>+$H$25</f>
        <v>6</v>
      </c>
      <c r="I71" s="133"/>
      <c r="M71" s="31" t="str">
        <f>IF(A73="","EOL","")</f>
        <v>EOL</v>
      </c>
      <c r="N71" s="6">
        <f>+F71</f>
        <v>3</v>
      </c>
      <c r="O71" s="1"/>
      <c r="P71" s="1"/>
    </row>
    <row r="72" spans="1:35" ht="26" customHeight="1">
      <c r="O72" s="235"/>
      <c r="P72" s="235"/>
      <c r="Q72" s="235"/>
      <c r="R72" s="235"/>
      <c r="S72" s="235"/>
      <c r="T72" s="235"/>
      <c r="U72" s="235"/>
      <c r="V72" s="235"/>
      <c r="W72" s="235"/>
      <c r="X72" s="235"/>
      <c r="Y72" s="235"/>
      <c r="Z72" s="235"/>
      <c r="AA72" s="235"/>
    </row>
    <row r="73" spans="1:35" ht="26" customHeight="1">
      <c r="O73" s="230"/>
      <c r="P73" s="230"/>
      <c r="Q73" s="231"/>
      <c r="R73" s="232"/>
      <c r="S73" s="233"/>
      <c r="T73" s="233"/>
      <c r="U73" s="231"/>
      <c r="V73" s="231"/>
      <c r="W73" s="233"/>
      <c r="X73" s="230"/>
      <c r="Y73" s="230"/>
      <c r="Z73" s="230"/>
      <c r="AA73" s="230"/>
    </row>
    <row r="74" spans="1:35" ht="26" customHeight="1">
      <c r="O74" s="234"/>
      <c r="P74" s="234"/>
      <c r="Q74" s="231"/>
      <c r="R74" s="231"/>
      <c r="S74" s="231"/>
      <c r="T74" s="231"/>
      <c r="U74" s="231"/>
      <c r="V74" s="231"/>
      <c r="W74" s="231"/>
      <c r="X74" s="231"/>
      <c r="Y74" s="231"/>
      <c r="Z74" s="231"/>
      <c r="AA74" s="231"/>
    </row>
    <row r="75" spans="1:35" ht="26" customHeight="1">
      <c r="O75" s="234"/>
      <c r="P75" s="234"/>
      <c r="Q75" s="231"/>
      <c r="R75" s="231"/>
      <c r="S75" s="231"/>
      <c r="T75" s="231"/>
      <c r="U75" s="231"/>
      <c r="V75" s="231"/>
      <c r="W75" s="231"/>
      <c r="X75" s="231"/>
      <c r="Y75" s="231"/>
      <c r="Z75" s="231"/>
      <c r="AA75" s="231"/>
    </row>
    <row r="76" spans="1:35" ht="26" customHeight="1">
      <c r="O76" s="234"/>
      <c r="P76" s="234"/>
      <c r="Q76" s="231"/>
      <c r="R76" s="231"/>
      <c r="S76" s="231"/>
      <c r="T76" s="231"/>
      <c r="U76" s="231"/>
      <c r="V76" s="231"/>
      <c r="W76" s="231"/>
      <c r="X76" s="231"/>
      <c r="Y76" s="231"/>
      <c r="Z76" s="231"/>
      <c r="AA76" s="231"/>
    </row>
    <row r="77" spans="1:35" ht="26" customHeight="1">
      <c r="O77" s="234"/>
      <c r="P77" s="234"/>
      <c r="Q77" s="231"/>
      <c r="R77" s="231"/>
      <c r="S77" s="231"/>
      <c r="T77" s="231"/>
      <c r="U77" s="231"/>
      <c r="V77" s="231"/>
      <c r="W77" s="231"/>
      <c r="X77" s="231"/>
      <c r="Y77" s="231"/>
      <c r="Z77" s="231"/>
      <c r="AA77" s="231"/>
    </row>
    <row r="78" spans="1:35" ht="26" customHeight="1">
      <c r="O78" s="234"/>
      <c r="P78" s="234"/>
      <c r="Q78" s="231"/>
      <c r="R78" s="231"/>
      <c r="S78" s="231"/>
      <c r="T78" s="231"/>
      <c r="U78" s="231"/>
      <c r="V78" s="231"/>
      <c r="W78" s="231"/>
      <c r="X78" s="231"/>
      <c r="Y78" s="231"/>
      <c r="Z78" s="231"/>
      <c r="AA78" s="231"/>
    </row>
    <row r="79" spans="1:35" ht="26" customHeight="1">
      <c r="O79" s="234"/>
      <c r="P79" s="234"/>
      <c r="Q79" s="231"/>
      <c r="R79" s="231"/>
      <c r="S79" s="231"/>
      <c r="T79" s="231"/>
      <c r="U79" s="231"/>
      <c r="V79" s="231"/>
      <c r="W79" s="231"/>
      <c r="X79" s="231"/>
      <c r="Y79" s="231"/>
      <c r="Z79" s="231"/>
      <c r="AA79" s="231"/>
    </row>
    <row r="80" spans="1:35" ht="26" customHeight="1">
      <c r="O80" s="234"/>
      <c r="P80" s="234"/>
      <c r="Q80" s="231"/>
      <c r="R80" s="231"/>
      <c r="S80" s="231"/>
      <c r="T80" s="231"/>
      <c r="U80" s="231"/>
      <c r="V80" s="231"/>
      <c r="W80" s="231"/>
      <c r="X80" s="231"/>
      <c r="Y80" s="231"/>
      <c r="Z80" s="231"/>
      <c r="AA80" s="231"/>
    </row>
    <row r="81" spans="15:27" ht="26" customHeight="1">
      <c r="O81" s="234"/>
      <c r="P81" s="234"/>
      <c r="Q81" s="231"/>
      <c r="R81" s="231"/>
      <c r="S81" s="231"/>
      <c r="T81" s="231"/>
      <c r="U81" s="231"/>
      <c r="V81" s="231"/>
      <c r="W81" s="231"/>
      <c r="X81" s="231"/>
      <c r="Y81" s="231"/>
      <c r="Z81" s="231"/>
      <c r="AA81" s="231"/>
    </row>
    <row r="82" spans="15:27" ht="26" customHeight="1">
      <c r="O82" s="234"/>
      <c r="P82" s="234"/>
      <c r="Q82" s="231"/>
      <c r="R82" s="231"/>
      <c r="S82" s="231"/>
      <c r="T82" s="231"/>
      <c r="U82" s="231"/>
      <c r="V82" s="231"/>
      <c r="W82" s="231"/>
      <c r="X82" s="231"/>
      <c r="Y82" s="231"/>
      <c r="Z82" s="231"/>
      <c r="AA82" s="231"/>
    </row>
    <row r="83" spans="15:27" ht="26" customHeight="1">
      <c r="O83" s="234"/>
      <c r="P83" s="234"/>
      <c r="Q83" s="231"/>
      <c r="R83" s="231"/>
      <c r="S83" s="231"/>
      <c r="T83" s="231"/>
      <c r="U83" s="231"/>
      <c r="V83" s="231"/>
      <c r="W83" s="231"/>
      <c r="X83" s="231"/>
      <c r="Y83" s="231"/>
      <c r="Z83" s="231"/>
      <c r="AA83" s="231"/>
    </row>
    <row r="84" spans="15:27" ht="26" customHeight="1">
      <c r="O84" s="234"/>
      <c r="P84" s="234"/>
      <c r="Q84" s="231"/>
      <c r="R84" s="231"/>
      <c r="S84" s="231"/>
      <c r="T84" s="231"/>
      <c r="U84" s="231"/>
      <c r="V84" s="231"/>
      <c r="W84" s="231"/>
      <c r="X84" s="231"/>
      <c r="Y84" s="231"/>
      <c r="Z84" s="231"/>
      <c r="AA84" s="231"/>
    </row>
    <row r="85" spans="15:27" ht="26" customHeight="1">
      <c r="O85" s="234"/>
      <c r="P85" s="234"/>
      <c r="Q85" s="231"/>
      <c r="R85" s="231"/>
      <c r="S85" s="231"/>
      <c r="T85" s="231"/>
      <c r="U85" s="231"/>
      <c r="V85" s="231"/>
      <c r="W85" s="231"/>
      <c r="X85" s="231"/>
      <c r="Y85" s="231"/>
      <c r="Z85" s="231"/>
      <c r="AA85" s="231"/>
    </row>
    <row r="86" spans="15:27" ht="26" customHeight="1">
      <c r="O86" s="234"/>
      <c r="P86" s="234"/>
      <c r="Q86" s="231"/>
      <c r="R86" s="231"/>
      <c r="S86" s="231"/>
      <c r="T86" s="231"/>
      <c r="U86" s="231"/>
      <c r="V86" s="231"/>
      <c r="W86" s="231"/>
      <c r="X86" s="231"/>
      <c r="Y86" s="231"/>
      <c r="Z86" s="231"/>
      <c r="AA86" s="231"/>
    </row>
    <row r="87" spans="15:27" ht="26" customHeight="1">
      <c r="O87" s="234"/>
      <c r="P87" s="234"/>
      <c r="Q87" s="231"/>
      <c r="R87" s="231"/>
      <c r="S87" s="231"/>
      <c r="T87" s="231"/>
      <c r="U87" s="231"/>
      <c r="V87" s="231"/>
      <c r="W87" s="231"/>
      <c r="X87" s="231"/>
      <c r="Y87" s="231"/>
      <c r="Z87" s="231"/>
      <c r="AA87" s="231"/>
    </row>
    <row r="88" spans="15:27" ht="26" customHeight="1">
      <c r="O88" s="234"/>
      <c r="P88" s="234"/>
      <c r="Q88" s="231"/>
      <c r="R88" s="231"/>
      <c r="S88" s="231"/>
      <c r="T88" s="231"/>
      <c r="U88" s="231"/>
      <c r="V88" s="231"/>
      <c r="W88" s="231"/>
      <c r="X88" s="231"/>
      <c r="Y88" s="231"/>
      <c r="Z88" s="231"/>
      <c r="AA88" s="231"/>
    </row>
    <row r="89" spans="15:27" ht="26" customHeight="1">
      <c r="O89" s="234"/>
      <c r="P89" s="234"/>
      <c r="Q89" s="231"/>
      <c r="R89" s="231"/>
      <c r="S89" s="231"/>
      <c r="T89" s="231"/>
      <c r="U89" s="231"/>
      <c r="V89" s="231"/>
      <c r="W89" s="231"/>
      <c r="X89" s="231"/>
      <c r="Y89" s="231"/>
      <c r="Z89" s="231"/>
      <c r="AA89" s="231"/>
    </row>
    <row r="90" spans="15:27" ht="26" customHeight="1">
      <c r="O90" s="234"/>
      <c r="P90" s="234"/>
      <c r="Q90" s="231"/>
      <c r="R90" s="231"/>
      <c r="S90" s="231"/>
      <c r="T90" s="231"/>
      <c r="U90" s="231"/>
      <c r="V90" s="231"/>
      <c r="W90" s="231"/>
      <c r="X90" s="231"/>
      <c r="Y90" s="231"/>
      <c r="Z90" s="231"/>
      <c r="AA90" s="231"/>
    </row>
    <row r="91" spans="15:27" ht="26" customHeight="1">
      <c r="O91" s="234"/>
      <c r="P91" s="234"/>
      <c r="Q91" s="231"/>
      <c r="R91" s="231"/>
      <c r="S91" s="231"/>
      <c r="T91" s="231"/>
      <c r="U91" s="231"/>
      <c r="V91" s="231"/>
      <c r="W91" s="231"/>
      <c r="X91" s="231"/>
      <c r="Y91" s="231"/>
      <c r="Z91" s="231"/>
      <c r="AA91" s="231"/>
    </row>
    <row r="92" spans="15:27" ht="26" customHeight="1">
      <c r="O92" s="234"/>
      <c r="P92" s="234"/>
      <c r="Q92" s="231"/>
      <c r="R92" s="231"/>
      <c r="S92" s="231"/>
      <c r="T92" s="231"/>
      <c r="U92" s="231"/>
      <c r="V92" s="231"/>
      <c r="W92" s="231"/>
      <c r="X92" s="231"/>
      <c r="Y92" s="231"/>
      <c r="Z92" s="231"/>
      <c r="AA92" s="231"/>
    </row>
    <row r="93" spans="15:27" ht="26" customHeight="1">
      <c r="O93" s="234"/>
      <c r="P93" s="234"/>
      <c r="Q93" s="231"/>
      <c r="R93" s="231"/>
      <c r="S93" s="231"/>
      <c r="T93" s="231"/>
      <c r="U93" s="231"/>
      <c r="V93" s="231"/>
      <c r="W93" s="231"/>
      <c r="X93" s="231"/>
      <c r="Y93" s="231"/>
      <c r="Z93" s="231"/>
      <c r="AA93" s="231"/>
    </row>
    <row r="94" spans="15:27" ht="26" customHeight="1">
      <c r="O94" s="1"/>
      <c r="P94" s="1"/>
    </row>
  </sheetData>
  <mergeCells count="11">
    <mergeCell ref="O3:AH3"/>
    <mergeCell ref="O26:AH26"/>
    <mergeCell ref="O49:AH49"/>
    <mergeCell ref="J51:L51"/>
    <mergeCell ref="C3:L3"/>
    <mergeCell ref="C26:L26"/>
    <mergeCell ref="C49:L49"/>
    <mergeCell ref="J50:L50"/>
    <mergeCell ref="J5:L5"/>
    <mergeCell ref="J4:L4"/>
    <mergeCell ref="J27:L27"/>
  </mergeCells>
  <phoneticPr fontId="2"/>
  <printOptions horizontalCentered="1" verticalCentered="1"/>
  <pageMargins left="0.39370078740157483" right="0.39370078740157483" top="0.78740157480314965" bottom="0.19685039370078741" header="0.51181102362204722" footer="0.51181102362204722"/>
  <pageSetup paperSize="9" orientation="portrait" r:id="rId1"/>
  <headerFooter alignWithMargins="0"/>
  <rowBreaks count="1" manualBreakCount="1">
    <brk id="2" max="16383" man="1"/>
  </rowBreaks>
</worksheet>
</file>

<file path=OriginalRibbon/OriginalRibbon.xml><?xml version="1.0" encoding="utf-8"?>
<customUI xmlns="http://schemas.microsoft.com/office/2006/01/customui">
  <ribbon>
    <tabs>
      <tab id="myTab" label="明細">
        <group id="myGroup1" label="明細書">
          <button id="mybutton1" size="large" label="単価表呼出" imageMso="SharePointListsWorkOffline" onAction="Macro1" screentip="単価表による入力を行います。"/>
          <separator id="separator1"/>
          <button id="mybutton2" label="現在の位置に単票を追加" imageMso="CellsInsertDialog" onAction="Macro1" screentip="現在の位置に明細書単票を追加します。"/>
          <button id="mybutton3" label="最終行に単票を追加" imageMso="TableOfAuthoritiesInsert" onAction="Macro1" screentip="現在のシートの最終行に明細書単票を追加します。"/>
          <button id="mybutton4" label="明細シートを追加" imageMso="CreateQueryFromWizard" onAction="Macro1" screentip="明細書シートを追加します。"/>
          <separator id="separator2"/>
          <button id="mybutton5" label="現在の位置の単票を削除" imageMso="CellsDelete" onAction="Macro1" screentip="現在の位置の明細書単票を削除します。"/>
          <button id="mybutton6" label="最終行の単票を削除" imageMso="QueryDelete" onAction="Macro1" screentip="現在のシートの最終行の明細書単票を削除します。"/>
          <button id="mybutton7" label="明細シートを削除" imageMso="SheetDelete" onAction="Macro1" screentip="明細書シートを削除します。"/>
        </group>
        <group id="myGroup2" label="見積比較書">
          <button id="mybutton8" label="単票の追加" imageMso="TableRowsInsertBelowExcel" onAction="Macro1" screentip="現在の位置に見積比較書を追加します。"/>
          <button id="mybutton9" label="単票の削除" imageMso="TableRowsDeleteExcel" onAction="Macro1" screentip="現在の位置の見積比較書を削除します。"/>
        </group>
        <group id="myGroup3" label="印刷">
          <button id="mybutton10" size="large" label="明細書印刷" imageMso="FilePrint" onAction="Macro1" screentip="明細書を印刷します。"/>
          <separator id="separator3"/>
          <box id="box1" boxStyle="vertical">
            <button id="mybutton11" label="見積比較書印刷" imageMso="PrintOptionsMenu" onAction="Macro1" screentip="見積比較書を印刷します。"/>
            <button id="mybutton12" label="小運搬表印刷" imageMso="PrintAreaMenu" onAction="Macro1" screentip="小運搬表を印刷します。"/>
          </box>
          <separator id="separator4"/>
          <box id="box2" boxStyle="vertical">
            <button id="mybutton13" getVisible="getVisibleCallback1" label="諸経費表印刷" onAction="Macro1" screentip="諸経費表を印刷します。"/>
            <button id="mybutton14" getVisible="getVisibleCallback1" label="代価歩掛印刷" onAction="Macro1" screentip="代価歩掛を印刷します。"/>
          </box>
        </group>
        <group id="myGroup4" label="補助">
          <button id="mybutton15" size="large" label="小運搬表　作成　" imageMso="DatabaseLinedTableManager" onAction="Macro1" screentip="小運搬表を作成します。"/>
          <button id="mybutton16" label="ｼｰﾄ先頭ﾍﾟｰｼﾞに工種記入" imageMso="Refresh" onAction="Macro1" screentip="シートの先頭ページに、工種を記入しなおします。"/>
          <button id="mybutton17" getVisible="getVisibleCallback1" label="保障(範囲指定後)" imageMso="DistributionListAddNewMember" onAction="Macro1" screentip="保障対象範囲を指定後、使用してください。"/>
          <button id="mybutton18" getVisible="getVisibleCallback1" label="単価一括代入" imageMso="QueryBuilder" onAction="Macro1" screentip="ﾊｲﾘｽｸ・ﾊｲﾘﾀｰﾝ！ 気をつけて使いましょう！"/>
        </group>
        <group id="myGroup5" label="見積用">
          <button id="mybutton19" getVisible="getVisibleCallback2" label="見積担当者用に変更" imageMso="RecurrenceEdit" onAction="Macro1" screentip="見積担当者以外はさわらないでください。"/>
          <button id="mybutton20" getVisible="getVisibleCallback1" label="設計担当者用に変更" imageMso="RecurrenceEdit" onAction="Macro1" screentip="設計担当者用に戻します。"/>
          <button id="mybutton21" getVisible="getVisibleCallback1" label="現場送付用に変更" imageMso="GoTo" onAction="Macro1" screentip="単価等を貼付け、現場送付用に変更します。（注意！：ﾏｸﾛ等一部使用できなくなります。）"/>
        </group>
        <group id="myGroup6" label="ヘルプ">
          <button id="mybutton22" label="ヘルプ・使い方" imageMso="Help" onAction="Macro1" screentip="ごめんなさい。m(_ _)m 旧ﾊﾞｰｼﾞｮﾝのままです…。基本は同じなので参考としてください。"/>
          <button id="mybutton23" label="バージョン情報" imageMso="Info" onAction="Macro1" screentip="ﾊﾞｰｼﾞｮﾝ情報"/>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8</vt:i4>
      </vt:variant>
    </vt:vector>
  </HeadingPairs>
  <TitlesOfParts>
    <vt:vector size="21" baseType="lpstr">
      <vt:lpstr>数量内訳書表紙</vt:lpstr>
      <vt:lpstr>表紙</vt:lpstr>
      <vt:lpstr>資産管理明細書</vt:lpstr>
      <vt:lpstr>資産クラス</vt:lpstr>
      <vt:lpstr>工事1</vt:lpstr>
      <vt:lpstr>代価</vt:lpstr>
      <vt:lpstr>工事2</vt:lpstr>
      <vt:lpstr>見積比較</vt:lpstr>
      <vt:lpstr>小運搬</vt:lpstr>
      <vt:lpstr>代価一覧</vt:lpstr>
      <vt:lpstr>資産クラス一覧表</vt:lpstr>
      <vt:lpstr>work</vt:lpstr>
      <vt:lpstr>新規シート</vt:lpstr>
      <vt:lpstr>work!Print_Area</vt:lpstr>
      <vt:lpstr>見積比較!Print_Area</vt:lpstr>
      <vt:lpstr>工事1!Print_Area</vt:lpstr>
      <vt:lpstr>資産クラス!Print_Area</vt:lpstr>
      <vt:lpstr>資産管理明細書!Print_Area</vt:lpstr>
      <vt:lpstr>数量内訳書表紙!Print_Area</vt:lpstr>
      <vt:lpstr>代価!Print_Area</vt:lpstr>
      <vt:lpstr>表紙!Print_Area</vt:lpstr>
    </vt:vector>
  </TitlesOfParts>
  <Manager>古田　順正</Manager>
  <Company>大阪市交通局</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参考明細作成</dc:title>
  <dc:creator>建築企画担当</dc:creator>
  <dc:description>参考明細作成用のVBA付き</dc:description>
  <cp:lastModifiedBy>horik</cp:lastModifiedBy>
  <cp:lastPrinted>2019-05-09T06:40:37Z</cp:lastPrinted>
  <dcterms:created xsi:type="dcterms:W3CDTF">2000-06-20T23:47:24Z</dcterms:created>
  <dcterms:modified xsi:type="dcterms:W3CDTF">2022-03-15T04:22:30Z</dcterms:modified>
</cp:coreProperties>
</file>